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GTM Capacity and Timing" sheetId="10" state="visible" r:id="rId12"/>
    <sheet name="Revenue Streams" sheetId="11" state="visible" r:id="rId13"/>
    <sheet name="Total Revenue" sheetId="12" state="visible" r:id="rId14"/>
    <sheet name="Payroll" sheetId="13" state="visible" r:id="rId15"/>
    <sheet name="Depreciation and Amortization" sheetId="14" state="visible" r:id="rId16"/>
    <sheet name="Expenses" sheetId="15" state="visible" r:id="rId17"/>
    <sheet name="Output&gt;&gt;" sheetId="16" state="visible" r:id="rId18"/>
    <sheet name="Income Statement" sheetId="17" state="visible" r:id="rId19"/>
    <sheet name="Balance Sheet" sheetId="18" state="visible" r:id="rId20"/>
    <sheet name="Cash Flow Statement" sheetId="19" state="visible" r:id="rId21"/>
    <sheet name="Financial Indicators" sheetId="20" state="visible" r:id="rId22"/>
    <sheet name="Analysis&gt;&gt;" sheetId="21" state="visible" r:id="rId23"/>
    <sheet name="BEP Analysis" sheetId="22" state="visible" r:id="rId24"/>
    <sheet name="PB Analysis" sheetId="23" state="visible" r:id="rId25"/>
    <sheet name="Sensitivity" sheetId="24" state="visible" r:id="rId26"/>
    <sheet name="Stress Test" sheetId="25" state="visible" r:id="rId27"/>
    <sheet name="Exit Angel and VC"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<sst xmlns="http://schemas.openxmlformats.org/spreadsheetml/2006/main" count="3773" uniqueCount="1106">
  <si>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</si>
  <si>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</si>
  <si>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</si>
  <si>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</si>
  <si>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</si>
  <si>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</si>
  <si>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</si>
  <si>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</si>
  <si>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</si>
  <si>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</si>
  <si>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</si>
  <si>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</si>
  <si>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</si>
  <si>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</si>
  <si>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</si>
  <si>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</si>
  <si>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</si>
  <si>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</si>
  <si>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</si>
  <si>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</si>
  <si>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</si>
  <si>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</si>
  <si>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</si>
  <si>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No volume is typed. Cohorts, seats, licences and programmes are produced by the acquisition engine, so cut the activity and the volume goes with it.</t>
  </si>
  <si>
    <t xml:space="preserve">The year one spend is an output of the Expenses sheet, not a ceiling anybody typed.</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</si>
  <si>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</si>
  <si>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</si>
  <si>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</si>
  <si>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</si>
  <si>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</si>
  <si>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</si>
  <si>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</si>
  <si>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</si>
  <si>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</si>
  <si>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</si>
  <si>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In the order the model runs: basis, traction, acquisition, what a won contract becomes, pricing, expenses, working capital, tax,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</si>
  <si>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</si>
  <si>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</si>
  <si>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</si>
  <si>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</si>
  <si>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</si>
  <si>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</si>
  <si>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</si>
  <si>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Activity to leads to contracts to the contract book, sixty months</t>
  </si>
  <si>
    <t xml:space="preserve">   GTM Capacity and Timing</t>
  </si>
  <si>
    <t xml:space="preserve">Who runs the activity, whether there are enough of them, and how long a deal takes to become a delivery day</t>
  </si>
  <si>
    <t xml:space="preserve">   Revenue Streams</t>
  </si>
  <si>
    <t xml:space="preserve">Thirteen engines, every one of them an output of the contract book</t>
  </si>
  <si>
    <t xml:space="preserve">   Total Revenue</t>
  </si>
  <si>
    <t xml:space="preserve">Gathered into four families</t>
  </si>
  <si>
    <t xml:space="preserve">   Payroll</t>
  </si>
  <si>
    <t xml:space="preserve">Fifteen roles, monthly, capped at 6, 9, 12, 16 and 20</t>
  </si>
  <si>
    <t xml:space="preserve">   Depreciation and Amortization</t>
  </si>
  <si>
    <t xml:space="preserve">Straight line by asset class</t>
  </si>
  <si>
    <t xml:space="preserve">   Expenses</t>
  </si>
  <si>
    <t xml:space="preserve">Direct cost, revenue share to three parties, operating cost, and the year one total it produces</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</si>
  <si>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</si>
  <si>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</si>
  <si>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</si>
  <si>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</si>
  <si>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</si>
  <si>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</si>
  <si>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</si>
  <si>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</si>
  <si>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</si>
  <si>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</si>
  <si>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</si>
  <si>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</si>
  <si>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</si>
  <si>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</si>
  <si>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</si>
  <si>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</si>
  <si>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</si>
  <si>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</si>
  <si>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</si>
  <si>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</si>
  <si>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</si>
  <si>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</si>
  <si>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</si>
  <si>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</si>
  <si>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</si>
  <si>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</si>
  <si>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</si>
  <si>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</si>
  <si>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</si>
  <si>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</si>
  <si>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</si>
  <si>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</si>
  <si>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</si>
  <si>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</si>
  <si>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</si>
  <si>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</si>
  <si>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</si>
  <si>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</si>
  <si>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</si>
  <si>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</si>
  <si>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</si>
  <si>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</si>
  <si>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total expense, produced not typed</t>
  </si>
  <si>
    <t xml:space="preserve">the output of the activity plan, the hiring plan and the cost drivers</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</si>
  <si>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</si>
  <si>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</si>
  <si>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</si>
  <si>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</si>
  <si>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</si>
  <si>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</si>
  <si>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</si>
  <si>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</si>
  <si>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</si>
  <si>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</si>
  <si>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</si>
  <si>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</si>
  <si>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</si>
  <si>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</si>
  <si>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</si>
  <si>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</si>
  <si>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</si>
  <si>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</si>
  <si>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</si>
  <si>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</si>
  <si>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</si>
  <si>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</si>
  <si>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</si>
  <si>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</si>
  <si>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</si>
  <si>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</si>
  <si>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</si>
  <si>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</si>
  <si>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</si>
  <si>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</si>
  <si>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</si>
  <si>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</si>
  <si>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</si>
  <si>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</si>
  <si>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</si>
  <si>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</si>
  <si>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</si>
  <si>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</si>
  <si>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</si>
  <si>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</si>
  <si>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</si>
  <si>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</si>
  <si>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</si>
  <si>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</si>
  <si>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</si>
  <si>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</si>
  <si>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</si>
  <si>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</si>
  <si>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</si>
  <si>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</si>
  <si>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</si>
  <si>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</si>
  <si>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</si>
  <si>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</si>
  <si>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</si>
  <si>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</si>
  <si>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</si>
  <si>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</si>
  <si>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</si>
  <si>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</si>
  <si>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</si>
  <si>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</si>
  <si>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</si>
  <si>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</si>
  <si>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</si>
  <si>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</si>
  <si>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</si>
  <si>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</si>
  <si>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</si>
  <si>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</si>
  <si>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</si>
  <si>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</si>
  <si>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</si>
  <si>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</si>
  <si>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</si>
  <si>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</si>
  <si>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</si>
  <si>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</si>
  <si>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</si>
  <si>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</si>
  <si>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</si>
  <si>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</si>
  <si>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</si>
  <si>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</si>
  <si>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</si>
  <si>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</si>
  <si>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</si>
  <si>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</si>
  <si>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</si>
  <si>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</si>
  <si>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</si>
  <si>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</si>
  <si>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</si>
  <si>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</si>
  <si>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</si>
  <si>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</si>
  <si>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in the order the model runs them. Blue on yellow is an input. Nothing on any other sheet is typed.</t>
  </si>
  <si>
    <t xml:space="preserve">1. MODEL BASIS</t>
  </si>
  <si>
    <t xml:space="preserve">Reporting currency</t>
  </si>
  <si>
    <t xml:space="preserve">First calendar month of the model</t>
  </si>
  <si>
    <t xml:space="preserve">month one. Every month and quarter label in the workbook counts from here, so quarter one is Q4 2026</t>
  </si>
  <si>
    <t xml:space="preserve">Egyptian pounds to the dollar</t>
  </si>
  <si>
    <t xml:space="preserve">EGP</t>
  </si>
  <si>
    <t xml:space="preserve">used only to convert the prize money already committed</t>
  </si>
  <si>
    <t xml:space="preserve">2. WHAT IS ALREADY TRUE, THE OPENING POSITION</t>
  </si>
  <si>
    <t xml:space="preserve">Not forecasts. The position the model opens on: five signed university memoranda, a competition running now, and the users already on the platform.</t>
  </si>
  <si>
    <t xml:space="preserve">#</t>
  </si>
  <si>
    <t xml:space="preserve">Prize money already committed, in dollars</t>
  </si>
  <si>
    <t xml:space="preserve">Signed and near signed institutions</t>
  </si>
  <si>
    <t xml:space="preserve">Contracts already signed on day one</t>
  </si>
  <si>
    <t xml:space="preserve">these enter the model through the same machinery as a contract the funnel wins later, so year one volume is produced rather than typed</t>
  </si>
  <si>
    <t xml:space="preserve">Engine</t>
  </si>
  <si>
    <t xml:space="preserve">Contracts</t>
  </si>
  <si>
    <t xml:space="preserve">Already signed: University cohorts, Egypt</t>
  </si>
  <si>
    <t xml:space="preserve">the five signed university memoranda</t>
  </si>
  <si>
    <t xml:space="preserve">Already signed: Programme and incubator seats</t>
  </si>
  <si>
    <t xml:space="preserve">Enactus Egypt, at heads of terms</t>
  </si>
  <si>
    <t xml:space="preserve">Share of them mobilising in month 1</t>
  </si>
  <si>
    <t xml:space="preserve">Share of them mobilising in month 2</t>
  </si>
  <si>
    <t xml:space="preserve">Share of them mobilising in month 3</t>
  </si>
  <si>
    <t xml:space="preserve">3. ACQUISITION, ONLINE CHANNELS AND THE THREE STAGE FUNNEL</t>
  </si>
  <si>
    <t xml:space="preserve">Budget divided by cost per click gives paid clicks. Organic and referral traffic are then taken as a stated share of paid, never assumed free. Three conversion stages follow: click to lead, lead to registered account, registered account to paid account.</t>
  </si>
  <si>
    <t xml:space="preserve">Online channel</t>
  </si>
  <si>
    <t xml:space="preserve">Every budget on this row is per month</t>
  </si>
  <si>
    <t xml:space="preserve">Monthly budget, Y1</t>
  </si>
  <si>
    <t xml:space="preserve">Monthly, Y2</t>
  </si>
  <si>
    <t xml:space="preserve">Monthly, Y3</t>
  </si>
  <si>
    <t xml:space="preserve">Monthly, Y4</t>
  </si>
  <si>
    <t xml:space="preserve">Monthly, 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</si>
  <si>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</si>
  <si>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</si>
  <si>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</si>
  <si>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</si>
  <si>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</si>
  <si>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</si>
  <si>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</si>
  <si>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</si>
  <si>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</si>
  <si>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</si>
  <si>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</si>
  <si>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t>
  </si>
  <si>
    <t xml:space="preserve">Stage 3, registered to paid, reached online</t>
  </si>
  <si>
    <t xml:space="preserve">Stage 3, registered to paid, reached through an institution</t>
  </si>
  <si>
    <t xml:space="preserve">a learner who sat in a cohort converts several times better than a click</t>
  </si>
  <si>
    <t xml:space="preserve">4. ACQUISITION, OFFLINE ACTIVITY, WHAT THE TEAM ACTUALLY DOES</t>
  </si>
  <si>
    <t xml:space="preserve">This is the engine room. Everything the company sells is traceable back to a number in this block, and if a number here falls the volume on the Revenue Streams sheet falls with it.</t>
  </si>
  <si>
    <t xml:space="preserve">Offline channel</t>
  </si>
  <si>
    <t xml:space="preserve">Activities per month Y1</t>
  </si>
  <si>
    <t xml:space="preserve">Y2</t>
  </si>
  <si>
    <t xml:space="preserve">Y3</t>
  </si>
  <si>
    <t xml:space="preserve">Y4</t>
  </si>
  <si>
    <t xml:space="preserve">Y5</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</si>
  <si>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</si>
  <si>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</si>
  <si>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</si>
  <si>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</si>
  <si>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</si>
  <si>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</si>
  <si>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</si>
  <si>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</si>
  <si>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</si>
  <si>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</si>
  <si>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commercial team</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</si>
  <si>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</si>
  <si>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</si>
  <si>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</si>
  <si>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</si>
  <si>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t>
  </si>
  <si>
    <t xml:space="preserve">5. ACQUISITION, WHO BUYS, AND HOW LONG EACH KIND TAKES</t>
  </si>
  <si>
    <t xml:space="preserve">Leads split between six buyer types, each with its own conversion and its own clock. Complexity shows up twice: once as the sales cycle before signature, once as mobilisation between signature and the first delivery day.</t>
  </si>
  <si>
    <t xml:space="preserve">Buyer type</t>
  </si>
  <si>
    <t xml:space="preserve">Share of leads</t>
  </si>
  <si>
    <t xml:space="preserve">Lead to meeting</t>
  </si>
  <si>
    <t xml:space="preserve">Meeting to proposal</t>
  </si>
  <si>
    <t xml:space="preserve">Proposal to win</t>
  </si>
  <si>
    <t xml:space="preserve">Sales cycle, months</t>
  </si>
  <si>
    <t xml:space="preserve">Mobilisation, signature to first delivery</t>
  </si>
  <si>
    <t xml:space="preserve">Institutions, universities and schools</t>
  </si>
  <si>
    <t xml:space="preserve">mobilisation: the cohort waits for the next semester window</t>
  </si>
  <si>
    <t xml:space="preserve">Sponsors, banks, telcos and corporates</t>
  </si>
  <si>
    <t xml:space="preserve">mobilisation: a sponsor signs against a season already scheduled</t>
  </si>
  <si>
    <t xml:space="preserve">NGOs, donors and development agencies</t>
  </si>
  <si>
    <t xml:space="preserve">mobilisation: inception phase, baselining and a steering committee</t>
  </si>
  <si>
    <t xml:space="preserve">Government and national initiatives</t>
  </si>
  <si>
    <t xml:space="preserve">mobilisation: purchase order, bulk provisioning, a pilot governorate</t>
  </si>
  <si>
    <t xml:space="preserve">CSR and corporate innovation budgets</t>
  </si>
  <si>
    <t xml:space="preserve">mobilisation: budget release and an internal nomination round</t>
  </si>
  <si>
    <t xml:space="preserve">Accelerators, incubators and programme operators</t>
  </si>
  <si>
    <t xml:space="preserve">mobilisation: the next intake is already dated</t>
  </si>
  <si>
    <t xml:space="preserve">must total 100%</t>
  </si>
  <si>
    <t xml:space="preserve">Win rate uplift as references accumulate</t>
  </si>
  <si>
    <t xml:space="preserve">x</t>
  </si>
  <si>
    <t xml:space="preserve">applied to the proposal to win stage only</t>
  </si>
  <si>
    <t xml:space="preserve">6. WHO RUNS THE ACTIVITY, AND HOW MUCH OF IT ONE PERSON CAN RUN</t>
  </si>
  <si>
    <t xml:space="preserve">The activity plan above is only credible if somebody is free to do it. In year one the owning functions are largely empty, which is why the founder column matters. The sheet named GTM Capacity and Timing does the arithmetic month by month and fails loudly if the plan asks for more than the establishment can run.</t>
  </si>
  <si>
    <t xml:space="preserve">Activity</t>
  </si>
  <si>
    <t xml:space="preserve">Owned by</t>
  </si>
  <si>
    <t xml:space="preserve">Per person in the owning function</t>
  </si>
  <si>
    <t xml:space="preserve">Per founder</t>
  </si>
  <si>
    <t xml:space="preserve">Per ambassador</t>
  </si>
  <si>
    <t xml:space="preserve">Per certified partner organisation</t>
  </si>
  <si>
    <t xml:space="preserve">Curriculum and Delivery</t>
  </si>
  <si>
    <t xml:space="preserve">activities one person can run in a month</t>
  </si>
  <si>
    <t xml:space="preserve">Growth and Content</t>
  </si>
  <si>
    <t xml:space="preserve">Institutional Partnerships</t>
  </si>
  <si>
    <t xml:space="preserve">Meetings per commercial head per month</t>
  </si>
  <si>
    <t xml:space="preserve">a prepared meeting with a dean, a desk officer or a sponsorship lead, followed up, not a corridor conversation</t>
  </si>
  <si>
    <t xml:space="preserve">Meetings per founder per month</t>
  </si>
  <si>
    <t xml:space="preserve">on top of running the company</t>
  </si>
  <si>
    <t xml:space="preserve">Meetings per growth and content head per month</t>
  </si>
  <si>
    <t xml:space="preserve">7. REVENUE, WHAT A WON CONTRACT TURNS INTO</t>
  </si>
  <si>
    <t xml:space="preserve">Each engine takes a share of one buyer type's contracts and delivers a fixed number of units evenly across a contract life. A contract signed in month m is deliverable from month m plus mobilisation. Volume on the Revenue Streams sheet is the active contract stock times units over life, and nothing else.</t>
  </si>
  <si>
    <t xml:space="preserve">Share of that buyer's contracts</t>
  </si>
  <si>
    <t xml:space="preserve">Units per contract</t>
  </si>
  <si>
    <t xml:space="preserve">Contract life, months</t>
  </si>
  <si>
    <t xml:space="preserve">First month it can deliver</t>
  </si>
  <si>
    <t xml:space="preserve">University cohorts, Egypt</t>
  </si>
  <si>
    <t xml:space="preserve">cohorts</t>
  </si>
  <si>
    <t xml:space="preserve">the five signed memoranda, delivering from month one</t>
  </si>
  <si>
    <t xml:space="preserve">University cohorts, Saudi Arabia</t>
  </si>
  <si>
    <t xml:space="preserve">opened from month one</t>
  </si>
  <si>
    <t xml:space="preserve">Faculty licences</t>
  </si>
  <si>
    <t xml:space="preserve">licences</t>
  </si>
  <si>
    <t xml:space="preserve">School cohorts</t>
  </si>
  <si>
    <t xml:space="preserve">School licences</t>
  </si>
  <si>
    <t xml:space="preserve">Technical and vocational cohorts</t>
  </si>
  <si>
    <t xml:space="preserve">National initiative seats</t>
  </si>
  <si>
    <t xml:space="preserve">seats</t>
  </si>
  <si>
    <t xml:space="preserve">Train the trainer cohorts</t>
  </si>
  <si>
    <t xml:space="preserve">attached to the initiative that needs the trainers</t>
  </si>
  <si>
    <t xml:space="preserve">NGO and donor programmes</t>
  </si>
  <si>
    <t xml:space="preserve">programmes</t>
  </si>
  <si>
    <t xml:space="preserve">Competitions, sponsored</t>
  </si>
  <si>
    <t xml:space="preserve">competitions</t>
  </si>
  <si>
    <t xml:space="preserve">a sponsor can sign against the season already running</t>
  </si>
  <si>
    <t xml:space="preserve">Mission Zero seasons carrying a sponsor</t>
  </si>
  <si>
    <t xml:space="preserve">seasons</t>
  </si>
  <si>
    <t xml:space="preserve">capped at the seasons actually produced</t>
  </si>
  <si>
    <t xml:space="preserve">Corporate and CSR programmes</t>
  </si>
  <si>
    <t xml:space="preserve">Programme and incubator seats</t>
  </si>
  <si>
    <t xml:space="preserve">Enactus is already at heads of terms</t>
  </si>
  <si>
    <t xml:space="preserve">Shares must total 100% for each buyer type</t>
  </si>
  <si>
    <t xml:space="preserve">    Institutions, universities and schools</t>
  </si>
  <si>
    <t xml:space="preserve">    Sponsors, banks, telcos and corporates</t>
  </si>
  <si>
    <t xml:space="preserve">    NGOs, donors and development agencies</t>
  </si>
  <si>
    <t xml:space="preserve">    Government and national initiatives</t>
  </si>
  <si>
    <t xml:space="preserve">    CSR and corporate innovation budgets</t>
  </si>
  <si>
    <t xml:space="preserve">    Accelerators, incubators and programme operators</t>
  </si>
  <si>
    <t xml:space="preserve">Delivery pace against the full contract rate</t>
  </si>
  <si>
    <t xml:space="preserve">a contract signed is not a contract delivered at full tilt. In year one the institution is still localising the curriculum and training its own faculty. This is also where the year one spending ceiling is held: set it to 1.00 to run every contract at its full rate from month one</t>
  </si>
  <si>
    <t xml:space="preserve">Mission Zero seasons produced per year</t>
  </si>
  <si>
    <t xml:space="preserve">the production ceiling. A season nobody sponsors is still a cost, and sponsored seasons cannot exceed seasons produced</t>
  </si>
  <si>
    <t xml:space="preserve">8. REVENUE, PRICING BY YEAR</t>
  </si>
  <si>
    <t xml:space="preserve">University cohort, all in programme fee</t>
  </si>
  <si>
    <t xml:space="preserve">six delivery days, twenty five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</si>
  <si>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</si>
  <si>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</si>
  <si>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</si>
  <si>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</si>
  <si>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</si>
  <si>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</si>
  <si>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 priced for a ministry buying tens of thousands</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</si>
  <si>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</si>
  <si>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</si>
  <si>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</si>
  <si>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</si>
  <si>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</si>
  <si>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</si>
  <si>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</si>
  <si>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</si>
  <si>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</si>
  <si>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</si>
  <si>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</si>
  <si>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</si>
  <si>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How many people one delivered unit reaches. This drives the institutional side of the subscription funnel.</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</si>
  <si>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</si>
  <si>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</si>
  <si>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</si>
  <si>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</si>
  <si>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</si>
  <si>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9. EXPENSES,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</si>
  <si>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</si>
  <si>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</si>
  <si>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</si>
  <si>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</si>
  <si>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days</t>
  </si>
  <si>
    <t xml:space="preserve">Delivery days, school cohort</t>
  </si>
  <si>
    <t xml:space="preserve">Delivery days, technical cohort</t>
  </si>
  <si>
    <t xml:space="preserve">Delivery days one certified facilitator gives per month</t>
  </si>
  <si>
    <t xml:space="preserve">a freelancer with other work. This is what sizes the pool</t>
  </si>
  <si>
    <t xml:space="preserve">Spare capacity held in the certified pool</t>
  </si>
  <si>
    <t xml:space="preserve">nobody staffs a cohort plan to exactly one hundred percent</t>
  </si>
  <si>
    <t xml:space="preserve">Cost of certifying one facilitator</t>
  </si>
  <si>
    <t xml:space="preserve">assessment, materials and the shadow delivery</t>
  </si>
  <si>
    <t xml:space="preserve">Cohorts one certified partner organisation delivers per month</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</si>
  <si>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</si>
  <si>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</si>
  <si>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</si>
  <si>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</si>
  <si>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</si>
  <si>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</si>
  <si>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</si>
  <si>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</si>
  <si>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</si>
  <si>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</si>
  <si>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</si>
  <si>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</si>
  <si>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</si>
  <si>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</si>
  <si>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</si>
  <si>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sized for a fifteen dollar a year price, not a western one</t>
  </si>
  <si>
    <t xml:space="preserve">10. EXPENSES,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</si>
  <si>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</si>
  <si>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</si>
  <si>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</si>
  <si>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</si>
  <si>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</si>
  <si>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</si>
  <si>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</si>
  <si>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</si>
  <si>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</si>
  <si>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</si>
  <si>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11. EXPENSES,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</si>
  <si>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</si>
  <si>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</si>
  <si>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</si>
  <si>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</si>
  <si>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</si>
  <si>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</si>
  <si>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</si>
  <si>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</si>
  <si>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</si>
  <si>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</si>
  <si>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</si>
  <si>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</si>
  <si>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</si>
  <si>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</si>
  <si>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</si>
  <si>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</si>
  <si>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</si>
  <si>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</si>
  <si>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12. WORKING CAPITAL AND FUNDING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</si>
  <si>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</si>
  <si>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</si>
  <si>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</si>
  <si>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</si>
  <si>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</si>
  <si>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</si>
  <si>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</si>
  <si>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</si>
  <si>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not on a round number</t>
  </si>
  <si>
    <t xml:space="preserve">Month the seed round lands</t>
  </si>
  <si>
    <t xml:space="preserve">Minimum cash buffer to hold</t>
  </si>
  <si>
    <t xml:space="preserve">Years an institutional relationship is retained</t>
  </si>
  <si>
    <t xml:space="preserve">used for institutional lifetime value</t>
  </si>
  <si>
    <t xml:space="preserve">13. TAX</t>
  </si>
  <si>
    <t xml:space="preserve">Corporate income tax rate</t>
  </si>
  <si>
    <t xml:space="preserve">Egyptian corporate income tax</t>
  </si>
  <si>
    <t xml:space="preserve">Month of the following year in which tax is paid</t>
  </si>
  <si>
    <t xml:space="preserve">Tax losses carried forward at inception</t>
  </si>
  <si>
    <t xml:space="preserve">none, the company has not traded</t>
  </si>
  <si>
    <t xml:space="preserve">14.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</si>
  <si>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</si>
  <si>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</si>
  <si>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</si>
  <si>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</si>
  <si>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</si>
  <si>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</si>
  <si>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</si>
  <si>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</si>
  <si>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</si>
  <si>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</si>
  <si>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</si>
  <si>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</si>
  <si>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</si>
  <si>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</si>
  <si>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</si>
  <si>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</si>
  <si>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</si>
  <si>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</si>
  <si>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</si>
  <si>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</si>
  <si>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</si>
  <si>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</si>
  <si>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</si>
  <si>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</si>
  <si>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</si>
  <si>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</si>
  <si>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</si>
  <si>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</si>
  <si>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</si>
  <si>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</si>
  <si>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</si>
  <si>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</si>
  <si>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</si>
  <si>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</si>
  <si>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</si>
  <si>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</si>
  <si>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</si>
  <si>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</si>
  <si>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</si>
  <si>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</si>
  <si>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</si>
  <si>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</si>
  <si>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</si>
  <si>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</si>
  <si>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</si>
  <si>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</si>
  <si>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</si>
  <si>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</si>
  <si>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</si>
  <si>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</si>
  <si>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</si>
  <si>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</si>
  <si>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</si>
  <si>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</si>
  <si>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</si>
  <si>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</si>
  <si>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</si>
  <si>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</si>
  <si>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</si>
  <si>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</si>
  <si>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</si>
  <si>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</si>
  <si>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</si>
  <si>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</si>
  <si>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</si>
  <si>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</si>
  <si>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</si>
  <si>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</si>
  <si>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</si>
  <si>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</si>
  <si>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</si>
  <si>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</si>
  <si>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</si>
  <si>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</si>
  <si>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</si>
  <si>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</si>
  <si>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</si>
  <si>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</si>
  <si>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</si>
  <si>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</si>
  <si>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</si>
  <si>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</si>
  <si>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</si>
  <si>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</si>
  <si>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</si>
  <si>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</si>
  <si>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</si>
  <si>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</si>
  <si>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</si>
  <si>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</si>
  <si>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</si>
  <si>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</si>
  <si>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</si>
  <si>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</si>
  <si>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</si>
  <si>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Accrued payroll</t>
  </si>
  <si>
    <t xml:space="preserve">nobody employed before month 1</t>
  </si>
  <si>
    <t xml:space="preserve">Deferred revenue</t>
  </si>
  <si>
    <t xml:space="preserve">nothing billed in advance yet</t>
  </si>
  <si>
    <t xml:space="preserve">Tax payable</t>
  </si>
  <si>
    <t xml:space="preserve">no trading, so nothing owed</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</si>
  <si>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</si>
  <si>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</si>
  <si>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</si>
  <si>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</si>
  <si>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</si>
  <si>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</si>
  <si>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</si>
  <si>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</si>
  <si>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</si>
  <si>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</si>
  <si>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</si>
  <si>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</si>
  <si>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</si>
  <si>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</si>
  <si>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</si>
  <si>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</si>
  <si>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</si>
  <si>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</si>
  <si>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</si>
  <si>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</si>
  <si>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</si>
  <si>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</si>
  <si>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</si>
  <si>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</si>
  <si>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</si>
  <si>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GTM Capacity and Timing</t>
  </si>
  <si>
    <t xml:space="preserve">Revenue Streams</t>
  </si>
  <si>
    <t xml:space="preserve">Total Revenue</t>
  </si>
  <si>
    <t xml:space="preserve">Payroll</t>
  </si>
  <si>
    <t xml:space="preserve">Depreciation and Amortization</t>
  </si>
  <si>
    <t xml:space="preserve">Expenses</t>
  </si>
  <si>
    <t xml:space="preserve">Activity to leads to meetings to proposals to signed contracts to a contract book. Nothing downstream is typed: cut the activity here and the cohorts disappear.</t>
  </si>
  <si>
    <t xml:space="preserve">ONLINE CHANNELS, SPEND TO LEADS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</si>
  <si>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</si>
  <si>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</si>
  <si>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</si>
  <si>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</si>
  <si>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</si>
  <si>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</si>
  <si>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</si>
  <si>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 WHAT THE TEAM DOES</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</si>
  <si>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</si>
  <si>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</si>
  <si>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</si>
  <si>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</si>
  <si>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</si>
  <si>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</si>
  <si>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</si>
  <si>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INSTITUTIONAL FUNNEL, BY BUYER TYPE</t>
  </si>
  <si>
    <t xml:space="preserve">Registered accounts from online leads</t>
  </si>
  <si>
    <t xml:space="preserve">Registered accounts from offline sign ups</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</si>
  <si>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</si>
  <si>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</si>
  <si>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</si>
  <si>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</si>
  <si>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</si>
  <si>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    Contracts mobilised, ready to deliver</t>
  </si>
  <si>
    <t xml:space="preserve">Total contracts signed</t>
  </si>
  <si>
    <t xml:space="preserve">Total contracts mobilised</t>
  </si>
  <si>
    <t xml:space="preserve">THE CONTRACT BOOK, BY ENGINE</t>
  </si>
  <si>
    <t xml:space="preserve">Institutions, universities and schools, share of engines open in the month</t>
  </si>
  <si>
    <t xml:space="preserve">Sponsors, banks, telcos and corporates, share of engines open in the month</t>
  </si>
  <si>
    <t xml:space="preserve">NGOs, donors and development agencies, share of engines open in the month</t>
  </si>
  <si>
    <t xml:space="preserve">Government and national initiatives, share of engines open in the month</t>
  </si>
  <si>
    <t xml:space="preserve">CSR and corporate innovation budgets, share of engines open in the month</t>
  </si>
  <si>
    <t xml:space="preserve">Accelerators, incubators and programme operators, share of engines open in the month</t>
  </si>
  <si>
    <t xml:space="preserve">A contract is signed with a buyer, not with an engine. Until an engine opens, that buyer's contracts go to the engines that are open, which is why a university signing in year one buys a cohort rather than a licence.</t>
  </si>
  <si>
    <t xml:space="preserve">University cohorts, Egypt, contracts mobilising</t>
  </si>
  <si>
    <t xml:space="preserve">University cohorts, Egypt, contracts live</t>
  </si>
  <si>
    <t xml:space="preserve">University cohorts, Saudi Arabia, contracts mobilising</t>
  </si>
  <si>
    <t xml:space="preserve">University cohorts, Saudi Arabia, contracts live</t>
  </si>
  <si>
    <t xml:space="preserve">Faculty licences, contracts mobilising</t>
  </si>
  <si>
    <t xml:space="preserve">Faculty licences, contracts live</t>
  </si>
  <si>
    <t xml:space="preserve">School cohorts, contracts mobilising</t>
  </si>
  <si>
    <t xml:space="preserve">School cohorts, contracts live</t>
  </si>
  <si>
    <t xml:space="preserve">School licences, contracts mobilising</t>
  </si>
  <si>
    <t xml:space="preserve">School licences, contracts live</t>
  </si>
  <si>
    <t xml:space="preserve">Technical and vocational cohorts, contracts mobilising</t>
  </si>
  <si>
    <t xml:space="preserve">Technical and vocational cohorts, contracts live</t>
  </si>
  <si>
    <t xml:space="preserve">National initiative seats, contracts mobilising</t>
  </si>
  <si>
    <t xml:space="preserve">National initiative seats, contracts live</t>
  </si>
  <si>
    <t xml:space="preserve">Train the trainer cohorts, contracts mobilising</t>
  </si>
  <si>
    <t xml:space="preserve">Train the trainer cohorts, contracts live</t>
  </si>
  <si>
    <t xml:space="preserve">NGO and donor programmes, contracts mobilising</t>
  </si>
  <si>
    <t xml:space="preserve">NGO and donor programmes, contracts live</t>
  </si>
  <si>
    <t xml:space="preserve">Competitions, sponsored, contracts mobilising</t>
  </si>
  <si>
    <t xml:space="preserve">Competitions, sponsored, contracts live</t>
  </si>
  <si>
    <t xml:space="preserve">Mission Zero seasons carrying a sponsor, contracts mobilising</t>
  </si>
  <si>
    <t xml:space="preserve">Mission Zero seasons carrying a sponsor, contracts live</t>
  </si>
  <si>
    <t xml:space="preserve">Corporate and CSR programmes, contracts mobilising</t>
  </si>
  <si>
    <t xml:space="preserve">Corporate and CSR programmes, contracts live</t>
  </si>
  <si>
    <t xml:space="preserve">Programme and incubator seats, contracts mobilising</t>
  </si>
  <si>
    <t xml:space="preserve">Programme and incubator seats, contracts live</t>
  </si>
  <si>
    <t xml:space="preserve">LEARNER FUNNEL, REACH TO A PAYING ACCOUNT</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</si>
  <si>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</si>
  <si>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</si>
  <si>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</si>
  <si>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</si>
  <si>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</si>
  <si>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</si>
  <si>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</si>
  <si>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</si>
  <si>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</si>
  <si>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</si>
  <si>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acquisition cost</t>
  </si>
  <si>
    <t xml:space="preserve">Cost per institutional contract won</t>
  </si>
  <si>
    <t xml:space="preserve">Activity starts in month one in every channel. This sheet shows who runs it, sizes the delivery network it implies, and shows how long each kind of deal takes to become a delivery day.</t>
  </si>
  <si>
    <t xml:space="preserve">1. THE PEOPLE ON THE PAYROLL, AND THE NETWORK THE PLAN IMPLIES</t>
  </si>
  <si>
    <t xml:space="preserve">Leadership</t>
  </si>
  <si>
    <t xml:space="preserve">Product and Engineering</t>
  </si>
  <si>
    <t xml:space="preserve">Facilitator days the cohort plan needs</t>
  </si>
  <si>
    <t xml:space="preserve">    Certified facilitators the plan requires</t>
  </si>
  <si>
    <t xml:space="preserve">Certified facilitators in the pool</t>
  </si>
  <si>
    <t xml:space="preserve">    Facilitators certified in the month</t>
  </si>
  <si>
    <t xml:space="preserve">Cohorts delivered by certified partners</t>
  </si>
  <si>
    <t xml:space="preserve">Certified delivery partner organisations</t>
  </si>
  <si>
    <t xml:space="preserve">The delivery network is an output, not a wish. The plan sells cohorts, the cohorts need days, the days need certified freelancers, and certifying them is charged to the model. Year one is four employees, so the founder column in the capacity table below is doing most of the work.</t>
  </si>
  <si>
    <t xml:space="preserve">2. ACTIVITY THE PLAN NEEDS, AGAINST ACTIVITY THE TEAM CAN RUN</t>
  </si>
  <si>
    <t xml:space="preserve">Campus workshops, planned</t>
  </si>
  <si>
    <t xml:space="preserve">    Capacity, the people who can run it</t>
  </si>
  <si>
    <t xml:space="preserve">    Headroom</t>
  </si>
  <si>
    <t xml:space="preserve">Ambassador campus activity, planned</t>
  </si>
  <si>
    <t xml:space="preserve">Events, fairs and conferences, planned</t>
  </si>
  <si>
    <t xml:space="preserve">Partner sessions inside somebody else's cohort, planned</t>
  </si>
  <si>
    <t xml:space="preserve">Direct outreach by the commercial team, planned</t>
  </si>
  <si>
    <t xml:space="preserve">Activity the plan asks for beyond what the team can run</t>
  </si>
  <si>
    <t xml:space="preserve">Activity utilisation</t>
  </si>
  <si>
    <t xml:space="preserve">The row above must read nil in every month. If it does not, the plan is running activity nobody is free to do, and either the hiring plan or the activity plan is wrong.</t>
  </si>
  <si>
    <t xml:space="preserve">3. MEETINGS THE FUNNEL GENERATES, AGAINST MEETINGS THE TEAM CAN HOLD</t>
  </si>
  <si>
    <t xml:space="preserve">Meetings the funnel generates</t>
  </si>
  <si>
    <t xml:space="preserve">Meetings the team can hold</t>
  </si>
  <si>
    <t xml:space="preserve">Meetings asked for beyond capacity</t>
  </si>
  <si>
    <t xml:space="preserve">Meeting utilisation</t>
  </si>
  <si>
    <t xml:space="preserve">4. THE CONTRACT BOOK THE ACTIVITY PRODUCES</t>
  </si>
  <si>
    <t xml:space="preserve">Contracts signed</t>
  </si>
  <si>
    <t xml:space="preserve">Contracts mobilised and ready to deliver</t>
  </si>
  <si>
    <t xml:space="preserve">Contracts live across all engines</t>
  </si>
  <si>
    <t xml:space="preserve">Cost per contract won</t>
  </si>
  <si>
    <t xml:space="preserve">5. FROM THE FIRST DAY OF ACTIVITY TO THE FIRST DAY OF DELIVERY</t>
  </si>
  <si>
    <t xml:space="preserve">Every channel starts in month one, October 2026. What follows is arithmetic on the sales cycle and the mobilisation period, not judgement: this is the earliest a cold conversation opened on day one can become a delivered day, by buyer type.</t>
  </si>
  <si>
    <t xml:space="preserve">Activity starts</t>
  </si>
  <si>
    <t xml:space="preserve">Signature in month</t>
  </si>
  <si>
    <t xml:space="preserve">Mobilisation, months</t>
  </si>
  <si>
    <t xml:space="preserve">First delivery in month</t>
  </si>
  <si>
    <t xml:space="preserve">Which calendar month that is</t>
  </si>
  <si>
    <t xml:space="preserve">An engine can also be held back by something other than the funnel, and the engine table on the Assumption Setting sheet names it in its own column: safeguarding clearance for schools, a country manager in post for Saudi Arabia, two delivered cohorts before a faculty licence.</t>
  </si>
  <si>
    <t xml:space="preserve">6. THE DIRECT ENGINE, FROM MARKETING SPEND TO A PAYING ACCOUNT</t>
  </si>
  <si>
    <t xml:space="preserve">Marketing spend, online and offline</t>
  </si>
  <si>
    <t xml:space="preserve">New paying accounts</t>
  </si>
  <si>
    <t xml:space="preserve">Registered to paying, blended</t>
  </si>
  <si>
    <t xml:space="preserve">Cost per paying account</t>
  </si>
  <si>
    <t xml:space="preserve">Active paying accounts</t>
  </si>
  <si>
    <t xml:space="preserve">The direct engine needs no sales cycle and no mobilisation, which is why it carries revenue from month one while the institutional engines are still in their cycle. A learner who sat in a cohort converts several times better than a click, so the two routes to a paying account are converted separately.</t>
  </si>
  <si>
    <t xml:space="preserve">Volume is not typed anywhere. Every cohort, seat, licence and programme on this sheet is the active contract book on the Acquisitions sheet, spread across the contract life.</t>
  </si>
  <si>
    <t xml:space="preserve">DELIVERY VOLUME, PRODUCED BY THE CONTRACT BOOK</t>
  </si>
  <si>
    <t xml:space="preserve">Competitions, self funded, the one running now</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</si>
  <si>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</si>
  <si>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</si>
  <si>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</si>
  <si>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</si>
  <si>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</si>
  <si>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</si>
  <si>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THE DIRECT ENGINE,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</si>
  <si>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</si>
  <si>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</si>
  <si>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</si>
  <si>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</si>
  <si>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</si>
  <si>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</si>
  <si>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</si>
  <si>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</si>
  <si>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</si>
  <si>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</si>
  <si>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</si>
  <si>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</si>
  <si>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</si>
  <si>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</si>
  <si>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</si>
  <si>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</si>
  <si>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</si>
  <si>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</si>
  <si>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</si>
  <si>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</si>
  <si>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</si>
  <si>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</si>
  <si>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</si>
  <si>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</si>
  <si>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</si>
  <si>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</si>
  <si>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</si>
  <si>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Fifteen roles, each with a start month and a headcount and a salary per year. Year one salaries are founder stipends, which is the only way six people and a year one under 150,000 dollars are both true. Salaries are capped: the chief executive reaches 2,000 dollars a month in year five.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</si>
  <si>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</si>
  <si>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</si>
  <si>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</si>
  <si>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</si>
  <si>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</si>
  <si>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</si>
  <si>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</si>
  <si>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Chief Technology Officer</t>
  </si>
  <si>
    <t xml:space="preserve">Chief Commercial Officer</t>
  </si>
  <si>
    <t xml:space="preserve">Business development manager</t>
  </si>
  <si>
    <t xml:space="preserve">Sponsorship and partnerships manager</t>
  </si>
  <si>
    <t xml:space="preserve">Government and donor programmes manager</t>
  </si>
  <si>
    <t xml:space="preserve">Country manager, KSA (Riyadh)</t>
  </si>
  <si>
    <t xml:space="preserve">Account manager, renewals</t>
  </si>
  <si>
    <t xml:space="preserve">Marketing manager</t>
  </si>
  <si>
    <t xml:space="preserve">Content and community associate</t>
  </si>
  <si>
    <t xml:space="preserve">Full stack engineer</t>
  </si>
  <si>
    <t xml:space="preserve">AI and data engineer</t>
  </si>
  <si>
    <t xml:space="preserve">Head of curriculum and certification</t>
  </si>
  <si>
    <t xml:space="preserve">Partner network manager</t>
  </si>
  <si>
    <t xml:space="preserve">Programme delivery coordinator</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</si>
  <si>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</si>
  <si>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</si>
  <si>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</si>
  <si>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</si>
  <si>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</si>
  <si>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</si>
  <si>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</si>
  <si>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</si>
  <si>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</si>
  <si>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</si>
  <si>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</si>
  <si>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</si>
  <si>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HEADCOUNT BY FUNCTION, WHO IS AVAILABLE TO RUN ACTIVITY</t>
  </si>
  <si>
    <t xml:space="preserve">Check, functions against total establishment</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</si>
  <si>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</si>
  <si>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</si>
  <si>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</si>
  <si>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</si>
  <si>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</si>
  <si>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</si>
  <si>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</si>
  <si>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</si>
  <si>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</si>
  <si>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</si>
  <si>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</si>
  <si>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</si>
  <si>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</si>
  <si>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</si>
  <si>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</si>
  <si>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</si>
  <si>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</si>
  <si>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</si>
  <si>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</si>
  <si>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</si>
  <si>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</si>
  <si>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</si>
  <si>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</si>
  <si>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</si>
  <si>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Certifying facilitators into the delivery pool</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</si>
  <si>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</si>
  <si>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</si>
  <si>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</si>
  <si>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</si>
  <si>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</si>
  <si>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</si>
  <si>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</si>
  <si>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</si>
  <si>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</si>
  <si>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</si>
  <si>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</si>
  <si>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</si>
  <si>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</si>
  <si>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</si>
  <si>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</si>
  <si>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</si>
  <si>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</si>
  <si>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</si>
  <si>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Partner enablement, certification and audit</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</si>
  <si>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</si>
  <si>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</si>
  <si>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</si>
  <si>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</si>
  <si>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</si>
  <si>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</si>
  <si>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</si>
  <si>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</si>
  <si>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Year one total expense, produced by this sheet</t>
  </si>
  <si>
    <t xml:space="preserve">an output of the activity plan, the hiring plan and the cost drivers, not a number anybody typed</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</si>
  <si>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</si>
  <si>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</si>
  <si>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</si>
  <si>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</si>
  <si>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</si>
  <si>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</si>
  <si>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every engine</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</si>
  <si>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</si>
  <si>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</si>
  <si>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</si>
  <si>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</si>
  <si>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</si>
  <si>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</si>
  <si>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</si>
  <si>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</si>
  <si>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</si>
  <si>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</si>
  <si>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</si>
  <si>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</si>
  <si>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</si>
  <si>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</si>
  <si>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</si>
  <si>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</si>
  <si>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</si>
  <si>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</si>
  <si>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</si>
  <si>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</si>
  <si>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</si>
  <si>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</si>
  <si>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</si>
  <si>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</si>
  <si>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</si>
  <si>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</si>
  <si>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</si>
  <si>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</si>
  <si>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</si>
  <si>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</si>
  <si>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</si>
  <si>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</si>
  <si>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</si>
  <si>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</si>
  <si>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</si>
  <si>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</si>
  <si>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</si>
  <si>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</si>
  <si>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</si>
  <si>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</si>
  <si>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billed, not yet earned</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</si>
  <si>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</si>
  <si>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</si>
  <si>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</si>
  <si>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</si>
  <si>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</si>
  <si>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</si>
  <si>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</si>
  <si>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</si>
  <si>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</si>
  <si>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</si>
  <si>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</si>
  <si>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</si>
  <si>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</si>
  <si>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</si>
  <si>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</si>
  <si>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</si>
  <si>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</si>
  <si>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</si>
  <si>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</si>
  <si>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</si>
  <si>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</si>
  <si>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</si>
  <si>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</si>
  <si>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</si>
  <si>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</si>
  <si>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</si>
  <si>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</si>
  <si>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</si>
  <si>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</si>
  <si>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</si>
  <si>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</si>
  <si>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</si>
  <si>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</si>
  <si>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</si>
  <si>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</si>
  <si>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</si>
  <si>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</si>
  <si>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</si>
  <si>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</si>
  <si>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</si>
  <si>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</si>
  <si>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</si>
  <si>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</si>
  <si>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</si>
  <si>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</si>
  <si>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</si>
  <si>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</si>
  <si>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</si>
  <si>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</si>
  <si>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</si>
  <si>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</si>
  <si>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</si>
  <si>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</si>
  <si>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</si>
  <si>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</si>
  <si>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</si>
  <si>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years retained, over CAC</t>
  </si>
  <si>
    <t xml:space="preserve">Contracts live at year end</t>
  </si>
  <si>
    <t xml:space="preserve">the book the activity has built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</si>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</sst>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3">
    <numFmt numFmtId="164" formatCode="General"/>
    <numFmt numFmtId="165" formatCode="@"/>
    <numFmt numFmtId="166" formatCode="\$#,##0;&quot;($&quot;#,##0\);\-"/>
    <numFmt numFmtId="167" formatCode="#,##0;\(#,##0\);\-"/>
    <numFmt numFmtId="168" formatCode="\$#,##0"/>
    <numFmt numFmtId="169" formatCode="mmm\-yy"/>
    <numFmt numFmtId="170" formatCode="#,##0.00;\(#,##0.00\);\-"/>
    <numFmt numFmtId="171" formatCode="0.0%"/>
    <numFmt numFmtId="172" formatCode="\$#,##0.00;&quot;($&quot;#,##0.00\);\-"/>
    <numFmt numFmtId="173" formatCode="0.00%"/>
    <numFmt numFmtId="174" formatCode="#,##0.0;\(#,##0.0\);\-"/>
    <numFmt numFmtId="175" formatCode="0.0\x"/>
    <numFmt numFmtId="176" formatCode="0&quot; days&quot;"/>
  </numFmts>
  <fonts count="49">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4"/>
      <color rgb="FFFFFFFF"/>
      <name val="Arial"/>
      <family val="0"/>
      <charset val="1"/>
    </font>
    <font>
      <sz val="8.5"/>
      <color rgb="FF0B0E14"/>
      <name val="Arial"/>
      <family val="0"/>
      <charset val="1"/>
    </font>
    <font>
      <sz val="7.3"/>
      <color rgb="FF6B7285"/>
      <name val="Arial"/>
      <family val="0"/>
      <charset val="1"/>
    </font>
    <font>
      <sz val="8"/>
      <color rgb="FF0B0E14"/>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b val="true"/>
      <sz val="8.2"/>
      <color rgb="FFB0002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
      <b val="true"/>
      <sz val="8.5"/>
      <color rgb="FF0000FF"/>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4"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6"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7" fillId="4" borderId="0" xfId="0" applyFont="true" applyBorder="false" applyAlignment="true" applyProtection="false">
      <alignment horizontal="center" vertical="bottom" textRotation="0" wrapText="false" indent="0" shrinkToFit="false"/>
      <protection locked="true" hidden="false"/>
    </xf>
    <xf numFmtId="165" fontId="37" fillId="3" borderId="0" xfId="0" applyFont="true" applyBorder="false" applyAlignment="true" applyProtection="false">
      <alignment horizontal="center" vertical="bottom" textRotation="0" wrapText="false" indent="0" shrinkToFit="false"/>
      <protection locked="true" hidden="false"/>
    </xf>
    <xf numFmtId="166" fontId="38" fillId="7"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8" fillId="6" borderId="0" xfId="0" applyFont="true" applyBorder="false" applyAlignment="false" applyProtection="false">
      <alignment horizontal="general" vertical="bottom" textRotation="0" wrapText="false" indent="0" shrinkToFit="false"/>
      <protection locked="true" hidden="false"/>
    </xf>
    <xf numFmtId="166" fontId="40"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40" fillId="7"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6" fontId="41" fillId="5"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67" fontId="41" fillId="5"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7" fontId="38" fillId="7"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4" fontId="38" fillId="7"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7" fontId="40" fillId="0" borderId="0" xfId="0" applyFont="true" applyBorder="false" applyAlignment="false" applyProtection="false">
      <alignment horizontal="general" vertical="bottom" textRotation="0" wrapText="false" indent="0" shrinkToFit="false"/>
      <protection locked="true" hidden="false"/>
    </xf>
    <xf numFmtId="174" fontId="40" fillId="0" borderId="0" xfId="0" applyFont="true" applyBorder="false" applyAlignment="false" applyProtection="false">
      <alignment horizontal="general" vertical="bottom" textRotation="0" wrapText="false" indent="0" shrinkToFit="false"/>
      <protection locked="true" hidden="false"/>
    </xf>
    <xf numFmtId="172" fontId="38" fillId="7"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74" fontId="40" fillId="7" borderId="0" xfId="0" applyFont="true" applyBorder="false" applyAlignment="false" applyProtection="false">
      <alignment horizontal="general" vertical="bottom" textRotation="0" wrapText="false" indent="0" shrinkToFit="false"/>
      <protection locked="true" hidden="false"/>
    </xf>
    <xf numFmtId="174" fontId="38" fillId="6" borderId="0" xfId="0" applyFont="true" applyBorder="false" applyAlignment="false" applyProtection="false">
      <alignment horizontal="general" vertical="bottom" textRotation="0" wrapText="false" indent="0" shrinkToFit="false"/>
      <protection locked="true" hidden="false"/>
    </xf>
    <xf numFmtId="174" fontId="40" fillId="6" borderId="0" xfId="0" applyFont="true" applyBorder="false" applyAlignment="false" applyProtection="false">
      <alignment horizontal="general" vertical="bottom" textRotation="0" wrapText="false" indent="0" shrinkToFit="false"/>
      <protection locked="true" hidden="false"/>
    </xf>
    <xf numFmtId="171" fontId="38" fillId="7" borderId="0" xfId="0" applyFont="true" applyBorder="false" applyAlignment="false" applyProtection="false">
      <alignment horizontal="general" vertical="bottom" textRotation="0" wrapText="false" indent="0" shrinkToFit="false"/>
      <protection locked="true" hidden="false"/>
    </xf>
    <xf numFmtId="171" fontId="39" fillId="0" borderId="0" xfId="0" applyFont="true" applyBorder="false" applyAlignment="false" applyProtection="false">
      <alignment horizontal="general" vertical="bottom" textRotation="0" wrapText="false" indent="0" shrinkToFit="false"/>
      <protection locked="true" hidden="false"/>
    </xf>
    <xf numFmtId="170" fontId="38" fillId="7" borderId="0" xfId="0" applyFont="true" applyBorder="false" applyAlignment="false" applyProtection="false">
      <alignment horizontal="general"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40" fillId="7" borderId="0" xfId="0" applyFont="true" applyBorder="false" applyAlignment="false" applyProtection="false">
      <alignment horizontal="general" vertical="bottom" textRotation="0" wrapText="false" indent="0" shrinkToFit="false"/>
      <protection locked="true" hidden="false"/>
    </xf>
    <xf numFmtId="167" fontId="40" fillId="7" borderId="0" xfId="0" applyFont="true" applyBorder="false" applyAlignment="false" applyProtection="false">
      <alignment horizontal="general" vertical="bottom" textRotation="0" wrapText="false" indent="0" shrinkToFit="false"/>
      <protection locked="true" hidden="false"/>
    </xf>
    <xf numFmtId="167" fontId="42" fillId="0" borderId="0" xfId="0" applyFont="true" applyBorder="false" applyAlignment="false" applyProtection="false">
      <alignment horizontal="general" vertical="bottom" textRotation="0" wrapText="false" indent="0" shrinkToFit="false"/>
      <protection locked="true" hidden="false"/>
    </xf>
    <xf numFmtId="174" fontId="42" fillId="0" borderId="0" xfId="0" applyFont="true" applyBorder="false" applyAlignment="false" applyProtection="false">
      <alignment horizontal="general" vertical="bottom" textRotation="0" wrapText="false" indent="0" shrinkToFit="false"/>
      <protection locked="true" hidden="false"/>
    </xf>
    <xf numFmtId="174" fontId="43" fillId="7" borderId="0" xfId="0" applyFont="true" applyBorder="false" applyAlignment="false" applyProtection="false">
      <alignment horizontal="general" vertical="bottom" textRotation="0" wrapText="false" indent="0" shrinkToFit="false"/>
      <protection locked="true" hidden="false"/>
    </xf>
    <xf numFmtId="171" fontId="38" fillId="6" borderId="0" xfId="0" applyFont="true" applyBorder="false" applyAlignment="false" applyProtection="false">
      <alignment horizontal="general" vertical="bottom" textRotation="0" wrapText="false" indent="0" shrinkToFit="false"/>
      <protection locked="true" hidden="false"/>
    </xf>
    <xf numFmtId="171" fontId="40" fillId="6" borderId="0" xfId="0" applyFont="true" applyBorder="false" applyAlignment="false" applyProtection="false">
      <alignment horizontal="general" vertical="bottom" textRotation="0" wrapText="false" indent="0" shrinkToFit="false"/>
      <protection locked="true" hidden="false"/>
    </xf>
    <xf numFmtId="174" fontId="43" fillId="0" borderId="0" xfId="0" applyFont="true" applyBorder="false" applyAlignment="false" applyProtection="false">
      <alignment horizontal="general" vertical="bottom" textRotation="0" wrapText="false" indent="0" shrinkToFit="false"/>
      <protection locked="true" hidden="false"/>
    </xf>
    <xf numFmtId="167" fontId="34" fillId="0" borderId="0" xfId="0" applyFont="true" applyBorder="false" applyAlignment="false" applyProtection="false">
      <alignment horizontal="general" vertical="bottom"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73" fontId="38" fillId="7" borderId="0" xfId="0" applyFont="true" applyBorder="false" applyAlignment="false" applyProtection="false">
      <alignment horizontal="general" vertical="bottom" textRotation="0" wrapText="false" indent="0" shrinkToFit="false"/>
      <protection locked="true" hidden="false"/>
    </xf>
    <xf numFmtId="173" fontId="40" fillId="0" borderId="0" xfId="0" applyFont="true" applyBorder="false" applyAlignment="false" applyProtection="false">
      <alignment horizontal="general" vertical="bottom" textRotation="0" wrapText="false" indent="0" shrinkToFit="false"/>
      <protection locked="true" hidden="false"/>
    </xf>
    <xf numFmtId="172" fontId="42" fillId="0" borderId="0" xfId="0" applyFont="true" applyBorder="false" applyAlignment="false" applyProtection="false">
      <alignment horizontal="general" vertical="bottom" textRotation="0" wrapText="false" indent="0" shrinkToFit="false"/>
      <protection locked="true" hidden="false"/>
    </xf>
    <xf numFmtId="167" fontId="38" fillId="6" borderId="0" xfId="0" applyFont="true" applyBorder="false" applyAlignment="false" applyProtection="false">
      <alignment horizontal="general" vertical="bottom" textRotation="0" wrapText="false" indent="0" shrinkToFit="false"/>
      <protection locked="true" hidden="false"/>
    </xf>
    <xf numFmtId="167" fontId="40" fillId="6"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true" applyProtection="false">
      <alignment horizontal="center" vertical="bottom" textRotation="0" wrapText="tru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6" fontId="44" fillId="5"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7" fontId="46"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43"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1"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5" borderId="0" xfId="0" applyFont="true" applyBorder="false" applyAlignment="true" applyProtection="false">
      <alignment horizontal="center" vertical="bottom" textRotation="0" wrapText="false" indent="0" shrinkToFit="false"/>
      <protection locked="true" hidden="false"/>
    </xf>
    <xf numFmtId="171" fontId="48" fillId="5"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1" fontId="15" fillId="6" borderId="0" xfId="0" applyFont="true" applyBorder="false" applyAlignment="false" applyProtection="false">
      <alignment horizontal="general" vertical="bottom" textRotation="0" wrapText="false" indent="0" shrinkToFit="false"/>
      <protection locked="true" hidden="false"/>
    </xf>
    <xf numFmtId="175"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2497.00588621092</c:v>
                </c:pt>
                <c:pt idx="1">
                  <c:v>3984.69273075518</c:v>
                </c:pt>
                <c:pt idx="2">
                  <c:v>5217.39253865067</c:v>
                </c:pt>
                <c:pt idx="3">
                  <c:v>6013.12070619234</c:v>
                </c:pt>
                <c:pt idx="4">
                  <c:v>7057.20542965697</c:v>
                </c:pt>
                <c:pt idx="5">
                  <c:v>8103.47061446385</c:v>
                </c:pt>
                <c:pt idx="6">
                  <c:v>9151.91626061299</c:v>
                </c:pt>
                <c:pt idx="7">
                  <c:v>10202.5423681044</c:v>
                </c:pt>
                <c:pt idx="8">
                  <c:v>11255.348936938</c:v>
                </c:pt>
                <c:pt idx="9">
                  <c:v>12310.3359671139</c:v>
                </c:pt>
                <c:pt idx="10">
                  <c:v>13367.503458632</c:v>
                </c:pt>
                <c:pt idx="11">
                  <c:v>14426.8514114924</c:v>
                </c:pt>
                <c:pt idx="12">
                  <c:v>598105.707372232</c:v>
                </c:pt>
                <c:pt idx="13">
                  <c:v>40775.0576625783</c:v>
                </c:pt>
                <c:pt idx="14">
                  <c:v>40042.4855703926</c:v>
                </c:pt>
                <c:pt idx="15">
                  <c:v>40593.5600989099</c:v>
                </c:pt>
                <c:pt idx="16">
                  <c:v>43392.7593278563</c:v>
                </c:pt>
                <c:pt idx="17">
                  <c:v>45801.0905542701</c:v>
                </c:pt>
                <c:pt idx="18">
                  <c:v>48211.7633788388</c:v>
                </c:pt>
                <c:pt idx="19">
                  <c:v>50624.7778015626</c:v>
                </c:pt>
                <c:pt idx="20">
                  <c:v>52995.6357444177</c:v>
                </c:pt>
                <c:pt idx="21">
                  <c:v>55361.8975718362</c:v>
                </c:pt>
                <c:pt idx="22">
                  <c:v>57730.5009974096</c:v>
                </c:pt>
                <c:pt idx="23">
                  <c:v>60101.446021138</c:v>
                </c:pt>
                <c:pt idx="24">
                  <c:v>62474.7326430215</c:v>
                </c:pt>
                <c:pt idx="25">
                  <c:v>1085654.37612042</c:v>
                </c:pt>
                <c:pt idx="26">
                  <c:v>70866.5873240472</c:v>
                </c:pt>
                <c:pt idx="27">
                  <c:v>73521.8234686828</c:v>
                </c:pt>
                <c:pt idx="28">
                  <c:v>76561.3051316873</c:v>
                </c:pt>
                <c:pt idx="29">
                  <c:v>80273.3479355842</c:v>
                </c:pt>
                <c:pt idx="30">
                  <c:v>84282.5128848039</c:v>
                </c:pt>
                <c:pt idx="31">
                  <c:v>88210.384046536</c:v>
                </c:pt>
                <c:pt idx="32">
                  <c:v>92141.6626485089</c:v>
                </c:pt>
                <c:pt idx="33">
                  <c:v>96076.3486907228</c:v>
                </c:pt>
                <c:pt idx="34">
                  <c:v>100014.442173178</c:v>
                </c:pt>
                <c:pt idx="35">
                  <c:v>103955.943095873</c:v>
                </c:pt>
                <c:pt idx="36">
                  <c:v>107900.85145881</c:v>
                </c:pt>
                <c:pt idx="37">
                  <c:v>111849.167261987</c:v>
                </c:pt>
                <c:pt idx="38">
                  <c:v>1759671.91303074</c:v>
                </c:pt>
                <c:pt idx="39">
                  <c:v>124831.599532122</c:v>
                </c:pt>
                <c:pt idx="40">
                  <c:v>129056.921065818</c:v>
                </c:pt>
                <c:pt idx="41">
                  <c:v>133150.551296306</c:v>
                </c:pt>
                <c:pt idx="42">
                  <c:v>137074.078758765</c:v>
                </c:pt>
                <c:pt idx="43">
                  <c:v>140934.196511102</c:v>
                </c:pt>
                <c:pt idx="44">
                  <c:v>144794.336801814</c:v>
                </c:pt>
                <c:pt idx="45">
                  <c:v>148654.499630901</c:v>
                </c:pt>
                <c:pt idx="46">
                  <c:v>152514.684998362</c:v>
                </c:pt>
                <c:pt idx="47">
                  <c:v>156374.892904197</c:v>
                </c:pt>
                <c:pt idx="48">
                  <c:v>160235.123348408</c:v>
                </c:pt>
                <c:pt idx="49">
                  <c:v>164095.376330992</c:v>
                </c:pt>
                <c:pt idx="50">
                  <c:v>167955.651851951</c:v>
                </c:pt>
                <c:pt idx="51">
                  <c:v>2483099.09071608</c:v>
                </c:pt>
                <c:pt idx="52">
                  <c:v>183132.371567129</c:v>
                </c:pt>
                <c:pt idx="53">
                  <c:v>187278.822474672</c:v>
                </c:pt>
                <c:pt idx="54">
                  <c:v>191530.787030595</c:v>
                </c:pt>
                <c:pt idx="55">
                  <c:v>195887.968364799</c:v>
                </c:pt>
                <c:pt idx="56">
                  <c:v>200278.191582481</c:v>
                </c:pt>
                <c:pt idx="57">
                  <c:v>204669.811925448</c:v>
                </c:pt>
                <c:pt idx="58">
                  <c:v>209062.8293937</c:v>
                </c:pt>
                <c:pt idx="59">
                  <c:v>213457.243987237</c:v>
                </c:pt>
                <c:pt idx="60">
                  <c:v>217853.055706059</c:v>
                </c:pt>
                <c:pt idx="61">
                  <c:v>222250.264550166</c:v>
                </c:pt>
                <c:pt idx="62">
                  <c:v>226648.870519559</c:v>
                </c:pt>
                <c:pt idx="63">
                  <c:v>231048.873614236</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Expenses!$C$51:$BN$51</c:f>
              <c:numCache>
                <c:formatCode>\$#,##0;"($"#,##0\);\-</c:formatCode>
                <c:ptCount val="64"/>
                <c:pt idx="0">
                  <c:v>12438.8389251664</c:v>
                </c:pt>
                <c:pt idx="1">
                  <c:v>10369.5484548834</c:v>
                </c:pt>
                <c:pt idx="2">
                  <c:v>10774.1027967529</c:v>
                </c:pt>
                <c:pt idx="3">
                  <c:v>10966.8918316786</c:v>
                </c:pt>
                <c:pt idx="4">
                  <c:v>11521.1735104245</c:v>
                </c:pt>
                <c:pt idx="5">
                  <c:v>11835.7900354107</c:v>
                </c:pt>
                <c:pt idx="6">
                  <c:v>12390.7258948314</c:v>
                </c:pt>
                <c:pt idx="7">
                  <c:v>12705.9665075894</c:v>
                </c:pt>
                <c:pt idx="8">
                  <c:v>13261.4981674533</c:v>
                </c:pt>
                <c:pt idx="9">
                  <c:v>13577.3079905656</c:v>
                </c:pt>
                <c:pt idx="10">
                  <c:v>14133.3838661002</c:v>
                </c:pt>
                <c:pt idx="11">
                  <c:v>14449.7144098806</c:v>
                </c:pt>
                <c:pt idx="12">
                  <c:v>471814.265801075</c:v>
                </c:pt>
                <c:pt idx="13">
                  <c:v>37237.1882669224</c:v>
                </c:pt>
                <c:pt idx="14">
                  <c:v>35505.7084858595</c:v>
                </c:pt>
                <c:pt idx="15">
                  <c:v>35579.2953865689</c:v>
                </c:pt>
                <c:pt idx="16">
                  <c:v>36750.9934241167</c:v>
                </c:pt>
                <c:pt idx="17">
                  <c:v>37660.7897195647</c:v>
                </c:pt>
                <c:pt idx="18">
                  <c:v>38570.7230571149</c:v>
                </c:pt>
                <c:pt idx="19">
                  <c:v>39480.7901315974</c:v>
                </c:pt>
                <c:pt idx="20">
                  <c:v>40389.1367161065</c:v>
                </c:pt>
                <c:pt idx="21">
                  <c:v>41297.3224013544</c:v>
                </c:pt>
                <c:pt idx="22">
                  <c:v>42205.6330510051</c:v>
                </c:pt>
                <c:pt idx="23">
                  <c:v>43114.0660845507</c:v>
                </c:pt>
                <c:pt idx="24">
                  <c:v>44022.6190763136</c:v>
                </c:pt>
                <c:pt idx="25">
                  <c:v>871339.033943695</c:v>
                </c:pt>
                <c:pt idx="26">
                  <c:v>64350.7170955743</c:v>
                </c:pt>
                <c:pt idx="27">
                  <c:v>65676.2290162862</c:v>
                </c:pt>
                <c:pt idx="28">
                  <c:v>66884.3123304393</c:v>
                </c:pt>
                <c:pt idx="29">
                  <c:v>68515.7363923023</c:v>
                </c:pt>
                <c:pt idx="30">
                  <c:v>70021.0894200876</c:v>
                </c:pt>
                <c:pt idx="31">
                  <c:v>71763.3253674279</c:v>
                </c:pt>
                <c:pt idx="32">
                  <c:v>73265.9505715834</c:v>
                </c:pt>
                <c:pt idx="33">
                  <c:v>75008.9488327697</c:v>
                </c:pt>
                <c:pt idx="34">
                  <c:v>76512.3049231895</c:v>
                </c:pt>
                <c:pt idx="35">
                  <c:v>78256.0045287133</c:v>
                </c:pt>
                <c:pt idx="36">
                  <c:v>79670.0341940593</c:v>
                </c:pt>
                <c:pt idx="37">
                  <c:v>81414.3812712627</c:v>
                </c:pt>
                <c:pt idx="38">
                  <c:v>1342250.850233</c:v>
                </c:pt>
                <c:pt idx="39">
                  <c:v>102456.915078629</c:v>
                </c:pt>
                <c:pt idx="40">
                  <c:v>104582.980476673</c:v>
                </c:pt>
                <c:pt idx="41">
                  <c:v>106193.797277615</c:v>
                </c:pt>
                <c:pt idx="42">
                  <c:v>107845.650592573</c:v>
                </c:pt>
                <c:pt idx="43">
                  <c:v>109594.950146727</c:v>
                </c:pt>
                <c:pt idx="44">
                  <c:v>111104.139295661</c:v>
                </c:pt>
                <c:pt idx="45">
                  <c:v>112733.224711018</c:v>
                </c:pt>
                <c:pt idx="46">
                  <c:v>114362.212664144</c:v>
                </c:pt>
                <c:pt idx="47">
                  <c:v>115871.109050102</c:v>
                </c:pt>
                <c:pt idx="48">
                  <c:v>117499.919410255</c:v>
                </c:pt>
                <c:pt idx="49">
                  <c:v>119248.648953479</c:v>
                </c:pt>
                <c:pt idx="50">
                  <c:v>120757.302576123</c:v>
                </c:pt>
                <c:pt idx="51">
                  <c:v>1840464.30284046</c:v>
                </c:pt>
                <c:pt idx="52">
                  <c:v>143047.648700054</c:v>
                </c:pt>
                <c:pt idx="53">
                  <c:v>144958.617492022</c:v>
                </c:pt>
                <c:pt idx="54">
                  <c:v>146759.747971631</c:v>
                </c:pt>
                <c:pt idx="55">
                  <c:v>148774.481286541</c:v>
                </c:pt>
                <c:pt idx="56">
                  <c:v>150560.122860909</c:v>
                </c:pt>
                <c:pt idx="57">
                  <c:v>152555.60632842</c:v>
                </c:pt>
                <c:pt idx="58">
                  <c:v>154220.944109449</c:v>
                </c:pt>
                <c:pt idx="59">
                  <c:v>156246.147879148</c:v>
                </c:pt>
                <c:pt idx="60">
                  <c:v>158031.228612159</c:v>
                </c:pt>
                <c:pt idx="61">
                  <c:v>159936.196624648</c:v>
                </c:pt>
                <c:pt idx="62">
                  <c:v>161961.061613809</c:v>
                </c:pt>
                <c:pt idx="63">
                  <c:v>163412.49936167</c:v>
                </c:pt>
              </c:numCache>
            </c:numRef>
          </c:val>
          <c:smooth val="1"/>
        </c:ser>
        <c:hiLowLines>
          <c:spPr>
            <a:ln w="0">
              <a:noFill/>
            </a:ln>
          </c:spPr>
        </c:hiLowLines>
        <c:marker val="0"/>
        <c:axId val="31113368"/>
        <c:axId val="38345425"/>
      </c:lineChart>
      <c:catAx>
        <c:axId val="311133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345425"/>
        <c:crosses val="autoZero"/>
        <c:auto val="1"/>
        <c:lblAlgn val="ctr"/>
        <c:lblOffset val="100"/>
        <c:noMultiLvlLbl val="0"/>
      </c:catAx>
      <c:valAx>
        <c:axId val="3834542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1133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34951.1628407558</c:v>
                </c:pt>
                <c:pt idx="1">
                  <c:v>20589.0485154371</c:v>
                </c:pt>
                <c:pt idx="2">
                  <c:v>13012.157179988</c:v>
                </c:pt>
                <c:pt idx="3">
                  <c:v>156832.813457769</c:v>
                </c:pt>
                <c:pt idx="4">
                  <c:v>151029.238282635</c:v>
                </c:pt>
                <c:pt idx="5">
                  <c:v>145693.64225731</c:v>
                </c:pt>
                <c:pt idx="6">
                  <c:v>141145.687950252</c:v>
                </c:pt>
                <c:pt idx="7">
                  <c:v>137065.053596843</c:v>
                </c:pt>
                <c:pt idx="8">
                  <c:v>133771.432159375</c:v>
                </c:pt>
                <c:pt idx="9">
                  <c:v>130944.530443432</c:v>
                </c:pt>
                <c:pt idx="10">
                  <c:v>128904.068267295</c:v>
                </c:pt>
                <c:pt idx="11">
                  <c:v>127329.777681178</c:v>
                </c:pt>
                <c:pt idx="12">
                  <c:v>185024.401768413</c:v>
                </c:pt>
                <c:pt idx="13">
                  <c:v>91386.1493503378</c:v>
                </c:pt>
                <c:pt idx="14">
                  <c:v>96637.01401601</c:v>
                </c:pt>
                <c:pt idx="15">
                  <c:v>101673.648080228</c:v>
                </c:pt>
                <c:pt idx="16">
                  <c:v>104565.806311642</c:v>
                </c:pt>
                <c:pt idx="17">
                  <c:v>109505.19282319</c:v>
                </c:pt>
                <c:pt idx="18">
                  <c:v>115912.660886127</c:v>
                </c:pt>
                <c:pt idx="19">
                  <c:v>123788.072907488</c:v>
                </c:pt>
                <c:pt idx="20">
                  <c:v>133186.608710053</c:v>
                </c:pt>
                <c:pt idx="21">
                  <c:v>144018.800182018</c:v>
                </c:pt>
                <c:pt idx="22">
                  <c:v>156269.246011005</c:v>
                </c:pt>
                <c:pt idx="23">
                  <c:v>169937.820802529</c:v>
                </c:pt>
                <c:pt idx="24">
                  <c:v>185024.401768413</c:v>
                </c:pt>
                <c:pt idx="25">
                  <c:v>310256.966602296</c:v>
                </c:pt>
                <c:pt idx="26">
                  <c:v>178110.127642454</c:v>
                </c:pt>
                <c:pt idx="27">
                  <c:v>182604.073256656</c:v>
                </c:pt>
                <c:pt idx="28">
                  <c:v>188223.548973985</c:v>
                </c:pt>
                <c:pt idx="29">
                  <c:v>176570.764299453</c:v>
                </c:pt>
                <c:pt idx="30">
                  <c:v>184950.012485808</c:v>
                </c:pt>
                <c:pt idx="31">
                  <c:v>195987.467278748</c:v>
                </c:pt>
                <c:pt idx="32">
                  <c:v>209176.252385872</c:v>
                </c:pt>
                <c:pt idx="33">
                  <c:v>224835.975850401</c:v>
                </c:pt>
                <c:pt idx="34">
                  <c:v>242646.262077338</c:v>
                </c:pt>
                <c:pt idx="35">
                  <c:v>262926.750851761</c:v>
                </c:pt>
                <c:pt idx="36">
                  <c:v>285357.096416019</c:v>
                </c:pt>
                <c:pt idx="37">
                  <c:v>310256.966602296</c:v>
                </c:pt>
                <c:pt idx="38">
                  <c:v>609759.273298992</c:v>
                </c:pt>
                <c:pt idx="39">
                  <c:v>319721.012225354</c:v>
                </c:pt>
                <c:pt idx="40">
                  <c:v>338865.630854622</c:v>
                </c:pt>
                <c:pt idx="41">
                  <c:v>360417.796336234</c:v>
                </c:pt>
                <c:pt idx="42">
                  <c:v>336422.311277552</c:v>
                </c:pt>
                <c:pt idx="43">
                  <c:v>362977.428820219</c:v>
                </c:pt>
                <c:pt idx="44">
                  <c:v>391565.768735425</c:v>
                </c:pt>
                <c:pt idx="45">
                  <c:v>422487.442540331</c:v>
                </c:pt>
                <c:pt idx="46">
                  <c:v>455622.555013736</c:v>
                </c:pt>
                <c:pt idx="47">
                  <c:v>490791.204600385</c:v>
                </c:pt>
                <c:pt idx="48">
                  <c:v>528293.483791003</c:v>
                </c:pt>
                <c:pt idx="49">
                  <c:v>568009.479479544</c:v>
                </c:pt>
                <c:pt idx="50">
                  <c:v>609759.273298992</c:v>
                </c:pt>
                <c:pt idx="51">
                  <c:v>1079788.04891833</c:v>
                </c:pt>
                <c:pt idx="52">
                  <c:v>634116.340840597</c:v>
                </c:pt>
                <c:pt idx="53">
                  <c:v>671286.829769677</c:v>
                </c:pt>
                <c:pt idx="54">
                  <c:v>710784.843244034</c:v>
                </c:pt>
                <c:pt idx="55">
                  <c:v>658629.913936635</c:v>
                </c:pt>
                <c:pt idx="56">
                  <c:v>702625.139821302</c:v>
                </c:pt>
                <c:pt idx="57">
                  <c:v>749229.229820632</c:v>
                </c:pt>
                <c:pt idx="58">
                  <c:v>798122.344111544</c:v>
                </c:pt>
                <c:pt idx="59">
                  <c:v>849624.630326379</c:v>
                </c:pt>
                <c:pt idx="60">
                  <c:v>903416.224305575</c:v>
                </c:pt>
                <c:pt idx="61">
                  <c:v>959797.250805178</c:v>
                </c:pt>
                <c:pt idx="62">
                  <c:v>1018647.82416191</c:v>
                </c:pt>
                <c:pt idx="63">
                  <c:v>1079788.04891833</c:v>
                </c:pt>
              </c:numCache>
            </c:numRef>
          </c:val>
          <c:smooth val="1"/>
        </c:ser>
        <c:hiLowLines>
          <c:spPr>
            <a:ln w="0">
              <a:noFill/>
            </a:ln>
          </c:spPr>
        </c:hiLowLines>
        <c:marker val="0"/>
        <c:axId val="94867271"/>
        <c:axId val="22337543"/>
      </c:lineChart>
      <c:catAx>
        <c:axId val="948672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37543"/>
        <c:crosses val="autoZero"/>
        <c:auto val="1"/>
        <c:lblAlgn val="ctr"/>
        <c:lblOffset val="100"/>
        <c:noMultiLvlLbl val="0"/>
      </c:catAx>
      <c:valAx>
        <c:axId val="2233754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8672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2" customFormat="false" ht="15" hidden="false" customHeight="false" outlineLevel="0" collapsed="false">
      <c r="B22" s="8" t="s">
        <v>24</v>
      </c>
      <c r="C22" s="8"/>
      <c r="D22" s="8"/>
    </row>
    <row r="24" customFormat="false" ht="15" hidden="false" customHeight="false" outlineLevel="0" collapsed="false">
      <c r="B24" s="4" t="s">
        <v>25</v>
      </c>
    </row>
    <row r="25" customFormat="false" ht="15" hidden="false" customHeight="false" outlineLevel="0" collapsed="false">
      <c r="B25" s="9" t="s">
        <v>26</v>
      </c>
      <c r="C25" s="10"/>
      <c r="D25" s="11" t="s">
        <v>27</v>
      </c>
    </row>
    <row r="26" customFormat="false" ht="15" hidden="false" customHeight="false" outlineLevel="0" collapsed="false">
      <c r="B26" s="12" t="s">
        <v>28</v>
      </c>
      <c r="D26" s="13" t="s">
        <v>29</v>
      </c>
    </row>
    <row r="27" customFormat="false" ht="15" hidden="false" customHeight="false" outlineLevel="0" collapsed="false">
      <c r="B27" s="9" t="s">
        <v>30</v>
      </c>
      <c r="C27" s="10"/>
      <c r="D27" s="11" t="s">
        <v>31</v>
      </c>
    </row>
    <row r="28" customFormat="false" ht="15" hidden="false" customHeight="false" outlineLevel="0" collapsed="false">
      <c r="B28" s="4" t="s">
        <v>32</v>
      </c>
      <c r="D28" s="6" t="s">
        <v>33</v>
      </c>
    </row>
    <row r="29" customFormat="false" ht="15" hidden="false" customHeight="false" outlineLevel="0" collapsed="false">
      <c r="B29" s="9" t="s">
        <v>34</v>
      </c>
      <c r="C29" s="10"/>
      <c r="D29" s="11" t="s">
        <v>35</v>
      </c>
    </row>
    <row r="30" customFormat="false" ht="15" hidden="false" customHeight="false" outlineLevel="0" collapsed="false">
      <c r="B30" s="12" t="s">
        <v>36</v>
      </c>
      <c r="D30" s="13" t="s">
        <v>37</v>
      </c>
    </row>
    <row r="31" customFormat="false" ht="15" hidden="false" customHeight="false" outlineLevel="0" collapsed="false">
      <c r="B31" s="9" t="s">
        <v>38</v>
      </c>
      <c r="C31" s="10"/>
      <c r="D31" s="11" t="s">
        <v>39</v>
      </c>
    </row>
    <row r="32" customFormat="false" ht="15" hidden="false" customHeight="false" outlineLevel="0" collapsed="false">
      <c r="B32" s="4" t="s">
        <v>40</v>
      </c>
      <c r="D32" s="6" t="s">
        <v>41</v>
      </c>
    </row>
    <row r="33" customFormat="false" ht="15" hidden="false" customHeight="false" outlineLevel="0" collapsed="false">
      <c r="B33" s="9" t="s">
        <v>42</v>
      </c>
      <c r="C33" s="10"/>
      <c r="D33" s="11" t="s">
        <v>43</v>
      </c>
    </row>
    <row r="34" customFormat="false" ht="15" hidden="false" customHeight="false" outlineLevel="0" collapsed="false">
      <c r="B34" s="12" t="s">
        <v>44</v>
      </c>
      <c r="D34" s="13" t="s">
        <v>45</v>
      </c>
    </row>
    <row r="35" customFormat="false" ht="15" hidden="false" customHeight="false" outlineLevel="0" collapsed="false">
      <c r="B35" s="9" t="s">
        <v>46</v>
      </c>
      <c r="C35" s="10"/>
      <c r="D35" s="11" t="s">
        <v>47</v>
      </c>
    </row>
    <row r="36" customFormat="false" ht="15" hidden="false" customHeight="false" outlineLevel="0" collapsed="false">
      <c r="B36" s="12" t="s">
        <v>48</v>
      </c>
      <c r="D36" s="13" t="s">
        <v>49</v>
      </c>
    </row>
    <row r="37" customFormat="false" ht="15" hidden="false" customHeight="false" outlineLevel="0" collapsed="false">
      <c r="B37" s="9" t="s">
        <v>50</v>
      </c>
      <c r="C37" s="10"/>
      <c r="D37" s="11" t="s">
        <v>51</v>
      </c>
    </row>
    <row r="38" customFormat="false" ht="15" hidden="false" customHeight="false" outlineLevel="0" collapsed="false">
      <c r="B38" s="12" t="s">
        <v>52</v>
      </c>
      <c r="D38" s="13" t="s">
        <v>53</v>
      </c>
    </row>
    <row r="39" customFormat="false" ht="15" hidden="false" customHeight="false" outlineLevel="0" collapsed="false">
      <c r="B39" s="9" t="s">
        <v>54</v>
      </c>
      <c r="C39" s="10"/>
      <c r="D39" s="11" t="s">
        <v>55</v>
      </c>
    </row>
    <row r="40" customFormat="false" ht="15" hidden="false" customHeight="false" outlineLevel="0" collapsed="false">
      <c r="B40" s="4" t="s">
        <v>56</v>
      </c>
      <c r="D40" s="6" t="s">
        <v>57</v>
      </c>
    </row>
    <row r="41" customFormat="false" ht="15" hidden="false" customHeight="false" outlineLevel="0" collapsed="false">
      <c r="B41" s="9" t="s">
        <v>58</v>
      </c>
      <c r="C41" s="10"/>
      <c r="D41" s="11" t="s">
        <v>59</v>
      </c>
    </row>
    <row r="42" customFormat="false" ht="15" hidden="false" customHeight="false" outlineLevel="0" collapsed="false">
      <c r="B42" s="12" t="s">
        <v>60</v>
      </c>
      <c r="D42" s="13" t="s">
        <v>61</v>
      </c>
    </row>
    <row r="43" customFormat="false" ht="15" hidden="false" customHeight="false" outlineLevel="0" collapsed="false">
      <c r="B43" s="9" t="s">
        <v>62</v>
      </c>
      <c r="C43" s="10"/>
      <c r="D43" s="11" t="s">
        <v>63</v>
      </c>
    </row>
    <row r="44" customFormat="false" ht="15" hidden="false" customHeight="false" outlineLevel="0" collapsed="false">
      <c r="B44" s="12" t="s">
        <v>64</v>
      </c>
      <c r="D44" s="13" t="s">
        <v>65</v>
      </c>
    </row>
    <row r="45" customFormat="false" ht="15" hidden="false" customHeight="false" outlineLevel="0" collapsed="false">
      <c r="B45" s="4" t="s">
        <v>66</v>
      </c>
      <c r="D45" s="6" t="s">
        <v>67</v>
      </c>
    </row>
    <row r="46" customFormat="false" ht="15" hidden="false" customHeight="false" outlineLevel="0" collapsed="false">
      <c r="B46" s="12" t="s">
        <v>68</v>
      </c>
      <c r="D46" s="13" t="s">
        <v>69</v>
      </c>
    </row>
    <row r="47" customFormat="false" ht="15" hidden="false" customHeight="false" outlineLevel="0" collapsed="false">
      <c r="B47" s="9" t="s">
        <v>70</v>
      </c>
      <c r="C47" s="10"/>
      <c r="D47" s="11" t="s">
        <v>71</v>
      </c>
    </row>
    <row r="48" customFormat="false" ht="15" hidden="false" customHeight="false" outlineLevel="0" collapsed="false">
      <c r="B48" s="12" t="s">
        <v>72</v>
      </c>
      <c r="D48" s="13" t="s">
        <v>73</v>
      </c>
    </row>
    <row r="49" customFormat="false" ht="15" hidden="false" customHeight="false" outlineLevel="0" collapsed="false">
      <c r="B49" s="9" t="s">
        <v>74</v>
      </c>
      <c r="C49" s="10"/>
      <c r="D49" s="11" t="s">
        <v>75</v>
      </c>
    </row>
    <row r="50" customFormat="false" ht="15" hidden="false" customHeight="false" outlineLevel="0" collapsed="false">
      <c r="B50" s="12" t="s">
        <v>76</v>
      </c>
      <c r="D50" s="13" t="s">
        <v>77</v>
      </c>
    </row>
  </sheetData>
  <mergeCells count="6">
    <mergeCell ref="B17:D17"/>
    <mergeCell ref="B18:D18"/>
    <mergeCell ref="B19:D19"/>
    <mergeCell ref="B20:D20"/>
    <mergeCell ref="B21:D21"/>
    <mergeCell ref="B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78</v>
      </c>
    </row>
    <row r="2" customFormat="false" ht="13.5" hidden="false" customHeight="true" outlineLevel="0" collapsed="false">
      <c r="A2" s="6" t="s">
        <v>79</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80</v>
      </c>
      <c r="B5" s="15"/>
      <c r="C5" s="15"/>
      <c r="D5" s="15"/>
      <c r="E5" s="15"/>
      <c r="F5" s="15"/>
      <c r="G5" s="15"/>
      <c r="H5" s="15"/>
      <c r="I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19" t="n">
        <f aca="false">'Financial Indicators'!$C$7</f>
        <v>103587.386308824</v>
      </c>
      <c r="D7" s="19" t="n">
        <f aca="false">'Financial Indicators'!$D$7</f>
        <v>598105.707372232</v>
      </c>
      <c r="E7" s="19" t="n">
        <f aca="false">'Financial Indicators'!$E$7</f>
        <v>1085654.37612042</v>
      </c>
      <c r="F7" s="19" t="n">
        <f aca="false">'Financial Indicators'!$F$7</f>
        <v>1759671.91303074</v>
      </c>
      <c r="G7" s="19" t="n">
        <f aca="false">'Financial Indicators'!$G$7</f>
        <v>2483099.09071608</v>
      </c>
    </row>
    <row r="8" customFormat="false" ht="15" hidden="false" customHeight="false" outlineLevel="0" collapsed="false">
      <c r="A8" s="12" t="s">
        <v>87</v>
      </c>
      <c r="C8" s="20" t="n">
        <f aca="false">'Financial Indicators'!$C$20</f>
        <v>59843.0693390569</v>
      </c>
      <c r="D8" s="20" t="n">
        <f aca="false">'Financial Indicators'!$D$20</f>
        <v>384250.365714855</v>
      </c>
      <c r="E8" s="20" t="n">
        <f aca="false">'Financial Indicators'!$E$20</f>
        <v>676752.137863852</v>
      </c>
      <c r="F8" s="20" t="n">
        <f aca="false">'Financial Indicators'!$F$20</f>
        <v>1080809.94298645</v>
      </c>
      <c r="G8" s="20" t="n">
        <f aca="false">'Financial Indicators'!$G$20</f>
        <v>1500619.30079151</v>
      </c>
    </row>
    <row r="9" customFormat="false" ht="15" hidden="false" customHeight="false" outlineLevel="0" collapsed="false">
      <c r="A9" s="18" t="s">
        <v>88</v>
      </c>
      <c r="C9" s="19" t="n">
        <f aca="false">'Financial Indicators'!$C$22</f>
        <v>-41615.4727485801</v>
      </c>
      <c r="D9" s="19" t="n">
        <f aca="false">'Financial Indicators'!$D$22</f>
        <v>130894.566571157</v>
      </c>
      <c r="E9" s="19" t="n">
        <f aca="false">'Financial Indicators'!$E$22</f>
        <v>221704.300510058</v>
      </c>
      <c r="F9" s="19" t="n">
        <f aca="false">'Financial Indicators'!$F$22</f>
        <v>425945.229464403</v>
      </c>
      <c r="G9" s="19" t="n">
        <f aca="false">'Financial Indicators'!$G$22</f>
        <v>651379.787875621</v>
      </c>
    </row>
    <row r="10" customFormat="false" ht="15" hidden="false" customHeight="false" outlineLevel="0" collapsed="false">
      <c r="A10" s="18" t="s">
        <v>89</v>
      </c>
      <c r="C10" s="19" t="n">
        <f aca="false">'Financial Indicators'!$C$24</f>
        <v>-44837.5560819134</v>
      </c>
      <c r="D10" s="19" t="n">
        <f aca="false">'Financial Indicators'!$D$24</f>
        <v>107964.317336077</v>
      </c>
      <c r="E10" s="19" t="n">
        <f aca="false">'Financial Indicators'!$E$24</f>
        <v>166094.390186962</v>
      </c>
      <c r="F10" s="19" t="n">
        <f aca="false">'Financial Indicators'!$F$24</f>
        <v>323501.323668246</v>
      </c>
      <c r="G10" s="19" t="n">
        <f aca="false">'Financial Indicators'!$G$24</f>
        <v>498041.960603606</v>
      </c>
    </row>
    <row r="11" customFormat="false" ht="15" hidden="false" customHeight="false" outlineLevel="0" collapsed="false">
      <c r="A11" s="18" t="s">
        <v>90</v>
      </c>
      <c r="C11" s="19" t="n">
        <f aca="false">'Financial Indicators'!$C$26</f>
        <v>148424.942390737</v>
      </c>
      <c r="D11" s="19" t="n">
        <f aca="false">'Financial Indicators'!$D$26</f>
        <v>471814.265801075</v>
      </c>
      <c r="E11" s="19" t="n">
        <f aca="false">'Financial Indicators'!$E$26</f>
        <v>871339.033943695</v>
      </c>
      <c r="F11" s="19" t="n">
        <f aca="false">'Financial Indicators'!$F$26</f>
        <v>1342250.850233</v>
      </c>
      <c r="G11" s="19" t="n">
        <f aca="false">'Financial Indicators'!$G$26</f>
        <v>1840464.30284046</v>
      </c>
    </row>
    <row r="12" customFormat="false" ht="15" hidden="false" customHeight="false" outlineLevel="0" collapsed="false">
      <c r="A12" s="18" t="s">
        <v>91</v>
      </c>
      <c r="C12" s="19" t="n">
        <f aca="false">'Financial Indicators'!$C$41</f>
        <v>127329.777681178</v>
      </c>
      <c r="D12" s="19" t="n">
        <f aca="false">'Financial Indicators'!$D$41</f>
        <v>185024.401768413</v>
      </c>
      <c r="E12" s="19" t="n">
        <f aca="false">'Financial Indicators'!$E$41</f>
        <v>310256.966602296</v>
      </c>
      <c r="F12" s="19" t="n">
        <f aca="false">'Financial Indicators'!$F$41</f>
        <v>609759.273298992</v>
      </c>
      <c r="G12" s="19" t="n">
        <f aca="false">'Financial Indicators'!$G$41</f>
        <v>1079788.04891833</v>
      </c>
    </row>
    <row r="13" customFormat="false" ht="15" hidden="false" customHeight="false" outlineLevel="0" collapsed="false">
      <c r="A13" s="12" t="s">
        <v>92</v>
      </c>
      <c r="C13" s="20" t="n">
        <f aca="false">'Financial Indicators'!$C$42</f>
        <v>13012.157179988</v>
      </c>
      <c r="D13" s="20" t="n">
        <f aca="false">'Financial Indicators'!$D$42</f>
        <v>91386.1493503378</v>
      </c>
      <c r="E13" s="20" t="n">
        <f aca="false">'Financial Indicators'!$E$42</f>
        <v>176570.764299453</v>
      </c>
      <c r="F13" s="20" t="n">
        <f aca="false">'Financial Indicators'!$F$42</f>
        <v>319721.012225354</v>
      </c>
      <c r="G13" s="20" t="n">
        <f aca="false">'Financial Indicators'!$G$42</f>
        <v>634116.340840597</v>
      </c>
    </row>
    <row r="14" customFormat="false" ht="15" hidden="false" customHeight="false" outlineLevel="0" collapsed="false">
      <c r="A14" s="12" t="s">
        <v>93</v>
      </c>
      <c r="C14" s="21" t="n">
        <f aca="false">'Financial Indicators'!$C$14</f>
        <v>6</v>
      </c>
      <c r="D14" s="21" t="n">
        <f aca="false">'Financial Indicators'!$D$14</f>
        <v>9</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94</v>
      </c>
      <c r="C15" s="21" t="n">
        <f aca="false">'Financial Indicators'!$C$10</f>
        <v>20.6106814542812</v>
      </c>
      <c r="D15" s="21" t="n">
        <f aca="false">'Financial Indicators'!$D$10</f>
        <v>66.0546646581071</v>
      </c>
      <c r="E15" s="21" t="n">
        <f aca="false">'Financial Indicators'!$E$10</f>
        <v>107.287880957002</v>
      </c>
      <c r="F15" s="21" t="n">
        <f aca="false">'Financial Indicators'!$F$10</f>
        <v>162.02277007727</v>
      </c>
      <c r="G15" s="21" t="n">
        <f aca="false">'Financial Indicators'!$G$10</f>
        <v>214.786496011604</v>
      </c>
    </row>
    <row r="16" customFormat="false" ht="15" hidden="false" customHeight="false" outlineLevel="0" collapsed="false">
      <c r="A16" s="12" t="s">
        <v>95</v>
      </c>
      <c r="C16" s="21" t="n">
        <f aca="false">'Financial Indicators'!$C$11</f>
        <v>3648.31958511234</v>
      </c>
      <c r="D16" s="21" t="n">
        <f aca="false">'Financial Indicators'!$D$11</f>
        <v>21758.722263166</v>
      </c>
      <c r="E16" s="21" t="n">
        <f aca="false">'Financial Indicators'!$E$11</f>
        <v>37999.9069723366</v>
      </c>
      <c r="F16" s="21" t="n">
        <f aca="false">'Financial Indicators'!$F$11</f>
        <v>57390.1395468559</v>
      </c>
      <c r="G16" s="21" t="n">
        <f aca="false">'Financial Indicators'!$G$11</f>
        <v>76141.258156982</v>
      </c>
    </row>
    <row r="17" customFormat="false" ht="15" hidden="false" customHeight="false" outlineLevel="0" collapsed="false">
      <c r="A17" s="12" t="s">
        <v>96</v>
      </c>
      <c r="C17" s="21" t="n">
        <f aca="false">'Financial Indicators'!$C$13</f>
        <v>85.0765437825624</v>
      </c>
      <c r="D17" s="21" t="n">
        <f aca="false">'Financial Indicators'!$D$13</f>
        <v>636.314276174524</v>
      </c>
      <c r="E17" s="21" t="n">
        <f aca="false">'Financial Indicators'!$E$13</f>
        <v>1448.63062970082</v>
      </c>
      <c r="F17" s="21" t="n">
        <f aca="false">'Financial Indicators'!$F$13</f>
        <v>2604.81482758888</v>
      </c>
      <c r="G17" s="21" t="n">
        <f aca="false">'Financial Indicators'!$G$13</f>
        <v>4035.55049508742</v>
      </c>
    </row>
    <row r="19" customFormat="false" ht="16.5" hidden="false" customHeight="true" outlineLevel="0" collapsed="false">
      <c r="A19" s="15" t="s">
        <v>97</v>
      </c>
      <c r="B19" s="15"/>
      <c r="C19" s="15"/>
      <c r="D19" s="15"/>
      <c r="E19" s="15"/>
      <c r="F19" s="15"/>
      <c r="G19" s="15"/>
      <c r="H19" s="15"/>
      <c r="I19" s="15"/>
    </row>
    <row r="20" customFormat="false" ht="15" hidden="false" customHeight="false" outlineLevel="0" collapsed="false">
      <c r="A20" s="18" t="s">
        <v>98</v>
      </c>
      <c r="B20" s="22" t="s">
        <v>99</v>
      </c>
      <c r="C20" s="19" t="n">
        <f aca="false">'Financial Indicators'!$C$26</f>
        <v>148424.942390737</v>
      </c>
      <c r="D20" s="19" t="str">
        <f aca="false">""</f>
        <v/>
      </c>
      <c r="E20" s="19" t="str">
        <f aca="false">""</f>
        <v/>
      </c>
      <c r="F20" s="19" t="str">
        <f aca="false">""</f>
        <v/>
      </c>
      <c r="G20" s="19" t="str">
        <f aca="false">""</f>
        <v/>
      </c>
    </row>
    <row r="21" customFormat="false" ht="15" hidden="false" customHeight="false" outlineLevel="0" collapsed="false">
      <c r="A21" s="18" t="s">
        <v>100</v>
      </c>
      <c r="B21" s="22" t="s">
        <v>101</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102</v>
      </c>
      <c r="B45" s="15"/>
      <c r="C45" s="15"/>
      <c r="D45" s="15"/>
      <c r="E45" s="15"/>
      <c r="F45" s="15"/>
      <c r="G45" s="15"/>
      <c r="H45" s="15"/>
      <c r="I45" s="15"/>
    </row>
    <row r="46" customFormat="false" ht="15" hidden="false" customHeight="false" outlineLevel="0" collapsed="false">
      <c r="A46" s="12" t="s">
        <v>103</v>
      </c>
      <c r="B46" s="22" t="s">
        <v>104</v>
      </c>
      <c r="C46" s="24" t="n">
        <f aca="false">'Assumption Setting'!$C$12</f>
        <v>300</v>
      </c>
    </row>
    <row r="47" customFormat="false" ht="15" hidden="false" customHeight="false" outlineLevel="0" collapsed="false">
      <c r="A47" s="12" t="s">
        <v>105</v>
      </c>
      <c r="B47" s="22" t="s">
        <v>106</v>
      </c>
      <c r="C47" s="24" t="n">
        <f aca="false">'Assumption Setting'!$C$13</f>
        <v>2</v>
      </c>
    </row>
    <row r="48" customFormat="false" ht="15" hidden="false" customHeight="false" outlineLevel="0" collapsed="false">
      <c r="A48" s="12" t="s">
        <v>107</v>
      </c>
      <c r="B48" s="22" t="s">
        <v>108</v>
      </c>
      <c r="C48" s="24" t="n">
        <f aca="false">'Assumption Setting'!$C$14</f>
        <v>100</v>
      </c>
    </row>
    <row r="49" customFormat="false" ht="15" hidden="false" customHeight="false" outlineLevel="0" collapsed="false">
      <c r="A49" s="12" t="s">
        <v>109</v>
      </c>
      <c r="B49" s="22" t="s">
        <v>110</v>
      </c>
      <c r="C49" s="25" t="n">
        <f aca="false">'Assumption Setting'!$C$15</f>
        <v>100000</v>
      </c>
    </row>
    <row r="50" customFormat="false" ht="15" hidden="false" customHeight="false" outlineLevel="0" collapsed="false">
      <c r="A50" s="12" t="s">
        <v>111</v>
      </c>
      <c r="B50" s="22" t="s">
        <v>112</v>
      </c>
      <c r="C50" s="24" t="n">
        <f aca="false">'Assumption Setting'!$C$16</f>
        <v>5</v>
      </c>
    </row>
    <row r="51" customFormat="false" ht="15" hidden="false" customHeight="false" outlineLevel="0" collapsed="false">
      <c r="A51" s="12" t="s">
        <v>113</v>
      </c>
      <c r="B51" s="22" t="s">
        <v>114</v>
      </c>
      <c r="C51" s="24" t="n">
        <f aca="false">'Assumption Setting'!$C$17</f>
        <v>1</v>
      </c>
    </row>
    <row r="52" customFormat="false" ht="15" hidden="false" customHeight="false" outlineLevel="0" collapsed="false">
      <c r="A52" s="12" t="s">
        <v>115</v>
      </c>
      <c r="B52" s="22" t="s">
        <v>116</v>
      </c>
      <c r="C52" s="25" t="n">
        <f aca="false">'Assumption Setting'!$C$18</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117</v>
      </c>
    </row>
    <row r="2" customFormat="false" ht="13.5" hidden="false" customHeight="true" outlineLevel="0" collapsed="false">
      <c r="A2" s="6" t="s">
        <v>118</v>
      </c>
    </row>
    <row r="3" customFormat="false" ht="3.75" hidden="false" customHeight="true" outlineLevel="0" collapsed="false">
      <c r="A3" s="3"/>
      <c r="B3" s="3"/>
      <c r="C3" s="3"/>
      <c r="D3" s="3"/>
      <c r="E3" s="3"/>
      <c r="F3" s="3"/>
    </row>
    <row r="5" customFormat="false" ht="16.5" hidden="false" customHeight="true" outlineLevel="0" collapsed="false">
      <c r="A5" s="15" t="s">
        <v>119</v>
      </c>
      <c r="B5" s="15"/>
      <c r="C5" s="15"/>
      <c r="D5" s="15"/>
      <c r="E5" s="15"/>
      <c r="F5" s="15"/>
    </row>
    <row r="6" customFormat="false" ht="15" hidden="false" customHeight="false" outlineLevel="0" collapsed="false">
      <c r="A6" s="26" t="s">
        <v>120</v>
      </c>
      <c r="B6" s="26" t="s">
        <v>121</v>
      </c>
      <c r="C6" s="26" t="s">
        <v>122</v>
      </c>
      <c r="D6" s="26" t="s">
        <v>123</v>
      </c>
    </row>
    <row r="7" customFormat="false" ht="15" hidden="false" customHeight="false" outlineLevel="0" collapsed="false">
      <c r="A7" s="18" t="s">
        <v>124</v>
      </c>
      <c r="B7" s="27" t="s">
        <v>125</v>
      </c>
      <c r="C7" s="13" t="s">
        <v>126</v>
      </c>
      <c r="D7" s="24" t="n">
        <v>3</v>
      </c>
    </row>
    <row r="8" customFormat="false" ht="15" hidden="false" customHeight="false" outlineLevel="0" collapsed="false">
      <c r="A8" s="18" t="s">
        <v>127</v>
      </c>
      <c r="B8" s="27" t="s">
        <v>125</v>
      </c>
      <c r="C8" s="13" t="s">
        <v>128</v>
      </c>
      <c r="D8" s="24" t="n">
        <v>3</v>
      </c>
    </row>
    <row r="9" customFormat="false" ht="15" hidden="false" customHeight="false" outlineLevel="0" collapsed="false">
      <c r="A9" s="18" t="s">
        <v>129</v>
      </c>
      <c r="B9" s="27" t="s">
        <v>125</v>
      </c>
      <c r="C9" s="13" t="s">
        <v>130</v>
      </c>
      <c r="D9" s="24" t="n">
        <v>2</v>
      </c>
    </row>
    <row r="10" customFormat="false" ht="15" hidden="false" customHeight="false" outlineLevel="0" collapsed="false">
      <c r="A10" s="18" t="s">
        <v>131</v>
      </c>
      <c r="B10" s="27" t="s">
        <v>125</v>
      </c>
      <c r="C10" s="13" t="s">
        <v>132</v>
      </c>
      <c r="D10" s="24" t="n">
        <v>2</v>
      </c>
    </row>
    <row r="11" customFormat="false" ht="15" hidden="false" customHeight="false" outlineLevel="0" collapsed="false">
      <c r="A11" s="18" t="s">
        <v>133</v>
      </c>
      <c r="B11" s="27" t="s">
        <v>125</v>
      </c>
      <c r="C11" s="13" t="s">
        <v>134</v>
      </c>
      <c r="D11" s="24" t="n">
        <v>2</v>
      </c>
    </row>
    <row r="12" customFormat="false" ht="15" hidden="false" customHeight="false" outlineLevel="0" collapsed="false">
      <c r="A12" s="18" t="s">
        <v>135</v>
      </c>
      <c r="B12" s="27" t="s">
        <v>136</v>
      </c>
      <c r="C12" s="13" t="s">
        <v>137</v>
      </c>
      <c r="D12" s="24" t="n">
        <v>0</v>
      </c>
    </row>
    <row r="14" customFormat="false" ht="16.5" hidden="false" customHeight="true" outlineLevel="0" collapsed="false">
      <c r="A14" s="15" t="s">
        <v>138</v>
      </c>
      <c r="B14" s="15"/>
      <c r="C14" s="15"/>
      <c r="D14" s="15"/>
      <c r="E14" s="15"/>
      <c r="F14" s="15"/>
    </row>
    <row r="15" customFormat="false" ht="15" hidden="false" customHeight="false" outlineLevel="0" collapsed="false">
      <c r="A15" s="26" t="s">
        <v>139</v>
      </c>
      <c r="B15" s="26" t="s">
        <v>140</v>
      </c>
      <c r="C15" s="26" t="s">
        <v>141</v>
      </c>
      <c r="D15" s="26" t="s">
        <v>142</v>
      </c>
      <c r="E15" s="26" t="s">
        <v>143</v>
      </c>
    </row>
    <row r="16" customFormat="false" ht="30" hidden="false" customHeight="true" outlineLevel="0" collapsed="false">
      <c r="A16" s="28" t="s">
        <v>144</v>
      </c>
      <c r="B16" s="29" t="s">
        <v>145</v>
      </c>
      <c r="C16" s="29" t="s">
        <v>146</v>
      </c>
      <c r="D16" s="29" t="s">
        <v>147</v>
      </c>
      <c r="E16" s="29" t="s">
        <v>148</v>
      </c>
    </row>
    <row r="17" customFormat="false" ht="30" hidden="false" customHeight="true" outlineLevel="0" collapsed="false">
      <c r="A17" s="30" t="s">
        <v>149</v>
      </c>
      <c r="B17" s="31" t="s">
        <v>145</v>
      </c>
      <c r="C17" s="31" t="s">
        <v>150</v>
      </c>
      <c r="D17" s="31" t="s">
        <v>151</v>
      </c>
      <c r="E17" s="31" t="s">
        <v>152</v>
      </c>
    </row>
    <row r="18" customFormat="false" ht="30" hidden="false" customHeight="true" outlineLevel="0" collapsed="false">
      <c r="A18" s="28" t="s">
        <v>153</v>
      </c>
      <c r="B18" s="29" t="s">
        <v>145</v>
      </c>
      <c r="C18" s="29" t="s">
        <v>154</v>
      </c>
      <c r="D18" s="29" t="s">
        <v>155</v>
      </c>
      <c r="E18" s="29" t="s">
        <v>156</v>
      </c>
    </row>
    <row r="19" customFormat="false" ht="30" hidden="false" customHeight="true" outlineLevel="0" collapsed="false">
      <c r="A19" s="30" t="s">
        <v>157</v>
      </c>
      <c r="B19" s="31" t="s">
        <v>145</v>
      </c>
      <c r="C19" s="31" t="s">
        <v>158</v>
      </c>
      <c r="D19" s="31" t="s">
        <v>159</v>
      </c>
      <c r="E19" s="31" t="s">
        <v>160</v>
      </c>
    </row>
    <row r="20" customFormat="false" ht="30" hidden="false" customHeight="true" outlineLevel="0" collapsed="false">
      <c r="A20" s="28" t="s">
        <v>161</v>
      </c>
      <c r="B20" s="29" t="s">
        <v>162</v>
      </c>
      <c r="C20" s="29" t="s">
        <v>163</v>
      </c>
      <c r="D20" s="29" t="s">
        <v>164</v>
      </c>
      <c r="E20" s="29" t="s">
        <v>165</v>
      </c>
    </row>
    <row r="21" customFormat="false" ht="30" hidden="false" customHeight="true" outlineLevel="0" collapsed="false">
      <c r="A21" s="30" t="s">
        <v>166</v>
      </c>
      <c r="B21" s="31" t="s">
        <v>145</v>
      </c>
      <c r="C21" s="31" t="s">
        <v>167</v>
      </c>
      <c r="D21" s="31" t="s">
        <v>168</v>
      </c>
      <c r="E21" s="31" t="s">
        <v>169</v>
      </c>
    </row>
    <row r="22" customFormat="false" ht="30" hidden="false" customHeight="true" outlineLevel="0" collapsed="false">
      <c r="A22" s="28" t="s">
        <v>170</v>
      </c>
      <c r="B22" s="29" t="s">
        <v>145</v>
      </c>
      <c r="C22" s="29" t="s">
        <v>171</v>
      </c>
      <c r="D22" s="29" t="s">
        <v>172</v>
      </c>
      <c r="E22" s="29" t="s">
        <v>173</v>
      </c>
    </row>
    <row r="23" customFormat="false" ht="30" hidden="false" customHeight="true" outlineLevel="0" collapsed="false">
      <c r="A23" s="30" t="s">
        <v>174</v>
      </c>
      <c r="B23" s="31" t="s">
        <v>145</v>
      </c>
      <c r="C23" s="31" t="s">
        <v>175</v>
      </c>
      <c r="D23" s="31" t="s">
        <v>172</v>
      </c>
      <c r="E23" s="31" t="s">
        <v>176</v>
      </c>
    </row>
    <row r="24" customFormat="false" ht="30" hidden="false" customHeight="true" outlineLevel="0" collapsed="false">
      <c r="A24" s="28" t="s">
        <v>177</v>
      </c>
      <c r="B24" s="29" t="s">
        <v>178</v>
      </c>
      <c r="C24" s="29" t="s">
        <v>179</v>
      </c>
      <c r="D24" s="29" t="s">
        <v>180</v>
      </c>
      <c r="E24" s="29" t="s">
        <v>181</v>
      </c>
    </row>
    <row r="25" customFormat="false" ht="30" hidden="false" customHeight="true" outlineLevel="0" collapsed="false">
      <c r="A25" s="30" t="s">
        <v>182</v>
      </c>
      <c r="B25" s="31" t="s">
        <v>178</v>
      </c>
      <c r="C25" s="31" t="s">
        <v>183</v>
      </c>
      <c r="D25" s="31" t="s">
        <v>172</v>
      </c>
      <c r="E25" s="31" t="s">
        <v>184</v>
      </c>
    </row>
    <row r="26" customFormat="false" ht="30" hidden="false" customHeight="true" outlineLevel="0" collapsed="false">
      <c r="A26" s="28" t="s">
        <v>185</v>
      </c>
      <c r="B26" s="29" t="s">
        <v>178</v>
      </c>
      <c r="C26" s="29" t="s">
        <v>186</v>
      </c>
      <c r="D26" s="29" t="s">
        <v>187</v>
      </c>
      <c r="E26" s="29" t="s">
        <v>188</v>
      </c>
    </row>
    <row r="27" customFormat="false" ht="30" hidden="false" customHeight="true" outlineLevel="0" collapsed="false">
      <c r="A27" s="30" t="s">
        <v>189</v>
      </c>
      <c r="B27" s="31" t="s">
        <v>178</v>
      </c>
      <c r="C27" s="31" t="s">
        <v>190</v>
      </c>
      <c r="D27" s="31" t="s">
        <v>151</v>
      </c>
      <c r="E27" s="31" t="s">
        <v>191</v>
      </c>
    </row>
    <row r="29" customFormat="false" ht="15" hidden="false" customHeight="false" outlineLevel="0" collapsed="false">
      <c r="A29" s="32"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32</v>
      </c>
    </row>
    <row r="3" customFormat="false" ht="15" hidden="false" customHeight="false" outlineLevel="0" collapsed="false">
      <c r="B3" s="3"/>
      <c r="C3" s="3"/>
    </row>
    <row r="5" customFormat="false" ht="30" hidden="false" customHeight="true" outlineLevel="0" collapsed="false">
      <c r="B5" s="35" t="s">
        <v>193</v>
      </c>
      <c r="C5" s="36" t="s">
        <v>35</v>
      </c>
    </row>
    <row r="6" customFormat="false" ht="30" hidden="false" customHeight="true" outlineLevel="0" collapsed="false">
      <c r="B6" s="35" t="s">
        <v>194</v>
      </c>
      <c r="C6" s="36" t="s">
        <v>37</v>
      </c>
    </row>
    <row r="7" customFormat="false" ht="30" hidden="false" customHeight="true" outlineLevel="0" collapsed="false">
      <c r="B7" s="35" t="s">
        <v>195</v>
      </c>
      <c r="C7" s="36"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4"/>
    <col collapsed="false" customWidth="true" hidden="false" outlineLevel="0" max="23" min="2" style="0" width="11"/>
    <col collapsed="false" customWidth="true" hidden="false" outlineLevel="0" max="24" min="24" style="0" width="58"/>
    <col collapsed="false" customWidth="true" hidden="false" outlineLevel="0" max="25" min="25" style="0" width="46"/>
  </cols>
  <sheetData>
    <row r="1" customFormat="false" ht="24.75" hidden="false" customHeight="true" outlineLevel="0" collapsed="false">
      <c r="A1" s="14" t="s">
        <v>193</v>
      </c>
    </row>
    <row r="2" customFormat="false" ht="13.5" hidden="false" customHeight="true" outlineLevel="0" collapsed="false">
      <c r="A2" s="6" t="s">
        <v>196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row>
    <row r="5" customFormat="false" ht="16.5" hidden="false" customHeight="true" outlineLevel="0" collapsed="false">
      <c r="A5" s="15" t="s">
        <v>197</v>
      </c>
      <c r="B5" s="15"/>
      <c r="C5" s="15"/>
      <c r="D5" s="15"/>
      <c r="E5" s="15"/>
      <c r="F5" s="15"/>
      <c r="G5" s="15"/>
      <c r="H5" s="15"/>
      <c r="I5" s="15"/>
      <c r="J5" s="15"/>
      <c r="K5" s="15"/>
      <c r="L5" s="15"/>
      <c r="M5" s="15"/>
      <c r="N5" s="15"/>
      <c r="O5" s="15"/>
      <c r="P5" s="15"/>
      <c r="Q5" s="15"/>
      <c r="R5" s="15"/>
      <c r="S5" s="15"/>
      <c r="T5" s="15"/>
      <c r="U5" s="15"/>
      <c r="V5" s="15"/>
      <c r="W5" s="15"/>
      <c r="X5" s="15"/>
      <c r="Y5" s="15"/>
    </row>
    <row r="6" customFormat="false" ht="15" hidden="false" customHeight="false" outlineLevel="0" collapsed="false">
      <c r="A6" s="12" t="s">
        <v>198</v>
      </c>
      <c r="B6" s="37"/>
      <c r="C6" s="38" t="s">
        <v>9</v>
      </c>
    </row>
    <row r="7" customFormat="false" ht="15" hidden="false" customHeight="false" outlineLevel="0" collapsed="false">
      <c r="A7" s="12" t="s">
        <v>199</v>
      </c>
      <c r="B7" s="37"/>
      <c r="C7" s="39" t="n">
        <v>46296</v>
      </c>
      <c r="X7" s="40" t="s">
        <v>200</v>
      </c>
    </row>
    <row r="8" customFormat="false" ht="15" hidden="false" customHeight="false" outlineLevel="0" collapsed="false">
      <c r="A8" s="12" t="s">
        <v>201</v>
      </c>
      <c r="B8" s="37" t="s">
        <v>202</v>
      </c>
      <c r="C8" s="41" t="n">
        <v>53.22</v>
      </c>
      <c r="X8" s="40" t="s">
        <v>203</v>
      </c>
    </row>
    <row r="10" customFormat="false" ht="16.5" hidden="false" customHeight="true" outlineLevel="0" collapsed="false">
      <c r="A10" s="15" t="s">
        <v>204</v>
      </c>
      <c r="B10" s="15"/>
      <c r="C10" s="15"/>
      <c r="D10" s="15"/>
      <c r="E10" s="15"/>
      <c r="F10" s="15"/>
      <c r="G10" s="15"/>
      <c r="H10" s="15"/>
      <c r="I10" s="15"/>
      <c r="J10" s="15"/>
      <c r="K10" s="15"/>
      <c r="L10" s="15"/>
      <c r="M10" s="15"/>
      <c r="N10" s="15"/>
      <c r="O10" s="15"/>
      <c r="P10" s="15"/>
      <c r="Q10" s="15"/>
      <c r="R10" s="15"/>
      <c r="S10" s="15"/>
      <c r="T10" s="15"/>
      <c r="U10" s="15"/>
      <c r="V10" s="15"/>
      <c r="W10" s="15"/>
      <c r="X10" s="15"/>
      <c r="Y10" s="15"/>
    </row>
    <row r="11" customFormat="false" ht="15" hidden="false" customHeight="false" outlineLevel="0" collapsed="false">
      <c r="A11" s="42" t="s">
        <v>205</v>
      </c>
      <c r="B11" s="42"/>
      <c r="C11" s="42"/>
      <c r="D11" s="42"/>
      <c r="E11" s="42"/>
      <c r="F11" s="42"/>
      <c r="G11" s="42"/>
      <c r="H11" s="42"/>
      <c r="I11" s="42"/>
      <c r="J11" s="42"/>
      <c r="K11" s="42"/>
      <c r="L11" s="42"/>
      <c r="M11" s="42"/>
      <c r="N11" s="42"/>
      <c r="O11" s="42"/>
      <c r="P11" s="42"/>
    </row>
    <row r="12" customFormat="false" ht="15" hidden="false" customHeight="false" outlineLevel="0" collapsed="false">
      <c r="A12" s="12" t="s">
        <v>103</v>
      </c>
      <c r="B12" s="37" t="s">
        <v>206</v>
      </c>
      <c r="C12" s="43" t="n">
        <v>300</v>
      </c>
      <c r="X12" s="40" t="s">
        <v>104</v>
      </c>
    </row>
    <row r="13" customFormat="false" ht="15" hidden="false" customHeight="false" outlineLevel="0" collapsed="false">
      <c r="A13" s="12" t="s">
        <v>105</v>
      </c>
      <c r="B13" s="37" t="s">
        <v>206</v>
      </c>
      <c r="C13" s="43" t="n">
        <v>2</v>
      </c>
      <c r="X13" s="40" t="s">
        <v>106</v>
      </c>
    </row>
    <row r="14" customFormat="false" ht="15" hidden="false" customHeight="false" outlineLevel="0" collapsed="false">
      <c r="A14" s="12" t="s">
        <v>107</v>
      </c>
      <c r="B14" s="37" t="s">
        <v>206</v>
      </c>
      <c r="C14" s="43" t="n">
        <v>100</v>
      </c>
      <c r="X14" s="40" t="s">
        <v>108</v>
      </c>
    </row>
    <row r="15" customFormat="false" ht="15" hidden="false" customHeight="false" outlineLevel="0" collapsed="false">
      <c r="A15" s="12" t="s">
        <v>109</v>
      </c>
      <c r="B15" s="37" t="s">
        <v>202</v>
      </c>
      <c r="C15" s="44" t="n">
        <v>100000</v>
      </c>
      <c r="X15" s="40" t="s">
        <v>110</v>
      </c>
    </row>
    <row r="16" customFormat="false" ht="15" hidden="false" customHeight="false" outlineLevel="0" collapsed="false">
      <c r="A16" s="12" t="s">
        <v>111</v>
      </c>
      <c r="B16" s="37" t="s">
        <v>206</v>
      </c>
      <c r="C16" s="43" t="n">
        <v>5</v>
      </c>
      <c r="X16" s="40" t="s">
        <v>112</v>
      </c>
    </row>
    <row r="17" customFormat="false" ht="15" hidden="false" customHeight="false" outlineLevel="0" collapsed="false">
      <c r="A17" s="12" t="s">
        <v>113</v>
      </c>
      <c r="B17" s="37" t="s">
        <v>206</v>
      </c>
      <c r="C17" s="43" t="n">
        <v>1</v>
      </c>
      <c r="X17" s="40" t="s">
        <v>114</v>
      </c>
    </row>
    <row r="18" customFormat="false" ht="15" hidden="false" customHeight="false" outlineLevel="0" collapsed="false">
      <c r="A18" s="12" t="s">
        <v>115</v>
      </c>
      <c r="B18" s="37" t="s">
        <v>9</v>
      </c>
      <c r="C18" s="44" t="n">
        <v>50000</v>
      </c>
      <c r="X18" s="40" t="s">
        <v>116</v>
      </c>
    </row>
    <row r="19" customFormat="false" ht="15" hidden="false" customHeight="false" outlineLevel="0" collapsed="false">
      <c r="A19" s="12" t="s">
        <v>207</v>
      </c>
      <c r="B19" s="37" t="s">
        <v>9</v>
      </c>
      <c r="C19" s="19" t="n">
        <f aca="false">'Assumption Setting'!$C$15/'Assumption Setting'!$C$8</f>
        <v>1878.99285982713</v>
      </c>
    </row>
    <row r="21" customFormat="false" ht="15" hidden="false" customHeight="false" outlineLevel="0" collapsed="false">
      <c r="A21" s="18" t="s">
        <v>208</v>
      </c>
    </row>
    <row r="22" customFormat="false" ht="15" hidden="false" customHeight="false" outlineLevel="0" collapsed="false">
      <c r="A22" s="45" t="s">
        <v>120</v>
      </c>
      <c r="C22" s="45" t="s">
        <v>121</v>
      </c>
      <c r="D22" s="45" t="s">
        <v>122</v>
      </c>
    </row>
    <row r="23" customFormat="false" ht="15" hidden="false" customHeight="false" outlineLevel="0" collapsed="false">
      <c r="A23" s="46" t="s">
        <v>124</v>
      </c>
      <c r="C23" s="27" t="s">
        <v>125</v>
      </c>
      <c r="D23" s="47" t="s">
        <v>126</v>
      </c>
    </row>
    <row r="24" customFormat="false" ht="15" hidden="false" customHeight="false" outlineLevel="0" collapsed="false">
      <c r="A24" s="46" t="s">
        <v>127</v>
      </c>
      <c r="C24" s="27" t="s">
        <v>125</v>
      </c>
      <c r="D24" s="47" t="s">
        <v>128</v>
      </c>
    </row>
    <row r="25" customFormat="false" ht="15" hidden="false" customHeight="false" outlineLevel="0" collapsed="false">
      <c r="A25" s="46" t="s">
        <v>129</v>
      </c>
      <c r="C25" s="27" t="s">
        <v>125</v>
      </c>
      <c r="D25" s="47" t="s">
        <v>130</v>
      </c>
    </row>
    <row r="26" customFormat="false" ht="15" hidden="false" customHeight="false" outlineLevel="0" collapsed="false">
      <c r="A26" s="46" t="s">
        <v>131</v>
      </c>
      <c r="C26" s="27" t="s">
        <v>125</v>
      </c>
      <c r="D26" s="47" t="s">
        <v>132</v>
      </c>
    </row>
    <row r="27" customFormat="false" ht="15" hidden="false" customHeight="false" outlineLevel="0" collapsed="false">
      <c r="A27" s="46" t="s">
        <v>133</v>
      </c>
      <c r="C27" s="27" t="s">
        <v>125</v>
      </c>
      <c r="D27" s="47" t="s">
        <v>134</v>
      </c>
    </row>
    <row r="28" customFormat="false" ht="15" hidden="false" customHeight="false" outlineLevel="0" collapsed="false">
      <c r="A28" s="46" t="s">
        <v>135</v>
      </c>
      <c r="C28" s="27" t="s">
        <v>136</v>
      </c>
      <c r="D28" s="47" t="s">
        <v>137</v>
      </c>
    </row>
    <row r="30" customFormat="false" ht="17.9" hidden="false" customHeight="false" outlineLevel="0" collapsed="false">
      <c r="A30" s="18" t="s">
        <v>209</v>
      </c>
      <c r="X30" s="40" t="s">
        <v>210</v>
      </c>
    </row>
    <row r="31" customFormat="false" ht="27.75" hidden="false" customHeight="true" outlineLevel="0" collapsed="false">
      <c r="A31" s="26" t="s">
        <v>211</v>
      </c>
      <c r="B31" s="26"/>
      <c r="C31" s="48" t="s">
        <v>212</v>
      </c>
    </row>
    <row r="32" customFormat="false" ht="15" hidden="false" customHeight="false" outlineLevel="0" collapsed="false">
      <c r="A32" s="49" t="s">
        <v>213</v>
      </c>
      <c r="C32" s="43" t="n">
        <v>5</v>
      </c>
      <c r="X32" s="40" t="s">
        <v>214</v>
      </c>
    </row>
    <row r="33" customFormat="false" ht="15" hidden="false" customHeight="false" outlineLevel="0" collapsed="false">
      <c r="A33" s="49" t="s">
        <v>215</v>
      </c>
      <c r="C33" s="43" t="n">
        <v>1</v>
      </c>
      <c r="X33" s="40" t="s">
        <v>216</v>
      </c>
    </row>
    <row r="34" customFormat="false" ht="15" hidden="false" customHeight="false" outlineLevel="0" collapsed="false">
      <c r="A34" s="49" t="s">
        <v>217</v>
      </c>
      <c r="C34" s="50" t="n">
        <v>0.5</v>
      </c>
    </row>
    <row r="35" customFormat="false" ht="15" hidden="false" customHeight="false" outlineLevel="0" collapsed="false">
      <c r="A35" s="49" t="s">
        <v>218</v>
      </c>
      <c r="C35" s="50" t="n">
        <v>0.3</v>
      </c>
    </row>
    <row r="36" customFormat="false" ht="15" hidden="false" customHeight="false" outlineLevel="0" collapsed="false">
      <c r="A36" s="49" t="s">
        <v>219</v>
      </c>
      <c r="C36" s="50" t="n">
        <v>0.2</v>
      </c>
    </row>
    <row r="38" customFormat="false" ht="16.5" hidden="false" customHeight="true" outlineLevel="0" collapsed="false">
      <c r="A38" s="15" t="s">
        <v>220</v>
      </c>
      <c r="B38" s="15"/>
      <c r="C38" s="15"/>
      <c r="D38" s="15"/>
      <c r="E38" s="15"/>
      <c r="F38" s="15"/>
      <c r="G38" s="15"/>
      <c r="H38" s="15"/>
      <c r="I38" s="15"/>
      <c r="J38" s="15"/>
      <c r="K38" s="15"/>
      <c r="L38" s="15"/>
      <c r="M38" s="15"/>
      <c r="N38" s="15"/>
      <c r="O38" s="15"/>
      <c r="P38" s="15"/>
      <c r="Q38" s="15"/>
      <c r="R38" s="15"/>
      <c r="S38" s="15"/>
      <c r="T38" s="15"/>
      <c r="U38" s="15"/>
      <c r="V38" s="15"/>
      <c r="W38" s="15"/>
      <c r="X38" s="15"/>
      <c r="Y38" s="15"/>
    </row>
    <row r="39" customFormat="false" ht="15" hidden="false" customHeight="false" outlineLevel="0" collapsed="false">
      <c r="A39" s="42" t="s">
        <v>221</v>
      </c>
      <c r="B39" s="42"/>
      <c r="C39" s="42"/>
      <c r="D39" s="42"/>
      <c r="E39" s="42"/>
      <c r="F39" s="42"/>
      <c r="G39" s="42"/>
      <c r="H39" s="42"/>
      <c r="I39" s="42"/>
      <c r="J39" s="42"/>
      <c r="K39" s="42"/>
      <c r="L39" s="42"/>
      <c r="M39" s="42"/>
      <c r="N39" s="42"/>
      <c r="O39" s="42"/>
      <c r="P39" s="42"/>
    </row>
    <row r="40" customFormat="false" ht="27.75" hidden="false" customHeight="true" outlineLevel="0" collapsed="false">
      <c r="A40" s="26" t="s">
        <v>222</v>
      </c>
      <c r="B40" s="26" t="s">
        <v>223</v>
      </c>
      <c r="C40" s="48" t="s">
        <v>224</v>
      </c>
      <c r="D40" s="48" t="s">
        <v>225</v>
      </c>
      <c r="E40" s="48" t="s">
        <v>226</v>
      </c>
      <c r="F40" s="48" t="s">
        <v>227</v>
      </c>
      <c r="G40" s="48" t="s">
        <v>228</v>
      </c>
      <c r="H40" s="48" t="s">
        <v>229</v>
      </c>
      <c r="I40" s="48" t="s">
        <v>230</v>
      </c>
      <c r="J40" s="48" t="s">
        <v>231</v>
      </c>
      <c r="K40" s="48" t="s">
        <v>232</v>
      </c>
    </row>
    <row r="41" customFormat="false" ht="15" hidden="false" customHeight="false" outlineLevel="0" collapsed="false">
      <c r="A41" s="49" t="s">
        <v>233</v>
      </c>
      <c r="B41" s="37" t="s">
        <v>9</v>
      </c>
      <c r="C41" s="44" t="n">
        <v>100</v>
      </c>
      <c r="D41" s="44" t="n">
        <v>300</v>
      </c>
      <c r="E41" s="44" t="n">
        <v>600</v>
      </c>
      <c r="F41" s="44" t="n">
        <v>900</v>
      </c>
      <c r="G41" s="44" t="n">
        <v>1200</v>
      </c>
      <c r="H41" s="51" t="n">
        <v>0.1</v>
      </c>
      <c r="I41" s="50" t="n">
        <v>0.18</v>
      </c>
      <c r="J41" s="50" t="n">
        <v>0.05</v>
      </c>
      <c r="K41" s="52" t="n">
        <v>0.015</v>
      </c>
    </row>
    <row r="42" customFormat="false" ht="15" hidden="false" customHeight="false" outlineLevel="0" collapsed="false">
      <c r="A42" s="49" t="s">
        <v>234</v>
      </c>
      <c r="B42" s="37" t="s">
        <v>9</v>
      </c>
      <c r="C42" s="44" t="n">
        <v>80</v>
      </c>
      <c r="D42" s="44" t="n">
        <v>250</v>
      </c>
      <c r="E42" s="44" t="n">
        <v>550</v>
      </c>
      <c r="F42" s="44" t="n">
        <v>850</v>
      </c>
      <c r="G42" s="44" t="n">
        <v>1100</v>
      </c>
      <c r="H42" s="51" t="n">
        <v>0.18</v>
      </c>
      <c r="I42" s="50" t="n">
        <v>0.08</v>
      </c>
      <c r="J42" s="50" t="n">
        <v>0.03</v>
      </c>
      <c r="K42" s="52" t="n">
        <v>0.02</v>
      </c>
    </row>
    <row r="43" customFormat="false" ht="15" hidden="false" customHeight="false" outlineLevel="0" collapsed="false">
      <c r="A43" s="49" t="s">
        <v>235</v>
      </c>
      <c r="B43" s="37" t="s">
        <v>9</v>
      </c>
      <c r="C43" s="44" t="n">
        <v>50</v>
      </c>
      <c r="D43" s="44" t="n">
        <v>200</v>
      </c>
      <c r="E43" s="44" t="n">
        <v>400</v>
      </c>
      <c r="F43" s="44" t="n">
        <v>650</v>
      </c>
      <c r="G43" s="44" t="n">
        <v>900</v>
      </c>
      <c r="H43" s="51" t="n">
        <v>0.14</v>
      </c>
      <c r="I43" s="50" t="n">
        <v>0.12</v>
      </c>
      <c r="J43" s="50" t="n">
        <v>0.06</v>
      </c>
      <c r="K43" s="52" t="n">
        <v>0.018</v>
      </c>
    </row>
    <row r="44" customFormat="false" ht="15" hidden="false" customHeight="false" outlineLevel="0" collapsed="false">
      <c r="A44" s="49" t="s">
        <v>236</v>
      </c>
      <c r="B44" s="37" t="s">
        <v>9</v>
      </c>
      <c r="C44" s="44" t="n">
        <v>40</v>
      </c>
      <c r="D44" s="44" t="n">
        <v>180</v>
      </c>
      <c r="E44" s="44" t="n">
        <v>350</v>
      </c>
      <c r="F44" s="44" t="n">
        <v>550</v>
      </c>
      <c r="G44" s="44" t="n">
        <v>750</v>
      </c>
      <c r="H44" s="51" t="n">
        <v>0.26</v>
      </c>
      <c r="I44" s="50" t="n">
        <v>0.2</v>
      </c>
      <c r="J44" s="50" t="n">
        <v>0.08</v>
      </c>
      <c r="K44" s="52" t="n">
        <v>0.028</v>
      </c>
    </row>
    <row r="45" customFormat="false" ht="15" hidden="false" customHeight="false" outlineLevel="0" collapsed="false">
      <c r="A45" s="49" t="s">
        <v>237</v>
      </c>
      <c r="B45" s="37" t="s">
        <v>9</v>
      </c>
      <c r="C45" s="44" t="n">
        <v>30</v>
      </c>
      <c r="D45" s="44" t="n">
        <v>100</v>
      </c>
      <c r="E45" s="44" t="n">
        <v>200</v>
      </c>
      <c r="F45" s="44" t="n">
        <v>300</v>
      </c>
      <c r="G45" s="44" t="n">
        <v>400</v>
      </c>
      <c r="H45" s="51" t="n">
        <v>0.55</v>
      </c>
      <c r="I45" s="50" t="n">
        <v>0.06</v>
      </c>
      <c r="J45" s="50" t="n">
        <v>0.1</v>
      </c>
      <c r="K45" s="52" t="n">
        <v>0.14</v>
      </c>
    </row>
    <row r="46" customFormat="false" ht="15" hidden="false" customHeight="false" outlineLevel="0" collapsed="false">
      <c r="A46" s="49" t="s">
        <v>238</v>
      </c>
      <c r="B46" s="37" t="s">
        <v>9</v>
      </c>
      <c r="C46" s="44" t="n">
        <v>40</v>
      </c>
      <c r="D46" s="44" t="n">
        <v>150</v>
      </c>
      <c r="E46" s="44" t="n">
        <v>300</v>
      </c>
      <c r="F46" s="44" t="n">
        <v>450</v>
      </c>
      <c r="G46" s="44" t="n">
        <v>600</v>
      </c>
      <c r="H46" s="51" t="n">
        <v>0.05</v>
      </c>
      <c r="I46" s="50" t="n">
        <v>0.25</v>
      </c>
      <c r="J46" s="50" t="n">
        <v>0.04</v>
      </c>
      <c r="K46" s="52" t="n">
        <v>0.022</v>
      </c>
    </row>
    <row r="48" customFormat="false" ht="15" hidden="false" customHeight="false" outlineLevel="0" collapsed="false">
      <c r="C48" s="53" t="s">
        <v>81</v>
      </c>
      <c r="D48" s="53" t="s">
        <v>82</v>
      </c>
      <c r="E48" s="53" t="s">
        <v>83</v>
      </c>
      <c r="F48" s="53" t="s">
        <v>84</v>
      </c>
      <c r="G48" s="53" t="s">
        <v>85</v>
      </c>
    </row>
    <row r="49" customFormat="false" ht="15" hidden="false" customHeight="false" outlineLevel="0" collapsed="false">
      <c r="A49" s="12" t="s">
        <v>239</v>
      </c>
      <c r="B49" s="37" t="s">
        <v>240</v>
      </c>
      <c r="C49" s="50" t="n">
        <v>0.4</v>
      </c>
      <c r="D49" s="50" t="n">
        <v>0.42</v>
      </c>
      <c r="E49" s="50" t="n">
        <v>0.45</v>
      </c>
      <c r="F49" s="50" t="n">
        <v>0.47</v>
      </c>
      <c r="G49" s="50" t="n">
        <v>0.48</v>
      </c>
    </row>
    <row r="50" customFormat="false" ht="15" hidden="false" customHeight="false" outlineLevel="0" collapsed="false">
      <c r="A50" s="12" t="s">
        <v>241</v>
      </c>
      <c r="B50" s="37" t="s">
        <v>240</v>
      </c>
      <c r="C50" s="52" t="n">
        <v>0.012</v>
      </c>
      <c r="D50" s="52" t="n">
        <v>0.015</v>
      </c>
      <c r="E50" s="52" t="n">
        <v>0.018</v>
      </c>
      <c r="F50" s="52" t="n">
        <v>0.021</v>
      </c>
      <c r="G50" s="52" t="n">
        <v>0.024</v>
      </c>
    </row>
    <row r="51" customFormat="false" ht="15" hidden="false" customHeight="false" outlineLevel="0" collapsed="false">
      <c r="A51" s="12" t="s">
        <v>242</v>
      </c>
      <c r="B51" s="37" t="s">
        <v>240</v>
      </c>
      <c r="C51" s="52" t="n">
        <v>0.035</v>
      </c>
      <c r="D51" s="52" t="n">
        <v>0.04</v>
      </c>
      <c r="E51" s="52" t="n">
        <v>0.045</v>
      </c>
      <c r="F51" s="52" t="n">
        <v>0.05</v>
      </c>
      <c r="G51" s="52" t="n">
        <v>0.055</v>
      </c>
      <c r="X51" s="40" t="s">
        <v>243</v>
      </c>
    </row>
    <row r="53" customFormat="false" ht="16.5" hidden="false" customHeight="true" outlineLevel="0" collapsed="false">
      <c r="A53" s="15" t="s">
        <v>244</v>
      </c>
      <c r="B53" s="15"/>
      <c r="C53" s="15"/>
      <c r="D53" s="15"/>
      <c r="E53" s="15"/>
      <c r="F53" s="15"/>
      <c r="G53" s="15"/>
      <c r="H53" s="15"/>
      <c r="I53" s="15"/>
      <c r="J53" s="15"/>
      <c r="K53" s="15"/>
      <c r="L53" s="15"/>
      <c r="M53" s="15"/>
      <c r="N53" s="15"/>
      <c r="O53" s="15"/>
      <c r="P53" s="15"/>
      <c r="Q53" s="15"/>
      <c r="R53" s="15"/>
      <c r="S53" s="15"/>
      <c r="T53" s="15"/>
      <c r="U53" s="15"/>
      <c r="V53" s="15"/>
      <c r="W53" s="15"/>
      <c r="X53" s="15"/>
      <c r="Y53" s="15"/>
    </row>
    <row r="54" customFormat="false" ht="15" hidden="false" customHeight="false" outlineLevel="0" collapsed="false">
      <c r="A54" s="42" t="s">
        <v>245</v>
      </c>
      <c r="B54" s="42"/>
      <c r="C54" s="42"/>
      <c r="D54" s="42"/>
      <c r="E54" s="42"/>
      <c r="F54" s="42"/>
      <c r="G54" s="42"/>
      <c r="H54" s="42"/>
      <c r="I54" s="42"/>
      <c r="J54" s="42"/>
      <c r="K54" s="42"/>
      <c r="L54" s="42"/>
      <c r="M54" s="42"/>
      <c r="N54" s="42"/>
      <c r="O54" s="42"/>
      <c r="P54" s="42"/>
    </row>
    <row r="55" customFormat="false" ht="27.75" hidden="false" customHeight="true" outlineLevel="0" collapsed="false">
      <c r="A55" s="26" t="s">
        <v>246</v>
      </c>
      <c r="B55" s="26"/>
      <c r="C55" s="48" t="s">
        <v>247</v>
      </c>
      <c r="D55" s="48" t="s">
        <v>248</v>
      </c>
      <c r="E55" s="48" t="s">
        <v>249</v>
      </c>
      <c r="F55" s="48" t="s">
        <v>250</v>
      </c>
      <c r="G55" s="48" t="s">
        <v>251</v>
      </c>
      <c r="H55" s="48" t="s">
        <v>252</v>
      </c>
      <c r="I55" s="48" t="s">
        <v>253</v>
      </c>
      <c r="J55" s="48" t="s">
        <v>254</v>
      </c>
    </row>
    <row r="56" customFormat="false" ht="15" hidden="false" customHeight="false" outlineLevel="0" collapsed="false">
      <c r="A56" s="49" t="s">
        <v>255</v>
      </c>
      <c r="B56" s="37" t="s">
        <v>206</v>
      </c>
      <c r="C56" s="54" t="n">
        <v>1</v>
      </c>
      <c r="D56" s="54" t="n">
        <v>4</v>
      </c>
      <c r="E56" s="54" t="n">
        <v>8</v>
      </c>
      <c r="F56" s="54" t="n">
        <v>11</v>
      </c>
      <c r="G56" s="54" t="n">
        <v>14</v>
      </c>
      <c r="H56" s="44" t="n">
        <v>180</v>
      </c>
      <c r="I56" s="43" t="n">
        <v>30</v>
      </c>
      <c r="J56" s="54" t="n">
        <v>0.8</v>
      </c>
      <c r="X56" s="40" t="s">
        <v>256</v>
      </c>
    </row>
    <row r="57" customFormat="false" ht="15" hidden="false" customHeight="false" outlineLevel="0" collapsed="false">
      <c r="A57" s="49" t="s">
        <v>257</v>
      </c>
      <c r="B57" s="37" t="s">
        <v>206</v>
      </c>
      <c r="C57" s="54" t="n">
        <v>2</v>
      </c>
      <c r="D57" s="54" t="n">
        <v>5</v>
      </c>
      <c r="E57" s="54" t="n">
        <v>9</v>
      </c>
      <c r="F57" s="54" t="n">
        <v>12</v>
      </c>
      <c r="G57" s="54" t="n">
        <v>15</v>
      </c>
      <c r="H57" s="44" t="n">
        <v>80</v>
      </c>
      <c r="I57" s="43" t="n">
        <v>22</v>
      </c>
      <c r="J57" s="54" t="n">
        <v>0.3</v>
      </c>
      <c r="X57" s="40" t="s">
        <v>258</v>
      </c>
    </row>
    <row r="58" customFormat="false" ht="15" hidden="false" customHeight="false" outlineLevel="0" collapsed="false">
      <c r="A58" s="49" t="s">
        <v>259</v>
      </c>
      <c r="B58" s="37" t="s">
        <v>206</v>
      </c>
      <c r="C58" s="54" t="n">
        <v>0.2</v>
      </c>
      <c r="D58" s="54" t="n">
        <v>1</v>
      </c>
      <c r="E58" s="54" t="n">
        <v>2</v>
      </c>
      <c r="F58" s="54" t="n">
        <v>2.5</v>
      </c>
      <c r="G58" s="54" t="n">
        <v>3</v>
      </c>
      <c r="H58" s="44" t="n">
        <v>600</v>
      </c>
      <c r="I58" s="43" t="n">
        <v>80</v>
      </c>
      <c r="J58" s="54" t="n">
        <v>1.8</v>
      </c>
      <c r="X58" s="40" t="s">
        <v>260</v>
      </c>
    </row>
    <row r="59" customFormat="false" ht="15" hidden="false" customHeight="false" outlineLevel="0" collapsed="false">
      <c r="A59" s="49" t="s">
        <v>261</v>
      </c>
      <c r="B59" s="37" t="s">
        <v>206</v>
      </c>
      <c r="C59" s="54" t="n">
        <v>0.3</v>
      </c>
      <c r="D59" s="54" t="n">
        <v>1.5</v>
      </c>
      <c r="E59" s="54" t="n">
        <v>3</v>
      </c>
      <c r="F59" s="54" t="n">
        <v>4</v>
      </c>
      <c r="G59" s="54" t="n">
        <v>5</v>
      </c>
      <c r="H59" s="44" t="n">
        <v>150</v>
      </c>
      <c r="I59" s="43" t="n">
        <v>40</v>
      </c>
      <c r="J59" s="54" t="n">
        <v>1</v>
      </c>
    </row>
    <row r="60" customFormat="false" ht="15" hidden="false" customHeight="false" outlineLevel="0" collapsed="false">
      <c r="A60" s="49" t="s">
        <v>262</v>
      </c>
      <c r="B60" s="37" t="s">
        <v>206</v>
      </c>
      <c r="C60" s="54" t="n">
        <v>30</v>
      </c>
      <c r="D60" s="54" t="n">
        <v>40</v>
      </c>
      <c r="E60" s="54" t="n">
        <v>55</v>
      </c>
      <c r="F60" s="54" t="n">
        <v>70</v>
      </c>
      <c r="G60" s="54" t="n">
        <v>85</v>
      </c>
      <c r="H60" s="44" t="n">
        <v>0</v>
      </c>
      <c r="I60" s="43" t="n">
        <v>0</v>
      </c>
      <c r="J60" s="54" t="n">
        <v>1</v>
      </c>
      <c r="X60" s="40" t="s">
        <v>263</v>
      </c>
    </row>
    <row r="62" customFormat="false" ht="17.9" hidden="false" customHeight="false" outlineLevel="0" collapsed="false">
      <c r="A62" s="12" t="s">
        <v>264</v>
      </c>
      <c r="B62" s="37" t="s">
        <v>206</v>
      </c>
      <c r="C62" s="54" t="n">
        <v>8</v>
      </c>
      <c r="X62" s="40" t="s">
        <v>265</v>
      </c>
    </row>
    <row r="63" customFormat="false" ht="15" hidden="false" customHeight="false" outlineLevel="0" collapsed="false">
      <c r="A63" s="12" t="s">
        <v>266</v>
      </c>
      <c r="B63" s="37" t="s">
        <v>240</v>
      </c>
      <c r="C63" s="50" t="n">
        <v>0.55</v>
      </c>
      <c r="X63" s="40" t="s">
        <v>267</v>
      </c>
    </row>
    <row r="65" customFormat="false" ht="16.5" hidden="false" customHeight="true" outlineLevel="0" collapsed="false">
      <c r="A65" s="15" t="s">
        <v>268</v>
      </c>
      <c r="B65" s="15"/>
      <c r="C65" s="15"/>
      <c r="D65" s="15"/>
      <c r="E65" s="15"/>
      <c r="F65" s="15"/>
      <c r="G65" s="15"/>
      <c r="H65" s="15"/>
      <c r="I65" s="15"/>
      <c r="J65" s="15"/>
      <c r="K65" s="15"/>
      <c r="L65" s="15"/>
      <c r="M65" s="15"/>
      <c r="N65" s="15"/>
      <c r="O65" s="15"/>
      <c r="P65" s="15"/>
      <c r="Q65" s="15"/>
      <c r="R65" s="15"/>
      <c r="S65" s="15"/>
      <c r="T65" s="15"/>
      <c r="U65" s="15"/>
      <c r="V65" s="15"/>
      <c r="W65" s="15"/>
      <c r="X65" s="15"/>
      <c r="Y65" s="15"/>
    </row>
    <row r="66" customFormat="false" ht="15" hidden="false" customHeight="false" outlineLevel="0" collapsed="false">
      <c r="A66" s="42" t="s">
        <v>269</v>
      </c>
      <c r="B66" s="42"/>
      <c r="C66" s="42"/>
      <c r="D66" s="42"/>
      <c r="E66" s="42"/>
      <c r="F66" s="42"/>
      <c r="G66" s="42"/>
      <c r="H66" s="42"/>
      <c r="I66" s="42"/>
      <c r="J66" s="42"/>
      <c r="K66" s="42"/>
      <c r="L66" s="42"/>
      <c r="M66" s="42"/>
      <c r="N66" s="42"/>
      <c r="O66" s="42"/>
      <c r="P66" s="42"/>
    </row>
    <row r="67" customFormat="false" ht="31.5" hidden="false" customHeight="true" outlineLevel="0" collapsed="false">
      <c r="A67" s="26" t="s">
        <v>270</v>
      </c>
      <c r="B67" s="26"/>
      <c r="C67" s="48" t="s">
        <v>271</v>
      </c>
      <c r="D67" s="48" t="s">
        <v>272</v>
      </c>
      <c r="E67" s="48" t="s">
        <v>273</v>
      </c>
      <c r="F67" s="48" t="s">
        <v>274</v>
      </c>
      <c r="G67" s="48" t="s">
        <v>275</v>
      </c>
      <c r="H67" s="48" t="s">
        <v>276</v>
      </c>
    </row>
    <row r="68" customFormat="false" ht="15" hidden="false" customHeight="false" outlineLevel="0" collapsed="false">
      <c r="A68" s="49" t="s">
        <v>277</v>
      </c>
      <c r="B68" s="37" t="s">
        <v>240</v>
      </c>
      <c r="C68" s="50" t="n">
        <v>0.4</v>
      </c>
      <c r="D68" s="50" t="n">
        <v>0.4</v>
      </c>
      <c r="E68" s="50" t="n">
        <v>0.45</v>
      </c>
      <c r="F68" s="50" t="n">
        <v>0.28</v>
      </c>
      <c r="G68" s="43" t="n">
        <v>1</v>
      </c>
      <c r="H68" s="43" t="n">
        <v>2</v>
      </c>
      <c r="X68" s="40" t="s">
        <v>278</v>
      </c>
    </row>
    <row r="69" customFormat="false" ht="15" hidden="false" customHeight="false" outlineLevel="0" collapsed="false">
      <c r="A69" s="49" t="s">
        <v>279</v>
      </c>
      <c r="B69" s="37" t="s">
        <v>240</v>
      </c>
      <c r="C69" s="50" t="n">
        <v>0.16</v>
      </c>
      <c r="D69" s="50" t="n">
        <v>0.35</v>
      </c>
      <c r="E69" s="50" t="n">
        <v>0.4</v>
      </c>
      <c r="F69" s="50" t="n">
        <v>0.25</v>
      </c>
      <c r="G69" s="43" t="n">
        <v>1</v>
      </c>
      <c r="H69" s="43" t="n">
        <v>1</v>
      </c>
      <c r="X69" s="40" t="s">
        <v>280</v>
      </c>
    </row>
    <row r="70" customFormat="false" ht="15" hidden="false" customHeight="false" outlineLevel="0" collapsed="false">
      <c r="A70" s="49" t="s">
        <v>281</v>
      </c>
      <c r="B70" s="37" t="s">
        <v>240</v>
      </c>
      <c r="C70" s="50" t="n">
        <v>0.14</v>
      </c>
      <c r="D70" s="50" t="n">
        <v>0.3</v>
      </c>
      <c r="E70" s="50" t="n">
        <v>0.35</v>
      </c>
      <c r="F70" s="50" t="n">
        <v>0.2</v>
      </c>
      <c r="G70" s="43" t="n">
        <v>1</v>
      </c>
      <c r="H70" s="43" t="n">
        <v>3</v>
      </c>
      <c r="X70" s="40" t="s">
        <v>282</v>
      </c>
    </row>
    <row r="71" customFormat="false" ht="15" hidden="false" customHeight="false" outlineLevel="0" collapsed="false">
      <c r="A71" s="49" t="s">
        <v>283</v>
      </c>
      <c r="B71" s="37" t="s">
        <v>240</v>
      </c>
      <c r="C71" s="50" t="n">
        <v>0.12</v>
      </c>
      <c r="D71" s="50" t="n">
        <v>0.25</v>
      </c>
      <c r="E71" s="50" t="n">
        <v>0.3</v>
      </c>
      <c r="F71" s="50" t="n">
        <v>0.2</v>
      </c>
      <c r="G71" s="43" t="n">
        <v>1</v>
      </c>
      <c r="H71" s="43" t="n">
        <v>3</v>
      </c>
      <c r="X71" s="40" t="s">
        <v>284</v>
      </c>
    </row>
    <row r="72" customFormat="false" ht="15" hidden="false" customHeight="false" outlineLevel="0" collapsed="false">
      <c r="A72" s="49" t="s">
        <v>285</v>
      </c>
      <c r="B72" s="37" t="s">
        <v>240</v>
      </c>
      <c r="C72" s="50" t="n">
        <v>0.1</v>
      </c>
      <c r="D72" s="50" t="n">
        <v>0.3</v>
      </c>
      <c r="E72" s="50" t="n">
        <v>0.35</v>
      </c>
      <c r="F72" s="50" t="n">
        <v>0.22</v>
      </c>
      <c r="G72" s="43" t="n">
        <v>1</v>
      </c>
      <c r="H72" s="43" t="n">
        <v>2</v>
      </c>
      <c r="X72" s="40" t="s">
        <v>286</v>
      </c>
    </row>
    <row r="73" customFormat="false" ht="15" hidden="false" customHeight="false" outlineLevel="0" collapsed="false">
      <c r="A73" s="49" t="s">
        <v>287</v>
      </c>
      <c r="B73" s="37" t="s">
        <v>240</v>
      </c>
      <c r="C73" s="50" t="n">
        <v>0.08</v>
      </c>
      <c r="D73" s="50" t="n">
        <v>0.45</v>
      </c>
      <c r="E73" s="50" t="n">
        <v>0.5</v>
      </c>
      <c r="F73" s="50" t="n">
        <v>0.35</v>
      </c>
      <c r="G73" s="43" t="n">
        <v>1</v>
      </c>
      <c r="H73" s="43" t="n">
        <v>1</v>
      </c>
      <c r="X73" s="40" t="s">
        <v>288</v>
      </c>
    </row>
    <row r="74" customFormat="false" ht="15" hidden="false" customHeight="false" outlineLevel="0" collapsed="false">
      <c r="C74" s="55" t="n">
        <f aca="false">SUM(C68:C73)</f>
        <v>1</v>
      </c>
      <c r="D74" s="22" t="s">
        <v>289</v>
      </c>
    </row>
    <row r="76" customFormat="false" ht="15" hidden="false" customHeight="false" outlineLevel="0" collapsed="false">
      <c r="C76" s="53" t="s">
        <v>81</v>
      </c>
      <c r="D76" s="53" t="s">
        <v>82</v>
      </c>
      <c r="E76" s="53" t="s">
        <v>83</v>
      </c>
      <c r="F76" s="53" t="s">
        <v>84</v>
      </c>
      <c r="G76" s="53" t="s">
        <v>85</v>
      </c>
    </row>
    <row r="77" customFormat="false" ht="15" hidden="false" customHeight="false" outlineLevel="0" collapsed="false">
      <c r="A77" s="12" t="s">
        <v>290</v>
      </c>
      <c r="B77" s="37" t="s">
        <v>291</v>
      </c>
      <c r="C77" s="56" t="n">
        <v>1</v>
      </c>
      <c r="D77" s="56" t="n">
        <v>1.1</v>
      </c>
      <c r="E77" s="56" t="n">
        <v>1.2</v>
      </c>
      <c r="F77" s="56" t="n">
        <v>1.25</v>
      </c>
      <c r="G77" s="56" t="n">
        <v>1.3</v>
      </c>
      <c r="X77" s="40" t="s">
        <v>292</v>
      </c>
    </row>
    <row r="79" customFormat="false" ht="16.5" hidden="false" customHeight="true" outlineLevel="0" collapsed="false">
      <c r="A79" s="15" t="s">
        <v>293</v>
      </c>
      <c r="B79" s="15"/>
      <c r="C79" s="15"/>
      <c r="D79" s="15"/>
      <c r="E79" s="15"/>
      <c r="F79" s="15"/>
      <c r="G79" s="15"/>
      <c r="H79" s="15"/>
      <c r="I79" s="15"/>
      <c r="J79" s="15"/>
      <c r="K79" s="15"/>
      <c r="L79" s="15"/>
      <c r="M79" s="15"/>
      <c r="N79" s="15"/>
      <c r="O79" s="15"/>
      <c r="P79" s="15"/>
      <c r="Q79" s="15"/>
      <c r="R79" s="15"/>
      <c r="S79" s="15"/>
      <c r="T79" s="15"/>
      <c r="U79" s="15"/>
      <c r="V79" s="15"/>
      <c r="W79" s="15"/>
      <c r="X79" s="15"/>
      <c r="Y79" s="15"/>
    </row>
    <row r="80" customFormat="false" ht="15" hidden="false" customHeight="false" outlineLevel="0" collapsed="false">
      <c r="A80" s="42" t="s">
        <v>294</v>
      </c>
      <c r="B80" s="42"/>
      <c r="C80" s="42"/>
      <c r="D80" s="42"/>
      <c r="E80" s="42"/>
      <c r="F80" s="42"/>
      <c r="G80" s="42"/>
      <c r="H80" s="42"/>
      <c r="I80" s="42"/>
      <c r="J80" s="42"/>
      <c r="K80" s="42"/>
      <c r="L80" s="42"/>
      <c r="M80" s="42"/>
      <c r="N80" s="42"/>
      <c r="O80" s="42"/>
      <c r="P80" s="42"/>
    </row>
    <row r="81" customFormat="false" ht="30" hidden="false" customHeight="true" outlineLevel="0" collapsed="false">
      <c r="A81" s="26" t="s">
        <v>295</v>
      </c>
      <c r="B81" s="26" t="s">
        <v>296</v>
      </c>
      <c r="C81" s="48" t="s">
        <v>297</v>
      </c>
      <c r="D81" s="48" t="s">
        <v>298</v>
      </c>
      <c r="E81" s="48" t="s">
        <v>299</v>
      </c>
      <c r="F81" s="48" t="s">
        <v>300</v>
      </c>
    </row>
    <row r="82" customFormat="false" ht="15" hidden="false" customHeight="false" outlineLevel="0" collapsed="false">
      <c r="A82" s="49" t="s">
        <v>255</v>
      </c>
      <c r="B82" s="22" t="s">
        <v>301</v>
      </c>
      <c r="C82" s="41" t="n">
        <v>4</v>
      </c>
      <c r="D82" s="41" t="n">
        <v>1</v>
      </c>
      <c r="E82" s="41" t="n">
        <v>0.1</v>
      </c>
      <c r="F82" s="41" t="n">
        <v>0.5</v>
      </c>
      <c r="X82" s="40" t="s">
        <v>302</v>
      </c>
    </row>
    <row r="83" customFormat="false" ht="15" hidden="false" customHeight="false" outlineLevel="0" collapsed="false">
      <c r="A83" s="49" t="s">
        <v>257</v>
      </c>
      <c r="B83" s="22" t="s">
        <v>303</v>
      </c>
      <c r="C83" s="41" t="n">
        <v>2</v>
      </c>
      <c r="D83" s="41" t="n">
        <v>0.5</v>
      </c>
      <c r="E83" s="41" t="n">
        <v>0.6</v>
      </c>
      <c r="F83" s="41" t="n">
        <v>0</v>
      </c>
      <c r="X83" s="40" t="s">
        <v>302</v>
      </c>
    </row>
    <row r="84" customFormat="false" ht="15" hidden="false" customHeight="false" outlineLevel="0" collapsed="false">
      <c r="A84" s="49" t="s">
        <v>259</v>
      </c>
      <c r="B84" s="22" t="s">
        <v>304</v>
      </c>
      <c r="C84" s="41" t="n">
        <v>0.6</v>
      </c>
      <c r="D84" s="41" t="n">
        <v>0.3</v>
      </c>
      <c r="E84" s="41" t="n">
        <v>0.02</v>
      </c>
      <c r="F84" s="41" t="n">
        <v>0.1</v>
      </c>
      <c r="X84" s="40" t="s">
        <v>302</v>
      </c>
    </row>
    <row r="85" customFormat="false" ht="15" hidden="false" customHeight="false" outlineLevel="0" collapsed="false">
      <c r="A85" s="49" t="s">
        <v>261</v>
      </c>
      <c r="B85" s="22" t="s">
        <v>301</v>
      </c>
      <c r="C85" s="41" t="n">
        <v>1.5</v>
      </c>
      <c r="D85" s="41" t="n">
        <v>0.5</v>
      </c>
      <c r="E85" s="41" t="n">
        <v>0</v>
      </c>
      <c r="F85" s="41" t="n">
        <v>0.8</v>
      </c>
      <c r="X85" s="40" t="s">
        <v>302</v>
      </c>
    </row>
    <row r="86" customFormat="false" ht="15" hidden="false" customHeight="false" outlineLevel="0" collapsed="false">
      <c r="A86" s="49" t="s">
        <v>262</v>
      </c>
      <c r="B86" s="22" t="s">
        <v>304</v>
      </c>
      <c r="C86" s="41" t="n">
        <v>12</v>
      </c>
      <c r="D86" s="41" t="n">
        <v>4</v>
      </c>
      <c r="E86" s="41" t="n">
        <v>0</v>
      </c>
      <c r="F86" s="41" t="n">
        <v>0</v>
      </c>
      <c r="X86" s="40" t="s">
        <v>302</v>
      </c>
    </row>
    <row r="88" customFormat="false" ht="15" hidden="false" customHeight="false" outlineLevel="0" collapsed="false">
      <c r="A88" s="12" t="s">
        <v>305</v>
      </c>
      <c r="B88" s="37" t="s">
        <v>206</v>
      </c>
      <c r="C88" s="43" t="n">
        <v>14</v>
      </c>
      <c r="X88" s="40" t="s">
        <v>306</v>
      </c>
    </row>
    <row r="89" customFormat="false" ht="15" hidden="false" customHeight="false" outlineLevel="0" collapsed="false">
      <c r="A89" s="12" t="s">
        <v>307</v>
      </c>
      <c r="B89" s="37" t="s">
        <v>206</v>
      </c>
      <c r="C89" s="43" t="n">
        <v>6</v>
      </c>
      <c r="X89" s="40" t="s">
        <v>308</v>
      </c>
    </row>
    <row r="90" customFormat="false" ht="15" hidden="false" customHeight="false" outlineLevel="0" collapsed="false">
      <c r="A90" s="12" t="s">
        <v>309</v>
      </c>
      <c r="B90" s="37" t="s">
        <v>206</v>
      </c>
      <c r="C90" s="43" t="n">
        <v>4</v>
      </c>
    </row>
    <row r="92" customFormat="false" ht="16.5" hidden="false" customHeight="true" outlineLevel="0" collapsed="false">
      <c r="A92" s="15" t="s">
        <v>310</v>
      </c>
      <c r="B92" s="15"/>
      <c r="C92" s="15"/>
      <c r="D92" s="15"/>
      <c r="E92" s="15"/>
      <c r="F92" s="15"/>
      <c r="G92" s="15"/>
      <c r="H92" s="15"/>
      <c r="I92" s="15"/>
      <c r="J92" s="15"/>
      <c r="K92" s="15"/>
      <c r="L92" s="15"/>
      <c r="M92" s="15"/>
      <c r="N92" s="15"/>
      <c r="O92" s="15"/>
      <c r="P92" s="15"/>
      <c r="Q92" s="15"/>
      <c r="R92" s="15"/>
      <c r="S92" s="15"/>
      <c r="T92" s="15"/>
      <c r="U92" s="15"/>
      <c r="V92" s="15"/>
      <c r="W92" s="15"/>
      <c r="X92" s="15"/>
      <c r="Y92" s="15"/>
    </row>
    <row r="93" customFormat="false" ht="15" hidden="false" customHeight="false" outlineLevel="0" collapsed="false">
      <c r="A93" s="42" t="s">
        <v>311</v>
      </c>
      <c r="B93" s="42"/>
      <c r="C93" s="42"/>
      <c r="D93" s="42"/>
      <c r="E93" s="42"/>
      <c r="F93" s="42"/>
      <c r="G93" s="42"/>
      <c r="H93" s="42"/>
      <c r="I93" s="42"/>
      <c r="J93" s="42"/>
      <c r="K93" s="42"/>
      <c r="L93" s="42"/>
      <c r="M93" s="42"/>
      <c r="N93" s="42"/>
      <c r="O93" s="42"/>
      <c r="P93" s="42"/>
    </row>
    <row r="94" customFormat="false" ht="31.5" hidden="false" customHeight="true" outlineLevel="0" collapsed="false">
      <c r="A94" s="26" t="s">
        <v>211</v>
      </c>
      <c r="B94" s="26" t="s">
        <v>270</v>
      </c>
      <c r="C94" s="48" t="s">
        <v>312</v>
      </c>
      <c r="D94" s="48" t="s">
        <v>313</v>
      </c>
      <c r="E94" s="48" t="s">
        <v>314</v>
      </c>
      <c r="F94" s="48" t="s">
        <v>315</v>
      </c>
    </row>
    <row r="95" customFormat="false" ht="19.5" hidden="false" customHeight="true" outlineLevel="0" collapsed="false">
      <c r="A95" s="49" t="s">
        <v>316</v>
      </c>
      <c r="B95" s="57" t="s">
        <v>277</v>
      </c>
      <c r="C95" s="50" t="n">
        <v>0.5</v>
      </c>
      <c r="D95" s="43" t="n">
        <v>8</v>
      </c>
      <c r="E95" s="43" t="n">
        <v>12</v>
      </c>
      <c r="F95" s="43" t="n">
        <v>1</v>
      </c>
      <c r="G95" s="22" t="s">
        <v>317</v>
      </c>
      <c r="X95" s="40" t="s">
        <v>318</v>
      </c>
    </row>
    <row r="96" customFormat="false" ht="19.5" hidden="false" customHeight="true" outlineLevel="0" collapsed="false">
      <c r="A96" s="49" t="s">
        <v>319</v>
      </c>
      <c r="B96" s="57" t="s">
        <v>277</v>
      </c>
      <c r="C96" s="50" t="n">
        <v>0.12</v>
      </c>
      <c r="D96" s="43" t="n">
        <v>8</v>
      </c>
      <c r="E96" s="43" t="n">
        <v>12</v>
      </c>
      <c r="F96" s="43" t="n">
        <v>1</v>
      </c>
      <c r="G96" s="22" t="s">
        <v>317</v>
      </c>
      <c r="X96" s="40" t="s">
        <v>320</v>
      </c>
    </row>
    <row r="97" customFormat="false" ht="19.5" hidden="false" customHeight="true" outlineLevel="0" collapsed="false">
      <c r="A97" s="49" t="s">
        <v>321</v>
      </c>
      <c r="B97" s="57" t="s">
        <v>277</v>
      </c>
      <c r="C97" s="50" t="n">
        <v>0.08</v>
      </c>
      <c r="D97" s="43" t="n">
        <v>1</v>
      </c>
      <c r="E97" s="43" t="n">
        <v>12</v>
      </c>
      <c r="F97" s="43" t="n">
        <v>1</v>
      </c>
      <c r="G97" s="22" t="s">
        <v>322</v>
      </c>
      <c r="X97" s="40" t="s">
        <v>320</v>
      </c>
    </row>
    <row r="98" customFormat="false" ht="19.5" hidden="false" customHeight="true" outlineLevel="0" collapsed="false">
      <c r="A98" s="49" t="s">
        <v>323</v>
      </c>
      <c r="B98" s="57" t="s">
        <v>277</v>
      </c>
      <c r="C98" s="50" t="n">
        <v>0.2</v>
      </c>
      <c r="D98" s="43" t="n">
        <v>7</v>
      </c>
      <c r="E98" s="43" t="n">
        <v>12</v>
      </c>
      <c r="F98" s="43" t="n">
        <v>1</v>
      </c>
      <c r="G98" s="22" t="s">
        <v>317</v>
      </c>
      <c r="X98" s="40" t="s">
        <v>320</v>
      </c>
    </row>
    <row r="99" customFormat="false" ht="19.5" hidden="false" customHeight="true" outlineLevel="0" collapsed="false">
      <c r="A99" s="49" t="s">
        <v>324</v>
      </c>
      <c r="B99" s="57" t="s">
        <v>277</v>
      </c>
      <c r="C99" s="50" t="n">
        <v>0.04</v>
      </c>
      <c r="D99" s="43" t="n">
        <v>1</v>
      </c>
      <c r="E99" s="43" t="n">
        <v>12</v>
      </c>
      <c r="F99" s="43" t="n">
        <v>1</v>
      </c>
      <c r="G99" s="22" t="s">
        <v>322</v>
      </c>
      <c r="X99" s="40" t="s">
        <v>320</v>
      </c>
    </row>
    <row r="100" customFormat="false" ht="19.5" hidden="false" customHeight="true" outlineLevel="0" collapsed="false">
      <c r="A100" s="49" t="s">
        <v>325</v>
      </c>
      <c r="B100" s="57" t="s">
        <v>277</v>
      </c>
      <c r="C100" s="50" t="n">
        <v>0.06</v>
      </c>
      <c r="D100" s="43" t="n">
        <v>6</v>
      </c>
      <c r="E100" s="43" t="n">
        <v>12</v>
      </c>
      <c r="F100" s="43" t="n">
        <v>1</v>
      </c>
      <c r="G100" s="22" t="s">
        <v>317</v>
      </c>
      <c r="X100" s="40" t="s">
        <v>320</v>
      </c>
    </row>
    <row r="101" customFormat="false" ht="19.5" hidden="false" customHeight="true" outlineLevel="0" collapsed="false">
      <c r="A101" s="49" t="s">
        <v>326</v>
      </c>
      <c r="B101" s="57" t="s">
        <v>283</v>
      </c>
      <c r="C101" s="50" t="n">
        <v>0.7</v>
      </c>
      <c r="D101" s="43" t="n">
        <v>20000</v>
      </c>
      <c r="E101" s="43" t="n">
        <v>12</v>
      </c>
      <c r="F101" s="43" t="n">
        <v>1</v>
      </c>
      <c r="G101" s="22" t="s">
        <v>327</v>
      </c>
      <c r="X101" s="40" t="s">
        <v>320</v>
      </c>
    </row>
    <row r="102" customFormat="false" ht="19.5" hidden="false" customHeight="true" outlineLevel="0" collapsed="false">
      <c r="A102" s="49" t="s">
        <v>328</v>
      </c>
      <c r="B102" s="57" t="s">
        <v>283</v>
      </c>
      <c r="C102" s="50" t="n">
        <v>0.3</v>
      </c>
      <c r="D102" s="43" t="n">
        <v>3</v>
      </c>
      <c r="E102" s="43" t="n">
        <v>12</v>
      </c>
      <c r="F102" s="43" t="n">
        <v>1</v>
      </c>
      <c r="G102" s="22" t="s">
        <v>317</v>
      </c>
      <c r="X102" s="40" t="s">
        <v>329</v>
      </c>
    </row>
    <row r="103" customFormat="false" ht="19.5" hidden="false" customHeight="true" outlineLevel="0" collapsed="false">
      <c r="A103" s="49" t="s">
        <v>330</v>
      </c>
      <c r="B103" s="57" t="s">
        <v>281</v>
      </c>
      <c r="C103" s="50" t="n">
        <v>1</v>
      </c>
      <c r="D103" s="43" t="n">
        <v>3</v>
      </c>
      <c r="E103" s="43" t="n">
        <v>12</v>
      </c>
      <c r="F103" s="43" t="n">
        <v>1</v>
      </c>
      <c r="G103" s="22" t="s">
        <v>331</v>
      </c>
      <c r="X103" s="40" t="s">
        <v>320</v>
      </c>
    </row>
    <row r="104" customFormat="false" ht="19.5" hidden="false" customHeight="true" outlineLevel="0" collapsed="false">
      <c r="A104" s="49" t="s">
        <v>332</v>
      </c>
      <c r="B104" s="57" t="s">
        <v>279</v>
      </c>
      <c r="C104" s="50" t="n">
        <v>0.65</v>
      </c>
      <c r="D104" s="43" t="n">
        <v>3</v>
      </c>
      <c r="E104" s="43" t="n">
        <v>12</v>
      </c>
      <c r="F104" s="43" t="n">
        <v>1</v>
      </c>
      <c r="G104" s="22" t="s">
        <v>333</v>
      </c>
      <c r="X104" s="40" t="s">
        <v>334</v>
      </c>
    </row>
    <row r="105" customFormat="false" ht="19.5" hidden="false" customHeight="true" outlineLevel="0" collapsed="false">
      <c r="A105" s="49" t="s">
        <v>335</v>
      </c>
      <c r="B105" s="57" t="s">
        <v>279</v>
      </c>
      <c r="C105" s="50" t="n">
        <v>0.35</v>
      </c>
      <c r="D105" s="43" t="n">
        <v>2</v>
      </c>
      <c r="E105" s="43" t="n">
        <v>12</v>
      </c>
      <c r="F105" s="43" t="n">
        <v>1</v>
      </c>
      <c r="G105" s="22" t="s">
        <v>336</v>
      </c>
      <c r="X105" s="40" t="s">
        <v>337</v>
      </c>
    </row>
    <row r="106" customFormat="false" ht="19.5" hidden="false" customHeight="true" outlineLevel="0" collapsed="false">
      <c r="A106" s="49" t="s">
        <v>338</v>
      </c>
      <c r="B106" s="57" t="s">
        <v>285</v>
      </c>
      <c r="C106" s="50" t="n">
        <v>1</v>
      </c>
      <c r="D106" s="43" t="n">
        <v>3</v>
      </c>
      <c r="E106" s="43" t="n">
        <v>12</v>
      </c>
      <c r="F106" s="43" t="n">
        <v>1</v>
      </c>
      <c r="G106" s="22" t="s">
        <v>331</v>
      </c>
      <c r="X106" s="40" t="s">
        <v>320</v>
      </c>
    </row>
    <row r="107" customFormat="false" ht="19.5" hidden="false" customHeight="true" outlineLevel="0" collapsed="false">
      <c r="A107" s="49" t="s">
        <v>339</v>
      </c>
      <c r="B107" s="57" t="s">
        <v>287</v>
      </c>
      <c r="C107" s="50" t="n">
        <v>1</v>
      </c>
      <c r="D107" s="43" t="n">
        <v>900</v>
      </c>
      <c r="E107" s="43" t="n">
        <v>12</v>
      </c>
      <c r="F107" s="43" t="n">
        <v>1</v>
      </c>
      <c r="G107" s="22" t="s">
        <v>327</v>
      </c>
      <c r="X107" s="40" t="s">
        <v>340</v>
      </c>
    </row>
    <row r="109" customFormat="false" ht="15" hidden="false" customHeight="false" outlineLevel="0" collapsed="false">
      <c r="A109" s="46" t="s">
        <v>341</v>
      </c>
    </row>
    <row r="110" customFormat="false" ht="15" hidden="false" customHeight="false" outlineLevel="0" collapsed="false">
      <c r="A110" s="58" t="s">
        <v>342</v>
      </c>
      <c r="C110" s="59" t="n">
        <f aca="false">C95+C96+C97+C98+C99+C100</f>
        <v>1</v>
      </c>
    </row>
    <row r="111" customFormat="false" ht="15" hidden="false" customHeight="false" outlineLevel="0" collapsed="false">
      <c r="A111" s="58" t="s">
        <v>343</v>
      </c>
      <c r="C111" s="59" t="n">
        <f aca="false">C104+C105</f>
        <v>1</v>
      </c>
    </row>
    <row r="112" customFormat="false" ht="15" hidden="false" customHeight="false" outlineLevel="0" collapsed="false">
      <c r="A112" s="58" t="s">
        <v>344</v>
      </c>
      <c r="C112" s="59" t="n">
        <f aca="false">C103</f>
        <v>1</v>
      </c>
    </row>
    <row r="113" customFormat="false" ht="15" hidden="false" customHeight="false" outlineLevel="0" collapsed="false">
      <c r="A113" s="58" t="s">
        <v>345</v>
      </c>
      <c r="C113" s="59" t="n">
        <f aca="false">C101+C102</f>
        <v>1</v>
      </c>
    </row>
    <row r="114" customFormat="false" ht="15" hidden="false" customHeight="false" outlineLevel="0" collapsed="false">
      <c r="A114" s="58" t="s">
        <v>346</v>
      </c>
      <c r="C114" s="59" t="n">
        <f aca="false">C106</f>
        <v>1</v>
      </c>
    </row>
    <row r="115" customFormat="false" ht="15" hidden="false" customHeight="false" outlineLevel="0" collapsed="false">
      <c r="A115" s="58" t="s">
        <v>347</v>
      </c>
      <c r="C115" s="59" t="n">
        <f aca="false">C107</f>
        <v>1</v>
      </c>
    </row>
    <row r="117" customFormat="false" ht="26.1" hidden="false" customHeight="false" outlineLevel="0" collapsed="false">
      <c r="A117" s="12" t="s">
        <v>348</v>
      </c>
      <c r="B117" s="37" t="s">
        <v>291</v>
      </c>
      <c r="C117" s="56" t="n">
        <v>0.38</v>
      </c>
      <c r="D117" s="56" t="n">
        <v>1</v>
      </c>
      <c r="E117" s="56" t="n">
        <v>1</v>
      </c>
      <c r="F117" s="56" t="n">
        <v>1</v>
      </c>
      <c r="G117" s="56" t="n">
        <v>1</v>
      </c>
      <c r="X117" s="40" t="s">
        <v>349</v>
      </c>
    </row>
    <row r="118" customFormat="false" ht="17.9" hidden="false" customHeight="false" outlineLevel="0" collapsed="false">
      <c r="A118" s="12" t="s">
        <v>350</v>
      </c>
      <c r="B118" s="37" t="s">
        <v>206</v>
      </c>
      <c r="C118" s="43" t="n">
        <v>1</v>
      </c>
      <c r="D118" s="43" t="n">
        <v>2</v>
      </c>
      <c r="E118" s="43" t="n">
        <v>3</v>
      </c>
      <c r="F118" s="43" t="n">
        <v>3</v>
      </c>
      <c r="G118" s="43" t="n">
        <v>3</v>
      </c>
      <c r="X118" s="40" t="s">
        <v>351</v>
      </c>
    </row>
    <row r="120" customFormat="false" ht="16.5" hidden="false" customHeight="true" outlineLevel="0" collapsed="false">
      <c r="A120" s="15" t="s">
        <v>352</v>
      </c>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row>
    <row r="121" customFormat="false" ht="15" hidden="false" customHeight="false" outlineLevel="0" collapsed="false">
      <c r="C121" s="53" t="s">
        <v>81</v>
      </c>
      <c r="D121" s="53" t="s">
        <v>82</v>
      </c>
      <c r="E121" s="53" t="s">
        <v>83</v>
      </c>
      <c r="F121" s="53" t="s">
        <v>84</v>
      </c>
      <c r="G121" s="53" t="s">
        <v>85</v>
      </c>
    </row>
    <row r="122" customFormat="false" ht="15" hidden="false" customHeight="false" outlineLevel="0" collapsed="false">
      <c r="A122" s="12" t="s">
        <v>353</v>
      </c>
      <c r="B122" s="37" t="s">
        <v>9</v>
      </c>
      <c r="C122" s="44" t="n">
        <v>3500</v>
      </c>
      <c r="D122" s="44" t="n">
        <v>3800</v>
      </c>
      <c r="E122" s="44" t="n">
        <v>4200</v>
      </c>
      <c r="F122" s="44" t="n">
        <v>4500</v>
      </c>
      <c r="G122" s="44" t="n">
        <v>4800</v>
      </c>
      <c r="X122" s="40" t="s">
        <v>354</v>
      </c>
    </row>
    <row r="123" customFormat="false" ht="15" hidden="false" customHeight="false" outlineLevel="0" collapsed="false">
      <c r="A123" s="12" t="s">
        <v>355</v>
      </c>
      <c r="B123" s="37" t="s">
        <v>9</v>
      </c>
      <c r="C123" s="44" t="n">
        <v>7500</v>
      </c>
      <c r="D123" s="44" t="n">
        <v>8000</v>
      </c>
      <c r="E123" s="44" t="n">
        <v>9500</v>
      </c>
      <c r="F123" s="44" t="n">
        <v>11000</v>
      </c>
      <c r="G123" s="44" t="n">
        <v>12000</v>
      </c>
      <c r="X123" s="40" t="s">
        <v>356</v>
      </c>
    </row>
    <row r="124" customFormat="false" ht="15" hidden="false" customHeight="false" outlineLevel="0" collapsed="false">
      <c r="A124" s="12" t="s">
        <v>357</v>
      </c>
      <c r="B124" s="37" t="s">
        <v>9</v>
      </c>
      <c r="C124" s="44" t="n">
        <v>2400</v>
      </c>
      <c r="D124" s="44" t="n">
        <v>2600</v>
      </c>
      <c r="E124" s="44" t="n">
        <v>2900</v>
      </c>
      <c r="F124" s="44" t="n">
        <v>3100</v>
      </c>
      <c r="G124" s="44" t="n">
        <v>3300</v>
      </c>
    </row>
    <row r="125" customFormat="false" ht="15" hidden="false" customHeight="false" outlineLevel="0" collapsed="false">
      <c r="A125" s="12" t="s">
        <v>358</v>
      </c>
      <c r="B125" s="37" t="s">
        <v>9</v>
      </c>
      <c r="C125" s="44" t="n">
        <v>3500</v>
      </c>
      <c r="D125" s="44" t="n">
        <v>5000</v>
      </c>
      <c r="E125" s="44" t="n">
        <v>6000</v>
      </c>
      <c r="F125" s="44" t="n">
        <v>6500</v>
      </c>
      <c r="G125" s="44" t="n">
        <v>7000</v>
      </c>
    </row>
    <row r="126" customFormat="false" ht="15" hidden="false" customHeight="false" outlineLevel="0" collapsed="false">
      <c r="A126" s="12" t="s">
        <v>359</v>
      </c>
      <c r="B126" s="37" t="s">
        <v>9</v>
      </c>
      <c r="C126" s="44" t="n">
        <v>2500</v>
      </c>
      <c r="D126" s="44" t="n">
        <v>2800</v>
      </c>
      <c r="E126" s="44" t="n">
        <v>3100</v>
      </c>
      <c r="F126" s="44" t="n">
        <v>3300</v>
      </c>
      <c r="G126" s="44" t="n">
        <v>3500</v>
      </c>
    </row>
    <row r="127" customFormat="false" ht="15" hidden="false" customHeight="false" outlineLevel="0" collapsed="false">
      <c r="A127" s="12" t="s">
        <v>360</v>
      </c>
      <c r="B127" s="37" t="s">
        <v>9</v>
      </c>
      <c r="C127" s="51" t="n">
        <v>5</v>
      </c>
      <c r="D127" s="51" t="n">
        <v>8</v>
      </c>
      <c r="E127" s="51" t="n">
        <v>7</v>
      </c>
      <c r="F127" s="51" t="n">
        <v>6.5</v>
      </c>
      <c r="G127" s="51" t="n">
        <v>6</v>
      </c>
      <c r="X127" s="40" t="s">
        <v>361</v>
      </c>
    </row>
    <row r="128" customFormat="false" ht="15" hidden="false" customHeight="false" outlineLevel="0" collapsed="false">
      <c r="A128" s="12" t="s">
        <v>362</v>
      </c>
      <c r="B128" s="37" t="s">
        <v>9</v>
      </c>
      <c r="C128" s="44" t="n">
        <v>4000</v>
      </c>
      <c r="D128" s="44" t="n">
        <v>6000</v>
      </c>
      <c r="E128" s="44" t="n">
        <v>6800</v>
      </c>
      <c r="F128" s="44" t="n">
        <v>7200</v>
      </c>
      <c r="G128" s="44" t="n">
        <v>7600</v>
      </c>
    </row>
    <row r="129" customFormat="false" ht="15" hidden="false" customHeight="false" outlineLevel="0" collapsed="false">
      <c r="A129" s="12" t="s">
        <v>363</v>
      </c>
      <c r="B129" s="37" t="s">
        <v>9</v>
      </c>
      <c r="C129" s="44" t="n">
        <v>12000</v>
      </c>
      <c r="D129" s="44" t="n">
        <v>16000</v>
      </c>
      <c r="E129" s="44" t="n">
        <v>18000</v>
      </c>
      <c r="F129" s="44" t="n">
        <v>20000</v>
      </c>
      <c r="G129" s="44" t="n">
        <v>22000</v>
      </c>
    </row>
    <row r="130" customFormat="false" ht="15" hidden="false" customHeight="false" outlineLevel="0" collapsed="false">
      <c r="A130" s="12" t="s">
        <v>364</v>
      </c>
      <c r="B130" s="37" t="s">
        <v>9</v>
      </c>
      <c r="C130" s="44" t="n">
        <v>10000</v>
      </c>
      <c r="D130" s="44" t="n">
        <v>12000</v>
      </c>
      <c r="E130" s="44" t="n">
        <v>14000</v>
      </c>
      <c r="F130" s="44" t="n">
        <v>16000</v>
      </c>
      <c r="G130" s="44" t="n">
        <v>18000</v>
      </c>
      <c r="X130" s="40" t="s">
        <v>365</v>
      </c>
    </row>
    <row r="131" customFormat="false" ht="15" hidden="false" customHeight="false" outlineLevel="0" collapsed="false">
      <c r="A131" s="12" t="s">
        <v>366</v>
      </c>
      <c r="B131" s="37" t="s">
        <v>9</v>
      </c>
      <c r="C131" s="44" t="n">
        <v>12000</v>
      </c>
      <c r="D131" s="44" t="n">
        <v>18000</v>
      </c>
      <c r="E131" s="44" t="n">
        <v>21000</v>
      </c>
      <c r="F131" s="44" t="n">
        <v>24000</v>
      </c>
      <c r="G131" s="44" t="n">
        <v>26000</v>
      </c>
    </row>
    <row r="132" customFormat="false" ht="15" hidden="false" customHeight="false" outlineLevel="0" collapsed="false">
      <c r="A132" s="12" t="s">
        <v>367</v>
      </c>
      <c r="B132" s="37" t="s">
        <v>9</v>
      </c>
      <c r="C132" s="51" t="n">
        <v>18</v>
      </c>
      <c r="D132" s="51" t="n">
        <v>20</v>
      </c>
      <c r="E132" s="51" t="n">
        <v>22</v>
      </c>
      <c r="F132" s="51" t="n">
        <v>24</v>
      </c>
      <c r="G132" s="51" t="n">
        <v>26</v>
      </c>
    </row>
    <row r="133" customFormat="false" ht="15" hidden="false" customHeight="false" outlineLevel="0" collapsed="false">
      <c r="A133" s="12" t="s">
        <v>368</v>
      </c>
      <c r="B133" s="37" t="s">
        <v>9</v>
      </c>
      <c r="C133" s="44" t="n">
        <v>5000</v>
      </c>
      <c r="D133" s="44" t="n">
        <v>7000</v>
      </c>
      <c r="E133" s="44" t="n">
        <v>9000</v>
      </c>
      <c r="F133" s="44" t="n">
        <v>11000</v>
      </c>
      <c r="G133" s="44" t="n">
        <v>13000</v>
      </c>
      <c r="X133" s="40" t="s">
        <v>369</v>
      </c>
    </row>
    <row r="135" customFormat="false" ht="15" hidden="false" customHeight="false" outlineLevel="0" collapsed="false">
      <c r="A135" s="12" t="s">
        <v>370</v>
      </c>
      <c r="B135" s="37" t="s">
        <v>9</v>
      </c>
      <c r="C135" s="44" t="n">
        <v>15</v>
      </c>
    </row>
    <row r="136" customFormat="false" ht="15" hidden="false" customHeight="false" outlineLevel="0" collapsed="false">
      <c r="A136" s="12" t="s">
        <v>371</v>
      </c>
      <c r="B136" s="37" t="s">
        <v>9</v>
      </c>
      <c r="C136" s="44" t="n">
        <v>35</v>
      </c>
    </row>
    <row r="137" customFormat="false" ht="15" hidden="false" customHeight="false" outlineLevel="0" collapsed="false">
      <c r="A137" s="12" t="s">
        <v>372</v>
      </c>
      <c r="B137" s="37" t="s">
        <v>240</v>
      </c>
      <c r="C137" s="50" t="n">
        <v>0.15</v>
      </c>
    </row>
    <row r="138" customFormat="false" ht="15" hidden="false" customHeight="false" outlineLevel="0" collapsed="false">
      <c r="A138" s="12" t="s">
        <v>373</v>
      </c>
      <c r="B138" s="37" t="s">
        <v>240</v>
      </c>
      <c r="C138" s="50" t="n">
        <v>0.06</v>
      </c>
    </row>
    <row r="140" customFormat="false" ht="15" hidden="false" customHeight="false" outlineLevel="0" collapsed="false">
      <c r="A140" s="42" t="s">
        <v>374</v>
      </c>
      <c r="B140" s="42"/>
      <c r="C140" s="42"/>
      <c r="D140" s="42"/>
      <c r="E140" s="42"/>
      <c r="F140" s="42"/>
      <c r="G140" s="42"/>
      <c r="H140" s="42"/>
      <c r="I140" s="42"/>
      <c r="J140" s="42"/>
      <c r="K140" s="42"/>
      <c r="L140" s="42"/>
      <c r="M140" s="42"/>
      <c r="N140" s="42"/>
      <c r="O140" s="42"/>
      <c r="P140" s="42"/>
    </row>
    <row r="141" customFormat="false" ht="15" hidden="false" customHeight="false" outlineLevel="0" collapsed="false">
      <c r="A141" s="12" t="s">
        <v>375</v>
      </c>
      <c r="B141" s="37" t="s">
        <v>206</v>
      </c>
      <c r="C141" s="43" t="n">
        <v>25</v>
      </c>
    </row>
    <row r="142" customFormat="false" ht="15" hidden="false" customHeight="false" outlineLevel="0" collapsed="false">
      <c r="A142" s="12" t="s">
        <v>376</v>
      </c>
      <c r="B142" s="37" t="s">
        <v>206</v>
      </c>
      <c r="C142" s="43" t="n">
        <v>30</v>
      </c>
    </row>
    <row r="143" customFormat="false" ht="15" hidden="false" customHeight="false" outlineLevel="0" collapsed="false">
      <c r="A143" s="12" t="s">
        <v>377</v>
      </c>
      <c r="B143" s="37" t="s">
        <v>206</v>
      </c>
      <c r="C143" s="43" t="n">
        <v>400</v>
      </c>
    </row>
    <row r="144" customFormat="false" ht="15" hidden="false" customHeight="false" outlineLevel="0" collapsed="false">
      <c r="A144" s="12" t="s">
        <v>378</v>
      </c>
      <c r="B144" s="37" t="s">
        <v>206</v>
      </c>
      <c r="C144" s="43" t="n">
        <v>120</v>
      </c>
    </row>
    <row r="145" customFormat="false" ht="15" hidden="false" customHeight="false" outlineLevel="0" collapsed="false">
      <c r="A145" s="12" t="s">
        <v>379</v>
      </c>
      <c r="B145" s="37" t="s">
        <v>206</v>
      </c>
      <c r="C145" s="43" t="n">
        <v>50</v>
      </c>
    </row>
    <row r="147" customFormat="false" ht="16.5" hidden="false" customHeight="true" outlineLevel="0" collapsed="false">
      <c r="A147" s="15" t="s">
        <v>380</v>
      </c>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row>
    <row r="148" customFormat="false" ht="15" hidden="false" customHeight="false" outlineLevel="0" collapsed="false">
      <c r="C148" s="53" t="s">
        <v>81</v>
      </c>
      <c r="D148" s="53" t="s">
        <v>82</v>
      </c>
      <c r="E148" s="53" t="s">
        <v>83</v>
      </c>
      <c r="F148" s="53" t="s">
        <v>84</v>
      </c>
      <c r="G148" s="53" t="s">
        <v>85</v>
      </c>
    </row>
    <row r="149" customFormat="false" ht="15" hidden="false" customHeight="false" outlineLevel="0" collapsed="false">
      <c r="A149" s="12" t="s">
        <v>381</v>
      </c>
      <c r="B149" s="37" t="s">
        <v>9</v>
      </c>
      <c r="C149" s="44" t="n">
        <v>85</v>
      </c>
      <c r="D149" s="44" t="n">
        <v>95</v>
      </c>
      <c r="E149" s="44" t="n">
        <v>105</v>
      </c>
      <c r="F149" s="44" t="n">
        <v>110</v>
      </c>
      <c r="G149" s="44" t="n">
        <v>115</v>
      </c>
      <c r="X149" s="40" t="s">
        <v>382</v>
      </c>
    </row>
    <row r="150" customFormat="false" ht="15" hidden="false" customHeight="false" outlineLevel="0" collapsed="false">
      <c r="A150" s="12" t="s">
        <v>383</v>
      </c>
      <c r="B150" s="37" t="s">
        <v>206</v>
      </c>
      <c r="C150" s="43" t="n">
        <v>2</v>
      </c>
    </row>
    <row r="151" customFormat="false" ht="15" hidden="false" customHeight="false" outlineLevel="0" collapsed="false">
      <c r="A151" s="12" t="s">
        <v>384</v>
      </c>
      <c r="B151" s="37" t="s">
        <v>385</v>
      </c>
      <c r="C151" s="43" t="n">
        <v>6</v>
      </c>
    </row>
    <row r="152" customFormat="false" ht="15" hidden="false" customHeight="false" outlineLevel="0" collapsed="false">
      <c r="A152" s="12" t="s">
        <v>386</v>
      </c>
      <c r="B152" s="37" t="s">
        <v>385</v>
      </c>
      <c r="C152" s="43" t="n">
        <v>4</v>
      </c>
    </row>
    <row r="153" customFormat="false" ht="15" hidden="false" customHeight="false" outlineLevel="0" collapsed="false">
      <c r="A153" s="12" t="s">
        <v>387</v>
      </c>
      <c r="B153" s="37" t="s">
        <v>385</v>
      </c>
      <c r="C153" s="43" t="n">
        <v>5</v>
      </c>
    </row>
    <row r="154" customFormat="false" ht="15" hidden="false" customHeight="false" outlineLevel="0" collapsed="false">
      <c r="A154" s="12" t="s">
        <v>388</v>
      </c>
      <c r="B154" s="37" t="s">
        <v>385</v>
      </c>
      <c r="C154" s="54" t="n">
        <v>3.5</v>
      </c>
      <c r="X154" s="40" t="s">
        <v>389</v>
      </c>
    </row>
    <row r="155" customFormat="false" ht="15" hidden="false" customHeight="false" outlineLevel="0" collapsed="false">
      <c r="A155" s="12" t="s">
        <v>390</v>
      </c>
      <c r="B155" s="37" t="s">
        <v>291</v>
      </c>
      <c r="C155" s="56" t="n">
        <v>1.2</v>
      </c>
      <c r="X155" s="40" t="s">
        <v>391</v>
      </c>
    </row>
    <row r="156" customFormat="false" ht="15" hidden="false" customHeight="false" outlineLevel="0" collapsed="false">
      <c r="A156" s="12" t="s">
        <v>392</v>
      </c>
      <c r="B156" s="37" t="s">
        <v>9</v>
      </c>
      <c r="C156" s="44" t="n">
        <v>120</v>
      </c>
      <c r="X156" s="40" t="s">
        <v>393</v>
      </c>
    </row>
    <row r="157" customFormat="false" ht="15" hidden="false" customHeight="false" outlineLevel="0" collapsed="false">
      <c r="A157" s="12" t="s">
        <v>394</v>
      </c>
      <c r="B157" s="37" t="s">
        <v>206</v>
      </c>
      <c r="C157" s="54" t="n">
        <v>2</v>
      </c>
    </row>
    <row r="158" customFormat="false" ht="15" hidden="false" customHeight="false" outlineLevel="0" collapsed="false">
      <c r="A158" s="12" t="s">
        <v>395</v>
      </c>
      <c r="B158" s="37" t="s">
        <v>9</v>
      </c>
      <c r="C158" s="44" t="n">
        <v>280</v>
      </c>
      <c r="D158" s="44" t="n">
        <v>310</v>
      </c>
      <c r="E158" s="44" t="n">
        <v>340</v>
      </c>
      <c r="F158" s="44" t="n">
        <v>360</v>
      </c>
      <c r="G158" s="44" t="n">
        <v>380</v>
      </c>
    </row>
    <row r="159" customFormat="false" ht="15" hidden="false" customHeight="false" outlineLevel="0" collapsed="false">
      <c r="A159" s="12" t="s">
        <v>396</v>
      </c>
      <c r="B159" s="37" t="s">
        <v>9</v>
      </c>
      <c r="C159" s="44" t="n">
        <v>220</v>
      </c>
    </row>
    <row r="160" customFormat="false" ht="15" hidden="false" customHeight="false" outlineLevel="0" collapsed="false">
      <c r="A160" s="12" t="s">
        <v>397</v>
      </c>
      <c r="B160" s="37" t="s">
        <v>9</v>
      </c>
      <c r="C160" s="44" t="n">
        <v>250</v>
      </c>
    </row>
    <row r="161" customFormat="false" ht="15" hidden="false" customHeight="false" outlineLevel="0" collapsed="false">
      <c r="A161" s="12" t="s">
        <v>398</v>
      </c>
      <c r="B161" s="37" t="s">
        <v>9</v>
      </c>
      <c r="C161" s="44" t="n">
        <v>3500</v>
      </c>
      <c r="D161" s="44" t="n">
        <v>4200</v>
      </c>
      <c r="E161" s="44" t="n">
        <v>5000</v>
      </c>
      <c r="F161" s="44" t="n">
        <v>5600</v>
      </c>
      <c r="G161" s="44" t="n">
        <v>6200</v>
      </c>
    </row>
    <row r="162" customFormat="false" ht="15" hidden="false" customHeight="false" outlineLevel="0" collapsed="false">
      <c r="A162" s="12" t="s">
        <v>399</v>
      </c>
      <c r="B162" s="37" t="s">
        <v>9</v>
      </c>
      <c r="C162" s="44" t="n">
        <v>900</v>
      </c>
      <c r="X162" s="40" t="s">
        <v>400</v>
      </c>
    </row>
    <row r="163" customFormat="false" ht="15" hidden="false" customHeight="false" outlineLevel="0" collapsed="false">
      <c r="A163" s="12" t="s">
        <v>401</v>
      </c>
      <c r="B163" s="37" t="s">
        <v>9</v>
      </c>
      <c r="C163" s="44" t="n">
        <v>2500</v>
      </c>
      <c r="D163" s="44" t="n">
        <v>3500</v>
      </c>
      <c r="E163" s="44" t="n">
        <v>4500</v>
      </c>
      <c r="F163" s="44" t="n">
        <v>5200</v>
      </c>
      <c r="G163" s="44" t="n">
        <v>5800</v>
      </c>
      <c r="X163" s="40" t="s">
        <v>402</v>
      </c>
    </row>
    <row r="164" customFormat="false" ht="15" hidden="false" customHeight="false" outlineLevel="0" collapsed="false">
      <c r="A164" s="12" t="s">
        <v>403</v>
      </c>
      <c r="B164" s="37" t="s">
        <v>9</v>
      </c>
      <c r="C164" s="44" t="n">
        <v>4500</v>
      </c>
      <c r="D164" s="44" t="n">
        <v>4500</v>
      </c>
      <c r="E164" s="44" t="n">
        <v>5200</v>
      </c>
      <c r="F164" s="44" t="n">
        <v>5600</v>
      </c>
      <c r="G164" s="44" t="n">
        <v>6000</v>
      </c>
    </row>
    <row r="165" customFormat="false" ht="15" hidden="false" customHeight="false" outlineLevel="0" collapsed="false">
      <c r="A165" s="12" t="s">
        <v>404</v>
      </c>
      <c r="B165" s="37" t="s">
        <v>9</v>
      </c>
      <c r="C165" s="44" t="n">
        <v>5000</v>
      </c>
      <c r="D165" s="44" t="n">
        <v>5000</v>
      </c>
      <c r="E165" s="44" t="n">
        <v>6000</v>
      </c>
      <c r="F165" s="44" t="n">
        <v>6800</v>
      </c>
      <c r="G165" s="44" t="n">
        <v>7400</v>
      </c>
    </row>
    <row r="166" customFormat="false" ht="15" hidden="false" customHeight="false" outlineLevel="0" collapsed="false">
      <c r="A166" s="12" t="s">
        <v>405</v>
      </c>
      <c r="B166" s="37" t="s">
        <v>9</v>
      </c>
      <c r="C166" s="44" t="n">
        <v>1600</v>
      </c>
      <c r="D166" s="44" t="n">
        <v>1600</v>
      </c>
      <c r="E166" s="44" t="n">
        <v>1800</v>
      </c>
      <c r="F166" s="44" t="n">
        <v>1950</v>
      </c>
      <c r="G166" s="44" t="n">
        <v>2100</v>
      </c>
    </row>
    <row r="167" customFormat="false" ht="15" hidden="false" customHeight="false" outlineLevel="0" collapsed="false">
      <c r="A167" s="12" t="s">
        <v>406</v>
      </c>
      <c r="B167" s="37" t="s">
        <v>9</v>
      </c>
      <c r="C167" s="51" t="n">
        <v>2.2</v>
      </c>
      <c r="D167" s="51" t="n">
        <v>2.2</v>
      </c>
      <c r="E167" s="51" t="n">
        <v>2</v>
      </c>
      <c r="F167" s="51" t="n">
        <v>1.85</v>
      </c>
      <c r="G167" s="51" t="n">
        <v>1.75</v>
      </c>
      <c r="X167" s="40" t="s">
        <v>407</v>
      </c>
    </row>
    <row r="168" customFormat="false" ht="15" hidden="false" customHeight="false" outlineLevel="0" collapsed="false">
      <c r="A168" s="12" t="s">
        <v>408</v>
      </c>
      <c r="B168" s="37" t="s">
        <v>9</v>
      </c>
      <c r="C168" s="51" t="n">
        <v>2.2</v>
      </c>
    </row>
    <row r="169" customFormat="false" ht="15" hidden="false" customHeight="false" outlineLevel="0" collapsed="false">
      <c r="A169" s="12" t="s">
        <v>409</v>
      </c>
      <c r="B169" s="37" t="s">
        <v>9</v>
      </c>
      <c r="C169" s="51" t="n">
        <v>0.18</v>
      </c>
      <c r="X169" s="40" t="s">
        <v>410</v>
      </c>
    </row>
    <row r="171" customFormat="false" ht="16.5" hidden="false" customHeight="true" outlineLevel="0" collapsed="false">
      <c r="A171" s="15" t="s">
        <v>411</v>
      </c>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row>
    <row r="172" customFormat="false" ht="15" hidden="false" customHeight="false" outlineLevel="0" collapsed="false">
      <c r="A172" s="42" t="s">
        <v>412</v>
      </c>
      <c r="B172" s="42"/>
      <c r="C172" s="42"/>
      <c r="D172" s="42"/>
      <c r="E172" s="42"/>
      <c r="F172" s="42"/>
      <c r="G172" s="42"/>
      <c r="H172" s="42"/>
      <c r="I172" s="42"/>
      <c r="J172" s="42"/>
      <c r="K172" s="42"/>
      <c r="L172" s="42"/>
      <c r="M172" s="42"/>
      <c r="N172" s="42"/>
      <c r="O172" s="42"/>
      <c r="P172" s="42"/>
    </row>
    <row r="173" customFormat="false" ht="15" hidden="false" customHeight="false" outlineLevel="0" collapsed="false">
      <c r="C173" s="53" t="s">
        <v>81</v>
      </c>
      <c r="D173" s="53" t="s">
        <v>82</v>
      </c>
      <c r="E173" s="53" t="s">
        <v>83</v>
      </c>
      <c r="F173" s="53" t="s">
        <v>84</v>
      </c>
      <c r="G173" s="53" t="s">
        <v>85</v>
      </c>
    </row>
    <row r="174" customFormat="false" ht="15" hidden="false" customHeight="false" outlineLevel="0" collapsed="false">
      <c r="A174" s="12" t="s">
        <v>413</v>
      </c>
      <c r="B174" s="37" t="s">
        <v>240</v>
      </c>
      <c r="C174" s="50" t="n">
        <v>0</v>
      </c>
      <c r="D174" s="50" t="n">
        <v>0.08</v>
      </c>
      <c r="E174" s="50" t="n">
        <v>0.22</v>
      </c>
      <c r="F174" s="50" t="n">
        <v>0.35</v>
      </c>
      <c r="G174" s="50" t="n">
        <v>0.45</v>
      </c>
    </row>
    <row r="175" customFormat="false" ht="15" hidden="false" customHeight="false" outlineLevel="0" collapsed="false">
      <c r="A175" s="12" t="s">
        <v>414</v>
      </c>
      <c r="B175" s="37" t="s">
        <v>240</v>
      </c>
      <c r="C175" s="50" t="n">
        <v>0.4</v>
      </c>
      <c r="X175" s="40" t="s">
        <v>415</v>
      </c>
    </row>
    <row r="176" customFormat="false" ht="15" hidden="false" customHeight="false" outlineLevel="0" collapsed="false">
      <c r="A176" s="12" t="s">
        <v>416</v>
      </c>
      <c r="B176" s="37" t="s">
        <v>240</v>
      </c>
      <c r="C176" s="50" t="n">
        <v>0.1</v>
      </c>
      <c r="D176" s="50" t="n">
        <v>0.1</v>
      </c>
      <c r="E176" s="50" t="n">
        <v>0.1</v>
      </c>
      <c r="F176" s="50" t="n">
        <v>0.1</v>
      </c>
      <c r="G176" s="50" t="n">
        <v>0.1</v>
      </c>
      <c r="X176" s="40" t="s">
        <v>417</v>
      </c>
    </row>
    <row r="177" customFormat="false" ht="15" hidden="false" customHeight="false" outlineLevel="0" collapsed="false">
      <c r="A177" s="12" t="s">
        <v>418</v>
      </c>
      <c r="B177" s="37" t="s">
        <v>240</v>
      </c>
      <c r="C177" s="50" t="n">
        <v>0.1</v>
      </c>
    </row>
    <row r="178" customFormat="false" ht="15" hidden="false" customHeight="false" outlineLevel="0" collapsed="false">
      <c r="A178" s="12" t="s">
        <v>419</v>
      </c>
      <c r="B178" s="37" t="s">
        <v>240</v>
      </c>
      <c r="C178" s="50" t="n">
        <v>0.07</v>
      </c>
      <c r="D178" s="50" t="n">
        <v>0.07</v>
      </c>
      <c r="E178" s="50" t="n">
        <v>0.07</v>
      </c>
      <c r="F178" s="50" t="n">
        <v>0.06</v>
      </c>
      <c r="G178" s="50" t="n">
        <v>0.06</v>
      </c>
      <c r="X178" s="40" t="s">
        <v>420</v>
      </c>
    </row>
    <row r="179" customFormat="false" ht="15" hidden="false" customHeight="false" outlineLevel="0" collapsed="false">
      <c r="A179" s="12" t="s">
        <v>421</v>
      </c>
      <c r="B179" s="37" t="s">
        <v>240</v>
      </c>
      <c r="C179" s="50" t="n">
        <v>0.035</v>
      </c>
    </row>
    <row r="181" customFormat="false" ht="16.5" hidden="false" customHeight="true" outlineLevel="0" collapsed="false">
      <c r="A181" s="15" t="s">
        <v>422</v>
      </c>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row>
    <row r="182" customFormat="false" ht="15" hidden="false" customHeight="false" outlineLevel="0" collapsed="false">
      <c r="A182" s="42" t="s">
        <v>423</v>
      </c>
      <c r="B182" s="42"/>
      <c r="C182" s="42"/>
      <c r="D182" s="42"/>
      <c r="E182" s="42"/>
      <c r="F182" s="42"/>
      <c r="G182" s="42"/>
      <c r="H182" s="42"/>
      <c r="I182" s="42"/>
      <c r="J182" s="42"/>
      <c r="K182" s="42"/>
      <c r="L182" s="42"/>
      <c r="M182" s="42"/>
      <c r="N182" s="42"/>
      <c r="O182" s="42"/>
      <c r="P182" s="42"/>
    </row>
    <row r="183" customFormat="false" ht="15" hidden="false" customHeight="false" outlineLevel="0" collapsed="false">
      <c r="C183" s="53" t="s">
        <v>81</v>
      </c>
      <c r="D183" s="53" t="s">
        <v>82</v>
      </c>
      <c r="E183" s="53" t="s">
        <v>83</v>
      </c>
      <c r="F183" s="53" t="s">
        <v>84</v>
      </c>
      <c r="G183" s="53" t="s">
        <v>85</v>
      </c>
    </row>
    <row r="184" customFormat="false" ht="15" hidden="false" customHeight="false" outlineLevel="0" collapsed="false">
      <c r="A184" s="12" t="s">
        <v>424</v>
      </c>
      <c r="B184" s="37" t="s">
        <v>9</v>
      </c>
      <c r="C184" s="44" t="n">
        <v>65</v>
      </c>
      <c r="D184" s="44" t="n">
        <v>85</v>
      </c>
      <c r="E184" s="44" t="n">
        <v>100</v>
      </c>
      <c r="F184" s="44" t="n">
        <v>110</v>
      </c>
      <c r="G184" s="44" t="n">
        <v>120</v>
      </c>
      <c r="X184" s="40" t="s">
        <v>425</v>
      </c>
    </row>
    <row r="185" customFormat="false" ht="15" hidden="false" customHeight="false" outlineLevel="0" collapsed="false">
      <c r="A185" s="12" t="s">
        <v>426</v>
      </c>
      <c r="B185" s="37" t="s">
        <v>9</v>
      </c>
      <c r="C185" s="44" t="n">
        <v>20</v>
      </c>
      <c r="D185" s="44" t="n">
        <v>25</v>
      </c>
      <c r="E185" s="44" t="n">
        <v>28</v>
      </c>
      <c r="F185" s="44" t="n">
        <v>30</v>
      </c>
      <c r="G185" s="44" t="n">
        <v>32</v>
      </c>
    </row>
    <row r="186" customFormat="false" ht="15" hidden="false" customHeight="false" outlineLevel="0" collapsed="false">
      <c r="A186" s="12" t="s">
        <v>427</v>
      </c>
      <c r="B186" s="37" t="s">
        <v>9</v>
      </c>
      <c r="C186" s="44" t="n">
        <v>150</v>
      </c>
      <c r="D186" s="44" t="n">
        <v>380</v>
      </c>
      <c r="E186" s="44" t="n">
        <v>850</v>
      </c>
      <c r="F186" s="44" t="n">
        <v>1400</v>
      </c>
      <c r="G186" s="44" t="n">
        <v>1900</v>
      </c>
    </row>
    <row r="187" customFormat="false" ht="15" hidden="false" customHeight="false" outlineLevel="0" collapsed="false">
      <c r="A187" s="12" t="s">
        <v>428</v>
      </c>
      <c r="B187" s="37" t="s">
        <v>9</v>
      </c>
      <c r="C187" s="51" t="n">
        <v>0.03</v>
      </c>
    </row>
    <row r="188" customFormat="false" ht="15" hidden="false" customHeight="false" outlineLevel="0" collapsed="false">
      <c r="A188" s="12" t="s">
        <v>429</v>
      </c>
      <c r="B188" s="37" t="s">
        <v>9</v>
      </c>
      <c r="C188" s="44" t="n">
        <v>55</v>
      </c>
      <c r="D188" s="44" t="n">
        <v>70</v>
      </c>
      <c r="E188" s="44" t="n">
        <v>80</v>
      </c>
      <c r="F188" s="44" t="n">
        <v>85</v>
      </c>
      <c r="G188" s="44" t="n">
        <v>90</v>
      </c>
    </row>
    <row r="189" customFormat="false" ht="15" hidden="false" customHeight="false" outlineLevel="0" collapsed="false">
      <c r="A189" s="12" t="s">
        <v>430</v>
      </c>
      <c r="B189" s="37" t="s">
        <v>9</v>
      </c>
      <c r="C189" s="44" t="n">
        <v>40</v>
      </c>
      <c r="D189" s="44" t="n">
        <v>80</v>
      </c>
      <c r="E189" s="44" t="n">
        <v>110</v>
      </c>
      <c r="F189" s="44" t="n">
        <v>120</v>
      </c>
      <c r="G189" s="44" t="n">
        <v>130</v>
      </c>
    </row>
    <row r="190" customFormat="false" ht="15" hidden="false" customHeight="false" outlineLevel="0" collapsed="false">
      <c r="A190" s="12" t="s">
        <v>431</v>
      </c>
      <c r="B190" s="37" t="s">
        <v>9</v>
      </c>
      <c r="C190" s="44" t="n">
        <v>330</v>
      </c>
      <c r="D190" s="44" t="n">
        <v>800</v>
      </c>
      <c r="E190" s="44" t="n">
        <v>1400</v>
      </c>
      <c r="F190" s="44" t="n">
        <v>1900</v>
      </c>
      <c r="G190" s="44" t="n">
        <v>2300</v>
      </c>
      <c r="X190" s="40" t="s">
        <v>432</v>
      </c>
    </row>
    <row r="191" customFormat="false" ht="15" hidden="false" customHeight="false" outlineLevel="0" collapsed="false">
      <c r="A191" s="12" t="s">
        <v>433</v>
      </c>
      <c r="B191" s="37" t="s">
        <v>9</v>
      </c>
      <c r="C191" s="44" t="n">
        <v>40</v>
      </c>
      <c r="D191" s="44" t="n">
        <v>180</v>
      </c>
      <c r="E191" s="44" t="n">
        <v>450</v>
      </c>
      <c r="F191" s="44" t="n">
        <v>700</v>
      </c>
      <c r="G191" s="44" t="n">
        <v>900</v>
      </c>
    </row>
    <row r="192" customFormat="false" ht="15" hidden="false" customHeight="false" outlineLevel="0" collapsed="false">
      <c r="A192" s="12" t="s">
        <v>434</v>
      </c>
      <c r="B192" s="37" t="s">
        <v>9</v>
      </c>
      <c r="C192" s="44" t="n">
        <v>0</v>
      </c>
      <c r="D192" s="44" t="n">
        <v>200</v>
      </c>
      <c r="E192" s="44" t="n">
        <v>800</v>
      </c>
      <c r="F192" s="44" t="n">
        <v>1500</v>
      </c>
      <c r="G192" s="44" t="n">
        <v>2100</v>
      </c>
    </row>
    <row r="193" customFormat="false" ht="15" hidden="false" customHeight="false" outlineLevel="0" collapsed="false">
      <c r="A193" s="12" t="s">
        <v>435</v>
      </c>
      <c r="B193" s="37" t="s">
        <v>9</v>
      </c>
      <c r="C193" s="44" t="n">
        <v>110</v>
      </c>
      <c r="D193" s="44" t="n">
        <v>180</v>
      </c>
      <c r="E193" s="44" t="n">
        <v>280</v>
      </c>
      <c r="F193" s="44" t="n">
        <v>360</v>
      </c>
      <c r="G193" s="44" t="n">
        <v>440</v>
      </c>
    </row>
    <row r="194" customFormat="false" ht="15" hidden="false" customHeight="false" outlineLevel="0" collapsed="false">
      <c r="A194" s="12" t="s">
        <v>436</v>
      </c>
      <c r="B194" s="37" t="s">
        <v>206</v>
      </c>
      <c r="C194" s="43" t="n">
        <v>16</v>
      </c>
      <c r="D194" s="43" t="n">
        <v>50</v>
      </c>
      <c r="E194" s="43" t="n">
        <v>110</v>
      </c>
      <c r="F194" s="43" t="n">
        <v>180</v>
      </c>
      <c r="G194" s="43" t="n">
        <v>250</v>
      </c>
    </row>
    <row r="195" customFormat="false" ht="15" hidden="false" customHeight="false" outlineLevel="0" collapsed="false">
      <c r="A195" s="12" t="s">
        <v>437</v>
      </c>
      <c r="B195" s="37" t="s">
        <v>9</v>
      </c>
      <c r="C195" s="44" t="n">
        <v>15</v>
      </c>
    </row>
    <row r="196" customFormat="false" ht="15" hidden="false" customHeight="false" outlineLevel="0" collapsed="false">
      <c r="A196" s="12" t="s">
        <v>438</v>
      </c>
      <c r="B196" s="37" t="s">
        <v>206</v>
      </c>
      <c r="C196" s="43" t="n">
        <v>7</v>
      </c>
    </row>
    <row r="197" customFormat="false" ht="15" hidden="false" customHeight="false" outlineLevel="0" collapsed="false">
      <c r="A197" s="12" t="s">
        <v>439</v>
      </c>
      <c r="B197" s="37" t="s">
        <v>240</v>
      </c>
      <c r="C197" s="50" t="n">
        <v>0.04</v>
      </c>
    </row>
    <row r="198" customFormat="false" ht="15" hidden="false" customHeight="false" outlineLevel="0" collapsed="false">
      <c r="A198" s="12" t="s">
        <v>440</v>
      </c>
      <c r="B198" s="37" t="s">
        <v>240</v>
      </c>
      <c r="C198" s="50" t="n">
        <v>0.04</v>
      </c>
    </row>
    <row r="200" customFormat="false" ht="16.5" hidden="false" customHeight="true" outlineLevel="0" collapsed="false">
      <c r="A200" s="15" t="s">
        <v>441</v>
      </c>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row>
    <row r="201" customFormat="false" ht="15" hidden="false" customHeight="false" outlineLevel="0" collapsed="false">
      <c r="A201" s="12" t="s">
        <v>442</v>
      </c>
      <c r="B201" s="37" t="s">
        <v>385</v>
      </c>
      <c r="C201" s="60" t="n">
        <v>75</v>
      </c>
      <c r="X201" s="40" t="s">
        <v>443</v>
      </c>
    </row>
    <row r="202" customFormat="false" ht="15" hidden="false" customHeight="false" outlineLevel="0" collapsed="false">
      <c r="A202" s="12" t="s">
        <v>444</v>
      </c>
      <c r="B202" s="37" t="s">
        <v>385</v>
      </c>
      <c r="C202" s="60" t="n">
        <v>2</v>
      </c>
    </row>
    <row r="203" customFormat="false" ht="15" hidden="false" customHeight="false" outlineLevel="0" collapsed="false">
      <c r="A203" s="12" t="s">
        <v>445</v>
      </c>
      <c r="B203" s="37" t="s">
        <v>385</v>
      </c>
      <c r="C203" s="60" t="n">
        <v>35</v>
      </c>
    </row>
    <row r="204" customFormat="false" ht="15" hidden="false" customHeight="false" outlineLevel="0" collapsed="false">
      <c r="A204" s="12" t="s">
        <v>446</v>
      </c>
      <c r="B204" s="37" t="s">
        <v>385</v>
      </c>
      <c r="C204" s="60" t="n">
        <v>10</v>
      </c>
    </row>
    <row r="205" customFormat="false" ht="15" hidden="false" customHeight="false" outlineLevel="0" collapsed="false">
      <c r="A205" s="12" t="s">
        <v>447</v>
      </c>
      <c r="B205" s="37" t="s">
        <v>240</v>
      </c>
      <c r="C205" s="50" t="n">
        <v>0.25</v>
      </c>
      <c r="X205" s="40" t="s">
        <v>448</v>
      </c>
    </row>
    <row r="206" customFormat="false" ht="15" hidden="false" customHeight="false" outlineLevel="0" collapsed="false">
      <c r="A206" s="12" t="s">
        <v>449</v>
      </c>
      <c r="B206" s="37" t="s">
        <v>9</v>
      </c>
      <c r="C206" s="44" t="n">
        <v>150000</v>
      </c>
      <c r="X206" s="40" t="s">
        <v>450</v>
      </c>
    </row>
    <row r="207" customFormat="false" ht="15" hidden="false" customHeight="false" outlineLevel="0" collapsed="false">
      <c r="A207" s="12" t="s">
        <v>451</v>
      </c>
      <c r="B207" s="37" t="s">
        <v>206</v>
      </c>
      <c r="C207" s="43" t="n">
        <v>4</v>
      </c>
    </row>
    <row r="208" customFormat="false" ht="15" hidden="false" customHeight="false" outlineLevel="0" collapsed="false">
      <c r="A208" s="12" t="s">
        <v>452</v>
      </c>
      <c r="B208" s="37" t="s">
        <v>9</v>
      </c>
      <c r="C208" s="44" t="n">
        <v>25000</v>
      </c>
    </row>
    <row r="209" customFormat="false" ht="15" hidden="false" customHeight="false" outlineLevel="0" collapsed="false">
      <c r="A209" s="12" t="s">
        <v>453</v>
      </c>
      <c r="B209" s="37" t="s">
        <v>206</v>
      </c>
      <c r="C209" s="54" t="n">
        <v>2.5</v>
      </c>
      <c r="X209" s="40" t="s">
        <v>454</v>
      </c>
    </row>
    <row r="211" customFormat="false" ht="16.5" hidden="false" customHeight="true" outlineLevel="0" collapsed="false">
      <c r="A211" s="15" t="s">
        <v>455</v>
      </c>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row>
    <row r="212" customFormat="false" ht="15" hidden="false" customHeight="false" outlineLevel="0" collapsed="false">
      <c r="A212" s="12" t="s">
        <v>456</v>
      </c>
      <c r="B212" s="37" t="s">
        <v>240</v>
      </c>
      <c r="C212" s="50" t="n">
        <v>0.225</v>
      </c>
      <c r="X212" s="40" t="s">
        <v>457</v>
      </c>
    </row>
    <row r="213" customFormat="false" ht="15" hidden="false" customHeight="false" outlineLevel="0" collapsed="false">
      <c r="A213" s="12" t="s">
        <v>458</v>
      </c>
      <c r="B213" s="37" t="s">
        <v>206</v>
      </c>
      <c r="C213" s="43" t="n">
        <v>4</v>
      </c>
    </row>
    <row r="214" customFormat="false" ht="15" hidden="false" customHeight="false" outlineLevel="0" collapsed="false">
      <c r="A214" s="12" t="s">
        <v>459</v>
      </c>
      <c r="B214" s="37" t="s">
        <v>9</v>
      </c>
      <c r="C214" s="44" t="n">
        <v>0</v>
      </c>
      <c r="X214" s="40" t="s">
        <v>460</v>
      </c>
    </row>
    <row r="216" customFormat="false" ht="16.5" hidden="false" customHeight="true" outlineLevel="0" collapsed="false">
      <c r="A216" s="15" t="s">
        <v>461</v>
      </c>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row>
    <row r="217" customFormat="false" ht="15" hidden="false" customHeight="false" outlineLevel="0" collapsed="false">
      <c r="A217" s="42" t="s">
        <v>462</v>
      </c>
      <c r="B217" s="42"/>
      <c r="C217" s="42"/>
      <c r="D217" s="42"/>
      <c r="E217" s="42"/>
      <c r="F217" s="42"/>
      <c r="G217" s="42"/>
      <c r="H217" s="42"/>
      <c r="I217" s="42"/>
      <c r="J217" s="42"/>
      <c r="K217" s="42"/>
      <c r="L217" s="42"/>
      <c r="M217" s="42"/>
      <c r="N217" s="42"/>
      <c r="O217" s="42"/>
      <c r="P217" s="42"/>
    </row>
    <row r="218" customFormat="false" ht="25.5" hidden="false" customHeight="true" outlineLevel="0" collapsed="false">
      <c r="A218" s="26" t="s">
        <v>463</v>
      </c>
      <c r="B218" s="26"/>
      <c r="C218" s="48" t="s">
        <v>464</v>
      </c>
      <c r="D218" s="48" t="s">
        <v>465</v>
      </c>
      <c r="E218" s="48" t="s">
        <v>466</v>
      </c>
    </row>
    <row r="219" customFormat="false" ht="15" hidden="false" customHeight="false" outlineLevel="0" collapsed="false">
      <c r="A219" s="49" t="s">
        <v>467</v>
      </c>
      <c r="C219" s="44" t="n">
        <v>750</v>
      </c>
      <c r="D219" s="43" t="n">
        <v>1</v>
      </c>
      <c r="E219" s="43" t="n">
        <v>36</v>
      </c>
    </row>
    <row r="220" customFormat="false" ht="15" hidden="false" customHeight="false" outlineLevel="0" collapsed="false">
      <c r="A220" s="49" t="s">
        <v>468</v>
      </c>
      <c r="C220" s="44" t="n">
        <v>150</v>
      </c>
      <c r="D220" s="43" t="n">
        <v>1</v>
      </c>
      <c r="E220" s="43" t="n">
        <v>48</v>
      </c>
    </row>
    <row r="221" customFormat="false" ht="15" hidden="false" customHeight="false" outlineLevel="0" collapsed="false">
      <c r="A221" s="49" t="s">
        <v>469</v>
      </c>
      <c r="C221" s="44" t="n">
        <v>180</v>
      </c>
      <c r="D221" s="43" t="n">
        <v>1</v>
      </c>
      <c r="E221" s="43" t="n">
        <v>24</v>
      </c>
    </row>
    <row r="222" customFormat="false" ht="15" hidden="false" customHeight="false" outlineLevel="0" collapsed="false">
      <c r="A222" s="49" t="s">
        <v>470</v>
      </c>
      <c r="C222" s="44" t="n">
        <v>0</v>
      </c>
      <c r="D222" s="43" t="n">
        <v>1</v>
      </c>
      <c r="E222" s="43" t="n">
        <v>60</v>
      </c>
    </row>
    <row r="224" customFormat="false" ht="15" hidden="false" customHeight="false" outlineLevel="0" collapsed="false">
      <c r="A224" s="18" t="s">
        <v>471</v>
      </c>
      <c r="C224" s="48" t="s">
        <v>472</v>
      </c>
      <c r="D224" s="48" t="s">
        <v>473</v>
      </c>
      <c r="E224" s="48" t="s">
        <v>466</v>
      </c>
    </row>
    <row r="225" customFormat="false" ht="15" hidden="false" customHeight="false" outlineLevel="0" collapsed="false">
      <c r="A225" s="49" t="s">
        <v>474</v>
      </c>
      <c r="C225" s="43" t="n">
        <v>2</v>
      </c>
      <c r="D225" s="44" t="n">
        <v>2200</v>
      </c>
      <c r="E225" s="43" t="n">
        <v>48</v>
      </c>
    </row>
    <row r="226" customFormat="false" ht="15" hidden="false" customHeight="false" outlineLevel="0" collapsed="false">
      <c r="A226" s="49" t="s">
        <v>475</v>
      </c>
      <c r="C226" s="43" t="n">
        <v>1</v>
      </c>
      <c r="D226" s="44" t="n">
        <v>600</v>
      </c>
      <c r="E226" s="43" t="n">
        <v>48</v>
      </c>
    </row>
    <row r="227" customFormat="false" ht="15" hidden="false" customHeight="false" outlineLevel="0" collapsed="false">
      <c r="A227" s="49" t="s">
        <v>476</v>
      </c>
      <c r="C227" s="43" t="n">
        <v>1</v>
      </c>
      <c r="D227" s="44" t="n">
        <v>3000</v>
      </c>
      <c r="E227" s="43" t="n">
        <v>60</v>
      </c>
    </row>
    <row r="228" customFormat="false" ht="15" hidden="false" customHeight="false" outlineLevel="0" collapsed="false">
      <c r="A228" s="49" t="s">
        <v>477</v>
      </c>
      <c r="C228" s="43" t="n">
        <v>25</v>
      </c>
      <c r="D228" s="44" t="n">
        <v>4000</v>
      </c>
      <c r="E228" s="43" t="n">
        <v>60</v>
      </c>
    </row>
    <row r="229" customFormat="false" ht="15" hidden="false" customHeight="false" outlineLevel="0" collapsed="false">
      <c r="A229" s="49" t="s">
        <v>478</v>
      </c>
      <c r="C229" s="43" t="n">
        <v>25</v>
      </c>
      <c r="D229" s="44" t="n">
        <v>6000</v>
      </c>
      <c r="E229" s="43" t="n">
        <v>60</v>
      </c>
    </row>
  </sheetData>
  <mergeCells count="10">
    <mergeCell ref="A11:P11"/>
    <mergeCell ref="A39:P39"/>
    <mergeCell ref="A54:P54"/>
    <mergeCell ref="A66:P66"/>
    <mergeCell ref="A80:P80"/>
    <mergeCell ref="A93:P93"/>
    <mergeCell ref="A140:P140"/>
    <mergeCell ref="A172:P172"/>
    <mergeCell ref="A182:P182"/>
    <mergeCell ref="A217:P2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194</v>
      </c>
    </row>
    <row r="2" customFormat="false" ht="13.5" hidden="false" customHeight="true" outlineLevel="0" collapsed="false">
      <c r="A2" s="6" t="s">
        <v>479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480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4500</v>
      </c>
      <c r="C7" s="65" t="n">
        <f aca="false">Payroll!C$65*'Assumption Setting'!$C$219*'Assumption Setting'!$D$219</f>
        <v>4500</v>
      </c>
      <c r="D7" s="65" t="n">
        <f aca="false">Payroll!D$65*'Assumption Setting'!$C$219*'Assumption Setting'!$D$219</f>
        <v>0</v>
      </c>
      <c r="E7" s="65" t="n">
        <f aca="false">Payroll!E$65*'Assumption Setting'!$C$219*'Assumption Setting'!$D$219</f>
        <v>0</v>
      </c>
      <c r="F7" s="65" t="n">
        <f aca="false">Payroll!F$65*'Assumption Setting'!$C$219*'Assumption Setting'!$D$219</f>
        <v>0</v>
      </c>
      <c r="G7" s="65" t="n">
        <f aca="false">Payroll!G$65*'Assumption Setting'!$C$219*'Assumption Setting'!$D$219</f>
        <v>0</v>
      </c>
      <c r="H7" s="65" t="n">
        <f aca="false">Payroll!H$65*'Assumption Setting'!$C$219*'Assumption Setting'!$D$219</f>
        <v>0</v>
      </c>
      <c r="I7" s="65" t="n">
        <f aca="false">Payroll!I$65*'Assumption Setting'!$C$219*'Assumption Setting'!$D$219</f>
        <v>0</v>
      </c>
      <c r="J7" s="65" t="n">
        <f aca="false">Payroll!J$65*'Assumption Setting'!$C$219*'Assumption Setting'!$D$219</f>
        <v>0</v>
      </c>
      <c r="K7" s="65" t="n">
        <f aca="false">Payroll!K$65*'Assumption Setting'!$C$219*'Assumption Setting'!$D$219</f>
        <v>0</v>
      </c>
      <c r="L7" s="65" t="n">
        <f aca="false">Payroll!L$65*'Assumption Setting'!$C$219*'Assumption Setting'!$D$219</f>
        <v>0</v>
      </c>
      <c r="M7" s="65" t="n">
        <f aca="false">Payroll!M$65*'Assumption Setting'!$C$219*'Assumption Setting'!$D$219</f>
        <v>0</v>
      </c>
      <c r="N7" s="65" t="n">
        <f aca="false">Payroll!N$65*'Assumption Setting'!$C$219*'Assumption Setting'!$D$219</f>
        <v>0</v>
      </c>
      <c r="O7" s="64" t="n">
        <f aca="false">SUM(P7:AA7)</f>
        <v>2250</v>
      </c>
      <c r="P7" s="65" t="n">
        <f aca="false">Payroll!P$65*'Assumption Setting'!$C$219*'Assumption Setting'!$D$219</f>
        <v>2250</v>
      </c>
      <c r="Q7" s="65" t="n">
        <f aca="false">Payroll!Q$65*'Assumption Setting'!$C$219*'Assumption Setting'!$D$219</f>
        <v>0</v>
      </c>
      <c r="R7" s="65" t="n">
        <f aca="false">Payroll!R$65*'Assumption Setting'!$C$219*'Assumption Setting'!$D$219</f>
        <v>0</v>
      </c>
      <c r="S7" s="65" t="n">
        <f aca="false">Payroll!S$65*'Assumption Setting'!$C$219*'Assumption Setting'!$D$219</f>
        <v>0</v>
      </c>
      <c r="T7" s="65" t="n">
        <f aca="false">Payroll!T$65*'Assumption Setting'!$C$219*'Assumption Setting'!$D$219</f>
        <v>0</v>
      </c>
      <c r="U7" s="65" t="n">
        <f aca="false">Payroll!U$65*'Assumption Setting'!$C$219*'Assumption Setting'!$D$219</f>
        <v>0</v>
      </c>
      <c r="V7" s="65" t="n">
        <f aca="false">Payroll!V$65*'Assumption Setting'!$C$219*'Assumption Setting'!$D$219</f>
        <v>0</v>
      </c>
      <c r="W7" s="65" t="n">
        <f aca="false">Payroll!W$65*'Assumption Setting'!$C$219*'Assumption Setting'!$D$219</f>
        <v>0</v>
      </c>
      <c r="X7" s="65" t="n">
        <f aca="false">Payroll!X$65*'Assumption Setting'!$C$219*'Assumption Setting'!$D$219</f>
        <v>0</v>
      </c>
      <c r="Y7" s="65" t="n">
        <f aca="false">Payroll!Y$65*'Assumption Setting'!$C$219*'Assumption Setting'!$D$219</f>
        <v>0</v>
      </c>
      <c r="Z7" s="65" t="n">
        <f aca="false">Payroll!Z$65*'Assumption Setting'!$C$219*'Assumption Setting'!$D$219</f>
        <v>0</v>
      </c>
      <c r="AA7" s="65" t="n">
        <f aca="false">Payroll!AA$65*'Assumption Setting'!$C$219*'Assumption Setting'!$D$219</f>
        <v>0</v>
      </c>
      <c r="AB7" s="64" t="n">
        <f aca="false">SUM(AC7:AN7)</f>
        <v>2250</v>
      </c>
      <c r="AC7" s="65" t="n">
        <f aca="false">Payroll!AC$65*'Assumption Setting'!$C$219*'Assumption Setting'!$D$219</f>
        <v>2250</v>
      </c>
      <c r="AD7" s="65" t="n">
        <f aca="false">Payroll!AD$65*'Assumption Setting'!$C$219*'Assumption Setting'!$D$219</f>
        <v>0</v>
      </c>
      <c r="AE7" s="65" t="n">
        <f aca="false">Payroll!AE$65*'Assumption Setting'!$C$219*'Assumption Setting'!$D$219</f>
        <v>0</v>
      </c>
      <c r="AF7" s="65" t="n">
        <f aca="false">Payroll!AF$65*'Assumption Setting'!$C$219*'Assumption Setting'!$D$219</f>
        <v>0</v>
      </c>
      <c r="AG7" s="65" t="n">
        <f aca="false">Payroll!AG$65*'Assumption Setting'!$C$219*'Assumption Setting'!$D$219</f>
        <v>0</v>
      </c>
      <c r="AH7" s="65" t="n">
        <f aca="false">Payroll!AH$65*'Assumption Setting'!$C$219*'Assumption Setting'!$D$219</f>
        <v>0</v>
      </c>
      <c r="AI7" s="65" t="n">
        <f aca="false">Payroll!AI$65*'Assumption Setting'!$C$219*'Assumption Setting'!$D$219</f>
        <v>0</v>
      </c>
      <c r="AJ7" s="65" t="n">
        <f aca="false">Payroll!AJ$65*'Assumption Setting'!$C$219*'Assumption Setting'!$D$219</f>
        <v>0</v>
      </c>
      <c r="AK7" s="65" t="n">
        <f aca="false">Payroll!AK$65*'Assumption Setting'!$C$219*'Assumption Setting'!$D$219</f>
        <v>0</v>
      </c>
      <c r="AL7" s="65" t="n">
        <f aca="false">Payroll!AL$65*'Assumption Setting'!$C$219*'Assumption Setting'!$D$219</f>
        <v>0</v>
      </c>
      <c r="AM7" s="65" t="n">
        <f aca="false">Payroll!AM$65*'Assumption Setting'!$C$219*'Assumption Setting'!$D$219</f>
        <v>0</v>
      </c>
      <c r="AN7" s="65" t="n">
        <f aca="false">Payroll!AN$65*'Assumption Setting'!$C$219*'Assumption Setting'!$D$219</f>
        <v>0</v>
      </c>
      <c r="AO7" s="64" t="n">
        <f aca="false">SUM(AP7:BA7)</f>
        <v>3000</v>
      </c>
      <c r="AP7" s="65" t="n">
        <f aca="false">Payroll!AP$65*'Assumption Setting'!$C$219*'Assumption Setting'!$D$219</f>
        <v>3000</v>
      </c>
      <c r="AQ7" s="65" t="n">
        <f aca="false">Payroll!AQ$65*'Assumption Setting'!$C$219*'Assumption Setting'!$D$219</f>
        <v>0</v>
      </c>
      <c r="AR7" s="65" t="n">
        <f aca="false">Payroll!AR$65*'Assumption Setting'!$C$219*'Assumption Setting'!$D$219</f>
        <v>0</v>
      </c>
      <c r="AS7" s="65" t="n">
        <f aca="false">Payroll!AS$65*'Assumption Setting'!$C$219*'Assumption Setting'!$D$219</f>
        <v>0</v>
      </c>
      <c r="AT7" s="65" t="n">
        <f aca="false">Payroll!AT$65*'Assumption Setting'!$C$219*'Assumption Setting'!$D$219</f>
        <v>0</v>
      </c>
      <c r="AU7" s="65" t="n">
        <f aca="false">Payroll!AU$65*'Assumption Setting'!$C$219*'Assumption Setting'!$D$219</f>
        <v>0</v>
      </c>
      <c r="AV7" s="65" t="n">
        <f aca="false">Payroll!AV$65*'Assumption Setting'!$C$219*'Assumption Setting'!$D$219</f>
        <v>0</v>
      </c>
      <c r="AW7" s="65" t="n">
        <f aca="false">Payroll!AW$65*'Assumption Setting'!$C$219*'Assumption Setting'!$D$219</f>
        <v>0</v>
      </c>
      <c r="AX7" s="65" t="n">
        <f aca="false">Payroll!AX$65*'Assumption Setting'!$C$219*'Assumption Setting'!$D$219</f>
        <v>0</v>
      </c>
      <c r="AY7" s="65" t="n">
        <f aca="false">Payroll!AY$65*'Assumption Setting'!$C$219*'Assumption Setting'!$D$219</f>
        <v>0</v>
      </c>
      <c r="AZ7" s="65" t="n">
        <f aca="false">Payroll!AZ$65*'Assumption Setting'!$C$219*'Assumption Setting'!$D$219</f>
        <v>0</v>
      </c>
      <c r="BA7" s="65" t="n">
        <f aca="false">Payroll!BA$65*'Assumption Setting'!$C$219*'Assumption Setting'!$D$219</f>
        <v>0</v>
      </c>
      <c r="BB7" s="64" t="n">
        <f aca="false">SUM(BC7:BN7)</f>
        <v>3000</v>
      </c>
      <c r="BC7" s="65" t="n">
        <f aca="false">Payroll!BC$65*'Assumption Setting'!$C$219*'Assumption Setting'!$D$219</f>
        <v>3000</v>
      </c>
      <c r="BD7" s="65" t="n">
        <f aca="false">Payroll!BD$65*'Assumption Setting'!$C$219*'Assumption Setting'!$D$219</f>
        <v>0</v>
      </c>
      <c r="BE7" s="65" t="n">
        <f aca="false">Payroll!BE$65*'Assumption Setting'!$C$219*'Assumption Setting'!$D$219</f>
        <v>0</v>
      </c>
      <c r="BF7" s="65" t="n">
        <f aca="false">Payroll!BF$65*'Assumption Setting'!$C$219*'Assumption Setting'!$D$219</f>
        <v>0</v>
      </c>
      <c r="BG7" s="65" t="n">
        <f aca="false">Payroll!BG$65*'Assumption Setting'!$C$219*'Assumption Setting'!$D$219</f>
        <v>0</v>
      </c>
      <c r="BH7" s="65" t="n">
        <f aca="false">Payroll!BH$65*'Assumption Setting'!$C$219*'Assumption Setting'!$D$219</f>
        <v>0</v>
      </c>
      <c r="BI7" s="65" t="n">
        <f aca="false">Payroll!BI$65*'Assumption Setting'!$C$219*'Assumption Setting'!$D$219</f>
        <v>0</v>
      </c>
      <c r="BJ7" s="65" t="n">
        <f aca="false">Payroll!BJ$65*'Assumption Setting'!$C$219*'Assumption Setting'!$D$219</f>
        <v>0</v>
      </c>
      <c r="BK7" s="65" t="n">
        <f aca="false">Payroll!BK$65*'Assumption Setting'!$C$219*'Assumption Setting'!$D$219</f>
        <v>0</v>
      </c>
      <c r="BL7" s="65" t="n">
        <f aca="false">Payroll!BL$65*'Assumption Setting'!$C$219*'Assumption Setting'!$D$219</f>
        <v>0</v>
      </c>
      <c r="BM7" s="65" t="n">
        <f aca="false">Payroll!BM$65*'Assumption Setting'!$C$219*'Assumption Setting'!$D$219</f>
        <v>0</v>
      </c>
      <c r="BN7" s="65" t="n">
        <f aca="false">Payroll!BN$65*'Assumption Setting'!$C$219*'Assumption Setting'!$D$219</f>
        <v>0</v>
      </c>
    </row>
    <row r="8" customFormat="false" ht="15" hidden="false" customHeight="false" outlineLevel="0" collapsed="false">
      <c r="A8" s="12" t="s">
        <v>468</v>
      </c>
      <c r="B8" s="64" t="n">
        <f aca="false">SUM(C8:N8)</f>
        <v>900</v>
      </c>
      <c r="C8" s="65" t="n">
        <f aca="false">Payroll!C$65*'Assumption Setting'!$C$220*'Assumption Setting'!$D$220</f>
        <v>900</v>
      </c>
      <c r="D8" s="65" t="n">
        <f aca="false">Payroll!D$65*'Assumption Setting'!$C$220*'Assumption Setting'!$D$220</f>
        <v>0</v>
      </c>
      <c r="E8" s="65" t="n">
        <f aca="false">Payroll!E$65*'Assumption Setting'!$C$220*'Assumption Setting'!$D$220</f>
        <v>0</v>
      </c>
      <c r="F8" s="65" t="n">
        <f aca="false">Payroll!F$65*'Assumption Setting'!$C$220*'Assumption Setting'!$D$220</f>
        <v>0</v>
      </c>
      <c r="G8" s="65" t="n">
        <f aca="false">Payroll!G$65*'Assumption Setting'!$C$220*'Assumption Setting'!$D$220</f>
        <v>0</v>
      </c>
      <c r="H8" s="65" t="n">
        <f aca="false">Payroll!H$65*'Assumption Setting'!$C$220*'Assumption Setting'!$D$220</f>
        <v>0</v>
      </c>
      <c r="I8" s="65" t="n">
        <f aca="false">Payroll!I$65*'Assumption Setting'!$C$220*'Assumption Setting'!$D$220</f>
        <v>0</v>
      </c>
      <c r="J8" s="65" t="n">
        <f aca="false">Payroll!J$65*'Assumption Setting'!$C$220*'Assumption Setting'!$D$220</f>
        <v>0</v>
      </c>
      <c r="K8" s="65" t="n">
        <f aca="false">Payroll!K$65*'Assumption Setting'!$C$220*'Assumption Setting'!$D$220</f>
        <v>0</v>
      </c>
      <c r="L8" s="65" t="n">
        <f aca="false">Payroll!L$65*'Assumption Setting'!$C$220*'Assumption Setting'!$D$220</f>
        <v>0</v>
      </c>
      <c r="M8" s="65" t="n">
        <f aca="false">Payroll!M$65*'Assumption Setting'!$C$220*'Assumption Setting'!$D$220</f>
        <v>0</v>
      </c>
      <c r="N8" s="65" t="n">
        <f aca="false">Payroll!N$65*'Assumption Setting'!$C$220*'Assumption Setting'!$D$220</f>
        <v>0</v>
      </c>
      <c r="O8" s="64" t="n">
        <f aca="false">SUM(P8:AA8)</f>
        <v>450</v>
      </c>
      <c r="P8" s="65" t="n">
        <f aca="false">Payroll!P$65*'Assumption Setting'!$C$220*'Assumption Setting'!$D$220</f>
        <v>450</v>
      </c>
      <c r="Q8" s="65" t="n">
        <f aca="false">Payroll!Q$65*'Assumption Setting'!$C$220*'Assumption Setting'!$D$220</f>
        <v>0</v>
      </c>
      <c r="R8" s="65" t="n">
        <f aca="false">Payroll!R$65*'Assumption Setting'!$C$220*'Assumption Setting'!$D$220</f>
        <v>0</v>
      </c>
      <c r="S8" s="65" t="n">
        <f aca="false">Payroll!S$65*'Assumption Setting'!$C$220*'Assumption Setting'!$D$220</f>
        <v>0</v>
      </c>
      <c r="T8" s="65" t="n">
        <f aca="false">Payroll!T$65*'Assumption Setting'!$C$220*'Assumption Setting'!$D$220</f>
        <v>0</v>
      </c>
      <c r="U8" s="65" t="n">
        <f aca="false">Payroll!U$65*'Assumption Setting'!$C$220*'Assumption Setting'!$D$220</f>
        <v>0</v>
      </c>
      <c r="V8" s="65" t="n">
        <f aca="false">Payroll!V$65*'Assumption Setting'!$C$220*'Assumption Setting'!$D$220</f>
        <v>0</v>
      </c>
      <c r="W8" s="65" t="n">
        <f aca="false">Payroll!W$65*'Assumption Setting'!$C$220*'Assumption Setting'!$D$220</f>
        <v>0</v>
      </c>
      <c r="X8" s="65" t="n">
        <f aca="false">Payroll!X$65*'Assumption Setting'!$C$220*'Assumption Setting'!$D$220</f>
        <v>0</v>
      </c>
      <c r="Y8" s="65" t="n">
        <f aca="false">Payroll!Y$65*'Assumption Setting'!$C$220*'Assumption Setting'!$D$220</f>
        <v>0</v>
      </c>
      <c r="Z8" s="65" t="n">
        <f aca="false">Payroll!Z$65*'Assumption Setting'!$C$220*'Assumption Setting'!$D$220</f>
        <v>0</v>
      </c>
      <c r="AA8" s="65" t="n">
        <f aca="false">Payroll!AA$65*'Assumption Setting'!$C$220*'Assumption Setting'!$D$220</f>
        <v>0</v>
      </c>
      <c r="AB8" s="64" t="n">
        <f aca="false">SUM(AC8:AN8)</f>
        <v>450</v>
      </c>
      <c r="AC8" s="65" t="n">
        <f aca="false">Payroll!AC$65*'Assumption Setting'!$C$220*'Assumption Setting'!$D$220</f>
        <v>450</v>
      </c>
      <c r="AD8" s="65" t="n">
        <f aca="false">Payroll!AD$65*'Assumption Setting'!$C$220*'Assumption Setting'!$D$220</f>
        <v>0</v>
      </c>
      <c r="AE8" s="65" t="n">
        <f aca="false">Payroll!AE$65*'Assumption Setting'!$C$220*'Assumption Setting'!$D$220</f>
        <v>0</v>
      </c>
      <c r="AF8" s="65" t="n">
        <f aca="false">Payroll!AF$65*'Assumption Setting'!$C$220*'Assumption Setting'!$D$220</f>
        <v>0</v>
      </c>
      <c r="AG8" s="65" t="n">
        <f aca="false">Payroll!AG$65*'Assumption Setting'!$C$220*'Assumption Setting'!$D$220</f>
        <v>0</v>
      </c>
      <c r="AH8" s="65" t="n">
        <f aca="false">Payroll!AH$65*'Assumption Setting'!$C$220*'Assumption Setting'!$D$220</f>
        <v>0</v>
      </c>
      <c r="AI8" s="65" t="n">
        <f aca="false">Payroll!AI$65*'Assumption Setting'!$C$220*'Assumption Setting'!$D$220</f>
        <v>0</v>
      </c>
      <c r="AJ8" s="65" t="n">
        <f aca="false">Payroll!AJ$65*'Assumption Setting'!$C$220*'Assumption Setting'!$D$220</f>
        <v>0</v>
      </c>
      <c r="AK8" s="65" t="n">
        <f aca="false">Payroll!AK$65*'Assumption Setting'!$C$220*'Assumption Setting'!$D$220</f>
        <v>0</v>
      </c>
      <c r="AL8" s="65" t="n">
        <f aca="false">Payroll!AL$65*'Assumption Setting'!$C$220*'Assumption Setting'!$D$220</f>
        <v>0</v>
      </c>
      <c r="AM8" s="65" t="n">
        <f aca="false">Payroll!AM$65*'Assumption Setting'!$C$220*'Assumption Setting'!$D$220</f>
        <v>0</v>
      </c>
      <c r="AN8" s="65" t="n">
        <f aca="false">Payroll!AN$65*'Assumption Setting'!$C$220*'Assumption Setting'!$D$220</f>
        <v>0</v>
      </c>
      <c r="AO8" s="64" t="n">
        <f aca="false">SUM(AP8:BA8)</f>
        <v>600</v>
      </c>
      <c r="AP8" s="65" t="n">
        <f aca="false">Payroll!AP$65*'Assumption Setting'!$C$220*'Assumption Setting'!$D$220</f>
        <v>600</v>
      </c>
      <c r="AQ8" s="65" t="n">
        <f aca="false">Payroll!AQ$65*'Assumption Setting'!$C$220*'Assumption Setting'!$D$220</f>
        <v>0</v>
      </c>
      <c r="AR8" s="65" t="n">
        <f aca="false">Payroll!AR$65*'Assumption Setting'!$C$220*'Assumption Setting'!$D$220</f>
        <v>0</v>
      </c>
      <c r="AS8" s="65" t="n">
        <f aca="false">Payroll!AS$65*'Assumption Setting'!$C$220*'Assumption Setting'!$D$220</f>
        <v>0</v>
      </c>
      <c r="AT8" s="65" t="n">
        <f aca="false">Payroll!AT$65*'Assumption Setting'!$C$220*'Assumption Setting'!$D$220</f>
        <v>0</v>
      </c>
      <c r="AU8" s="65" t="n">
        <f aca="false">Payroll!AU$65*'Assumption Setting'!$C$220*'Assumption Setting'!$D$220</f>
        <v>0</v>
      </c>
      <c r="AV8" s="65" t="n">
        <f aca="false">Payroll!AV$65*'Assumption Setting'!$C$220*'Assumption Setting'!$D$220</f>
        <v>0</v>
      </c>
      <c r="AW8" s="65" t="n">
        <f aca="false">Payroll!AW$65*'Assumption Setting'!$C$220*'Assumption Setting'!$D$220</f>
        <v>0</v>
      </c>
      <c r="AX8" s="65" t="n">
        <f aca="false">Payroll!AX$65*'Assumption Setting'!$C$220*'Assumption Setting'!$D$220</f>
        <v>0</v>
      </c>
      <c r="AY8" s="65" t="n">
        <f aca="false">Payroll!AY$65*'Assumption Setting'!$C$220*'Assumption Setting'!$D$220</f>
        <v>0</v>
      </c>
      <c r="AZ8" s="65" t="n">
        <f aca="false">Payroll!AZ$65*'Assumption Setting'!$C$220*'Assumption Setting'!$D$220</f>
        <v>0</v>
      </c>
      <c r="BA8" s="65" t="n">
        <f aca="false">Payroll!BA$65*'Assumption Setting'!$C$220*'Assumption Setting'!$D$220</f>
        <v>0</v>
      </c>
      <c r="BB8" s="64" t="n">
        <f aca="false">SUM(BC8:BN8)</f>
        <v>600</v>
      </c>
      <c r="BC8" s="65" t="n">
        <f aca="false">Payroll!BC$65*'Assumption Setting'!$C$220*'Assumption Setting'!$D$220</f>
        <v>600</v>
      </c>
      <c r="BD8" s="65" t="n">
        <f aca="false">Payroll!BD$65*'Assumption Setting'!$C$220*'Assumption Setting'!$D$220</f>
        <v>0</v>
      </c>
      <c r="BE8" s="65" t="n">
        <f aca="false">Payroll!BE$65*'Assumption Setting'!$C$220*'Assumption Setting'!$D$220</f>
        <v>0</v>
      </c>
      <c r="BF8" s="65" t="n">
        <f aca="false">Payroll!BF$65*'Assumption Setting'!$C$220*'Assumption Setting'!$D$220</f>
        <v>0</v>
      </c>
      <c r="BG8" s="65" t="n">
        <f aca="false">Payroll!BG$65*'Assumption Setting'!$C$220*'Assumption Setting'!$D$220</f>
        <v>0</v>
      </c>
      <c r="BH8" s="65" t="n">
        <f aca="false">Payroll!BH$65*'Assumption Setting'!$C$220*'Assumption Setting'!$D$220</f>
        <v>0</v>
      </c>
      <c r="BI8" s="65" t="n">
        <f aca="false">Payroll!BI$65*'Assumption Setting'!$C$220*'Assumption Setting'!$D$220</f>
        <v>0</v>
      </c>
      <c r="BJ8" s="65" t="n">
        <f aca="false">Payroll!BJ$65*'Assumption Setting'!$C$220*'Assumption Setting'!$D$220</f>
        <v>0</v>
      </c>
      <c r="BK8" s="65" t="n">
        <f aca="false">Payroll!BK$65*'Assumption Setting'!$C$220*'Assumption Setting'!$D$220</f>
        <v>0</v>
      </c>
      <c r="BL8" s="65" t="n">
        <f aca="false">Payroll!BL$65*'Assumption Setting'!$C$220*'Assumption Setting'!$D$220</f>
        <v>0</v>
      </c>
      <c r="BM8" s="65" t="n">
        <f aca="false">Payroll!BM$65*'Assumption Setting'!$C$220*'Assumption Setting'!$D$220</f>
        <v>0</v>
      </c>
      <c r="BN8" s="65" t="n">
        <f aca="false">Payroll!BN$65*'Assumption Setting'!$C$220*'Assumption Setting'!$D$220</f>
        <v>0</v>
      </c>
    </row>
    <row r="9" customFormat="false" ht="15" hidden="false" customHeight="false" outlineLevel="0" collapsed="false">
      <c r="A9" s="12" t="s">
        <v>469</v>
      </c>
      <c r="B9" s="64" t="n">
        <f aca="false">SUM(C9:N9)</f>
        <v>1080</v>
      </c>
      <c r="C9" s="65" t="n">
        <f aca="false">Payroll!C$65*'Assumption Setting'!$C$221*'Assumption Setting'!$D$221</f>
        <v>1080</v>
      </c>
      <c r="D9" s="65" t="n">
        <f aca="false">Payroll!D$65*'Assumption Setting'!$C$221*'Assumption Setting'!$D$221</f>
        <v>0</v>
      </c>
      <c r="E9" s="65" t="n">
        <f aca="false">Payroll!E$65*'Assumption Setting'!$C$221*'Assumption Setting'!$D$221</f>
        <v>0</v>
      </c>
      <c r="F9" s="65" t="n">
        <f aca="false">Payroll!F$65*'Assumption Setting'!$C$221*'Assumption Setting'!$D$221</f>
        <v>0</v>
      </c>
      <c r="G9" s="65" t="n">
        <f aca="false">Payroll!G$65*'Assumption Setting'!$C$221*'Assumption Setting'!$D$221</f>
        <v>0</v>
      </c>
      <c r="H9" s="65" t="n">
        <f aca="false">Payroll!H$65*'Assumption Setting'!$C$221*'Assumption Setting'!$D$221</f>
        <v>0</v>
      </c>
      <c r="I9" s="65" t="n">
        <f aca="false">Payroll!I$65*'Assumption Setting'!$C$221*'Assumption Setting'!$D$221</f>
        <v>0</v>
      </c>
      <c r="J9" s="65" t="n">
        <f aca="false">Payroll!J$65*'Assumption Setting'!$C$221*'Assumption Setting'!$D$221</f>
        <v>0</v>
      </c>
      <c r="K9" s="65" t="n">
        <f aca="false">Payroll!K$65*'Assumption Setting'!$C$221*'Assumption Setting'!$D$221</f>
        <v>0</v>
      </c>
      <c r="L9" s="65" t="n">
        <f aca="false">Payroll!L$65*'Assumption Setting'!$C$221*'Assumption Setting'!$D$221</f>
        <v>0</v>
      </c>
      <c r="M9" s="65" t="n">
        <f aca="false">Payroll!M$65*'Assumption Setting'!$C$221*'Assumption Setting'!$D$221</f>
        <v>0</v>
      </c>
      <c r="N9" s="65" t="n">
        <f aca="false">Payroll!N$65*'Assumption Setting'!$C$221*'Assumption Setting'!$D$221</f>
        <v>0</v>
      </c>
      <c r="O9" s="64" t="n">
        <f aca="false">SUM(P9:AA9)</f>
        <v>540</v>
      </c>
      <c r="P9" s="65" t="n">
        <f aca="false">Payroll!P$65*'Assumption Setting'!$C$221*'Assumption Setting'!$D$221</f>
        <v>540</v>
      </c>
      <c r="Q9" s="65" t="n">
        <f aca="false">Payroll!Q$65*'Assumption Setting'!$C$221*'Assumption Setting'!$D$221</f>
        <v>0</v>
      </c>
      <c r="R9" s="65" t="n">
        <f aca="false">Payroll!R$65*'Assumption Setting'!$C$221*'Assumption Setting'!$D$221</f>
        <v>0</v>
      </c>
      <c r="S9" s="65" t="n">
        <f aca="false">Payroll!S$65*'Assumption Setting'!$C$221*'Assumption Setting'!$D$221</f>
        <v>0</v>
      </c>
      <c r="T9" s="65" t="n">
        <f aca="false">Payroll!T$65*'Assumption Setting'!$C$221*'Assumption Setting'!$D$221</f>
        <v>0</v>
      </c>
      <c r="U9" s="65" t="n">
        <f aca="false">Payroll!U$65*'Assumption Setting'!$C$221*'Assumption Setting'!$D$221</f>
        <v>0</v>
      </c>
      <c r="V9" s="65" t="n">
        <f aca="false">Payroll!V$65*'Assumption Setting'!$C$221*'Assumption Setting'!$D$221</f>
        <v>0</v>
      </c>
      <c r="W9" s="65" t="n">
        <f aca="false">Payroll!W$65*'Assumption Setting'!$C$221*'Assumption Setting'!$D$221</f>
        <v>0</v>
      </c>
      <c r="X9" s="65" t="n">
        <f aca="false">Payroll!X$65*'Assumption Setting'!$C$221*'Assumption Setting'!$D$221</f>
        <v>0</v>
      </c>
      <c r="Y9" s="65" t="n">
        <f aca="false">Payroll!Y$65*'Assumption Setting'!$C$221*'Assumption Setting'!$D$221</f>
        <v>0</v>
      </c>
      <c r="Z9" s="65" t="n">
        <f aca="false">Payroll!Z$65*'Assumption Setting'!$C$221*'Assumption Setting'!$D$221</f>
        <v>0</v>
      </c>
      <c r="AA9" s="65" t="n">
        <f aca="false">Payroll!AA$65*'Assumption Setting'!$C$221*'Assumption Setting'!$D$221</f>
        <v>0</v>
      </c>
      <c r="AB9" s="64" t="n">
        <f aca="false">SUM(AC9:AN9)</f>
        <v>540</v>
      </c>
      <c r="AC9" s="65" t="n">
        <f aca="false">Payroll!AC$65*'Assumption Setting'!$C$221*'Assumption Setting'!$D$221</f>
        <v>540</v>
      </c>
      <c r="AD9" s="65" t="n">
        <f aca="false">Payroll!AD$65*'Assumption Setting'!$C$221*'Assumption Setting'!$D$221</f>
        <v>0</v>
      </c>
      <c r="AE9" s="65" t="n">
        <f aca="false">Payroll!AE$65*'Assumption Setting'!$C$221*'Assumption Setting'!$D$221</f>
        <v>0</v>
      </c>
      <c r="AF9" s="65" t="n">
        <f aca="false">Payroll!AF$65*'Assumption Setting'!$C$221*'Assumption Setting'!$D$221</f>
        <v>0</v>
      </c>
      <c r="AG9" s="65" t="n">
        <f aca="false">Payroll!AG$65*'Assumption Setting'!$C$221*'Assumption Setting'!$D$221</f>
        <v>0</v>
      </c>
      <c r="AH9" s="65" t="n">
        <f aca="false">Payroll!AH$65*'Assumption Setting'!$C$221*'Assumption Setting'!$D$221</f>
        <v>0</v>
      </c>
      <c r="AI9" s="65" t="n">
        <f aca="false">Payroll!AI$65*'Assumption Setting'!$C$221*'Assumption Setting'!$D$221</f>
        <v>0</v>
      </c>
      <c r="AJ9" s="65" t="n">
        <f aca="false">Payroll!AJ$65*'Assumption Setting'!$C$221*'Assumption Setting'!$D$221</f>
        <v>0</v>
      </c>
      <c r="AK9" s="65" t="n">
        <f aca="false">Payroll!AK$65*'Assumption Setting'!$C$221*'Assumption Setting'!$D$221</f>
        <v>0</v>
      </c>
      <c r="AL9" s="65" t="n">
        <f aca="false">Payroll!AL$65*'Assumption Setting'!$C$221*'Assumption Setting'!$D$221</f>
        <v>0</v>
      </c>
      <c r="AM9" s="65" t="n">
        <f aca="false">Payroll!AM$65*'Assumption Setting'!$C$221*'Assumption Setting'!$D$221</f>
        <v>0</v>
      </c>
      <c r="AN9" s="65" t="n">
        <f aca="false">Payroll!AN$65*'Assumption Setting'!$C$221*'Assumption Setting'!$D$221</f>
        <v>0</v>
      </c>
      <c r="AO9" s="64" t="n">
        <f aca="false">SUM(AP9:BA9)</f>
        <v>720</v>
      </c>
      <c r="AP9" s="65" t="n">
        <f aca="false">Payroll!AP$65*'Assumption Setting'!$C$221*'Assumption Setting'!$D$221</f>
        <v>720</v>
      </c>
      <c r="AQ9" s="65" t="n">
        <f aca="false">Payroll!AQ$65*'Assumption Setting'!$C$221*'Assumption Setting'!$D$221</f>
        <v>0</v>
      </c>
      <c r="AR9" s="65" t="n">
        <f aca="false">Payroll!AR$65*'Assumption Setting'!$C$221*'Assumption Setting'!$D$221</f>
        <v>0</v>
      </c>
      <c r="AS9" s="65" t="n">
        <f aca="false">Payroll!AS$65*'Assumption Setting'!$C$221*'Assumption Setting'!$D$221</f>
        <v>0</v>
      </c>
      <c r="AT9" s="65" t="n">
        <f aca="false">Payroll!AT$65*'Assumption Setting'!$C$221*'Assumption Setting'!$D$221</f>
        <v>0</v>
      </c>
      <c r="AU9" s="65" t="n">
        <f aca="false">Payroll!AU$65*'Assumption Setting'!$C$221*'Assumption Setting'!$D$221</f>
        <v>0</v>
      </c>
      <c r="AV9" s="65" t="n">
        <f aca="false">Payroll!AV$65*'Assumption Setting'!$C$221*'Assumption Setting'!$D$221</f>
        <v>0</v>
      </c>
      <c r="AW9" s="65" t="n">
        <f aca="false">Payroll!AW$65*'Assumption Setting'!$C$221*'Assumption Setting'!$D$221</f>
        <v>0</v>
      </c>
      <c r="AX9" s="65" t="n">
        <f aca="false">Payroll!AX$65*'Assumption Setting'!$C$221*'Assumption Setting'!$D$221</f>
        <v>0</v>
      </c>
      <c r="AY9" s="65" t="n">
        <f aca="false">Payroll!AY$65*'Assumption Setting'!$C$221*'Assumption Setting'!$D$221</f>
        <v>0</v>
      </c>
      <c r="AZ9" s="65" t="n">
        <f aca="false">Payroll!AZ$65*'Assumption Setting'!$C$221*'Assumption Setting'!$D$221</f>
        <v>0</v>
      </c>
      <c r="BA9" s="65" t="n">
        <f aca="false">Payroll!BA$65*'Assumption Setting'!$C$221*'Assumption Setting'!$D$221</f>
        <v>0</v>
      </c>
      <c r="BB9" s="64" t="n">
        <f aca="false">SUM(BC9:BN9)</f>
        <v>720</v>
      </c>
      <c r="BC9" s="65" t="n">
        <f aca="false">Payroll!BC$65*'Assumption Setting'!$C$221*'Assumption Setting'!$D$221</f>
        <v>720</v>
      </c>
      <c r="BD9" s="65" t="n">
        <f aca="false">Payroll!BD$65*'Assumption Setting'!$C$221*'Assumption Setting'!$D$221</f>
        <v>0</v>
      </c>
      <c r="BE9" s="65" t="n">
        <f aca="false">Payroll!BE$65*'Assumption Setting'!$C$221*'Assumption Setting'!$D$221</f>
        <v>0</v>
      </c>
      <c r="BF9" s="65" t="n">
        <f aca="false">Payroll!BF$65*'Assumption Setting'!$C$221*'Assumption Setting'!$D$221</f>
        <v>0</v>
      </c>
      <c r="BG9" s="65" t="n">
        <f aca="false">Payroll!BG$65*'Assumption Setting'!$C$221*'Assumption Setting'!$D$221</f>
        <v>0</v>
      </c>
      <c r="BH9" s="65" t="n">
        <f aca="false">Payroll!BH$65*'Assumption Setting'!$C$221*'Assumption Setting'!$D$221</f>
        <v>0</v>
      </c>
      <c r="BI9" s="65" t="n">
        <f aca="false">Payroll!BI$65*'Assumption Setting'!$C$221*'Assumption Setting'!$D$221</f>
        <v>0</v>
      </c>
      <c r="BJ9" s="65" t="n">
        <f aca="false">Payroll!BJ$65*'Assumption Setting'!$C$221*'Assumption Setting'!$D$221</f>
        <v>0</v>
      </c>
      <c r="BK9" s="65" t="n">
        <f aca="false">Payroll!BK$65*'Assumption Setting'!$C$221*'Assumption Setting'!$D$221</f>
        <v>0</v>
      </c>
      <c r="BL9" s="65" t="n">
        <f aca="false">Payroll!BL$65*'Assumption Setting'!$C$221*'Assumption Setting'!$D$221</f>
        <v>0</v>
      </c>
      <c r="BM9" s="65" t="n">
        <f aca="false">Payroll!BM$65*'Assumption Setting'!$C$221*'Assumption Setting'!$D$221</f>
        <v>0</v>
      </c>
      <c r="BN9" s="65" t="n">
        <f aca="false">Payroll!BN$65*'Assumption Setting'!$C$221*'Assumption Setting'!$D$221</f>
        <v>0</v>
      </c>
    </row>
    <row r="10" customFormat="false" ht="15" hidden="false" customHeight="false" outlineLevel="0" collapsed="false">
      <c r="A10" s="12" t="s">
        <v>470</v>
      </c>
      <c r="B10" s="64" t="n">
        <f aca="false">SUM(C10:N10)</f>
        <v>0</v>
      </c>
      <c r="C10" s="65" t="n">
        <f aca="false">Payroll!C$65*'Assumption Setting'!$C$222*'Assumption Setting'!$D$222</f>
        <v>0</v>
      </c>
      <c r="D10" s="65" t="n">
        <f aca="false">Payroll!D$65*'Assumption Setting'!$C$222*'Assumption Setting'!$D$222</f>
        <v>0</v>
      </c>
      <c r="E10" s="65" t="n">
        <f aca="false">Payroll!E$65*'Assumption Setting'!$C$222*'Assumption Setting'!$D$222</f>
        <v>0</v>
      </c>
      <c r="F10" s="65" t="n">
        <f aca="false">Payroll!F$65*'Assumption Setting'!$C$222*'Assumption Setting'!$D$222</f>
        <v>0</v>
      </c>
      <c r="G10" s="65" t="n">
        <f aca="false">Payroll!G$65*'Assumption Setting'!$C$222*'Assumption Setting'!$D$222</f>
        <v>0</v>
      </c>
      <c r="H10" s="65" t="n">
        <f aca="false">Payroll!H$65*'Assumption Setting'!$C$222*'Assumption Setting'!$D$222</f>
        <v>0</v>
      </c>
      <c r="I10" s="65" t="n">
        <f aca="false">Payroll!I$65*'Assumption Setting'!$C$222*'Assumption Setting'!$D$222</f>
        <v>0</v>
      </c>
      <c r="J10" s="65" t="n">
        <f aca="false">Payroll!J$65*'Assumption Setting'!$C$222*'Assumption Setting'!$D$222</f>
        <v>0</v>
      </c>
      <c r="K10" s="65" t="n">
        <f aca="false">Payroll!K$65*'Assumption Setting'!$C$222*'Assumption Setting'!$D$222</f>
        <v>0</v>
      </c>
      <c r="L10" s="65" t="n">
        <f aca="false">Payroll!L$65*'Assumption Setting'!$C$222*'Assumption Setting'!$D$222</f>
        <v>0</v>
      </c>
      <c r="M10" s="65" t="n">
        <f aca="false">Payroll!M$65*'Assumption Setting'!$C$222*'Assumption Setting'!$D$222</f>
        <v>0</v>
      </c>
      <c r="N10" s="65" t="n">
        <f aca="false">Payroll!N$65*'Assumption Setting'!$C$222*'Assumption Setting'!$D$222</f>
        <v>0</v>
      </c>
      <c r="O10" s="64" t="n">
        <f aca="false">SUM(P10:AA10)</f>
        <v>0</v>
      </c>
      <c r="P10" s="65" t="n">
        <f aca="false">Payroll!P$65*'Assumption Setting'!$C$222*'Assumption Setting'!$D$222</f>
        <v>0</v>
      </c>
      <c r="Q10" s="65" t="n">
        <f aca="false">Payroll!Q$65*'Assumption Setting'!$C$222*'Assumption Setting'!$D$222</f>
        <v>0</v>
      </c>
      <c r="R10" s="65" t="n">
        <f aca="false">Payroll!R$65*'Assumption Setting'!$C$222*'Assumption Setting'!$D$222</f>
        <v>0</v>
      </c>
      <c r="S10" s="65" t="n">
        <f aca="false">Payroll!S$65*'Assumption Setting'!$C$222*'Assumption Setting'!$D$222</f>
        <v>0</v>
      </c>
      <c r="T10" s="65" t="n">
        <f aca="false">Payroll!T$65*'Assumption Setting'!$C$222*'Assumption Setting'!$D$222</f>
        <v>0</v>
      </c>
      <c r="U10" s="65" t="n">
        <f aca="false">Payroll!U$65*'Assumption Setting'!$C$222*'Assumption Setting'!$D$222</f>
        <v>0</v>
      </c>
      <c r="V10" s="65" t="n">
        <f aca="false">Payroll!V$65*'Assumption Setting'!$C$222*'Assumption Setting'!$D$222</f>
        <v>0</v>
      </c>
      <c r="W10" s="65" t="n">
        <f aca="false">Payroll!W$65*'Assumption Setting'!$C$222*'Assumption Setting'!$D$222</f>
        <v>0</v>
      </c>
      <c r="X10" s="65" t="n">
        <f aca="false">Payroll!X$65*'Assumption Setting'!$C$222*'Assumption Setting'!$D$222</f>
        <v>0</v>
      </c>
      <c r="Y10" s="65" t="n">
        <f aca="false">Payroll!Y$65*'Assumption Setting'!$C$222*'Assumption Setting'!$D$222</f>
        <v>0</v>
      </c>
      <c r="Z10" s="65" t="n">
        <f aca="false">Payroll!Z$65*'Assumption Setting'!$C$222*'Assumption Setting'!$D$222</f>
        <v>0</v>
      </c>
      <c r="AA10" s="65" t="n">
        <f aca="false">Payroll!AA$65*'Assumption Setting'!$C$222*'Assumption Setting'!$D$222</f>
        <v>0</v>
      </c>
      <c r="AB10" s="64" t="n">
        <f aca="false">SUM(AC10:AN10)</f>
        <v>0</v>
      </c>
      <c r="AC10" s="65" t="n">
        <f aca="false">Payroll!AC$65*'Assumption Setting'!$C$222*'Assumption Setting'!$D$222</f>
        <v>0</v>
      </c>
      <c r="AD10" s="65" t="n">
        <f aca="false">Payroll!AD$65*'Assumption Setting'!$C$222*'Assumption Setting'!$D$222</f>
        <v>0</v>
      </c>
      <c r="AE10" s="65" t="n">
        <f aca="false">Payroll!AE$65*'Assumption Setting'!$C$222*'Assumption Setting'!$D$222</f>
        <v>0</v>
      </c>
      <c r="AF10" s="65" t="n">
        <f aca="false">Payroll!AF$65*'Assumption Setting'!$C$222*'Assumption Setting'!$D$222</f>
        <v>0</v>
      </c>
      <c r="AG10" s="65" t="n">
        <f aca="false">Payroll!AG$65*'Assumption Setting'!$C$222*'Assumption Setting'!$D$222</f>
        <v>0</v>
      </c>
      <c r="AH10" s="65" t="n">
        <f aca="false">Payroll!AH$65*'Assumption Setting'!$C$222*'Assumption Setting'!$D$222</f>
        <v>0</v>
      </c>
      <c r="AI10" s="65" t="n">
        <f aca="false">Payroll!AI$65*'Assumption Setting'!$C$222*'Assumption Setting'!$D$222</f>
        <v>0</v>
      </c>
      <c r="AJ10" s="65" t="n">
        <f aca="false">Payroll!AJ$65*'Assumption Setting'!$C$222*'Assumption Setting'!$D$222</f>
        <v>0</v>
      </c>
      <c r="AK10" s="65" t="n">
        <f aca="false">Payroll!AK$65*'Assumption Setting'!$C$222*'Assumption Setting'!$D$222</f>
        <v>0</v>
      </c>
      <c r="AL10" s="65" t="n">
        <f aca="false">Payroll!AL$65*'Assumption Setting'!$C$222*'Assumption Setting'!$D$222</f>
        <v>0</v>
      </c>
      <c r="AM10" s="65" t="n">
        <f aca="false">Payroll!AM$65*'Assumption Setting'!$C$222*'Assumption Setting'!$D$222</f>
        <v>0</v>
      </c>
      <c r="AN10" s="65" t="n">
        <f aca="false">Payroll!AN$65*'Assumption Setting'!$C$222*'Assumption Setting'!$D$222</f>
        <v>0</v>
      </c>
      <c r="AO10" s="64" t="n">
        <f aca="false">SUM(AP10:BA10)</f>
        <v>0</v>
      </c>
      <c r="AP10" s="65" t="n">
        <f aca="false">Payroll!AP$65*'Assumption Setting'!$C$222*'Assumption Setting'!$D$222</f>
        <v>0</v>
      </c>
      <c r="AQ10" s="65" t="n">
        <f aca="false">Payroll!AQ$65*'Assumption Setting'!$C$222*'Assumption Setting'!$D$222</f>
        <v>0</v>
      </c>
      <c r="AR10" s="65" t="n">
        <f aca="false">Payroll!AR$65*'Assumption Setting'!$C$222*'Assumption Setting'!$D$222</f>
        <v>0</v>
      </c>
      <c r="AS10" s="65" t="n">
        <f aca="false">Payroll!AS$65*'Assumption Setting'!$C$222*'Assumption Setting'!$D$222</f>
        <v>0</v>
      </c>
      <c r="AT10" s="65" t="n">
        <f aca="false">Payroll!AT$65*'Assumption Setting'!$C$222*'Assumption Setting'!$D$222</f>
        <v>0</v>
      </c>
      <c r="AU10" s="65" t="n">
        <f aca="false">Payroll!AU$65*'Assumption Setting'!$C$222*'Assumption Setting'!$D$222</f>
        <v>0</v>
      </c>
      <c r="AV10" s="65" t="n">
        <f aca="false">Payroll!AV$65*'Assumption Setting'!$C$222*'Assumption Setting'!$D$222</f>
        <v>0</v>
      </c>
      <c r="AW10" s="65" t="n">
        <f aca="false">Payroll!AW$65*'Assumption Setting'!$C$222*'Assumption Setting'!$D$222</f>
        <v>0</v>
      </c>
      <c r="AX10" s="65" t="n">
        <f aca="false">Payroll!AX$65*'Assumption Setting'!$C$222*'Assumption Setting'!$D$222</f>
        <v>0</v>
      </c>
      <c r="AY10" s="65" t="n">
        <f aca="false">Payroll!AY$65*'Assumption Setting'!$C$222*'Assumption Setting'!$D$222</f>
        <v>0</v>
      </c>
      <c r="AZ10" s="65" t="n">
        <f aca="false">Payroll!AZ$65*'Assumption Setting'!$C$222*'Assumption Setting'!$D$222</f>
        <v>0</v>
      </c>
      <c r="BA10" s="65" t="n">
        <f aca="false">Payroll!BA$65*'Assumption Setting'!$C$222*'Assumption Setting'!$D$222</f>
        <v>0</v>
      </c>
      <c r="BB10" s="64" t="n">
        <f aca="false">SUM(BC10:BN10)</f>
        <v>0</v>
      </c>
      <c r="BC10" s="65" t="n">
        <f aca="false">Payroll!BC$65*'Assumption Setting'!$C$222*'Assumption Setting'!$D$222</f>
        <v>0</v>
      </c>
      <c r="BD10" s="65" t="n">
        <f aca="false">Payroll!BD$65*'Assumption Setting'!$C$222*'Assumption Setting'!$D$222</f>
        <v>0</v>
      </c>
      <c r="BE10" s="65" t="n">
        <f aca="false">Payroll!BE$65*'Assumption Setting'!$C$222*'Assumption Setting'!$D$222</f>
        <v>0</v>
      </c>
      <c r="BF10" s="65" t="n">
        <f aca="false">Payroll!BF$65*'Assumption Setting'!$C$222*'Assumption Setting'!$D$222</f>
        <v>0</v>
      </c>
      <c r="BG10" s="65" t="n">
        <f aca="false">Payroll!BG$65*'Assumption Setting'!$C$222*'Assumption Setting'!$D$222</f>
        <v>0</v>
      </c>
      <c r="BH10" s="65" t="n">
        <f aca="false">Payroll!BH$65*'Assumption Setting'!$C$222*'Assumption Setting'!$D$222</f>
        <v>0</v>
      </c>
      <c r="BI10" s="65" t="n">
        <f aca="false">Payroll!BI$65*'Assumption Setting'!$C$222*'Assumption Setting'!$D$222</f>
        <v>0</v>
      </c>
      <c r="BJ10" s="65" t="n">
        <f aca="false">Payroll!BJ$65*'Assumption Setting'!$C$222*'Assumption Setting'!$D$222</f>
        <v>0</v>
      </c>
      <c r="BK10" s="65" t="n">
        <f aca="false">Payroll!BK$65*'Assumption Setting'!$C$222*'Assumption Setting'!$D$222</f>
        <v>0</v>
      </c>
      <c r="BL10" s="65" t="n">
        <f aca="false">Payroll!BL$65*'Assumption Setting'!$C$222*'Assumption Setting'!$D$222</f>
        <v>0</v>
      </c>
      <c r="BM10" s="65" t="n">
        <f aca="false">Payroll!BM$65*'Assumption Setting'!$C$222*'Assumption Setting'!$D$222</f>
        <v>0</v>
      </c>
      <c r="BN10" s="65" t="n">
        <f aca="false">Payroll!BN$65*'Assumption Setting'!$C$222*'Assumption Setting'!$D$222</f>
        <v>0</v>
      </c>
    </row>
    <row r="11" customFormat="false" ht="15" hidden="false" customHeight="false" outlineLevel="0" collapsed="false">
      <c r="A11" s="12" t="s">
        <v>474</v>
      </c>
      <c r="B11" s="64" t="n">
        <f aca="false">SUM(C11:N11)</f>
        <v>2200</v>
      </c>
      <c r="C11" s="65" t="n">
        <f aca="false">IF(1='Assumption Setting'!$C$225,'Assumption Setting'!$D$225,0)</f>
        <v>0</v>
      </c>
      <c r="D11" s="65" t="n">
        <f aca="false">IF(2='Assumption Setting'!$C$225,'Assumption Setting'!$D$225,0)</f>
        <v>2200</v>
      </c>
      <c r="E11" s="65" t="n">
        <f aca="false">IF(3='Assumption Setting'!$C$225,'Assumption Setting'!$D$225,0)</f>
        <v>0</v>
      </c>
      <c r="F11" s="65" t="n">
        <f aca="false">IF(4='Assumption Setting'!$C$225,'Assumption Setting'!$D$225,0)</f>
        <v>0</v>
      </c>
      <c r="G11" s="65" t="n">
        <f aca="false">IF(5='Assumption Setting'!$C$225,'Assumption Setting'!$D$225,0)</f>
        <v>0</v>
      </c>
      <c r="H11" s="65" t="n">
        <f aca="false">IF(6='Assumption Setting'!$C$225,'Assumption Setting'!$D$225,0)</f>
        <v>0</v>
      </c>
      <c r="I11" s="65" t="n">
        <f aca="false">IF(7='Assumption Setting'!$C$225,'Assumption Setting'!$D$225,0)</f>
        <v>0</v>
      </c>
      <c r="J11" s="65" t="n">
        <f aca="false">IF(8='Assumption Setting'!$C$225,'Assumption Setting'!$D$225,0)</f>
        <v>0</v>
      </c>
      <c r="K11" s="65" t="n">
        <f aca="false">IF(9='Assumption Setting'!$C$225,'Assumption Setting'!$D$225,0)</f>
        <v>0</v>
      </c>
      <c r="L11" s="65" t="n">
        <f aca="false">IF(10='Assumption Setting'!$C$225,'Assumption Setting'!$D$225,0)</f>
        <v>0</v>
      </c>
      <c r="M11" s="65" t="n">
        <f aca="false">IF(11='Assumption Setting'!$C$225,'Assumption Setting'!$D$225,0)</f>
        <v>0</v>
      </c>
      <c r="N11" s="65" t="n">
        <f aca="false">IF(12='Assumption Setting'!$C$225,'Assumption Setting'!$D$225,0)</f>
        <v>0</v>
      </c>
      <c r="O11" s="64" t="n">
        <f aca="false">SUM(P11:AA11)</f>
        <v>0</v>
      </c>
      <c r="P11" s="65" t="n">
        <f aca="false">IF(13='Assumption Setting'!$C$225,'Assumption Setting'!$D$225,0)</f>
        <v>0</v>
      </c>
      <c r="Q11" s="65" t="n">
        <f aca="false">IF(14='Assumption Setting'!$C$225,'Assumption Setting'!$D$225,0)</f>
        <v>0</v>
      </c>
      <c r="R11" s="65" t="n">
        <f aca="false">IF(15='Assumption Setting'!$C$225,'Assumption Setting'!$D$225,0)</f>
        <v>0</v>
      </c>
      <c r="S11" s="65" t="n">
        <f aca="false">IF(16='Assumption Setting'!$C$225,'Assumption Setting'!$D$225,0)</f>
        <v>0</v>
      </c>
      <c r="T11" s="65" t="n">
        <f aca="false">IF(17='Assumption Setting'!$C$225,'Assumption Setting'!$D$225,0)</f>
        <v>0</v>
      </c>
      <c r="U11" s="65" t="n">
        <f aca="false">IF(18='Assumption Setting'!$C$225,'Assumption Setting'!$D$225,0)</f>
        <v>0</v>
      </c>
      <c r="V11" s="65" t="n">
        <f aca="false">IF(19='Assumption Setting'!$C$225,'Assumption Setting'!$D$225,0)</f>
        <v>0</v>
      </c>
      <c r="W11" s="65" t="n">
        <f aca="false">IF(20='Assumption Setting'!$C$225,'Assumption Setting'!$D$225,0)</f>
        <v>0</v>
      </c>
      <c r="X11" s="65" t="n">
        <f aca="false">IF(21='Assumption Setting'!$C$225,'Assumption Setting'!$D$225,0)</f>
        <v>0</v>
      </c>
      <c r="Y11" s="65" t="n">
        <f aca="false">IF(22='Assumption Setting'!$C$225,'Assumption Setting'!$D$225,0)</f>
        <v>0</v>
      </c>
      <c r="Z11" s="65" t="n">
        <f aca="false">IF(23='Assumption Setting'!$C$225,'Assumption Setting'!$D$225,0)</f>
        <v>0</v>
      </c>
      <c r="AA11" s="65" t="n">
        <f aca="false">IF(24='Assumption Setting'!$C$225,'Assumption Setting'!$D$225,0)</f>
        <v>0</v>
      </c>
      <c r="AB11" s="64" t="n">
        <f aca="false">SUM(AC11:AN11)</f>
        <v>0</v>
      </c>
      <c r="AC11" s="65" t="n">
        <f aca="false">IF(25='Assumption Setting'!$C$225,'Assumption Setting'!$D$225,0)</f>
        <v>0</v>
      </c>
      <c r="AD11" s="65" t="n">
        <f aca="false">IF(26='Assumption Setting'!$C$225,'Assumption Setting'!$D$225,0)</f>
        <v>0</v>
      </c>
      <c r="AE11" s="65" t="n">
        <f aca="false">IF(27='Assumption Setting'!$C$225,'Assumption Setting'!$D$225,0)</f>
        <v>0</v>
      </c>
      <c r="AF11" s="65" t="n">
        <f aca="false">IF(28='Assumption Setting'!$C$225,'Assumption Setting'!$D$225,0)</f>
        <v>0</v>
      </c>
      <c r="AG11" s="65" t="n">
        <f aca="false">IF(29='Assumption Setting'!$C$225,'Assumption Setting'!$D$225,0)</f>
        <v>0</v>
      </c>
      <c r="AH11" s="65" t="n">
        <f aca="false">IF(30='Assumption Setting'!$C$225,'Assumption Setting'!$D$225,0)</f>
        <v>0</v>
      </c>
      <c r="AI11" s="65" t="n">
        <f aca="false">IF(31='Assumption Setting'!$C$225,'Assumption Setting'!$D$225,0)</f>
        <v>0</v>
      </c>
      <c r="AJ11" s="65" t="n">
        <f aca="false">IF(32='Assumption Setting'!$C$225,'Assumption Setting'!$D$225,0)</f>
        <v>0</v>
      </c>
      <c r="AK11" s="65" t="n">
        <f aca="false">IF(33='Assumption Setting'!$C$225,'Assumption Setting'!$D$225,0)</f>
        <v>0</v>
      </c>
      <c r="AL11" s="65" t="n">
        <f aca="false">IF(34='Assumption Setting'!$C$225,'Assumption Setting'!$D$225,0)</f>
        <v>0</v>
      </c>
      <c r="AM11" s="65" t="n">
        <f aca="false">IF(35='Assumption Setting'!$C$225,'Assumption Setting'!$D$225,0)</f>
        <v>0</v>
      </c>
      <c r="AN11" s="65" t="n">
        <f aca="false">IF(36='Assumption Setting'!$C$225,'Assumption Setting'!$D$225,0)</f>
        <v>0</v>
      </c>
      <c r="AO11" s="64" t="n">
        <f aca="false">SUM(AP11:BA11)</f>
        <v>0</v>
      </c>
      <c r="AP11" s="65" t="n">
        <f aca="false">IF(37='Assumption Setting'!$C$225,'Assumption Setting'!$D$225,0)</f>
        <v>0</v>
      </c>
      <c r="AQ11" s="65" t="n">
        <f aca="false">IF(38='Assumption Setting'!$C$225,'Assumption Setting'!$D$225,0)</f>
        <v>0</v>
      </c>
      <c r="AR11" s="65" t="n">
        <f aca="false">IF(39='Assumption Setting'!$C$225,'Assumption Setting'!$D$225,0)</f>
        <v>0</v>
      </c>
      <c r="AS11" s="65" t="n">
        <f aca="false">IF(40='Assumption Setting'!$C$225,'Assumption Setting'!$D$225,0)</f>
        <v>0</v>
      </c>
      <c r="AT11" s="65" t="n">
        <f aca="false">IF(41='Assumption Setting'!$C$225,'Assumption Setting'!$D$225,0)</f>
        <v>0</v>
      </c>
      <c r="AU11" s="65" t="n">
        <f aca="false">IF(42='Assumption Setting'!$C$225,'Assumption Setting'!$D$225,0)</f>
        <v>0</v>
      </c>
      <c r="AV11" s="65" t="n">
        <f aca="false">IF(43='Assumption Setting'!$C$225,'Assumption Setting'!$D$225,0)</f>
        <v>0</v>
      </c>
      <c r="AW11" s="65" t="n">
        <f aca="false">IF(44='Assumption Setting'!$C$225,'Assumption Setting'!$D$225,0)</f>
        <v>0</v>
      </c>
      <c r="AX11" s="65" t="n">
        <f aca="false">IF(45='Assumption Setting'!$C$225,'Assumption Setting'!$D$225,0)</f>
        <v>0</v>
      </c>
      <c r="AY11" s="65" t="n">
        <f aca="false">IF(46='Assumption Setting'!$C$225,'Assumption Setting'!$D$225,0)</f>
        <v>0</v>
      </c>
      <c r="AZ11" s="65" t="n">
        <f aca="false">IF(47='Assumption Setting'!$C$225,'Assumption Setting'!$D$225,0)</f>
        <v>0</v>
      </c>
      <c r="BA11" s="65" t="n">
        <f aca="false">IF(48='Assumption Setting'!$C$225,'Assumption Setting'!$D$225,0)</f>
        <v>0</v>
      </c>
      <c r="BB11" s="64" t="n">
        <f aca="false">SUM(BC11:BN11)</f>
        <v>0</v>
      </c>
      <c r="BC11" s="65" t="n">
        <f aca="false">IF(49='Assumption Setting'!$C$225,'Assumption Setting'!$D$225,0)</f>
        <v>0</v>
      </c>
      <c r="BD11" s="65" t="n">
        <f aca="false">IF(50='Assumption Setting'!$C$225,'Assumption Setting'!$D$225,0)</f>
        <v>0</v>
      </c>
      <c r="BE11" s="65" t="n">
        <f aca="false">IF(51='Assumption Setting'!$C$225,'Assumption Setting'!$D$225,0)</f>
        <v>0</v>
      </c>
      <c r="BF11" s="65" t="n">
        <f aca="false">IF(52='Assumption Setting'!$C$225,'Assumption Setting'!$D$225,0)</f>
        <v>0</v>
      </c>
      <c r="BG11" s="65" t="n">
        <f aca="false">IF(53='Assumption Setting'!$C$225,'Assumption Setting'!$D$225,0)</f>
        <v>0</v>
      </c>
      <c r="BH11" s="65" t="n">
        <f aca="false">IF(54='Assumption Setting'!$C$225,'Assumption Setting'!$D$225,0)</f>
        <v>0</v>
      </c>
      <c r="BI11" s="65" t="n">
        <f aca="false">IF(55='Assumption Setting'!$C$225,'Assumption Setting'!$D$225,0)</f>
        <v>0</v>
      </c>
      <c r="BJ11" s="65" t="n">
        <f aca="false">IF(56='Assumption Setting'!$C$225,'Assumption Setting'!$D$225,0)</f>
        <v>0</v>
      </c>
      <c r="BK11" s="65" t="n">
        <f aca="false">IF(57='Assumption Setting'!$C$225,'Assumption Setting'!$D$225,0)</f>
        <v>0</v>
      </c>
      <c r="BL11" s="65" t="n">
        <f aca="false">IF(58='Assumption Setting'!$C$225,'Assumption Setting'!$D$225,0)</f>
        <v>0</v>
      </c>
      <c r="BM11" s="65" t="n">
        <f aca="false">IF(59='Assumption Setting'!$C$225,'Assumption Setting'!$D$225,0)</f>
        <v>0</v>
      </c>
      <c r="BN11" s="65" t="n">
        <f aca="false">IF(60='Assumption Setting'!$C$225,'Assumption Setting'!$D$225,0)</f>
        <v>0</v>
      </c>
    </row>
    <row r="12" customFormat="false" ht="15" hidden="false" customHeight="false" outlineLevel="0" collapsed="false">
      <c r="A12" s="12" t="s">
        <v>475</v>
      </c>
      <c r="B12" s="64" t="n">
        <f aca="false">SUM(C12:N12)</f>
        <v>600</v>
      </c>
      <c r="C12" s="65" t="n">
        <f aca="false">IF(1='Assumption Setting'!$C$226,'Assumption Setting'!$D$226,0)</f>
        <v>600</v>
      </c>
      <c r="D12" s="65" t="n">
        <f aca="false">IF(2='Assumption Setting'!$C$226,'Assumption Setting'!$D$226,0)</f>
        <v>0</v>
      </c>
      <c r="E12" s="65" t="n">
        <f aca="false">IF(3='Assumption Setting'!$C$226,'Assumption Setting'!$D$226,0)</f>
        <v>0</v>
      </c>
      <c r="F12" s="65" t="n">
        <f aca="false">IF(4='Assumption Setting'!$C$226,'Assumption Setting'!$D$226,0)</f>
        <v>0</v>
      </c>
      <c r="G12" s="65" t="n">
        <f aca="false">IF(5='Assumption Setting'!$C$226,'Assumption Setting'!$D$226,0)</f>
        <v>0</v>
      </c>
      <c r="H12" s="65" t="n">
        <f aca="false">IF(6='Assumption Setting'!$C$226,'Assumption Setting'!$D$226,0)</f>
        <v>0</v>
      </c>
      <c r="I12" s="65" t="n">
        <f aca="false">IF(7='Assumption Setting'!$C$226,'Assumption Setting'!$D$226,0)</f>
        <v>0</v>
      </c>
      <c r="J12" s="65" t="n">
        <f aca="false">IF(8='Assumption Setting'!$C$226,'Assumption Setting'!$D$226,0)</f>
        <v>0</v>
      </c>
      <c r="K12" s="65" t="n">
        <f aca="false">IF(9='Assumption Setting'!$C$226,'Assumption Setting'!$D$226,0)</f>
        <v>0</v>
      </c>
      <c r="L12" s="65" t="n">
        <f aca="false">IF(10='Assumption Setting'!$C$226,'Assumption Setting'!$D$226,0)</f>
        <v>0</v>
      </c>
      <c r="M12" s="65" t="n">
        <f aca="false">IF(11='Assumption Setting'!$C$226,'Assumption Setting'!$D$226,0)</f>
        <v>0</v>
      </c>
      <c r="N12" s="65" t="n">
        <f aca="false">IF(12='Assumption Setting'!$C$226,'Assumption Setting'!$D$226,0)</f>
        <v>0</v>
      </c>
      <c r="O12" s="64" t="n">
        <f aca="false">SUM(P12:AA12)</f>
        <v>0</v>
      </c>
      <c r="P12" s="65" t="n">
        <f aca="false">IF(13='Assumption Setting'!$C$226,'Assumption Setting'!$D$226,0)</f>
        <v>0</v>
      </c>
      <c r="Q12" s="65" t="n">
        <f aca="false">IF(14='Assumption Setting'!$C$226,'Assumption Setting'!$D$226,0)</f>
        <v>0</v>
      </c>
      <c r="R12" s="65" t="n">
        <f aca="false">IF(15='Assumption Setting'!$C$226,'Assumption Setting'!$D$226,0)</f>
        <v>0</v>
      </c>
      <c r="S12" s="65" t="n">
        <f aca="false">IF(16='Assumption Setting'!$C$226,'Assumption Setting'!$D$226,0)</f>
        <v>0</v>
      </c>
      <c r="T12" s="65" t="n">
        <f aca="false">IF(17='Assumption Setting'!$C$226,'Assumption Setting'!$D$226,0)</f>
        <v>0</v>
      </c>
      <c r="U12" s="65" t="n">
        <f aca="false">IF(18='Assumption Setting'!$C$226,'Assumption Setting'!$D$226,0)</f>
        <v>0</v>
      </c>
      <c r="V12" s="65" t="n">
        <f aca="false">IF(19='Assumption Setting'!$C$226,'Assumption Setting'!$D$226,0)</f>
        <v>0</v>
      </c>
      <c r="W12" s="65" t="n">
        <f aca="false">IF(20='Assumption Setting'!$C$226,'Assumption Setting'!$D$226,0)</f>
        <v>0</v>
      </c>
      <c r="X12" s="65" t="n">
        <f aca="false">IF(21='Assumption Setting'!$C$226,'Assumption Setting'!$D$226,0)</f>
        <v>0</v>
      </c>
      <c r="Y12" s="65" t="n">
        <f aca="false">IF(22='Assumption Setting'!$C$226,'Assumption Setting'!$D$226,0)</f>
        <v>0</v>
      </c>
      <c r="Z12" s="65" t="n">
        <f aca="false">IF(23='Assumption Setting'!$C$226,'Assumption Setting'!$D$226,0)</f>
        <v>0</v>
      </c>
      <c r="AA12" s="65" t="n">
        <f aca="false">IF(24='Assumption Setting'!$C$226,'Assumption Setting'!$D$226,0)</f>
        <v>0</v>
      </c>
      <c r="AB12" s="64" t="n">
        <f aca="false">SUM(AC12:AN12)</f>
        <v>0</v>
      </c>
      <c r="AC12" s="65" t="n">
        <f aca="false">IF(25='Assumption Setting'!$C$226,'Assumption Setting'!$D$226,0)</f>
        <v>0</v>
      </c>
      <c r="AD12" s="65" t="n">
        <f aca="false">IF(26='Assumption Setting'!$C$226,'Assumption Setting'!$D$226,0)</f>
        <v>0</v>
      </c>
      <c r="AE12" s="65" t="n">
        <f aca="false">IF(27='Assumption Setting'!$C$226,'Assumption Setting'!$D$226,0)</f>
        <v>0</v>
      </c>
      <c r="AF12" s="65" t="n">
        <f aca="false">IF(28='Assumption Setting'!$C$226,'Assumption Setting'!$D$226,0)</f>
        <v>0</v>
      </c>
      <c r="AG12" s="65" t="n">
        <f aca="false">IF(29='Assumption Setting'!$C$226,'Assumption Setting'!$D$226,0)</f>
        <v>0</v>
      </c>
      <c r="AH12" s="65" t="n">
        <f aca="false">IF(30='Assumption Setting'!$C$226,'Assumption Setting'!$D$226,0)</f>
        <v>0</v>
      </c>
      <c r="AI12" s="65" t="n">
        <f aca="false">IF(31='Assumption Setting'!$C$226,'Assumption Setting'!$D$226,0)</f>
        <v>0</v>
      </c>
      <c r="AJ12" s="65" t="n">
        <f aca="false">IF(32='Assumption Setting'!$C$226,'Assumption Setting'!$D$226,0)</f>
        <v>0</v>
      </c>
      <c r="AK12" s="65" t="n">
        <f aca="false">IF(33='Assumption Setting'!$C$226,'Assumption Setting'!$D$226,0)</f>
        <v>0</v>
      </c>
      <c r="AL12" s="65" t="n">
        <f aca="false">IF(34='Assumption Setting'!$C$226,'Assumption Setting'!$D$226,0)</f>
        <v>0</v>
      </c>
      <c r="AM12" s="65" t="n">
        <f aca="false">IF(35='Assumption Setting'!$C$226,'Assumption Setting'!$D$226,0)</f>
        <v>0</v>
      </c>
      <c r="AN12" s="65" t="n">
        <f aca="false">IF(36='Assumption Setting'!$C$226,'Assumption Setting'!$D$226,0)</f>
        <v>0</v>
      </c>
      <c r="AO12" s="64" t="n">
        <f aca="false">SUM(AP12:BA12)</f>
        <v>0</v>
      </c>
      <c r="AP12" s="65" t="n">
        <f aca="false">IF(37='Assumption Setting'!$C$226,'Assumption Setting'!$D$226,0)</f>
        <v>0</v>
      </c>
      <c r="AQ12" s="65" t="n">
        <f aca="false">IF(38='Assumption Setting'!$C$226,'Assumption Setting'!$D$226,0)</f>
        <v>0</v>
      </c>
      <c r="AR12" s="65" t="n">
        <f aca="false">IF(39='Assumption Setting'!$C$226,'Assumption Setting'!$D$226,0)</f>
        <v>0</v>
      </c>
      <c r="AS12" s="65" t="n">
        <f aca="false">IF(40='Assumption Setting'!$C$226,'Assumption Setting'!$D$226,0)</f>
        <v>0</v>
      </c>
      <c r="AT12" s="65" t="n">
        <f aca="false">IF(41='Assumption Setting'!$C$226,'Assumption Setting'!$D$226,0)</f>
        <v>0</v>
      </c>
      <c r="AU12" s="65" t="n">
        <f aca="false">IF(42='Assumption Setting'!$C$226,'Assumption Setting'!$D$226,0)</f>
        <v>0</v>
      </c>
      <c r="AV12" s="65" t="n">
        <f aca="false">IF(43='Assumption Setting'!$C$226,'Assumption Setting'!$D$226,0)</f>
        <v>0</v>
      </c>
      <c r="AW12" s="65" t="n">
        <f aca="false">IF(44='Assumption Setting'!$C$226,'Assumption Setting'!$D$226,0)</f>
        <v>0</v>
      </c>
      <c r="AX12" s="65" t="n">
        <f aca="false">IF(45='Assumption Setting'!$C$226,'Assumption Setting'!$D$226,0)</f>
        <v>0</v>
      </c>
      <c r="AY12" s="65" t="n">
        <f aca="false">IF(46='Assumption Setting'!$C$226,'Assumption Setting'!$D$226,0)</f>
        <v>0</v>
      </c>
      <c r="AZ12" s="65" t="n">
        <f aca="false">IF(47='Assumption Setting'!$C$226,'Assumption Setting'!$D$226,0)</f>
        <v>0</v>
      </c>
      <c r="BA12" s="65" t="n">
        <f aca="false">IF(48='Assumption Setting'!$C$226,'Assumption Setting'!$D$226,0)</f>
        <v>0</v>
      </c>
      <c r="BB12" s="64" t="n">
        <f aca="false">SUM(BC12:BN12)</f>
        <v>0</v>
      </c>
      <c r="BC12" s="65" t="n">
        <f aca="false">IF(49='Assumption Setting'!$C$226,'Assumption Setting'!$D$226,0)</f>
        <v>0</v>
      </c>
      <c r="BD12" s="65" t="n">
        <f aca="false">IF(50='Assumption Setting'!$C$226,'Assumption Setting'!$D$226,0)</f>
        <v>0</v>
      </c>
      <c r="BE12" s="65" t="n">
        <f aca="false">IF(51='Assumption Setting'!$C$226,'Assumption Setting'!$D$226,0)</f>
        <v>0</v>
      </c>
      <c r="BF12" s="65" t="n">
        <f aca="false">IF(52='Assumption Setting'!$C$226,'Assumption Setting'!$D$226,0)</f>
        <v>0</v>
      </c>
      <c r="BG12" s="65" t="n">
        <f aca="false">IF(53='Assumption Setting'!$C$226,'Assumption Setting'!$D$226,0)</f>
        <v>0</v>
      </c>
      <c r="BH12" s="65" t="n">
        <f aca="false">IF(54='Assumption Setting'!$C$226,'Assumption Setting'!$D$226,0)</f>
        <v>0</v>
      </c>
      <c r="BI12" s="65" t="n">
        <f aca="false">IF(55='Assumption Setting'!$C$226,'Assumption Setting'!$D$226,0)</f>
        <v>0</v>
      </c>
      <c r="BJ12" s="65" t="n">
        <f aca="false">IF(56='Assumption Setting'!$C$226,'Assumption Setting'!$D$226,0)</f>
        <v>0</v>
      </c>
      <c r="BK12" s="65" t="n">
        <f aca="false">IF(57='Assumption Setting'!$C$226,'Assumption Setting'!$D$226,0)</f>
        <v>0</v>
      </c>
      <c r="BL12" s="65" t="n">
        <f aca="false">IF(58='Assumption Setting'!$C$226,'Assumption Setting'!$D$226,0)</f>
        <v>0</v>
      </c>
      <c r="BM12" s="65" t="n">
        <f aca="false">IF(59='Assumption Setting'!$C$226,'Assumption Setting'!$D$226,0)</f>
        <v>0</v>
      </c>
      <c r="BN12" s="65" t="n">
        <f aca="false">IF(60='Assumption Setting'!$C$226,'Assumption Setting'!$D$226,0)</f>
        <v>0</v>
      </c>
    </row>
    <row r="13" customFormat="false" ht="15" hidden="false" customHeight="false" outlineLevel="0" collapsed="false">
      <c r="A13" s="12" t="s">
        <v>476</v>
      </c>
      <c r="B13" s="64" t="n">
        <f aca="false">SUM(C13:N13)</f>
        <v>3000</v>
      </c>
      <c r="C13" s="65" t="n">
        <f aca="false">IF(1='Assumption Setting'!$C$227,'Assumption Setting'!$D$227,0)</f>
        <v>3000</v>
      </c>
      <c r="D13" s="65" t="n">
        <f aca="false">IF(2='Assumption Setting'!$C$227,'Assumption Setting'!$D$227,0)</f>
        <v>0</v>
      </c>
      <c r="E13" s="65" t="n">
        <f aca="false">IF(3='Assumption Setting'!$C$227,'Assumption Setting'!$D$227,0)</f>
        <v>0</v>
      </c>
      <c r="F13" s="65" t="n">
        <f aca="false">IF(4='Assumption Setting'!$C$227,'Assumption Setting'!$D$227,0)</f>
        <v>0</v>
      </c>
      <c r="G13" s="65" t="n">
        <f aca="false">IF(5='Assumption Setting'!$C$227,'Assumption Setting'!$D$227,0)</f>
        <v>0</v>
      </c>
      <c r="H13" s="65" t="n">
        <f aca="false">IF(6='Assumption Setting'!$C$227,'Assumption Setting'!$D$227,0)</f>
        <v>0</v>
      </c>
      <c r="I13" s="65" t="n">
        <f aca="false">IF(7='Assumption Setting'!$C$227,'Assumption Setting'!$D$227,0)</f>
        <v>0</v>
      </c>
      <c r="J13" s="65" t="n">
        <f aca="false">IF(8='Assumption Setting'!$C$227,'Assumption Setting'!$D$227,0)</f>
        <v>0</v>
      </c>
      <c r="K13" s="65" t="n">
        <f aca="false">IF(9='Assumption Setting'!$C$227,'Assumption Setting'!$D$227,0)</f>
        <v>0</v>
      </c>
      <c r="L13" s="65" t="n">
        <f aca="false">IF(10='Assumption Setting'!$C$227,'Assumption Setting'!$D$227,0)</f>
        <v>0</v>
      </c>
      <c r="M13" s="65" t="n">
        <f aca="false">IF(11='Assumption Setting'!$C$227,'Assumption Setting'!$D$227,0)</f>
        <v>0</v>
      </c>
      <c r="N13" s="65" t="n">
        <f aca="false">IF(12='Assumption Setting'!$C$227,'Assumption Setting'!$D$227,0)</f>
        <v>0</v>
      </c>
      <c r="O13" s="64" t="n">
        <f aca="false">SUM(P13:AA13)</f>
        <v>0</v>
      </c>
      <c r="P13" s="65" t="n">
        <f aca="false">IF(13='Assumption Setting'!$C$227,'Assumption Setting'!$D$227,0)</f>
        <v>0</v>
      </c>
      <c r="Q13" s="65" t="n">
        <f aca="false">IF(14='Assumption Setting'!$C$227,'Assumption Setting'!$D$227,0)</f>
        <v>0</v>
      </c>
      <c r="R13" s="65" t="n">
        <f aca="false">IF(15='Assumption Setting'!$C$227,'Assumption Setting'!$D$227,0)</f>
        <v>0</v>
      </c>
      <c r="S13" s="65" t="n">
        <f aca="false">IF(16='Assumption Setting'!$C$227,'Assumption Setting'!$D$227,0)</f>
        <v>0</v>
      </c>
      <c r="T13" s="65" t="n">
        <f aca="false">IF(17='Assumption Setting'!$C$227,'Assumption Setting'!$D$227,0)</f>
        <v>0</v>
      </c>
      <c r="U13" s="65" t="n">
        <f aca="false">IF(18='Assumption Setting'!$C$227,'Assumption Setting'!$D$227,0)</f>
        <v>0</v>
      </c>
      <c r="V13" s="65" t="n">
        <f aca="false">IF(19='Assumption Setting'!$C$227,'Assumption Setting'!$D$227,0)</f>
        <v>0</v>
      </c>
      <c r="W13" s="65" t="n">
        <f aca="false">IF(20='Assumption Setting'!$C$227,'Assumption Setting'!$D$227,0)</f>
        <v>0</v>
      </c>
      <c r="X13" s="65" t="n">
        <f aca="false">IF(21='Assumption Setting'!$C$227,'Assumption Setting'!$D$227,0)</f>
        <v>0</v>
      </c>
      <c r="Y13" s="65" t="n">
        <f aca="false">IF(22='Assumption Setting'!$C$227,'Assumption Setting'!$D$227,0)</f>
        <v>0</v>
      </c>
      <c r="Z13" s="65" t="n">
        <f aca="false">IF(23='Assumption Setting'!$C$227,'Assumption Setting'!$D$227,0)</f>
        <v>0</v>
      </c>
      <c r="AA13" s="65" t="n">
        <f aca="false">IF(24='Assumption Setting'!$C$227,'Assumption Setting'!$D$227,0)</f>
        <v>0</v>
      </c>
      <c r="AB13" s="64" t="n">
        <f aca="false">SUM(AC13:AN13)</f>
        <v>0</v>
      </c>
      <c r="AC13" s="65" t="n">
        <f aca="false">IF(25='Assumption Setting'!$C$227,'Assumption Setting'!$D$227,0)</f>
        <v>0</v>
      </c>
      <c r="AD13" s="65" t="n">
        <f aca="false">IF(26='Assumption Setting'!$C$227,'Assumption Setting'!$D$227,0)</f>
        <v>0</v>
      </c>
      <c r="AE13" s="65" t="n">
        <f aca="false">IF(27='Assumption Setting'!$C$227,'Assumption Setting'!$D$227,0)</f>
        <v>0</v>
      </c>
      <c r="AF13" s="65" t="n">
        <f aca="false">IF(28='Assumption Setting'!$C$227,'Assumption Setting'!$D$227,0)</f>
        <v>0</v>
      </c>
      <c r="AG13" s="65" t="n">
        <f aca="false">IF(29='Assumption Setting'!$C$227,'Assumption Setting'!$D$227,0)</f>
        <v>0</v>
      </c>
      <c r="AH13" s="65" t="n">
        <f aca="false">IF(30='Assumption Setting'!$C$227,'Assumption Setting'!$D$227,0)</f>
        <v>0</v>
      </c>
      <c r="AI13" s="65" t="n">
        <f aca="false">IF(31='Assumption Setting'!$C$227,'Assumption Setting'!$D$227,0)</f>
        <v>0</v>
      </c>
      <c r="AJ13" s="65" t="n">
        <f aca="false">IF(32='Assumption Setting'!$C$227,'Assumption Setting'!$D$227,0)</f>
        <v>0</v>
      </c>
      <c r="AK13" s="65" t="n">
        <f aca="false">IF(33='Assumption Setting'!$C$227,'Assumption Setting'!$D$227,0)</f>
        <v>0</v>
      </c>
      <c r="AL13" s="65" t="n">
        <f aca="false">IF(34='Assumption Setting'!$C$227,'Assumption Setting'!$D$227,0)</f>
        <v>0</v>
      </c>
      <c r="AM13" s="65" t="n">
        <f aca="false">IF(35='Assumption Setting'!$C$227,'Assumption Setting'!$D$227,0)</f>
        <v>0</v>
      </c>
      <c r="AN13" s="65" t="n">
        <f aca="false">IF(36='Assumption Setting'!$C$227,'Assumption Setting'!$D$227,0)</f>
        <v>0</v>
      </c>
      <c r="AO13" s="64" t="n">
        <f aca="false">SUM(AP13:BA13)</f>
        <v>0</v>
      </c>
      <c r="AP13" s="65" t="n">
        <f aca="false">IF(37='Assumption Setting'!$C$227,'Assumption Setting'!$D$227,0)</f>
        <v>0</v>
      </c>
      <c r="AQ13" s="65" t="n">
        <f aca="false">IF(38='Assumption Setting'!$C$227,'Assumption Setting'!$D$227,0)</f>
        <v>0</v>
      </c>
      <c r="AR13" s="65" t="n">
        <f aca="false">IF(39='Assumption Setting'!$C$227,'Assumption Setting'!$D$227,0)</f>
        <v>0</v>
      </c>
      <c r="AS13" s="65" t="n">
        <f aca="false">IF(40='Assumption Setting'!$C$227,'Assumption Setting'!$D$227,0)</f>
        <v>0</v>
      </c>
      <c r="AT13" s="65" t="n">
        <f aca="false">IF(41='Assumption Setting'!$C$227,'Assumption Setting'!$D$227,0)</f>
        <v>0</v>
      </c>
      <c r="AU13" s="65" t="n">
        <f aca="false">IF(42='Assumption Setting'!$C$227,'Assumption Setting'!$D$227,0)</f>
        <v>0</v>
      </c>
      <c r="AV13" s="65" t="n">
        <f aca="false">IF(43='Assumption Setting'!$C$227,'Assumption Setting'!$D$227,0)</f>
        <v>0</v>
      </c>
      <c r="AW13" s="65" t="n">
        <f aca="false">IF(44='Assumption Setting'!$C$227,'Assumption Setting'!$D$227,0)</f>
        <v>0</v>
      </c>
      <c r="AX13" s="65" t="n">
        <f aca="false">IF(45='Assumption Setting'!$C$227,'Assumption Setting'!$D$227,0)</f>
        <v>0</v>
      </c>
      <c r="AY13" s="65" t="n">
        <f aca="false">IF(46='Assumption Setting'!$C$227,'Assumption Setting'!$D$227,0)</f>
        <v>0</v>
      </c>
      <c r="AZ13" s="65" t="n">
        <f aca="false">IF(47='Assumption Setting'!$C$227,'Assumption Setting'!$D$227,0)</f>
        <v>0</v>
      </c>
      <c r="BA13" s="65" t="n">
        <f aca="false">IF(48='Assumption Setting'!$C$227,'Assumption Setting'!$D$227,0)</f>
        <v>0</v>
      </c>
      <c r="BB13" s="64" t="n">
        <f aca="false">SUM(BC13:BN13)</f>
        <v>0</v>
      </c>
      <c r="BC13" s="65" t="n">
        <f aca="false">IF(49='Assumption Setting'!$C$227,'Assumption Setting'!$D$227,0)</f>
        <v>0</v>
      </c>
      <c r="BD13" s="65" t="n">
        <f aca="false">IF(50='Assumption Setting'!$C$227,'Assumption Setting'!$D$227,0)</f>
        <v>0</v>
      </c>
      <c r="BE13" s="65" t="n">
        <f aca="false">IF(51='Assumption Setting'!$C$227,'Assumption Setting'!$D$227,0)</f>
        <v>0</v>
      </c>
      <c r="BF13" s="65" t="n">
        <f aca="false">IF(52='Assumption Setting'!$C$227,'Assumption Setting'!$D$227,0)</f>
        <v>0</v>
      </c>
      <c r="BG13" s="65" t="n">
        <f aca="false">IF(53='Assumption Setting'!$C$227,'Assumption Setting'!$D$227,0)</f>
        <v>0</v>
      </c>
      <c r="BH13" s="65" t="n">
        <f aca="false">IF(54='Assumption Setting'!$C$227,'Assumption Setting'!$D$227,0)</f>
        <v>0</v>
      </c>
      <c r="BI13" s="65" t="n">
        <f aca="false">IF(55='Assumption Setting'!$C$227,'Assumption Setting'!$D$227,0)</f>
        <v>0</v>
      </c>
      <c r="BJ13" s="65" t="n">
        <f aca="false">IF(56='Assumption Setting'!$C$227,'Assumption Setting'!$D$227,0)</f>
        <v>0</v>
      </c>
      <c r="BK13" s="65" t="n">
        <f aca="false">IF(57='Assumption Setting'!$C$227,'Assumption Setting'!$D$227,0)</f>
        <v>0</v>
      </c>
      <c r="BL13" s="65" t="n">
        <f aca="false">IF(58='Assumption Setting'!$C$227,'Assumption Setting'!$D$227,0)</f>
        <v>0</v>
      </c>
      <c r="BM13" s="65" t="n">
        <f aca="false">IF(59='Assumption Setting'!$C$227,'Assumption Setting'!$D$227,0)</f>
        <v>0</v>
      </c>
      <c r="BN13" s="65" t="n">
        <f aca="false">IF(60='Assumption Setting'!$C$227,'Assumption Setting'!$D$227,0)</f>
        <v>0</v>
      </c>
    </row>
    <row r="14" customFormat="false" ht="15" hidden="false" customHeight="false" outlineLevel="0" collapsed="false">
      <c r="A14" s="12" t="s">
        <v>477</v>
      </c>
      <c r="B14" s="64" t="n">
        <f aca="false">SUM(C14:N14)</f>
        <v>0</v>
      </c>
      <c r="C14" s="65" t="n">
        <f aca="false">IF(1='Assumption Setting'!$C$228,'Assumption Setting'!$D$228,0)</f>
        <v>0</v>
      </c>
      <c r="D14" s="65" t="n">
        <f aca="false">IF(2='Assumption Setting'!$C$228,'Assumption Setting'!$D$228,0)</f>
        <v>0</v>
      </c>
      <c r="E14" s="65" t="n">
        <f aca="false">IF(3='Assumption Setting'!$C$228,'Assumption Setting'!$D$228,0)</f>
        <v>0</v>
      </c>
      <c r="F14" s="65" t="n">
        <f aca="false">IF(4='Assumption Setting'!$C$228,'Assumption Setting'!$D$228,0)</f>
        <v>0</v>
      </c>
      <c r="G14" s="65" t="n">
        <f aca="false">IF(5='Assumption Setting'!$C$228,'Assumption Setting'!$D$228,0)</f>
        <v>0</v>
      </c>
      <c r="H14" s="65" t="n">
        <f aca="false">IF(6='Assumption Setting'!$C$228,'Assumption Setting'!$D$228,0)</f>
        <v>0</v>
      </c>
      <c r="I14" s="65" t="n">
        <f aca="false">IF(7='Assumption Setting'!$C$228,'Assumption Setting'!$D$228,0)</f>
        <v>0</v>
      </c>
      <c r="J14" s="65" t="n">
        <f aca="false">IF(8='Assumption Setting'!$C$228,'Assumption Setting'!$D$228,0)</f>
        <v>0</v>
      </c>
      <c r="K14" s="65" t="n">
        <f aca="false">IF(9='Assumption Setting'!$C$228,'Assumption Setting'!$D$228,0)</f>
        <v>0</v>
      </c>
      <c r="L14" s="65" t="n">
        <f aca="false">IF(10='Assumption Setting'!$C$228,'Assumption Setting'!$D$228,0)</f>
        <v>0</v>
      </c>
      <c r="M14" s="65" t="n">
        <f aca="false">IF(11='Assumption Setting'!$C$228,'Assumption Setting'!$D$228,0)</f>
        <v>0</v>
      </c>
      <c r="N14" s="65" t="n">
        <f aca="false">IF(12='Assumption Setting'!$C$228,'Assumption Setting'!$D$228,0)</f>
        <v>0</v>
      </c>
      <c r="O14" s="64" t="n">
        <f aca="false">SUM(P14:AA14)</f>
        <v>0</v>
      </c>
      <c r="P14" s="65" t="n">
        <f aca="false">IF(13='Assumption Setting'!$C$228,'Assumption Setting'!$D$228,0)</f>
        <v>0</v>
      </c>
      <c r="Q14" s="65" t="n">
        <f aca="false">IF(14='Assumption Setting'!$C$228,'Assumption Setting'!$D$228,0)</f>
        <v>0</v>
      </c>
      <c r="R14" s="65" t="n">
        <f aca="false">IF(15='Assumption Setting'!$C$228,'Assumption Setting'!$D$228,0)</f>
        <v>0</v>
      </c>
      <c r="S14" s="65" t="n">
        <f aca="false">IF(16='Assumption Setting'!$C$228,'Assumption Setting'!$D$228,0)</f>
        <v>0</v>
      </c>
      <c r="T14" s="65" t="n">
        <f aca="false">IF(17='Assumption Setting'!$C$228,'Assumption Setting'!$D$228,0)</f>
        <v>0</v>
      </c>
      <c r="U14" s="65" t="n">
        <f aca="false">IF(18='Assumption Setting'!$C$228,'Assumption Setting'!$D$228,0)</f>
        <v>0</v>
      </c>
      <c r="V14" s="65" t="n">
        <f aca="false">IF(19='Assumption Setting'!$C$228,'Assumption Setting'!$D$228,0)</f>
        <v>0</v>
      </c>
      <c r="W14" s="65" t="n">
        <f aca="false">IF(20='Assumption Setting'!$C$228,'Assumption Setting'!$D$228,0)</f>
        <v>0</v>
      </c>
      <c r="X14" s="65" t="n">
        <f aca="false">IF(21='Assumption Setting'!$C$228,'Assumption Setting'!$D$228,0)</f>
        <v>0</v>
      </c>
      <c r="Y14" s="65" t="n">
        <f aca="false">IF(22='Assumption Setting'!$C$228,'Assumption Setting'!$D$228,0)</f>
        <v>0</v>
      </c>
      <c r="Z14" s="65" t="n">
        <f aca="false">IF(23='Assumption Setting'!$C$228,'Assumption Setting'!$D$228,0)</f>
        <v>0</v>
      </c>
      <c r="AA14" s="65" t="n">
        <f aca="false">IF(24='Assumption Setting'!$C$228,'Assumption Setting'!$D$228,0)</f>
        <v>0</v>
      </c>
      <c r="AB14" s="64" t="n">
        <f aca="false">SUM(AC14:AN14)</f>
        <v>4000</v>
      </c>
      <c r="AC14" s="65" t="n">
        <f aca="false">IF(25='Assumption Setting'!$C$228,'Assumption Setting'!$D$228,0)</f>
        <v>4000</v>
      </c>
      <c r="AD14" s="65" t="n">
        <f aca="false">IF(26='Assumption Setting'!$C$228,'Assumption Setting'!$D$228,0)</f>
        <v>0</v>
      </c>
      <c r="AE14" s="65" t="n">
        <f aca="false">IF(27='Assumption Setting'!$C$228,'Assumption Setting'!$D$228,0)</f>
        <v>0</v>
      </c>
      <c r="AF14" s="65" t="n">
        <f aca="false">IF(28='Assumption Setting'!$C$228,'Assumption Setting'!$D$228,0)</f>
        <v>0</v>
      </c>
      <c r="AG14" s="65" t="n">
        <f aca="false">IF(29='Assumption Setting'!$C$228,'Assumption Setting'!$D$228,0)</f>
        <v>0</v>
      </c>
      <c r="AH14" s="65" t="n">
        <f aca="false">IF(30='Assumption Setting'!$C$228,'Assumption Setting'!$D$228,0)</f>
        <v>0</v>
      </c>
      <c r="AI14" s="65" t="n">
        <f aca="false">IF(31='Assumption Setting'!$C$228,'Assumption Setting'!$D$228,0)</f>
        <v>0</v>
      </c>
      <c r="AJ14" s="65" t="n">
        <f aca="false">IF(32='Assumption Setting'!$C$228,'Assumption Setting'!$D$228,0)</f>
        <v>0</v>
      </c>
      <c r="AK14" s="65" t="n">
        <f aca="false">IF(33='Assumption Setting'!$C$228,'Assumption Setting'!$D$228,0)</f>
        <v>0</v>
      </c>
      <c r="AL14" s="65" t="n">
        <f aca="false">IF(34='Assumption Setting'!$C$228,'Assumption Setting'!$D$228,0)</f>
        <v>0</v>
      </c>
      <c r="AM14" s="65" t="n">
        <f aca="false">IF(35='Assumption Setting'!$C$228,'Assumption Setting'!$D$228,0)</f>
        <v>0</v>
      </c>
      <c r="AN14" s="65" t="n">
        <f aca="false">IF(36='Assumption Setting'!$C$228,'Assumption Setting'!$D$228,0)</f>
        <v>0</v>
      </c>
      <c r="AO14" s="64" t="n">
        <f aca="false">SUM(AP14:BA14)</f>
        <v>0</v>
      </c>
      <c r="AP14" s="65" t="n">
        <f aca="false">IF(37='Assumption Setting'!$C$228,'Assumption Setting'!$D$228,0)</f>
        <v>0</v>
      </c>
      <c r="AQ14" s="65" t="n">
        <f aca="false">IF(38='Assumption Setting'!$C$228,'Assumption Setting'!$D$228,0)</f>
        <v>0</v>
      </c>
      <c r="AR14" s="65" t="n">
        <f aca="false">IF(39='Assumption Setting'!$C$228,'Assumption Setting'!$D$228,0)</f>
        <v>0</v>
      </c>
      <c r="AS14" s="65" t="n">
        <f aca="false">IF(40='Assumption Setting'!$C$228,'Assumption Setting'!$D$228,0)</f>
        <v>0</v>
      </c>
      <c r="AT14" s="65" t="n">
        <f aca="false">IF(41='Assumption Setting'!$C$228,'Assumption Setting'!$D$228,0)</f>
        <v>0</v>
      </c>
      <c r="AU14" s="65" t="n">
        <f aca="false">IF(42='Assumption Setting'!$C$228,'Assumption Setting'!$D$228,0)</f>
        <v>0</v>
      </c>
      <c r="AV14" s="65" t="n">
        <f aca="false">IF(43='Assumption Setting'!$C$228,'Assumption Setting'!$D$228,0)</f>
        <v>0</v>
      </c>
      <c r="AW14" s="65" t="n">
        <f aca="false">IF(44='Assumption Setting'!$C$228,'Assumption Setting'!$D$228,0)</f>
        <v>0</v>
      </c>
      <c r="AX14" s="65" t="n">
        <f aca="false">IF(45='Assumption Setting'!$C$228,'Assumption Setting'!$D$228,0)</f>
        <v>0</v>
      </c>
      <c r="AY14" s="65" t="n">
        <f aca="false">IF(46='Assumption Setting'!$C$228,'Assumption Setting'!$D$228,0)</f>
        <v>0</v>
      </c>
      <c r="AZ14" s="65" t="n">
        <f aca="false">IF(47='Assumption Setting'!$C$228,'Assumption Setting'!$D$228,0)</f>
        <v>0</v>
      </c>
      <c r="BA14" s="65" t="n">
        <f aca="false">IF(48='Assumption Setting'!$C$228,'Assumption Setting'!$D$228,0)</f>
        <v>0</v>
      </c>
      <c r="BB14" s="64" t="n">
        <f aca="false">SUM(BC14:BN14)</f>
        <v>0</v>
      </c>
      <c r="BC14" s="65" t="n">
        <f aca="false">IF(49='Assumption Setting'!$C$228,'Assumption Setting'!$D$228,0)</f>
        <v>0</v>
      </c>
      <c r="BD14" s="65" t="n">
        <f aca="false">IF(50='Assumption Setting'!$C$228,'Assumption Setting'!$D$228,0)</f>
        <v>0</v>
      </c>
      <c r="BE14" s="65" t="n">
        <f aca="false">IF(51='Assumption Setting'!$C$228,'Assumption Setting'!$D$228,0)</f>
        <v>0</v>
      </c>
      <c r="BF14" s="65" t="n">
        <f aca="false">IF(52='Assumption Setting'!$C$228,'Assumption Setting'!$D$228,0)</f>
        <v>0</v>
      </c>
      <c r="BG14" s="65" t="n">
        <f aca="false">IF(53='Assumption Setting'!$C$228,'Assumption Setting'!$D$228,0)</f>
        <v>0</v>
      </c>
      <c r="BH14" s="65" t="n">
        <f aca="false">IF(54='Assumption Setting'!$C$228,'Assumption Setting'!$D$228,0)</f>
        <v>0</v>
      </c>
      <c r="BI14" s="65" t="n">
        <f aca="false">IF(55='Assumption Setting'!$C$228,'Assumption Setting'!$D$228,0)</f>
        <v>0</v>
      </c>
      <c r="BJ14" s="65" t="n">
        <f aca="false">IF(56='Assumption Setting'!$C$228,'Assumption Setting'!$D$228,0)</f>
        <v>0</v>
      </c>
      <c r="BK14" s="65" t="n">
        <f aca="false">IF(57='Assumption Setting'!$C$228,'Assumption Setting'!$D$228,0)</f>
        <v>0</v>
      </c>
      <c r="BL14" s="65" t="n">
        <f aca="false">IF(58='Assumption Setting'!$C$228,'Assumption Setting'!$D$228,0)</f>
        <v>0</v>
      </c>
      <c r="BM14" s="65" t="n">
        <f aca="false">IF(59='Assumption Setting'!$C$228,'Assumption Setting'!$D$228,0)</f>
        <v>0</v>
      </c>
      <c r="BN14" s="65" t="n">
        <f aca="false">IF(60='Assumption Setting'!$C$228,'Assumption Setting'!$D$228,0)</f>
        <v>0</v>
      </c>
    </row>
    <row r="15" customFormat="false" ht="15" hidden="false" customHeight="false" outlineLevel="0" collapsed="false">
      <c r="A15" s="12" t="s">
        <v>478</v>
      </c>
      <c r="B15" s="64" t="n">
        <f aca="false">SUM(C15:N15)</f>
        <v>0</v>
      </c>
      <c r="C15" s="65" t="n">
        <f aca="false">IF(1='Assumption Setting'!$C$229,'Assumption Setting'!$D$229,0)</f>
        <v>0</v>
      </c>
      <c r="D15" s="65" t="n">
        <f aca="false">IF(2='Assumption Setting'!$C$229,'Assumption Setting'!$D$229,0)</f>
        <v>0</v>
      </c>
      <c r="E15" s="65" t="n">
        <f aca="false">IF(3='Assumption Setting'!$C$229,'Assumption Setting'!$D$229,0)</f>
        <v>0</v>
      </c>
      <c r="F15" s="65" t="n">
        <f aca="false">IF(4='Assumption Setting'!$C$229,'Assumption Setting'!$D$229,0)</f>
        <v>0</v>
      </c>
      <c r="G15" s="65" t="n">
        <f aca="false">IF(5='Assumption Setting'!$C$229,'Assumption Setting'!$D$229,0)</f>
        <v>0</v>
      </c>
      <c r="H15" s="65" t="n">
        <f aca="false">IF(6='Assumption Setting'!$C$229,'Assumption Setting'!$D$229,0)</f>
        <v>0</v>
      </c>
      <c r="I15" s="65" t="n">
        <f aca="false">IF(7='Assumption Setting'!$C$229,'Assumption Setting'!$D$229,0)</f>
        <v>0</v>
      </c>
      <c r="J15" s="65" t="n">
        <f aca="false">IF(8='Assumption Setting'!$C$229,'Assumption Setting'!$D$229,0)</f>
        <v>0</v>
      </c>
      <c r="K15" s="65" t="n">
        <f aca="false">IF(9='Assumption Setting'!$C$229,'Assumption Setting'!$D$229,0)</f>
        <v>0</v>
      </c>
      <c r="L15" s="65" t="n">
        <f aca="false">IF(10='Assumption Setting'!$C$229,'Assumption Setting'!$D$229,0)</f>
        <v>0</v>
      </c>
      <c r="M15" s="65" t="n">
        <f aca="false">IF(11='Assumption Setting'!$C$229,'Assumption Setting'!$D$229,0)</f>
        <v>0</v>
      </c>
      <c r="N15" s="65" t="n">
        <f aca="false">IF(12='Assumption Setting'!$C$229,'Assumption Setting'!$D$229,0)</f>
        <v>0</v>
      </c>
      <c r="O15" s="64" t="n">
        <f aca="false">SUM(P15:AA15)</f>
        <v>0</v>
      </c>
      <c r="P15" s="65" t="n">
        <f aca="false">IF(13='Assumption Setting'!$C$229,'Assumption Setting'!$D$229,0)</f>
        <v>0</v>
      </c>
      <c r="Q15" s="65" t="n">
        <f aca="false">IF(14='Assumption Setting'!$C$229,'Assumption Setting'!$D$229,0)</f>
        <v>0</v>
      </c>
      <c r="R15" s="65" t="n">
        <f aca="false">IF(15='Assumption Setting'!$C$229,'Assumption Setting'!$D$229,0)</f>
        <v>0</v>
      </c>
      <c r="S15" s="65" t="n">
        <f aca="false">IF(16='Assumption Setting'!$C$229,'Assumption Setting'!$D$229,0)</f>
        <v>0</v>
      </c>
      <c r="T15" s="65" t="n">
        <f aca="false">IF(17='Assumption Setting'!$C$229,'Assumption Setting'!$D$229,0)</f>
        <v>0</v>
      </c>
      <c r="U15" s="65" t="n">
        <f aca="false">IF(18='Assumption Setting'!$C$229,'Assumption Setting'!$D$229,0)</f>
        <v>0</v>
      </c>
      <c r="V15" s="65" t="n">
        <f aca="false">IF(19='Assumption Setting'!$C$229,'Assumption Setting'!$D$229,0)</f>
        <v>0</v>
      </c>
      <c r="W15" s="65" t="n">
        <f aca="false">IF(20='Assumption Setting'!$C$229,'Assumption Setting'!$D$229,0)</f>
        <v>0</v>
      </c>
      <c r="X15" s="65" t="n">
        <f aca="false">IF(21='Assumption Setting'!$C$229,'Assumption Setting'!$D$229,0)</f>
        <v>0</v>
      </c>
      <c r="Y15" s="65" t="n">
        <f aca="false">IF(22='Assumption Setting'!$C$229,'Assumption Setting'!$D$229,0)</f>
        <v>0</v>
      </c>
      <c r="Z15" s="65" t="n">
        <f aca="false">IF(23='Assumption Setting'!$C$229,'Assumption Setting'!$D$229,0)</f>
        <v>0</v>
      </c>
      <c r="AA15" s="65" t="n">
        <f aca="false">IF(24='Assumption Setting'!$C$229,'Assumption Setting'!$D$229,0)</f>
        <v>0</v>
      </c>
      <c r="AB15" s="64" t="n">
        <f aca="false">SUM(AC15:AN15)</f>
        <v>6000</v>
      </c>
      <c r="AC15" s="65" t="n">
        <f aca="false">IF(25='Assumption Setting'!$C$229,'Assumption Setting'!$D$229,0)</f>
        <v>6000</v>
      </c>
      <c r="AD15" s="65" t="n">
        <f aca="false">IF(26='Assumption Setting'!$C$229,'Assumption Setting'!$D$229,0)</f>
        <v>0</v>
      </c>
      <c r="AE15" s="65" t="n">
        <f aca="false">IF(27='Assumption Setting'!$C$229,'Assumption Setting'!$D$229,0)</f>
        <v>0</v>
      </c>
      <c r="AF15" s="65" t="n">
        <f aca="false">IF(28='Assumption Setting'!$C$229,'Assumption Setting'!$D$229,0)</f>
        <v>0</v>
      </c>
      <c r="AG15" s="65" t="n">
        <f aca="false">IF(29='Assumption Setting'!$C$229,'Assumption Setting'!$D$229,0)</f>
        <v>0</v>
      </c>
      <c r="AH15" s="65" t="n">
        <f aca="false">IF(30='Assumption Setting'!$C$229,'Assumption Setting'!$D$229,0)</f>
        <v>0</v>
      </c>
      <c r="AI15" s="65" t="n">
        <f aca="false">IF(31='Assumption Setting'!$C$229,'Assumption Setting'!$D$229,0)</f>
        <v>0</v>
      </c>
      <c r="AJ15" s="65" t="n">
        <f aca="false">IF(32='Assumption Setting'!$C$229,'Assumption Setting'!$D$229,0)</f>
        <v>0</v>
      </c>
      <c r="AK15" s="65" t="n">
        <f aca="false">IF(33='Assumption Setting'!$C$229,'Assumption Setting'!$D$229,0)</f>
        <v>0</v>
      </c>
      <c r="AL15" s="65" t="n">
        <f aca="false">IF(34='Assumption Setting'!$C$229,'Assumption Setting'!$D$229,0)</f>
        <v>0</v>
      </c>
      <c r="AM15" s="65" t="n">
        <f aca="false">IF(35='Assumption Setting'!$C$229,'Assumption Setting'!$D$229,0)</f>
        <v>0</v>
      </c>
      <c r="AN15" s="65" t="n">
        <f aca="false">IF(36='Assumption Setting'!$C$229,'Assumption Setting'!$D$229,0)</f>
        <v>0</v>
      </c>
      <c r="AO15" s="64" t="n">
        <f aca="false">SUM(AP15:BA15)</f>
        <v>0</v>
      </c>
      <c r="AP15" s="65" t="n">
        <f aca="false">IF(37='Assumption Setting'!$C$229,'Assumption Setting'!$D$229,0)</f>
        <v>0</v>
      </c>
      <c r="AQ15" s="65" t="n">
        <f aca="false">IF(38='Assumption Setting'!$C$229,'Assumption Setting'!$D$229,0)</f>
        <v>0</v>
      </c>
      <c r="AR15" s="65" t="n">
        <f aca="false">IF(39='Assumption Setting'!$C$229,'Assumption Setting'!$D$229,0)</f>
        <v>0</v>
      </c>
      <c r="AS15" s="65" t="n">
        <f aca="false">IF(40='Assumption Setting'!$C$229,'Assumption Setting'!$D$229,0)</f>
        <v>0</v>
      </c>
      <c r="AT15" s="65" t="n">
        <f aca="false">IF(41='Assumption Setting'!$C$229,'Assumption Setting'!$D$229,0)</f>
        <v>0</v>
      </c>
      <c r="AU15" s="65" t="n">
        <f aca="false">IF(42='Assumption Setting'!$C$229,'Assumption Setting'!$D$229,0)</f>
        <v>0</v>
      </c>
      <c r="AV15" s="65" t="n">
        <f aca="false">IF(43='Assumption Setting'!$C$229,'Assumption Setting'!$D$229,0)</f>
        <v>0</v>
      </c>
      <c r="AW15" s="65" t="n">
        <f aca="false">IF(44='Assumption Setting'!$C$229,'Assumption Setting'!$D$229,0)</f>
        <v>0</v>
      </c>
      <c r="AX15" s="65" t="n">
        <f aca="false">IF(45='Assumption Setting'!$C$229,'Assumption Setting'!$D$229,0)</f>
        <v>0</v>
      </c>
      <c r="AY15" s="65" t="n">
        <f aca="false">IF(46='Assumption Setting'!$C$229,'Assumption Setting'!$D$229,0)</f>
        <v>0</v>
      </c>
      <c r="AZ15" s="65" t="n">
        <f aca="false">IF(47='Assumption Setting'!$C$229,'Assumption Setting'!$D$229,0)</f>
        <v>0</v>
      </c>
      <c r="BA15" s="65" t="n">
        <f aca="false">IF(48='Assumption Setting'!$C$229,'Assumption Setting'!$D$229,0)</f>
        <v>0</v>
      </c>
      <c r="BB15" s="64" t="n">
        <f aca="false">SUM(BC15:BN15)</f>
        <v>0</v>
      </c>
      <c r="BC15" s="65" t="n">
        <f aca="false">IF(49='Assumption Setting'!$C$229,'Assumption Setting'!$D$229,0)</f>
        <v>0</v>
      </c>
      <c r="BD15" s="65" t="n">
        <f aca="false">IF(50='Assumption Setting'!$C$229,'Assumption Setting'!$D$229,0)</f>
        <v>0</v>
      </c>
      <c r="BE15" s="65" t="n">
        <f aca="false">IF(51='Assumption Setting'!$C$229,'Assumption Setting'!$D$229,0)</f>
        <v>0</v>
      </c>
      <c r="BF15" s="65" t="n">
        <f aca="false">IF(52='Assumption Setting'!$C$229,'Assumption Setting'!$D$229,0)</f>
        <v>0</v>
      </c>
      <c r="BG15" s="65" t="n">
        <f aca="false">IF(53='Assumption Setting'!$C$229,'Assumption Setting'!$D$229,0)</f>
        <v>0</v>
      </c>
      <c r="BH15" s="65" t="n">
        <f aca="false">IF(54='Assumption Setting'!$C$229,'Assumption Setting'!$D$229,0)</f>
        <v>0</v>
      </c>
      <c r="BI15" s="65" t="n">
        <f aca="false">IF(55='Assumption Setting'!$C$229,'Assumption Setting'!$D$229,0)</f>
        <v>0</v>
      </c>
      <c r="BJ15" s="65" t="n">
        <f aca="false">IF(56='Assumption Setting'!$C$229,'Assumption Setting'!$D$229,0)</f>
        <v>0</v>
      </c>
      <c r="BK15" s="65" t="n">
        <f aca="false">IF(57='Assumption Setting'!$C$229,'Assumption Setting'!$D$229,0)</f>
        <v>0</v>
      </c>
      <c r="BL15" s="65" t="n">
        <f aca="false">IF(58='Assumption Setting'!$C$229,'Assumption Setting'!$D$229,0)</f>
        <v>0</v>
      </c>
      <c r="BM15" s="65" t="n">
        <f aca="false">IF(59='Assumption Setting'!$C$229,'Assumption Setting'!$D$229,0)</f>
        <v>0</v>
      </c>
      <c r="BN15" s="65" t="n">
        <f aca="false">IF(60='Assumption Setting'!$C$229,'Assumption Setting'!$D$229,0)</f>
        <v>0</v>
      </c>
    </row>
    <row r="16" customFormat="false" ht="15" hidden="false" customHeight="false" outlineLevel="0" collapsed="false">
      <c r="A16" s="66" t="s">
        <v>542</v>
      </c>
      <c r="B16" s="67" t="n">
        <f aca="false">SUM(C16:N16)</f>
        <v>12280</v>
      </c>
      <c r="C16" s="68" t="n">
        <f aca="false">SUM(C7:C15)</f>
        <v>10080</v>
      </c>
      <c r="D16" s="68" t="n">
        <f aca="false">SUM(D7:D15)</f>
        <v>2200</v>
      </c>
      <c r="E16" s="68" t="n">
        <f aca="false">SUM(E7:E15)</f>
        <v>0</v>
      </c>
      <c r="F16" s="68" t="n">
        <f aca="false">SUM(F7:F15)</f>
        <v>0</v>
      </c>
      <c r="G16" s="68" t="n">
        <f aca="false">SUM(G7:G15)</f>
        <v>0</v>
      </c>
      <c r="H16" s="68" t="n">
        <f aca="false">SUM(H7:H15)</f>
        <v>0</v>
      </c>
      <c r="I16" s="68" t="n">
        <f aca="false">SUM(I7:I15)</f>
        <v>0</v>
      </c>
      <c r="J16" s="68" t="n">
        <f aca="false">SUM(J7:J15)</f>
        <v>0</v>
      </c>
      <c r="K16" s="68" t="n">
        <f aca="false">SUM(K7:K15)</f>
        <v>0</v>
      </c>
      <c r="L16" s="68" t="n">
        <f aca="false">SUM(L7:L15)</f>
        <v>0</v>
      </c>
      <c r="M16" s="68" t="n">
        <f aca="false">SUM(M7:M15)</f>
        <v>0</v>
      </c>
      <c r="N16" s="68" t="n">
        <f aca="false">SUM(N7:N15)</f>
        <v>0</v>
      </c>
      <c r="O16" s="67" t="n">
        <f aca="false">SUM(P16:AA16)</f>
        <v>3240</v>
      </c>
      <c r="P16" s="68" t="n">
        <f aca="false">SUM(P7:P15)</f>
        <v>3240</v>
      </c>
      <c r="Q16" s="68" t="n">
        <f aca="false">SUM(Q7:Q15)</f>
        <v>0</v>
      </c>
      <c r="R16" s="68" t="n">
        <f aca="false">SUM(R7:R15)</f>
        <v>0</v>
      </c>
      <c r="S16" s="68" t="n">
        <f aca="false">SUM(S7:S15)</f>
        <v>0</v>
      </c>
      <c r="T16" s="68" t="n">
        <f aca="false">SUM(T7:T15)</f>
        <v>0</v>
      </c>
      <c r="U16" s="68" t="n">
        <f aca="false">SUM(U7:U15)</f>
        <v>0</v>
      </c>
      <c r="V16" s="68" t="n">
        <f aca="false">SUM(V7:V15)</f>
        <v>0</v>
      </c>
      <c r="W16" s="68" t="n">
        <f aca="false">SUM(W7:W15)</f>
        <v>0</v>
      </c>
      <c r="X16" s="68" t="n">
        <f aca="false">SUM(X7:X15)</f>
        <v>0</v>
      </c>
      <c r="Y16" s="68" t="n">
        <f aca="false">SUM(Y7:Y15)</f>
        <v>0</v>
      </c>
      <c r="Z16" s="68" t="n">
        <f aca="false">SUM(Z7:Z15)</f>
        <v>0</v>
      </c>
      <c r="AA16" s="68" t="n">
        <f aca="false">SUM(AA7:AA15)</f>
        <v>0</v>
      </c>
      <c r="AB16" s="67" t="n">
        <f aca="false">SUM(AC16:AN16)</f>
        <v>13240</v>
      </c>
      <c r="AC16" s="68" t="n">
        <f aca="false">SUM(AC7:AC15)</f>
        <v>13240</v>
      </c>
      <c r="AD16" s="68" t="n">
        <f aca="false">SUM(AD7:AD15)</f>
        <v>0</v>
      </c>
      <c r="AE16" s="68" t="n">
        <f aca="false">SUM(AE7:AE15)</f>
        <v>0</v>
      </c>
      <c r="AF16" s="68" t="n">
        <f aca="false">SUM(AF7:AF15)</f>
        <v>0</v>
      </c>
      <c r="AG16" s="68" t="n">
        <f aca="false">SUM(AG7:AG15)</f>
        <v>0</v>
      </c>
      <c r="AH16" s="68" t="n">
        <f aca="false">SUM(AH7:AH15)</f>
        <v>0</v>
      </c>
      <c r="AI16" s="68" t="n">
        <f aca="false">SUM(AI7:AI15)</f>
        <v>0</v>
      </c>
      <c r="AJ16" s="68" t="n">
        <f aca="false">SUM(AJ7:AJ15)</f>
        <v>0</v>
      </c>
      <c r="AK16" s="68" t="n">
        <f aca="false">SUM(AK7:AK15)</f>
        <v>0</v>
      </c>
      <c r="AL16" s="68" t="n">
        <f aca="false">SUM(AL7:AL15)</f>
        <v>0</v>
      </c>
      <c r="AM16" s="68" t="n">
        <f aca="false">SUM(AM7:AM15)</f>
        <v>0</v>
      </c>
      <c r="AN16" s="68" t="n">
        <f aca="false">SUM(AN7:AN15)</f>
        <v>0</v>
      </c>
      <c r="AO16" s="67" t="n">
        <f aca="false">SUM(AP16:BA16)</f>
        <v>4320</v>
      </c>
      <c r="AP16" s="68" t="n">
        <f aca="false">SUM(AP7:AP15)</f>
        <v>4320</v>
      </c>
      <c r="AQ16" s="68" t="n">
        <f aca="false">SUM(AQ7:AQ15)</f>
        <v>0</v>
      </c>
      <c r="AR16" s="68" t="n">
        <f aca="false">SUM(AR7:AR15)</f>
        <v>0</v>
      </c>
      <c r="AS16" s="68" t="n">
        <f aca="false">SUM(AS7:AS15)</f>
        <v>0</v>
      </c>
      <c r="AT16" s="68" t="n">
        <f aca="false">SUM(AT7:AT15)</f>
        <v>0</v>
      </c>
      <c r="AU16" s="68" t="n">
        <f aca="false">SUM(AU7:AU15)</f>
        <v>0</v>
      </c>
      <c r="AV16" s="68" t="n">
        <f aca="false">SUM(AV7:AV15)</f>
        <v>0</v>
      </c>
      <c r="AW16" s="68" t="n">
        <f aca="false">SUM(AW7:AW15)</f>
        <v>0</v>
      </c>
      <c r="AX16" s="68" t="n">
        <f aca="false">SUM(AX7:AX15)</f>
        <v>0</v>
      </c>
      <c r="AY16" s="68" t="n">
        <f aca="false">SUM(AY7:AY15)</f>
        <v>0</v>
      </c>
      <c r="AZ16" s="68" t="n">
        <f aca="false">SUM(AZ7:AZ15)</f>
        <v>0</v>
      </c>
      <c r="BA16" s="68" t="n">
        <f aca="false">SUM(BA7:BA15)</f>
        <v>0</v>
      </c>
      <c r="BB16" s="67" t="n">
        <f aca="false">SUM(BC16:BN16)</f>
        <v>4320</v>
      </c>
      <c r="BC16" s="68" t="n">
        <f aca="false">SUM(BC7:BC15)</f>
        <v>4320</v>
      </c>
      <c r="BD16" s="68" t="n">
        <f aca="false">SUM(BD7:BD15)</f>
        <v>0</v>
      </c>
      <c r="BE16" s="68" t="n">
        <f aca="false">SUM(BE7:BE15)</f>
        <v>0</v>
      </c>
      <c r="BF16" s="68" t="n">
        <f aca="false">SUM(BF7:BF15)</f>
        <v>0</v>
      </c>
      <c r="BG16" s="68" t="n">
        <f aca="false">SUM(BG7:BG15)</f>
        <v>0</v>
      </c>
      <c r="BH16" s="68" t="n">
        <f aca="false">SUM(BH7:BH15)</f>
        <v>0</v>
      </c>
      <c r="BI16" s="68" t="n">
        <f aca="false">SUM(BI7:BI15)</f>
        <v>0</v>
      </c>
      <c r="BJ16" s="68" t="n">
        <f aca="false">SUM(BJ7:BJ15)</f>
        <v>0</v>
      </c>
      <c r="BK16" s="68" t="n">
        <f aca="false">SUM(BK7:BK15)</f>
        <v>0</v>
      </c>
      <c r="BL16" s="68" t="n">
        <f aca="false">SUM(BL7:BL15)</f>
        <v>0</v>
      </c>
      <c r="BM16" s="68" t="n">
        <f aca="false">SUM(BM7:BM15)</f>
        <v>0</v>
      </c>
      <c r="BN16" s="68" t="n">
        <f aca="false">SUM(BN7:BN15)</f>
        <v>0</v>
      </c>
    </row>
    <row r="18" customFormat="false" ht="16.5" hidden="false" customHeight="true" outlineLevel="0" collapsed="false">
      <c r="A18" s="15" t="s">
        <v>543</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4500</v>
      </c>
      <c r="C20" s="65" t="n">
        <f aca="false">C7</f>
        <v>4500</v>
      </c>
      <c r="D20" s="65" t="n">
        <f aca="false">C20+D7</f>
        <v>4500</v>
      </c>
      <c r="E20" s="65" t="n">
        <f aca="false">D20+E7</f>
        <v>4500</v>
      </c>
      <c r="F20" s="65" t="n">
        <f aca="false">E20+F7</f>
        <v>4500</v>
      </c>
      <c r="G20" s="65" t="n">
        <f aca="false">F20+G7</f>
        <v>4500</v>
      </c>
      <c r="H20" s="65" t="n">
        <f aca="false">G20+H7</f>
        <v>4500</v>
      </c>
      <c r="I20" s="65" t="n">
        <f aca="false">H20+I7</f>
        <v>4500</v>
      </c>
      <c r="J20" s="65" t="n">
        <f aca="false">I20+J7</f>
        <v>4500</v>
      </c>
      <c r="K20" s="65" t="n">
        <f aca="false">J20+K7</f>
        <v>4500</v>
      </c>
      <c r="L20" s="65" t="n">
        <f aca="false">K20+L7</f>
        <v>4500</v>
      </c>
      <c r="M20" s="65" t="n">
        <f aca="false">L20+M7</f>
        <v>4500</v>
      </c>
      <c r="N20" s="65" t="n">
        <f aca="false">M20+N7</f>
        <v>4500</v>
      </c>
      <c r="O20" s="64" t="n">
        <f aca="false">AA20</f>
        <v>6750</v>
      </c>
      <c r="P20" s="65" t="n">
        <f aca="false">N20+P7</f>
        <v>6750</v>
      </c>
      <c r="Q20" s="65" t="n">
        <f aca="false">P20+Q7</f>
        <v>6750</v>
      </c>
      <c r="R20" s="65" t="n">
        <f aca="false">Q20+R7</f>
        <v>6750</v>
      </c>
      <c r="S20" s="65" t="n">
        <f aca="false">R20+S7</f>
        <v>6750</v>
      </c>
      <c r="T20" s="65" t="n">
        <f aca="false">S20+T7</f>
        <v>6750</v>
      </c>
      <c r="U20" s="65" t="n">
        <f aca="false">T20+U7</f>
        <v>6750</v>
      </c>
      <c r="V20" s="65" t="n">
        <f aca="false">U20+V7</f>
        <v>6750</v>
      </c>
      <c r="W20" s="65" t="n">
        <f aca="false">V20+W7</f>
        <v>6750</v>
      </c>
      <c r="X20" s="65" t="n">
        <f aca="false">W20+X7</f>
        <v>6750</v>
      </c>
      <c r="Y20" s="65" t="n">
        <f aca="false">X20+Y7</f>
        <v>6750</v>
      </c>
      <c r="Z20" s="65" t="n">
        <f aca="false">Y20+Z7</f>
        <v>6750</v>
      </c>
      <c r="AA20" s="65" t="n">
        <f aca="false">Z20+AA7</f>
        <v>6750</v>
      </c>
      <c r="AB20" s="64" t="n">
        <f aca="false">AN20</f>
        <v>9000</v>
      </c>
      <c r="AC20" s="65" t="n">
        <f aca="false">AA20+AC7</f>
        <v>9000</v>
      </c>
      <c r="AD20" s="65" t="n">
        <f aca="false">AC20+AD7</f>
        <v>9000</v>
      </c>
      <c r="AE20" s="65" t="n">
        <f aca="false">AD20+AE7</f>
        <v>9000</v>
      </c>
      <c r="AF20" s="65" t="n">
        <f aca="false">AE20+AF7</f>
        <v>9000</v>
      </c>
      <c r="AG20" s="65" t="n">
        <f aca="false">AF20+AG7</f>
        <v>9000</v>
      </c>
      <c r="AH20" s="65" t="n">
        <f aca="false">AG20+AH7</f>
        <v>9000</v>
      </c>
      <c r="AI20" s="65" t="n">
        <f aca="false">AH20+AI7</f>
        <v>9000</v>
      </c>
      <c r="AJ20" s="65" t="n">
        <f aca="false">AI20+AJ7</f>
        <v>9000</v>
      </c>
      <c r="AK20" s="65" t="n">
        <f aca="false">AJ20+AK7</f>
        <v>9000</v>
      </c>
      <c r="AL20" s="65" t="n">
        <f aca="false">AK20+AL7</f>
        <v>9000</v>
      </c>
      <c r="AM20" s="65" t="n">
        <f aca="false">AL20+AM7</f>
        <v>9000</v>
      </c>
      <c r="AN20" s="65" t="n">
        <f aca="false">AM20+AN7</f>
        <v>9000</v>
      </c>
      <c r="AO20" s="64" t="n">
        <f aca="false">BA20</f>
        <v>12000</v>
      </c>
      <c r="AP20" s="65" t="n">
        <f aca="false">AN20+AP7</f>
        <v>12000</v>
      </c>
      <c r="AQ20" s="65" t="n">
        <f aca="false">AP20+AQ7</f>
        <v>12000</v>
      </c>
      <c r="AR20" s="65" t="n">
        <f aca="false">AQ20+AR7</f>
        <v>12000</v>
      </c>
      <c r="AS20" s="65" t="n">
        <f aca="false">AR20+AS7</f>
        <v>12000</v>
      </c>
      <c r="AT20" s="65" t="n">
        <f aca="false">AS20+AT7</f>
        <v>12000</v>
      </c>
      <c r="AU20" s="65" t="n">
        <f aca="false">AT20+AU7</f>
        <v>12000</v>
      </c>
      <c r="AV20" s="65" t="n">
        <f aca="false">AU20+AV7</f>
        <v>12000</v>
      </c>
      <c r="AW20" s="65" t="n">
        <f aca="false">AV20+AW7</f>
        <v>12000</v>
      </c>
      <c r="AX20" s="65" t="n">
        <f aca="false">AW20+AX7</f>
        <v>12000</v>
      </c>
      <c r="AY20" s="65" t="n">
        <f aca="false">AX20+AY7</f>
        <v>12000</v>
      </c>
      <c r="AZ20" s="65" t="n">
        <f aca="false">AY20+AZ7</f>
        <v>12000</v>
      </c>
      <c r="BA20" s="65" t="n">
        <f aca="false">AZ20+BA7</f>
        <v>12000</v>
      </c>
      <c r="BB20" s="64" t="n">
        <f aca="false">BN20</f>
        <v>15000</v>
      </c>
      <c r="BC20" s="65" t="n">
        <f aca="false">BA20+BC7</f>
        <v>15000</v>
      </c>
      <c r="BD20" s="65" t="n">
        <f aca="false">BC20+BD7</f>
        <v>15000</v>
      </c>
      <c r="BE20" s="65" t="n">
        <f aca="false">BD20+BE7</f>
        <v>15000</v>
      </c>
      <c r="BF20" s="65" t="n">
        <f aca="false">BE20+BF7</f>
        <v>15000</v>
      </c>
      <c r="BG20" s="65" t="n">
        <f aca="false">BF20+BG7</f>
        <v>15000</v>
      </c>
      <c r="BH20" s="65" t="n">
        <f aca="false">BG20+BH7</f>
        <v>15000</v>
      </c>
      <c r="BI20" s="65" t="n">
        <f aca="false">BH20+BI7</f>
        <v>15000</v>
      </c>
      <c r="BJ20" s="65" t="n">
        <f aca="false">BI20+BJ7</f>
        <v>15000</v>
      </c>
      <c r="BK20" s="65" t="n">
        <f aca="false">BJ20+BK7</f>
        <v>15000</v>
      </c>
      <c r="BL20" s="65" t="n">
        <f aca="false">BK20+BL7</f>
        <v>15000</v>
      </c>
      <c r="BM20" s="65" t="n">
        <f aca="false">BL20+BM7</f>
        <v>15000</v>
      </c>
      <c r="BN20" s="65" t="n">
        <f aca="false">BM20+BN7</f>
        <v>15000</v>
      </c>
    </row>
    <row r="21" customFormat="false" ht="15" hidden="false" customHeight="false" outlineLevel="0" collapsed="false">
      <c r="A21" s="12" t="s">
        <v>468</v>
      </c>
      <c r="B21" s="64" t="n">
        <f aca="false">N21</f>
        <v>900</v>
      </c>
      <c r="C21" s="65" t="n">
        <f aca="false">C8</f>
        <v>900</v>
      </c>
      <c r="D21" s="65" t="n">
        <f aca="false">C21+D8</f>
        <v>900</v>
      </c>
      <c r="E21" s="65" t="n">
        <f aca="false">D21+E8</f>
        <v>900</v>
      </c>
      <c r="F21" s="65" t="n">
        <f aca="false">E21+F8</f>
        <v>900</v>
      </c>
      <c r="G21" s="65" t="n">
        <f aca="false">F21+G8</f>
        <v>900</v>
      </c>
      <c r="H21" s="65" t="n">
        <f aca="false">G21+H8</f>
        <v>900</v>
      </c>
      <c r="I21" s="65" t="n">
        <f aca="false">H21+I8</f>
        <v>900</v>
      </c>
      <c r="J21" s="65" t="n">
        <f aca="false">I21+J8</f>
        <v>900</v>
      </c>
      <c r="K21" s="65" t="n">
        <f aca="false">J21+K8</f>
        <v>900</v>
      </c>
      <c r="L21" s="65" t="n">
        <f aca="false">K21+L8</f>
        <v>900</v>
      </c>
      <c r="M21" s="65" t="n">
        <f aca="false">L21+M8</f>
        <v>900</v>
      </c>
      <c r="N21" s="65" t="n">
        <f aca="false">M21+N8</f>
        <v>900</v>
      </c>
      <c r="O21" s="64" t="n">
        <f aca="false">AA21</f>
        <v>1350</v>
      </c>
      <c r="P21" s="65" t="n">
        <f aca="false">N21+P8</f>
        <v>1350</v>
      </c>
      <c r="Q21" s="65" t="n">
        <f aca="false">P21+Q8</f>
        <v>1350</v>
      </c>
      <c r="R21" s="65" t="n">
        <f aca="false">Q21+R8</f>
        <v>1350</v>
      </c>
      <c r="S21" s="65" t="n">
        <f aca="false">R21+S8</f>
        <v>1350</v>
      </c>
      <c r="T21" s="65" t="n">
        <f aca="false">S21+T8</f>
        <v>1350</v>
      </c>
      <c r="U21" s="65" t="n">
        <f aca="false">T21+U8</f>
        <v>1350</v>
      </c>
      <c r="V21" s="65" t="n">
        <f aca="false">U21+V8</f>
        <v>1350</v>
      </c>
      <c r="W21" s="65" t="n">
        <f aca="false">V21+W8</f>
        <v>1350</v>
      </c>
      <c r="X21" s="65" t="n">
        <f aca="false">W21+X8</f>
        <v>1350</v>
      </c>
      <c r="Y21" s="65" t="n">
        <f aca="false">X21+Y8</f>
        <v>1350</v>
      </c>
      <c r="Z21" s="65" t="n">
        <f aca="false">Y21+Z8</f>
        <v>1350</v>
      </c>
      <c r="AA21" s="65" t="n">
        <f aca="false">Z21+AA8</f>
        <v>1350</v>
      </c>
      <c r="AB21" s="64" t="n">
        <f aca="false">AN21</f>
        <v>1800</v>
      </c>
      <c r="AC21" s="65" t="n">
        <f aca="false">AA21+AC8</f>
        <v>1800</v>
      </c>
      <c r="AD21" s="65" t="n">
        <f aca="false">AC21+AD8</f>
        <v>1800</v>
      </c>
      <c r="AE21" s="65" t="n">
        <f aca="false">AD21+AE8</f>
        <v>1800</v>
      </c>
      <c r="AF21" s="65" t="n">
        <f aca="false">AE21+AF8</f>
        <v>1800</v>
      </c>
      <c r="AG21" s="65" t="n">
        <f aca="false">AF21+AG8</f>
        <v>1800</v>
      </c>
      <c r="AH21" s="65" t="n">
        <f aca="false">AG21+AH8</f>
        <v>1800</v>
      </c>
      <c r="AI21" s="65" t="n">
        <f aca="false">AH21+AI8</f>
        <v>1800</v>
      </c>
      <c r="AJ21" s="65" t="n">
        <f aca="false">AI21+AJ8</f>
        <v>1800</v>
      </c>
      <c r="AK21" s="65" t="n">
        <f aca="false">AJ21+AK8</f>
        <v>1800</v>
      </c>
      <c r="AL21" s="65" t="n">
        <f aca="false">AK21+AL8</f>
        <v>1800</v>
      </c>
      <c r="AM21" s="65" t="n">
        <f aca="false">AL21+AM8</f>
        <v>1800</v>
      </c>
      <c r="AN21" s="65" t="n">
        <f aca="false">AM21+AN8</f>
        <v>1800</v>
      </c>
      <c r="AO21" s="64" t="n">
        <f aca="false">BA21</f>
        <v>2400</v>
      </c>
      <c r="AP21" s="65" t="n">
        <f aca="false">AN21+AP8</f>
        <v>2400</v>
      </c>
      <c r="AQ21" s="65" t="n">
        <f aca="false">AP21+AQ8</f>
        <v>2400</v>
      </c>
      <c r="AR21" s="65" t="n">
        <f aca="false">AQ21+AR8</f>
        <v>2400</v>
      </c>
      <c r="AS21" s="65" t="n">
        <f aca="false">AR21+AS8</f>
        <v>2400</v>
      </c>
      <c r="AT21" s="65" t="n">
        <f aca="false">AS21+AT8</f>
        <v>2400</v>
      </c>
      <c r="AU21" s="65" t="n">
        <f aca="false">AT21+AU8</f>
        <v>2400</v>
      </c>
      <c r="AV21" s="65" t="n">
        <f aca="false">AU21+AV8</f>
        <v>2400</v>
      </c>
      <c r="AW21" s="65" t="n">
        <f aca="false">AV21+AW8</f>
        <v>2400</v>
      </c>
      <c r="AX21" s="65" t="n">
        <f aca="false">AW21+AX8</f>
        <v>2400</v>
      </c>
      <c r="AY21" s="65" t="n">
        <f aca="false">AX21+AY8</f>
        <v>2400</v>
      </c>
      <c r="AZ21" s="65" t="n">
        <f aca="false">AY21+AZ8</f>
        <v>2400</v>
      </c>
      <c r="BA21" s="65" t="n">
        <f aca="false">AZ21+BA8</f>
        <v>2400</v>
      </c>
      <c r="BB21" s="64" t="n">
        <f aca="false">BN21</f>
        <v>3000</v>
      </c>
      <c r="BC21" s="65" t="n">
        <f aca="false">BA21+BC8</f>
        <v>3000</v>
      </c>
      <c r="BD21" s="65" t="n">
        <f aca="false">BC21+BD8</f>
        <v>3000</v>
      </c>
      <c r="BE21" s="65" t="n">
        <f aca="false">BD21+BE8</f>
        <v>3000</v>
      </c>
      <c r="BF21" s="65" t="n">
        <f aca="false">BE21+BF8</f>
        <v>3000</v>
      </c>
      <c r="BG21" s="65" t="n">
        <f aca="false">BF21+BG8</f>
        <v>3000</v>
      </c>
      <c r="BH21" s="65" t="n">
        <f aca="false">BG21+BH8</f>
        <v>3000</v>
      </c>
      <c r="BI21" s="65" t="n">
        <f aca="false">BH21+BI8</f>
        <v>3000</v>
      </c>
      <c r="BJ21" s="65" t="n">
        <f aca="false">BI21+BJ8</f>
        <v>3000</v>
      </c>
      <c r="BK21" s="65" t="n">
        <f aca="false">BJ21+BK8</f>
        <v>3000</v>
      </c>
      <c r="BL21" s="65" t="n">
        <f aca="false">BK21+BL8</f>
        <v>3000</v>
      </c>
      <c r="BM21" s="65" t="n">
        <f aca="false">BL21+BM8</f>
        <v>3000</v>
      </c>
      <c r="BN21" s="65" t="n">
        <f aca="false">BM21+BN8</f>
        <v>3000</v>
      </c>
    </row>
    <row r="22" customFormat="false" ht="15" hidden="false" customHeight="false" outlineLevel="0" collapsed="false">
      <c r="A22" s="12" t="s">
        <v>469</v>
      </c>
      <c r="B22" s="64" t="n">
        <f aca="false">N22</f>
        <v>1080</v>
      </c>
      <c r="C22" s="65" t="n">
        <f aca="false">C9</f>
        <v>1080</v>
      </c>
      <c r="D22" s="65" t="n">
        <f aca="false">C22+D9</f>
        <v>1080</v>
      </c>
      <c r="E22" s="65" t="n">
        <f aca="false">D22+E9</f>
        <v>1080</v>
      </c>
      <c r="F22" s="65" t="n">
        <f aca="false">E22+F9</f>
        <v>1080</v>
      </c>
      <c r="G22" s="65" t="n">
        <f aca="false">F22+G9</f>
        <v>1080</v>
      </c>
      <c r="H22" s="65" t="n">
        <f aca="false">G22+H9</f>
        <v>1080</v>
      </c>
      <c r="I22" s="65" t="n">
        <f aca="false">H22+I9</f>
        <v>1080</v>
      </c>
      <c r="J22" s="65" t="n">
        <f aca="false">I22+J9</f>
        <v>1080</v>
      </c>
      <c r="K22" s="65" t="n">
        <f aca="false">J22+K9</f>
        <v>1080</v>
      </c>
      <c r="L22" s="65" t="n">
        <f aca="false">K22+L9</f>
        <v>1080</v>
      </c>
      <c r="M22" s="65" t="n">
        <f aca="false">L22+M9</f>
        <v>1080</v>
      </c>
      <c r="N22" s="65" t="n">
        <f aca="false">M22+N9</f>
        <v>1080</v>
      </c>
      <c r="O22" s="64" t="n">
        <f aca="false">AA22</f>
        <v>1620</v>
      </c>
      <c r="P22" s="65" t="n">
        <f aca="false">N22+P9</f>
        <v>1620</v>
      </c>
      <c r="Q22" s="65" t="n">
        <f aca="false">P22+Q9</f>
        <v>1620</v>
      </c>
      <c r="R22" s="65" t="n">
        <f aca="false">Q22+R9</f>
        <v>1620</v>
      </c>
      <c r="S22" s="65" t="n">
        <f aca="false">R22+S9</f>
        <v>1620</v>
      </c>
      <c r="T22" s="65" t="n">
        <f aca="false">S22+T9</f>
        <v>1620</v>
      </c>
      <c r="U22" s="65" t="n">
        <f aca="false">T22+U9</f>
        <v>1620</v>
      </c>
      <c r="V22" s="65" t="n">
        <f aca="false">U22+V9</f>
        <v>1620</v>
      </c>
      <c r="W22" s="65" t="n">
        <f aca="false">V22+W9</f>
        <v>1620</v>
      </c>
      <c r="X22" s="65" t="n">
        <f aca="false">W22+X9</f>
        <v>1620</v>
      </c>
      <c r="Y22" s="65" t="n">
        <f aca="false">X22+Y9</f>
        <v>1620</v>
      </c>
      <c r="Z22" s="65" t="n">
        <f aca="false">Y22+Z9</f>
        <v>1620</v>
      </c>
      <c r="AA22" s="65" t="n">
        <f aca="false">Z22+AA9</f>
        <v>1620</v>
      </c>
      <c r="AB22" s="64" t="n">
        <f aca="false">AN22</f>
        <v>2160</v>
      </c>
      <c r="AC22" s="65" t="n">
        <f aca="false">AA22+AC9</f>
        <v>2160</v>
      </c>
      <c r="AD22" s="65" t="n">
        <f aca="false">AC22+AD9</f>
        <v>2160</v>
      </c>
      <c r="AE22" s="65" t="n">
        <f aca="false">AD22+AE9</f>
        <v>2160</v>
      </c>
      <c r="AF22" s="65" t="n">
        <f aca="false">AE22+AF9</f>
        <v>2160</v>
      </c>
      <c r="AG22" s="65" t="n">
        <f aca="false">AF22+AG9</f>
        <v>2160</v>
      </c>
      <c r="AH22" s="65" t="n">
        <f aca="false">AG22+AH9</f>
        <v>2160</v>
      </c>
      <c r="AI22" s="65" t="n">
        <f aca="false">AH22+AI9</f>
        <v>2160</v>
      </c>
      <c r="AJ22" s="65" t="n">
        <f aca="false">AI22+AJ9</f>
        <v>2160</v>
      </c>
      <c r="AK22" s="65" t="n">
        <f aca="false">AJ22+AK9</f>
        <v>2160</v>
      </c>
      <c r="AL22" s="65" t="n">
        <f aca="false">AK22+AL9</f>
        <v>2160</v>
      </c>
      <c r="AM22" s="65" t="n">
        <f aca="false">AL22+AM9</f>
        <v>2160</v>
      </c>
      <c r="AN22" s="65" t="n">
        <f aca="false">AM22+AN9</f>
        <v>2160</v>
      </c>
      <c r="AO22" s="64" t="n">
        <f aca="false">BA22</f>
        <v>2880</v>
      </c>
      <c r="AP22" s="65" t="n">
        <f aca="false">AN22+AP9</f>
        <v>2880</v>
      </c>
      <c r="AQ22" s="65" t="n">
        <f aca="false">AP22+AQ9</f>
        <v>2880</v>
      </c>
      <c r="AR22" s="65" t="n">
        <f aca="false">AQ22+AR9</f>
        <v>2880</v>
      </c>
      <c r="AS22" s="65" t="n">
        <f aca="false">AR22+AS9</f>
        <v>2880</v>
      </c>
      <c r="AT22" s="65" t="n">
        <f aca="false">AS22+AT9</f>
        <v>2880</v>
      </c>
      <c r="AU22" s="65" t="n">
        <f aca="false">AT22+AU9</f>
        <v>2880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3600</v>
      </c>
      <c r="BD22" s="65" t="n">
        <f aca="false">BC22+BD9</f>
        <v>3600</v>
      </c>
      <c r="BE22" s="65" t="n">
        <f aca="false">BD22+BE9</f>
        <v>3600</v>
      </c>
      <c r="BF22" s="65" t="n">
        <f aca="false">BE22+BF9</f>
        <v>3600</v>
      </c>
      <c r="BG22" s="65" t="n">
        <f aca="false">BF22+BG9</f>
        <v>3600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2200</v>
      </c>
      <c r="C24" s="65" t="n">
        <f aca="false">C11</f>
        <v>0</v>
      </c>
      <c r="D24" s="65" t="n">
        <f aca="false">C24+D11</f>
        <v>2200</v>
      </c>
      <c r="E24" s="65" t="n">
        <f aca="false">D24+E11</f>
        <v>2200</v>
      </c>
      <c r="F24" s="65" t="n">
        <f aca="false">E24+F11</f>
        <v>2200</v>
      </c>
      <c r="G24" s="65" t="n">
        <f aca="false">F24+G11</f>
        <v>2200</v>
      </c>
      <c r="H24" s="65" t="n">
        <f aca="false">G24+H11</f>
        <v>2200</v>
      </c>
      <c r="I24" s="65" t="n">
        <f aca="false">H24+I11</f>
        <v>2200</v>
      </c>
      <c r="J24" s="65" t="n">
        <f aca="false">I24+J11</f>
        <v>2200</v>
      </c>
      <c r="K24" s="65" t="n">
        <f aca="false">J24+K11</f>
        <v>2200</v>
      </c>
      <c r="L24" s="65" t="n">
        <f aca="false">K24+L11</f>
        <v>2200</v>
      </c>
      <c r="M24" s="65" t="n">
        <f aca="false">L24+M11</f>
        <v>2200</v>
      </c>
      <c r="N24" s="65" t="n">
        <f aca="false">M24+N11</f>
        <v>2200</v>
      </c>
      <c r="O24" s="64" t="n">
        <f aca="false">AA24</f>
        <v>2200</v>
      </c>
      <c r="P24" s="65" t="n">
        <f aca="false">N24+P11</f>
        <v>2200</v>
      </c>
      <c r="Q24" s="65" t="n">
        <f aca="false">P24+Q11</f>
        <v>2200</v>
      </c>
      <c r="R24" s="65" t="n">
        <f aca="false">Q24+R11</f>
        <v>2200</v>
      </c>
      <c r="S24" s="65" t="n">
        <f aca="false">R24+S11</f>
        <v>2200</v>
      </c>
      <c r="T24" s="65" t="n">
        <f aca="false">S24+T11</f>
        <v>2200</v>
      </c>
      <c r="U24" s="65" t="n">
        <f aca="false">T24+U11</f>
        <v>2200</v>
      </c>
      <c r="V24" s="65" t="n">
        <f aca="false">U24+V11</f>
        <v>2200</v>
      </c>
      <c r="W24" s="65" t="n">
        <f aca="false">V24+W11</f>
        <v>2200</v>
      </c>
      <c r="X24" s="65" t="n">
        <f aca="false">W24+X11</f>
        <v>2200</v>
      </c>
      <c r="Y24" s="65" t="n">
        <f aca="false">X24+Y11</f>
        <v>2200</v>
      </c>
      <c r="Z24" s="65" t="n">
        <f aca="false">Y24+Z11</f>
        <v>2200</v>
      </c>
      <c r="AA24" s="65" t="n">
        <f aca="false">Z24+AA11</f>
        <v>2200</v>
      </c>
      <c r="AB24" s="64" t="n">
        <f aca="false">AN24</f>
        <v>2200</v>
      </c>
      <c r="AC24" s="65" t="n">
        <f aca="false">AA24+AC11</f>
        <v>2200</v>
      </c>
      <c r="AD24" s="65" t="n">
        <f aca="false">AC24+AD11</f>
        <v>2200</v>
      </c>
      <c r="AE24" s="65" t="n">
        <f aca="false">AD24+AE11</f>
        <v>2200</v>
      </c>
      <c r="AF24" s="65" t="n">
        <f aca="false">AE24+AF11</f>
        <v>2200</v>
      </c>
      <c r="AG24" s="65" t="n">
        <f aca="false">AF24+AG11</f>
        <v>2200</v>
      </c>
      <c r="AH24" s="65" t="n">
        <f aca="false">AG24+AH11</f>
        <v>2200</v>
      </c>
      <c r="AI24" s="65" t="n">
        <f aca="false">AH24+AI11</f>
        <v>2200</v>
      </c>
      <c r="AJ24" s="65" t="n">
        <f aca="false">AI24+AJ11</f>
        <v>2200</v>
      </c>
      <c r="AK24" s="65" t="n">
        <f aca="false">AJ24+AK11</f>
        <v>2200</v>
      </c>
      <c r="AL24" s="65" t="n">
        <f aca="false">AK24+AL11</f>
        <v>2200</v>
      </c>
      <c r="AM24" s="65" t="n">
        <f aca="false">AL24+AM11</f>
        <v>2200</v>
      </c>
      <c r="AN24" s="65" t="n">
        <f aca="false">AM24+AN11</f>
        <v>2200</v>
      </c>
      <c r="AO24" s="64" t="n">
        <f aca="false">BA24</f>
        <v>2200</v>
      </c>
      <c r="AP24" s="65" t="n">
        <f aca="false">AN24+AP11</f>
        <v>2200</v>
      </c>
      <c r="AQ24" s="65" t="n">
        <f aca="false">AP24+AQ11</f>
        <v>2200</v>
      </c>
      <c r="AR24" s="65" t="n">
        <f aca="false">AQ24+AR11</f>
        <v>2200</v>
      </c>
      <c r="AS24" s="65" t="n">
        <f aca="false">AR24+AS11</f>
        <v>2200</v>
      </c>
      <c r="AT24" s="65" t="n">
        <f aca="false">AS24+AT11</f>
        <v>2200</v>
      </c>
      <c r="AU24" s="65" t="n">
        <f aca="false">AT24+AU11</f>
        <v>2200</v>
      </c>
      <c r="AV24" s="65" t="n">
        <f aca="false">AU24+AV11</f>
        <v>2200</v>
      </c>
      <c r="AW24" s="65" t="n">
        <f aca="false">AV24+AW11</f>
        <v>2200</v>
      </c>
      <c r="AX24" s="65" t="n">
        <f aca="false">AW24+AX11</f>
        <v>2200</v>
      </c>
      <c r="AY24" s="65" t="n">
        <f aca="false">AX24+AY11</f>
        <v>2200</v>
      </c>
      <c r="AZ24" s="65" t="n">
        <f aca="false">AY24+AZ11</f>
        <v>2200</v>
      </c>
      <c r="BA24" s="65" t="n">
        <f aca="false">AZ24+BA11</f>
        <v>2200</v>
      </c>
      <c r="BB24" s="64" t="n">
        <f aca="false">BN24</f>
        <v>2200</v>
      </c>
      <c r="BC24" s="65" t="n">
        <f aca="false">BA24+BC11</f>
        <v>2200</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600</v>
      </c>
      <c r="C25" s="65" t="n">
        <f aca="false">C12</f>
        <v>600</v>
      </c>
      <c r="D25" s="65" t="n">
        <f aca="false">C25+D12</f>
        <v>600</v>
      </c>
      <c r="E25" s="65" t="n">
        <f aca="false">D25+E12</f>
        <v>600</v>
      </c>
      <c r="F25" s="65" t="n">
        <f aca="false">E25+F12</f>
        <v>600</v>
      </c>
      <c r="G25" s="65" t="n">
        <f aca="false">F25+G12</f>
        <v>600</v>
      </c>
      <c r="H25" s="65" t="n">
        <f aca="false">G25+H12</f>
        <v>600</v>
      </c>
      <c r="I25" s="65" t="n">
        <f aca="false">H25+I12</f>
        <v>600</v>
      </c>
      <c r="J25" s="65" t="n">
        <f aca="false">I25+J12</f>
        <v>600</v>
      </c>
      <c r="K25" s="65" t="n">
        <f aca="false">J25+K12</f>
        <v>600</v>
      </c>
      <c r="L25" s="65" t="n">
        <f aca="false">K25+L12</f>
        <v>600</v>
      </c>
      <c r="M25" s="65" t="n">
        <f aca="false">L25+M12</f>
        <v>600</v>
      </c>
      <c r="N25" s="65" t="n">
        <f aca="false">M25+N12</f>
        <v>600</v>
      </c>
      <c r="O25" s="64" t="n">
        <f aca="false">AA25</f>
        <v>600</v>
      </c>
      <c r="P25" s="65" t="n">
        <f aca="false">N25+P12</f>
        <v>600</v>
      </c>
      <c r="Q25" s="65" t="n">
        <f aca="false">P25+Q12</f>
        <v>600</v>
      </c>
      <c r="R25" s="65" t="n">
        <f aca="false">Q25+R12</f>
        <v>600</v>
      </c>
      <c r="S25" s="65" t="n">
        <f aca="false">R25+S12</f>
        <v>600</v>
      </c>
      <c r="T25" s="65" t="n">
        <f aca="false">S25+T12</f>
        <v>600</v>
      </c>
      <c r="U25" s="65" t="n">
        <f aca="false">T25+U12</f>
        <v>600</v>
      </c>
      <c r="V25" s="65" t="n">
        <f aca="false">U25+V12</f>
        <v>600</v>
      </c>
      <c r="W25" s="65" t="n">
        <f aca="false">V25+W12</f>
        <v>600</v>
      </c>
      <c r="X25" s="65" t="n">
        <f aca="false">W25+X12</f>
        <v>600</v>
      </c>
      <c r="Y25" s="65" t="n">
        <f aca="false">X25+Y12</f>
        <v>600</v>
      </c>
      <c r="Z25" s="65" t="n">
        <f aca="false">Y25+Z12</f>
        <v>600</v>
      </c>
      <c r="AA25" s="65" t="n">
        <f aca="false">Z25+AA12</f>
        <v>600</v>
      </c>
      <c r="AB25" s="64" t="n">
        <f aca="false">AN25</f>
        <v>600</v>
      </c>
      <c r="AC25" s="65" t="n">
        <f aca="false">AA25+AC12</f>
        <v>600</v>
      </c>
      <c r="AD25" s="65" t="n">
        <f aca="false">AC25+AD12</f>
        <v>600</v>
      </c>
      <c r="AE25" s="65" t="n">
        <f aca="false">AD25+AE12</f>
        <v>600</v>
      </c>
      <c r="AF25" s="65" t="n">
        <f aca="false">AE25+AF12</f>
        <v>600</v>
      </c>
      <c r="AG25" s="65" t="n">
        <f aca="false">AF25+AG12</f>
        <v>600</v>
      </c>
      <c r="AH25" s="65" t="n">
        <f aca="false">AG25+AH12</f>
        <v>600</v>
      </c>
      <c r="AI25" s="65" t="n">
        <f aca="false">AH25+AI12</f>
        <v>600</v>
      </c>
      <c r="AJ25" s="65" t="n">
        <f aca="false">AI25+AJ12</f>
        <v>600</v>
      </c>
      <c r="AK25" s="65" t="n">
        <f aca="false">AJ25+AK12</f>
        <v>600</v>
      </c>
      <c r="AL25" s="65" t="n">
        <f aca="false">AK25+AL12</f>
        <v>600</v>
      </c>
      <c r="AM25" s="65" t="n">
        <f aca="false">AL25+AM12</f>
        <v>600</v>
      </c>
      <c r="AN25" s="65" t="n">
        <f aca="false">AM25+AN12</f>
        <v>600</v>
      </c>
      <c r="AO25" s="64" t="n">
        <f aca="false">BA25</f>
        <v>600</v>
      </c>
      <c r="AP25" s="65" t="n">
        <f aca="false">AN25+AP12</f>
        <v>600</v>
      </c>
      <c r="AQ25" s="65" t="n">
        <f aca="false">AP25+AQ12</f>
        <v>600</v>
      </c>
      <c r="AR25" s="65" t="n">
        <f aca="false">AQ25+AR12</f>
        <v>600</v>
      </c>
      <c r="AS25" s="65" t="n">
        <f aca="false">AR25+AS12</f>
        <v>600</v>
      </c>
      <c r="AT25" s="65" t="n">
        <f aca="false">AS25+AT12</f>
        <v>600</v>
      </c>
      <c r="AU25" s="65" t="n">
        <f aca="false">AT25+AU12</f>
        <v>600</v>
      </c>
      <c r="AV25" s="65" t="n">
        <f aca="false">AU25+AV12</f>
        <v>600</v>
      </c>
      <c r="AW25" s="65" t="n">
        <f aca="false">AV25+AW12</f>
        <v>600</v>
      </c>
      <c r="AX25" s="65" t="n">
        <f aca="false">AW25+AX12</f>
        <v>600</v>
      </c>
      <c r="AY25" s="65" t="n">
        <f aca="false">AX25+AY12</f>
        <v>600</v>
      </c>
      <c r="AZ25" s="65" t="n">
        <f aca="false">AY25+AZ12</f>
        <v>600</v>
      </c>
      <c r="BA25" s="65" t="n">
        <f aca="false">AZ25+BA12</f>
        <v>600</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3000</v>
      </c>
      <c r="C26" s="65" t="n">
        <f aca="false">C13</f>
        <v>3000</v>
      </c>
      <c r="D26" s="65" t="n">
        <f aca="false">C26+D13</f>
        <v>3000</v>
      </c>
      <c r="E26" s="65" t="n">
        <f aca="false">D26+E13</f>
        <v>3000</v>
      </c>
      <c r="F26" s="65" t="n">
        <f aca="false">E26+F13</f>
        <v>3000</v>
      </c>
      <c r="G26" s="65" t="n">
        <f aca="false">F26+G13</f>
        <v>3000</v>
      </c>
      <c r="H26" s="65" t="n">
        <f aca="false">G26+H13</f>
        <v>3000</v>
      </c>
      <c r="I26" s="65" t="n">
        <f aca="false">H26+I13</f>
        <v>3000</v>
      </c>
      <c r="J26" s="65" t="n">
        <f aca="false">I26+J13</f>
        <v>3000</v>
      </c>
      <c r="K26" s="65" t="n">
        <f aca="false">J26+K13</f>
        <v>3000</v>
      </c>
      <c r="L26" s="65" t="n">
        <f aca="false">K26+L13</f>
        <v>3000</v>
      </c>
      <c r="M26" s="65" t="n">
        <f aca="false">L26+M13</f>
        <v>3000</v>
      </c>
      <c r="N26" s="65" t="n">
        <f aca="false">M26+N13</f>
        <v>3000</v>
      </c>
      <c r="O26" s="64" t="n">
        <f aca="false">AA26</f>
        <v>3000</v>
      </c>
      <c r="P26" s="65" t="n">
        <f aca="false">N26+P13</f>
        <v>3000</v>
      </c>
      <c r="Q26" s="65" t="n">
        <f aca="false">P26+Q13</f>
        <v>3000</v>
      </c>
      <c r="R26" s="65" t="n">
        <f aca="false">Q26+R13</f>
        <v>3000</v>
      </c>
      <c r="S26" s="65" t="n">
        <f aca="false">R26+S13</f>
        <v>3000</v>
      </c>
      <c r="T26" s="65" t="n">
        <f aca="false">S26+T13</f>
        <v>3000</v>
      </c>
      <c r="U26" s="65" t="n">
        <f aca="false">T26+U13</f>
        <v>3000</v>
      </c>
      <c r="V26" s="65" t="n">
        <f aca="false">U26+V13</f>
        <v>3000</v>
      </c>
      <c r="W26" s="65" t="n">
        <f aca="false">V26+W13</f>
        <v>3000</v>
      </c>
      <c r="X26" s="65" t="n">
        <f aca="false">W26+X13</f>
        <v>3000</v>
      </c>
      <c r="Y26" s="65" t="n">
        <f aca="false">X26+Y13</f>
        <v>3000</v>
      </c>
      <c r="Z26" s="65" t="n">
        <f aca="false">Y26+Z13</f>
        <v>3000</v>
      </c>
      <c r="AA26" s="65" t="n">
        <f aca="false">Z26+AA13</f>
        <v>3000</v>
      </c>
      <c r="AB26" s="64" t="n">
        <f aca="false">AN26</f>
        <v>3000</v>
      </c>
      <c r="AC26" s="65" t="n">
        <f aca="false">AA26+AC13</f>
        <v>3000</v>
      </c>
      <c r="AD26" s="65" t="n">
        <f aca="false">AC26+AD13</f>
        <v>3000</v>
      </c>
      <c r="AE26" s="65" t="n">
        <f aca="false">AD26+AE13</f>
        <v>3000</v>
      </c>
      <c r="AF26" s="65" t="n">
        <f aca="false">AE26+AF13</f>
        <v>3000</v>
      </c>
      <c r="AG26" s="65" t="n">
        <f aca="false">AF26+AG13</f>
        <v>3000</v>
      </c>
      <c r="AH26" s="65" t="n">
        <f aca="false">AG26+AH13</f>
        <v>3000</v>
      </c>
      <c r="AI26" s="65" t="n">
        <f aca="false">AH26+AI13</f>
        <v>3000</v>
      </c>
      <c r="AJ26" s="65" t="n">
        <f aca="false">AI26+AJ13</f>
        <v>3000</v>
      </c>
      <c r="AK26" s="65" t="n">
        <f aca="false">AJ26+AK13</f>
        <v>3000</v>
      </c>
      <c r="AL26" s="65" t="n">
        <f aca="false">AK26+AL13</f>
        <v>3000</v>
      </c>
      <c r="AM26" s="65" t="n">
        <f aca="false">AL26+AM13</f>
        <v>3000</v>
      </c>
      <c r="AN26" s="65" t="n">
        <f aca="false">AM26+AN13</f>
        <v>3000</v>
      </c>
      <c r="AO26" s="64" t="n">
        <f aca="false">BA26</f>
        <v>3000</v>
      </c>
      <c r="AP26" s="65" t="n">
        <f aca="false">AN26+AP13</f>
        <v>3000</v>
      </c>
      <c r="AQ26" s="65" t="n">
        <f aca="false">AP26+AQ13</f>
        <v>3000</v>
      </c>
      <c r="AR26" s="65" t="n">
        <f aca="false">AQ26+AR13</f>
        <v>3000</v>
      </c>
      <c r="AS26" s="65" t="n">
        <f aca="false">AR26+AS13</f>
        <v>3000</v>
      </c>
      <c r="AT26" s="65" t="n">
        <f aca="false">AS26+AT13</f>
        <v>3000</v>
      </c>
      <c r="AU26" s="65" t="n">
        <f aca="false">AT26+AU13</f>
        <v>3000</v>
      </c>
      <c r="AV26" s="65" t="n">
        <f aca="false">AU26+AV13</f>
        <v>3000</v>
      </c>
      <c r="AW26" s="65" t="n">
        <f aca="false">AV26+AW13</f>
        <v>3000</v>
      </c>
      <c r="AX26" s="65" t="n">
        <f aca="false">AW26+AX13</f>
        <v>3000</v>
      </c>
      <c r="AY26" s="65" t="n">
        <f aca="false">AX26+AY13</f>
        <v>3000</v>
      </c>
      <c r="AZ26" s="65" t="n">
        <f aca="false">AY26+AZ13</f>
        <v>3000</v>
      </c>
      <c r="BA26" s="65" t="n">
        <f aca="false">AZ26+BA13</f>
        <v>3000</v>
      </c>
      <c r="BB26" s="64" t="n">
        <f aca="false">BN26</f>
        <v>3000</v>
      </c>
      <c r="BC26" s="65" t="n">
        <f aca="false">BA26+BC13</f>
        <v>3000</v>
      </c>
      <c r="BD26" s="65" t="n">
        <f aca="false">BC26+BD13</f>
        <v>3000</v>
      </c>
      <c r="BE26" s="65" t="n">
        <f aca="false">BD26+BE13</f>
        <v>3000</v>
      </c>
      <c r="BF26" s="65" t="n">
        <f aca="false">BE26+BF13</f>
        <v>3000</v>
      </c>
      <c r="BG26" s="65" t="n">
        <f aca="false">BF26+BG13</f>
        <v>3000</v>
      </c>
      <c r="BH26" s="65" t="n">
        <f aca="false">BG26+BH13</f>
        <v>3000</v>
      </c>
      <c r="BI26" s="65" t="n">
        <f aca="false">BH26+BI13</f>
        <v>3000</v>
      </c>
      <c r="BJ26" s="65" t="n">
        <f aca="false">BI26+BJ13</f>
        <v>3000</v>
      </c>
      <c r="BK26" s="65" t="n">
        <f aca="false">BJ26+BK13</f>
        <v>3000</v>
      </c>
      <c r="BL26" s="65" t="n">
        <f aca="false">BK26+BL13</f>
        <v>3000</v>
      </c>
      <c r="BM26" s="65" t="n">
        <f aca="false">BL26+BM13</f>
        <v>3000</v>
      </c>
      <c r="BN26" s="65" t="n">
        <f aca="false">BM26+BN13</f>
        <v>3000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4000</v>
      </c>
      <c r="AC27" s="65" t="n">
        <f aca="false">AA27+AC14</f>
        <v>4000</v>
      </c>
      <c r="AD27" s="65" t="n">
        <f aca="false">AC27+AD14</f>
        <v>4000</v>
      </c>
      <c r="AE27" s="65" t="n">
        <f aca="false">AD27+AE14</f>
        <v>4000</v>
      </c>
      <c r="AF27" s="65" t="n">
        <f aca="false">AE27+AF14</f>
        <v>4000</v>
      </c>
      <c r="AG27" s="65" t="n">
        <f aca="false">AF27+AG14</f>
        <v>4000</v>
      </c>
      <c r="AH27" s="65" t="n">
        <f aca="false">AG27+AH14</f>
        <v>4000</v>
      </c>
      <c r="AI27" s="65" t="n">
        <f aca="false">AH27+AI14</f>
        <v>4000</v>
      </c>
      <c r="AJ27" s="65" t="n">
        <f aca="false">AI27+AJ14</f>
        <v>4000</v>
      </c>
      <c r="AK27" s="65" t="n">
        <f aca="false">AJ27+AK14</f>
        <v>4000</v>
      </c>
      <c r="AL27" s="65" t="n">
        <f aca="false">AK27+AL14</f>
        <v>4000</v>
      </c>
      <c r="AM27" s="65" t="n">
        <f aca="false">AL27+AM14</f>
        <v>4000</v>
      </c>
      <c r="AN27" s="65" t="n">
        <f aca="false">AM27+AN14</f>
        <v>4000</v>
      </c>
      <c r="AO27" s="64" t="n">
        <f aca="false">BA27</f>
        <v>4000</v>
      </c>
      <c r="AP27" s="65" t="n">
        <f aca="false">AN27+AP14</f>
        <v>4000</v>
      </c>
      <c r="AQ27" s="65" t="n">
        <f aca="false">AP27+AQ14</f>
        <v>4000</v>
      </c>
      <c r="AR27" s="65" t="n">
        <f aca="false">AQ27+AR14</f>
        <v>4000</v>
      </c>
      <c r="AS27" s="65" t="n">
        <f aca="false">AR27+AS14</f>
        <v>4000</v>
      </c>
      <c r="AT27" s="65" t="n">
        <f aca="false">AS27+AT14</f>
        <v>4000</v>
      </c>
      <c r="AU27" s="65" t="n">
        <f aca="false">AT27+AU14</f>
        <v>4000</v>
      </c>
      <c r="AV27" s="65" t="n">
        <f aca="false">AU27+AV14</f>
        <v>4000</v>
      </c>
      <c r="AW27" s="65" t="n">
        <f aca="false">AV27+AW14</f>
        <v>4000</v>
      </c>
      <c r="AX27" s="65" t="n">
        <f aca="false">AW27+AX14</f>
        <v>4000</v>
      </c>
      <c r="AY27" s="65" t="n">
        <f aca="false">AX27+AY14</f>
        <v>4000</v>
      </c>
      <c r="AZ27" s="65" t="n">
        <f aca="false">AY27+AZ14</f>
        <v>4000</v>
      </c>
      <c r="BA27" s="65" t="n">
        <f aca="false">AZ27+BA14</f>
        <v>4000</v>
      </c>
      <c r="BB27" s="64" t="n">
        <f aca="false">BN27</f>
        <v>4000</v>
      </c>
      <c r="BC27" s="65" t="n">
        <f aca="false">BA27+BC14</f>
        <v>4000</v>
      </c>
      <c r="BD27" s="65" t="n">
        <f aca="false">BC27+BD14</f>
        <v>4000</v>
      </c>
      <c r="BE27" s="65" t="n">
        <f aca="false">BD27+BE14</f>
        <v>4000</v>
      </c>
      <c r="BF27" s="65" t="n">
        <f aca="false">BE27+BF14</f>
        <v>4000</v>
      </c>
      <c r="BG27" s="65" t="n">
        <f aca="false">BF27+BG14</f>
        <v>4000</v>
      </c>
      <c r="BH27" s="65" t="n">
        <f aca="false">BG27+BH14</f>
        <v>4000</v>
      </c>
      <c r="BI27" s="65" t="n">
        <f aca="false">BH27+BI14</f>
        <v>4000</v>
      </c>
      <c r="BJ27" s="65" t="n">
        <f aca="false">BI27+BJ14</f>
        <v>4000</v>
      </c>
      <c r="BK27" s="65" t="n">
        <f aca="false">BJ27+BK14</f>
        <v>4000</v>
      </c>
      <c r="BL27" s="65" t="n">
        <f aca="false">BK27+BL14</f>
        <v>4000</v>
      </c>
      <c r="BM27" s="65" t="n">
        <f aca="false">BL27+BM14</f>
        <v>4000</v>
      </c>
      <c r="BN27" s="65" t="n">
        <f aca="false">BM27+BN14</f>
        <v>4000</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6000</v>
      </c>
      <c r="AC28" s="65" t="n">
        <f aca="false">AA28+AC15</f>
        <v>6000</v>
      </c>
      <c r="AD28" s="65" t="n">
        <f aca="false">AC28+AD15</f>
        <v>6000</v>
      </c>
      <c r="AE28" s="65" t="n">
        <f aca="false">AD28+AE15</f>
        <v>6000</v>
      </c>
      <c r="AF28" s="65" t="n">
        <f aca="false">AE28+AF15</f>
        <v>6000</v>
      </c>
      <c r="AG28" s="65" t="n">
        <f aca="false">AF28+AG15</f>
        <v>6000</v>
      </c>
      <c r="AH28" s="65" t="n">
        <f aca="false">AG28+AH15</f>
        <v>6000</v>
      </c>
      <c r="AI28" s="65" t="n">
        <f aca="false">AH28+AI15</f>
        <v>6000</v>
      </c>
      <c r="AJ28" s="65" t="n">
        <f aca="false">AI28+AJ15</f>
        <v>6000</v>
      </c>
      <c r="AK28" s="65" t="n">
        <f aca="false">AJ28+AK15</f>
        <v>6000</v>
      </c>
      <c r="AL28" s="65" t="n">
        <f aca="false">AK28+AL15</f>
        <v>6000</v>
      </c>
      <c r="AM28" s="65" t="n">
        <f aca="false">AL28+AM15</f>
        <v>6000</v>
      </c>
      <c r="AN28" s="65" t="n">
        <f aca="false">AM28+AN15</f>
        <v>6000</v>
      </c>
      <c r="AO28" s="64" t="n">
        <f aca="false">BA28</f>
        <v>6000</v>
      </c>
      <c r="AP28" s="65" t="n">
        <f aca="false">AN28+AP15</f>
        <v>6000</v>
      </c>
      <c r="AQ28" s="65" t="n">
        <f aca="false">AP28+AQ15</f>
        <v>6000</v>
      </c>
      <c r="AR28" s="65" t="n">
        <f aca="false">AQ28+AR15</f>
        <v>6000</v>
      </c>
      <c r="AS28" s="65" t="n">
        <f aca="false">AR28+AS15</f>
        <v>6000</v>
      </c>
      <c r="AT28" s="65" t="n">
        <f aca="false">AS28+AT15</f>
        <v>6000</v>
      </c>
      <c r="AU28" s="65" t="n">
        <f aca="false">AT28+AU15</f>
        <v>6000</v>
      </c>
      <c r="AV28" s="65" t="n">
        <f aca="false">AU28+AV15</f>
        <v>6000</v>
      </c>
      <c r="AW28" s="65" t="n">
        <f aca="false">AV28+AW15</f>
        <v>6000</v>
      </c>
      <c r="AX28" s="65" t="n">
        <f aca="false">AW28+AX15</f>
        <v>6000</v>
      </c>
      <c r="AY28" s="65" t="n">
        <f aca="false">AX28+AY15</f>
        <v>6000</v>
      </c>
      <c r="AZ28" s="65" t="n">
        <f aca="false">AY28+AZ15</f>
        <v>6000</v>
      </c>
      <c r="BA28" s="65" t="n">
        <f aca="false">AZ28+BA15</f>
        <v>6000</v>
      </c>
      <c r="BB28" s="64" t="n">
        <f aca="false">BN28</f>
        <v>6000</v>
      </c>
      <c r="BC28" s="65" t="n">
        <f aca="false">BA28+BC15</f>
        <v>6000</v>
      </c>
      <c r="BD28" s="65" t="n">
        <f aca="false">BC28+BD15</f>
        <v>6000</v>
      </c>
      <c r="BE28" s="65" t="n">
        <f aca="false">BD28+BE15</f>
        <v>6000</v>
      </c>
      <c r="BF28" s="65" t="n">
        <f aca="false">BE28+BF15</f>
        <v>6000</v>
      </c>
      <c r="BG28" s="65" t="n">
        <f aca="false">BF28+BG15</f>
        <v>6000</v>
      </c>
      <c r="BH28" s="65" t="n">
        <f aca="false">BG28+BH15</f>
        <v>6000</v>
      </c>
      <c r="BI28" s="65" t="n">
        <f aca="false">BH28+BI15</f>
        <v>6000</v>
      </c>
      <c r="BJ28" s="65" t="n">
        <f aca="false">BI28+BJ15</f>
        <v>6000</v>
      </c>
      <c r="BK28" s="65" t="n">
        <f aca="false">BJ28+BK15</f>
        <v>6000</v>
      </c>
      <c r="BL28" s="65" t="n">
        <f aca="false">BK28+BL15</f>
        <v>6000</v>
      </c>
      <c r="BM28" s="65" t="n">
        <f aca="false">BL28+BM15</f>
        <v>6000</v>
      </c>
      <c r="BN28" s="65" t="n">
        <f aca="false">BM28+BN15</f>
        <v>6000</v>
      </c>
    </row>
    <row r="29" customFormat="false" ht="15" hidden="false" customHeight="false" outlineLevel="0" collapsed="false">
      <c r="A29" s="69" t="s">
        <v>544</v>
      </c>
      <c r="B29" s="64" t="n">
        <f aca="false">N29</f>
        <v>12280</v>
      </c>
      <c r="C29" s="70" t="n">
        <f aca="false">SUM(C20:C28)</f>
        <v>10080</v>
      </c>
      <c r="D29" s="70" t="n">
        <f aca="false">SUM(D20:D28)</f>
        <v>12280</v>
      </c>
      <c r="E29" s="70" t="n">
        <f aca="false">SUM(E20:E28)</f>
        <v>12280</v>
      </c>
      <c r="F29" s="70" t="n">
        <f aca="false">SUM(F20:F28)</f>
        <v>12280</v>
      </c>
      <c r="G29" s="70" t="n">
        <f aca="false">SUM(G20:G28)</f>
        <v>12280</v>
      </c>
      <c r="H29" s="70" t="n">
        <f aca="false">SUM(H20:H28)</f>
        <v>12280</v>
      </c>
      <c r="I29" s="70" t="n">
        <f aca="false">SUM(I20:I28)</f>
        <v>12280</v>
      </c>
      <c r="J29" s="70" t="n">
        <f aca="false">SUM(J20:J28)</f>
        <v>12280</v>
      </c>
      <c r="K29" s="70" t="n">
        <f aca="false">SUM(K20:K28)</f>
        <v>12280</v>
      </c>
      <c r="L29" s="70" t="n">
        <f aca="false">SUM(L20:L28)</f>
        <v>12280</v>
      </c>
      <c r="M29" s="70" t="n">
        <f aca="false">SUM(M20:M28)</f>
        <v>12280</v>
      </c>
      <c r="N29" s="70" t="n">
        <f aca="false">SUM(N20:N28)</f>
        <v>12280</v>
      </c>
      <c r="O29" s="64" t="n">
        <f aca="false">AA29</f>
        <v>15520</v>
      </c>
      <c r="P29" s="70" t="n">
        <f aca="false">SUM(P20:P28)</f>
        <v>15520</v>
      </c>
      <c r="Q29" s="70" t="n">
        <f aca="false">SUM(Q20:Q28)</f>
        <v>15520</v>
      </c>
      <c r="R29" s="70" t="n">
        <f aca="false">SUM(R20:R28)</f>
        <v>15520</v>
      </c>
      <c r="S29" s="70" t="n">
        <f aca="false">SUM(S20:S28)</f>
        <v>15520</v>
      </c>
      <c r="T29" s="70" t="n">
        <f aca="false">SUM(T20:T28)</f>
        <v>15520</v>
      </c>
      <c r="U29" s="70" t="n">
        <f aca="false">SUM(U20:U28)</f>
        <v>15520</v>
      </c>
      <c r="V29" s="70" t="n">
        <f aca="false">SUM(V20:V28)</f>
        <v>15520</v>
      </c>
      <c r="W29" s="70" t="n">
        <f aca="false">SUM(W20:W28)</f>
        <v>15520</v>
      </c>
      <c r="X29" s="70" t="n">
        <f aca="false">SUM(X20:X28)</f>
        <v>15520</v>
      </c>
      <c r="Y29" s="70" t="n">
        <f aca="false">SUM(Y20:Y28)</f>
        <v>15520</v>
      </c>
      <c r="Z29" s="70" t="n">
        <f aca="false">SUM(Z20:Z28)</f>
        <v>15520</v>
      </c>
      <c r="AA29" s="70" t="n">
        <f aca="false">SUM(AA20:AA28)</f>
        <v>15520</v>
      </c>
      <c r="AB29" s="64" t="n">
        <f aca="false">AN29</f>
        <v>28760</v>
      </c>
      <c r="AC29" s="70" t="n">
        <f aca="false">SUM(AC20:AC28)</f>
        <v>28760</v>
      </c>
      <c r="AD29" s="70" t="n">
        <f aca="false">SUM(AD20:AD28)</f>
        <v>28760</v>
      </c>
      <c r="AE29" s="70" t="n">
        <f aca="false">SUM(AE20:AE28)</f>
        <v>28760</v>
      </c>
      <c r="AF29" s="70" t="n">
        <f aca="false">SUM(AF20:AF28)</f>
        <v>28760</v>
      </c>
      <c r="AG29" s="70" t="n">
        <f aca="false">SUM(AG20:AG28)</f>
        <v>28760</v>
      </c>
      <c r="AH29" s="70" t="n">
        <f aca="false">SUM(AH20:AH28)</f>
        <v>28760</v>
      </c>
      <c r="AI29" s="70" t="n">
        <f aca="false">SUM(AI20:AI28)</f>
        <v>28760</v>
      </c>
      <c r="AJ29" s="70" t="n">
        <f aca="false">SUM(AJ20:AJ28)</f>
        <v>28760</v>
      </c>
      <c r="AK29" s="70" t="n">
        <f aca="false">SUM(AK20:AK28)</f>
        <v>28760</v>
      </c>
      <c r="AL29" s="70" t="n">
        <f aca="false">SUM(AL20:AL28)</f>
        <v>28760</v>
      </c>
      <c r="AM29" s="70" t="n">
        <f aca="false">SUM(AM20:AM28)</f>
        <v>28760</v>
      </c>
      <c r="AN29" s="70" t="n">
        <f aca="false">SUM(AN20:AN28)</f>
        <v>28760</v>
      </c>
      <c r="AO29" s="64" t="n">
        <f aca="false">BA29</f>
        <v>33080</v>
      </c>
      <c r="AP29" s="70" t="n">
        <f aca="false">SUM(AP20:AP28)</f>
        <v>33080</v>
      </c>
      <c r="AQ29" s="70" t="n">
        <f aca="false">SUM(AQ20:AQ28)</f>
        <v>33080</v>
      </c>
      <c r="AR29" s="70" t="n">
        <f aca="false">SUM(AR20:AR28)</f>
        <v>33080</v>
      </c>
      <c r="AS29" s="70" t="n">
        <f aca="false">SUM(AS20:AS28)</f>
        <v>33080</v>
      </c>
      <c r="AT29" s="70" t="n">
        <f aca="false">SUM(AT20:AT28)</f>
        <v>33080</v>
      </c>
      <c r="AU29" s="70" t="n">
        <f aca="false">SUM(AU20:AU28)</f>
        <v>33080</v>
      </c>
      <c r="AV29" s="70" t="n">
        <f aca="false">SUM(AV20:AV28)</f>
        <v>33080</v>
      </c>
      <c r="AW29" s="70" t="n">
        <f aca="false">SUM(AW20:AW28)</f>
        <v>33080</v>
      </c>
      <c r="AX29" s="70" t="n">
        <f aca="false">SUM(AX20:AX28)</f>
        <v>33080</v>
      </c>
      <c r="AY29" s="70" t="n">
        <f aca="false">SUM(AY20:AY28)</f>
        <v>33080</v>
      </c>
      <c r="AZ29" s="70" t="n">
        <f aca="false">SUM(AZ20:AZ28)</f>
        <v>33080</v>
      </c>
      <c r="BA29" s="70" t="n">
        <f aca="false">SUM(BA20:BA28)</f>
        <v>33080</v>
      </c>
      <c r="BB29" s="64" t="n">
        <f aca="false">BN29</f>
        <v>37400</v>
      </c>
      <c r="BC29" s="70" t="n">
        <f aca="false">SUM(BC20:BC28)</f>
        <v>37400</v>
      </c>
      <c r="BD29" s="70" t="n">
        <f aca="false">SUM(BD20:BD28)</f>
        <v>37400</v>
      </c>
      <c r="BE29" s="70" t="n">
        <f aca="false">SUM(BE20:BE28)</f>
        <v>37400</v>
      </c>
      <c r="BF29" s="70" t="n">
        <f aca="false">SUM(BF20:BF28)</f>
        <v>37400</v>
      </c>
      <c r="BG29" s="70" t="n">
        <f aca="false">SUM(BG20:BG28)</f>
        <v>37400</v>
      </c>
      <c r="BH29" s="70" t="n">
        <f aca="false">SUM(BH20:BH28)</f>
        <v>37400</v>
      </c>
      <c r="BI29" s="70" t="n">
        <f aca="false">SUM(BI20:BI28)</f>
        <v>37400</v>
      </c>
      <c r="BJ29" s="70" t="n">
        <f aca="false">SUM(BJ20:BJ28)</f>
        <v>37400</v>
      </c>
      <c r="BK29" s="70" t="n">
        <f aca="false">SUM(BK20:BK28)</f>
        <v>37400</v>
      </c>
      <c r="BL29" s="70" t="n">
        <f aca="false">SUM(BL20:BL28)</f>
        <v>37400</v>
      </c>
      <c r="BM29" s="70" t="n">
        <f aca="false">SUM(BM20:BM28)</f>
        <v>37400</v>
      </c>
      <c r="BN29" s="70" t="n">
        <f aca="false">SUM(BN20:BN28)</f>
        <v>37400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195</v>
      </c>
    </row>
    <row r="2" customFormat="false" ht="13.5" hidden="false" customHeight="true" outlineLevel="0" collapsed="false">
      <c r="A2" s="6" t="s">
        <v>545</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546</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547</v>
      </c>
      <c r="B6" s="22" t="s">
        <v>116</v>
      </c>
      <c r="C6" s="20" t="n">
        <f aca="false">'Assumption Setting'!$C$18</f>
        <v>50000</v>
      </c>
    </row>
    <row r="7" customFormat="false" ht="15" hidden="false" customHeight="false" outlineLevel="0" collapsed="false">
      <c r="A7" s="12" t="s">
        <v>548</v>
      </c>
      <c r="B7" s="22" t="s">
        <v>549</v>
      </c>
      <c r="C7" s="44" t="n">
        <v>0</v>
      </c>
    </row>
    <row r="8" customFormat="false" ht="15" hidden="false" customHeight="false" outlineLevel="0" collapsed="false">
      <c r="A8" s="12" t="s">
        <v>550</v>
      </c>
      <c r="B8" s="22" t="s">
        <v>551</v>
      </c>
      <c r="C8" s="44" t="n">
        <v>0</v>
      </c>
    </row>
    <row r="9" customFormat="false" ht="15" hidden="false" customHeight="false" outlineLevel="0" collapsed="false">
      <c r="A9" s="12" t="s">
        <v>552</v>
      </c>
      <c r="B9" s="22" t="s">
        <v>553</v>
      </c>
      <c r="C9" s="44" t="n">
        <v>0</v>
      </c>
    </row>
    <row r="10" customFormat="false" ht="15" hidden="false" customHeight="false" outlineLevel="0" collapsed="false">
      <c r="A10" s="18" t="s">
        <v>554</v>
      </c>
      <c r="C10" s="19" t="n">
        <f aca="false">SUM(C6:C9)</f>
        <v>50000</v>
      </c>
    </row>
    <row r="12" customFormat="false" ht="15" hidden="false" customHeight="false" outlineLevel="0" collapsed="false">
      <c r="A12" s="12" t="s">
        <v>555</v>
      </c>
      <c r="B12" s="22" t="s">
        <v>556</v>
      </c>
      <c r="C12" s="44" t="n">
        <v>0</v>
      </c>
    </row>
    <row r="13" customFormat="false" ht="15" hidden="false" customHeight="false" outlineLevel="0" collapsed="false">
      <c r="A13" s="12" t="s">
        <v>557</v>
      </c>
      <c r="B13" s="22" t="s">
        <v>558</v>
      </c>
      <c r="C13" s="44" t="n">
        <v>0</v>
      </c>
    </row>
    <row r="14" customFormat="false" ht="15" hidden="false" customHeight="false" outlineLevel="0" collapsed="false">
      <c r="A14" s="12" t="s">
        <v>559</v>
      </c>
      <c r="B14" s="22" t="s">
        <v>560</v>
      </c>
      <c r="C14" s="44" t="n">
        <v>0</v>
      </c>
    </row>
    <row r="15" customFormat="false" ht="15" hidden="false" customHeight="false" outlineLevel="0" collapsed="false">
      <c r="A15" s="12" t="s">
        <v>561</v>
      </c>
      <c r="B15" s="22" t="s">
        <v>562</v>
      </c>
      <c r="C15" s="44" t="n">
        <v>0</v>
      </c>
    </row>
    <row r="16" customFormat="false" ht="15" hidden="false" customHeight="false" outlineLevel="0" collapsed="false">
      <c r="A16" s="12" t="s">
        <v>563</v>
      </c>
      <c r="B16" s="22" t="s">
        <v>564</v>
      </c>
      <c r="C16" s="20" t="n">
        <f aca="false">'Assumption Setting'!$C$18</f>
        <v>50000</v>
      </c>
    </row>
    <row r="17" customFormat="false" ht="15" hidden="false" customHeight="false" outlineLevel="0" collapsed="false">
      <c r="A17" s="12" t="s">
        <v>565</v>
      </c>
      <c r="B17" s="22" t="s">
        <v>566</v>
      </c>
      <c r="C17" s="44" t="n">
        <v>0</v>
      </c>
    </row>
    <row r="18" customFormat="false" ht="15" hidden="false" customHeight="false" outlineLevel="0" collapsed="false">
      <c r="A18" s="18" t="s">
        <v>567</v>
      </c>
      <c r="C18" s="19" t="n">
        <f aca="false">SUM(C12:C17)</f>
        <v>50000</v>
      </c>
    </row>
    <row r="19" customFormat="false" ht="15" hidden="false" customHeight="false" outlineLevel="0" collapsed="false">
      <c r="A19" s="18" t="s">
        <v>568</v>
      </c>
      <c r="C19" s="23" t="n">
        <f aca="false">C10-C18</f>
        <v>0</v>
      </c>
    </row>
    <row r="21" customFormat="false" ht="16.5" hidden="false" customHeight="true" outlineLevel="0" collapsed="false">
      <c r="A21" s="15" t="s">
        <v>569</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false" outlineLevel="0" collapsed="false">
      <c r="A22" s="12" t="s">
        <v>103</v>
      </c>
      <c r="B22" s="22" t="s">
        <v>104</v>
      </c>
      <c r="C22" s="24" t="n">
        <f aca="false">'Assumption Setting'!$C$12</f>
        <v>300</v>
      </c>
    </row>
    <row r="23" customFormat="false" ht="15" hidden="false" customHeight="false" outlineLevel="0" collapsed="false">
      <c r="A23" s="12" t="s">
        <v>105</v>
      </c>
      <c r="B23" s="22" t="s">
        <v>106</v>
      </c>
      <c r="C23" s="24" t="n">
        <f aca="false">'Assumption Setting'!$C$13</f>
        <v>2</v>
      </c>
    </row>
    <row r="24" customFormat="false" ht="15" hidden="false" customHeight="false" outlineLevel="0" collapsed="false">
      <c r="A24" s="12" t="s">
        <v>107</v>
      </c>
      <c r="B24" s="22" t="s">
        <v>108</v>
      </c>
      <c r="C24" s="24" t="n">
        <f aca="false">'Assumption Setting'!$C$14</f>
        <v>100</v>
      </c>
    </row>
    <row r="25" customFormat="false" ht="15" hidden="false" customHeight="false" outlineLevel="0" collapsed="false">
      <c r="A25" s="12" t="s">
        <v>109</v>
      </c>
      <c r="B25" s="22" t="s">
        <v>110</v>
      </c>
      <c r="C25" s="25" t="n">
        <f aca="false">'Assumption Setting'!$C$15</f>
        <v>100000</v>
      </c>
    </row>
    <row r="26" customFormat="false" ht="15" hidden="false" customHeight="false" outlineLevel="0" collapsed="false">
      <c r="A26" s="12" t="s">
        <v>111</v>
      </c>
      <c r="B26" s="22" t="s">
        <v>112</v>
      </c>
      <c r="C26" s="24" t="n">
        <f aca="false">'Assumption Setting'!$C$16</f>
        <v>5</v>
      </c>
    </row>
    <row r="27" customFormat="false" ht="15" hidden="false" customHeight="false" outlineLevel="0" collapsed="false">
      <c r="A27" s="12" t="s">
        <v>113</v>
      </c>
      <c r="B27" s="22" t="s">
        <v>114</v>
      </c>
      <c r="C27" s="24" t="n">
        <f aca="false">'Assumption Setting'!$C$17</f>
        <v>1</v>
      </c>
    </row>
    <row r="28" customFormat="false" ht="15" hidden="false" customHeight="false" outlineLevel="0" collapsed="false">
      <c r="A28" s="12" t="s">
        <v>115</v>
      </c>
      <c r="B28" s="22" t="s">
        <v>116</v>
      </c>
      <c r="C28" s="25" t="n">
        <f aca="false">'Assumption Setting'!$C$18</f>
        <v>50000</v>
      </c>
    </row>
    <row r="30" customFormat="false" ht="16.5" hidden="false" customHeight="true" outlineLevel="0" collapsed="false">
      <c r="A30" s="15" t="s">
        <v>570</v>
      </c>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row>
    <row r="31" customFormat="false" ht="15" hidden="false" customHeight="false" outlineLevel="0" collapsed="false">
      <c r="A31" s="71" t="s">
        <v>571</v>
      </c>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572</v>
      </c>
      <c r="B33" s="72" t="n">
        <f aca="false">SUM(C33:N33)</f>
        <v>0</v>
      </c>
      <c r="C33" s="73"/>
      <c r="D33" s="73"/>
      <c r="E33" s="73"/>
      <c r="F33" s="73"/>
      <c r="G33" s="73"/>
      <c r="H33" s="73"/>
      <c r="I33" s="73"/>
      <c r="J33" s="73"/>
      <c r="K33" s="73"/>
      <c r="L33" s="73"/>
      <c r="M33" s="73"/>
      <c r="N33" s="73"/>
      <c r="O33" s="72" t="n">
        <f aca="false">SUM(P33:AA33)</f>
        <v>0</v>
      </c>
      <c r="P33" s="73"/>
      <c r="Q33" s="73"/>
      <c r="R33" s="73"/>
      <c r="S33" s="73"/>
      <c r="T33" s="73"/>
      <c r="U33" s="73"/>
      <c r="V33" s="73"/>
      <c r="W33" s="73"/>
      <c r="X33" s="73"/>
      <c r="Y33" s="73"/>
      <c r="Z33" s="73"/>
      <c r="AA33" s="73"/>
      <c r="AB33" s="72" t="n">
        <f aca="false">SUM(AC33:AN33)</f>
        <v>0</v>
      </c>
      <c r="AC33" s="73"/>
      <c r="AD33" s="73"/>
      <c r="AE33" s="73"/>
      <c r="AF33" s="73"/>
      <c r="AG33" s="73"/>
      <c r="AH33" s="73"/>
      <c r="AI33" s="73"/>
      <c r="AJ33" s="73"/>
      <c r="AK33" s="73"/>
      <c r="AL33" s="73"/>
      <c r="AM33" s="73"/>
      <c r="AN33" s="73"/>
      <c r="AO33" s="72" t="n">
        <f aca="false">SUM(AP33:BA33)</f>
        <v>0</v>
      </c>
      <c r="AP33" s="73"/>
      <c r="AQ33" s="73"/>
      <c r="AR33" s="73"/>
      <c r="AS33" s="73"/>
      <c r="AT33" s="73"/>
      <c r="AU33" s="73"/>
      <c r="AV33" s="73"/>
      <c r="AW33" s="73"/>
      <c r="AX33" s="73"/>
      <c r="AY33" s="73"/>
      <c r="AZ33" s="73"/>
      <c r="BA33" s="73"/>
      <c r="BB33" s="72" t="n">
        <f aca="false">SUM(BC33:BN33)</f>
        <v>0</v>
      </c>
      <c r="BC33" s="73"/>
      <c r="BD33" s="73"/>
      <c r="BE33" s="73"/>
      <c r="BF33" s="73"/>
      <c r="BG33" s="73"/>
      <c r="BH33" s="73"/>
      <c r="BI33" s="73"/>
      <c r="BJ33" s="73"/>
      <c r="BK33" s="73"/>
      <c r="BL33" s="73"/>
      <c r="BM33" s="73"/>
      <c r="BN33" s="73"/>
    </row>
    <row r="34" customFormat="false" ht="15" hidden="false" customHeight="false" outlineLevel="0" collapsed="false">
      <c r="A34" s="12" t="s">
        <v>573</v>
      </c>
      <c r="B34" s="72" t="n">
        <f aca="false">SUM(C34:N34)</f>
        <v>0</v>
      </c>
      <c r="C34" s="73"/>
      <c r="D34" s="73"/>
      <c r="E34" s="73"/>
      <c r="F34" s="73"/>
      <c r="G34" s="73"/>
      <c r="H34" s="73"/>
      <c r="I34" s="73"/>
      <c r="J34" s="73"/>
      <c r="K34" s="73"/>
      <c r="L34" s="73"/>
      <c r="M34" s="73"/>
      <c r="N34" s="73"/>
      <c r="O34" s="72" t="n">
        <f aca="false">SUM(P34:AA34)</f>
        <v>0</v>
      </c>
      <c r="P34" s="73"/>
      <c r="Q34" s="73"/>
      <c r="R34" s="73"/>
      <c r="S34" s="73"/>
      <c r="T34" s="73"/>
      <c r="U34" s="73"/>
      <c r="V34" s="73"/>
      <c r="W34" s="73"/>
      <c r="X34" s="73"/>
      <c r="Y34" s="73"/>
      <c r="Z34" s="73"/>
      <c r="AA34" s="73"/>
      <c r="AB34" s="72" t="n">
        <f aca="false">SUM(AC34:AN34)</f>
        <v>0</v>
      </c>
      <c r="AC34" s="73"/>
      <c r="AD34" s="73"/>
      <c r="AE34" s="73"/>
      <c r="AF34" s="73"/>
      <c r="AG34" s="73"/>
      <c r="AH34" s="73"/>
      <c r="AI34" s="73"/>
      <c r="AJ34" s="73"/>
      <c r="AK34" s="73"/>
      <c r="AL34" s="73"/>
      <c r="AM34" s="73"/>
      <c r="AN34" s="73"/>
      <c r="AO34" s="72" t="n">
        <f aca="false">SUM(AP34:BA34)</f>
        <v>0</v>
      </c>
      <c r="AP34" s="73"/>
      <c r="AQ34" s="73"/>
      <c r="AR34" s="73"/>
      <c r="AS34" s="73"/>
      <c r="AT34" s="73"/>
      <c r="AU34" s="73"/>
      <c r="AV34" s="73"/>
      <c r="AW34" s="73"/>
      <c r="AX34" s="73"/>
      <c r="AY34" s="73"/>
      <c r="AZ34" s="73"/>
      <c r="BA34" s="73"/>
      <c r="BB34" s="72" t="n">
        <f aca="false">SUM(BC34:BN34)</f>
        <v>0</v>
      </c>
      <c r="BC34" s="73"/>
      <c r="BD34" s="73"/>
      <c r="BE34" s="73"/>
      <c r="BF34" s="73"/>
      <c r="BG34" s="73"/>
      <c r="BH34" s="73"/>
      <c r="BI34" s="73"/>
      <c r="BJ34" s="73"/>
      <c r="BK34" s="73"/>
      <c r="BL34" s="73"/>
      <c r="BM34" s="73"/>
      <c r="BN34" s="73"/>
    </row>
    <row r="35" customFormat="false" ht="15" hidden="false" customHeight="false" outlineLevel="0" collapsed="false">
      <c r="A35" s="12" t="s">
        <v>574</v>
      </c>
      <c r="B35" s="72" t="n">
        <f aca="false">SUM(C35:N35)</f>
        <v>0</v>
      </c>
      <c r="C35" s="73"/>
      <c r="D35" s="73"/>
      <c r="E35" s="73"/>
      <c r="F35" s="73"/>
      <c r="G35" s="73"/>
      <c r="H35" s="73"/>
      <c r="I35" s="73"/>
      <c r="J35" s="73"/>
      <c r="K35" s="73"/>
      <c r="L35" s="73"/>
      <c r="M35" s="73"/>
      <c r="N35" s="73"/>
      <c r="O35" s="72" t="n">
        <f aca="false">SUM(P35:AA35)</f>
        <v>0</v>
      </c>
      <c r="P35" s="73"/>
      <c r="Q35" s="73"/>
      <c r="R35" s="73"/>
      <c r="S35" s="73"/>
      <c r="T35" s="73"/>
      <c r="U35" s="73"/>
      <c r="V35" s="73"/>
      <c r="W35" s="73"/>
      <c r="X35" s="73"/>
      <c r="Y35" s="73"/>
      <c r="Z35" s="73"/>
      <c r="AA35" s="73"/>
      <c r="AB35" s="72" t="n">
        <f aca="false">SUM(AC35:AN35)</f>
        <v>0</v>
      </c>
      <c r="AC35" s="73"/>
      <c r="AD35" s="73"/>
      <c r="AE35" s="73"/>
      <c r="AF35" s="73"/>
      <c r="AG35" s="73"/>
      <c r="AH35" s="73"/>
      <c r="AI35" s="73"/>
      <c r="AJ35" s="73"/>
      <c r="AK35" s="73"/>
      <c r="AL35" s="73"/>
      <c r="AM35" s="73"/>
      <c r="AN35" s="73"/>
      <c r="AO35" s="72" t="n">
        <f aca="false">SUM(AP35:BA35)</f>
        <v>0</v>
      </c>
      <c r="AP35" s="73"/>
      <c r="AQ35" s="73"/>
      <c r="AR35" s="73"/>
      <c r="AS35" s="73"/>
      <c r="AT35" s="73"/>
      <c r="AU35" s="73"/>
      <c r="AV35" s="73"/>
      <c r="AW35" s="73"/>
      <c r="AX35" s="73"/>
      <c r="AY35" s="73"/>
      <c r="AZ35" s="73"/>
      <c r="BA35" s="73"/>
      <c r="BB35" s="72" t="n">
        <f aca="false">SUM(BC35:BN35)</f>
        <v>0</v>
      </c>
      <c r="BC35" s="73"/>
      <c r="BD35" s="73"/>
      <c r="BE35" s="73"/>
      <c r="BF35" s="73"/>
      <c r="BG35" s="73"/>
      <c r="BH35" s="73"/>
      <c r="BI35" s="73"/>
      <c r="BJ35" s="73"/>
      <c r="BK35" s="73"/>
      <c r="BL35" s="73"/>
      <c r="BM35" s="73"/>
      <c r="BN35" s="73"/>
    </row>
    <row r="36" customFormat="false" ht="15" hidden="false" customHeight="false" outlineLevel="0" collapsed="false">
      <c r="A36" s="12" t="s">
        <v>575</v>
      </c>
      <c r="B36" s="72" t="n">
        <f aca="false">SUM(C36:N36)</f>
        <v>0</v>
      </c>
      <c r="C36" s="73"/>
      <c r="D36" s="73"/>
      <c r="E36" s="73"/>
      <c r="F36" s="73"/>
      <c r="G36" s="73"/>
      <c r="H36" s="73"/>
      <c r="I36" s="73"/>
      <c r="J36" s="73"/>
      <c r="K36" s="73"/>
      <c r="L36" s="73"/>
      <c r="M36" s="73"/>
      <c r="N36" s="73"/>
      <c r="O36" s="72" t="n">
        <f aca="false">SUM(P36:AA36)</f>
        <v>0</v>
      </c>
      <c r="P36" s="73"/>
      <c r="Q36" s="73"/>
      <c r="R36" s="73"/>
      <c r="S36" s="73"/>
      <c r="T36" s="73"/>
      <c r="U36" s="73"/>
      <c r="V36" s="73"/>
      <c r="W36" s="73"/>
      <c r="X36" s="73"/>
      <c r="Y36" s="73"/>
      <c r="Z36" s="73"/>
      <c r="AA36" s="73"/>
      <c r="AB36" s="72" t="n">
        <f aca="false">SUM(AC36:AN36)</f>
        <v>0</v>
      </c>
      <c r="AC36" s="73"/>
      <c r="AD36" s="73"/>
      <c r="AE36" s="73"/>
      <c r="AF36" s="73"/>
      <c r="AG36" s="73"/>
      <c r="AH36" s="73"/>
      <c r="AI36" s="73"/>
      <c r="AJ36" s="73"/>
      <c r="AK36" s="73"/>
      <c r="AL36" s="73"/>
      <c r="AM36" s="73"/>
      <c r="AN36" s="73"/>
      <c r="AO36" s="72" t="n">
        <f aca="false">SUM(AP36:BA36)</f>
        <v>0</v>
      </c>
      <c r="AP36" s="73"/>
      <c r="AQ36" s="73"/>
      <c r="AR36" s="73"/>
      <c r="AS36" s="73"/>
      <c r="AT36" s="73"/>
      <c r="AU36" s="73"/>
      <c r="AV36" s="73"/>
      <c r="AW36" s="73"/>
      <c r="AX36" s="73"/>
      <c r="AY36" s="73"/>
      <c r="AZ36" s="73"/>
      <c r="BA36" s="73"/>
      <c r="BB36" s="72" t="n">
        <f aca="false">SUM(BC36:BN36)</f>
        <v>0</v>
      </c>
      <c r="BC36" s="73"/>
      <c r="BD36" s="73"/>
      <c r="BE36" s="73"/>
      <c r="BF36" s="73"/>
      <c r="BG36" s="73"/>
      <c r="BH36" s="73"/>
      <c r="BI36" s="73"/>
      <c r="BJ36" s="73"/>
      <c r="BK36" s="73"/>
      <c r="BL36" s="73"/>
      <c r="BM36" s="73"/>
      <c r="BN36" s="73"/>
    </row>
    <row r="37" customFormat="false" ht="15" hidden="false" customHeight="false" outlineLevel="0" collapsed="false">
      <c r="A37" s="12" t="s">
        <v>576</v>
      </c>
      <c r="B37" s="74" t="n">
        <f aca="false">N37</f>
        <v>0</v>
      </c>
      <c r="C37" s="75"/>
      <c r="D37" s="75"/>
      <c r="E37" s="75"/>
      <c r="F37" s="75"/>
      <c r="G37" s="75"/>
      <c r="H37" s="75"/>
      <c r="I37" s="75"/>
      <c r="J37" s="75"/>
      <c r="K37" s="75"/>
      <c r="L37" s="75"/>
      <c r="M37" s="75"/>
      <c r="N37" s="75"/>
      <c r="O37" s="74" t="n">
        <f aca="false">AA37</f>
        <v>0</v>
      </c>
      <c r="P37" s="75"/>
      <c r="Q37" s="75"/>
      <c r="R37" s="75"/>
      <c r="S37" s="75"/>
      <c r="T37" s="75"/>
      <c r="U37" s="75"/>
      <c r="V37" s="75"/>
      <c r="W37" s="75"/>
      <c r="X37" s="75"/>
      <c r="Y37" s="75"/>
      <c r="Z37" s="75"/>
      <c r="AA37" s="75"/>
      <c r="AB37" s="74" t="n">
        <f aca="false">AN37</f>
        <v>0</v>
      </c>
      <c r="AC37" s="75"/>
      <c r="AD37" s="75"/>
      <c r="AE37" s="75"/>
      <c r="AF37" s="75"/>
      <c r="AG37" s="75"/>
      <c r="AH37" s="75"/>
      <c r="AI37" s="75"/>
      <c r="AJ37" s="75"/>
      <c r="AK37" s="75"/>
      <c r="AL37" s="75"/>
      <c r="AM37" s="75"/>
      <c r="AN37" s="75"/>
      <c r="AO37" s="74" t="n">
        <f aca="false">BA37</f>
        <v>0</v>
      </c>
      <c r="AP37" s="75"/>
      <c r="AQ37" s="75"/>
      <c r="AR37" s="75"/>
      <c r="AS37" s="75"/>
      <c r="AT37" s="75"/>
      <c r="AU37" s="75"/>
      <c r="AV37" s="75"/>
      <c r="AW37" s="75"/>
      <c r="AX37" s="75"/>
      <c r="AY37" s="75"/>
      <c r="AZ37" s="75"/>
      <c r="BA37" s="75"/>
      <c r="BB37" s="74" t="n">
        <f aca="false">BN37</f>
        <v>0</v>
      </c>
      <c r="BC37" s="75"/>
      <c r="BD37" s="75"/>
      <c r="BE37" s="75"/>
      <c r="BF37" s="75"/>
      <c r="BG37" s="75"/>
      <c r="BH37" s="75"/>
      <c r="BI37" s="75"/>
      <c r="BJ37" s="75"/>
      <c r="BK37" s="75"/>
      <c r="BL37" s="75"/>
      <c r="BM37" s="75"/>
      <c r="BN37" s="75"/>
    </row>
    <row r="38" customFormat="false" ht="15" hidden="false" customHeight="false" outlineLevel="0" collapsed="false">
      <c r="A38" s="12" t="s">
        <v>577</v>
      </c>
      <c r="B38" s="74" t="n">
        <f aca="false">N38</f>
        <v>0</v>
      </c>
      <c r="C38" s="75"/>
      <c r="D38" s="75"/>
      <c r="E38" s="75"/>
      <c r="F38" s="75"/>
      <c r="G38" s="75"/>
      <c r="H38" s="75"/>
      <c r="I38" s="75"/>
      <c r="J38" s="75"/>
      <c r="K38" s="75"/>
      <c r="L38" s="75"/>
      <c r="M38" s="75"/>
      <c r="N38" s="75"/>
      <c r="O38" s="74" t="n">
        <f aca="false">AA38</f>
        <v>0</v>
      </c>
      <c r="P38" s="75"/>
      <c r="Q38" s="75"/>
      <c r="R38" s="75"/>
      <c r="S38" s="75"/>
      <c r="T38" s="75"/>
      <c r="U38" s="75"/>
      <c r="V38" s="75"/>
      <c r="W38" s="75"/>
      <c r="X38" s="75"/>
      <c r="Y38" s="75"/>
      <c r="Z38" s="75"/>
      <c r="AA38" s="75"/>
      <c r="AB38" s="74" t="n">
        <f aca="false">AN38</f>
        <v>0</v>
      </c>
      <c r="AC38" s="75"/>
      <c r="AD38" s="75"/>
      <c r="AE38" s="75"/>
      <c r="AF38" s="75"/>
      <c r="AG38" s="75"/>
      <c r="AH38" s="75"/>
      <c r="AI38" s="75"/>
      <c r="AJ38" s="75"/>
      <c r="AK38" s="75"/>
      <c r="AL38" s="75"/>
      <c r="AM38" s="75"/>
      <c r="AN38" s="75"/>
      <c r="AO38" s="74" t="n">
        <f aca="false">BA38</f>
        <v>0</v>
      </c>
      <c r="AP38" s="75"/>
      <c r="AQ38" s="75"/>
      <c r="AR38" s="75"/>
      <c r="AS38" s="75"/>
      <c r="AT38" s="75"/>
      <c r="AU38" s="75"/>
      <c r="AV38" s="75"/>
      <c r="AW38" s="75"/>
      <c r="AX38" s="75"/>
      <c r="AY38" s="75"/>
      <c r="AZ38" s="75"/>
      <c r="BA38" s="75"/>
      <c r="BB38" s="74" t="n">
        <f aca="false">BN38</f>
        <v>0</v>
      </c>
      <c r="BC38" s="75"/>
      <c r="BD38" s="75"/>
      <c r="BE38" s="75"/>
      <c r="BF38" s="75"/>
      <c r="BG38" s="75"/>
      <c r="BH38" s="75"/>
      <c r="BI38" s="75"/>
      <c r="BJ38" s="75"/>
      <c r="BK38" s="75"/>
      <c r="BL38" s="75"/>
      <c r="BM38" s="75"/>
      <c r="BN38" s="75"/>
    </row>
    <row r="40" customFormat="false" ht="16.5" hidden="false" customHeight="true" outlineLevel="0" collapsed="false">
      <c r="A40" s="15" t="s">
        <v>578</v>
      </c>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row>
    <row r="41" customFormat="false" ht="15" hidden="false" customHeight="true" outlineLevel="0" collapsed="false">
      <c r="A41" s="26" t="s">
        <v>481</v>
      </c>
      <c r="B41" s="61" t="s">
        <v>81</v>
      </c>
      <c r="C41" s="62" t="s">
        <v>482</v>
      </c>
      <c r="D41" s="62" t="s">
        <v>483</v>
      </c>
      <c r="E41" s="62" t="s">
        <v>484</v>
      </c>
      <c r="F41" s="62" t="s">
        <v>485</v>
      </c>
      <c r="G41" s="62" t="s">
        <v>486</v>
      </c>
      <c r="H41" s="62" t="s">
        <v>487</v>
      </c>
      <c r="I41" s="62" t="s">
        <v>488</v>
      </c>
      <c r="J41" s="62" t="s">
        <v>489</v>
      </c>
      <c r="K41" s="62" t="s">
        <v>490</v>
      </c>
      <c r="L41" s="62" t="s">
        <v>491</v>
      </c>
      <c r="M41" s="62" t="s">
        <v>492</v>
      </c>
      <c r="N41" s="62" t="s">
        <v>493</v>
      </c>
      <c r="O41" s="61" t="s">
        <v>82</v>
      </c>
      <c r="P41" s="63" t="s">
        <v>494</v>
      </c>
      <c r="Q41" s="63" t="s">
        <v>495</v>
      </c>
      <c r="R41" s="63" t="s">
        <v>496</v>
      </c>
      <c r="S41" s="63" t="s">
        <v>497</v>
      </c>
      <c r="T41" s="63" t="s">
        <v>498</v>
      </c>
      <c r="U41" s="63" t="s">
        <v>499</v>
      </c>
      <c r="V41" s="63" t="s">
        <v>500</v>
      </c>
      <c r="W41" s="63" t="s">
        <v>501</v>
      </c>
      <c r="X41" s="63" t="s">
        <v>502</v>
      </c>
      <c r="Y41" s="63" t="s">
        <v>503</v>
      </c>
      <c r="Z41" s="63" t="s">
        <v>504</v>
      </c>
      <c r="AA41" s="63" t="s">
        <v>505</v>
      </c>
      <c r="AB41" s="61" t="s">
        <v>83</v>
      </c>
      <c r="AC41" s="62" t="s">
        <v>506</v>
      </c>
      <c r="AD41" s="62" t="s">
        <v>507</v>
      </c>
      <c r="AE41" s="62" t="s">
        <v>508</v>
      </c>
      <c r="AF41" s="62" t="s">
        <v>509</v>
      </c>
      <c r="AG41" s="62" t="s">
        <v>510</v>
      </c>
      <c r="AH41" s="62" t="s">
        <v>511</v>
      </c>
      <c r="AI41" s="62" t="s">
        <v>512</v>
      </c>
      <c r="AJ41" s="62" t="s">
        <v>513</v>
      </c>
      <c r="AK41" s="62" t="s">
        <v>514</v>
      </c>
      <c r="AL41" s="62" t="s">
        <v>515</v>
      </c>
      <c r="AM41" s="62" t="s">
        <v>516</v>
      </c>
      <c r="AN41" s="62" t="s">
        <v>517</v>
      </c>
      <c r="AO41" s="61" t="s">
        <v>84</v>
      </c>
      <c r="AP41" s="63" t="s">
        <v>518</v>
      </c>
      <c r="AQ41" s="63" t="s">
        <v>519</v>
      </c>
      <c r="AR41" s="63" t="s">
        <v>520</v>
      </c>
      <c r="AS41" s="63" t="s">
        <v>521</v>
      </c>
      <c r="AT41" s="63" t="s">
        <v>522</v>
      </c>
      <c r="AU41" s="63" t="s">
        <v>523</v>
      </c>
      <c r="AV41" s="63" t="s">
        <v>524</v>
      </c>
      <c r="AW41" s="63" t="s">
        <v>525</v>
      </c>
      <c r="AX41" s="63" t="s">
        <v>526</v>
      </c>
      <c r="AY41" s="63" t="s">
        <v>527</v>
      </c>
      <c r="AZ41" s="63" t="s">
        <v>528</v>
      </c>
      <c r="BA41" s="63" t="s">
        <v>529</v>
      </c>
      <c r="BB41" s="61" t="s">
        <v>85</v>
      </c>
      <c r="BC41" s="62" t="s">
        <v>530</v>
      </c>
      <c r="BD41" s="62" t="s">
        <v>531</v>
      </c>
      <c r="BE41" s="62" t="s">
        <v>532</v>
      </c>
      <c r="BF41" s="62" t="s">
        <v>533</v>
      </c>
      <c r="BG41" s="62" t="s">
        <v>534</v>
      </c>
      <c r="BH41" s="62" t="s">
        <v>535</v>
      </c>
      <c r="BI41" s="62" t="s">
        <v>536</v>
      </c>
      <c r="BJ41" s="62" t="s">
        <v>537</v>
      </c>
      <c r="BK41" s="62" t="s">
        <v>538</v>
      </c>
      <c r="BL41" s="62" t="s">
        <v>539</v>
      </c>
      <c r="BM41" s="62" t="s">
        <v>540</v>
      </c>
      <c r="BN41" s="62" t="s">
        <v>541</v>
      </c>
    </row>
    <row r="42" customFormat="false" ht="15" hidden="false" customHeight="false" outlineLevel="0" collapsed="false">
      <c r="A42" s="12" t="s">
        <v>579</v>
      </c>
      <c r="B42" s="64" t="n">
        <f aca="false">SUM(C42:N42)</f>
        <v>103587.386308824</v>
      </c>
      <c r="C42" s="76" t="n">
        <f aca="false">'Total Revenue'!C$25</f>
        <v>2497.00588621092</v>
      </c>
      <c r="D42" s="76" t="n">
        <f aca="false">'Total Revenue'!D$25</f>
        <v>3984.69273075518</v>
      </c>
      <c r="E42" s="76" t="n">
        <f aca="false">'Total Revenue'!E$25</f>
        <v>5217.39253865067</v>
      </c>
      <c r="F42" s="76" t="n">
        <f aca="false">'Total Revenue'!F$25</f>
        <v>6013.12070619234</v>
      </c>
      <c r="G42" s="76" t="n">
        <f aca="false">'Total Revenue'!G$25</f>
        <v>7057.20542965697</v>
      </c>
      <c r="H42" s="76" t="n">
        <f aca="false">'Total Revenue'!H$25</f>
        <v>8103.47061446385</v>
      </c>
      <c r="I42" s="76" t="n">
        <f aca="false">'Total Revenue'!I$25</f>
        <v>9151.91626061299</v>
      </c>
      <c r="J42" s="76" t="n">
        <f aca="false">'Total Revenue'!J$25</f>
        <v>10202.5423681044</v>
      </c>
      <c r="K42" s="76" t="n">
        <f aca="false">'Total Revenue'!K$25</f>
        <v>11255.348936938</v>
      </c>
      <c r="L42" s="76" t="n">
        <f aca="false">'Total Revenue'!L$25</f>
        <v>12310.3359671139</v>
      </c>
      <c r="M42" s="76" t="n">
        <f aca="false">'Total Revenue'!M$25</f>
        <v>13367.503458632</v>
      </c>
      <c r="N42" s="76" t="n">
        <f aca="false">'Total Revenue'!N$25</f>
        <v>14426.8514114924</v>
      </c>
      <c r="O42" s="64" t="n">
        <f aca="false">SUM(P42:AA42)</f>
        <v>598105.707372232</v>
      </c>
      <c r="P42" s="76" t="n">
        <f aca="false">'Total Revenue'!P$25</f>
        <v>40775.0576625783</v>
      </c>
      <c r="Q42" s="76" t="n">
        <f aca="false">'Total Revenue'!Q$25</f>
        <v>40042.4855703926</v>
      </c>
      <c r="R42" s="76" t="n">
        <f aca="false">'Total Revenue'!R$25</f>
        <v>40593.5600989099</v>
      </c>
      <c r="S42" s="76" t="n">
        <f aca="false">'Total Revenue'!S$25</f>
        <v>43392.7593278563</v>
      </c>
      <c r="T42" s="76" t="n">
        <f aca="false">'Total Revenue'!T$25</f>
        <v>45801.0905542701</v>
      </c>
      <c r="U42" s="76" t="n">
        <f aca="false">'Total Revenue'!U$25</f>
        <v>48211.7633788388</v>
      </c>
      <c r="V42" s="76" t="n">
        <f aca="false">'Total Revenue'!V$25</f>
        <v>50624.7778015626</v>
      </c>
      <c r="W42" s="76" t="n">
        <f aca="false">'Total Revenue'!W$25</f>
        <v>52995.6357444177</v>
      </c>
      <c r="X42" s="76" t="n">
        <f aca="false">'Total Revenue'!X$25</f>
        <v>55361.8975718362</v>
      </c>
      <c r="Y42" s="76" t="n">
        <f aca="false">'Total Revenue'!Y$25</f>
        <v>57730.5009974096</v>
      </c>
      <c r="Z42" s="76" t="n">
        <f aca="false">'Total Revenue'!Z$25</f>
        <v>60101.446021138</v>
      </c>
      <c r="AA42" s="76" t="n">
        <f aca="false">'Total Revenue'!AA$25</f>
        <v>62474.7326430215</v>
      </c>
      <c r="AB42" s="64" t="n">
        <f aca="false">SUM(AC42:AN42)</f>
        <v>1085654.37612042</v>
      </c>
      <c r="AC42" s="76" t="n">
        <f aca="false">'Total Revenue'!AC$25</f>
        <v>70866.5873240472</v>
      </c>
      <c r="AD42" s="76" t="n">
        <f aca="false">'Total Revenue'!AD$25</f>
        <v>73521.8234686828</v>
      </c>
      <c r="AE42" s="76" t="n">
        <f aca="false">'Total Revenue'!AE$25</f>
        <v>76561.3051316873</v>
      </c>
      <c r="AF42" s="76" t="n">
        <f aca="false">'Total Revenue'!AF$25</f>
        <v>80273.3479355842</v>
      </c>
      <c r="AG42" s="76" t="n">
        <f aca="false">'Total Revenue'!AG$25</f>
        <v>84282.5128848039</v>
      </c>
      <c r="AH42" s="76" t="n">
        <f aca="false">'Total Revenue'!AH$25</f>
        <v>88210.384046536</v>
      </c>
      <c r="AI42" s="76" t="n">
        <f aca="false">'Total Revenue'!AI$25</f>
        <v>92141.6626485089</v>
      </c>
      <c r="AJ42" s="76" t="n">
        <f aca="false">'Total Revenue'!AJ$25</f>
        <v>96076.3486907228</v>
      </c>
      <c r="AK42" s="76" t="n">
        <f aca="false">'Total Revenue'!AK$25</f>
        <v>100014.442173178</v>
      </c>
      <c r="AL42" s="76" t="n">
        <f aca="false">'Total Revenue'!AL$25</f>
        <v>103955.943095873</v>
      </c>
      <c r="AM42" s="76" t="n">
        <f aca="false">'Total Revenue'!AM$25</f>
        <v>107900.85145881</v>
      </c>
      <c r="AN42" s="76" t="n">
        <f aca="false">'Total Revenue'!AN$25</f>
        <v>111849.167261987</v>
      </c>
      <c r="AO42" s="64" t="n">
        <f aca="false">SUM(AP42:BA42)</f>
        <v>1759671.91303074</v>
      </c>
      <c r="AP42" s="76" t="n">
        <f aca="false">'Total Revenue'!AP$25</f>
        <v>124831.599532122</v>
      </c>
      <c r="AQ42" s="76" t="n">
        <f aca="false">'Total Revenue'!AQ$25</f>
        <v>129056.921065818</v>
      </c>
      <c r="AR42" s="76" t="n">
        <f aca="false">'Total Revenue'!AR$25</f>
        <v>133150.551296306</v>
      </c>
      <c r="AS42" s="76" t="n">
        <f aca="false">'Total Revenue'!AS$25</f>
        <v>137074.078758765</v>
      </c>
      <c r="AT42" s="76" t="n">
        <f aca="false">'Total Revenue'!AT$25</f>
        <v>140934.196511102</v>
      </c>
      <c r="AU42" s="76" t="n">
        <f aca="false">'Total Revenue'!AU$25</f>
        <v>144794.336801814</v>
      </c>
      <c r="AV42" s="76" t="n">
        <f aca="false">'Total Revenue'!AV$25</f>
        <v>148654.499630901</v>
      </c>
      <c r="AW42" s="76" t="n">
        <f aca="false">'Total Revenue'!AW$25</f>
        <v>152514.684998362</v>
      </c>
      <c r="AX42" s="76" t="n">
        <f aca="false">'Total Revenue'!AX$25</f>
        <v>156374.892904197</v>
      </c>
      <c r="AY42" s="76" t="n">
        <f aca="false">'Total Revenue'!AY$25</f>
        <v>160235.123348408</v>
      </c>
      <c r="AZ42" s="76" t="n">
        <f aca="false">'Total Revenue'!AZ$25</f>
        <v>164095.376330992</v>
      </c>
      <c r="BA42" s="76" t="n">
        <f aca="false">'Total Revenue'!BA$25</f>
        <v>167955.651851951</v>
      </c>
      <c r="BB42" s="64" t="n">
        <f aca="false">SUM(BC42:BN42)</f>
        <v>2483099.09071608</v>
      </c>
      <c r="BC42" s="76" t="n">
        <f aca="false">'Total Revenue'!BC$25</f>
        <v>183132.371567129</v>
      </c>
      <c r="BD42" s="76" t="n">
        <f aca="false">'Total Revenue'!BD$25</f>
        <v>187278.822474672</v>
      </c>
      <c r="BE42" s="76" t="n">
        <f aca="false">'Total Revenue'!BE$25</f>
        <v>191530.787030595</v>
      </c>
      <c r="BF42" s="76" t="n">
        <f aca="false">'Total Revenue'!BF$25</f>
        <v>195887.968364799</v>
      </c>
      <c r="BG42" s="76" t="n">
        <f aca="false">'Total Revenue'!BG$25</f>
        <v>200278.191582481</v>
      </c>
      <c r="BH42" s="76" t="n">
        <f aca="false">'Total Revenue'!BH$25</f>
        <v>204669.811925448</v>
      </c>
      <c r="BI42" s="76" t="n">
        <f aca="false">'Total Revenue'!BI$25</f>
        <v>209062.8293937</v>
      </c>
      <c r="BJ42" s="76" t="n">
        <f aca="false">'Total Revenue'!BJ$25</f>
        <v>213457.243987237</v>
      </c>
      <c r="BK42" s="76" t="n">
        <f aca="false">'Total Revenue'!BK$25</f>
        <v>217853.055706059</v>
      </c>
      <c r="BL42" s="76" t="n">
        <f aca="false">'Total Revenue'!BL$25</f>
        <v>222250.264550166</v>
      </c>
      <c r="BM42" s="76" t="n">
        <f aca="false">'Total Revenue'!BM$25</f>
        <v>226648.870519559</v>
      </c>
      <c r="BN42" s="76" t="n">
        <f aca="false">'Total Revenue'!BN$25</f>
        <v>231048.873614236</v>
      </c>
    </row>
    <row r="43" customFormat="false" ht="15" hidden="false" customHeight="false" outlineLevel="0" collapsed="false">
      <c r="A43" s="18" t="s">
        <v>580</v>
      </c>
      <c r="B43" s="64" t="n">
        <f aca="false">SUM(C43:N43)</f>
        <v>0</v>
      </c>
      <c r="C43" s="77" t="n">
        <f aca="false">IF(C33=0,0,C33-C42)</f>
        <v>0</v>
      </c>
      <c r="D43" s="77" t="n">
        <f aca="false">IF(D33=0,0,D33-D42)</f>
        <v>0</v>
      </c>
      <c r="E43" s="77" t="n">
        <f aca="false">IF(E33=0,0,E33-E42)</f>
        <v>0</v>
      </c>
      <c r="F43" s="77" t="n">
        <f aca="false">IF(F33=0,0,F33-F42)</f>
        <v>0</v>
      </c>
      <c r="G43" s="77" t="n">
        <f aca="false">IF(G33=0,0,G33-G42)</f>
        <v>0</v>
      </c>
      <c r="H43" s="77" t="n">
        <f aca="false">IF(H33=0,0,H33-H42)</f>
        <v>0</v>
      </c>
      <c r="I43" s="77" t="n">
        <f aca="false">IF(I33=0,0,I33-I42)</f>
        <v>0</v>
      </c>
      <c r="J43" s="77" t="n">
        <f aca="false">IF(J33=0,0,J33-J42)</f>
        <v>0</v>
      </c>
      <c r="K43" s="77" t="n">
        <f aca="false">IF(K33=0,0,K33-K42)</f>
        <v>0</v>
      </c>
      <c r="L43" s="77" t="n">
        <f aca="false">IF(L33=0,0,L33-L42)</f>
        <v>0</v>
      </c>
      <c r="M43" s="77" t="n">
        <f aca="false">IF(M33=0,0,M33-M42)</f>
        <v>0</v>
      </c>
      <c r="N43" s="77" t="n">
        <f aca="false">IF(N33=0,0,N33-N42)</f>
        <v>0</v>
      </c>
      <c r="O43" s="64" t="n">
        <f aca="false">SUM(P43:AA43)</f>
        <v>0</v>
      </c>
      <c r="P43" s="77" t="n">
        <f aca="false">IF(P33=0,0,P33-P42)</f>
        <v>0</v>
      </c>
      <c r="Q43" s="77" t="n">
        <f aca="false">IF(Q33=0,0,Q33-Q42)</f>
        <v>0</v>
      </c>
      <c r="R43" s="77" t="n">
        <f aca="false">IF(R33=0,0,R33-R42)</f>
        <v>0</v>
      </c>
      <c r="S43" s="77" t="n">
        <f aca="false">IF(S33=0,0,S33-S42)</f>
        <v>0</v>
      </c>
      <c r="T43" s="77" t="n">
        <f aca="false">IF(T33=0,0,T33-T42)</f>
        <v>0</v>
      </c>
      <c r="U43" s="77" t="n">
        <f aca="false">IF(U33=0,0,U33-U42)</f>
        <v>0</v>
      </c>
      <c r="V43" s="77" t="n">
        <f aca="false">IF(V33=0,0,V33-V42)</f>
        <v>0</v>
      </c>
      <c r="W43" s="77" t="n">
        <f aca="false">IF(W33=0,0,W33-W42)</f>
        <v>0</v>
      </c>
      <c r="X43" s="77" t="n">
        <f aca="false">IF(X33=0,0,X33-X42)</f>
        <v>0</v>
      </c>
      <c r="Y43" s="77" t="n">
        <f aca="false">IF(Y33=0,0,Y33-Y42)</f>
        <v>0</v>
      </c>
      <c r="Z43" s="77" t="n">
        <f aca="false">IF(Z33=0,0,Z33-Z42)</f>
        <v>0</v>
      </c>
      <c r="AA43" s="77" t="n">
        <f aca="false">IF(AA33=0,0,AA33-AA42)</f>
        <v>0</v>
      </c>
      <c r="AB43" s="64" t="n">
        <f aca="false">SUM(AC43:AN43)</f>
        <v>0</v>
      </c>
      <c r="AC43" s="77" t="n">
        <f aca="false">IF(AC33=0,0,AC33-AC42)</f>
        <v>0</v>
      </c>
      <c r="AD43" s="77" t="n">
        <f aca="false">IF(AD33=0,0,AD33-AD42)</f>
        <v>0</v>
      </c>
      <c r="AE43" s="77" t="n">
        <f aca="false">IF(AE33=0,0,AE33-AE42)</f>
        <v>0</v>
      </c>
      <c r="AF43" s="77" t="n">
        <f aca="false">IF(AF33=0,0,AF33-AF42)</f>
        <v>0</v>
      </c>
      <c r="AG43" s="77" t="n">
        <f aca="false">IF(AG33=0,0,AG33-AG42)</f>
        <v>0</v>
      </c>
      <c r="AH43" s="77" t="n">
        <f aca="false">IF(AH33=0,0,AH33-AH42)</f>
        <v>0</v>
      </c>
      <c r="AI43" s="77" t="n">
        <f aca="false">IF(AI33=0,0,AI33-AI42)</f>
        <v>0</v>
      </c>
      <c r="AJ43" s="77" t="n">
        <f aca="false">IF(AJ33=0,0,AJ33-AJ42)</f>
        <v>0</v>
      </c>
      <c r="AK43" s="77" t="n">
        <f aca="false">IF(AK33=0,0,AK33-AK42)</f>
        <v>0</v>
      </c>
      <c r="AL43" s="77" t="n">
        <f aca="false">IF(AL33=0,0,AL33-AL42)</f>
        <v>0</v>
      </c>
      <c r="AM43" s="77" t="n">
        <f aca="false">IF(AM33=0,0,AM33-AM42)</f>
        <v>0</v>
      </c>
      <c r="AN43" s="77" t="n">
        <f aca="false">IF(AN33=0,0,AN33-AN42)</f>
        <v>0</v>
      </c>
      <c r="AO43" s="64" t="n">
        <f aca="false">SUM(AP43:BA43)</f>
        <v>0</v>
      </c>
      <c r="AP43" s="77" t="n">
        <f aca="false">IF(AP33=0,0,AP33-AP42)</f>
        <v>0</v>
      </c>
      <c r="AQ43" s="77" t="n">
        <f aca="false">IF(AQ33=0,0,AQ33-AQ42)</f>
        <v>0</v>
      </c>
      <c r="AR43" s="77" t="n">
        <f aca="false">IF(AR33=0,0,AR33-AR42)</f>
        <v>0</v>
      </c>
      <c r="AS43" s="77" t="n">
        <f aca="false">IF(AS33=0,0,AS33-AS42)</f>
        <v>0</v>
      </c>
      <c r="AT43" s="77" t="n">
        <f aca="false">IF(AT33=0,0,AT33-AT42)</f>
        <v>0</v>
      </c>
      <c r="AU43" s="77" t="n">
        <f aca="false">IF(AU33=0,0,AU33-AU42)</f>
        <v>0</v>
      </c>
      <c r="AV43" s="77" t="n">
        <f aca="false">IF(AV33=0,0,AV33-AV42)</f>
        <v>0</v>
      </c>
      <c r="AW43" s="77" t="n">
        <f aca="false">IF(AW33=0,0,AW33-AW42)</f>
        <v>0</v>
      </c>
      <c r="AX43" s="77" t="n">
        <f aca="false">IF(AX33=0,0,AX33-AX42)</f>
        <v>0</v>
      </c>
      <c r="AY43" s="77" t="n">
        <f aca="false">IF(AY33=0,0,AY33-AY42)</f>
        <v>0</v>
      </c>
      <c r="AZ43" s="77" t="n">
        <f aca="false">IF(AZ33=0,0,AZ33-AZ42)</f>
        <v>0</v>
      </c>
      <c r="BA43" s="77" t="n">
        <f aca="false">IF(BA33=0,0,BA33-BA42)</f>
        <v>0</v>
      </c>
      <c r="BB43" s="64" t="n">
        <f aca="false">SUM(BC43:BN43)</f>
        <v>0</v>
      </c>
      <c r="BC43" s="77" t="n">
        <f aca="false">IF(BC33=0,0,BC33-BC42)</f>
        <v>0</v>
      </c>
      <c r="BD43" s="77" t="n">
        <f aca="false">IF(BD33=0,0,BD33-BD42)</f>
        <v>0</v>
      </c>
      <c r="BE43" s="77" t="n">
        <f aca="false">IF(BE33=0,0,BE33-BE42)</f>
        <v>0</v>
      </c>
      <c r="BF43" s="77" t="n">
        <f aca="false">IF(BF33=0,0,BF33-BF42)</f>
        <v>0</v>
      </c>
      <c r="BG43" s="77" t="n">
        <f aca="false">IF(BG33=0,0,BG33-BG42)</f>
        <v>0</v>
      </c>
      <c r="BH43" s="77" t="n">
        <f aca="false">IF(BH33=0,0,BH33-BH42)</f>
        <v>0</v>
      </c>
      <c r="BI43" s="77" t="n">
        <f aca="false">IF(BI33=0,0,BI33-BI42)</f>
        <v>0</v>
      </c>
      <c r="BJ43" s="77" t="n">
        <f aca="false">IF(BJ33=0,0,BJ33-BJ42)</f>
        <v>0</v>
      </c>
      <c r="BK43" s="77" t="n">
        <f aca="false">IF(BK33=0,0,BK33-BK42)</f>
        <v>0</v>
      </c>
      <c r="BL43" s="77" t="n">
        <f aca="false">IF(BL33=0,0,BL33-BL42)</f>
        <v>0</v>
      </c>
      <c r="BM43" s="77" t="n">
        <f aca="false">IF(BM33=0,0,BM33-BM42)</f>
        <v>0</v>
      </c>
      <c r="BN43" s="77" t="n">
        <f aca="false">IF(BN33=0,0,BN33-BN42)</f>
        <v>0</v>
      </c>
    </row>
    <row r="44" customFormat="false" ht="15" hidden="false" customHeight="false" outlineLevel="0" collapsed="false">
      <c r="A44" s="12" t="s">
        <v>581</v>
      </c>
      <c r="B44" s="64" t="n">
        <f aca="false">SUM(C44:N44)</f>
        <v>43744.3169697668</v>
      </c>
      <c r="C44" s="76" t="n">
        <f aca="false">Expenses!C$24</f>
        <v>4231.71460552316</v>
      </c>
      <c r="D44" s="76" t="n">
        <f aca="false">Expenses!D$24</f>
        <v>1861.31546421967</v>
      </c>
      <c r="E44" s="76" t="n">
        <f aca="false">Expenses!E$24</f>
        <v>2168.196652357</v>
      </c>
      <c r="F44" s="76" t="n">
        <f aca="false">Expenses!F$24</f>
        <v>2327.59304359759</v>
      </c>
      <c r="G44" s="76" t="n">
        <f aca="false">Expenses!G$24</f>
        <v>2837.35425476708</v>
      </c>
      <c r="H44" s="76" t="n">
        <f aca="false">Expenses!H$24</f>
        <v>3107.41212023115</v>
      </c>
      <c r="I44" s="76" t="n">
        <f aca="false">Expenses!I$24</f>
        <v>3617.75341970096</v>
      </c>
      <c r="J44" s="76" t="n">
        <f aca="false">Expenses!J$24</f>
        <v>3888.36572610497</v>
      </c>
      <c r="K44" s="76" t="n">
        <f aca="false">Expenses!K$24</f>
        <v>4399.23735799595</v>
      </c>
      <c r="L44" s="76" t="n">
        <f aca="false">Expenses!L$24</f>
        <v>4670.35733481351</v>
      </c>
      <c r="M44" s="76" t="n">
        <f aca="false">Expenses!M$24</f>
        <v>5181.71533483086</v>
      </c>
      <c r="N44" s="76" t="n">
        <f aca="false">Expenses!N$24</f>
        <v>5453.30165562485</v>
      </c>
      <c r="O44" s="64" t="n">
        <f aca="false">SUM(P44:AA44)</f>
        <v>213855.341657376</v>
      </c>
      <c r="P44" s="76" t="n">
        <f aca="false">Expenses!P$24</f>
        <v>16206.0311014513</v>
      </c>
      <c r="Q44" s="76" t="n">
        <f aca="false">Expenses!Q$24</f>
        <v>14410.3335310797</v>
      </c>
      <c r="R44" s="76" t="n">
        <f aca="false">Expenses!R$24</f>
        <v>14460.6210885778</v>
      </c>
      <c r="S44" s="76" t="n">
        <f aca="false">Expenses!S$24</f>
        <v>15514.6048914969</v>
      </c>
      <c r="T44" s="76" t="n">
        <f aca="false">Expenses!T$24</f>
        <v>16323.9498473327</v>
      </c>
      <c r="U44" s="76" t="n">
        <f aca="false">Expenses!U$24</f>
        <v>17133.4237075417</v>
      </c>
      <c r="V44" s="76" t="n">
        <f aca="false">Expenses!V$24</f>
        <v>17943.0236552174</v>
      </c>
      <c r="W44" s="76" t="n">
        <f aca="false">Expenses!W$24</f>
        <v>18752.747042468</v>
      </c>
      <c r="X44" s="76" t="n">
        <f aca="false">Expenses!X$24</f>
        <v>19562.5913802751</v>
      </c>
      <c r="Y44" s="76" t="n">
        <f aca="false">Expenses!Y$24</f>
        <v>20372.5543289616</v>
      </c>
      <c r="Z44" s="76" t="n">
        <f aca="false">Expenses!Z$24</f>
        <v>21182.6336892307</v>
      </c>
      <c r="AA44" s="76" t="n">
        <f aca="false">Expenses!AA$24</f>
        <v>21992.8273937436</v>
      </c>
      <c r="AB44" s="64" t="n">
        <f aca="false">SUM(AC44:AN44)</f>
        <v>408902.238256568</v>
      </c>
      <c r="AC44" s="76" t="n">
        <f aca="false">Expenses!AC$24</f>
        <v>26862.933183634</v>
      </c>
      <c r="AD44" s="76" t="n">
        <f aca="false">Expenses!AD$24</f>
        <v>27815.9287210318</v>
      </c>
      <c r="AE44" s="76" t="n">
        <f aca="false">Expenses!AE$24</f>
        <v>28896.317563031</v>
      </c>
      <c r="AF44" s="76" t="n">
        <f aca="false">Expenses!AF$24</f>
        <v>30371.8287337183</v>
      </c>
      <c r="AG44" s="76" t="n">
        <f aca="false">Expenses!AG$24</f>
        <v>31708.2666004845</v>
      </c>
      <c r="AH44" s="76" t="n">
        <f aca="false">Expenses!AH$24</f>
        <v>33285.068526142</v>
      </c>
      <c r="AI44" s="76" t="n">
        <f aca="false">Expenses!AI$24</f>
        <v>34622.219822782</v>
      </c>
      <c r="AJ44" s="76" t="n">
        <f aca="false">Expenses!AJ$24</f>
        <v>36199.7066837699</v>
      </c>
      <c r="AK44" s="76" t="n">
        <f aca="false">Expenses!AK$24</f>
        <v>37537.5161308694</v>
      </c>
      <c r="AL44" s="76" t="n">
        <f aca="false">Expenses!AL$24</f>
        <v>39115.6359645383</v>
      </c>
      <c r="AM44" s="76" t="n">
        <f aca="false">Expenses!AM$24</f>
        <v>40454.0547172069</v>
      </c>
      <c r="AN44" s="76" t="n">
        <f aca="false">Expenses!AN$24</f>
        <v>42032.7616093599</v>
      </c>
      <c r="AO44" s="64" t="n">
        <f aca="false">SUM(AP44:BA44)</f>
        <v>678861.970044288</v>
      </c>
      <c r="AP44" s="76" t="n">
        <f aca="false">Expenses!AP$24</f>
        <v>48234.8155030841</v>
      </c>
      <c r="AQ44" s="76" t="n">
        <f aca="false">Expenses!AQ$24</f>
        <v>49967.9134361104</v>
      </c>
      <c r="AR44" s="76" t="n">
        <f aca="false">Expenses!AR$24</f>
        <v>51407.2629415368</v>
      </c>
      <c r="AS44" s="76" t="n">
        <f aca="false">Expenses!AS$24</f>
        <v>52894.9256973057</v>
      </c>
      <c r="AT44" s="76" t="n">
        <f aca="false">Expenses!AT$24</f>
        <v>54482.8386410895</v>
      </c>
      <c r="AU44" s="76" t="n">
        <f aca="false">Expenses!AU$24</f>
        <v>55830.6576060486</v>
      </c>
      <c r="AV44" s="76" t="n">
        <f aca="false">Expenses!AV$24</f>
        <v>57298.3882782431</v>
      </c>
      <c r="AW44" s="76" t="n">
        <f aca="false">Expenses!AW$24</f>
        <v>58886.0360025694</v>
      </c>
      <c r="AX44" s="76" t="n">
        <f aca="false">Expenses!AX$24</f>
        <v>60233.6058032302</v>
      </c>
      <c r="AY44" s="76" t="n">
        <f aca="false">Expenses!AY$24</f>
        <v>61701.102402976</v>
      </c>
      <c r="AZ44" s="76" t="n">
        <f aca="false">Expenses!AZ$24</f>
        <v>63288.5302411923</v>
      </c>
      <c r="BA44" s="76" t="n">
        <f aca="false">Expenses!BA$24</f>
        <v>64635.8934909014</v>
      </c>
      <c r="BB44" s="64" t="n">
        <f aca="false">SUM(BC44:BN44)</f>
        <v>982479.789924572</v>
      </c>
      <c r="BC44" s="76" t="n">
        <f aca="false">Expenses!BC$24</f>
        <v>72614.8283450267</v>
      </c>
      <c r="BD44" s="76" t="n">
        <f aca="false">Expenses!BD$24</f>
        <v>74118.8051939628</v>
      </c>
      <c r="BE44" s="76" t="n">
        <f aca="false">Expenses!BE$24</f>
        <v>75787.7434437791</v>
      </c>
      <c r="BF44" s="76" t="n">
        <f aca="false">Expenses!BF$24</f>
        <v>77620.061449555</v>
      </c>
      <c r="BG44" s="76" t="n">
        <f aca="false">Expenses!BG$24</f>
        <v>79221.9313173436</v>
      </c>
      <c r="BH44" s="76" t="n">
        <f aca="false">Expenses!BH$24</f>
        <v>81063.6736587431</v>
      </c>
      <c r="BI44" s="76" t="n">
        <f aca="false">Expenses!BI$24</f>
        <v>82665.2990592999</v>
      </c>
      <c r="BJ44" s="76" t="n">
        <f aca="false">Expenses!BJ$24</f>
        <v>84506.8174694277</v>
      </c>
      <c r="BK44" s="76" t="n">
        <f aca="false">Expenses!BK$24</f>
        <v>86108.2382425154</v>
      </c>
      <c r="BL44" s="76" t="n">
        <f aca="false">Expenses!BL$24</f>
        <v>87829.5701707485</v>
      </c>
      <c r="BM44" s="76" t="n">
        <f aca="false">Expenses!BM$24</f>
        <v>89670.8215187812</v>
      </c>
      <c r="BN44" s="76" t="n">
        <f aca="false">Expenses!BN$24</f>
        <v>91272.0000553888</v>
      </c>
    </row>
    <row r="45" customFormat="false" ht="15" hidden="false" customHeight="false" outlineLevel="0" collapsed="false">
      <c r="A45" s="18" t="s">
        <v>582</v>
      </c>
      <c r="B45" s="64" t="n">
        <f aca="false">SUM(C45:N45)</f>
        <v>0</v>
      </c>
      <c r="C45" s="77" t="n">
        <f aca="false">IF(C34=0,0,C34-C44)</f>
        <v>0</v>
      </c>
      <c r="D45" s="77" t="n">
        <f aca="false">IF(D34=0,0,D34-D44)</f>
        <v>0</v>
      </c>
      <c r="E45" s="77" t="n">
        <f aca="false">IF(E34=0,0,E34-E44)</f>
        <v>0</v>
      </c>
      <c r="F45" s="77" t="n">
        <f aca="false">IF(F34=0,0,F34-F44)</f>
        <v>0</v>
      </c>
      <c r="G45" s="77" t="n">
        <f aca="false">IF(G34=0,0,G34-G44)</f>
        <v>0</v>
      </c>
      <c r="H45" s="77" t="n">
        <f aca="false">IF(H34=0,0,H34-H44)</f>
        <v>0</v>
      </c>
      <c r="I45" s="77" t="n">
        <f aca="false">IF(I34=0,0,I34-I44)</f>
        <v>0</v>
      </c>
      <c r="J45" s="77" t="n">
        <f aca="false">IF(J34=0,0,J34-J44)</f>
        <v>0</v>
      </c>
      <c r="K45" s="77" t="n">
        <f aca="false">IF(K34=0,0,K34-K44)</f>
        <v>0</v>
      </c>
      <c r="L45" s="77" t="n">
        <f aca="false">IF(L34=0,0,L34-L44)</f>
        <v>0</v>
      </c>
      <c r="M45" s="77" t="n">
        <f aca="false">IF(M34=0,0,M34-M44)</f>
        <v>0</v>
      </c>
      <c r="N45" s="77" t="n">
        <f aca="false">IF(N34=0,0,N34-N44)</f>
        <v>0</v>
      </c>
      <c r="O45" s="64" t="n">
        <f aca="false">SUM(P45:AA45)</f>
        <v>0</v>
      </c>
      <c r="P45" s="77" t="n">
        <f aca="false">IF(P34=0,0,P34-P44)</f>
        <v>0</v>
      </c>
      <c r="Q45" s="77" t="n">
        <f aca="false">IF(Q34=0,0,Q34-Q44)</f>
        <v>0</v>
      </c>
      <c r="R45" s="77" t="n">
        <f aca="false">IF(R34=0,0,R34-R44)</f>
        <v>0</v>
      </c>
      <c r="S45" s="77" t="n">
        <f aca="false">IF(S34=0,0,S34-S44)</f>
        <v>0</v>
      </c>
      <c r="T45" s="77" t="n">
        <f aca="false">IF(T34=0,0,T34-T44)</f>
        <v>0</v>
      </c>
      <c r="U45" s="77" t="n">
        <f aca="false">IF(U34=0,0,U34-U44)</f>
        <v>0</v>
      </c>
      <c r="V45" s="77" t="n">
        <f aca="false">IF(V34=0,0,V34-V44)</f>
        <v>0</v>
      </c>
      <c r="W45" s="77" t="n">
        <f aca="false">IF(W34=0,0,W34-W44)</f>
        <v>0</v>
      </c>
      <c r="X45" s="77" t="n">
        <f aca="false">IF(X34=0,0,X34-X44)</f>
        <v>0</v>
      </c>
      <c r="Y45" s="77" t="n">
        <f aca="false">IF(Y34=0,0,Y34-Y44)</f>
        <v>0</v>
      </c>
      <c r="Z45" s="77" t="n">
        <f aca="false">IF(Z34=0,0,Z34-Z44)</f>
        <v>0</v>
      </c>
      <c r="AA45" s="77" t="n">
        <f aca="false">IF(AA34=0,0,AA34-AA44)</f>
        <v>0</v>
      </c>
      <c r="AB45" s="64" t="n">
        <f aca="false">SUM(AC45:AN45)</f>
        <v>0</v>
      </c>
      <c r="AC45" s="77" t="n">
        <f aca="false">IF(AC34=0,0,AC34-AC44)</f>
        <v>0</v>
      </c>
      <c r="AD45" s="77" t="n">
        <f aca="false">IF(AD34=0,0,AD34-AD44)</f>
        <v>0</v>
      </c>
      <c r="AE45" s="77" t="n">
        <f aca="false">IF(AE34=0,0,AE34-AE44)</f>
        <v>0</v>
      </c>
      <c r="AF45" s="77" t="n">
        <f aca="false">IF(AF34=0,0,AF34-AF44)</f>
        <v>0</v>
      </c>
      <c r="AG45" s="77" t="n">
        <f aca="false">IF(AG34=0,0,AG34-AG44)</f>
        <v>0</v>
      </c>
      <c r="AH45" s="77" t="n">
        <f aca="false">IF(AH34=0,0,AH34-AH44)</f>
        <v>0</v>
      </c>
      <c r="AI45" s="77" t="n">
        <f aca="false">IF(AI34=0,0,AI34-AI44)</f>
        <v>0</v>
      </c>
      <c r="AJ45" s="77" t="n">
        <f aca="false">IF(AJ34=0,0,AJ34-AJ44)</f>
        <v>0</v>
      </c>
      <c r="AK45" s="77" t="n">
        <f aca="false">IF(AK34=0,0,AK34-AK44)</f>
        <v>0</v>
      </c>
      <c r="AL45" s="77" t="n">
        <f aca="false">IF(AL34=0,0,AL34-AL44)</f>
        <v>0</v>
      </c>
      <c r="AM45" s="77" t="n">
        <f aca="false">IF(AM34=0,0,AM34-AM44)</f>
        <v>0</v>
      </c>
      <c r="AN45" s="77" t="n">
        <f aca="false">IF(AN34=0,0,AN34-AN44)</f>
        <v>0</v>
      </c>
      <c r="AO45" s="64" t="n">
        <f aca="false">SUM(AP45:BA45)</f>
        <v>0</v>
      </c>
      <c r="AP45" s="77" t="n">
        <f aca="false">IF(AP34=0,0,AP34-AP44)</f>
        <v>0</v>
      </c>
      <c r="AQ45" s="77" t="n">
        <f aca="false">IF(AQ34=0,0,AQ34-AQ44)</f>
        <v>0</v>
      </c>
      <c r="AR45" s="77" t="n">
        <f aca="false">IF(AR34=0,0,AR34-AR44)</f>
        <v>0</v>
      </c>
      <c r="AS45" s="77" t="n">
        <f aca="false">IF(AS34=0,0,AS34-AS44)</f>
        <v>0</v>
      </c>
      <c r="AT45" s="77" t="n">
        <f aca="false">IF(AT34=0,0,AT34-AT44)</f>
        <v>0</v>
      </c>
      <c r="AU45" s="77" t="n">
        <f aca="false">IF(AU34=0,0,AU34-AU44)</f>
        <v>0</v>
      </c>
      <c r="AV45" s="77" t="n">
        <f aca="false">IF(AV34=0,0,AV34-AV44)</f>
        <v>0</v>
      </c>
      <c r="AW45" s="77" t="n">
        <f aca="false">IF(AW34=0,0,AW34-AW44)</f>
        <v>0</v>
      </c>
      <c r="AX45" s="77" t="n">
        <f aca="false">IF(AX34=0,0,AX34-AX44)</f>
        <v>0</v>
      </c>
      <c r="AY45" s="77" t="n">
        <f aca="false">IF(AY34=0,0,AY34-AY44)</f>
        <v>0</v>
      </c>
      <c r="AZ45" s="77" t="n">
        <f aca="false">IF(AZ34=0,0,AZ34-AZ44)</f>
        <v>0</v>
      </c>
      <c r="BA45" s="77" t="n">
        <f aca="false">IF(BA34=0,0,BA34-BA44)</f>
        <v>0</v>
      </c>
      <c r="BB45" s="64" t="n">
        <f aca="false">SUM(BC45:BN45)</f>
        <v>0</v>
      </c>
      <c r="BC45" s="77" t="n">
        <f aca="false">IF(BC34=0,0,BC34-BC44)</f>
        <v>0</v>
      </c>
      <c r="BD45" s="77" t="n">
        <f aca="false">IF(BD34=0,0,BD34-BD44)</f>
        <v>0</v>
      </c>
      <c r="BE45" s="77" t="n">
        <f aca="false">IF(BE34=0,0,BE34-BE44)</f>
        <v>0</v>
      </c>
      <c r="BF45" s="77" t="n">
        <f aca="false">IF(BF34=0,0,BF34-BF44)</f>
        <v>0</v>
      </c>
      <c r="BG45" s="77" t="n">
        <f aca="false">IF(BG34=0,0,BG34-BG44)</f>
        <v>0</v>
      </c>
      <c r="BH45" s="77" t="n">
        <f aca="false">IF(BH34=0,0,BH34-BH44)</f>
        <v>0</v>
      </c>
      <c r="BI45" s="77" t="n">
        <f aca="false">IF(BI34=0,0,BI34-BI44)</f>
        <v>0</v>
      </c>
      <c r="BJ45" s="77" t="n">
        <f aca="false">IF(BJ34=0,0,BJ34-BJ44)</f>
        <v>0</v>
      </c>
      <c r="BK45" s="77" t="n">
        <f aca="false">IF(BK34=0,0,BK34-BK44)</f>
        <v>0</v>
      </c>
      <c r="BL45" s="77" t="n">
        <f aca="false">IF(BL34=0,0,BL34-BL44)</f>
        <v>0</v>
      </c>
      <c r="BM45" s="77" t="n">
        <f aca="false">IF(BM34=0,0,BM34-BM44)</f>
        <v>0</v>
      </c>
      <c r="BN45" s="77" t="n">
        <f aca="false">IF(BN34=0,0,BN34-BN44)</f>
        <v>0</v>
      </c>
    </row>
    <row r="46" customFormat="false" ht="15" hidden="false" customHeight="false" outlineLevel="0" collapsed="false">
      <c r="A46" s="12" t="s">
        <v>583</v>
      </c>
      <c r="B46" s="64" t="n">
        <f aca="false">SUM(C46:N46)</f>
        <v>101458.542087637</v>
      </c>
      <c r="C46" s="76" t="n">
        <f aca="false">Expenses!C$45</f>
        <v>8207.12431964323</v>
      </c>
      <c r="D46" s="76" t="n">
        <f aca="false">Expenses!D$45</f>
        <v>8256.98299066376</v>
      </c>
      <c r="E46" s="76" t="n">
        <f aca="false">Expenses!E$45</f>
        <v>8308.82281106253</v>
      </c>
      <c r="F46" s="76" t="n">
        <f aca="false">Expenses!F$45</f>
        <v>8342.21545474765</v>
      </c>
      <c r="G46" s="76" t="n">
        <f aca="false">Expenses!G$45</f>
        <v>8386.73592232412</v>
      </c>
      <c r="H46" s="76" t="n">
        <f aca="false">Expenses!H$45</f>
        <v>8431.29458184617</v>
      </c>
      <c r="I46" s="76" t="n">
        <f aca="false">Expenses!I$45</f>
        <v>8475.88914179708</v>
      </c>
      <c r="J46" s="76" t="n">
        <f aca="false">Expenses!J$45</f>
        <v>8520.5174481511</v>
      </c>
      <c r="K46" s="76" t="n">
        <f aca="false">Expenses!K$45</f>
        <v>8565.17747612405</v>
      </c>
      <c r="L46" s="76" t="n">
        <f aca="false">Expenses!L$45</f>
        <v>8609.8673224188</v>
      </c>
      <c r="M46" s="76" t="n">
        <f aca="false">Expenses!M$45</f>
        <v>8654.58519793605</v>
      </c>
      <c r="N46" s="76" t="n">
        <f aca="false">Expenses!N$45</f>
        <v>8699.32942092243</v>
      </c>
      <c r="O46" s="64" t="n">
        <f aca="false">SUM(P46:AA46)</f>
        <v>253355.799143698</v>
      </c>
      <c r="P46" s="76" t="n">
        <f aca="false">Expenses!P$45</f>
        <v>20734.0738321378</v>
      </c>
      <c r="Q46" s="76" t="n">
        <f aca="false">Expenses!Q$45</f>
        <v>20703.9166214465</v>
      </c>
      <c r="R46" s="76" t="n">
        <f aca="false">Expenses!R$45</f>
        <v>20727.2159646578</v>
      </c>
      <c r="S46" s="76" t="n">
        <f aca="false">Expenses!S$45</f>
        <v>20844.9301992865</v>
      </c>
      <c r="T46" s="76" t="n">
        <f aca="false">Expenses!T$45</f>
        <v>20945.3815388986</v>
      </c>
      <c r="U46" s="76" t="n">
        <f aca="false">Expenses!U$45</f>
        <v>21045.8410162399</v>
      </c>
      <c r="V46" s="76" t="n">
        <f aca="false">Expenses!V$45</f>
        <v>21146.3081430467</v>
      </c>
      <c r="W46" s="76" t="n">
        <f aca="false">Expenses!W$45</f>
        <v>21244.9313403052</v>
      </c>
      <c r="X46" s="76" t="n">
        <f aca="false">Expenses!X$45</f>
        <v>21343.2726877459</v>
      </c>
      <c r="Y46" s="76" t="n">
        <f aca="false">Expenses!Y$45</f>
        <v>21441.6203887102</v>
      </c>
      <c r="Z46" s="76" t="n">
        <f aca="false">Expenses!Z$45</f>
        <v>21539.9740619867</v>
      </c>
      <c r="AA46" s="76" t="n">
        <f aca="false">Expenses!AA$45</f>
        <v>21638.3333492367</v>
      </c>
      <c r="AB46" s="64" t="n">
        <f aca="false">SUM(AC46:AN46)</f>
        <v>455047.837353794</v>
      </c>
      <c r="AC46" s="76" t="n">
        <f aca="false">Expenses!AC$45</f>
        <v>37096.3255786069</v>
      </c>
      <c r="AD46" s="76" t="n">
        <f aca="false">Expenses!AD$45</f>
        <v>37207.8002952544</v>
      </c>
      <c r="AE46" s="76" t="n">
        <f aca="false">Expenses!AE$45</f>
        <v>37335.4947674082</v>
      </c>
      <c r="AF46" s="76" t="n">
        <f aca="false">Expenses!AF$45</f>
        <v>37491.4076585839</v>
      </c>
      <c r="AG46" s="76" t="n">
        <f aca="false">Expenses!AG$45</f>
        <v>37660.3228196031</v>
      </c>
      <c r="AH46" s="76" t="n">
        <f aca="false">Expenses!AH$45</f>
        <v>37825.7568412858</v>
      </c>
      <c r="AI46" s="76" t="n">
        <f aca="false">Expenses!AI$45</f>
        <v>37991.2307488014</v>
      </c>
      <c r="AJ46" s="76" t="n">
        <f aca="false">Expenses!AJ$45</f>
        <v>38156.7421489998</v>
      </c>
      <c r="AK46" s="76" t="n">
        <f aca="false">Expenses!AK$45</f>
        <v>38322.2887923201</v>
      </c>
      <c r="AL46" s="76" t="n">
        <f aca="false">Expenses!AL$45</f>
        <v>38487.868564175</v>
      </c>
      <c r="AM46" s="76" t="n">
        <f aca="false">Expenses!AM$45</f>
        <v>38653.4794768523</v>
      </c>
      <c r="AN46" s="76" t="n">
        <f aca="false">Expenses!AN$45</f>
        <v>38819.1196619028</v>
      </c>
      <c r="AO46" s="64" t="n">
        <f aca="false">SUM(AP46:BA46)</f>
        <v>654864.713522047</v>
      </c>
      <c r="AP46" s="76" t="n">
        <f aca="false">Expenses!AP$45</f>
        <v>53659.5995755452</v>
      </c>
      <c r="AQ46" s="76" t="n">
        <f aca="false">Expenses!AQ$45</f>
        <v>53836.7337072297</v>
      </c>
      <c r="AR46" s="76" t="n">
        <f aca="false">Expenses!AR$45</f>
        <v>54008.2010027452</v>
      </c>
      <c r="AS46" s="76" t="n">
        <f aca="false">Expenses!AS$45</f>
        <v>54172.3915619342</v>
      </c>
      <c r="AT46" s="76" t="n">
        <f aca="false">Expenses!AT$45</f>
        <v>54333.7781723045</v>
      </c>
      <c r="AU46" s="76" t="n">
        <f aca="false">Expenses!AU$45</f>
        <v>54495.1483562791</v>
      </c>
      <c r="AV46" s="76" t="n">
        <f aca="false">Expenses!AV$45</f>
        <v>54656.5030994417</v>
      </c>
      <c r="AW46" s="76" t="n">
        <f aca="false">Expenses!AW$45</f>
        <v>54817.843328241</v>
      </c>
      <c r="AX46" s="76" t="n">
        <f aca="false">Expenses!AX$45</f>
        <v>54979.1699135388</v>
      </c>
      <c r="AY46" s="76" t="n">
        <f aca="false">Expenses!AY$45</f>
        <v>55140.4836739452</v>
      </c>
      <c r="AZ46" s="76" t="n">
        <f aca="false">Expenses!AZ$45</f>
        <v>55301.7853789537</v>
      </c>
      <c r="BA46" s="76" t="n">
        <f aca="false">Expenses!BA$45</f>
        <v>55463.0757518882</v>
      </c>
      <c r="BB46" s="64" t="n">
        <f aca="false">SUM(BC46:BN46)</f>
        <v>849239.512915887</v>
      </c>
      <c r="BC46" s="76" t="n">
        <f aca="false">Expenses!BC$45</f>
        <v>69774.4870216938</v>
      </c>
      <c r="BD46" s="76" t="n">
        <f aca="false">Expenses!BD$45</f>
        <v>69948.1456313921</v>
      </c>
      <c r="BE46" s="76" t="n">
        <f aca="false">Expenses!BE$45</f>
        <v>70126.1711945182</v>
      </c>
      <c r="BF46" s="76" t="n">
        <f aca="false">Expenses!BF$45</f>
        <v>70308.5865036527</v>
      </c>
      <c r="BG46" s="76" t="n">
        <f aca="false">Expenses!BG$45</f>
        <v>70492.3582102318</v>
      </c>
      <c r="BH46" s="76" t="n">
        <f aca="false">Expenses!BH$45</f>
        <v>70676.0993363434</v>
      </c>
      <c r="BI46" s="76" t="n">
        <f aca="false">Expenses!BI$45</f>
        <v>70859.8117168156</v>
      </c>
      <c r="BJ46" s="76" t="n">
        <f aca="false">Expenses!BJ$45</f>
        <v>71043.4970763866</v>
      </c>
      <c r="BK46" s="76" t="n">
        <f aca="false">Expenses!BK$45</f>
        <v>71227.1570363107</v>
      </c>
      <c r="BL46" s="76" t="n">
        <f aca="false">Expenses!BL$45</f>
        <v>71410.7931205665</v>
      </c>
      <c r="BM46" s="76" t="n">
        <f aca="false">Expenses!BM$45</f>
        <v>71594.4067616942</v>
      </c>
      <c r="BN46" s="76" t="n">
        <f aca="false">Expenses!BN$45</f>
        <v>71777.9993062815</v>
      </c>
    </row>
    <row r="47" customFormat="false" ht="15" hidden="false" customHeight="false" outlineLevel="0" collapsed="false">
      <c r="A47" s="18" t="s">
        <v>584</v>
      </c>
      <c r="B47" s="64" t="n">
        <f aca="false">SUM(C47:N47)</f>
        <v>0</v>
      </c>
      <c r="C47" s="77" t="n">
        <f aca="false">IF(C35=0,0,C35-C46)</f>
        <v>0</v>
      </c>
      <c r="D47" s="77" t="n">
        <f aca="false">IF(D35=0,0,D35-D46)</f>
        <v>0</v>
      </c>
      <c r="E47" s="77" t="n">
        <f aca="false">IF(E35=0,0,E35-E46)</f>
        <v>0</v>
      </c>
      <c r="F47" s="77" t="n">
        <f aca="false">IF(F35=0,0,F35-F46)</f>
        <v>0</v>
      </c>
      <c r="G47" s="77" t="n">
        <f aca="false">IF(G35=0,0,G35-G46)</f>
        <v>0</v>
      </c>
      <c r="H47" s="77" t="n">
        <f aca="false">IF(H35=0,0,H35-H46)</f>
        <v>0</v>
      </c>
      <c r="I47" s="77" t="n">
        <f aca="false">IF(I35=0,0,I35-I46)</f>
        <v>0</v>
      </c>
      <c r="J47" s="77" t="n">
        <f aca="false">IF(J35=0,0,J35-J46)</f>
        <v>0</v>
      </c>
      <c r="K47" s="77" t="n">
        <f aca="false">IF(K35=0,0,K35-K46)</f>
        <v>0</v>
      </c>
      <c r="L47" s="77" t="n">
        <f aca="false">IF(L35=0,0,L35-L46)</f>
        <v>0</v>
      </c>
      <c r="M47" s="77" t="n">
        <f aca="false">IF(M35=0,0,M35-M46)</f>
        <v>0</v>
      </c>
      <c r="N47" s="77" t="n">
        <f aca="false">IF(N35=0,0,N35-N46)</f>
        <v>0</v>
      </c>
      <c r="O47" s="64" t="n">
        <f aca="false">SUM(P47:AA47)</f>
        <v>0</v>
      </c>
      <c r="P47" s="77" t="n">
        <f aca="false">IF(P35=0,0,P35-P46)</f>
        <v>0</v>
      </c>
      <c r="Q47" s="77" t="n">
        <f aca="false">IF(Q35=0,0,Q35-Q46)</f>
        <v>0</v>
      </c>
      <c r="R47" s="77" t="n">
        <f aca="false">IF(R35=0,0,R35-R46)</f>
        <v>0</v>
      </c>
      <c r="S47" s="77" t="n">
        <f aca="false">IF(S35=0,0,S35-S46)</f>
        <v>0</v>
      </c>
      <c r="T47" s="77" t="n">
        <f aca="false">IF(T35=0,0,T35-T46)</f>
        <v>0</v>
      </c>
      <c r="U47" s="77" t="n">
        <f aca="false">IF(U35=0,0,U35-U46)</f>
        <v>0</v>
      </c>
      <c r="V47" s="77" t="n">
        <f aca="false">IF(V35=0,0,V35-V46)</f>
        <v>0</v>
      </c>
      <c r="W47" s="77" t="n">
        <f aca="false">IF(W35=0,0,W35-W46)</f>
        <v>0</v>
      </c>
      <c r="X47" s="77" t="n">
        <f aca="false">IF(X35=0,0,X35-X46)</f>
        <v>0</v>
      </c>
      <c r="Y47" s="77" t="n">
        <f aca="false">IF(Y35=0,0,Y35-Y46)</f>
        <v>0</v>
      </c>
      <c r="Z47" s="77" t="n">
        <f aca="false">IF(Z35=0,0,Z35-Z46)</f>
        <v>0</v>
      </c>
      <c r="AA47" s="77" t="n">
        <f aca="false">IF(AA35=0,0,AA35-AA46)</f>
        <v>0</v>
      </c>
      <c r="AB47" s="64" t="n">
        <f aca="false">SUM(AC47:AN47)</f>
        <v>0</v>
      </c>
      <c r="AC47" s="77" t="n">
        <f aca="false">IF(AC35=0,0,AC35-AC46)</f>
        <v>0</v>
      </c>
      <c r="AD47" s="77" t="n">
        <f aca="false">IF(AD35=0,0,AD35-AD46)</f>
        <v>0</v>
      </c>
      <c r="AE47" s="77" t="n">
        <f aca="false">IF(AE35=0,0,AE35-AE46)</f>
        <v>0</v>
      </c>
      <c r="AF47" s="77" t="n">
        <f aca="false">IF(AF35=0,0,AF35-AF46)</f>
        <v>0</v>
      </c>
      <c r="AG47" s="77" t="n">
        <f aca="false">IF(AG35=0,0,AG35-AG46)</f>
        <v>0</v>
      </c>
      <c r="AH47" s="77" t="n">
        <f aca="false">IF(AH35=0,0,AH35-AH46)</f>
        <v>0</v>
      </c>
      <c r="AI47" s="77" t="n">
        <f aca="false">IF(AI35=0,0,AI35-AI46)</f>
        <v>0</v>
      </c>
      <c r="AJ47" s="77" t="n">
        <f aca="false">IF(AJ35=0,0,AJ35-AJ46)</f>
        <v>0</v>
      </c>
      <c r="AK47" s="77" t="n">
        <f aca="false">IF(AK35=0,0,AK35-AK46)</f>
        <v>0</v>
      </c>
      <c r="AL47" s="77" t="n">
        <f aca="false">IF(AL35=0,0,AL35-AL46)</f>
        <v>0</v>
      </c>
      <c r="AM47" s="77" t="n">
        <f aca="false">IF(AM35=0,0,AM35-AM46)</f>
        <v>0</v>
      </c>
      <c r="AN47" s="77" t="n">
        <f aca="false">IF(AN35=0,0,AN35-AN46)</f>
        <v>0</v>
      </c>
      <c r="AO47" s="64" t="n">
        <f aca="false">SUM(AP47:BA47)</f>
        <v>0</v>
      </c>
      <c r="AP47" s="77" t="n">
        <f aca="false">IF(AP35=0,0,AP35-AP46)</f>
        <v>0</v>
      </c>
      <c r="AQ47" s="77" t="n">
        <f aca="false">IF(AQ35=0,0,AQ35-AQ46)</f>
        <v>0</v>
      </c>
      <c r="AR47" s="77" t="n">
        <f aca="false">IF(AR35=0,0,AR35-AR46)</f>
        <v>0</v>
      </c>
      <c r="AS47" s="77" t="n">
        <f aca="false">IF(AS35=0,0,AS35-AS46)</f>
        <v>0</v>
      </c>
      <c r="AT47" s="77" t="n">
        <f aca="false">IF(AT35=0,0,AT35-AT46)</f>
        <v>0</v>
      </c>
      <c r="AU47" s="77" t="n">
        <f aca="false">IF(AU35=0,0,AU35-AU46)</f>
        <v>0</v>
      </c>
      <c r="AV47" s="77" t="n">
        <f aca="false">IF(AV35=0,0,AV35-AV46)</f>
        <v>0</v>
      </c>
      <c r="AW47" s="77" t="n">
        <f aca="false">IF(AW35=0,0,AW35-AW46)</f>
        <v>0</v>
      </c>
      <c r="AX47" s="77" t="n">
        <f aca="false">IF(AX35=0,0,AX35-AX46)</f>
        <v>0</v>
      </c>
      <c r="AY47" s="77" t="n">
        <f aca="false">IF(AY35=0,0,AY35-AY46)</f>
        <v>0</v>
      </c>
      <c r="AZ47" s="77" t="n">
        <f aca="false">IF(AZ35=0,0,AZ35-AZ46)</f>
        <v>0</v>
      </c>
      <c r="BA47" s="77" t="n">
        <f aca="false">IF(BA35=0,0,BA35-BA46)</f>
        <v>0</v>
      </c>
      <c r="BB47" s="64" t="n">
        <f aca="false">SUM(BC47:BN47)</f>
        <v>0</v>
      </c>
      <c r="BC47" s="77" t="n">
        <f aca="false">IF(BC35=0,0,BC35-BC46)</f>
        <v>0</v>
      </c>
      <c r="BD47" s="77" t="n">
        <f aca="false">IF(BD35=0,0,BD35-BD46)</f>
        <v>0</v>
      </c>
      <c r="BE47" s="77" t="n">
        <f aca="false">IF(BE35=0,0,BE35-BE46)</f>
        <v>0</v>
      </c>
      <c r="BF47" s="77" t="n">
        <f aca="false">IF(BF35=0,0,BF35-BF46)</f>
        <v>0</v>
      </c>
      <c r="BG47" s="77" t="n">
        <f aca="false">IF(BG35=0,0,BG35-BG46)</f>
        <v>0</v>
      </c>
      <c r="BH47" s="77" t="n">
        <f aca="false">IF(BH35=0,0,BH35-BH46)</f>
        <v>0</v>
      </c>
      <c r="BI47" s="77" t="n">
        <f aca="false">IF(BI35=0,0,BI35-BI46)</f>
        <v>0</v>
      </c>
      <c r="BJ47" s="77" t="n">
        <f aca="false">IF(BJ35=0,0,BJ35-BJ46)</f>
        <v>0</v>
      </c>
      <c r="BK47" s="77" t="n">
        <f aca="false">IF(BK35=0,0,BK35-BK46)</f>
        <v>0</v>
      </c>
      <c r="BL47" s="77" t="n">
        <f aca="false">IF(BL35=0,0,BL35-BL46)</f>
        <v>0</v>
      </c>
      <c r="BM47" s="77" t="n">
        <f aca="false">IF(BM35=0,0,BM35-BM46)</f>
        <v>0</v>
      </c>
      <c r="BN47" s="77" t="n">
        <f aca="false">IF(BN35=0,0,BN35-BN46)</f>
        <v>0</v>
      </c>
    </row>
    <row r="48" customFormat="false" ht="15" hidden="false" customHeight="false" outlineLevel="0" collapsed="false">
      <c r="A48" s="12" t="s">
        <v>585</v>
      </c>
      <c r="B48" s="64" t="n">
        <f aca="false">SUM(C48:N48)</f>
        <v>1321268.61263227</v>
      </c>
      <c r="C48" s="76" t="n">
        <f aca="false">'Cash Flow Statement'!C$35</f>
        <v>34951.1628407558</v>
      </c>
      <c r="D48" s="76" t="n">
        <f aca="false">'Cash Flow Statement'!D$35</f>
        <v>20589.0485154371</v>
      </c>
      <c r="E48" s="76" t="n">
        <f aca="false">'Cash Flow Statement'!E$35</f>
        <v>13012.157179988</v>
      </c>
      <c r="F48" s="76" t="n">
        <f aca="false">'Cash Flow Statement'!F$35</f>
        <v>156832.813457769</v>
      </c>
      <c r="G48" s="76" t="n">
        <f aca="false">'Cash Flow Statement'!G$35</f>
        <v>151029.238282635</v>
      </c>
      <c r="H48" s="76" t="n">
        <f aca="false">'Cash Flow Statement'!H$35</f>
        <v>145693.64225731</v>
      </c>
      <c r="I48" s="76" t="n">
        <f aca="false">'Cash Flow Statement'!I$35</f>
        <v>141145.687950252</v>
      </c>
      <c r="J48" s="76" t="n">
        <f aca="false">'Cash Flow Statement'!J$35</f>
        <v>137065.053596843</v>
      </c>
      <c r="K48" s="76" t="n">
        <f aca="false">'Cash Flow Statement'!K$35</f>
        <v>133771.432159375</v>
      </c>
      <c r="L48" s="76" t="n">
        <f aca="false">'Cash Flow Statement'!L$35</f>
        <v>130944.530443432</v>
      </c>
      <c r="M48" s="76" t="n">
        <f aca="false">'Cash Flow Statement'!M$35</f>
        <v>128904.068267295</v>
      </c>
      <c r="N48" s="76" t="n">
        <f aca="false">'Cash Flow Statement'!N$35</f>
        <v>127329.777681178</v>
      </c>
      <c r="O48" s="64" t="n">
        <f aca="false">SUM(P48:AA48)</f>
        <v>1531905.42184904</v>
      </c>
      <c r="P48" s="76" t="n">
        <f aca="false">'Cash Flow Statement'!P$35</f>
        <v>91386.1493503378</v>
      </c>
      <c r="Q48" s="76" t="n">
        <f aca="false">'Cash Flow Statement'!Q$35</f>
        <v>96637.01401601</v>
      </c>
      <c r="R48" s="76" t="n">
        <f aca="false">'Cash Flow Statement'!R$35</f>
        <v>101673.648080228</v>
      </c>
      <c r="S48" s="76" t="n">
        <f aca="false">'Cash Flow Statement'!S$35</f>
        <v>104565.806311642</v>
      </c>
      <c r="T48" s="76" t="n">
        <f aca="false">'Cash Flow Statement'!T$35</f>
        <v>109505.19282319</v>
      </c>
      <c r="U48" s="76" t="n">
        <f aca="false">'Cash Flow Statement'!U$35</f>
        <v>115912.660886127</v>
      </c>
      <c r="V48" s="76" t="n">
        <f aca="false">'Cash Flow Statement'!V$35</f>
        <v>123788.072907488</v>
      </c>
      <c r="W48" s="76" t="n">
        <f aca="false">'Cash Flow Statement'!W$35</f>
        <v>133186.608710053</v>
      </c>
      <c r="X48" s="76" t="n">
        <f aca="false">'Cash Flow Statement'!X$35</f>
        <v>144018.800182018</v>
      </c>
      <c r="Y48" s="76" t="n">
        <f aca="false">'Cash Flow Statement'!Y$35</f>
        <v>156269.246011005</v>
      </c>
      <c r="Z48" s="76" t="n">
        <f aca="false">'Cash Flow Statement'!Z$35</f>
        <v>169937.820802529</v>
      </c>
      <c r="AA48" s="76" t="n">
        <f aca="false">'Cash Flow Statement'!AA$35</f>
        <v>185024.401768413</v>
      </c>
      <c r="AB48" s="64" t="n">
        <f aca="false">SUM(AC48:AN48)</f>
        <v>2641645.29812079</v>
      </c>
      <c r="AC48" s="76" t="n">
        <f aca="false">'Cash Flow Statement'!AC$35</f>
        <v>178110.127642454</v>
      </c>
      <c r="AD48" s="76" t="n">
        <f aca="false">'Cash Flow Statement'!AD$35</f>
        <v>182604.073256656</v>
      </c>
      <c r="AE48" s="76" t="n">
        <f aca="false">'Cash Flow Statement'!AE$35</f>
        <v>188223.548973985</v>
      </c>
      <c r="AF48" s="76" t="n">
        <f aca="false">'Cash Flow Statement'!AF$35</f>
        <v>176570.764299453</v>
      </c>
      <c r="AG48" s="76" t="n">
        <f aca="false">'Cash Flow Statement'!AG$35</f>
        <v>184950.012485808</v>
      </c>
      <c r="AH48" s="76" t="n">
        <f aca="false">'Cash Flow Statement'!AH$35</f>
        <v>195987.467278748</v>
      </c>
      <c r="AI48" s="76" t="n">
        <f aca="false">'Cash Flow Statement'!AI$35</f>
        <v>209176.252385872</v>
      </c>
      <c r="AJ48" s="76" t="n">
        <f aca="false">'Cash Flow Statement'!AJ$35</f>
        <v>224835.975850401</v>
      </c>
      <c r="AK48" s="76" t="n">
        <f aca="false">'Cash Flow Statement'!AK$35</f>
        <v>242646.262077338</v>
      </c>
      <c r="AL48" s="76" t="n">
        <f aca="false">'Cash Flow Statement'!AL$35</f>
        <v>262926.750851761</v>
      </c>
      <c r="AM48" s="76" t="n">
        <f aca="false">'Cash Flow Statement'!AM$35</f>
        <v>285357.096416019</v>
      </c>
      <c r="AN48" s="76" t="n">
        <f aca="false">'Cash Flow Statement'!AN$35</f>
        <v>310256.966602296</v>
      </c>
      <c r="AO48" s="64" t="n">
        <f aca="false">SUM(AP48:BA48)</f>
        <v>5184933.3869734</v>
      </c>
      <c r="AP48" s="76" t="n">
        <f aca="false">'Cash Flow Statement'!AP$35</f>
        <v>319721.012225354</v>
      </c>
      <c r="AQ48" s="76" t="n">
        <f aca="false">'Cash Flow Statement'!AQ$35</f>
        <v>338865.630854622</v>
      </c>
      <c r="AR48" s="76" t="n">
        <f aca="false">'Cash Flow Statement'!AR$35</f>
        <v>360417.796336234</v>
      </c>
      <c r="AS48" s="76" t="n">
        <f aca="false">'Cash Flow Statement'!AS$35</f>
        <v>336422.311277552</v>
      </c>
      <c r="AT48" s="76" t="n">
        <f aca="false">'Cash Flow Statement'!AT$35</f>
        <v>362977.428820219</v>
      </c>
      <c r="AU48" s="76" t="n">
        <f aca="false">'Cash Flow Statement'!AU$35</f>
        <v>391565.768735425</v>
      </c>
      <c r="AV48" s="76" t="n">
        <f aca="false">'Cash Flow Statement'!AV$35</f>
        <v>422487.442540331</v>
      </c>
      <c r="AW48" s="76" t="n">
        <f aca="false">'Cash Flow Statement'!AW$35</f>
        <v>455622.555013736</v>
      </c>
      <c r="AX48" s="76" t="n">
        <f aca="false">'Cash Flow Statement'!AX$35</f>
        <v>490791.204600385</v>
      </c>
      <c r="AY48" s="76" t="n">
        <f aca="false">'Cash Flow Statement'!AY$35</f>
        <v>528293.483791003</v>
      </c>
      <c r="AZ48" s="76" t="n">
        <f aca="false">'Cash Flow Statement'!AZ$35</f>
        <v>568009.479479544</v>
      </c>
      <c r="BA48" s="76" t="n">
        <f aca="false">'Cash Flow Statement'!BA$35</f>
        <v>609759.273298992</v>
      </c>
      <c r="BB48" s="64" t="n">
        <f aca="false">SUM(BC48:BN48)</f>
        <v>9736068.6200618</v>
      </c>
      <c r="BC48" s="76" t="n">
        <f aca="false">'Cash Flow Statement'!BC$35</f>
        <v>634116.340840597</v>
      </c>
      <c r="BD48" s="76" t="n">
        <f aca="false">'Cash Flow Statement'!BD$35</f>
        <v>671286.829769677</v>
      </c>
      <c r="BE48" s="76" t="n">
        <f aca="false">'Cash Flow Statement'!BE$35</f>
        <v>710784.843244034</v>
      </c>
      <c r="BF48" s="76" t="n">
        <f aca="false">'Cash Flow Statement'!BF$35</f>
        <v>658629.913936635</v>
      </c>
      <c r="BG48" s="76" t="n">
        <f aca="false">'Cash Flow Statement'!BG$35</f>
        <v>702625.139821302</v>
      </c>
      <c r="BH48" s="76" t="n">
        <f aca="false">'Cash Flow Statement'!BH$35</f>
        <v>749229.229820632</v>
      </c>
      <c r="BI48" s="76" t="n">
        <f aca="false">'Cash Flow Statement'!BI$35</f>
        <v>798122.344111544</v>
      </c>
      <c r="BJ48" s="76" t="n">
        <f aca="false">'Cash Flow Statement'!BJ$35</f>
        <v>849624.630326379</v>
      </c>
      <c r="BK48" s="76" t="n">
        <f aca="false">'Cash Flow Statement'!BK$35</f>
        <v>903416.224305575</v>
      </c>
      <c r="BL48" s="76" t="n">
        <f aca="false">'Cash Flow Statement'!BL$35</f>
        <v>959797.250805178</v>
      </c>
      <c r="BM48" s="76" t="n">
        <f aca="false">'Cash Flow Statement'!BM$35</f>
        <v>1018647.82416191</v>
      </c>
      <c r="BN48" s="76" t="n">
        <f aca="false">'Cash Flow Statement'!BN$35</f>
        <v>1079788.04891833</v>
      </c>
    </row>
    <row r="49" customFormat="false" ht="15" hidden="false" customHeight="false" outlineLevel="0" collapsed="false">
      <c r="A49" s="18" t="s">
        <v>586</v>
      </c>
      <c r="B49" s="64" t="n">
        <f aca="false">SUM(C49:N49)</f>
        <v>0</v>
      </c>
      <c r="C49" s="77" t="n">
        <f aca="false">IF(C36=0,0,C36-C48)</f>
        <v>0</v>
      </c>
      <c r="D49" s="77" t="n">
        <f aca="false">IF(D36=0,0,D36-D48)</f>
        <v>0</v>
      </c>
      <c r="E49" s="77" t="n">
        <f aca="false">IF(E36=0,0,E36-E48)</f>
        <v>0</v>
      </c>
      <c r="F49" s="77" t="n">
        <f aca="false">IF(F36=0,0,F36-F48)</f>
        <v>0</v>
      </c>
      <c r="G49" s="77" t="n">
        <f aca="false">IF(G36=0,0,G36-G48)</f>
        <v>0</v>
      </c>
      <c r="H49" s="77" t="n">
        <f aca="false">IF(H36=0,0,H36-H48)</f>
        <v>0</v>
      </c>
      <c r="I49" s="77" t="n">
        <f aca="false">IF(I36=0,0,I36-I48)</f>
        <v>0</v>
      </c>
      <c r="J49" s="77" t="n">
        <f aca="false">IF(J36=0,0,J36-J48)</f>
        <v>0</v>
      </c>
      <c r="K49" s="77" t="n">
        <f aca="false">IF(K36=0,0,K36-K48)</f>
        <v>0</v>
      </c>
      <c r="L49" s="77" t="n">
        <f aca="false">IF(L36=0,0,L36-L48)</f>
        <v>0</v>
      </c>
      <c r="M49" s="77" t="n">
        <f aca="false">IF(M36=0,0,M36-M48)</f>
        <v>0</v>
      </c>
      <c r="N49" s="77" t="n">
        <f aca="false">IF(N36=0,0,N36-N48)</f>
        <v>0</v>
      </c>
      <c r="O49" s="64" t="n">
        <f aca="false">SUM(P49:AA49)</f>
        <v>0</v>
      </c>
      <c r="P49" s="77" t="n">
        <f aca="false">IF(P36=0,0,P36-P48)</f>
        <v>0</v>
      </c>
      <c r="Q49" s="77" t="n">
        <f aca="false">IF(Q36=0,0,Q36-Q48)</f>
        <v>0</v>
      </c>
      <c r="R49" s="77" t="n">
        <f aca="false">IF(R36=0,0,R36-R48)</f>
        <v>0</v>
      </c>
      <c r="S49" s="77" t="n">
        <f aca="false">IF(S36=0,0,S36-S48)</f>
        <v>0</v>
      </c>
      <c r="T49" s="77" t="n">
        <f aca="false">IF(T36=0,0,T36-T48)</f>
        <v>0</v>
      </c>
      <c r="U49" s="77" t="n">
        <f aca="false">IF(U36=0,0,U36-U48)</f>
        <v>0</v>
      </c>
      <c r="V49" s="77" t="n">
        <f aca="false">IF(V36=0,0,V36-V48)</f>
        <v>0</v>
      </c>
      <c r="W49" s="77" t="n">
        <f aca="false">IF(W36=0,0,W36-W48)</f>
        <v>0</v>
      </c>
      <c r="X49" s="77" t="n">
        <f aca="false">IF(X36=0,0,X36-X48)</f>
        <v>0</v>
      </c>
      <c r="Y49" s="77" t="n">
        <f aca="false">IF(Y36=0,0,Y36-Y48)</f>
        <v>0</v>
      </c>
      <c r="Z49" s="77" t="n">
        <f aca="false">IF(Z36=0,0,Z36-Z48)</f>
        <v>0</v>
      </c>
      <c r="AA49" s="77" t="n">
        <f aca="false">IF(AA36=0,0,AA36-AA48)</f>
        <v>0</v>
      </c>
      <c r="AB49" s="64" t="n">
        <f aca="false">SUM(AC49:AN49)</f>
        <v>0</v>
      </c>
      <c r="AC49" s="77" t="n">
        <f aca="false">IF(AC36=0,0,AC36-AC48)</f>
        <v>0</v>
      </c>
      <c r="AD49" s="77" t="n">
        <f aca="false">IF(AD36=0,0,AD36-AD48)</f>
        <v>0</v>
      </c>
      <c r="AE49" s="77" t="n">
        <f aca="false">IF(AE36=0,0,AE36-AE48)</f>
        <v>0</v>
      </c>
      <c r="AF49" s="77" t="n">
        <f aca="false">IF(AF36=0,0,AF36-AF48)</f>
        <v>0</v>
      </c>
      <c r="AG49" s="77" t="n">
        <f aca="false">IF(AG36=0,0,AG36-AG48)</f>
        <v>0</v>
      </c>
      <c r="AH49" s="77" t="n">
        <f aca="false">IF(AH36=0,0,AH36-AH48)</f>
        <v>0</v>
      </c>
      <c r="AI49" s="77" t="n">
        <f aca="false">IF(AI36=0,0,AI36-AI48)</f>
        <v>0</v>
      </c>
      <c r="AJ49" s="77" t="n">
        <f aca="false">IF(AJ36=0,0,AJ36-AJ48)</f>
        <v>0</v>
      </c>
      <c r="AK49" s="77" t="n">
        <f aca="false">IF(AK36=0,0,AK36-AK48)</f>
        <v>0</v>
      </c>
      <c r="AL49" s="77" t="n">
        <f aca="false">IF(AL36=0,0,AL36-AL48)</f>
        <v>0</v>
      </c>
      <c r="AM49" s="77" t="n">
        <f aca="false">IF(AM36=0,0,AM36-AM48)</f>
        <v>0</v>
      </c>
      <c r="AN49" s="77" t="n">
        <f aca="false">IF(AN36=0,0,AN36-AN48)</f>
        <v>0</v>
      </c>
      <c r="AO49" s="64" t="n">
        <f aca="false">SUM(AP49:BA49)</f>
        <v>0</v>
      </c>
      <c r="AP49" s="77" t="n">
        <f aca="false">IF(AP36=0,0,AP36-AP48)</f>
        <v>0</v>
      </c>
      <c r="AQ49" s="77" t="n">
        <f aca="false">IF(AQ36=0,0,AQ36-AQ48)</f>
        <v>0</v>
      </c>
      <c r="AR49" s="77" t="n">
        <f aca="false">IF(AR36=0,0,AR36-AR48)</f>
        <v>0</v>
      </c>
      <c r="AS49" s="77" t="n">
        <f aca="false">IF(AS36=0,0,AS36-AS48)</f>
        <v>0</v>
      </c>
      <c r="AT49" s="77" t="n">
        <f aca="false">IF(AT36=0,0,AT36-AT48)</f>
        <v>0</v>
      </c>
      <c r="AU49" s="77" t="n">
        <f aca="false">IF(AU36=0,0,AU36-AU48)</f>
        <v>0</v>
      </c>
      <c r="AV49" s="77" t="n">
        <f aca="false">IF(AV36=0,0,AV36-AV48)</f>
        <v>0</v>
      </c>
      <c r="AW49" s="77" t="n">
        <f aca="false">IF(AW36=0,0,AW36-AW48)</f>
        <v>0</v>
      </c>
      <c r="AX49" s="77" t="n">
        <f aca="false">IF(AX36=0,0,AX36-AX48)</f>
        <v>0</v>
      </c>
      <c r="AY49" s="77" t="n">
        <f aca="false">IF(AY36=0,0,AY36-AY48)</f>
        <v>0</v>
      </c>
      <c r="AZ49" s="77" t="n">
        <f aca="false">IF(AZ36=0,0,AZ36-AZ48)</f>
        <v>0</v>
      </c>
      <c r="BA49" s="77" t="n">
        <f aca="false">IF(BA36=0,0,BA36-BA48)</f>
        <v>0</v>
      </c>
      <c r="BB49" s="64" t="n">
        <f aca="false">SUM(BC49:BN49)</f>
        <v>0</v>
      </c>
      <c r="BC49" s="77" t="n">
        <f aca="false">IF(BC36=0,0,BC36-BC48)</f>
        <v>0</v>
      </c>
      <c r="BD49" s="77" t="n">
        <f aca="false">IF(BD36=0,0,BD36-BD48)</f>
        <v>0</v>
      </c>
      <c r="BE49" s="77" t="n">
        <f aca="false">IF(BE36=0,0,BE36-BE48)</f>
        <v>0</v>
      </c>
      <c r="BF49" s="77" t="n">
        <f aca="false">IF(BF36=0,0,BF36-BF48)</f>
        <v>0</v>
      </c>
      <c r="BG49" s="77" t="n">
        <f aca="false">IF(BG36=0,0,BG36-BG48)</f>
        <v>0</v>
      </c>
      <c r="BH49" s="77" t="n">
        <f aca="false">IF(BH36=0,0,BH36-BH48)</f>
        <v>0</v>
      </c>
      <c r="BI49" s="77" t="n">
        <f aca="false">IF(BI36=0,0,BI36-BI48)</f>
        <v>0</v>
      </c>
      <c r="BJ49" s="77" t="n">
        <f aca="false">IF(BJ36=0,0,BJ36-BJ48)</f>
        <v>0</v>
      </c>
      <c r="BK49" s="77" t="n">
        <f aca="false">IF(BK36=0,0,BK36-BK48)</f>
        <v>0</v>
      </c>
      <c r="BL49" s="77" t="n">
        <f aca="false">IF(BL36=0,0,BL36-BL48)</f>
        <v>0</v>
      </c>
      <c r="BM49" s="77" t="n">
        <f aca="false">IF(BM36=0,0,BM36-BM48)</f>
        <v>0</v>
      </c>
      <c r="BN49" s="77" t="n">
        <f aca="false">IF(BN36=0,0,BN36-BN48)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40</v>
      </c>
    </row>
    <row r="3" customFormat="false" ht="15" hidden="false" customHeight="false" outlineLevel="0" collapsed="false">
      <c r="B3" s="3"/>
      <c r="C3" s="3"/>
    </row>
    <row r="5" customFormat="false" ht="30" hidden="false" customHeight="true" outlineLevel="0" collapsed="false">
      <c r="B5" s="35" t="s">
        <v>587</v>
      </c>
      <c r="C5" s="36" t="s">
        <v>43</v>
      </c>
    </row>
    <row r="6" customFormat="false" ht="30" hidden="false" customHeight="true" outlineLevel="0" collapsed="false">
      <c r="B6" s="35" t="s">
        <v>588</v>
      </c>
      <c r="C6" s="36" t="s">
        <v>45</v>
      </c>
    </row>
    <row r="7" customFormat="false" ht="30" hidden="false" customHeight="true" outlineLevel="0" collapsed="false">
      <c r="B7" s="35" t="s">
        <v>589</v>
      </c>
      <c r="C7" s="36" t="s">
        <v>47</v>
      </c>
    </row>
    <row r="8" customFormat="false" ht="30" hidden="false" customHeight="true" outlineLevel="0" collapsed="false">
      <c r="B8" s="35" t="s">
        <v>590</v>
      </c>
      <c r="C8" s="36" t="s">
        <v>49</v>
      </c>
    </row>
    <row r="9" customFormat="false" ht="30" hidden="false" customHeight="true" outlineLevel="0" collapsed="false">
      <c r="B9" s="35" t="s">
        <v>591</v>
      </c>
      <c r="C9" s="36" t="s">
        <v>51</v>
      </c>
    </row>
    <row r="10" customFormat="false" ht="30" hidden="false" customHeight="true" outlineLevel="0" collapsed="false">
      <c r="B10" s="35" t="s">
        <v>592</v>
      </c>
      <c r="C10" s="36" t="s">
        <v>53</v>
      </c>
    </row>
    <row r="11" customFormat="false" ht="30" hidden="false" customHeight="true" outlineLevel="0" collapsed="false">
      <c r="B11" s="35" t="s">
        <v>593</v>
      </c>
      <c r="C11" s="36"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587</v>
      </c>
    </row>
    <row r="2" customFormat="false" ht="13.5" hidden="false" customHeight="true" outlineLevel="0" collapsed="false">
      <c r="A2" s="6" t="s">
        <v>594</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595</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233</v>
      </c>
      <c r="B7" s="64" t="n">
        <f aca="false">SUM(C7:N7)</f>
        <v>1200</v>
      </c>
      <c r="C7" s="65" t="n">
        <f aca="false">'Assumption Setting'!$C$41</f>
        <v>100</v>
      </c>
      <c r="D7" s="65" t="n">
        <f aca="false">'Assumption Setting'!$C$41</f>
        <v>100</v>
      </c>
      <c r="E7" s="65" t="n">
        <f aca="false">'Assumption Setting'!$C$41</f>
        <v>100</v>
      </c>
      <c r="F7" s="65" t="n">
        <f aca="false">'Assumption Setting'!$C$41</f>
        <v>100</v>
      </c>
      <c r="G7" s="65" t="n">
        <f aca="false">'Assumption Setting'!$C$41</f>
        <v>100</v>
      </c>
      <c r="H7" s="65" t="n">
        <f aca="false">'Assumption Setting'!$C$41</f>
        <v>100</v>
      </c>
      <c r="I7" s="65" t="n">
        <f aca="false">'Assumption Setting'!$C$41</f>
        <v>100</v>
      </c>
      <c r="J7" s="65" t="n">
        <f aca="false">'Assumption Setting'!$C$41</f>
        <v>100</v>
      </c>
      <c r="K7" s="65" t="n">
        <f aca="false">'Assumption Setting'!$C$41</f>
        <v>100</v>
      </c>
      <c r="L7" s="65" t="n">
        <f aca="false">'Assumption Setting'!$C$41</f>
        <v>100</v>
      </c>
      <c r="M7" s="65" t="n">
        <f aca="false">'Assumption Setting'!$C$41</f>
        <v>100</v>
      </c>
      <c r="N7" s="65" t="n">
        <f aca="false">'Assumption Setting'!$C$41</f>
        <v>100</v>
      </c>
      <c r="O7" s="64" t="n">
        <f aca="false">SUM(P7:AA7)</f>
        <v>3600</v>
      </c>
      <c r="P7" s="65" t="n">
        <f aca="false">'Assumption Setting'!$D$41</f>
        <v>300</v>
      </c>
      <c r="Q7" s="65" t="n">
        <f aca="false">'Assumption Setting'!$D$41</f>
        <v>300</v>
      </c>
      <c r="R7" s="65" t="n">
        <f aca="false">'Assumption Setting'!$D$41</f>
        <v>300</v>
      </c>
      <c r="S7" s="65" t="n">
        <f aca="false">'Assumption Setting'!$D$41</f>
        <v>300</v>
      </c>
      <c r="T7" s="65" t="n">
        <f aca="false">'Assumption Setting'!$D$41</f>
        <v>300</v>
      </c>
      <c r="U7" s="65" t="n">
        <f aca="false">'Assumption Setting'!$D$41</f>
        <v>300</v>
      </c>
      <c r="V7" s="65" t="n">
        <f aca="false">'Assumption Setting'!$D$41</f>
        <v>300</v>
      </c>
      <c r="W7" s="65" t="n">
        <f aca="false">'Assumption Setting'!$D$41</f>
        <v>300</v>
      </c>
      <c r="X7" s="65" t="n">
        <f aca="false">'Assumption Setting'!$D$41</f>
        <v>300</v>
      </c>
      <c r="Y7" s="65" t="n">
        <f aca="false">'Assumption Setting'!$D$41</f>
        <v>300</v>
      </c>
      <c r="Z7" s="65" t="n">
        <f aca="false">'Assumption Setting'!$D$41</f>
        <v>300</v>
      </c>
      <c r="AA7" s="65" t="n">
        <f aca="false">'Assumption Setting'!$D$41</f>
        <v>300</v>
      </c>
      <c r="AB7" s="64" t="n">
        <f aca="false">SUM(AC7:AN7)</f>
        <v>7200</v>
      </c>
      <c r="AC7" s="65" t="n">
        <f aca="false">'Assumption Setting'!$E$41</f>
        <v>600</v>
      </c>
      <c r="AD7" s="65" t="n">
        <f aca="false">'Assumption Setting'!$E$41</f>
        <v>600</v>
      </c>
      <c r="AE7" s="65" t="n">
        <f aca="false">'Assumption Setting'!$E$41</f>
        <v>600</v>
      </c>
      <c r="AF7" s="65" t="n">
        <f aca="false">'Assumption Setting'!$E$41</f>
        <v>600</v>
      </c>
      <c r="AG7" s="65" t="n">
        <f aca="false">'Assumption Setting'!$E$41</f>
        <v>600</v>
      </c>
      <c r="AH7" s="65" t="n">
        <f aca="false">'Assumption Setting'!$E$41</f>
        <v>600</v>
      </c>
      <c r="AI7" s="65" t="n">
        <f aca="false">'Assumption Setting'!$E$41</f>
        <v>600</v>
      </c>
      <c r="AJ7" s="65" t="n">
        <f aca="false">'Assumption Setting'!$E$41</f>
        <v>600</v>
      </c>
      <c r="AK7" s="65" t="n">
        <f aca="false">'Assumption Setting'!$E$41</f>
        <v>600</v>
      </c>
      <c r="AL7" s="65" t="n">
        <f aca="false">'Assumption Setting'!$E$41</f>
        <v>600</v>
      </c>
      <c r="AM7" s="65" t="n">
        <f aca="false">'Assumption Setting'!$E$41</f>
        <v>600</v>
      </c>
      <c r="AN7" s="65" t="n">
        <f aca="false">'Assumption Setting'!$E$41</f>
        <v>600</v>
      </c>
      <c r="AO7" s="64" t="n">
        <f aca="false">SUM(AP7:BA7)</f>
        <v>10800</v>
      </c>
      <c r="AP7" s="65" t="n">
        <f aca="false">'Assumption Setting'!$F$41</f>
        <v>900</v>
      </c>
      <c r="AQ7" s="65" t="n">
        <f aca="false">'Assumption Setting'!$F$41</f>
        <v>900</v>
      </c>
      <c r="AR7" s="65" t="n">
        <f aca="false">'Assumption Setting'!$F$41</f>
        <v>900</v>
      </c>
      <c r="AS7" s="65" t="n">
        <f aca="false">'Assumption Setting'!$F$41</f>
        <v>900</v>
      </c>
      <c r="AT7" s="65" t="n">
        <f aca="false">'Assumption Setting'!$F$41</f>
        <v>900</v>
      </c>
      <c r="AU7" s="65" t="n">
        <f aca="false">'Assumption Setting'!$F$41</f>
        <v>900</v>
      </c>
      <c r="AV7" s="65" t="n">
        <f aca="false">'Assumption Setting'!$F$41</f>
        <v>900</v>
      </c>
      <c r="AW7" s="65" t="n">
        <f aca="false">'Assumption Setting'!$F$41</f>
        <v>900</v>
      </c>
      <c r="AX7" s="65" t="n">
        <f aca="false">'Assumption Setting'!$F$41</f>
        <v>900</v>
      </c>
      <c r="AY7" s="65" t="n">
        <f aca="false">'Assumption Setting'!$F$41</f>
        <v>900</v>
      </c>
      <c r="AZ7" s="65" t="n">
        <f aca="false">'Assumption Setting'!$F$41</f>
        <v>900</v>
      </c>
      <c r="BA7" s="65" t="n">
        <f aca="false">'Assumption Setting'!$F$41</f>
        <v>900</v>
      </c>
      <c r="BB7" s="64" t="n">
        <f aca="false">SUM(BC7:BN7)</f>
        <v>14400</v>
      </c>
      <c r="BC7" s="65" t="n">
        <f aca="false">'Assumption Setting'!$G$41</f>
        <v>1200</v>
      </c>
      <c r="BD7" s="65" t="n">
        <f aca="false">'Assumption Setting'!$G$41</f>
        <v>1200</v>
      </c>
      <c r="BE7" s="65" t="n">
        <f aca="false">'Assumption Setting'!$G$41</f>
        <v>1200</v>
      </c>
      <c r="BF7" s="65" t="n">
        <f aca="false">'Assumption Setting'!$G$41</f>
        <v>1200</v>
      </c>
      <c r="BG7" s="65" t="n">
        <f aca="false">'Assumption Setting'!$G$41</f>
        <v>1200</v>
      </c>
      <c r="BH7" s="65" t="n">
        <f aca="false">'Assumption Setting'!$G$41</f>
        <v>1200</v>
      </c>
      <c r="BI7" s="65" t="n">
        <f aca="false">'Assumption Setting'!$G$41</f>
        <v>1200</v>
      </c>
      <c r="BJ7" s="65" t="n">
        <f aca="false">'Assumption Setting'!$G$41</f>
        <v>1200</v>
      </c>
      <c r="BK7" s="65" t="n">
        <f aca="false">'Assumption Setting'!$G$41</f>
        <v>1200</v>
      </c>
      <c r="BL7" s="65" t="n">
        <f aca="false">'Assumption Setting'!$G$41</f>
        <v>1200</v>
      </c>
      <c r="BM7" s="65" t="n">
        <f aca="false">'Assumption Setting'!$G$41</f>
        <v>1200</v>
      </c>
      <c r="BN7" s="65" t="n">
        <f aca="false">'Assumption Setting'!$G$41</f>
        <v>1200</v>
      </c>
    </row>
    <row r="8" customFormat="false" ht="15" hidden="false" customHeight="false" outlineLevel="0" collapsed="false">
      <c r="A8" s="12" t="s">
        <v>596</v>
      </c>
      <c r="B8" s="78" t="n">
        <f aca="false">SUM(C8:N8)</f>
        <v>12000</v>
      </c>
      <c r="C8" s="79" t="n">
        <f aca="false">IFERROR(C7/'Assumption Setting'!$H$41,0)</f>
        <v>1000</v>
      </c>
      <c r="D8" s="79" t="n">
        <f aca="false">IFERROR(D7/'Assumption Setting'!$H$41,0)</f>
        <v>1000</v>
      </c>
      <c r="E8" s="79" t="n">
        <f aca="false">IFERROR(E7/'Assumption Setting'!$H$41,0)</f>
        <v>1000</v>
      </c>
      <c r="F8" s="79" t="n">
        <f aca="false">IFERROR(F7/'Assumption Setting'!$H$41,0)</f>
        <v>1000</v>
      </c>
      <c r="G8" s="79" t="n">
        <f aca="false">IFERROR(G7/'Assumption Setting'!$H$41,0)</f>
        <v>1000</v>
      </c>
      <c r="H8" s="79" t="n">
        <f aca="false">IFERROR(H7/'Assumption Setting'!$H$41,0)</f>
        <v>1000</v>
      </c>
      <c r="I8" s="79" t="n">
        <f aca="false">IFERROR(I7/'Assumption Setting'!$H$41,0)</f>
        <v>1000</v>
      </c>
      <c r="J8" s="79" t="n">
        <f aca="false">IFERROR(J7/'Assumption Setting'!$H$41,0)</f>
        <v>1000</v>
      </c>
      <c r="K8" s="79" t="n">
        <f aca="false">IFERROR(K7/'Assumption Setting'!$H$41,0)</f>
        <v>1000</v>
      </c>
      <c r="L8" s="79" t="n">
        <f aca="false">IFERROR(L7/'Assumption Setting'!$H$41,0)</f>
        <v>1000</v>
      </c>
      <c r="M8" s="79" t="n">
        <f aca="false">IFERROR(M7/'Assumption Setting'!$H$41,0)</f>
        <v>1000</v>
      </c>
      <c r="N8" s="79" t="n">
        <f aca="false">IFERROR(N7/'Assumption Setting'!$H$41,0)</f>
        <v>1000</v>
      </c>
      <c r="O8" s="78" t="n">
        <f aca="false">SUM(P8:AA8)</f>
        <v>36000</v>
      </c>
      <c r="P8" s="79" t="n">
        <f aca="false">IFERROR(P7/'Assumption Setting'!$H$41,0)</f>
        <v>3000</v>
      </c>
      <c r="Q8" s="79" t="n">
        <f aca="false">IFERROR(Q7/'Assumption Setting'!$H$41,0)</f>
        <v>3000</v>
      </c>
      <c r="R8" s="79" t="n">
        <f aca="false">IFERROR(R7/'Assumption Setting'!$H$41,0)</f>
        <v>3000</v>
      </c>
      <c r="S8" s="79" t="n">
        <f aca="false">IFERROR(S7/'Assumption Setting'!$H$41,0)</f>
        <v>3000</v>
      </c>
      <c r="T8" s="79" t="n">
        <f aca="false">IFERROR(T7/'Assumption Setting'!$H$41,0)</f>
        <v>3000</v>
      </c>
      <c r="U8" s="79" t="n">
        <f aca="false">IFERROR(U7/'Assumption Setting'!$H$41,0)</f>
        <v>3000</v>
      </c>
      <c r="V8" s="79" t="n">
        <f aca="false">IFERROR(V7/'Assumption Setting'!$H$41,0)</f>
        <v>3000</v>
      </c>
      <c r="W8" s="79" t="n">
        <f aca="false">IFERROR(W7/'Assumption Setting'!$H$41,0)</f>
        <v>3000</v>
      </c>
      <c r="X8" s="79" t="n">
        <f aca="false">IFERROR(X7/'Assumption Setting'!$H$41,0)</f>
        <v>3000</v>
      </c>
      <c r="Y8" s="79" t="n">
        <f aca="false">IFERROR(Y7/'Assumption Setting'!$H$41,0)</f>
        <v>3000</v>
      </c>
      <c r="Z8" s="79" t="n">
        <f aca="false">IFERROR(Z7/'Assumption Setting'!$H$41,0)</f>
        <v>3000</v>
      </c>
      <c r="AA8" s="79" t="n">
        <f aca="false">IFERROR(AA7/'Assumption Setting'!$H$41,0)</f>
        <v>3000</v>
      </c>
      <c r="AB8" s="78" t="n">
        <f aca="false">SUM(AC8:AN8)</f>
        <v>72000</v>
      </c>
      <c r="AC8" s="79" t="n">
        <f aca="false">IFERROR(AC7/'Assumption Setting'!$H$41,0)</f>
        <v>6000</v>
      </c>
      <c r="AD8" s="79" t="n">
        <f aca="false">IFERROR(AD7/'Assumption Setting'!$H$41,0)</f>
        <v>6000</v>
      </c>
      <c r="AE8" s="79" t="n">
        <f aca="false">IFERROR(AE7/'Assumption Setting'!$H$41,0)</f>
        <v>6000</v>
      </c>
      <c r="AF8" s="79" t="n">
        <f aca="false">IFERROR(AF7/'Assumption Setting'!$H$41,0)</f>
        <v>6000</v>
      </c>
      <c r="AG8" s="79" t="n">
        <f aca="false">IFERROR(AG7/'Assumption Setting'!$H$41,0)</f>
        <v>6000</v>
      </c>
      <c r="AH8" s="79" t="n">
        <f aca="false">IFERROR(AH7/'Assumption Setting'!$H$41,0)</f>
        <v>6000</v>
      </c>
      <c r="AI8" s="79" t="n">
        <f aca="false">IFERROR(AI7/'Assumption Setting'!$H$41,0)</f>
        <v>6000</v>
      </c>
      <c r="AJ8" s="79" t="n">
        <f aca="false">IFERROR(AJ7/'Assumption Setting'!$H$41,0)</f>
        <v>6000</v>
      </c>
      <c r="AK8" s="79" t="n">
        <f aca="false">IFERROR(AK7/'Assumption Setting'!$H$41,0)</f>
        <v>6000</v>
      </c>
      <c r="AL8" s="79" t="n">
        <f aca="false">IFERROR(AL7/'Assumption Setting'!$H$41,0)</f>
        <v>6000</v>
      </c>
      <c r="AM8" s="79" t="n">
        <f aca="false">IFERROR(AM7/'Assumption Setting'!$H$41,0)</f>
        <v>6000</v>
      </c>
      <c r="AN8" s="79" t="n">
        <f aca="false">IFERROR(AN7/'Assumption Setting'!$H$41,0)</f>
        <v>6000</v>
      </c>
      <c r="AO8" s="78" t="n">
        <f aca="false">SUM(AP8:BA8)</f>
        <v>108000</v>
      </c>
      <c r="AP8" s="79" t="n">
        <f aca="false">IFERROR(AP7/'Assumption Setting'!$H$41,0)</f>
        <v>9000</v>
      </c>
      <c r="AQ8" s="79" t="n">
        <f aca="false">IFERROR(AQ7/'Assumption Setting'!$H$41,0)</f>
        <v>9000</v>
      </c>
      <c r="AR8" s="79" t="n">
        <f aca="false">IFERROR(AR7/'Assumption Setting'!$H$41,0)</f>
        <v>9000</v>
      </c>
      <c r="AS8" s="79" t="n">
        <f aca="false">IFERROR(AS7/'Assumption Setting'!$H$41,0)</f>
        <v>9000</v>
      </c>
      <c r="AT8" s="79" t="n">
        <f aca="false">IFERROR(AT7/'Assumption Setting'!$H$41,0)</f>
        <v>9000</v>
      </c>
      <c r="AU8" s="79" t="n">
        <f aca="false">IFERROR(AU7/'Assumption Setting'!$H$41,0)</f>
        <v>9000</v>
      </c>
      <c r="AV8" s="79" t="n">
        <f aca="false">IFERROR(AV7/'Assumption Setting'!$H$41,0)</f>
        <v>9000</v>
      </c>
      <c r="AW8" s="79" t="n">
        <f aca="false">IFERROR(AW7/'Assumption Setting'!$H$41,0)</f>
        <v>9000</v>
      </c>
      <c r="AX8" s="79" t="n">
        <f aca="false">IFERROR(AX7/'Assumption Setting'!$H$41,0)</f>
        <v>9000</v>
      </c>
      <c r="AY8" s="79" t="n">
        <f aca="false">IFERROR(AY7/'Assumption Setting'!$H$41,0)</f>
        <v>9000</v>
      </c>
      <c r="AZ8" s="79" t="n">
        <f aca="false">IFERROR(AZ7/'Assumption Setting'!$H$41,0)</f>
        <v>9000</v>
      </c>
      <c r="BA8" s="79" t="n">
        <f aca="false">IFERROR(BA7/'Assumption Setting'!$H$41,0)</f>
        <v>9000</v>
      </c>
      <c r="BB8" s="78" t="n">
        <f aca="false">SUM(BC8:BN8)</f>
        <v>144000</v>
      </c>
      <c r="BC8" s="79" t="n">
        <f aca="false">IFERROR(BC7/'Assumption Setting'!$H$41,0)</f>
        <v>12000</v>
      </c>
      <c r="BD8" s="79" t="n">
        <f aca="false">IFERROR(BD7/'Assumption Setting'!$H$41,0)</f>
        <v>12000</v>
      </c>
      <c r="BE8" s="79" t="n">
        <f aca="false">IFERROR(BE7/'Assumption Setting'!$H$41,0)</f>
        <v>12000</v>
      </c>
      <c r="BF8" s="79" t="n">
        <f aca="false">IFERROR(BF7/'Assumption Setting'!$H$41,0)</f>
        <v>12000</v>
      </c>
      <c r="BG8" s="79" t="n">
        <f aca="false">IFERROR(BG7/'Assumption Setting'!$H$41,0)</f>
        <v>12000</v>
      </c>
      <c r="BH8" s="79" t="n">
        <f aca="false">IFERROR(BH7/'Assumption Setting'!$H$41,0)</f>
        <v>12000</v>
      </c>
      <c r="BI8" s="79" t="n">
        <f aca="false">IFERROR(BI7/'Assumption Setting'!$H$41,0)</f>
        <v>12000</v>
      </c>
      <c r="BJ8" s="79" t="n">
        <f aca="false">IFERROR(BJ7/'Assumption Setting'!$H$41,0)</f>
        <v>12000</v>
      </c>
      <c r="BK8" s="79" t="n">
        <f aca="false">IFERROR(BK7/'Assumption Setting'!$H$41,0)</f>
        <v>12000</v>
      </c>
      <c r="BL8" s="79" t="n">
        <f aca="false">IFERROR(BL7/'Assumption Setting'!$H$41,0)</f>
        <v>12000</v>
      </c>
      <c r="BM8" s="79" t="n">
        <f aca="false">IFERROR(BM7/'Assumption Setting'!$H$41,0)</f>
        <v>12000</v>
      </c>
      <c r="BN8" s="79" t="n">
        <f aca="false">IFERROR(BN7/'Assumption Setting'!$H$41,0)</f>
        <v>12000</v>
      </c>
    </row>
    <row r="9" customFormat="false" ht="15" hidden="false" customHeight="false" outlineLevel="0" collapsed="false">
      <c r="A9" s="12" t="s">
        <v>597</v>
      </c>
      <c r="B9" s="78" t="n">
        <f aca="false">SUM(C9:N9)</f>
        <v>14760</v>
      </c>
      <c r="C9" s="79" t="n">
        <f aca="false">C8*(1+'Assumption Setting'!$I$41+'Assumption Setting'!$J$41)</f>
        <v>1230</v>
      </c>
      <c r="D9" s="79" t="n">
        <f aca="false">D8*(1+'Assumption Setting'!$I$41+'Assumption Setting'!$J$41)</f>
        <v>1230</v>
      </c>
      <c r="E9" s="79" t="n">
        <f aca="false">E8*(1+'Assumption Setting'!$I$41+'Assumption Setting'!$J$41)</f>
        <v>1230</v>
      </c>
      <c r="F9" s="79" t="n">
        <f aca="false">F8*(1+'Assumption Setting'!$I$41+'Assumption Setting'!$J$41)</f>
        <v>1230</v>
      </c>
      <c r="G9" s="79" t="n">
        <f aca="false">G8*(1+'Assumption Setting'!$I$41+'Assumption Setting'!$J$41)</f>
        <v>1230</v>
      </c>
      <c r="H9" s="79" t="n">
        <f aca="false">H8*(1+'Assumption Setting'!$I$41+'Assumption Setting'!$J$41)</f>
        <v>1230</v>
      </c>
      <c r="I9" s="79" t="n">
        <f aca="false">I8*(1+'Assumption Setting'!$I$41+'Assumption Setting'!$J$41)</f>
        <v>1230</v>
      </c>
      <c r="J9" s="79" t="n">
        <f aca="false">J8*(1+'Assumption Setting'!$I$41+'Assumption Setting'!$J$41)</f>
        <v>1230</v>
      </c>
      <c r="K9" s="79" t="n">
        <f aca="false">K8*(1+'Assumption Setting'!$I$41+'Assumption Setting'!$J$41)</f>
        <v>1230</v>
      </c>
      <c r="L9" s="79" t="n">
        <f aca="false">L8*(1+'Assumption Setting'!$I$41+'Assumption Setting'!$J$41)</f>
        <v>1230</v>
      </c>
      <c r="M9" s="79" t="n">
        <f aca="false">M8*(1+'Assumption Setting'!$I$41+'Assumption Setting'!$J$41)</f>
        <v>1230</v>
      </c>
      <c r="N9" s="79" t="n">
        <f aca="false">N8*(1+'Assumption Setting'!$I$41+'Assumption Setting'!$J$41)</f>
        <v>1230</v>
      </c>
      <c r="O9" s="78" t="n">
        <f aca="false">SUM(P9:AA9)</f>
        <v>44280</v>
      </c>
      <c r="P9" s="79" t="n">
        <f aca="false">P8*(1+'Assumption Setting'!$I$41+'Assumption Setting'!$J$41)</f>
        <v>3690</v>
      </c>
      <c r="Q9" s="79" t="n">
        <f aca="false">Q8*(1+'Assumption Setting'!$I$41+'Assumption Setting'!$J$41)</f>
        <v>3690</v>
      </c>
      <c r="R9" s="79" t="n">
        <f aca="false">R8*(1+'Assumption Setting'!$I$41+'Assumption Setting'!$J$41)</f>
        <v>3690</v>
      </c>
      <c r="S9" s="79" t="n">
        <f aca="false">S8*(1+'Assumption Setting'!$I$41+'Assumption Setting'!$J$41)</f>
        <v>3690</v>
      </c>
      <c r="T9" s="79" t="n">
        <f aca="false">T8*(1+'Assumption Setting'!$I$41+'Assumption Setting'!$J$41)</f>
        <v>3690</v>
      </c>
      <c r="U9" s="79" t="n">
        <f aca="false">U8*(1+'Assumption Setting'!$I$41+'Assumption Setting'!$J$41)</f>
        <v>3690</v>
      </c>
      <c r="V9" s="79" t="n">
        <f aca="false">V8*(1+'Assumption Setting'!$I$41+'Assumption Setting'!$J$41)</f>
        <v>3690</v>
      </c>
      <c r="W9" s="79" t="n">
        <f aca="false">W8*(1+'Assumption Setting'!$I$41+'Assumption Setting'!$J$41)</f>
        <v>3690</v>
      </c>
      <c r="X9" s="79" t="n">
        <f aca="false">X8*(1+'Assumption Setting'!$I$41+'Assumption Setting'!$J$41)</f>
        <v>3690</v>
      </c>
      <c r="Y9" s="79" t="n">
        <f aca="false">Y8*(1+'Assumption Setting'!$I$41+'Assumption Setting'!$J$41)</f>
        <v>3690</v>
      </c>
      <c r="Z9" s="79" t="n">
        <f aca="false">Z8*(1+'Assumption Setting'!$I$41+'Assumption Setting'!$J$41)</f>
        <v>3690</v>
      </c>
      <c r="AA9" s="79" t="n">
        <f aca="false">AA8*(1+'Assumption Setting'!$I$41+'Assumption Setting'!$J$41)</f>
        <v>3690</v>
      </c>
      <c r="AB9" s="78" t="n">
        <f aca="false">SUM(AC9:AN9)</f>
        <v>88560</v>
      </c>
      <c r="AC9" s="79" t="n">
        <f aca="false">AC8*(1+'Assumption Setting'!$I$41+'Assumption Setting'!$J$41)</f>
        <v>7380</v>
      </c>
      <c r="AD9" s="79" t="n">
        <f aca="false">AD8*(1+'Assumption Setting'!$I$41+'Assumption Setting'!$J$41)</f>
        <v>7380</v>
      </c>
      <c r="AE9" s="79" t="n">
        <f aca="false">AE8*(1+'Assumption Setting'!$I$41+'Assumption Setting'!$J$41)</f>
        <v>7380</v>
      </c>
      <c r="AF9" s="79" t="n">
        <f aca="false">AF8*(1+'Assumption Setting'!$I$41+'Assumption Setting'!$J$41)</f>
        <v>7380</v>
      </c>
      <c r="AG9" s="79" t="n">
        <f aca="false">AG8*(1+'Assumption Setting'!$I$41+'Assumption Setting'!$J$41)</f>
        <v>7380</v>
      </c>
      <c r="AH9" s="79" t="n">
        <f aca="false">AH8*(1+'Assumption Setting'!$I$41+'Assumption Setting'!$J$41)</f>
        <v>7380</v>
      </c>
      <c r="AI9" s="79" t="n">
        <f aca="false">AI8*(1+'Assumption Setting'!$I$41+'Assumption Setting'!$J$41)</f>
        <v>7380</v>
      </c>
      <c r="AJ9" s="79" t="n">
        <f aca="false">AJ8*(1+'Assumption Setting'!$I$41+'Assumption Setting'!$J$41)</f>
        <v>7380</v>
      </c>
      <c r="AK9" s="79" t="n">
        <f aca="false">AK8*(1+'Assumption Setting'!$I$41+'Assumption Setting'!$J$41)</f>
        <v>7380</v>
      </c>
      <c r="AL9" s="79" t="n">
        <f aca="false">AL8*(1+'Assumption Setting'!$I$41+'Assumption Setting'!$J$41)</f>
        <v>7380</v>
      </c>
      <c r="AM9" s="79" t="n">
        <f aca="false">AM8*(1+'Assumption Setting'!$I$41+'Assumption Setting'!$J$41)</f>
        <v>7380</v>
      </c>
      <c r="AN9" s="79" t="n">
        <f aca="false">AN8*(1+'Assumption Setting'!$I$41+'Assumption Setting'!$J$41)</f>
        <v>7380</v>
      </c>
      <c r="AO9" s="78" t="n">
        <f aca="false">SUM(AP9:BA9)</f>
        <v>132840</v>
      </c>
      <c r="AP9" s="79" t="n">
        <f aca="false">AP8*(1+'Assumption Setting'!$I$41+'Assumption Setting'!$J$41)</f>
        <v>11070</v>
      </c>
      <c r="AQ9" s="79" t="n">
        <f aca="false">AQ8*(1+'Assumption Setting'!$I$41+'Assumption Setting'!$J$41)</f>
        <v>11070</v>
      </c>
      <c r="AR9" s="79" t="n">
        <f aca="false">AR8*(1+'Assumption Setting'!$I$41+'Assumption Setting'!$J$41)</f>
        <v>11070</v>
      </c>
      <c r="AS9" s="79" t="n">
        <f aca="false">AS8*(1+'Assumption Setting'!$I$41+'Assumption Setting'!$J$41)</f>
        <v>11070</v>
      </c>
      <c r="AT9" s="79" t="n">
        <f aca="false">AT8*(1+'Assumption Setting'!$I$41+'Assumption Setting'!$J$41)</f>
        <v>11070</v>
      </c>
      <c r="AU9" s="79" t="n">
        <f aca="false">AU8*(1+'Assumption Setting'!$I$41+'Assumption Setting'!$J$41)</f>
        <v>11070</v>
      </c>
      <c r="AV9" s="79" t="n">
        <f aca="false">AV8*(1+'Assumption Setting'!$I$41+'Assumption Setting'!$J$41)</f>
        <v>11070</v>
      </c>
      <c r="AW9" s="79" t="n">
        <f aca="false">AW8*(1+'Assumption Setting'!$I$41+'Assumption Setting'!$J$41)</f>
        <v>11070</v>
      </c>
      <c r="AX9" s="79" t="n">
        <f aca="false">AX8*(1+'Assumption Setting'!$I$41+'Assumption Setting'!$J$41)</f>
        <v>11070</v>
      </c>
      <c r="AY9" s="79" t="n">
        <f aca="false">AY8*(1+'Assumption Setting'!$I$41+'Assumption Setting'!$J$41)</f>
        <v>11070</v>
      </c>
      <c r="AZ9" s="79" t="n">
        <f aca="false">AZ8*(1+'Assumption Setting'!$I$41+'Assumption Setting'!$J$41)</f>
        <v>11070</v>
      </c>
      <c r="BA9" s="79" t="n">
        <f aca="false">BA8*(1+'Assumption Setting'!$I$41+'Assumption Setting'!$J$41)</f>
        <v>11070</v>
      </c>
      <c r="BB9" s="78" t="n">
        <f aca="false">SUM(BC9:BN9)</f>
        <v>177120</v>
      </c>
      <c r="BC9" s="79" t="n">
        <f aca="false">BC8*(1+'Assumption Setting'!$I$41+'Assumption Setting'!$J$41)</f>
        <v>14760</v>
      </c>
      <c r="BD9" s="79" t="n">
        <f aca="false">BD8*(1+'Assumption Setting'!$I$41+'Assumption Setting'!$J$41)</f>
        <v>14760</v>
      </c>
      <c r="BE9" s="79" t="n">
        <f aca="false">BE8*(1+'Assumption Setting'!$I$41+'Assumption Setting'!$J$41)</f>
        <v>14760</v>
      </c>
      <c r="BF9" s="79" t="n">
        <f aca="false">BF8*(1+'Assumption Setting'!$I$41+'Assumption Setting'!$J$41)</f>
        <v>14760</v>
      </c>
      <c r="BG9" s="79" t="n">
        <f aca="false">BG8*(1+'Assumption Setting'!$I$41+'Assumption Setting'!$J$41)</f>
        <v>14760</v>
      </c>
      <c r="BH9" s="79" t="n">
        <f aca="false">BH8*(1+'Assumption Setting'!$I$41+'Assumption Setting'!$J$41)</f>
        <v>14760</v>
      </c>
      <c r="BI9" s="79" t="n">
        <f aca="false">BI8*(1+'Assumption Setting'!$I$41+'Assumption Setting'!$J$41)</f>
        <v>14760</v>
      </c>
      <c r="BJ9" s="79" t="n">
        <f aca="false">BJ8*(1+'Assumption Setting'!$I$41+'Assumption Setting'!$J$41)</f>
        <v>14760</v>
      </c>
      <c r="BK9" s="79" t="n">
        <f aca="false">BK8*(1+'Assumption Setting'!$I$41+'Assumption Setting'!$J$41)</f>
        <v>14760</v>
      </c>
      <c r="BL9" s="79" t="n">
        <f aca="false">BL8*(1+'Assumption Setting'!$I$41+'Assumption Setting'!$J$41)</f>
        <v>14760</v>
      </c>
      <c r="BM9" s="79" t="n">
        <f aca="false">BM8*(1+'Assumption Setting'!$I$41+'Assumption Setting'!$J$41)</f>
        <v>14760</v>
      </c>
      <c r="BN9" s="79" t="n">
        <f aca="false">BN8*(1+'Assumption Setting'!$I$41+'Assumption Setting'!$J$41)</f>
        <v>14760</v>
      </c>
    </row>
    <row r="10" customFormat="false" ht="15" hidden="false" customHeight="false" outlineLevel="0" collapsed="false">
      <c r="A10" s="12" t="s">
        <v>598</v>
      </c>
      <c r="B10" s="80" t="n">
        <f aca="false">SUM(C10:N10)</f>
        <v>221.4</v>
      </c>
      <c r="C10" s="81" t="n">
        <f aca="false">C9*'Assumption Setting'!$K$41</f>
        <v>18.45</v>
      </c>
      <c r="D10" s="81" t="n">
        <f aca="false">D9*'Assumption Setting'!$K$41</f>
        <v>18.45</v>
      </c>
      <c r="E10" s="81" t="n">
        <f aca="false">E9*'Assumption Setting'!$K$41</f>
        <v>18.45</v>
      </c>
      <c r="F10" s="81" t="n">
        <f aca="false">F9*'Assumption Setting'!$K$41</f>
        <v>18.45</v>
      </c>
      <c r="G10" s="81" t="n">
        <f aca="false">G9*'Assumption Setting'!$K$41</f>
        <v>18.45</v>
      </c>
      <c r="H10" s="81" t="n">
        <f aca="false">H9*'Assumption Setting'!$K$41</f>
        <v>18.45</v>
      </c>
      <c r="I10" s="81" t="n">
        <f aca="false">I9*'Assumption Setting'!$K$41</f>
        <v>18.45</v>
      </c>
      <c r="J10" s="81" t="n">
        <f aca="false">J9*'Assumption Setting'!$K$41</f>
        <v>18.45</v>
      </c>
      <c r="K10" s="81" t="n">
        <f aca="false">K9*'Assumption Setting'!$K$41</f>
        <v>18.45</v>
      </c>
      <c r="L10" s="81" t="n">
        <f aca="false">L9*'Assumption Setting'!$K$41</f>
        <v>18.45</v>
      </c>
      <c r="M10" s="81" t="n">
        <f aca="false">M9*'Assumption Setting'!$K$41</f>
        <v>18.45</v>
      </c>
      <c r="N10" s="81" t="n">
        <f aca="false">N9*'Assumption Setting'!$K$41</f>
        <v>18.45</v>
      </c>
      <c r="O10" s="80" t="n">
        <f aca="false">SUM(P10:AA10)</f>
        <v>664.2</v>
      </c>
      <c r="P10" s="81" t="n">
        <f aca="false">P9*'Assumption Setting'!$K$41</f>
        <v>55.35</v>
      </c>
      <c r="Q10" s="81" t="n">
        <f aca="false">Q9*'Assumption Setting'!$K$41</f>
        <v>55.35</v>
      </c>
      <c r="R10" s="81" t="n">
        <f aca="false">R9*'Assumption Setting'!$K$41</f>
        <v>55.35</v>
      </c>
      <c r="S10" s="81" t="n">
        <f aca="false">S9*'Assumption Setting'!$K$41</f>
        <v>55.35</v>
      </c>
      <c r="T10" s="81" t="n">
        <f aca="false">T9*'Assumption Setting'!$K$41</f>
        <v>55.35</v>
      </c>
      <c r="U10" s="81" t="n">
        <f aca="false">U9*'Assumption Setting'!$K$41</f>
        <v>55.35</v>
      </c>
      <c r="V10" s="81" t="n">
        <f aca="false">V9*'Assumption Setting'!$K$41</f>
        <v>55.35</v>
      </c>
      <c r="W10" s="81" t="n">
        <f aca="false">W9*'Assumption Setting'!$K$41</f>
        <v>55.35</v>
      </c>
      <c r="X10" s="81" t="n">
        <f aca="false">X9*'Assumption Setting'!$K$41</f>
        <v>55.35</v>
      </c>
      <c r="Y10" s="81" t="n">
        <f aca="false">Y9*'Assumption Setting'!$K$41</f>
        <v>55.35</v>
      </c>
      <c r="Z10" s="81" t="n">
        <f aca="false">Z9*'Assumption Setting'!$K$41</f>
        <v>55.35</v>
      </c>
      <c r="AA10" s="81" t="n">
        <f aca="false">AA9*'Assumption Setting'!$K$41</f>
        <v>55.35</v>
      </c>
      <c r="AB10" s="80" t="n">
        <f aca="false">SUM(AC10:AN10)</f>
        <v>1328.4</v>
      </c>
      <c r="AC10" s="81" t="n">
        <f aca="false">AC9*'Assumption Setting'!$K$41</f>
        <v>110.7</v>
      </c>
      <c r="AD10" s="81" t="n">
        <f aca="false">AD9*'Assumption Setting'!$K$41</f>
        <v>110.7</v>
      </c>
      <c r="AE10" s="81" t="n">
        <f aca="false">AE9*'Assumption Setting'!$K$41</f>
        <v>110.7</v>
      </c>
      <c r="AF10" s="81" t="n">
        <f aca="false">AF9*'Assumption Setting'!$K$41</f>
        <v>110.7</v>
      </c>
      <c r="AG10" s="81" t="n">
        <f aca="false">AG9*'Assumption Setting'!$K$41</f>
        <v>110.7</v>
      </c>
      <c r="AH10" s="81" t="n">
        <f aca="false">AH9*'Assumption Setting'!$K$41</f>
        <v>110.7</v>
      </c>
      <c r="AI10" s="81" t="n">
        <f aca="false">AI9*'Assumption Setting'!$K$41</f>
        <v>110.7</v>
      </c>
      <c r="AJ10" s="81" t="n">
        <f aca="false">AJ9*'Assumption Setting'!$K$41</f>
        <v>110.7</v>
      </c>
      <c r="AK10" s="81" t="n">
        <f aca="false">AK9*'Assumption Setting'!$K$41</f>
        <v>110.7</v>
      </c>
      <c r="AL10" s="81" t="n">
        <f aca="false">AL9*'Assumption Setting'!$K$41</f>
        <v>110.7</v>
      </c>
      <c r="AM10" s="81" t="n">
        <f aca="false">AM9*'Assumption Setting'!$K$41</f>
        <v>110.7</v>
      </c>
      <c r="AN10" s="81" t="n">
        <f aca="false">AN9*'Assumption Setting'!$K$41</f>
        <v>110.7</v>
      </c>
      <c r="AO10" s="80" t="n">
        <f aca="false">SUM(AP10:BA10)</f>
        <v>1992.6</v>
      </c>
      <c r="AP10" s="81" t="n">
        <f aca="false">AP9*'Assumption Setting'!$K$41</f>
        <v>166.05</v>
      </c>
      <c r="AQ10" s="81" t="n">
        <f aca="false">AQ9*'Assumption Setting'!$K$41</f>
        <v>166.05</v>
      </c>
      <c r="AR10" s="81" t="n">
        <f aca="false">AR9*'Assumption Setting'!$K$41</f>
        <v>166.05</v>
      </c>
      <c r="AS10" s="81" t="n">
        <f aca="false">AS9*'Assumption Setting'!$K$41</f>
        <v>166.05</v>
      </c>
      <c r="AT10" s="81" t="n">
        <f aca="false">AT9*'Assumption Setting'!$K$41</f>
        <v>166.05</v>
      </c>
      <c r="AU10" s="81" t="n">
        <f aca="false">AU9*'Assumption Setting'!$K$41</f>
        <v>166.05</v>
      </c>
      <c r="AV10" s="81" t="n">
        <f aca="false">AV9*'Assumption Setting'!$K$41</f>
        <v>166.05</v>
      </c>
      <c r="AW10" s="81" t="n">
        <f aca="false">AW9*'Assumption Setting'!$K$41</f>
        <v>166.05</v>
      </c>
      <c r="AX10" s="81" t="n">
        <f aca="false">AX9*'Assumption Setting'!$K$41</f>
        <v>166.05</v>
      </c>
      <c r="AY10" s="81" t="n">
        <f aca="false">AY9*'Assumption Setting'!$K$41</f>
        <v>166.05</v>
      </c>
      <c r="AZ10" s="81" t="n">
        <f aca="false">AZ9*'Assumption Setting'!$K$41</f>
        <v>166.05</v>
      </c>
      <c r="BA10" s="81" t="n">
        <f aca="false">BA9*'Assumption Setting'!$K$41</f>
        <v>166.05</v>
      </c>
      <c r="BB10" s="80" t="n">
        <f aca="false">SUM(BC10:BN10)</f>
        <v>2656.8</v>
      </c>
      <c r="BC10" s="81" t="n">
        <f aca="false">BC9*'Assumption Setting'!$K$41</f>
        <v>221.4</v>
      </c>
      <c r="BD10" s="81" t="n">
        <f aca="false">BD9*'Assumption Setting'!$K$41</f>
        <v>221.4</v>
      </c>
      <c r="BE10" s="81" t="n">
        <f aca="false">BE9*'Assumption Setting'!$K$41</f>
        <v>221.4</v>
      </c>
      <c r="BF10" s="81" t="n">
        <f aca="false">BF9*'Assumption Setting'!$K$41</f>
        <v>221.4</v>
      </c>
      <c r="BG10" s="81" t="n">
        <f aca="false">BG9*'Assumption Setting'!$K$41</f>
        <v>221.4</v>
      </c>
      <c r="BH10" s="81" t="n">
        <f aca="false">BH9*'Assumption Setting'!$K$41</f>
        <v>221.4</v>
      </c>
      <c r="BI10" s="81" t="n">
        <f aca="false">BI9*'Assumption Setting'!$K$41</f>
        <v>221.4</v>
      </c>
      <c r="BJ10" s="81" t="n">
        <f aca="false">BJ9*'Assumption Setting'!$K$41</f>
        <v>221.4</v>
      </c>
      <c r="BK10" s="81" t="n">
        <f aca="false">BK9*'Assumption Setting'!$K$41</f>
        <v>221.4</v>
      </c>
      <c r="BL10" s="81" t="n">
        <f aca="false">BL9*'Assumption Setting'!$K$41</f>
        <v>221.4</v>
      </c>
      <c r="BM10" s="81" t="n">
        <f aca="false">BM9*'Assumption Setting'!$K$41</f>
        <v>221.4</v>
      </c>
      <c r="BN10" s="81" t="n">
        <f aca="false">BN9*'Assumption Setting'!$K$41</f>
        <v>221.4</v>
      </c>
    </row>
    <row r="11" customFormat="false" ht="15" hidden="false" customHeight="false" outlineLevel="0" collapsed="false">
      <c r="A11" s="12" t="s">
        <v>234</v>
      </c>
      <c r="B11" s="64" t="n">
        <f aca="false">SUM(C11:N11)</f>
        <v>960</v>
      </c>
      <c r="C11" s="65" t="n">
        <f aca="false">'Assumption Setting'!$C$42</f>
        <v>80</v>
      </c>
      <c r="D11" s="65" t="n">
        <f aca="false">'Assumption Setting'!$C$42</f>
        <v>80</v>
      </c>
      <c r="E11" s="65" t="n">
        <f aca="false">'Assumption Setting'!$C$42</f>
        <v>80</v>
      </c>
      <c r="F11" s="65" t="n">
        <f aca="false">'Assumption Setting'!$C$42</f>
        <v>80</v>
      </c>
      <c r="G11" s="65" t="n">
        <f aca="false">'Assumption Setting'!$C$42</f>
        <v>80</v>
      </c>
      <c r="H11" s="65" t="n">
        <f aca="false">'Assumption Setting'!$C$42</f>
        <v>80</v>
      </c>
      <c r="I11" s="65" t="n">
        <f aca="false">'Assumption Setting'!$C$42</f>
        <v>80</v>
      </c>
      <c r="J11" s="65" t="n">
        <f aca="false">'Assumption Setting'!$C$42</f>
        <v>80</v>
      </c>
      <c r="K11" s="65" t="n">
        <f aca="false">'Assumption Setting'!$C$42</f>
        <v>80</v>
      </c>
      <c r="L11" s="65" t="n">
        <f aca="false">'Assumption Setting'!$C$42</f>
        <v>80</v>
      </c>
      <c r="M11" s="65" t="n">
        <f aca="false">'Assumption Setting'!$C$42</f>
        <v>80</v>
      </c>
      <c r="N11" s="65" t="n">
        <f aca="false">'Assumption Setting'!$C$42</f>
        <v>80</v>
      </c>
      <c r="O11" s="64" t="n">
        <f aca="false">SUM(P11:AA11)</f>
        <v>3000</v>
      </c>
      <c r="P11" s="65" t="n">
        <f aca="false">'Assumption Setting'!$D$42</f>
        <v>250</v>
      </c>
      <c r="Q11" s="65" t="n">
        <f aca="false">'Assumption Setting'!$D$42</f>
        <v>250</v>
      </c>
      <c r="R11" s="65" t="n">
        <f aca="false">'Assumption Setting'!$D$42</f>
        <v>250</v>
      </c>
      <c r="S11" s="65" t="n">
        <f aca="false">'Assumption Setting'!$D$42</f>
        <v>250</v>
      </c>
      <c r="T11" s="65" t="n">
        <f aca="false">'Assumption Setting'!$D$42</f>
        <v>250</v>
      </c>
      <c r="U11" s="65" t="n">
        <f aca="false">'Assumption Setting'!$D$42</f>
        <v>250</v>
      </c>
      <c r="V11" s="65" t="n">
        <f aca="false">'Assumption Setting'!$D$42</f>
        <v>250</v>
      </c>
      <c r="W11" s="65" t="n">
        <f aca="false">'Assumption Setting'!$D$42</f>
        <v>250</v>
      </c>
      <c r="X11" s="65" t="n">
        <f aca="false">'Assumption Setting'!$D$42</f>
        <v>250</v>
      </c>
      <c r="Y11" s="65" t="n">
        <f aca="false">'Assumption Setting'!$D$42</f>
        <v>250</v>
      </c>
      <c r="Z11" s="65" t="n">
        <f aca="false">'Assumption Setting'!$D$42</f>
        <v>250</v>
      </c>
      <c r="AA11" s="65" t="n">
        <f aca="false">'Assumption Setting'!$D$42</f>
        <v>250</v>
      </c>
      <c r="AB11" s="64" t="n">
        <f aca="false">SUM(AC11:AN11)</f>
        <v>6600</v>
      </c>
      <c r="AC11" s="65" t="n">
        <f aca="false">'Assumption Setting'!$E$42</f>
        <v>550</v>
      </c>
      <c r="AD11" s="65" t="n">
        <f aca="false">'Assumption Setting'!$E$42</f>
        <v>550</v>
      </c>
      <c r="AE11" s="65" t="n">
        <f aca="false">'Assumption Setting'!$E$42</f>
        <v>550</v>
      </c>
      <c r="AF11" s="65" t="n">
        <f aca="false">'Assumption Setting'!$E$42</f>
        <v>550</v>
      </c>
      <c r="AG11" s="65" t="n">
        <f aca="false">'Assumption Setting'!$E$42</f>
        <v>550</v>
      </c>
      <c r="AH11" s="65" t="n">
        <f aca="false">'Assumption Setting'!$E$42</f>
        <v>550</v>
      </c>
      <c r="AI11" s="65" t="n">
        <f aca="false">'Assumption Setting'!$E$42</f>
        <v>550</v>
      </c>
      <c r="AJ11" s="65" t="n">
        <f aca="false">'Assumption Setting'!$E$42</f>
        <v>550</v>
      </c>
      <c r="AK11" s="65" t="n">
        <f aca="false">'Assumption Setting'!$E$42</f>
        <v>550</v>
      </c>
      <c r="AL11" s="65" t="n">
        <f aca="false">'Assumption Setting'!$E$42</f>
        <v>550</v>
      </c>
      <c r="AM11" s="65" t="n">
        <f aca="false">'Assumption Setting'!$E$42</f>
        <v>550</v>
      </c>
      <c r="AN11" s="65" t="n">
        <f aca="false">'Assumption Setting'!$E$42</f>
        <v>550</v>
      </c>
      <c r="AO11" s="64" t="n">
        <f aca="false">SUM(AP11:BA11)</f>
        <v>10200</v>
      </c>
      <c r="AP11" s="65" t="n">
        <f aca="false">'Assumption Setting'!$F$42</f>
        <v>850</v>
      </c>
      <c r="AQ11" s="65" t="n">
        <f aca="false">'Assumption Setting'!$F$42</f>
        <v>850</v>
      </c>
      <c r="AR11" s="65" t="n">
        <f aca="false">'Assumption Setting'!$F$42</f>
        <v>850</v>
      </c>
      <c r="AS11" s="65" t="n">
        <f aca="false">'Assumption Setting'!$F$42</f>
        <v>850</v>
      </c>
      <c r="AT11" s="65" t="n">
        <f aca="false">'Assumption Setting'!$F$42</f>
        <v>850</v>
      </c>
      <c r="AU11" s="65" t="n">
        <f aca="false">'Assumption Setting'!$F$42</f>
        <v>850</v>
      </c>
      <c r="AV11" s="65" t="n">
        <f aca="false">'Assumption Setting'!$F$42</f>
        <v>850</v>
      </c>
      <c r="AW11" s="65" t="n">
        <f aca="false">'Assumption Setting'!$F$42</f>
        <v>850</v>
      </c>
      <c r="AX11" s="65" t="n">
        <f aca="false">'Assumption Setting'!$F$42</f>
        <v>850</v>
      </c>
      <c r="AY11" s="65" t="n">
        <f aca="false">'Assumption Setting'!$F$42</f>
        <v>850</v>
      </c>
      <c r="AZ11" s="65" t="n">
        <f aca="false">'Assumption Setting'!$F$42</f>
        <v>850</v>
      </c>
      <c r="BA11" s="65" t="n">
        <f aca="false">'Assumption Setting'!$F$42</f>
        <v>850</v>
      </c>
      <c r="BB11" s="64" t="n">
        <f aca="false">SUM(BC11:BN11)</f>
        <v>13200</v>
      </c>
      <c r="BC11" s="65" t="n">
        <f aca="false">'Assumption Setting'!$G$42</f>
        <v>1100</v>
      </c>
      <c r="BD11" s="65" t="n">
        <f aca="false">'Assumption Setting'!$G$42</f>
        <v>1100</v>
      </c>
      <c r="BE11" s="65" t="n">
        <f aca="false">'Assumption Setting'!$G$42</f>
        <v>1100</v>
      </c>
      <c r="BF11" s="65" t="n">
        <f aca="false">'Assumption Setting'!$G$42</f>
        <v>1100</v>
      </c>
      <c r="BG11" s="65" t="n">
        <f aca="false">'Assumption Setting'!$G$42</f>
        <v>1100</v>
      </c>
      <c r="BH11" s="65" t="n">
        <f aca="false">'Assumption Setting'!$G$42</f>
        <v>1100</v>
      </c>
      <c r="BI11" s="65" t="n">
        <f aca="false">'Assumption Setting'!$G$42</f>
        <v>1100</v>
      </c>
      <c r="BJ11" s="65" t="n">
        <f aca="false">'Assumption Setting'!$G$42</f>
        <v>1100</v>
      </c>
      <c r="BK11" s="65" t="n">
        <f aca="false">'Assumption Setting'!$G$42</f>
        <v>1100</v>
      </c>
      <c r="BL11" s="65" t="n">
        <f aca="false">'Assumption Setting'!$G$42</f>
        <v>1100</v>
      </c>
      <c r="BM11" s="65" t="n">
        <f aca="false">'Assumption Setting'!$G$42</f>
        <v>1100</v>
      </c>
      <c r="BN11" s="65" t="n">
        <f aca="false">'Assumption Setting'!$G$42</f>
        <v>1100</v>
      </c>
    </row>
    <row r="12" customFormat="false" ht="15" hidden="false" customHeight="false" outlineLevel="0" collapsed="false">
      <c r="A12" s="12" t="s">
        <v>596</v>
      </c>
      <c r="B12" s="78" t="n">
        <f aca="false">SUM(C12:N12)</f>
        <v>5333.33333333333</v>
      </c>
      <c r="C12" s="79" t="n">
        <f aca="false">IFERROR(C11/'Assumption Setting'!$H$42,0)</f>
        <v>444.444444444444</v>
      </c>
      <c r="D12" s="79" t="n">
        <f aca="false">IFERROR(D11/'Assumption Setting'!$H$42,0)</f>
        <v>444.444444444444</v>
      </c>
      <c r="E12" s="79" t="n">
        <f aca="false">IFERROR(E11/'Assumption Setting'!$H$42,0)</f>
        <v>444.444444444444</v>
      </c>
      <c r="F12" s="79" t="n">
        <f aca="false">IFERROR(F11/'Assumption Setting'!$H$42,0)</f>
        <v>444.444444444444</v>
      </c>
      <c r="G12" s="79" t="n">
        <f aca="false">IFERROR(G11/'Assumption Setting'!$H$42,0)</f>
        <v>444.444444444444</v>
      </c>
      <c r="H12" s="79" t="n">
        <f aca="false">IFERROR(H11/'Assumption Setting'!$H$42,0)</f>
        <v>444.444444444444</v>
      </c>
      <c r="I12" s="79" t="n">
        <f aca="false">IFERROR(I11/'Assumption Setting'!$H$42,0)</f>
        <v>444.444444444444</v>
      </c>
      <c r="J12" s="79" t="n">
        <f aca="false">IFERROR(J11/'Assumption Setting'!$H$42,0)</f>
        <v>444.444444444444</v>
      </c>
      <c r="K12" s="79" t="n">
        <f aca="false">IFERROR(K11/'Assumption Setting'!$H$42,0)</f>
        <v>444.444444444444</v>
      </c>
      <c r="L12" s="79" t="n">
        <f aca="false">IFERROR(L11/'Assumption Setting'!$H$42,0)</f>
        <v>444.444444444444</v>
      </c>
      <c r="M12" s="79" t="n">
        <f aca="false">IFERROR(M11/'Assumption Setting'!$H$42,0)</f>
        <v>444.444444444444</v>
      </c>
      <c r="N12" s="79" t="n">
        <f aca="false">IFERROR(N11/'Assumption Setting'!$H$42,0)</f>
        <v>444.444444444444</v>
      </c>
      <c r="O12" s="78" t="n">
        <f aca="false">SUM(P12:AA12)</f>
        <v>16666.6666666667</v>
      </c>
      <c r="P12" s="79" t="n">
        <f aca="false">IFERROR(P11/'Assumption Setting'!$H$42,0)</f>
        <v>1388.88888888889</v>
      </c>
      <c r="Q12" s="79" t="n">
        <f aca="false">IFERROR(Q11/'Assumption Setting'!$H$42,0)</f>
        <v>1388.88888888889</v>
      </c>
      <c r="R12" s="79" t="n">
        <f aca="false">IFERROR(R11/'Assumption Setting'!$H$42,0)</f>
        <v>1388.88888888889</v>
      </c>
      <c r="S12" s="79" t="n">
        <f aca="false">IFERROR(S11/'Assumption Setting'!$H$42,0)</f>
        <v>1388.88888888889</v>
      </c>
      <c r="T12" s="79" t="n">
        <f aca="false">IFERROR(T11/'Assumption Setting'!$H$42,0)</f>
        <v>1388.88888888889</v>
      </c>
      <c r="U12" s="79" t="n">
        <f aca="false">IFERROR(U11/'Assumption Setting'!$H$42,0)</f>
        <v>1388.88888888889</v>
      </c>
      <c r="V12" s="79" t="n">
        <f aca="false">IFERROR(V11/'Assumption Setting'!$H$42,0)</f>
        <v>1388.88888888889</v>
      </c>
      <c r="W12" s="79" t="n">
        <f aca="false">IFERROR(W11/'Assumption Setting'!$H$42,0)</f>
        <v>1388.88888888889</v>
      </c>
      <c r="X12" s="79" t="n">
        <f aca="false">IFERROR(X11/'Assumption Setting'!$H$42,0)</f>
        <v>1388.88888888889</v>
      </c>
      <c r="Y12" s="79" t="n">
        <f aca="false">IFERROR(Y11/'Assumption Setting'!$H$42,0)</f>
        <v>1388.88888888889</v>
      </c>
      <c r="Z12" s="79" t="n">
        <f aca="false">IFERROR(Z11/'Assumption Setting'!$H$42,0)</f>
        <v>1388.88888888889</v>
      </c>
      <c r="AA12" s="79" t="n">
        <f aca="false">IFERROR(AA11/'Assumption Setting'!$H$42,0)</f>
        <v>1388.88888888889</v>
      </c>
      <c r="AB12" s="78" t="n">
        <f aca="false">SUM(AC12:AN12)</f>
        <v>36666.6666666667</v>
      </c>
      <c r="AC12" s="79" t="n">
        <f aca="false">IFERROR(AC11/'Assumption Setting'!$H$42,0)</f>
        <v>3055.55555555556</v>
      </c>
      <c r="AD12" s="79" t="n">
        <f aca="false">IFERROR(AD11/'Assumption Setting'!$H$42,0)</f>
        <v>3055.55555555556</v>
      </c>
      <c r="AE12" s="79" t="n">
        <f aca="false">IFERROR(AE11/'Assumption Setting'!$H$42,0)</f>
        <v>3055.55555555556</v>
      </c>
      <c r="AF12" s="79" t="n">
        <f aca="false">IFERROR(AF11/'Assumption Setting'!$H$42,0)</f>
        <v>3055.55555555556</v>
      </c>
      <c r="AG12" s="79" t="n">
        <f aca="false">IFERROR(AG11/'Assumption Setting'!$H$42,0)</f>
        <v>3055.55555555556</v>
      </c>
      <c r="AH12" s="79" t="n">
        <f aca="false">IFERROR(AH11/'Assumption Setting'!$H$42,0)</f>
        <v>3055.55555555556</v>
      </c>
      <c r="AI12" s="79" t="n">
        <f aca="false">IFERROR(AI11/'Assumption Setting'!$H$42,0)</f>
        <v>3055.55555555556</v>
      </c>
      <c r="AJ12" s="79" t="n">
        <f aca="false">IFERROR(AJ11/'Assumption Setting'!$H$42,0)</f>
        <v>3055.55555555556</v>
      </c>
      <c r="AK12" s="79" t="n">
        <f aca="false">IFERROR(AK11/'Assumption Setting'!$H$42,0)</f>
        <v>3055.55555555556</v>
      </c>
      <c r="AL12" s="79" t="n">
        <f aca="false">IFERROR(AL11/'Assumption Setting'!$H$42,0)</f>
        <v>3055.55555555556</v>
      </c>
      <c r="AM12" s="79" t="n">
        <f aca="false">IFERROR(AM11/'Assumption Setting'!$H$42,0)</f>
        <v>3055.55555555556</v>
      </c>
      <c r="AN12" s="79" t="n">
        <f aca="false">IFERROR(AN11/'Assumption Setting'!$H$42,0)</f>
        <v>3055.55555555556</v>
      </c>
      <c r="AO12" s="78" t="n">
        <f aca="false">SUM(AP12:BA12)</f>
        <v>56666.6666666667</v>
      </c>
      <c r="AP12" s="79" t="n">
        <f aca="false">IFERROR(AP11/'Assumption Setting'!$H$42,0)</f>
        <v>4722.22222222222</v>
      </c>
      <c r="AQ12" s="79" t="n">
        <f aca="false">IFERROR(AQ11/'Assumption Setting'!$H$42,0)</f>
        <v>4722.22222222222</v>
      </c>
      <c r="AR12" s="79" t="n">
        <f aca="false">IFERROR(AR11/'Assumption Setting'!$H$42,0)</f>
        <v>4722.22222222222</v>
      </c>
      <c r="AS12" s="79" t="n">
        <f aca="false">IFERROR(AS11/'Assumption Setting'!$H$42,0)</f>
        <v>4722.22222222222</v>
      </c>
      <c r="AT12" s="79" t="n">
        <f aca="false">IFERROR(AT11/'Assumption Setting'!$H$42,0)</f>
        <v>4722.22222222222</v>
      </c>
      <c r="AU12" s="79" t="n">
        <f aca="false">IFERROR(AU11/'Assumption Setting'!$H$42,0)</f>
        <v>4722.22222222222</v>
      </c>
      <c r="AV12" s="79" t="n">
        <f aca="false">IFERROR(AV11/'Assumption Setting'!$H$42,0)</f>
        <v>4722.22222222222</v>
      </c>
      <c r="AW12" s="79" t="n">
        <f aca="false">IFERROR(AW11/'Assumption Setting'!$H$42,0)</f>
        <v>4722.22222222222</v>
      </c>
      <c r="AX12" s="79" t="n">
        <f aca="false">IFERROR(AX11/'Assumption Setting'!$H$42,0)</f>
        <v>4722.22222222222</v>
      </c>
      <c r="AY12" s="79" t="n">
        <f aca="false">IFERROR(AY11/'Assumption Setting'!$H$42,0)</f>
        <v>4722.22222222222</v>
      </c>
      <c r="AZ12" s="79" t="n">
        <f aca="false">IFERROR(AZ11/'Assumption Setting'!$H$42,0)</f>
        <v>4722.22222222222</v>
      </c>
      <c r="BA12" s="79" t="n">
        <f aca="false">IFERROR(BA11/'Assumption Setting'!$H$42,0)</f>
        <v>4722.22222222222</v>
      </c>
      <c r="BB12" s="78" t="n">
        <f aca="false">SUM(BC12:BN12)</f>
        <v>73333.3333333333</v>
      </c>
      <c r="BC12" s="79" t="n">
        <f aca="false">IFERROR(BC11/'Assumption Setting'!$H$42,0)</f>
        <v>6111.11111111111</v>
      </c>
      <c r="BD12" s="79" t="n">
        <f aca="false">IFERROR(BD11/'Assumption Setting'!$H$42,0)</f>
        <v>6111.11111111111</v>
      </c>
      <c r="BE12" s="79" t="n">
        <f aca="false">IFERROR(BE11/'Assumption Setting'!$H$42,0)</f>
        <v>6111.11111111111</v>
      </c>
      <c r="BF12" s="79" t="n">
        <f aca="false">IFERROR(BF11/'Assumption Setting'!$H$42,0)</f>
        <v>6111.11111111111</v>
      </c>
      <c r="BG12" s="79" t="n">
        <f aca="false">IFERROR(BG11/'Assumption Setting'!$H$42,0)</f>
        <v>6111.11111111111</v>
      </c>
      <c r="BH12" s="79" t="n">
        <f aca="false">IFERROR(BH11/'Assumption Setting'!$H$42,0)</f>
        <v>6111.11111111111</v>
      </c>
      <c r="BI12" s="79" t="n">
        <f aca="false">IFERROR(BI11/'Assumption Setting'!$H$42,0)</f>
        <v>6111.11111111111</v>
      </c>
      <c r="BJ12" s="79" t="n">
        <f aca="false">IFERROR(BJ11/'Assumption Setting'!$H$42,0)</f>
        <v>6111.11111111111</v>
      </c>
      <c r="BK12" s="79" t="n">
        <f aca="false">IFERROR(BK11/'Assumption Setting'!$H$42,0)</f>
        <v>6111.11111111111</v>
      </c>
      <c r="BL12" s="79" t="n">
        <f aca="false">IFERROR(BL11/'Assumption Setting'!$H$42,0)</f>
        <v>6111.11111111111</v>
      </c>
      <c r="BM12" s="79" t="n">
        <f aca="false">IFERROR(BM11/'Assumption Setting'!$H$42,0)</f>
        <v>6111.11111111111</v>
      </c>
      <c r="BN12" s="79" t="n">
        <f aca="false">IFERROR(BN11/'Assumption Setting'!$H$42,0)</f>
        <v>6111.11111111111</v>
      </c>
    </row>
    <row r="13" customFormat="false" ht="15" hidden="false" customHeight="false" outlineLevel="0" collapsed="false">
      <c r="A13" s="12" t="s">
        <v>597</v>
      </c>
      <c r="B13" s="78" t="n">
        <f aca="false">SUM(C13:N13)</f>
        <v>5920</v>
      </c>
      <c r="C13" s="79" t="n">
        <f aca="false">C12*(1+'Assumption Setting'!$I$42+'Assumption Setting'!$J$42)</f>
        <v>493.333333333333</v>
      </c>
      <c r="D13" s="79" t="n">
        <f aca="false">D12*(1+'Assumption Setting'!$I$42+'Assumption Setting'!$J$42)</f>
        <v>493.333333333333</v>
      </c>
      <c r="E13" s="79" t="n">
        <f aca="false">E12*(1+'Assumption Setting'!$I$42+'Assumption Setting'!$J$42)</f>
        <v>493.333333333333</v>
      </c>
      <c r="F13" s="79" t="n">
        <f aca="false">F12*(1+'Assumption Setting'!$I$42+'Assumption Setting'!$J$42)</f>
        <v>493.333333333333</v>
      </c>
      <c r="G13" s="79" t="n">
        <f aca="false">G12*(1+'Assumption Setting'!$I$42+'Assumption Setting'!$J$42)</f>
        <v>493.333333333333</v>
      </c>
      <c r="H13" s="79" t="n">
        <f aca="false">H12*(1+'Assumption Setting'!$I$42+'Assumption Setting'!$J$42)</f>
        <v>493.333333333333</v>
      </c>
      <c r="I13" s="79" t="n">
        <f aca="false">I12*(1+'Assumption Setting'!$I$42+'Assumption Setting'!$J$42)</f>
        <v>493.333333333333</v>
      </c>
      <c r="J13" s="79" t="n">
        <f aca="false">J12*(1+'Assumption Setting'!$I$42+'Assumption Setting'!$J$42)</f>
        <v>493.333333333333</v>
      </c>
      <c r="K13" s="79" t="n">
        <f aca="false">K12*(1+'Assumption Setting'!$I$42+'Assumption Setting'!$J$42)</f>
        <v>493.333333333333</v>
      </c>
      <c r="L13" s="79" t="n">
        <f aca="false">L12*(1+'Assumption Setting'!$I$42+'Assumption Setting'!$J$42)</f>
        <v>493.333333333333</v>
      </c>
      <c r="M13" s="79" t="n">
        <f aca="false">M12*(1+'Assumption Setting'!$I$42+'Assumption Setting'!$J$42)</f>
        <v>493.333333333333</v>
      </c>
      <c r="N13" s="79" t="n">
        <f aca="false">N12*(1+'Assumption Setting'!$I$42+'Assumption Setting'!$J$42)</f>
        <v>493.333333333333</v>
      </c>
      <c r="O13" s="78" t="n">
        <f aca="false">SUM(P13:AA13)</f>
        <v>18500</v>
      </c>
      <c r="P13" s="79" t="n">
        <f aca="false">P12*(1+'Assumption Setting'!$I$42+'Assumption Setting'!$J$42)</f>
        <v>1541.66666666667</v>
      </c>
      <c r="Q13" s="79" t="n">
        <f aca="false">Q12*(1+'Assumption Setting'!$I$42+'Assumption Setting'!$J$42)</f>
        <v>1541.66666666667</v>
      </c>
      <c r="R13" s="79" t="n">
        <f aca="false">R12*(1+'Assumption Setting'!$I$42+'Assumption Setting'!$J$42)</f>
        <v>1541.66666666667</v>
      </c>
      <c r="S13" s="79" t="n">
        <f aca="false">S12*(1+'Assumption Setting'!$I$42+'Assumption Setting'!$J$42)</f>
        <v>1541.66666666667</v>
      </c>
      <c r="T13" s="79" t="n">
        <f aca="false">T12*(1+'Assumption Setting'!$I$42+'Assumption Setting'!$J$42)</f>
        <v>1541.66666666667</v>
      </c>
      <c r="U13" s="79" t="n">
        <f aca="false">U12*(1+'Assumption Setting'!$I$42+'Assumption Setting'!$J$42)</f>
        <v>1541.66666666667</v>
      </c>
      <c r="V13" s="79" t="n">
        <f aca="false">V12*(1+'Assumption Setting'!$I$42+'Assumption Setting'!$J$42)</f>
        <v>1541.66666666667</v>
      </c>
      <c r="W13" s="79" t="n">
        <f aca="false">W12*(1+'Assumption Setting'!$I$42+'Assumption Setting'!$J$42)</f>
        <v>1541.66666666667</v>
      </c>
      <c r="X13" s="79" t="n">
        <f aca="false">X12*(1+'Assumption Setting'!$I$42+'Assumption Setting'!$J$42)</f>
        <v>1541.66666666667</v>
      </c>
      <c r="Y13" s="79" t="n">
        <f aca="false">Y12*(1+'Assumption Setting'!$I$42+'Assumption Setting'!$J$42)</f>
        <v>1541.66666666667</v>
      </c>
      <c r="Z13" s="79" t="n">
        <f aca="false">Z12*(1+'Assumption Setting'!$I$42+'Assumption Setting'!$J$42)</f>
        <v>1541.66666666667</v>
      </c>
      <c r="AA13" s="79" t="n">
        <f aca="false">AA12*(1+'Assumption Setting'!$I$42+'Assumption Setting'!$J$42)</f>
        <v>1541.66666666667</v>
      </c>
      <c r="AB13" s="78" t="n">
        <f aca="false">SUM(AC13:AN13)</f>
        <v>40700</v>
      </c>
      <c r="AC13" s="79" t="n">
        <f aca="false">AC12*(1+'Assumption Setting'!$I$42+'Assumption Setting'!$J$42)</f>
        <v>3391.66666666667</v>
      </c>
      <c r="AD13" s="79" t="n">
        <f aca="false">AD12*(1+'Assumption Setting'!$I$42+'Assumption Setting'!$J$42)</f>
        <v>3391.66666666667</v>
      </c>
      <c r="AE13" s="79" t="n">
        <f aca="false">AE12*(1+'Assumption Setting'!$I$42+'Assumption Setting'!$J$42)</f>
        <v>3391.66666666667</v>
      </c>
      <c r="AF13" s="79" t="n">
        <f aca="false">AF12*(1+'Assumption Setting'!$I$42+'Assumption Setting'!$J$42)</f>
        <v>3391.66666666667</v>
      </c>
      <c r="AG13" s="79" t="n">
        <f aca="false">AG12*(1+'Assumption Setting'!$I$42+'Assumption Setting'!$J$42)</f>
        <v>3391.66666666667</v>
      </c>
      <c r="AH13" s="79" t="n">
        <f aca="false">AH12*(1+'Assumption Setting'!$I$42+'Assumption Setting'!$J$42)</f>
        <v>3391.66666666667</v>
      </c>
      <c r="AI13" s="79" t="n">
        <f aca="false">AI12*(1+'Assumption Setting'!$I$42+'Assumption Setting'!$J$42)</f>
        <v>3391.66666666667</v>
      </c>
      <c r="AJ13" s="79" t="n">
        <f aca="false">AJ12*(1+'Assumption Setting'!$I$42+'Assumption Setting'!$J$42)</f>
        <v>3391.66666666667</v>
      </c>
      <c r="AK13" s="79" t="n">
        <f aca="false">AK12*(1+'Assumption Setting'!$I$42+'Assumption Setting'!$J$42)</f>
        <v>3391.66666666667</v>
      </c>
      <c r="AL13" s="79" t="n">
        <f aca="false">AL12*(1+'Assumption Setting'!$I$42+'Assumption Setting'!$J$42)</f>
        <v>3391.66666666667</v>
      </c>
      <c r="AM13" s="79" t="n">
        <f aca="false">AM12*(1+'Assumption Setting'!$I$42+'Assumption Setting'!$J$42)</f>
        <v>3391.66666666667</v>
      </c>
      <c r="AN13" s="79" t="n">
        <f aca="false">AN12*(1+'Assumption Setting'!$I$42+'Assumption Setting'!$J$42)</f>
        <v>3391.66666666667</v>
      </c>
      <c r="AO13" s="78" t="n">
        <f aca="false">SUM(AP13:BA13)</f>
        <v>62900</v>
      </c>
      <c r="AP13" s="79" t="n">
        <f aca="false">AP12*(1+'Assumption Setting'!$I$42+'Assumption Setting'!$J$42)</f>
        <v>5241.66666666667</v>
      </c>
      <c r="AQ13" s="79" t="n">
        <f aca="false">AQ12*(1+'Assumption Setting'!$I$42+'Assumption Setting'!$J$42)</f>
        <v>5241.66666666667</v>
      </c>
      <c r="AR13" s="79" t="n">
        <f aca="false">AR12*(1+'Assumption Setting'!$I$42+'Assumption Setting'!$J$42)</f>
        <v>5241.66666666667</v>
      </c>
      <c r="AS13" s="79" t="n">
        <f aca="false">AS12*(1+'Assumption Setting'!$I$42+'Assumption Setting'!$J$42)</f>
        <v>5241.66666666667</v>
      </c>
      <c r="AT13" s="79" t="n">
        <f aca="false">AT12*(1+'Assumption Setting'!$I$42+'Assumption Setting'!$J$42)</f>
        <v>5241.66666666667</v>
      </c>
      <c r="AU13" s="79" t="n">
        <f aca="false">AU12*(1+'Assumption Setting'!$I$42+'Assumption Setting'!$J$42)</f>
        <v>5241.66666666667</v>
      </c>
      <c r="AV13" s="79" t="n">
        <f aca="false">AV12*(1+'Assumption Setting'!$I$42+'Assumption Setting'!$J$42)</f>
        <v>5241.66666666667</v>
      </c>
      <c r="AW13" s="79" t="n">
        <f aca="false">AW12*(1+'Assumption Setting'!$I$42+'Assumption Setting'!$J$42)</f>
        <v>5241.66666666667</v>
      </c>
      <c r="AX13" s="79" t="n">
        <f aca="false">AX12*(1+'Assumption Setting'!$I$42+'Assumption Setting'!$J$42)</f>
        <v>5241.66666666667</v>
      </c>
      <c r="AY13" s="79" t="n">
        <f aca="false">AY12*(1+'Assumption Setting'!$I$42+'Assumption Setting'!$J$42)</f>
        <v>5241.66666666667</v>
      </c>
      <c r="AZ13" s="79" t="n">
        <f aca="false">AZ12*(1+'Assumption Setting'!$I$42+'Assumption Setting'!$J$42)</f>
        <v>5241.66666666667</v>
      </c>
      <c r="BA13" s="79" t="n">
        <f aca="false">BA12*(1+'Assumption Setting'!$I$42+'Assumption Setting'!$J$42)</f>
        <v>5241.66666666667</v>
      </c>
      <c r="BB13" s="78" t="n">
        <f aca="false">SUM(BC13:BN13)</f>
        <v>81400</v>
      </c>
      <c r="BC13" s="79" t="n">
        <f aca="false">BC12*(1+'Assumption Setting'!$I$42+'Assumption Setting'!$J$42)</f>
        <v>6783.33333333333</v>
      </c>
      <c r="BD13" s="79" t="n">
        <f aca="false">BD12*(1+'Assumption Setting'!$I$42+'Assumption Setting'!$J$42)</f>
        <v>6783.33333333333</v>
      </c>
      <c r="BE13" s="79" t="n">
        <f aca="false">BE12*(1+'Assumption Setting'!$I$42+'Assumption Setting'!$J$42)</f>
        <v>6783.33333333333</v>
      </c>
      <c r="BF13" s="79" t="n">
        <f aca="false">BF12*(1+'Assumption Setting'!$I$42+'Assumption Setting'!$J$42)</f>
        <v>6783.33333333333</v>
      </c>
      <c r="BG13" s="79" t="n">
        <f aca="false">BG12*(1+'Assumption Setting'!$I$42+'Assumption Setting'!$J$42)</f>
        <v>6783.33333333333</v>
      </c>
      <c r="BH13" s="79" t="n">
        <f aca="false">BH12*(1+'Assumption Setting'!$I$42+'Assumption Setting'!$J$42)</f>
        <v>6783.33333333333</v>
      </c>
      <c r="BI13" s="79" t="n">
        <f aca="false">BI12*(1+'Assumption Setting'!$I$42+'Assumption Setting'!$J$42)</f>
        <v>6783.33333333333</v>
      </c>
      <c r="BJ13" s="79" t="n">
        <f aca="false">BJ12*(1+'Assumption Setting'!$I$42+'Assumption Setting'!$J$42)</f>
        <v>6783.33333333333</v>
      </c>
      <c r="BK13" s="79" t="n">
        <f aca="false">BK12*(1+'Assumption Setting'!$I$42+'Assumption Setting'!$J$42)</f>
        <v>6783.33333333333</v>
      </c>
      <c r="BL13" s="79" t="n">
        <f aca="false">BL12*(1+'Assumption Setting'!$I$42+'Assumption Setting'!$J$42)</f>
        <v>6783.33333333333</v>
      </c>
      <c r="BM13" s="79" t="n">
        <f aca="false">BM12*(1+'Assumption Setting'!$I$42+'Assumption Setting'!$J$42)</f>
        <v>6783.33333333333</v>
      </c>
      <c r="BN13" s="79" t="n">
        <f aca="false">BN12*(1+'Assumption Setting'!$I$42+'Assumption Setting'!$J$42)</f>
        <v>6783.33333333333</v>
      </c>
    </row>
    <row r="14" customFormat="false" ht="15" hidden="false" customHeight="false" outlineLevel="0" collapsed="false">
      <c r="A14" s="12" t="s">
        <v>598</v>
      </c>
      <c r="B14" s="80" t="n">
        <f aca="false">SUM(C14:N14)</f>
        <v>118.4</v>
      </c>
      <c r="C14" s="81" t="n">
        <f aca="false">C13*'Assumption Setting'!$K$42</f>
        <v>9.86666666666667</v>
      </c>
      <c r="D14" s="81" t="n">
        <f aca="false">D13*'Assumption Setting'!$K$42</f>
        <v>9.86666666666667</v>
      </c>
      <c r="E14" s="81" t="n">
        <f aca="false">E13*'Assumption Setting'!$K$42</f>
        <v>9.86666666666667</v>
      </c>
      <c r="F14" s="81" t="n">
        <f aca="false">F13*'Assumption Setting'!$K$42</f>
        <v>9.86666666666667</v>
      </c>
      <c r="G14" s="81" t="n">
        <f aca="false">G13*'Assumption Setting'!$K$42</f>
        <v>9.86666666666667</v>
      </c>
      <c r="H14" s="81" t="n">
        <f aca="false">H13*'Assumption Setting'!$K$42</f>
        <v>9.86666666666667</v>
      </c>
      <c r="I14" s="81" t="n">
        <f aca="false">I13*'Assumption Setting'!$K$42</f>
        <v>9.86666666666667</v>
      </c>
      <c r="J14" s="81" t="n">
        <f aca="false">J13*'Assumption Setting'!$K$42</f>
        <v>9.86666666666667</v>
      </c>
      <c r="K14" s="81" t="n">
        <f aca="false">K13*'Assumption Setting'!$K$42</f>
        <v>9.86666666666667</v>
      </c>
      <c r="L14" s="81" t="n">
        <f aca="false">L13*'Assumption Setting'!$K$42</f>
        <v>9.86666666666667</v>
      </c>
      <c r="M14" s="81" t="n">
        <f aca="false">M13*'Assumption Setting'!$K$42</f>
        <v>9.86666666666667</v>
      </c>
      <c r="N14" s="81" t="n">
        <f aca="false">N13*'Assumption Setting'!$K$42</f>
        <v>9.86666666666667</v>
      </c>
      <c r="O14" s="80" t="n">
        <f aca="false">SUM(P14:AA14)</f>
        <v>370</v>
      </c>
      <c r="P14" s="81" t="n">
        <f aca="false">P13*'Assumption Setting'!$K$42</f>
        <v>30.8333333333333</v>
      </c>
      <c r="Q14" s="81" t="n">
        <f aca="false">Q13*'Assumption Setting'!$K$42</f>
        <v>30.8333333333333</v>
      </c>
      <c r="R14" s="81" t="n">
        <f aca="false">R13*'Assumption Setting'!$K$42</f>
        <v>30.8333333333333</v>
      </c>
      <c r="S14" s="81" t="n">
        <f aca="false">S13*'Assumption Setting'!$K$42</f>
        <v>30.8333333333333</v>
      </c>
      <c r="T14" s="81" t="n">
        <f aca="false">T13*'Assumption Setting'!$K$42</f>
        <v>30.8333333333333</v>
      </c>
      <c r="U14" s="81" t="n">
        <f aca="false">U13*'Assumption Setting'!$K$42</f>
        <v>30.8333333333333</v>
      </c>
      <c r="V14" s="81" t="n">
        <f aca="false">V13*'Assumption Setting'!$K$42</f>
        <v>30.8333333333333</v>
      </c>
      <c r="W14" s="81" t="n">
        <f aca="false">W13*'Assumption Setting'!$K$42</f>
        <v>30.8333333333333</v>
      </c>
      <c r="X14" s="81" t="n">
        <f aca="false">X13*'Assumption Setting'!$K$42</f>
        <v>30.8333333333333</v>
      </c>
      <c r="Y14" s="81" t="n">
        <f aca="false">Y13*'Assumption Setting'!$K$42</f>
        <v>30.8333333333333</v>
      </c>
      <c r="Z14" s="81" t="n">
        <f aca="false">Z13*'Assumption Setting'!$K$42</f>
        <v>30.8333333333333</v>
      </c>
      <c r="AA14" s="81" t="n">
        <f aca="false">AA13*'Assumption Setting'!$K$42</f>
        <v>30.8333333333333</v>
      </c>
      <c r="AB14" s="80" t="n">
        <f aca="false">SUM(AC14:AN14)</f>
        <v>814</v>
      </c>
      <c r="AC14" s="81" t="n">
        <f aca="false">AC13*'Assumption Setting'!$K$42</f>
        <v>67.8333333333333</v>
      </c>
      <c r="AD14" s="81" t="n">
        <f aca="false">AD13*'Assumption Setting'!$K$42</f>
        <v>67.8333333333333</v>
      </c>
      <c r="AE14" s="81" t="n">
        <f aca="false">AE13*'Assumption Setting'!$K$42</f>
        <v>67.8333333333333</v>
      </c>
      <c r="AF14" s="81" t="n">
        <f aca="false">AF13*'Assumption Setting'!$K$42</f>
        <v>67.8333333333333</v>
      </c>
      <c r="AG14" s="81" t="n">
        <f aca="false">AG13*'Assumption Setting'!$K$42</f>
        <v>67.8333333333333</v>
      </c>
      <c r="AH14" s="81" t="n">
        <f aca="false">AH13*'Assumption Setting'!$K$42</f>
        <v>67.8333333333333</v>
      </c>
      <c r="AI14" s="81" t="n">
        <f aca="false">AI13*'Assumption Setting'!$K$42</f>
        <v>67.8333333333333</v>
      </c>
      <c r="AJ14" s="81" t="n">
        <f aca="false">AJ13*'Assumption Setting'!$K$42</f>
        <v>67.8333333333333</v>
      </c>
      <c r="AK14" s="81" t="n">
        <f aca="false">AK13*'Assumption Setting'!$K$42</f>
        <v>67.8333333333333</v>
      </c>
      <c r="AL14" s="81" t="n">
        <f aca="false">AL13*'Assumption Setting'!$K$42</f>
        <v>67.8333333333333</v>
      </c>
      <c r="AM14" s="81" t="n">
        <f aca="false">AM13*'Assumption Setting'!$K$42</f>
        <v>67.8333333333333</v>
      </c>
      <c r="AN14" s="81" t="n">
        <f aca="false">AN13*'Assumption Setting'!$K$42</f>
        <v>67.8333333333333</v>
      </c>
      <c r="AO14" s="80" t="n">
        <f aca="false">SUM(AP14:BA14)</f>
        <v>1258</v>
      </c>
      <c r="AP14" s="81" t="n">
        <f aca="false">AP13*'Assumption Setting'!$K$42</f>
        <v>104.833333333333</v>
      </c>
      <c r="AQ14" s="81" t="n">
        <f aca="false">AQ13*'Assumption Setting'!$K$42</f>
        <v>104.833333333333</v>
      </c>
      <c r="AR14" s="81" t="n">
        <f aca="false">AR13*'Assumption Setting'!$K$42</f>
        <v>104.833333333333</v>
      </c>
      <c r="AS14" s="81" t="n">
        <f aca="false">AS13*'Assumption Setting'!$K$42</f>
        <v>104.833333333333</v>
      </c>
      <c r="AT14" s="81" t="n">
        <f aca="false">AT13*'Assumption Setting'!$K$42</f>
        <v>104.833333333333</v>
      </c>
      <c r="AU14" s="81" t="n">
        <f aca="false">AU13*'Assumption Setting'!$K$42</f>
        <v>104.833333333333</v>
      </c>
      <c r="AV14" s="81" t="n">
        <f aca="false">AV13*'Assumption Setting'!$K$42</f>
        <v>104.833333333333</v>
      </c>
      <c r="AW14" s="81" t="n">
        <f aca="false">AW13*'Assumption Setting'!$K$42</f>
        <v>104.833333333333</v>
      </c>
      <c r="AX14" s="81" t="n">
        <f aca="false">AX13*'Assumption Setting'!$K$42</f>
        <v>104.833333333333</v>
      </c>
      <c r="AY14" s="81" t="n">
        <f aca="false">AY13*'Assumption Setting'!$K$42</f>
        <v>104.833333333333</v>
      </c>
      <c r="AZ14" s="81" t="n">
        <f aca="false">AZ13*'Assumption Setting'!$K$42</f>
        <v>104.833333333333</v>
      </c>
      <c r="BA14" s="81" t="n">
        <f aca="false">BA13*'Assumption Setting'!$K$42</f>
        <v>104.833333333333</v>
      </c>
      <c r="BB14" s="80" t="n">
        <f aca="false">SUM(BC14:BN14)</f>
        <v>1628</v>
      </c>
      <c r="BC14" s="81" t="n">
        <f aca="false">BC13*'Assumption Setting'!$K$42</f>
        <v>135.666666666667</v>
      </c>
      <c r="BD14" s="81" t="n">
        <f aca="false">BD13*'Assumption Setting'!$K$42</f>
        <v>135.666666666667</v>
      </c>
      <c r="BE14" s="81" t="n">
        <f aca="false">BE13*'Assumption Setting'!$K$42</f>
        <v>135.666666666667</v>
      </c>
      <c r="BF14" s="81" t="n">
        <f aca="false">BF13*'Assumption Setting'!$K$42</f>
        <v>135.666666666667</v>
      </c>
      <c r="BG14" s="81" t="n">
        <f aca="false">BG13*'Assumption Setting'!$K$42</f>
        <v>135.666666666667</v>
      </c>
      <c r="BH14" s="81" t="n">
        <f aca="false">BH13*'Assumption Setting'!$K$42</f>
        <v>135.666666666667</v>
      </c>
      <c r="BI14" s="81" t="n">
        <f aca="false">BI13*'Assumption Setting'!$K$42</f>
        <v>135.666666666667</v>
      </c>
      <c r="BJ14" s="81" t="n">
        <f aca="false">BJ13*'Assumption Setting'!$K$42</f>
        <v>135.666666666667</v>
      </c>
      <c r="BK14" s="81" t="n">
        <f aca="false">BK13*'Assumption Setting'!$K$42</f>
        <v>135.666666666667</v>
      </c>
      <c r="BL14" s="81" t="n">
        <f aca="false">BL13*'Assumption Setting'!$K$42</f>
        <v>135.666666666667</v>
      </c>
      <c r="BM14" s="81" t="n">
        <f aca="false">BM13*'Assumption Setting'!$K$42</f>
        <v>135.666666666667</v>
      </c>
      <c r="BN14" s="81" t="n">
        <f aca="false">BN13*'Assumption Setting'!$K$42</f>
        <v>135.666666666667</v>
      </c>
    </row>
    <row r="15" customFormat="false" ht="15" hidden="false" customHeight="false" outlineLevel="0" collapsed="false">
      <c r="A15" s="12" t="s">
        <v>235</v>
      </c>
      <c r="B15" s="64" t="n">
        <f aca="false">SUM(C15:N15)</f>
        <v>600</v>
      </c>
      <c r="C15" s="65" t="n">
        <f aca="false">'Assumption Setting'!$C$43</f>
        <v>50</v>
      </c>
      <c r="D15" s="65" t="n">
        <f aca="false">'Assumption Setting'!$C$43</f>
        <v>50</v>
      </c>
      <c r="E15" s="65" t="n">
        <f aca="false">'Assumption Setting'!$C$43</f>
        <v>50</v>
      </c>
      <c r="F15" s="65" t="n">
        <f aca="false">'Assumption Setting'!$C$43</f>
        <v>50</v>
      </c>
      <c r="G15" s="65" t="n">
        <f aca="false">'Assumption Setting'!$C$43</f>
        <v>50</v>
      </c>
      <c r="H15" s="65" t="n">
        <f aca="false">'Assumption Setting'!$C$43</f>
        <v>50</v>
      </c>
      <c r="I15" s="65" t="n">
        <f aca="false">'Assumption Setting'!$C$43</f>
        <v>50</v>
      </c>
      <c r="J15" s="65" t="n">
        <f aca="false">'Assumption Setting'!$C$43</f>
        <v>50</v>
      </c>
      <c r="K15" s="65" t="n">
        <f aca="false">'Assumption Setting'!$C$43</f>
        <v>50</v>
      </c>
      <c r="L15" s="65" t="n">
        <f aca="false">'Assumption Setting'!$C$43</f>
        <v>50</v>
      </c>
      <c r="M15" s="65" t="n">
        <f aca="false">'Assumption Setting'!$C$43</f>
        <v>50</v>
      </c>
      <c r="N15" s="65" t="n">
        <f aca="false">'Assumption Setting'!$C$43</f>
        <v>50</v>
      </c>
      <c r="O15" s="64" t="n">
        <f aca="false">SUM(P15:AA15)</f>
        <v>2400</v>
      </c>
      <c r="P15" s="65" t="n">
        <f aca="false">'Assumption Setting'!$D$43</f>
        <v>200</v>
      </c>
      <c r="Q15" s="65" t="n">
        <f aca="false">'Assumption Setting'!$D$43</f>
        <v>200</v>
      </c>
      <c r="R15" s="65" t="n">
        <f aca="false">'Assumption Setting'!$D$43</f>
        <v>200</v>
      </c>
      <c r="S15" s="65" t="n">
        <f aca="false">'Assumption Setting'!$D$43</f>
        <v>200</v>
      </c>
      <c r="T15" s="65" t="n">
        <f aca="false">'Assumption Setting'!$D$43</f>
        <v>200</v>
      </c>
      <c r="U15" s="65" t="n">
        <f aca="false">'Assumption Setting'!$D$43</f>
        <v>200</v>
      </c>
      <c r="V15" s="65" t="n">
        <f aca="false">'Assumption Setting'!$D$43</f>
        <v>200</v>
      </c>
      <c r="W15" s="65" t="n">
        <f aca="false">'Assumption Setting'!$D$43</f>
        <v>200</v>
      </c>
      <c r="X15" s="65" t="n">
        <f aca="false">'Assumption Setting'!$D$43</f>
        <v>200</v>
      </c>
      <c r="Y15" s="65" t="n">
        <f aca="false">'Assumption Setting'!$D$43</f>
        <v>200</v>
      </c>
      <c r="Z15" s="65" t="n">
        <f aca="false">'Assumption Setting'!$D$43</f>
        <v>200</v>
      </c>
      <c r="AA15" s="65" t="n">
        <f aca="false">'Assumption Setting'!$D$43</f>
        <v>200</v>
      </c>
      <c r="AB15" s="64" t="n">
        <f aca="false">SUM(AC15:AN15)</f>
        <v>4800</v>
      </c>
      <c r="AC15" s="65" t="n">
        <f aca="false">'Assumption Setting'!$E$43</f>
        <v>400</v>
      </c>
      <c r="AD15" s="65" t="n">
        <f aca="false">'Assumption Setting'!$E$43</f>
        <v>400</v>
      </c>
      <c r="AE15" s="65" t="n">
        <f aca="false">'Assumption Setting'!$E$43</f>
        <v>400</v>
      </c>
      <c r="AF15" s="65" t="n">
        <f aca="false">'Assumption Setting'!$E$43</f>
        <v>400</v>
      </c>
      <c r="AG15" s="65" t="n">
        <f aca="false">'Assumption Setting'!$E$43</f>
        <v>400</v>
      </c>
      <c r="AH15" s="65" t="n">
        <f aca="false">'Assumption Setting'!$E$43</f>
        <v>400</v>
      </c>
      <c r="AI15" s="65" t="n">
        <f aca="false">'Assumption Setting'!$E$43</f>
        <v>400</v>
      </c>
      <c r="AJ15" s="65" t="n">
        <f aca="false">'Assumption Setting'!$E$43</f>
        <v>400</v>
      </c>
      <c r="AK15" s="65" t="n">
        <f aca="false">'Assumption Setting'!$E$43</f>
        <v>400</v>
      </c>
      <c r="AL15" s="65" t="n">
        <f aca="false">'Assumption Setting'!$E$43</f>
        <v>400</v>
      </c>
      <c r="AM15" s="65" t="n">
        <f aca="false">'Assumption Setting'!$E$43</f>
        <v>400</v>
      </c>
      <c r="AN15" s="65" t="n">
        <f aca="false">'Assumption Setting'!$E$43</f>
        <v>400</v>
      </c>
      <c r="AO15" s="64" t="n">
        <f aca="false">SUM(AP15:BA15)</f>
        <v>7800</v>
      </c>
      <c r="AP15" s="65" t="n">
        <f aca="false">'Assumption Setting'!$F$43</f>
        <v>650</v>
      </c>
      <c r="AQ15" s="65" t="n">
        <f aca="false">'Assumption Setting'!$F$43</f>
        <v>650</v>
      </c>
      <c r="AR15" s="65" t="n">
        <f aca="false">'Assumption Setting'!$F$43</f>
        <v>650</v>
      </c>
      <c r="AS15" s="65" t="n">
        <f aca="false">'Assumption Setting'!$F$43</f>
        <v>650</v>
      </c>
      <c r="AT15" s="65" t="n">
        <f aca="false">'Assumption Setting'!$F$43</f>
        <v>650</v>
      </c>
      <c r="AU15" s="65" t="n">
        <f aca="false">'Assumption Setting'!$F$43</f>
        <v>650</v>
      </c>
      <c r="AV15" s="65" t="n">
        <f aca="false">'Assumption Setting'!$F$43</f>
        <v>650</v>
      </c>
      <c r="AW15" s="65" t="n">
        <f aca="false">'Assumption Setting'!$F$43</f>
        <v>650</v>
      </c>
      <c r="AX15" s="65" t="n">
        <f aca="false">'Assumption Setting'!$F$43</f>
        <v>650</v>
      </c>
      <c r="AY15" s="65" t="n">
        <f aca="false">'Assumption Setting'!$F$43</f>
        <v>650</v>
      </c>
      <c r="AZ15" s="65" t="n">
        <f aca="false">'Assumption Setting'!$F$43</f>
        <v>650</v>
      </c>
      <c r="BA15" s="65" t="n">
        <f aca="false">'Assumption Setting'!$F$43</f>
        <v>650</v>
      </c>
      <c r="BB15" s="64" t="n">
        <f aca="false">SUM(BC15:BN15)</f>
        <v>10800</v>
      </c>
      <c r="BC15" s="65" t="n">
        <f aca="false">'Assumption Setting'!$G$43</f>
        <v>900</v>
      </c>
      <c r="BD15" s="65" t="n">
        <f aca="false">'Assumption Setting'!$G$43</f>
        <v>900</v>
      </c>
      <c r="BE15" s="65" t="n">
        <f aca="false">'Assumption Setting'!$G$43</f>
        <v>900</v>
      </c>
      <c r="BF15" s="65" t="n">
        <f aca="false">'Assumption Setting'!$G$43</f>
        <v>900</v>
      </c>
      <c r="BG15" s="65" t="n">
        <f aca="false">'Assumption Setting'!$G$43</f>
        <v>900</v>
      </c>
      <c r="BH15" s="65" t="n">
        <f aca="false">'Assumption Setting'!$G$43</f>
        <v>900</v>
      </c>
      <c r="BI15" s="65" t="n">
        <f aca="false">'Assumption Setting'!$G$43</f>
        <v>900</v>
      </c>
      <c r="BJ15" s="65" t="n">
        <f aca="false">'Assumption Setting'!$G$43</f>
        <v>900</v>
      </c>
      <c r="BK15" s="65" t="n">
        <f aca="false">'Assumption Setting'!$G$43</f>
        <v>900</v>
      </c>
      <c r="BL15" s="65" t="n">
        <f aca="false">'Assumption Setting'!$G$43</f>
        <v>900</v>
      </c>
      <c r="BM15" s="65" t="n">
        <f aca="false">'Assumption Setting'!$G$43</f>
        <v>900</v>
      </c>
      <c r="BN15" s="65" t="n">
        <f aca="false">'Assumption Setting'!$G$43</f>
        <v>900</v>
      </c>
    </row>
    <row r="16" customFormat="false" ht="15" hidden="false" customHeight="false" outlineLevel="0" collapsed="false">
      <c r="A16" s="12" t="s">
        <v>596</v>
      </c>
      <c r="B16" s="78" t="n">
        <f aca="false">SUM(C16:N16)</f>
        <v>4285.71428571429</v>
      </c>
      <c r="C16" s="79" t="n">
        <f aca="false">IFERROR(C15/'Assumption Setting'!$H$43,0)</f>
        <v>357.142857142857</v>
      </c>
      <c r="D16" s="79" t="n">
        <f aca="false">IFERROR(D15/'Assumption Setting'!$H$43,0)</f>
        <v>357.142857142857</v>
      </c>
      <c r="E16" s="79" t="n">
        <f aca="false">IFERROR(E15/'Assumption Setting'!$H$43,0)</f>
        <v>357.142857142857</v>
      </c>
      <c r="F16" s="79" t="n">
        <f aca="false">IFERROR(F15/'Assumption Setting'!$H$43,0)</f>
        <v>357.142857142857</v>
      </c>
      <c r="G16" s="79" t="n">
        <f aca="false">IFERROR(G15/'Assumption Setting'!$H$43,0)</f>
        <v>357.142857142857</v>
      </c>
      <c r="H16" s="79" t="n">
        <f aca="false">IFERROR(H15/'Assumption Setting'!$H$43,0)</f>
        <v>357.142857142857</v>
      </c>
      <c r="I16" s="79" t="n">
        <f aca="false">IFERROR(I15/'Assumption Setting'!$H$43,0)</f>
        <v>357.142857142857</v>
      </c>
      <c r="J16" s="79" t="n">
        <f aca="false">IFERROR(J15/'Assumption Setting'!$H$43,0)</f>
        <v>357.142857142857</v>
      </c>
      <c r="K16" s="79" t="n">
        <f aca="false">IFERROR(K15/'Assumption Setting'!$H$43,0)</f>
        <v>357.142857142857</v>
      </c>
      <c r="L16" s="79" t="n">
        <f aca="false">IFERROR(L15/'Assumption Setting'!$H$43,0)</f>
        <v>357.142857142857</v>
      </c>
      <c r="M16" s="79" t="n">
        <f aca="false">IFERROR(M15/'Assumption Setting'!$H$43,0)</f>
        <v>357.142857142857</v>
      </c>
      <c r="N16" s="79" t="n">
        <f aca="false">IFERROR(N15/'Assumption Setting'!$H$43,0)</f>
        <v>357.142857142857</v>
      </c>
      <c r="O16" s="78" t="n">
        <f aca="false">SUM(P16:AA16)</f>
        <v>17142.8571428571</v>
      </c>
      <c r="P16" s="79" t="n">
        <f aca="false">IFERROR(P15/'Assumption Setting'!$H$43,0)</f>
        <v>1428.57142857143</v>
      </c>
      <c r="Q16" s="79" t="n">
        <f aca="false">IFERROR(Q15/'Assumption Setting'!$H$43,0)</f>
        <v>1428.57142857143</v>
      </c>
      <c r="R16" s="79" t="n">
        <f aca="false">IFERROR(R15/'Assumption Setting'!$H$43,0)</f>
        <v>1428.57142857143</v>
      </c>
      <c r="S16" s="79" t="n">
        <f aca="false">IFERROR(S15/'Assumption Setting'!$H$43,0)</f>
        <v>1428.57142857143</v>
      </c>
      <c r="T16" s="79" t="n">
        <f aca="false">IFERROR(T15/'Assumption Setting'!$H$43,0)</f>
        <v>1428.57142857143</v>
      </c>
      <c r="U16" s="79" t="n">
        <f aca="false">IFERROR(U15/'Assumption Setting'!$H$43,0)</f>
        <v>1428.57142857143</v>
      </c>
      <c r="V16" s="79" t="n">
        <f aca="false">IFERROR(V15/'Assumption Setting'!$H$43,0)</f>
        <v>1428.57142857143</v>
      </c>
      <c r="W16" s="79" t="n">
        <f aca="false">IFERROR(W15/'Assumption Setting'!$H$43,0)</f>
        <v>1428.57142857143</v>
      </c>
      <c r="X16" s="79" t="n">
        <f aca="false">IFERROR(X15/'Assumption Setting'!$H$43,0)</f>
        <v>1428.57142857143</v>
      </c>
      <c r="Y16" s="79" t="n">
        <f aca="false">IFERROR(Y15/'Assumption Setting'!$H$43,0)</f>
        <v>1428.57142857143</v>
      </c>
      <c r="Z16" s="79" t="n">
        <f aca="false">IFERROR(Z15/'Assumption Setting'!$H$43,0)</f>
        <v>1428.57142857143</v>
      </c>
      <c r="AA16" s="79" t="n">
        <f aca="false">IFERROR(AA15/'Assumption Setting'!$H$43,0)</f>
        <v>1428.57142857143</v>
      </c>
      <c r="AB16" s="78" t="n">
        <f aca="false">SUM(AC16:AN16)</f>
        <v>34285.7142857143</v>
      </c>
      <c r="AC16" s="79" t="n">
        <f aca="false">IFERROR(AC15/'Assumption Setting'!$H$43,0)</f>
        <v>2857.14285714286</v>
      </c>
      <c r="AD16" s="79" t="n">
        <f aca="false">IFERROR(AD15/'Assumption Setting'!$H$43,0)</f>
        <v>2857.14285714286</v>
      </c>
      <c r="AE16" s="79" t="n">
        <f aca="false">IFERROR(AE15/'Assumption Setting'!$H$43,0)</f>
        <v>2857.14285714286</v>
      </c>
      <c r="AF16" s="79" t="n">
        <f aca="false">IFERROR(AF15/'Assumption Setting'!$H$43,0)</f>
        <v>2857.14285714286</v>
      </c>
      <c r="AG16" s="79" t="n">
        <f aca="false">IFERROR(AG15/'Assumption Setting'!$H$43,0)</f>
        <v>2857.14285714286</v>
      </c>
      <c r="AH16" s="79" t="n">
        <f aca="false">IFERROR(AH15/'Assumption Setting'!$H$43,0)</f>
        <v>2857.14285714286</v>
      </c>
      <c r="AI16" s="79" t="n">
        <f aca="false">IFERROR(AI15/'Assumption Setting'!$H$43,0)</f>
        <v>2857.14285714286</v>
      </c>
      <c r="AJ16" s="79" t="n">
        <f aca="false">IFERROR(AJ15/'Assumption Setting'!$H$43,0)</f>
        <v>2857.14285714286</v>
      </c>
      <c r="AK16" s="79" t="n">
        <f aca="false">IFERROR(AK15/'Assumption Setting'!$H$43,0)</f>
        <v>2857.14285714286</v>
      </c>
      <c r="AL16" s="79" t="n">
        <f aca="false">IFERROR(AL15/'Assumption Setting'!$H$43,0)</f>
        <v>2857.14285714286</v>
      </c>
      <c r="AM16" s="79" t="n">
        <f aca="false">IFERROR(AM15/'Assumption Setting'!$H$43,0)</f>
        <v>2857.14285714286</v>
      </c>
      <c r="AN16" s="79" t="n">
        <f aca="false">IFERROR(AN15/'Assumption Setting'!$H$43,0)</f>
        <v>2857.14285714286</v>
      </c>
      <c r="AO16" s="78" t="n">
        <f aca="false">SUM(AP16:BA16)</f>
        <v>55714.2857142857</v>
      </c>
      <c r="AP16" s="79" t="n">
        <f aca="false">IFERROR(AP15/'Assumption Setting'!$H$43,0)</f>
        <v>4642.85714285714</v>
      </c>
      <c r="AQ16" s="79" t="n">
        <f aca="false">IFERROR(AQ15/'Assumption Setting'!$H$43,0)</f>
        <v>4642.85714285714</v>
      </c>
      <c r="AR16" s="79" t="n">
        <f aca="false">IFERROR(AR15/'Assumption Setting'!$H$43,0)</f>
        <v>4642.85714285714</v>
      </c>
      <c r="AS16" s="79" t="n">
        <f aca="false">IFERROR(AS15/'Assumption Setting'!$H$43,0)</f>
        <v>4642.85714285714</v>
      </c>
      <c r="AT16" s="79" t="n">
        <f aca="false">IFERROR(AT15/'Assumption Setting'!$H$43,0)</f>
        <v>4642.85714285714</v>
      </c>
      <c r="AU16" s="79" t="n">
        <f aca="false">IFERROR(AU15/'Assumption Setting'!$H$43,0)</f>
        <v>4642.85714285714</v>
      </c>
      <c r="AV16" s="79" t="n">
        <f aca="false">IFERROR(AV15/'Assumption Setting'!$H$43,0)</f>
        <v>4642.85714285714</v>
      </c>
      <c r="AW16" s="79" t="n">
        <f aca="false">IFERROR(AW15/'Assumption Setting'!$H$43,0)</f>
        <v>4642.85714285714</v>
      </c>
      <c r="AX16" s="79" t="n">
        <f aca="false">IFERROR(AX15/'Assumption Setting'!$H$43,0)</f>
        <v>4642.85714285714</v>
      </c>
      <c r="AY16" s="79" t="n">
        <f aca="false">IFERROR(AY15/'Assumption Setting'!$H$43,0)</f>
        <v>4642.85714285714</v>
      </c>
      <c r="AZ16" s="79" t="n">
        <f aca="false">IFERROR(AZ15/'Assumption Setting'!$H$43,0)</f>
        <v>4642.85714285714</v>
      </c>
      <c r="BA16" s="79" t="n">
        <f aca="false">IFERROR(BA15/'Assumption Setting'!$H$43,0)</f>
        <v>4642.85714285714</v>
      </c>
      <c r="BB16" s="78" t="n">
        <f aca="false">SUM(BC16:BN16)</f>
        <v>77142.8571428571</v>
      </c>
      <c r="BC16" s="79" t="n">
        <f aca="false">IFERROR(BC15/'Assumption Setting'!$H$43,0)</f>
        <v>6428.57142857143</v>
      </c>
      <c r="BD16" s="79" t="n">
        <f aca="false">IFERROR(BD15/'Assumption Setting'!$H$43,0)</f>
        <v>6428.57142857143</v>
      </c>
      <c r="BE16" s="79" t="n">
        <f aca="false">IFERROR(BE15/'Assumption Setting'!$H$43,0)</f>
        <v>6428.57142857143</v>
      </c>
      <c r="BF16" s="79" t="n">
        <f aca="false">IFERROR(BF15/'Assumption Setting'!$H$43,0)</f>
        <v>6428.57142857143</v>
      </c>
      <c r="BG16" s="79" t="n">
        <f aca="false">IFERROR(BG15/'Assumption Setting'!$H$43,0)</f>
        <v>6428.57142857143</v>
      </c>
      <c r="BH16" s="79" t="n">
        <f aca="false">IFERROR(BH15/'Assumption Setting'!$H$43,0)</f>
        <v>6428.57142857143</v>
      </c>
      <c r="BI16" s="79" t="n">
        <f aca="false">IFERROR(BI15/'Assumption Setting'!$H$43,0)</f>
        <v>6428.57142857143</v>
      </c>
      <c r="BJ16" s="79" t="n">
        <f aca="false">IFERROR(BJ15/'Assumption Setting'!$H$43,0)</f>
        <v>6428.57142857143</v>
      </c>
      <c r="BK16" s="79" t="n">
        <f aca="false">IFERROR(BK15/'Assumption Setting'!$H$43,0)</f>
        <v>6428.57142857143</v>
      </c>
      <c r="BL16" s="79" t="n">
        <f aca="false">IFERROR(BL15/'Assumption Setting'!$H$43,0)</f>
        <v>6428.57142857143</v>
      </c>
      <c r="BM16" s="79" t="n">
        <f aca="false">IFERROR(BM15/'Assumption Setting'!$H$43,0)</f>
        <v>6428.57142857143</v>
      </c>
      <c r="BN16" s="79" t="n">
        <f aca="false">IFERROR(BN15/'Assumption Setting'!$H$43,0)</f>
        <v>6428.57142857143</v>
      </c>
    </row>
    <row r="17" customFormat="false" ht="15" hidden="false" customHeight="false" outlineLevel="0" collapsed="false">
      <c r="A17" s="12" t="s">
        <v>597</v>
      </c>
      <c r="B17" s="78" t="n">
        <f aca="false">SUM(C17:N17)</f>
        <v>5057.14285714286</v>
      </c>
      <c r="C17" s="79" t="n">
        <f aca="false">C16*(1+'Assumption Setting'!$I$43+'Assumption Setting'!$J$43)</f>
        <v>421.428571428571</v>
      </c>
      <c r="D17" s="79" t="n">
        <f aca="false">D16*(1+'Assumption Setting'!$I$43+'Assumption Setting'!$J$43)</f>
        <v>421.428571428571</v>
      </c>
      <c r="E17" s="79" t="n">
        <f aca="false">E16*(1+'Assumption Setting'!$I$43+'Assumption Setting'!$J$43)</f>
        <v>421.428571428571</v>
      </c>
      <c r="F17" s="79" t="n">
        <f aca="false">F16*(1+'Assumption Setting'!$I$43+'Assumption Setting'!$J$43)</f>
        <v>421.428571428571</v>
      </c>
      <c r="G17" s="79" t="n">
        <f aca="false">G16*(1+'Assumption Setting'!$I$43+'Assumption Setting'!$J$43)</f>
        <v>421.428571428571</v>
      </c>
      <c r="H17" s="79" t="n">
        <f aca="false">H16*(1+'Assumption Setting'!$I$43+'Assumption Setting'!$J$43)</f>
        <v>421.428571428571</v>
      </c>
      <c r="I17" s="79" t="n">
        <f aca="false">I16*(1+'Assumption Setting'!$I$43+'Assumption Setting'!$J$43)</f>
        <v>421.428571428571</v>
      </c>
      <c r="J17" s="79" t="n">
        <f aca="false">J16*(1+'Assumption Setting'!$I$43+'Assumption Setting'!$J$43)</f>
        <v>421.428571428571</v>
      </c>
      <c r="K17" s="79" t="n">
        <f aca="false">K16*(1+'Assumption Setting'!$I$43+'Assumption Setting'!$J$43)</f>
        <v>421.428571428571</v>
      </c>
      <c r="L17" s="79" t="n">
        <f aca="false">L16*(1+'Assumption Setting'!$I$43+'Assumption Setting'!$J$43)</f>
        <v>421.428571428571</v>
      </c>
      <c r="M17" s="79" t="n">
        <f aca="false">M16*(1+'Assumption Setting'!$I$43+'Assumption Setting'!$J$43)</f>
        <v>421.428571428571</v>
      </c>
      <c r="N17" s="79" t="n">
        <f aca="false">N16*(1+'Assumption Setting'!$I$43+'Assumption Setting'!$J$43)</f>
        <v>421.428571428571</v>
      </c>
      <c r="O17" s="78" t="n">
        <f aca="false">SUM(P17:AA17)</f>
        <v>20228.5714285714</v>
      </c>
      <c r="P17" s="79" t="n">
        <f aca="false">P16*(1+'Assumption Setting'!$I$43+'Assumption Setting'!$J$43)</f>
        <v>1685.71428571429</v>
      </c>
      <c r="Q17" s="79" t="n">
        <f aca="false">Q16*(1+'Assumption Setting'!$I$43+'Assumption Setting'!$J$43)</f>
        <v>1685.71428571429</v>
      </c>
      <c r="R17" s="79" t="n">
        <f aca="false">R16*(1+'Assumption Setting'!$I$43+'Assumption Setting'!$J$43)</f>
        <v>1685.71428571429</v>
      </c>
      <c r="S17" s="79" t="n">
        <f aca="false">S16*(1+'Assumption Setting'!$I$43+'Assumption Setting'!$J$43)</f>
        <v>1685.71428571429</v>
      </c>
      <c r="T17" s="79" t="n">
        <f aca="false">T16*(1+'Assumption Setting'!$I$43+'Assumption Setting'!$J$43)</f>
        <v>1685.71428571429</v>
      </c>
      <c r="U17" s="79" t="n">
        <f aca="false">U16*(1+'Assumption Setting'!$I$43+'Assumption Setting'!$J$43)</f>
        <v>1685.71428571429</v>
      </c>
      <c r="V17" s="79" t="n">
        <f aca="false">V16*(1+'Assumption Setting'!$I$43+'Assumption Setting'!$J$43)</f>
        <v>1685.71428571429</v>
      </c>
      <c r="W17" s="79" t="n">
        <f aca="false">W16*(1+'Assumption Setting'!$I$43+'Assumption Setting'!$J$43)</f>
        <v>1685.71428571429</v>
      </c>
      <c r="X17" s="79" t="n">
        <f aca="false">X16*(1+'Assumption Setting'!$I$43+'Assumption Setting'!$J$43)</f>
        <v>1685.71428571429</v>
      </c>
      <c r="Y17" s="79" t="n">
        <f aca="false">Y16*(1+'Assumption Setting'!$I$43+'Assumption Setting'!$J$43)</f>
        <v>1685.71428571429</v>
      </c>
      <c r="Z17" s="79" t="n">
        <f aca="false">Z16*(1+'Assumption Setting'!$I$43+'Assumption Setting'!$J$43)</f>
        <v>1685.71428571429</v>
      </c>
      <c r="AA17" s="79" t="n">
        <f aca="false">AA16*(1+'Assumption Setting'!$I$43+'Assumption Setting'!$J$43)</f>
        <v>1685.71428571429</v>
      </c>
      <c r="AB17" s="78" t="n">
        <f aca="false">SUM(AC17:AN17)</f>
        <v>40457.1428571429</v>
      </c>
      <c r="AC17" s="79" t="n">
        <f aca="false">AC16*(1+'Assumption Setting'!$I$43+'Assumption Setting'!$J$43)</f>
        <v>3371.42857142857</v>
      </c>
      <c r="AD17" s="79" t="n">
        <f aca="false">AD16*(1+'Assumption Setting'!$I$43+'Assumption Setting'!$J$43)</f>
        <v>3371.42857142857</v>
      </c>
      <c r="AE17" s="79" t="n">
        <f aca="false">AE16*(1+'Assumption Setting'!$I$43+'Assumption Setting'!$J$43)</f>
        <v>3371.42857142857</v>
      </c>
      <c r="AF17" s="79" t="n">
        <f aca="false">AF16*(1+'Assumption Setting'!$I$43+'Assumption Setting'!$J$43)</f>
        <v>3371.42857142857</v>
      </c>
      <c r="AG17" s="79" t="n">
        <f aca="false">AG16*(1+'Assumption Setting'!$I$43+'Assumption Setting'!$J$43)</f>
        <v>3371.42857142857</v>
      </c>
      <c r="AH17" s="79" t="n">
        <f aca="false">AH16*(1+'Assumption Setting'!$I$43+'Assumption Setting'!$J$43)</f>
        <v>3371.42857142857</v>
      </c>
      <c r="AI17" s="79" t="n">
        <f aca="false">AI16*(1+'Assumption Setting'!$I$43+'Assumption Setting'!$J$43)</f>
        <v>3371.42857142857</v>
      </c>
      <c r="AJ17" s="79" t="n">
        <f aca="false">AJ16*(1+'Assumption Setting'!$I$43+'Assumption Setting'!$J$43)</f>
        <v>3371.42857142857</v>
      </c>
      <c r="AK17" s="79" t="n">
        <f aca="false">AK16*(1+'Assumption Setting'!$I$43+'Assumption Setting'!$J$43)</f>
        <v>3371.42857142857</v>
      </c>
      <c r="AL17" s="79" t="n">
        <f aca="false">AL16*(1+'Assumption Setting'!$I$43+'Assumption Setting'!$J$43)</f>
        <v>3371.42857142857</v>
      </c>
      <c r="AM17" s="79" t="n">
        <f aca="false">AM16*(1+'Assumption Setting'!$I$43+'Assumption Setting'!$J$43)</f>
        <v>3371.42857142857</v>
      </c>
      <c r="AN17" s="79" t="n">
        <f aca="false">AN16*(1+'Assumption Setting'!$I$43+'Assumption Setting'!$J$43)</f>
        <v>3371.42857142857</v>
      </c>
      <c r="AO17" s="78" t="n">
        <f aca="false">SUM(AP17:BA17)</f>
        <v>65742.8571428571</v>
      </c>
      <c r="AP17" s="79" t="n">
        <f aca="false">AP16*(1+'Assumption Setting'!$I$43+'Assumption Setting'!$J$43)</f>
        <v>5478.57142857143</v>
      </c>
      <c r="AQ17" s="79" t="n">
        <f aca="false">AQ16*(1+'Assumption Setting'!$I$43+'Assumption Setting'!$J$43)</f>
        <v>5478.57142857143</v>
      </c>
      <c r="AR17" s="79" t="n">
        <f aca="false">AR16*(1+'Assumption Setting'!$I$43+'Assumption Setting'!$J$43)</f>
        <v>5478.57142857143</v>
      </c>
      <c r="AS17" s="79" t="n">
        <f aca="false">AS16*(1+'Assumption Setting'!$I$43+'Assumption Setting'!$J$43)</f>
        <v>5478.57142857143</v>
      </c>
      <c r="AT17" s="79" t="n">
        <f aca="false">AT16*(1+'Assumption Setting'!$I$43+'Assumption Setting'!$J$43)</f>
        <v>5478.57142857143</v>
      </c>
      <c r="AU17" s="79" t="n">
        <f aca="false">AU16*(1+'Assumption Setting'!$I$43+'Assumption Setting'!$J$43)</f>
        <v>5478.57142857143</v>
      </c>
      <c r="AV17" s="79" t="n">
        <f aca="false">AV16*(1+'Assumption Setting'!$I$43+'Assumption Setting'!$J$43)</f>
        <v>5478.57142857143</v>
      </c>
      <c r="AW17" s="79" t="n">
        <f aca="false">AW16*(1+'Assumption Setting'!$I$43+'Assumption Setting'!$J$43)</f>
        <v>5478.57142857143</v>
      </c>
      <c r="AX17" s="79" t="n">
        <f aca="false">AX16*(1+'Assumption Setting'!$I$43+'Assumption Setting'!$J$43)</f>
        <v>5478.57142857143</v>
      </c>
      <c r="AY17" s="79" t="n">
        <f aca="false">AY16*(1+'Assumption Setting'!$I$43+'Assumption Setting'!$J$43)</f>
        <v>5478.57142857143</v>
      </c>
      <c r="AZ17" s="79" t="n">
        <f aca="false">AZ16*(1+'Assumption Setting'!$I$43+'Assumption Setting'!$J$43)</f>
        <v>5478.57142857143</v>
      </c>
      <c r="BA17" s="79" t="n">
        <f aca="false">BA16*(1+'Assumption Setting'!$I$43+'Assumption Setting'!$J$43)</f>
        <v>5478.57142857143</v>
      </c>
      <c r="BB17" s="78" t="n">
        <f aca="false">SUM(BC17:BN17)</f>
        <v>91028.5714285714</v>
      </c>
      <c r="BC17" s="79" t="n">
        <f aca="false">BC16*(1+'Assumption Setting'!$I$43+'Assumption Setting'!$J$43)</f>
        <v>7585.71428571429</v>
      </c>
      <c r="BD17" s="79" t="n">
        <f aca="false">BD16*(1+'Assumption Setting'!$I$43+'Assumption Setting'!$J$43)</f>
        <v>7585.71428571429</v>
      </c>
      <c r="BE17" s="79" t="n">
        <f aca="false">BE16*(1+'Assumption Setting'!$I$43+'Assumption Setting'!$J$43)</f>
        <v>7585.71428571429</v>
      </c>
      <c r="BF17" s="79" t="n">
        <f aca="false">BF16*(1+'Assumption Setting'!$I$43+'Assumption Setting'!$J$43)</f>
        <v>7585.71428571429</v>
      </c>
      <c r="BG17" s="79" t="n">
        <f aca="false">BG16*(1+'Assumption Setting'!$I$43+'Assumption Setting'!$J$43)</f>
        <v>7585.71428571429</v>
      </c>
      <c r="BH17" s="79" t="n">
        <f aca="false">BH16*(1+'Assumption Setting'!$I$43+'Assumption Setting'!$J$43)</f>
        <v>7585.71428571429</v>
      </c>
      <c r="BI17" s="79" t="n">
        <f aca="false">BI16*(1+'Assumption Setting'!$I$43+'Assumption Setting'!$J$43)</f>
        <v>7585.71428571429</v>
      </c>
      <c r="BJ17" s="79" t="n">
        <f aca="false">BJ16*(1+'Assumption Setting'!$I$43+'Assumption Setting'!$J$43)</f>
        <v>7585.71428571429</v>
      </c>
      <c r="BK17" s="79" t="n">
        <f aca="false">BK16*(1+'Assumption Setting'!$I$43+'Assumption Setting'!$J$43)</f>
        <v>7585.71428571429</v>
      </c>
      <c r="BL17" s="79" t="n">
        <f aca="false">BL16*(1+'Assumption Setting'!$I$43+'Assumption Setting'!$J$43)</f>
        <v>7585.71428571429</v>
      </c>
      <c r="BM17" s="79" t="n">
        <f aca="false">BM16*(1+'Assumption Setting'!$I$43+'Assumption Setting'!$J$43)</f>
        <v>7585.71428571429</v>
      </c>
      <c r="BN17" s="79" t="n">
        <f aca="false">BN16*(1+'Assumption Setting'!$I$43+'Assumption Setting'!$J$43)</f>
        <v>7585.71428571429</v>
      </c>
    </row>
    <row r="18" customFormat="false" ht="15" hidden="false" customHeight="false" outlineLevel="0" collapsed="false">
      <c r="A18" s="12" t="s">
        <v>598</v>
      </c>
      <c r="B18" s="80" t="n">
        <f aca="false">SUM(C18:N18)</f>
        <v>91.0285714285714</v>
      </c>
      <c r="C18" s="81" t="n">
        <f aca="false">C17*'Assumption Setting'!$K$43</f>
        <v>7.58571428571429</v>
      </c>
      <c r="D18" s="81" t="n">
        <f aca="false">D17*'Assumption Setting'!$K$43</f>
        <v>7.58571428571429</v>
      </c>
      <c r="E18" s="81" t="n">
        <f aca="false">E17*'Assumption Setting'!$K$43</f>
        <v>7.58571428571429</v>
      </c>
      <c r="F18" s="81" t="n">
        <f aca="false">F17*'Assumption Setting'!$K$43</f>
        <v>7.58571428571429</v>
      </c>
      <c r="G18" s="81" t="n">
        <f aca="false">G17*'Assumption Setting'!$K$43</f>
        <v>7.58571428571429</v>
      </c>
      <c r="H18" s="81" t="n">
        <f aca="false">H17*'Assumption Setting'!$K$43</f>
        <v>7.58571428571429</v>
      </c>
      <c r="I18" s="81" t="n">
        <f aca="false">I17*'Assumption Setting'!$K$43</f>
        <v>7.58571428571429</v>
      </c>
      <c r="J18" s="81" t="n">
        <f aca="false">J17*'Assumption Setting'!$K$43</f>
        <v>7.58571428571429</v>
      </c>
      <c r="K18" s="81" t="n">
        <f aca="false">K17*'Assumption Setting'!$K$43</f>
        <v>7.58571428571429</v>
      </c>
      <c r="L18" s="81" t="n">
        <f aca="false">L17*'Assumption Setting'!$K$43</f>
        <v>7.58571428571429</v>
      </c>
      <c r="M18" s="81" t="n">
        <f aca="false">M17*'Assumption Setting'!$K$43</f>
        <v>7.58571428571429</v>
      </c>
      <c r="N18" s="81" t="n">
        <f aca="false">N17*'Assumption Setting'!$K$43</f>
        <v>7.58571428571429</v>
      </c>
      <c r="O18" s="80" t="n">
        <f aca="false">SUM(P18:AA18)</f>
        <v>364.114285714286</v>
      </c>
      <c r="P18" s="81" t="n">
        <f aca="false">P17*'Assumption Setting'!$K$43</f>
        <v>30.3428571428571</v>
      </c>
      <c r="Q18" s="81" t="n">
        <f aca="false">Q17*'Assumption Setting'!$K$43</f>
        <v>30.3428571428571</v>
      </c>
      <c r="R18" s="81" t="n">
        <f aca="false">R17*'Assumption Setting'!$K$43</f>
        <v>30.3428571428571</v>
      </c>
      <c r="S18" s="81" t="n">
        <f aca="false">S17*'Assumption Setting'!$K$43</f>
        <v>30.3428571428571</v>
      </c>
      <c r="T18" s="81" t="n">
        <f aca="false">T17*'Assumption Setting'!$K$43</f>
        <v>30.3428571428571</v>
      </c>
      <c r="U18" s="81" t="n">
        <f aca="false">U17*'Assumption Setting'!$K$43</f>
        <v>30.3428571428571</v>
      </c>
      <c r="V18" s="81" t="n">
        <f aca="false">V17*'Assumption Setting'!$K$43</f>
        <v>30.3428571428571</v>
      </c>
      <c r="W18" s="81" t="n">
        <f aca="false">W17*'Assumption Setting'!$K$43</f>
        <v>30.3428571428571</v>
      </c>
      <c r="X18" s="81" t="n">
        <f aca="false">X17*'Assumption Setting'!$K$43</f>
        <v>30.3428571428571</v>
      </c>
      <c r="Y18" s="81" t="n">
        <f aca="false">Y17*'Assumption Setting'!$K$43</f>
        <v>30.3428571428571</v>
      </c>
      <c r="Z18" s="81" t="n">
        <f aca="false">Z17*'Assumption Setting'!$K$43</f>
        <v>30.3428571428571</v>
      </c>
      <c r="AA18" s="81" t="n">
        <f aca="false">AA17*'Assumption Setting'!$K$43</f>
        <v>30.3428571428571</v>
      </c>
      <c r="AB18" s="80" t="n">
        <f aca="false">SUM(AC18:AN18)</f>
        <v>728.228571428571</v>
      </c>
      <c r="AC18" s="81" t="n">
        <f aca="false">AC17*'Assumption Setting'!$K$43</f>
        <v>60.6857142857143</v>
      </c>
      <c r="AD18" s="81" t="n">
        <f aca="false">AD17*'Assumption Setting'!$K$43</f>
        <v>60.6857142857143</v>
      </c>
      <c r="AE18" s="81" t="n">
        <f aca="false">AE17*'Assumption Setting'!$K$43</f>
        <v>60.6857142857143</v>
      </c>
      <c r="AF18" s="81" t="n">
        <f aca="false">AF17*'Assumption Setting'!$K$43</f>
        <v>60.6857142857143</v>
      </c>
      <c r="AG18" s="81" t="n">
        <f aca="false">AG17*'Assumption Setting'!$K$43</f>
        <v>60.6857142857143</v>
      </c>
      <c r="AH18" s="81" t="n">
        <f aca="false">AH17*'Assumption Setting'!$K$43</f>
        <v>60.6857142857143</v>
      </c>
      <c r="AI18" s="81" t="n">
        <f aca="false">AI17*'Assumption Setting'!$K$43</f>
        <v>60.6857142857143</v>
      </c>
      <c r="AJ18" s="81" t="n">
        <f aca="false">AJ17*'Assumption Setting'!$K$43</f>
        <v>60.6857142857143</v>
      </c>
      <c r="AK18" s="81" t="n">
        <f aca="false">AK17*'Assumption Setting'!$K$43</f>
        <v>60.6857142857143</v>
      </c>
      <c r="AL18" s="81" t="n">
        <f aca="false">AL17*'Assumption Setting'!$K$43</f>
        <v>60.6857142857143</v>
      </c>
      <c r="AM18" s="81" t="n">
        <f aca="false">AM17*'Assumption Setting'!$K$43</f>
        <v>60.6857142857143</v>
      </c>
      <c r="AN18" s="81" t="n">
        <f aca="false">AN17*'Assumption Setting'!$K$43</f>
        <v>60.6857142857143</v>
      </c>
      <c r="AO18" s="80" t="n">
        <f aca="false">SUM(AP18:BA18)</f>
        <v>1183.37142857143</v>
      </c>
      <c r="AP18" s="81" t="n">
        <f aca="false">AP17*'Assumption Setting'!$K$43</f>
        <v>98.6142857142857</v>
      </c>
      <c r="AQ18" s="81" t="n">
        <f aca="false">AQ17*'Assumption Setting'!$K$43</f>
        <v>98.6142857142857</v>
      </c>
      <c r="AR18" s="81" t="n">
        <f aca="false">AR17*'Assumption Setting'!$K$43</f>
        <v>98.6142857142857</v>
      </c>
      <c r="AS18" s="81" t="n">
        <f aca="false">AS17*'Assumption Setting'!$K$43</f>
        <v>98.6142857142857</v>
      </c>
      <c r="AT18" s="81" t="n">
        <f aca="false">AT17*'Assumption Setting'!$K$43</f>
        <v>98.6142857142857</v>
      </c>
      <c r="AU18" s="81" t="n">
        <f aca="false">AU17*'Assumption Setting'!$K$43</f>
        <v>98.6142857142857</v>
      </c>
      <c r="AV18" s="81" t="n">
        <f aca="false">AV17*'Assumption Setting'!$K$43</f>
        <v>98.6142857142857</v>
      </c>
      <c r="AW18" s="81" t="n">
        <f aca="false">AW17*'Assumption Setting'!$K$43</f>
        <v>98.6142857142857</v>
      </c>
      <c r="AX18" s="81" t="n">
        <f aca="false">AX17*'Assumption Setting'!$K$43</f>
        <v>98.6142857142857</v>
      </c>
      <c r="AY18" s="81" t="n">
        <f aca="false">AY17*'Assumption Setting'!$K$43</f>
        <v>98.6142857142857</v>
      </c>
      <c r="AZ18" s="81" t="n">
        <f aca="false">AZ17*'Assumption Setting'!$K$43</f>
        <v>98.6142857142857</v>
      </c>
      <c r="BA18" s="81" t="n">
        <f aca="false">BA17*'Assumption Setting'!$K$43</f>
        <v>98.6142857142857</v>
      </c>
      <c r="BB18" s="80" t="n">
        <f aca="false">SUM(BC18:BN18)</f>
        <v>1638.51428571429</v>
      </c>
      <c r="BC18" s="81" t="n">
        <f aca="false">BC17*'Assumption Setting'!$K$43</f>
        <v>136.542857142857</v>
      </c>
      <c r="BD18" s="81" t="n">
        <f aca="false">BD17*'Assumption Setting'!$K$43</f>
        <v>136.542857142857</v>
      </c>
      <c r="BE18" s="81" t="n">
        <f aca="false">BE17*'Assumption Setting'!$K$43</f>
        <v>136.542857142857</v>
      </c>
      <c r="BF18" s="81" t="n">
        <f aca="false">BF17*'Assumption Setting'!$K$43</f>
        <v>136.542857142857</v>
      </c>
      <c r="BG18" s="81" t="n">
        <f aca="false">BG17*'Assumption Setting'!$K$43</f>
        <v>136.542857142857</v>
      </c>
      <c r="BH18" s="81" t="n">
        <f aca="false">BH17*'Assumption Setting'!$K$43</f>
        <v>136.542857142857</v>
      </c>
      <c r="BI18" s="81" t="n">
        <f aca="false">BI17*'Assumption Setting'!$K$43</f>
        <v>136.542857142857</v>
      </c>
      <c r="BJ18" s="81" t="n">
        <f aca="false">BJ17*'Assumption Setting'!$K$43</f>
        <v>136.542857142857</v>
      </c>
      <c r="BK18" s="81" t="n">
        <f aca="false">BK17*'Assumption Setting'!$K$43</f>
        <v>136.542857142857</v>
      </c>
      <c r="BL18" s="81" t="n">
        <f aca="false">BL17*'Assumption Setting'!$K$43</f>
        <v>136.542857142857</v>
      </c>
      <c r="BM18" s="81" t="n">
        <f aca="false">BM17*'Assumption Setting'!$K$43</f>
        <v>136.542857142857</v>
      </c>
      <c r="BN18" s="81" t="n">
        <f aca="false">BN17*'Assumption Setting'!$K$43</f>
        <v>136.542857142857</v>
      </c>
    </row>
    <row r="19" customFormat="false" ht="15" hidden="false" customHeight="false" outlineLevel="0" collapsed="false">
      <c r="A19" s="12" t="s">
        <v>236</v>
      </c>
      <c r="B19" s="64" t="n">
        <f aca="false">SUM(C19:N19)</f>
        <v>480</v>
      </c>
      <c r="C19" s="65" t="n">
        <f aca="false">'Assumption Setting'!$C$44</f>
        <v>40</v>
      </c>
      <c r="D19" s="65" t="n">
        <f aca="false">'Assumption Setting'!$C$44</f>
        <v>40</v>
      </c>
      <c r="E19" s="65" t="n">
        <f aca="false">'Assumption Setting'!$C$44</f>
        <v>40</v>
      </c>
      <c r="F19" s="65" t="n">
        <f aca="false">'Assumption Setting'!$C$44</f>
        <v>40</v>
      </c>
      <c r="G19" s="65" t="n">
        <f aca="false">'Assumption Setting'!$C$44</f>
        <v>40</v>
      </c>
      <c r="H19" s="65" t="n">
        <f aca="false">'Assumption Setting'!$C$44</f>
        <v>40</v>
      </c>
      <c r="I19" s="65" t="n">
        <f aca="false">'Assumption Setting'!$C$44</f>
        <v>40</v>
      </c>
      <c r="J19" s="65" t="n">
        <f aca="false">'Assumption Setting'!$C$44</f>
        <v>40</v>
      </c>
      <c r="K19" s="65" t="n">
        <f aca="false">'Assumption Setting'!$C$44</f>
        <v>40</v>
      </c>
      <c r="L19" s="65" t="n">
        <f aca="false">'Assumption Setting'!$C$44</f>
        <v>40</v>
      </c>
      <c r="M19" s="65" t="n">
        <f aca="false">'Assumption Setting'!$C$44</f>
        <v>40</v>
      </c>
      <c r="N19" s="65" t="n">
        <f aca="false">'Assumption Setting'!$C$44</f>
        <v>40</v>
      </c>
      <c r="O19" s="64" t="n">
        <f aca="false">SUM(P19:AA19)</f>
        <v>2160</v>
      </c>
      <c r="P19" s="65" t="n">
        <f aca="false">'Assumption Setting'!$D$44</f>
        <v>180</v>
      </c>
      <c r="Q19" s="65" t="n">
        <f aca="false">'Assumption Setting'!$D$44</f>
        <v>180</v>
      </c>
      <c r="R19" s="65" t="n">
        <f aca="false">'Assumption Setting'!$D$44</f>
        <v>180</v>
      </c>
      <c r="S19" s="65" t="n">
        <f aca="false">'Assumption Setting'!$D$44</f>
        <v>180</v>
      </c>
      <c r="T19" s="65" t="n">
        <f aca="false">'Assumption Setting'!$D$44</f>
        <v>180</v>
      </c>
      <c r="U19" s="65" t="n">
        <f aca="false">'Assumption Setting'!$D$44</f>
        <v>180</v>
      </c>
      <c r="V19" s="65" t="n">
        <f aca="false">'Assumption Setting'!$D$44</f>
        <v>180</v>
      </c>
      <c r="W19" s="65" t="n">
        <f aca="false">'Assumption Setting'!$D$44</f>
        <v>180</v>
      </c>
      <c r="X19" s="65" t="n">
        <f aca="false">'Assumption Setting'!$D$44</f>
        <v>180</v>
      </c>
      <c r="Y19" s="65" t="n">
        <f aca="false">'Assumption Setting'!$D$44</f>
        <v>180</v>
      </c>
      <c r="Z19" s="65" t="n">
        <f aca="false">'Assumption Setting'!$D$44</f>
        <v>180</v>
      </c>
      <c r="AA19" s="65" t="n">
        <f aca="false">'Assumption Setting'!$D$44</f>
        <v>180</v>
      </c>
      <c r="AB19" s="64" t="n">
        <f aca="false">SUM(AC19:AN19)</f>
        <v>4200</v>
      </c>
      <c r="AC19" s="65" t="n">
        <f aca="false">'Assumption Setting'!$E$44</f>
        <v>350</v>
      </c>
      <c r="AD19" s="65" t="n">
        <f aca="false">'Assumption Setting'!$E$44</f>
        <v>350</v>
      </c>
      <c r="AE19" s="65" t="n">
        <f aca="false">'Assumption Setting'!$E$44</f>
        <v>350</v>
      </c>
      <c r="AF19" s="65" t="n">
        <f aca="false">'Assumption Setting'!$E$44</f>
        <v>350</v>
      </c>
      <c r="AG19" s="65" t="n">
        <f aca="false">'Assumption Setting'!$E$44</f>
        <v>350</v>
      </c>
      <c r="AH19" s="65" t="n">
        <f aca="false">'Assumption Setting'!$E$44</f>
        <v>350</v>
      </c>
      <c r="AI19" s="65" t="n">
        <f aca="false">'Assumption Setting'!$E$44</f>
        <v>350</v>
      </c>
      <c r="AJ19" s="65" t="n">
        <f aca="false">'Assumption Setting'!$E$44</f>
        <v>350</v>
      </c>
      <c r="AK19" s="65" t="n">
        <f aca="false">'Assumption Setting'!$E$44</f>
        <v>350</v>
      </c>
      <c r="AL19" s="65" t="n">
        <f aca="false">'Assumption Setting'!$E$44</f>
        <v>350</v>
      </c>
      <c r="AM19" s="65" t="n">
        <f aca="false">'Assumption Setting'!$E$44</f>
        <v>350</v>
      </c>
      <c r="AN19" s="65" t="n">
        <f aca="false">'Assumption Setting'!$E$44</f>
        <v>350</v>
      </c>
      <c r="AO19" s="64" t="n">
        <f aca="false">SUM(AP19:BA19)</f>
        <v>6600</v>
      </c>
      <c r="AP19" s="65" t="n">
        <f aca="false">'Assumption Setting'!$F$44</f>
        <v>550</v>
      </c>
      <c r="AQ19" s="65" t="n">
        <f aca="false">'Assumption Setting'!$F$44</f>
        <v>550</v>
      </c>
      <c r="AR19" s="65" t="n">
        <f aca="false">'Assumption Setting'!$F$44</f>
        <v>550</v>
      </c>
      <c r="AS19" s="65" t="n">
        <f aca="false">'Assumption Setting'!$F$44</f>
        <v>550</v>
      </c>
      <c r="AT19" s="65" t="n">
        <f aca="false">'Assumption Setting'!$F$44</f>
        <v>550</v>
      </c>
      <c r="AU19" s="65" t="n">
        <f aca="false">'Assumption Setting'!$F$44</f>
        <v>550</v>
      </c>
      <c r="AV19" s="65" t="n">
        <f aca="false">'Assumption Setting'!$F$44</f>
        <v>550</v>
      </c>
      <c r="AW19" s="65" t="n">
        <f aca="false">'Assumption Setting'!$F$44</f>
        <v>550</v>
      </c>
      <c r="AX19" s="65" t="n">
        <f aca="false">'Assumption Setting'!$F$44</f>
        <v>550</v>
      </c>
      <c r="AY19" s="65" t="n">
        <f aca="false">'Assumption Setting'!$F$44</f>
        <v>550</v>
      </c>
      <c r="AZ19" s="65" t="n">
        <f aca="false">'Assumption Setting'!$F$44</f>
        <v>550</v>
      </c>
      <c r="BA19" s="65" t="n">
        <f aca="false">'Assumption Setting'!$F$44</f>
        <v>550</v>
      </c>
      <c r="BB19" s="64" t="n">
        <f aca="false">SUM(BC19:BN19)</f>
        <v>9000</v>
      </c>
      <c r="BC19" s="65" t="n">
        <f aca="false">'Assumption Setting'!$G$44</f>
        <v>750</v>
      </c>
      <c r="BD19" s="65" t="n">
        <f aca="false">'Assumption Setting'!$G$44</f>
        <v>750</v>
      </c>
      <c r="BE19" s="65" t="n">
        <f aca="false">'Assumption Setting'!$G$44</f>
        <v>750</v>
      </c>
      <c r="BF19" s="65" t="n">
        <f aca="false">'Assumption Setting'!$G$44</f>
        <v>750</v>
      </c>
      <c r="BG19" s="65" t="n">
        <f aca="false">'Assumption Setting'!$G$44</f>
        <v>750</v>
      </c>
      <c r="BH19" s="65" t="n">
        <f aca="false">'Assumption Setting'!$G$44</f>
        <v>750</v>
      </c>
      <c r="BI19" s="65" t="n">
        <f aca="false">'Assumption Setting'!$G$44</f>
        <v>750</v>
      </c>
      <c r="BJ19" s="65" t="n">
        <f aca="false">'Assumption Setting'!$G$44</f>
        <v>750</v>
      </c>
      <c r="BK19" s="65" t="n">
        <f aca="false">'Assumption Setting'!$G$44</f>
        <v>750</v>
      </c>
      <c r="BL19" s="65" t="n">
        <f aca="false">'Assumption Setting'!$G$44</f>
        <v>750</v>
      </c>
      <c r="BM19" s="65" t="n">
        <f aca="false">'Assumption Setting'!$G$44</f>
        <v>750</v>
      </c>
      <c r="BN19" s="65" t="n">
        <f aca="false">'Assumption Setting'!$G$44</f>
        <v>750</v>
      </c>
    </row>
    <row r="20" customFormat="false" ht="15" hidden="false" customHeight="false" outlineLevel="0" collapsed="false">
      <c r="A20" s="12" t="s">
        <v>596</v>
      </c>
      <c r="B20" s="78" t="n">
        <f aca="false">SUM(C20:N20)</f>
        <v>1846.15384615385</v>
      </c>
      <c r="C20" s="79" t="n">
        <f aca="false">IFERROR(C19/'Assumption Setting'!$H$44,0)</f>
        <v>153.846153846154</v>
      </c>
      <c r="D20" s="79" t="n">
        <f aca="false">IFERROR(D19/'Assumption Setting'!$H$44,0)</f>
        <v>153.846153846154</v>
      </c>
      <c r="E20" s="79" t="n">
        <f aca="false">IFERROR(E19/'Assumption Setting'!$H$44,0)</f>
        <v>153.846153846154</v>
      </c>
      <c r="F20" s="79" t="n">
        <f aca="false">IFERROR(F19/'Assumption Setting'!$H$44,0)</f>
        <v>153.846153846154</v>
      </c>
      <c r="G20" s="79" t="n">
        <f aca="false">IFERROR(G19/'Assumption Setting'!$H$44,0)</f>
        <v>153.846153846154</v>
      </c>
      <c r="H20" s="79" t="n">
        <f aca="false">IFERROR(H19/'Assumption Setting'!$H$44,0)</f>
        <v>153.846153846154</v>
      </c>
      <c r="I20" s="79" t="n">
        <f aca="false">IFERROR(I19/'Assumption Setting'!$H$44,0)</f>
        <v>153.846153846154</v>
      </c>
      <c r="J20" s="79" t="n">
        <f aca="false">IFERROR(J19/'Assumption Setting'!$H$44,0)</f>
        <v>153.846153846154</v>
      </c>
      <c r="K20" s="79" t="n">
        <f aca="false">IFERROR(K19/'Assumption Setting'!$H$44,0)</f>
        <v>153.846153846154</v>
      </c>
      <c r="L20" s="79" t="n">
        <f aca="false">IFERROR(L19/'Assumption Setting'!$H$44,0)</f>
        <v>153.846153846154</v>
      </c>
      <c r="M20" s="79" t="n">
        <f aca="false">IFERROR(M19/'Assumption Setting'!$H$44,0)</f>
        <v>153.846153846154</v>
      </c>
      <c r="N20" s="79" t="n">
        <f aca="false">IFERROR(N19/'Assumption Setting'!$H$44,0)</f>
        <v>153.846153846154</v>
      </c>
      <c r="O20" s="78" t="n">
        <f aca="false">SUM(P20:AA20)</f>
        <v>8307.69230769231</v>
      </c>
      <c r="P20" s="79" t="n">
        <f aca="false">IFERROR(P19/'Assumption Setting'!$H$44,0)</f>
        <v>692.307692307692</v>
      </c>
      <c r="Q20" s="79" t="n">
        <f aca="false">IFERROR(Q19/'Assumption Setting'!$H$44,0)</f>
        <v>692.307692307692</v>
      </c>
      <c r="R20" s="79" t="n">
        <f aca="false">IFERROR(R19/'Assumption Setting'!$H$44,0)</f>
        <v>692.307692307692</v>
      </c>
      <c r="S20" s="79" t="n">
        <f aca="false">IFERROR(S19/'Assumption Setting'!$H$44,0)</f>
        <v>692.307692307692</v>
      </c>
      <c r="T20" s="79" t="n">
        <f aca="false">IFERROR(T19/'Assumption Setting'!$H$44,0)</f>
        <v>692.307692307692</v>
      </c>
      <c r="U20" s="79" t="n">
        <f aca="false">IFERROR(U19/'Assumption Setting'!$H$44,0)</f>
        <v>692.307692307692</v>
      </c>
      <c r="V20" s="79" t="n">
        <f aca="false">IFERROR(V19/'Assumption Setting'!$H$44,0)</f>
        <v>692.307692307692</v>
      </c>
      <c r="W20" s="79" t="n">
        <f aca="false">IFERROR(W19/'Assumption Setting'!$H$44,0)</f>
        <v>692.307692307692</v>
      </c>
      <c r="X20" s="79" t="n">
        <f aca="false">IFERROR(X19/'Assumption Setting'!$H$44,0)</f>
        <v>692.307692307692</v>
      </c>
      <c r="Y20" s="79" t="n">
        <f aca="false">IFERROR(Y19/'Assumption Setting'!$H$44,0)</f>
        <v>692.307692307692</v>
      </c>
      <c r="Z20" s="79" t="n">
        <f aca="false">IFERROR(Z19/'Assumption Setting'!$H$44,0)</f>
        <v>692.307692307692</v>
      </c>
      <c r="AA20" s="79" t="n">
        <f aca="false">IFERROR(AA19/'Assumption Setting'!$H$44,0)</f>
        <v>692.307692307692</v>
      </c>
      <c r="AB20" s="78" t="n">
        <f aca="false">SUM(AC20:AN20)</f>
        <v>16153.8461538462</v>
      </c>
      <c r="AC20" s="79" t="n">
        <f aca="false">IFERROR(AC19/'Assumption Setting'!$H$44,0)</f>
        <v>1346.15384615385</v>
      </c>
      <c r="AD20" s="79" t="n">
        <f aca="false">IFERROR(AD19/'Assumption Setting'!$H$44,0)</f>
        <v>1346.15384615385</v>
      </c>
      <c r="AE20" s="79" t="n">
        <f aca="false">IFERROR(AE19/'Assumption Setting'!$H$44,0)</f>
        <v>1346.15384615385</v>
      </c>
      <c r="AF20" s="79" t="n">
        <f aca="false">IFERROR(AF19/'Assumption Setting'!$H$44,0)</f>
        <v>1346.15384615385</v>
      </c>
      <c r="AG20" s="79" t="n">
        <f aca="false">IFERROR(AG19/'Assumption Setting'!$H$44,0)</f>
        <v>1346.15384615385</v>
      </c>
      <c r="AH20" s="79" t="n">
        <f aca="false">IFERROR(AH19/'Assumption Setting'!$H$44,0)</f>
        <v>1346.15384615385</v>
      </c>
      <c r="AI20" s="79" t="n">
        <f aca="false">IFERROR(AI19/'Assumption Setting'!$H$44,0)</f>
        <v>1346.15384615385</v>
      </c>
      <c r="AJ20" s="79" t="n">
        <f aca="false">IFERROR(AJ19/'Assumption Setting'!$H$44,0)</f>
        <v>1346.15384615385</v>
      </c>
      <c r="AK20" s="79" t="n">
        <f aca="false">IFERROR(AK19/'Assumption Setting'!$H$44,0)</f>
        <v>1346.15384615385</v>
      </c>
      <c r="AL20" s="79" t="n">
        <f aca="false">IFERROR(AL19/'Assumption Setting'!$H$44,0)</f>
        <v>1346.15384615385</v>
      </c>
      <c r="AM20" s="79" t="n">
        <f aca="false">IFERROR(AM19/'Assumption Setting'!$H$44,0)</f>
        <v>1346.15384615385</v>
      </c>
      <c r="AN20" s="79" t="n">
        <f aca="false">IFERROR(AN19/'Assumption Setting'!$H$44,0)</f>
        <v>1346.15384615385</v>
      </c>
      <c r="AO20" s="78" t="n">
        <f aca="false">SUM(AP20:BA20)</f>
        <v>25384.6153846154</v>
      </c>
      <c r="AP20" s="79" t="n">
        <f aca="false">IFERROR(AP19/'Assumption Setting'!$H$44,0)</f>
        <v>2115.38461538462</v>
      </c>
      <c r="AQ20" s="79" t="n">
        <f aca="false">IFERROR(AQ19/'Assumption Setting'!$H$44,0)</f>
        <v>2115.38461538462</v>
      </c>
      <c r="AR20" s="79" t="n">
        <f aca="false">IFERROR(AR19/'Assumption Setting'!$H$44,0)</f>
        <v>2115.38461538462</v>
      </c>
      <c r="AS20" s="79" t="n">
        <f aca="false">IFERROR(AS19/'Assumption Setting'!$H$44,0)</f>
        <v>2115.38461538462</v>
      </c>
      <c r="AT20" s="79" t="n">
        <f aca="false">IFERROR(AT19/'Assumption Setting'!$H$44,0)</f>
        <v>2115.38461538462</v>
      </c>
      <c r="AU20" s="79" t="n">
        <f aca="false">IFERROR(AU19/'Assumption Setting'!$H$44,0)</f>
        <v>2115.38461538462</v>
      </c>
      <c r="AV20" s="79" t="n">
        <f aca="false">IFERROR(AV19/'Assumption Setting'!$H$44,0)</f>
        <v>2115.38461538462</v>
      </c>
      <c r="AW20" s="79" t="n">
        <f aca="false">IFERROR(AW19/'Assumption Setting'!$H$44,0)</f>
        <v>2115.38461538462</v>
      </c>
      <c r="AX20" s="79" t="n">
        <f aca="false">IFERROR(AX19/'Assumption Setting'!$H$44,0)</f>
        <v>2115.38461538462</v>
      </c>
      <c r="AY20" s="79" t="n">
        <f aca="false">IFERROR(AY19/'Assumption Setting'!$H$44,0)</f>
        <v>2115.38461538462</v>
      </c>
      <c r="AZ20" s="79" t="n">
        <f aca="false">IFERROR(AZ19/'Assumption Setting'!$H$44,0)</f>
        <v>2115.38461538462</v>
      </c>
      <c r="BA20" s="79" t="n">
        <f aca="false">IFERROR(BA19/'Assumption Setting'!$H$44,0)</f>
        <v>2115.38461538462</v>
      </c>
      <c r="BB20" s="78" t="n">
        <f aca="false">SUM(BC20:BN20)</f>
        <v>34615.3846153846</v>
      </c>
      <c r="BC20" s="79" t="n">
        <f aca="false">IFERROR(BC19/'Assumption Setting'!$H$44,0)</f>
        <v>2884.61538461538</v>
      </c>
      <c r="BD20" s="79" t="n">
        <f aca="false">IFERROR(BD19/'Assumption Setting'!$H$44,0)</f>
        <v>2884.61538461538</v>
      </c>
      <c r="BE20" s="79" t="n">
        <f aca="false">IFERROR(BE19/'Assumption Setting'!$H$44,0)</f>
        <v>2884.61538461538</v>
      </c>
      <c r="BF20" s="79" t="n">
        <f aca="false">IFERROR(BF19/'Assumption Setting'!$H$44,0)</f>
        <v>2884.61538461538</v>
      </c>
      <c r="BG20" s="79" t="n">
        <f aca="false">IFERROR(BG19/'Assumption Setting'!$H$44,0)</f>
        <v>2884.61538461538</v>
      </c>
      <c r="BH20" s="79" t="n">
        <f aca="false">IFERROR(BH19/'Assumption Setting'!$H$44,0)</f>
        <v>2884.61538461538</v>
      </c>
      <c r="BI20" s="79" t="n">
        <f aca="false">IFERROR(BI19/'Assumption Setting'!$H$44,0)</f>
        <v>2884.61538461538</v>
      </c>
      <c r="BJ20" s="79" t="n">
        <f aca="false">IFERROR(BJ19/'Assumption Setting'!$H$44,0)</f>
        <v>2884.61538461538</v>
      </c>
      <c r="BK20" s="79" t="n">
        <f aca="false">IFERROR(BK19/'Assumption Setting'!$H$44,0)</f>
        <v>2884.61538461538</v>
      </c>
      <c r="BL20" s="79" t="n">
        <f aca="false">IFERROR(BL19/'Assumption Setting'!$H$44,0)</f>
        <v>2884.61538461538</v>
      </c>
      <c r="BM20" s="79" t="n">
        <f aca="false">IFERROR(BM19/'Assumption Setting'!$H$44,0)</f>
        <v>2884.61538461538</v>
      </c>
      <c r="BN20" s="79" t="n">
        <f aca="false">IFERROR(BN19/'Assumption Setting'!$H$44,0)</f>
        <v>2884.61538461538</v>
      </c>
    </row>
    <row r="21" customFormat="false" ht="15" hidden="false" customHeight="false" outlineLevel="0" collapsed="false">
      <c r="A21" s="12" t="s">
        <v>597</v>
      </c>
      <c r="B21" s="78" t="n">
        <f aca="false">SUM(C21:N21)</f>
        <v>2363.07692307692</v>
      </c>
      <c r="C21" s="79" t="n">
        <f aca="false">C20*(1+'Assumption Setting'!$I$44+'Assumption Setting'!$J$44)</f>
        <v>196.923076923077</v>
      </c>
      <c r="D21" s="79" t="n">
        <f aca="false">D20*(1+'Assumption Setting'!$I$44+'Assumption Setting'!$J$44)</f>
        <v>196.923076923077</v>
      </c>
      <c r="E21" s="79" t="n">
        <f aca="false">E20*(1+'Assumption Setting'!$I$44+'Assumption Setting'!$J$44)</f>
        <v>196.923076923077</v>
      </c>
      <c r="F21" s="79" t="n">
        <f aca="false">F20*(1+'Assumption Setting'!$I$44+'Assumption Setting'!$J$44)</f>
        <v>196.923076923077</v>
      </c>
      <c r="G21" s="79" t="n">
        <f aca="false">G20*(1+'Assumption Setting'!$I$44+'Assumption Setting'!$J$44)</f>
        <v>196.923076923077</v>
      </c>
      <c r="H21" s="79" t="n">
        <f aca="false">H20*(1+'Assumption Setting'!$I$44+'Assumption Setting'!$J$44)</f>
        <v>196.923076923077</v>
      </c>
      <c r="I21" s="79" t="n">
        <f aca="false">I20*(1+'Assumption Setting'!$I$44+'Assumption Setting'!$J$44)</f>
        <v>196.923076923077</v>
      </c>
      <c r="J21" s="79" t="n">
        <f aca="false">J20*(1+'Assumption Setting'!$I$44+'Assumption Setting'!$J$44)</f>
        <v>196.923076923077</v>
      </c>
      <c r="K21" s="79" t="n">
        <f aca="false">K20*(1+'Assumption Setting'!$I$44+'Assumption Setting'!$J$44)</f>
        <v>196.923076923077</v>
      </c>
      <c r="L21" s="79" t="n">
        <f aca="false">L20*(1+'Assumption Setting'!$I$44+'Assumption Setting'!$J$44)</f>
        <v>196.923076923077</v>
      </c>
      <c r="M21" s="79" t="n">
        <f aca="false">M20*(1+'Assumption Setting'!$I$44+'Assumption Setting'!$J$44)</f>
        <v>196.923076923077</v>
      </c>
      <c r="N21" s="79" t="n">
        <f aca="false">N20*(1+'Assumption Setting'!$I$44+'Assumption Setting'!$J$44)</f>
        <v>196.923076923077</v>
      </c>
      <c r="O21" s="78" t="n">
        <f aca="false">SUM(P21:AA21)</f>
        <v>10633.8461538462</v>
      </c>
      <c r="P21" s="79" t="n">
        <f aca="false">P20*(1+'Assumption Setting'!$I$44+'Assumption Setting'!$J$44)</f>
        <v>886.153846153846</v>
      </c>
      <c r="Q21" s="79" t="n">
        <f aca="false">Q20*(1+'Assumption Setting'!$I$44+'Assumption Setting'!$J$44)</f>
        <v>886.153846153846</v>
      </c>
      <c r="R21" s="79" t="n">
        <f aca="false">R20*(1+'Assumption Setting'!$I$44+'Assumption Setting'!$J$44)</f>
        <v>886.153846153846</v>
      </c>
      <c r="S21" s="79" t="n">
        <f aca="false">S20*(1+'Assumption Setting'!$I$44+'Assumption Setting'!$J$44)</f>
        <v>886.153846153846</v>
      </c>
      <c r="T21" s="79" t="n">
        <f aca="false">T20*(1+'Assumption Setting'!$I$44+'Assumption Setting'!$J$44)</f>
        <v>886.153846153846</v>
      </c>
      <c r="U21" s="79" t="n">
        <f aca="false">U20*(1+'Assumption Setting'!$I$44+'Assumption Setting'!$J$44)</f>
        <v>886.153846153846</v>
      </c>
      <c r="V21" s="79" t="n">
        <f aca="false">V20*(1+'Assumption Setting'!$I$44+'Assumption Setting'!$J$44)</f>
        <v>886.153846153846</v>
      </c>
      <c r="W21" s="79" t="n">
        <f aca="false">W20*(1+'Assumption Setting'!$I$44+'Assumption Setting'!$J$44)</f>
        <v>886.153846153846</v>
      </c>
      <c r="X21" s="79" t="n">
        <f aca="false">X20*(1+'Assumption Setting'!$I$44+'Assumption Setting'!$J$44)</f>
        <v>886.153846153846</v>
      </c>
      <c r="Y21" s="79" t="n">
        <f aca="false">Y20*(1+'Assumption Setting'!$I$44+'Assumption Setting'!$J$44)</f>
        <v>886.153846153846</v>
      </c>
      <c r="Z21" s="79" t="n">
        <f aca="false">Z20*(1+'Assumption Setting'!$I$44+'Assumption Setting'!$J$44)</f>
        <v>886.153846153846</v>
      </c>
      <c r="AA21" s="79" t="n">
        <f aca="false">AA20*(1+'Assumption Setting'!$I$44+'Assumption Setting'!$J$44)</f>
        <v>886.153846153846</v>
      </c>
      <c r="AB21" s="78" t="n">
        <f aca="false">SUM(AC21:AN21)</f>
        <v>20676.9230769231</v>
      </c>
      <c r="AC21" s="79" t="n">
        <f aca="false">AC20*(1+'Assumption Setting'!$I$44+'Assumption Setting'!$J$44)</f>
        <v>1723.07692307692</v>
      </c>
      <c r="AD21" s="79" t="n">
        <f aca="false">AD20*(1+'Assumption Setting'!$I$44+'Assumption Setting'!$J$44)</f>
        <v>1723.07692307692</v>
      </c>
      <c r="AE21" s="79" t="n">
        <f aca="false">AE20*(1+'Assumption Setting'!$I$44+'Assumption Setting'!$J$44)</f>
        <v>1723.07692307692</v>
      </c>
      <c r="AF21" s="79" t="n">
        <f aca="false">AF20*(1+'Assumption Setting'!$I$44+'Assumption Setting'!$J$44)</f>
        <v>1723.07692307692</v>
      </c>
      <c r="AG21" s="79" t="n">
        <f aca="false">AG20*(1+'Assumption Setting'!$I$44+'Assumption Setting'!$J$44)</f>
        <v>1723.07692307692</v>
      </c>
      <c r="AH21" s="79" t="n">
        <f aca="false">AH20*(1+'Assumption Setting'!$I$44+'Assumption Setting'!$J$44)</f>
        <v>1723.07692307692</v>
      </c>
      <c r="AI21" s="79" t="n">
        <f aca="false">AI20*(1+'Assumption Setting'!$I$44+'Assumption Setting'!$J$44)</f>
        <v>1723.07692307692</v>
      </c>
      <c r="AJ21" s="79" t="n">
        <f aca="false">AJ20*(1+'Assumption Setting'!$I$44+'Assumption Setting'!$J$44)</f>
        <v>1723.07692307692</v>
      </c>
      <c r="AK21" s="79" t="n">
        <f aca="false">AK20*(1+'Assumption Setting'!$I$44+'Assumption Setting'!$J$44)</f>
        <v>1723.07692307692</v>
      </c>
      <c r="AL21" s="79" t="n">
        <f aca="false">AL20*(1+'Assumption Setting'!$I$44+'Assumption Setting'!$J$44)</f>
        <v>1723.07692307692</v>
      </c>
      <c r="AM21" s="79" t="n">
        <f aca="false">AM20*(1+'Assumption Setting'!$I$44+'Assumption Setting'!$J$44)</f>
        <v>1723.07692307692</v>
      </c>
      <c r="AN21" s="79" t="n">
        <f aca="false">AN20*(1+'Assumption Setting'!$I$44+'Assumption Setting'!$J$44)</f>
        <v>1723.07692307692</v>
      </c>
      <c r="AO21" s="78" t="n">
        <f aca="false">SUM(AP21:BA21)</f>
        <v>32492.3076923077</v>
      </c>
      <c r="AP21" s="79" t="n">
        <f aca="false">AP20*(1+'Assumption Setting'!$I$44+'Assumption Setting'!$J$44)</f>
        <v>2707.69230769231</v>
      </c>
      <c r="AQ21" s="79" t="n">
        <f aca="false">AQ20*(1+'Assumption Setting'!$I$44+'Assumption Setting'!$J$44)</f>
        <v>2707.69230769231</v>
      </c>
      <c r="AR21" s="79" t="n">
        <f aca="false">AR20*(1+'Assumption Setting'!$I$44+'Assumption Setting'!$J$44)</f>
        <v>2707.69230769231</v>
      </c>
      <c r="AS21" s="79" t="n">
        <f aca="false">AS20*(1+'Assumption Setting'!$I$44+'Assumption Setting'!$J$44)</f>
        <v>2707.69230769231</v>
      </c>
      <c r="AT21" s="79" t="n">
        <f aca="false">AT20*(1+'Assumption Setting'!$I$44+'Assumption Setting'!$J$44)</f>
        <v>2707.69230769231</v>
      </c>
      <c r="AU21" s="79" t="n">
        <f aca="false">AU20*(1+'Assumption Setting'!$I$44+'Assumption Setting'!$J$44)</f>
        <v>2707.69230769231</v>
      </c>
      <c r="AV21" s="79" t="n">
        <f aca="false">AV20*(1+'Assumption Setting'!$I$44+'Assumption Setting'!$J$44)</f>
        <v>2707.69230769231</v>
      </c>
      <c r="AW21" s="79" t="n">
        <f aca="false">AW20*(1+'Assumption Setting'!$I$44+'Assumption Setting'!$J$44)</f>
        <v>2707.69230769231</v>
      </c>
      <c r="AX21" s="79" t="n">
        <f aca="false">AX20*(1+'Assumption Setting'!$I$44+'Assumption Setting'!$J$44)</f>
        <v>2707.69230769231</v>
      </c>
      <c r="AY21" s="79" t="n">
        <f aca="false">AY20*(1+'Assumption Setting'!$I$44+'Assumption Setting'!$J$44)</f>
        <v>2707.69230769231</v>
      </c>
      <c r="AZ21" s="79" t="n">
        <f aca="false">AZ20*(1+'Assumption Setting'!$I$44+'Assumption Setting'!$J$44)</f>
        <v>2707.69230769231</v>
      </c>
      <c r="BA21" s="79" t="n">
        <f aca="false">BA20*(1+'Assumption Setting'!$I$44+'Assumption Setting'!$J$44)</f>
        <v>2707.69230769231</v>
      </c>
      <c r="BB21" s="78" t="n">
        <f aca="false">SUM(BC21:BN21)</f>
        <v>44307.6923076923</v>
      </c>
      <c r="BC21" s="79" t="n">
        <f aca="false">BC20*(1+'Assumption Setting'!$I$44+'Assumption Setting'!$J$44)</f>
        <v>3692.30769230769</v>
      </c>
      <c r="BD21" s="79" t="n">
        <f aca="false">BD20*(1+'Assumption Setting'!$I$44+'Assumption Setting'!$J$44)</f>
        <v>3692.30769230769</v>
      </c>
      <c r="BE21" s="79" t="n">
        <f aca="false">BE20*(1+'Assumption Setting'!$I$44+'Assumption Setting'!$J$44)</f>
        <v>3692.30769230769</v>
      </c>
      <c r="BF21" s="79" t="n">
        <f aca="false">BF20*(1+'Assumption Setting'!$I$44+'Assumption Setting'!$J$44)</f>
        <v>3692.30769230769</v>
      </c>
      <c r="BG21" s="79" t="n">
        <f aca="false">BG20*(1+'Assumption Setting'!$I$44+'Assumption Setting'!$J$44)</f>
        <v>3692.30769230769</v>
      </c>
      <c r="BH21" s="79" t="n">
        <f aca="false">BH20*(1+'Assumption Setting'!$I$44+'Assumption Setting'!$J$44)</f>
        <v>3692.30769230769</v>
      </c>
      <c r="BI21" s="79" t="n">
        <f aca="false">BI20*(1+'Assumption Setting'!$I$44+'Assumption Setting'!$J$44)</f>
        <v>3692.30769230769</v>
      </c>
      <c r="BJ21" s="79" t="n">
        <f aca="false">BJ20*(1+'Assumption Setting'!$I$44+'Assumption Setting'!$J$44)</f>
        <v>3692.30769230769</v>
      </c>
      <c r="BK21" s="79" t="n">
        <f aca="false">BK20*(1+'Assumption Setting'!$I$44+'Assumption Setting'!$J$44)</f>
        <v>3692.30769230769</v>
      </c>
      <c r="BL21" s="79" t="n">
        <f aca="false">BL20*(1+'Assumption Setting'!$I$44+'Assumption Setting'!$J$44)</f>
        <v>3692.30769230769</v>
      </c>
      <c r="BM21" s="79" t="n">
        <f aca="false">BM20*(1+'Assumption Setting'!$I$44+'Assumption Setting'!$J$44)</f>
        <v>3692.30769230769</v>
      </c>
      <c r="BN21" s="79" t="n">
        <f aca="false">BN20*(1+'Assumption Setting'!$I$44+'Assumption Setting'!$J$44)</f>
        <v>3692.30769230769</v>
      </c>
    </row>
    <row r="22" customFormat="false" ht="15" hidden="false" customHeight="false" outlineLevel="0" collapsed="false">
      <c r="A22" s="12" t="s">
        <v>598</v>
      </c>
      <c r="B22" s="80" t="n">
        <f aca="false">SUM(C22:N22)</f>
        <v>66.1661538461539</v>
      </c>
      <c r="C22" s="81" t="n">
        <f aca="false">C21*'Assumption Setting'!$K$44</f>
        <v>5.51384615384615</v>
      </c>
      <c r="D22" s="81" t="n">
        <f aca="false">D21*'Assumption Setting'!$K$44</f>
        <v>5.51384615384615</v>
      </c>
      <c r="E22" s="81" t="n">
        <f aca="false">E21*'Assumption Setting'!$K$44</f>
        <v>5.51384615384615</v>
      </c>
      <c r="F22" s="81" t="n">
        <f aca="false">F21*'Assumption Setting'!$K$44</f>
        <v>5.51384615384615</v>
      </c>
      <c r="G22" s="81" t="n">
        <f aca="false">G21*'Assumption Setting'!$K$44</f>
        <v>5.51384615384615</v>
      </c>
      <c r="H22" s="81" t="n">
        <f aca="false">H21*'Assumption Setting'!$K$44</f>
        <v>5.51384615384615</v>
      </c>
      <c r="I22" s="81" t="n">
        <f aca="false">I21*'Assumption Setting'!$K$44</f>
        <v>5.51384615384615</v>
      </c>
      <c r="J22" s="81" t="n">
        <f aca="false">J21*'Assumption Setting'!$K$44</f>
        <v>5.51384615384615</v>
      </c>
      <c r="K22" s="81" t="n">
        <f aca="false">K21*'Assumption Setting'!$K$44</f>
        <v>5.51384615384615</v>
      </c>
      <c r="L22" s="81" t="n">
        <f aca="false">L21*'Assumption Setting'!$K$44</f>
        <v>5.51384615384615</v>
      </c>
      <c r="M22" s="81" t="n">
        <f aca="false">M21*'Assumption Setting'!$K$44</f>
        <v>5.51384615384615</v>
      </c>
      <c r="N22" s="81" t="n">
        <f aca="false">N21*'Assumption Setting'!$K$44</f>
        <v>5.51384615384615</v>
      </c>
      <c r="O22" s="80" t="n">
        <f aca="false">SUM(P22:AA22)</f>
        <v>297.747692307692</v>
      </c>
      <c r="P22" s="81" t="n">
        <f aca="false">P21*'Assumption Setting'!$K$44</f>
        <v>24.8123076923077</v>
      </c>
      <c r="Q22" s="81" t="n">
        <f aca="false">Q21*'Assumption Setting'!$K$44</f>
        <v>24.8123076923077</v>
      </c>
      <c r="R22" s="81" t="n">
        <f aca="false">R21*'Assumption Setting'!$K$44</f>
        <v>24.8123076923077</v>
      </c>
      <c r="S22" s="81" t="n">
        <f aca="false">S21*'Assumption Setting'!$K$44</f>
        <v>24.8123076923077</v>
      </c>
      <c r="T22" s="81" t="n">
        <f aca="false">T21*'Assumption Setting'!$K$44</f>
        <v>24.8123076923077</v>
      </c>
      <c r="U22" s="81" t="n">
        <f aca="false">U21*'Assumption Setting'!$K$44</f>
        <v>24.8123076923077</v>
      </c>
      <c r="V22" s="81" t="n">
        <f aca="false">V21*'Assumption Setting'!$K$44</f>
        <v>24.8123076923077</v>
      </c>
      <c r="W22" s="81" t="n">
        <f aca="false">W21*'Assumption Setting'!$K$44</f>
        <v>24.8123076923077</v>
      </c>
      <c r="X22" s="81" t="n">
        <f aca="false">X21*'Assumption Setting'!$K$44</f>
        <v>24.8123076923077</v>
      </c>
      <c r="Y22" s="81" t="n">
        <f aca="false">Y21*'Assumption Setting'!$K$44</f>
        <v>24.8123076923077</v>
      </c>
      <c r="Z22" s="81" t="n">
        <f aca="false">Z21*'Assumption Setting'!$K$44</f>
        <v>24.8123076923077</v>
      </c>
      <c r="AA22" s="81" t="n">
        <f aca="false">AA21*'Assumption Setting'!$K$44</f>
        <v>24.8123076923077</v>
      </c>
      <c r="AB22" s="80" t="n">
        <f aca="false">SUM(AC22:AN22)</f>
        <v>578.953846153846</v>
      </c>
      <c r="AC22" s="81" t="n">
        <f aca="false">AC21*'Assumption Setting'!$K$44</f>
        <v>48.2461538461538</v>
      </c>
      <c r="AD22" s="81" t="n">
        <f aca="false">AD21*'Assumption Setting'!$K$44</f>
        <v>48.2461538461538</v>
      </c>
      <c r="AE22" s="81" t="n">
        <f aca="false">AE21*'Assumption Setting'!$K$44</f>
        <v>48.2461538461538</v>
      </c>
      <c r="AF22" s="81" t="n">
        <f aca="false">AF21*'Assumption Setting'!$K$44</f>
        <v>48.2461538461538</v>
      </c>
      <c r="AG22" s="81" t="n">
        <f aca="false">AG21*'Assumption Setting'!$K$44</f>
        <v>48.2461538461538</v>
      </c>
      <c r="AH22" s="81" t="n">
        <f aca="false">AH21*'Assumption Setting'!$K$44</f>
        <v>48.2461538461538</v>
      </c>
      <c r="AI22" s="81" t="n">
        <f aca="false">AI21*'Assumption Setting'!$K$44</f>
        <v>48.2461538461538</v>
      </c>
      <c r="AJ22" s="81" t="n">
        <f aca="false">AJ21*'Assumption Setting'!$K$44</f>
        <v>48.2461538461538</v>
      </c>
      <c r="AK22" s="81" t="n">
        <f aca="false">AK21*'Assumption Setting'!$K$44</f>
        <v>48.2461538461538</v>
      </c>
      <c r="AL22" s="81" t="n">
        <f aca="false">AL21*'Assumption Setting'!$K$44</f>
        <v>48.2461538461538</v>
      </c>
      <c r="AM22" s="81" t="n">
        <f aca="false">AM21*'Assumption Setting'!$K$44</f>
        <v>48.2461538461538</v>
      </c>
      <c r="AN22" s="81" t="n">
        <f aca="false">AN21*'Assumption Setting'!$K$44</f>
        <v>48.2461538461538</v>
      </c>
      <c r="AO22" s="80" t="n">
        <f aca="false">SUM(AP22:BA22)</f>
        <v>909.784615384615</v>
      </c>
      <c r="AP22" s="81" t="n">
        <f aca="false">AP21*'Assumption Setting'!$K$44</f>
        <v>75.8153846153846</v>
      </c>
      <c r="AQ22" s="81" t="n">
        <f aca="false">AQ21*'Assumption Setting'!$K$44</f>
        <v>75.8153846153846</v>
      </c>
      <c r="AR22" s="81" t="n">
        <f aca="false">AR21*'Assumption Setting'!$K$44</f>
        <v>75.8153846153846</v>
      </c>
      <c r="AS22" s="81" t="n">
        <f aca="false">AS21*'Assumption Setting'!$K$44</f>
        <v>75.8153846153846</v>
      </c>
      <c r="AT22" s="81" t="n">
        <f aca="false">AT21*'Assumption Setting'!$K$44</f>
        <v>75.8153846153846</v>
      </c>
      <c r="AU22" s="81" t="n">
        <f aca="false">AU21*'Assumption Setting'!$K$44</f>
        <v>75.8153846153846</v>
      </c>
      <c r="AV22" s="81" t="n">
        <f aca="false">AV21*'Assumption Setting'!$K$44</f>
        <v>75.8153846153846</v>
      </c>
      <c r="AW22" s="81" t="n">
        <f aca="false">AW21*'Assumption Setting'!$K$44</f>
        <v>75.8153846153846</v>
      </c>
      <c r="AX22" s="81" t="n">
        <f aca="false">AX21*'Assumption Setting'!$K$44</f>
        <v>75.8153846153846</v>
      </c>
      <c r="AY22" s="81" t="n">
        <f aca="false">AY21*'Assumption Setting'!$K$44</f>
        <v>75.8153846153846</v>
      </c>
      <c r="AZ22" s="81" t="n">
        <f aca="false">AZ21*'Assumption Setting'!$K$44</f>
        <v>75.8153846153846</v>
      </c>
      <c r="BA22" s="81" t="n">
        <f aca="false">BA21*'Assumption Setting'!$K$44</f>
        <v>75.8153846153846</v>
      </c>
      <c r="BB22" s="80" t="n">
        <f aca="false">SUM(BC22:BN22)</f>
        <v>1240.61538461538</v>
      </c>
      <c r="BC22" s="81" t="n">
        <f aca="false">BC21*'Assumption Setting'!$K$44</f>
        <v>103.384615384615</v>
      </c>
      <c r="BD22" s="81" t="n">
        <f aca="false">BD21*'Assumption Setting'!$K$44</f>
        <v>103.384615384615</v>
      </c>
      <c r="BE22" s="81" t="n">
        <f aca="false">BE21*'Assumption Setting'!$K$44</f>
        <v>103.384615384615</v>
      </c>
      <c r="BF22" s="81" t="n">
        <f aca="false">BF21*'Assumption Setting'!$K$44</f>
        <v>103.384615384615</v>
      </c>
      <c r="BG22" s="81" t="n">
        <f aca="false">BG21*'Assumption Setting'!$K$44</f>
        <v>103.384615384615</v>
      </c>
      <c r="BH22" s="81" t="n">
        <f aca="false">BH21*'Assumption Setting'!$K$44</f>
        <v>103.384615384615</v>
      </c>
      <c r="BI22" s="81" t="n">
        <f aca="false">BI21*'Assumption Setting'!$K$44</f>
        <v>103.384615384615</v>
      </c>
      <c r="BJ22" s="81" t="n">
        <f aca="false">BJ21*'Assumption Setting'!$K$44</f>
        <v>103.384615384615</v>
      </c>
      <c r="BK22" s="81" t="n">
        <f aca="false">BK21*'Assumption Setting'!$K$44</f>
        <v>103.384615384615</v>
      </c>
      <c r="BL22" s="81" t="n">
        <f aca="false">BL21*'Assumption Setting'!$K$44</f>
        <v>103.384615384615</v>
      </c>
      <c r="BM22" s="81" t="n">
        <f aca="false">BM21*'Assumption Setting'!$K$44</f>
        <v>103.384615384615</v>
      </c>
      <c r="BN22" s="81" t="n">
        <f aca="false">BN21*'Assumption Setting'!$K$44</f>
        <v>103.384615384615</v>
      </c>
    </row>
    <row r="23" customFormat="false" ht="15" hidden="false" customHeight="false" outlineLevel="0" collapsed="false">
      <c r="A23" s="12" t="s">
        <v>237</v>
      </c>
      <c r="B23" s="64" t="n">
        <f aca="false">SUM(C23:N23)</f>
        <v>360</v>
      </c>
      <c r="C23" s="65" t="n">
        <f aca="false">'Assumption Setting'!$C$45</f>
        <v>30</v>
      </c>
      <c r="D23" s="65" t="n">
        <f aca="false">'Assumption Setting'!$C$45</f>
        <v>30</v>
      </c>
      <c r="E23" s="65" t="n">
        <f aca="false">'Assumption Setting'!$C$45</f>
        <v>30</v>
      </c>
      <c r="F23" s="65" t="n">
        <f aca="false">'Assumption Setting'!$C$45</f>
        <v>30</v>
      </c>
      <c r="G23" s="65" t="n">
        <f aca="false">'Assumption Setting'!$C$45</f>
        <v>30</v>
      </c>
      <c r="H23" s="65" t="n">
        <f aca="false">'Assumption Setting'!$C$45</f>
        <v>30</v>
      </c>
      <c r="I23" s="65" t="n">
        <f aca="false">'Assumption Setting'!$C$45</f>
        <v>30</v>
      </c>
      <c r="J23" s="65" t="n">
        <f aca="false">'Assumption Setting'!$C$45</f>
        <v>30</v>
      </c>
      <c r="K23" s="65" t="n">
        <f aca="false">'Assumption Setting'!$C$45</f>
        <v>30</v>
      </c>
      <c r="L23" s="65" t="n">
        <f aca="false">'Assumption Setting'!$C$45</f>
        <v>30</v>
      </c>
      <c r="M23" s="65" t="n">
        <f aca="false">'Assumption Setting'!$C$45</f>
        <v>30</v>
      </c>
      <c r="N23" s="65" t="n">
        <f aca="false">'Assumption Setting'!$C$45</f>
        <v>30</v>
      </c>
      <c r="O23" s="64" t="n">
        <f aca="false">SUM(P23:AA23)</f>
        <v>1200</v>
      </c>
      <c r="P23" s="65" t="n">
        <f aca="false">'Assumption Setting'!$D$45</f>
        <v>100</v>
      </c>
      <c r="Q23" s="65" t="n">
        <f aca="false">'Assumption Setting'!$D$45</f>
        <v>100</v>
      </c>
      <c r="R23" s="65" t="n">
        <f aca="false">'Assumption Setting'!$D$45</f>
        <v>100</v>
      </c>
      <c r="S23" s="65" t="n">
        <f aca="false">'Assumption Setting'!$D$45</f>
        <v>100</v>
      </c>
      <c r="T23" s="65" t="n">
        <f aca="false">'Assumption Setting'!$D$45</f>
        <v>100</v>
      </c>
      <c r="U23" s="65" t="n">
        <f aca="false">'Assumption Setting'!$D$45</f>
        <v>100</v>
      </c>
      <c r="V23" s="65" t="n">
        <f aca="false">'Assumption Setting'!$D$45</f>
        <v>100</v>
      </c>
      <c r="W23" s="65" t="n">
        <f aca="false">'Assumption Setting'!$D$45</f>
        <v>100</v>
      </c>
      <c r="X23" s="65" t="n">
        <f aca="false">'Assumption Setting'!$D$45</f>
        <v>100</v>
      </c>
      <c r="Y23" s="65" t="n">
        <f aca="false">'Assumption Setting'!$D$45</f>
        <v>100</v>
      </c>
      <c r="Z23" s="65" t="n">
        <f aca="false">'Assumption Setting'!$D$45</f>
        <v>100</v>
      </c>
      <c r="AA23" s="65" t="n">
        <f aca="false">'Assumption Setting'!$D$45</f>
        <v>100</v>
      </c>
      <c r="AB23" s="64" t="n">
        <f aca="false">SUM(AC23:AN23)</f>
        <v>2400</v>
      </c>
      <c r="AC23" s="65" t="n">
        <f aca="false">'Assumption Setting'!$E$45</f>
        <v>200</v>
      </c>
      <c r="AD23" s="65" t="n">
        <f aca="false">'Assumption Setting'!$E$45</f>
        <v>200</v>
      </c>
      <c r="AE23" s="65" t="n">
        <f aca="false">'Assumption Setting'!$E$45</f>
        <v>200</v>
      </c>
      <c r="AF23" s="65" t="n">
        <f aca="false">'Assumption Setting'!$E$45</f>
        <v>200</v>
      </c>
      <c r="AG23" s="65" t="n">
        <f aca="false">'Assumption Setting'!$E$45</f>
        <v>200</v>
      </c>
      <c r="AH23" s="65" t="n">
        <f aca="false">'Assumption Setting'!$E$45</f>
        <v>200</v>
      </c>
      <c r="AI23" s="65" t="n">
        <f aca="false">'Assumption Setting'!$E$45</f>
        <v>200</v>
      </c>
      <c r="AJ23" s="65" t="n">
        <f aca="false">'Assumption Setting'!$E$45</f>
        <v>200</v>
      </c>
      <c r="AK23" s="65" t="n">
        <f aca="false">'Assumption Setting'!$E$45</f>
        <v>200</v>
      </c>
      <c r="AL23" s="65" t="n">
        <f aca="false">'Assumption Setting'!$E$45</f>
        <v>200</v>
      </c>
      <c r="AM23" s="65" t="n">
        <f aca="false">'Assumption Setting'!$E$45</f>
        <v>200</v>
      </c>
      <c r="AN23" s="65" t="n">
        <f aca="false">'Assumption Setting'!$E$45</f>
        <v>200</v>
      </c>
      <c r="AO23" s="64" t="n">
        <f aca="false">SUM(AP23:BA23)</f>
        <v>3600</v>
      </c>
      <c r="AP23" s="65" t="n">
        <f aca="false">'Assumption Setting'!$F$45</f>
        <v>300</v>
      </c>
      <c r="AQ23" s="65" t="n">
        <f aca="false">'Assumption Setting'!$F$45</f>
        <v>300</v>
      </c>
      <c r="AR23" s="65" t="n">
        <f aca="false">'Assumption Setting'!$F$45</f>
        <v>300</v>
      </c>
      <c r="AS23" s="65" t="n">
        <f aca="false">'Assumption Setting'!$F$45</f>
        <v>300</v>
      </c>
      <c r="AT23" s="65" t="n">
        <f aca="false">'Assumption Setting'!$F$45</f>
        <v>300</v>
      </c>
      <c r="AU23" s="65" t="n">
        <f aca="false">'Assumption Setting'!$F$45</f>
        <v>300</v>
      </c>
      <c r="AV23" s="65" t="n">
        <f aca="false">'Assumption Setting'!$F$45</f>
        <v>300</v>
      </c>
      <c r="AW23" s="65" t="n">
        <f aca="false">'Assumption Setting'!$F$45</f>
        <v>300</v>
      </c>
      <c r="AX23" s="65" t="n">
        <f aca="false">'Assumption Setting'!$F$45</f>
        <v>300</v>
      </c>
      <c r="AY23" s="65" t="n">
        <f aca="false">'Assumption Setting'!$F$45</f>
        <v>300</v>
      </c>
      <c r="AZ23" s="65" t="n">
        <f aca="false">'Assumption Setting'!$F$45</f>
        <v>300</v>
      </c>
      <c r="BA23" s="65" t="n">
        <f aca="false">'Assumption Setting'!$F$45</f>
        <v>300</v>
      </c>
      <c r="BB23" s="64" t="n">
        <f aca="false">SUM(BC23:BN23)</f>
        <v>4800</v>
      </c>
      <c r="BC23" s="65" t="n">
        <f aca="false">'Assumption Setting'!$G$45</f>
        <v>400</v>
      </c>
      <c r="BD23" s="65" t="n">
        <f aca="false">'Assumption Setting'!$G$45</f>
        <v>400</v>
      </c>
      <c r="BE23" s="65" t="n">
        <f aca="false">'Assumption Setting'!$G$45</f>
        <v>400</v>
      </c>
      <c r="BF23" s="65" t="n">
        <f aca="false">'Assumption Setting'!$G$45</f>
        <v>400</v>
      </c>
      <c r="BG23" s="65" t="n">
        <f aca="false">'Assumption Setting'!$G$45</f>
        <v>400</v>
      </c>
      <c r="BH23" s="65" t="n">
        <f aca="false">'Assumption Setting'!$G$45</f>
        <v>400</v>
      </c>
      <c r="BI23" s="65" t="n">
        <f aca="false">'Assumption Setting'!$G$45</f>
        <v>400</v>
      </c>
      <c r="BJ23" s="65" t="n">
        <f aca="false">'Assumption Setting'!$G$45</f>
        <v>400</v>
      </c>
      <c r="BK23" s="65" t="n">
        <f aca="false">'Assumption Setting'!$G$45</f>
        <v>400</v>
      </c>
      <c r="BL23" s="65" t="n">
        <f aca="false">'Assumption Setting'!$G$45</f>
        <v>400</v>
      </c>
      <c r="BM23" s="65" t="n">
        <f aca="false">'Assumption Setting'!$G$45</f>
        <v>400</v>
      </c>
      <c r="BN23" s="65" t="n">
        <f aca="false">'Assumption Setting'!$G$45</f>
        <v>400</v>
      </c>
    </row>
    <row r="24" customFormat="false" ht="15" hidden="false" customHeight="false" outlineLevel="0" collapsed="false">
      <c r="A24" s="12" t="s">
        <v>596</v>
      </c>
      <c r="B24" s="78" t="n">
        <f aca="false">SUM(C24:N24)</f>
        <v>654.545454545454</v>
      </c>
      <c r="C24" s="79" t="n">
        <f aca="false">IFERROR(C23/'Assumption Setting'!$H$45,0)</f>
        <v>54.5454545454545</v>
      </c>
      <c r="D24" s="79" t="n">
        <f aca="false">IFERROR(D23/'Assumption Setting'!$H$45,0)</f>
        <v>54.5454545454545</v>
      </c>
      <c r="E24" s="79" t="n">
        <f aca="false">IFERROR(E23/'Assumption Setting'!$H$45,0)</f>
        <v>54.5454545454545</v>
      </c>
      <c r="F24" s="79" t="n">
        <f aca="false">IFERROR(F23/'Assumption Setting'!$H$45,0)</f>
        <v>54.5454545454545</v>
      </c>
      <c r="G24" s="79" t="n">
        <f aca="false">IFERROR(G23/'Assumption Setting'!$H$45,0)</f>
        <v>54.5454545454545</v>
      </c>
      <c r="H24" s="79" t="n">
        <f aca="false">IFERROR(H23/'Assumption Setting'!$H$45,0)</f>
        <v>54.5454545454545</v>
      </c>
      <c r="I24" s="79" t="n">
        <f aca="false">IFERROR(I23/'Assumption Setting'!$H$45,0)</f>
        <v>54.5454545454545</v>
      </c>
      <c r="J24" s="79" t="n">
        <f aca="false">IFERROR(J23/'Assumption Setting'!$H$45,0)</f>
        <v>54.5454545454545</v>
      </c>
      <c r="K24" s="79" t="n">
        <f aca="false">IFERROR(K23/'Assumption Setting'!$H$45,0)</f>
        <v>54.5454545454545</v>
      </c>
      <c r="L24" s="79" t="n">
        <f aca="false">IFERROR(L23/'Assumption Setting'!$H$45,0)</f>
        <v>54.5454545454545</v>
      </c>
      <c r="M24" s="79" t="n">
        <f aca="false">IFERROR(M23/'Assumption Setting'!$H$45,0)</f>
        <v>54.5454545454545</v>
      </c>
      <c r="N24" s="79" t="n">
        <f aca="false">IFERROR(N23/'Assumption Setting'!$H$45,0)</f>
        <v>54.5454545454545</v>
      </c>
      <c r="O24" s="78" t="n">
        <f aca="false">SUM(P24:AA24)</f>
        <v>2181.81818181818</v>
      </c>
      <c r="P24" s="79" t="n">
        <f aca="false">IFERROR(P23/'Assumption Setting'!$H$45,0)</f>
        <v>181.818181818182</v>
      </c>
      <c r="Q24" s="79" t="n">
        <f aca="false">IFERROR(Q23/'Assumption Setting'!$H$45,0)</f>
        <v>181.818181818182</v>
      </c>
      <c r="R24" s="79" t="n">
        <f aca="false">IFERROR(R23/'Assumption Setting'!$H$45,0)</f>
        <v>181.818181818182</v>
      </c>
      <c r="S24" s="79" t="n">
        <f aca="false">IFERROR(S23/'Assumption Setting'!$H$45,0)</f>
        <v>181.818181818182</v>
      </c>
      <c r="T24" s="79" t="n">
        <f aca="false">IFERROR(T23/'Assumption Setting'!$H$45,0)</f>
        <v>181.818181818182</v>
      </c>
      <c r="U24" s="79" t="n">
        <f aca="false">IFERROR(U23/'Assumption Setting'!$H$45,0)</f>
        <v>181.818181818182</v>
      </c>
      <c r="V24" s="79" t="n">
        <f aca="false">IFERROR(V23/'Assumption Setting'!$H$45,0)</f>
        <v>181.818181818182</v>
      </c>
      <c r="W24" s="79" t="n">
        <f aca="false">IFERROR(W23/'Assumption Setting'!$H$45,0)</f>
        <v>181.818181818182</v>
      </c>
      <c r="X24" s="79" t="n">
        <f aca="false">IFERROR(X23/'Assumption Setting'!$H$45,0)</f>
        <v>181.818181818182</v>
      </c>
      <c r="Y24" s="79" t="n">
        <f aca="false">IFERROR(Y23/'Assumption Setting'!$H$45,0)</f>
        <v>181.818181818182</v>
      </c>
      <c r="Z24" s="79" t="n">
        <f aca="false">IFERROR(Z23/'Assumption Setting'!$H$45,0)</f>
        <v>181.818181818182</v>
      </c>
      <c r="AA24" s="79" t="n">
        <f aca="false">IFERROR(AA23/'Assumption Setting'!$H$45,0)</f>
        <v>181.818181818182</v>
      </c>
      <c r="AB24" s="78" t="n">
        <f aca="false">SUM(AC24:AN24)</f>
        <v>4363.63636363636</v>
      </c>
      <c r="AC24" s="79" t="n">
        <f aca="false">IFERROR(AC23/'Assumption Setting'!$H$45,0)</f>
        <v>363.636363636364</v>
      </c>
      <c r="AD24" s="79" t="n">
        <f aca="false">IFERROR(AD23/'Assumption Setting'!$H$45,0)</f>
        <v>363.636363636364</v>
      </c>
      <c r="AE24" s="79" t="n">
        <f aca="false">IFERROR(AE23/'Assumption Setting'!$H$45,0)</f>
        <v>363.636363636364</v>
      </c>
      <c r="AF24" s="79" t="n">
        <f aca="false">IFERROR(AF23/'Assumption Setting'!$H$45,0)</f>
        <v>363.636363636364</v>
      </c>
      <c r="AG24" s="79" t="n">
        <f aca="false">IFERROR(AG23/'Assumption Setting'!$H$45,0)</f>
        <v>363.636363636364</v>
      </c>
      <c r="AH24" s="79" t="n">
        <f aca="false">IFERROR(AH23/'Assumption Setting'!$H$45,0)</f>
        <v>363.636363636364</v>
      </c>
      <c r="AI24" s="79" t="n">
        <f aca="false">IFERROR(AI23/'Assumption Setting'!$H$45,0)</f>
        <v>363.636363636364</v>
      </c>
      <c r="AJ24" s="79" t="n">
        <f aca="false">IFERROR(AJ23/'Assumption Setting'!$H$45,0)</f>
        <v>363.636363636364</v>
      </c>
      <c r="AK24" s="79" t="n">
        <f aca="false">IFERROR(AK23/'Assumption Setting'!$H$45,0)</f>
        <v>363.636363636364</v>
      </c>
      <c r="AL24" s="79" t="n">
        <f aca="false">IFERROR(AL23/'Assumption Setting'!$H$45,0)</f>
        <v>363.636363636364</v>
      </c>
      <c r="AM24" s="79" t="n">
        <f aca="false">IFERROR(AM23/'Assumption Setting'!$H$45,0)</f>
        <v>363.636363636364</v>
      </c>
      <c r="AN24" s="79" t="n">
        <f aca="false">IFERROR(AN23/'Assumption Setting'!$H$45,0)</f>
        <v>363.636363636364</v>
      </c>
      <c r="AO24" s="78" t="n">
        <f aca="false">SUM(AP24:BA24)</f>
        <v>6545.45454545454</v>
      </c>
      <c r="AP24" s="79" t="n">
        <f aca="false">IFERROR(AP23/'Assumption Setting'!$H$45,0)</f>
        <v>545.454545454545</v>
      </c>
      <c r="AQ24" s="79" t="n">
        <f aca="false">IFERROR(AQ23/'Assumption Setting'!$H$45,0)</f>
        <v>545.454545454545</v>
      </c>
      <c r="AR24" s="79" t="n">
        <f aca="false">IFERROR(AR23/'Assumption Setting'!$H$45,0)</f>
        <v>545.454545454545</v>
      </c>
      <c r="AS24" s="79" t="n">
        <f aca="false">IFERROR(AS23/'Assumption Setting'!$H$45,0)</f>
        <v>545.454545454545</v>
      </c>
      <c r="AT24" s="79" t="n">
        <f aca="false">IFERROR(AT23/'Assumption Setting'!$H$45,0)</f>
        <v>545.454545454545</v>
      </c>
      <c r="AU24" s="79" t="n">
        <f aca="false">IFERROR(AU23/'Assumption Setting'!$H$45,0)</f>
        <v>545.454545454545</v>
      </c>
      <c r="AV24" s="79" t="n">
        <f aca="false">IFERROR(AV23/'Assumption Setting'!$H$45,0)</f>
        <v>545.454545454545</v>
      </c>
      <c r="AW24" s="79" t="n">
        <f aca="false">IFERROR(AW23/'Assumption Setting'!$H$45,0)</f>
        <v>545.454545454545</v>
      </c>
      <c r="AX24" s="79" t="n">
        <f aca="false">IFERROR(AX23/'Assumption Setting'!$H$45,0)</f>
        <v>545.454545454545</v>
      </c>
      <c r="AY24" s="79" t="n">
        <f aca="false">IFERROR(AY23/'Assumption Setting'!$H$45,0)</f>
        <v>545.454545454545</v>
      </c>
      <c r="AZ24" s="79" t="n">
        <f aca="false">IFERROR(AZ23/'Assumption Setting'!$H$45,0)</f>
        <v>545.454545454545</v>
      </c>
      <c r="BA24" s="79" t="n">
        <f aca="false">IFERROR(BA23/'Assumption Setting'!$H$45,0)</f>
        <v>545.454545454545</v>
      </c>
      <c r="BB24" s="78" t="n">
        <f aca="false">SUM(BC24:BN24)</f>
        <v>8727.27272727273</v>
      </c>
      <c r="BC24" s="79" t="n">
        <f aca="false">IFERROR(BC23/'Assumption Setting'!$H$45,0)</f>
        <v>727.272727272727</v>
      </c>
      <c r="BD24" s="79" t="n">
        <f aca="false">IFERROR(BD23/'Assumption Setting'!$H$45,0)</f>
        <v>727.272727272727</v>
      </c>
      <c r="BE24" s="79" t="n">
        <f aca="false">IFERROR(BE23/'Assumption Setting'!$H$45,0)</f>
        <v>727.272727272727</v>
      </c>
      <c r="BF24" s="79" t="n">
        <f aca="false">IFERROR(BF23/'Assumption Setting'!$H$45,0)</f>
        <v>727.272727272727</v>
      </c>
      <c r="BG24" s="79" t="n">
        <f aca="false">IFERROR(BG23/'Assumption Setting'!$H$45,0)</f>
        <v>727.272727272727</v>
      </c>
      <c r="BH24" s="79" t="n">
        <f aca="false">IFERROR(BH23/'Assumption Setting'!$H$45,0)</f>
        <v>727.272727272727</v>
      </c>
      <c r="BI24" s="79" t="n">
        <f aca="false">IFERROR(BI23/'Assumption Setting'!$H$45,0)</f>
        <v>727.272727272727</v>
      </c>
      <c r="BJ24" s="79" t="n">
        <f aca="false">IFERROR(BJ23/'Assumption Setting'!$H$45,0)</f>
        <v>727.272727272727</v>
      </c>
      <c r="BK24" s="79" t="n">
        <f aca="false">IFERROR(BK23/'Assumption Setting'!$H$45,0)</f>
        <v>727.272727272727</v>
      </c>
      <c r="BL24" s="79" t="n">
        <f aca="false">IFERROR(BL23/'Assumption Setting'!$H$45,0)</f>
        <v>727.272727272727</v>
      </c>
      <c r="BM24" s="79" t="n">
        <f aca="false">IFERROR(BM23/'Assumption Setting'!$H$45,0)</f>
        <v>727.272727272727</v>
      </c>
      <c r="BN24" s="79" t="n">
        <f aca="false">IFERROR(BN23/'Assumption Setting'!$H$45,0)</f>
        <v>727.272727272727</v>
      </c>
    </row>
    <row r="25" customFormat="false" ht="15" hidden="false" customHeight="false" outlineLevel="0" collapsed="false">
      <c r="A25" s="12" t="s">
        <v>597</v>
      </c>
      <c r="B25" s="78" t="n">
        <f aca="false">SUM(C25:N25)</f>
        <v>759.272727272727</v>
      </c>
      <c r="C25" s="79" t="n">
        <f aca="false">C24*(1+'Assumption Setting'!$I$45+'Assumption Setting'!$J$45)</f>
        <v>63.2727272727273</v>
      </c>
      <c r="D25" s="79" t="n">
        <f aca="false">D24*(1+'Assumption Setting'!$I$45+'Assumption Setting'!$J$45)</f>
        <v>63.2727272727273</v>
      </c>
      <c r="E25" s="79" t="n">
        <f aca="false">E24*(1+'Assumption Setting'!$I$45+'Assumption Setting'!$J$45)</f>
        <v>63.2727272727273</v>
      </c>
      <c r="F25" s="79" t="n">
        <f aca="false">F24*(1+'Assumption Setting'!$I$45+'Assumption Setting'!$J$45)</f>
        <v>63.2727272727273</v>
      </c>
      <c r="G25" s="79" t="n">
        <f aca="false">G24*(1+'Assumption Setting'!$I$45+'Assumption Setting'!$J$45)</f>
        <v>63.2727272727273</v>
      </c>
      <c r="H25" s="79" t="n">
        <f aca="false">H24*(1+'Assumption Setting'!$I$45+'Assumption Setting'!$J$45)</f>
        <v>63.2727272727273</v>
      </c>
      <c r="I25" s="79" t="n">
        <f aca="false">I24*(1+'Assumption Setting'!$I$45+'Assumption Setting'!$J$45)</f>
        <v>63.2727272727273</v>
      </c>
      <c r="J25" s="79" t="n">
        <f aca="false">J24*(1+'Assumption Setting'!$I$45+'Assumption Setting'!$J$45)</f>
        <v>63.2727272727273</v>
      </c>
      <c r="K25" s="79" t="n">
        <f aca="false">K24*(1+'Assumption Setting'!$I$45+'Assumption Setting'!$J$45)</f>
        <v>63.2727272727273</v>
      </c>
      <c r="L25" s="79" t="n">
        <f aca="false">L24*(1+'Assumption Setting'!$I$45+'Assumption Setting'!$J$45)</f>
        <v>63.2727272727273</v>
      </c>
      <c r="M25" s="79" t="n">
        <f aca="false">M24*(1+'Assumption Setting'!$I$45+'Assumption Setting'!$J$45)</f>
        <v>63.2727272727273</v>
      </c>
      <c r="N25" s="79" t="n">
        <f aca="false">N24*(1+'Assumption Setting'!$I$45+'Assumption Setting'!$J$45)</f>
        <v>63.2727272727273</v>
      </c>
      <c r="O25" s="78" t="n">
        <f aca="false">SUM(P25:AA25)</f>
        <v>2530.90909090909</v>
      </c>
      <c r="P25" s="79" t="n">
        <f aca="false">P24*(1+'Assumption Setting'!$I$45+'Assumption Setting'!$J$45)</f>
        <v>210.909090909091</v>
      </c>
      <c r="Q25" s="79" t="n">
        <f aca="false">Q24*(1+'Assumption Setting'!$I$45+'Assumption Setting'!$J$45)</f>
        <v>210.909090909091</v>
      </c>
      <c r="R25" s="79" t="n">
        <f aca="false">R24*(1+'Assumption Setting'!$I$45+'Assumption Setting'!$J$45)</f>
        <v>210.909090909091</v>
      </c>
      <c r="S25" s="79" t="n">
        <f aca="false">S24*(1+'Assumption Setting'!$I$45+'Assumption Setting'!$J$45)</f>
        <v>210.909090909091</v>
      </c>
      <c r="T25" s="79" t="n">
        <f aca="false">T24*(1+'Assumption Setting'!$I$45+'Assumption Setting'!$J$45)</f>
        <v>210.909090909091</v>
      </c>
      <c r="U25" s="79" t="n">
        <f aca="false">U24*(1+'Assumption Setting'!$I$45+'Assumption Setting'!$J$45)</f>
        <v>210.909090909091</v>
      </c>
      <c r="V25" s="79" t="n">
        <f aca="false">V24*(1+'Assumption Setting'!$I$45+'Assumption Setting'!$J$45)</f>
        <v>210.909090909091</v>
      </c>
      <c r="W25" s="79" t="n">
        <f aca="false">W24*(1+'Assumption Setting'!$I$45+'Assumption Setting'!$J$45)</f>
        <v>210.909090909091</v>
      </c>
      <c r="X25" s="79" t="n">
        <f aca="false">X24*(1+'Assumption Setting'!$I$45+'Assumption Setting'!$J$45)</f>
        <v>210.909090909091</v>
      </c>
      <c r="Y25" s="79" t="n">
        <f aca="false">Y24*(1+'Assumption Setting'!$I$45+'Assumption Setting'!$J$45)</f>
        <v>210.909090909091</v>
      </c>
      <c r="Z25" s="79" t="n">
        <f aca="false">Z24*(1+'Assumption Setting'!$I$45+'Assumption Setting'!$J$45)</f>
        <v>210.909090909091</v>
      </c>
      <c r="AA25" s="79" t="n">
        <f aca="false">AA24*(1+'Assumption Setting'!$I$45+'Assumption Setting'!$J$45)</f>
        <v>210.909090909091</v>
      </c>
      <c r="AB25" s="78" t="n">
        <f aca="false">SUM(AC25:AN25)</f>
        <v>5061.81818181818</v>
      </c>
      <c r="AC25" s="79" t="n">
        <f aca="false">AC24*(1+'Assumption Setting'!$I$45+'Assumption Setting'!$J$45)</f>
        <v>421.818181818182</v>
      </c>
      <c r="AD25" s="79" t="n">
        <f aca="false">AD24*(1+'Assumption Setting'!$I$45+'Assumption Setting'!$J$45)</f>
        <v>421.818181818182</v>
      </c>
      <c r="AE25" s="79" t="n">
        <f aca="false">AE24*(1+'Assumption Setting'!$I$45+'Assumption Setting'!$J$45)</f>
        <v>421.818181818182</v>
      </c>
      <c r="AF25" s="79" t="n">
        <f aca="false">AF24*(1+'Assumption Setting'!$I$45+'Assumption Setting'!$J$45)</f>
        <v>421.818181818182</v>
      </c>
      <c r="AG25" s="79" t="n">
        <f aca="false">AG24*(1+'Assumption Setting'!$I$45+'Assumption Setting'!$J$45)</f>
        <v>421.818181818182</v>
      </c>
      <c r="AH25" s="79" t="n">
        <f aca="false">AH24*(1+'Assumption Setting'!$I$45+'Assumption Setting'!$J$45)</f>
        <v>421.818181818182</v>
      </c>
      <c r="AI25" s="79" t="n">
        <f aca="false">AI24*(1+'Assumption Setting'!$I$45+'Assumption Setting'!$J$45)</f>
        <v>421.818181818182</v>
      </c>
      <c r="AJ25" s="79" t="n">
        <f aca="false">AJ24*(1+'Assumption Setting'!$I$45+'Assumption Setting'!$J$45)</f>
        <v>421.818181818182</v>
      </c>
      <c r="AK25" s="79" t="n">
        <f aca="false">AK24*(1+'Assumption Setting'!$I$45+'Assumption Setting'!$J$45)</f>
        <v>421.818181818182</v>
      </c>
      <c r="AL25" s="79" t="n">
        <f aca="false">AL24*(1+'Assumption Setting'!$I$45+'Assumption Setting'!$J$45)</f>
        <v>421.818181818182</v>
      </c>
      <c r="AM25" s="79" t="n">
        <f aca="false">AM24*(1+'Assumption Setting'!$I$45+'Assumption Setting'!$J$45)</f>
        <v>421.818181818182</v>
      </c>
      <c r="AN25" s="79" t="n">
        <f aca="false">AN24*(1+'Assumption Setting'!$I$45+'Assumption Setting'!$J$45)</f>
        <v>421.818181818182</v>
      </c>
      <c r="AO25" s="78" t="n">
        <f aca="false">SUM(AP25:BA25)</f>
        <v>7592.72727272727</v>
      </c>
      <c r="AP25" s="79" t="n">
        <f aca="false">AP24*(1+'Assumption Setting'!$I$45+'Assumption Setting'!$J$45)</f>
        <v>632.727272727273</v>
      </c>
      <c r="AQ25" s="79" t="n">
        <f aca="false">AQ24*(1+'Assumption Setting'!$I$45+'Assumption Setting'!$J$45)</f>
        <v>632.727272727273</v>
      </c>
      <c r="AR25" s="79" t="n">
        <f aca="false">AR24*(1+'Assumption Setting'!$I$45+'Assumption Setting'!$J$45)</f>
        <v>632.727272727273</v>
      </c>
      <c r="AS25" s="79" t="n">
        <f aca="false">AS24*(1+'Assumption Setting'!$I$45+'Assumption Setting'!$J$45)</f>
        <v>632.727272727273</v>
      </c>
      <c r="AT25" s="79" t="n">
        <f aca="false">AT24*(1+'Assumption Setting'!$I$45+'Assumption Setting'!$J$45)</f>
        <v>632.727272727273</v>
      </c>
      <c r="AU25" s="79" t="n">
        <f aca="false">AU24*(1+'Assumption Setting'!$I$45+'Assumption Setting'!$J$45)</f>
        <v>632.727272727273</v>
      </c>
      <c r="AV25" s="79" t="n">
        <f aca="false">AV24*(1+'Assumption Setting'!$I$45+'Assumption Setting'!$J$45)</f>
        <v>632.727272727273</v>
      </c>
      <c r="AW25" s="79" t="n">
        <f aca="false">AW24*(1+'Assumption Setting'!$I$45+'Assumption Setting'!$J$45)</f>
        <v>632.727272727273</v>
      </c>
      <c r="AX25" s="79" t="n">
        <f aca="false">AX24*(1+'Assumption Setting'!$I$45+'Assumption Setting'!$J$45)</f>
        <v>632.727272727273</v>
      </c>
      <c r="AY25" s="79" t="n">
        <f aca="false">AY24*(1+'Assumption Setting'!$I$45+'Assumption Setting'!$J$45)</f>
        <v>632.727272727273</v>
      </c>
      <c r="AZ25" s="79" t="n">
        <f aca="false">AZ24*(1+'Assumption Setting'!$I$45+'Assumption Setting'!$J$45)</f>
        <v>632.727272727273</v>
      </c>
      <c r="BA25" s="79" t="n">
        <f aca="false">BA24*(1+'Assumption Setting'!$I$45+'Assumption Setting'!$J$45)</f>
        <v>632.727272727273</v>
      </c>
      <c r="BB25" s="78" t="n">
        <f aca="false">SUM(BC25:BN25)</f>
        <v>10123.6363636364</v>
      </c>
      <c r="BC25" s="79" t="n">
        <f aca="false">BC24*(1+'Assumption Setting'!$I$45+'Assumption Setting'!$J$45)</f>
        <v>843.636363636364</v>
      </c>
      <c r="BD25" s="79" t="n">
        <f aca="false">BD24*(1+'Assumption Setting'!$I$45+'Assumption Setting'!$J$45)</f>
        <v>843.636363636364</v>
      </c>
      <c r="BE25" s="79" t="n">
        <f aca="false">BE24*(1+'Assumption Setting'!$I$45+'Assumption Setting'!$J$45)</f>
        <v>843.636363636364</v>
      </c>
      <c r="BF25" s="79" t="n">
        <f aca="false">BF24*(1+'Assumption Setting'!$I$45+'Assumption Setting'!$J$45)</f>
        <v>843.636363636364</v>
      </c>
      <c r="BG25" s="79" t="n">
        <f aca="false">BG24*(1+'Assumption Setting'!$I$45+'Assumption Setting'!$J$45)</f>
        <v>843.636363636364</v>
      </c>
      <c r="BH25" s="79" t="n">
        <f aca="false">BH24*(1+'Assumption Setting'!$I$45+'Assumption Setting'!$J$45)</f>
        <v>843.636363636364</v>
      </c>
      <c r="BI25" s="79" t="n">
        <f aca="false">BI24*(1+'Assumption Setting'!$I$45+'Assumption Setting'!$J$45)</f>
        <v>843.636363636364</v>
      </c>
      <c r="BJ25" s="79" t="n">
        <f aca="false">BJ24*(1+'Assumption Setting'!$I$45+'Assumption Setting'!$J$45)</f>
        <v>843.636363636364</v>
      </c>
      <c r="BK25" s="79" t="n">
        <f aca="false">BK24*(1+'Assumption Setting'!$I$45+'Assumption Setting'!$J$45)</f>
        <v>843.636363636364</v>
      </c>
      <c r="BL25" s="79" t="n">
        <f aca="false">BL24*(1+'Assumption Setting'!$I$45+'Assumption Setting'!$J$45)</f>
        <v>843.636363636364</v>
      </c>
      <c r="BM25" s="79" t="n">
        <f aca="false">BM24*(1+'Assumption Setting'!$I$45+'Assumption Setting'!$J$45)</f>
        <v>843.636363636364</v>
      </c>
      <c r="BN25" s="79" t="n">
        <f aca="false">BN24*(1+'Assumption Setting'!$I$45+'Assumption Setting'!$J$45)</f>
        <v>843.636363636364</v>
      </c>
    </row>
    <row r="26" customFormat="false" ht="15" hidden="false" customHeight="false" outlineLevel="0" collapsed="false">
      <c r="A26" s="12" t="s">
        <v>598</v>
      </c>
      <c r="B26" s="80" t="n">
        <f aca="false">SUM(C26:N26)</f>
        <v>106.298181818182</v>
      </c>
      <c r="C26" s="81" t="n">
        <f aca="false">C25*'Assumption Setting'!$K$45</f>
        <v>8.85818181818182</v>
      </c>
      <c r="D26" s="81" t="n">
        <f aca="false">D25*'Assumption Setting'!$K$45</f>
        <v>8.85818181818182</v>
      </c>
      <c r="E26" s="81" t="n">
        <f aca="false">E25*'Assumption Setting'!$K$45</f>
        <v>8.85818181818182</v>
      </c>
      <c r="F26" s="81" t="n">
        <f aca="false">F25*'Assumption Setting'!$K$45</f>
        <v>8.85818181818182</v>
      </c>
      <c r="G26" s="81" t="n">
        <f aca="false">G25*'Assumption Setting'!$K$45</f>
        <v>8.85818181818182</v>
      </c>
      <c r="H26" s="81" t="n">
        <f aca="false">H25*'Assumption Setting'!$K$45</f>
        <v>8.85818181818182</v>
      </c>
      <c r="I26" s="81" t="n">
        <f aca="false">I25*'Assumption Setting'!$K$45</f>
        <v>8.85818181818182</v>
      </c>
      <c r="J26" s="81" t="n">
        <f aca="false">J25*'Assumption Setting'!$K$45</f>
        <v>8.85818181818182</v>
      </c>
      <c r="K26" s="81" t="n">
        <f aca="false">K25*'Assumption Setting'!$K$45</f>
        <v>8.85818181818182</v>
      </c>
      <c r="L26" s="81" t="n">
        <f aca="false">L25*'Assumption Setting'!$K$45</f>
        <v>8.85818181818182</v>
      </c>
      <c r="M26" s="81" t="n">
        <f aca="false">M25*'Assumption Setting'!$K$45</f>
        <v>8.85818181818182</v>
      </c>
      <c r="N26" s="81" t="n">
        <f aca="false">N25*'Assumption Setting'!$K$45</f>
        <v>8.85818181818182</v>
      </c>
      <c r="O26" s="80" t="n">
        <f aca="false">SUM(P26:AA26)</f>
        <v>354.327272727273</v>
      </c>
      <c r="P26" s="81" t="n">
        <f aca="false">P25*'Assumption Setting'!$K$45</f>
        <v>29.5272727272727</v>
      </c>
      <c r="Q26" s="81" t="n">
        <f aca="false">Q25*'Assumption Setting'!$K$45</f>
        <v>29.5272727272727</v>
      </c>
      <c r="R26" s="81" t="n">
        <f aca="false">R25*'Assumption Setting'!$K$45</f>
        <v>29.5272727272727</v>
      </c>
      <c r="S26" s="81" t="n">
        <f aca="false">S25*'Assumption Setting'!$K$45</f>
        <v>29.5272727272727</v>
      </c>
      <c r="T26" s="81" t="n">
        <f aca="false">T25*'Assumption Setting'!$K$45</f>
        <v>29.5272727272727</v>
      </c>
      <c r="U26" s="81" t="n">
        <f aca="false">U25*'Assumption Setting'!$K$45</f>
        <v>29.5272727272727</v>
      </c>
      <c r="V26" s="81" t="n">
        <f aca="false">V25*'Assumption Setting'!$K$45</f>
        <v>29.5272727272727</v>
      </c>
      <c r="W26" s="81" t="n">
        <f aca="false">W25*'Assumption Setting'!$K$45</f>
        <v>29.5272727272727</v>
      </c>
      <c r="X26" s="81" t="n">
        <f aca="false">X25*'Assumption Setting'!$K$45</f>
        <v>29.5272727272727</v>
      </c>
      <c r="Y26" s="81" t="n">
        <f aca="false">Y25*'Assumption Setting'!$K$45</f>
        <v>29.5272727272727</v>
      </c>
      <c r="Z26" s="81" t="n">
        <f aca="false">Z25*'Assumption Setting'!$K$45</f>
        <v>29.5272727272727</v>
      </c>
      <c r="AA26" s="81" t="n">
        <f aca="false">AA25*'Assumption Setting'!$K$45</f>
        <v>29.5272727272727</v>
      </c>
      <c r="AB26" s="80" t="n">
        <f aca="false">SUM(AC26:AN26)</f>
        <v>708.654545454546</v>
      </c>
      <c r="AC26" s="81" t="n">
        <f aca="false">AC25*'Assumption Setting'!$K$45</f>
        <v>59.0545454545455</v>
      </c>
      <c r="AD26" s="81" t="n">
        <f aca="false">AD25*'Assumption Setting'!$K$45</f>
        <v>59.0545454545455</v>
      </c>
      <c r="AE26" s="81" t="n">
        <f aca="false">AE25*'Assumption Setting'!$K$45</f>
        <v>59.0545454545455</v>
      </c>
      <c r="AF26" s="81" t="n">
        <f aca="false">AF25*'Assumption Setting'!$K$45</f>
        <v>59.0545454545455</v>
      </c>
      <c r="AG26" s="81" t="n">
        <f aca="false">AG25*'Assumption Setting'!$K$45</f>
        <v>59.0545454545455</v>
      </c>
      <c r="AH26" s="81" t="n">
        <f aca="false">AH25*'Assumption Setting'!$K$45</f>
        <v>59.0545454545455</v>
      </c>
      <c r="AI26" s="81" t="n">
        <f aca="false">AI25*'Assumption Setting'!$K$45</f>
        <v>59.0545454545455</v>
      </c>
      <c r="AJ26" s="81" t="n">
        <f aca="false">AJ25*'Assumption Setting'!$K$45</f>
        <v>59.0545454545455</v>
      </c>
      <c r="AK26" s="81" t="n">
        <f aca="false">AK25*'Assumption Setting'!$K$45</f>
        <v>59.0545454545455</v>
      </c>
      <c r="AL26" s="81" t="n">
        <f aca="false">AL25*'Assumption Setting'!$K$45</f>
        <v>59.0545454545455</v>
      </c>
      <c r="AM26" s="81" t="n">
        <f aca="false">AM25*'Assumption Setting'!$K$45</f>
        <v>59.0545454545455</v>
      </c>
      <c r="AN26" s="81" t="n">
        <f aca="false">AN25*'Assumption Setting'!$K$45</f>
        <v>59.0545454545455</v>
      </c>
      <c r="AO26" s="80" t="n">
        <f aca="false">SUM(AP26:BA26)</f>
        <v>1062.98181818182</v>
      </c>
      <c r="AP26" s="81" t="n">
        <f aca="false">AP25*'Assumption Setting'!$K$45</f>
        <v>88.5818181818182</v>
      </c>
      <c r="AQ26" s="81" t="n">
        <f aca="false">AQ25*'Assumption Setting'!$K$45</f>
        <v>88.5818181818182</v>
      </c>
      <c r="AR26" s="81" t="n">
        <f aca="false">AR25*'Assumption Setting'!$K$45</f>
        <v>88.5818181818182</v>
      </c>
      <c r="AS26" s="81" t="n">
        <f aca="false">AS25*'Assumption Setting'!$K$45</f>
        <v>88.5818181818182</v>
      </c>
      <c r="AT26" s="81" t="n">
        <f aca="false">AT25*'Assumption Setting'!$K$45</f>
        <v>88.5818181818182</v>
      </c>
      <c r="AU26" s="81" t="n">
        <f aca="false">AU25*'Assumption Setting'!$K$45</f>
        <v>88.5818181818182</v>
      </c>
      <c r="AV26" s="81" t="n">
        <f aca="false">AV25*'Assumption Setting'!$K$45</f>
        <v>88.5818181818182</v>
      </c>
      <c r="AW26" s="81" t="n">
        <f aca="false">AW25*'Assumption Setting'!$K$45</f>
        <v>88.5818181818182</v>
      </c>
      <c r="AX26" s="81" t="n">
        <f aca="false">AX25*'Assumption Setting'!$K$45</f>
        <v>88.5818181818182</v>
      </c>
      <c r="AY26" s="81" t="n">
        <f aca="false">AY25*'Assumption Setting'!$K$45</f>
        <v>88.5818181818182</v>
      </c>
      <c r="AZ26" s="81" t="n">
        <f aca="false">AZ25*'Assumption Setting'!$K$45</f>
        <v>88.5818181818182</v>
      </c>
      <c r="BA26" s="81" t="n">
        <f aca="false">BA25*'Assumption Setting'!$K$45</f>
        <v>88.5818181818182</v>
      </c>
      <c r="BB26" s="80" t="n">
        <f aca="false">SUM(BC26:BN26)</f>
        <v>1417.30909090909</v>
      </c>
      <c r="BC26" s="81" t="n">
        <f aca="false">BC25*'Assumption Setting'!$K$45</f>
        <v>118.109090909091</v>
      </c>
      <c r="BD26" s="81" t="n">
        <f aca="false">BD25*'Assumption Setting'!$K$45</f>
        <v>118.109090909091</v>
      </c>
      <c r="BE26" s="81" t="n">
        <f aca="false">BE25*'Assumption Setting'!$K$45</f>
        <v>118.109090909091</v>
      </c>
      <c r="BF26" s="81" t="n">
        <f aca="false">BF25*'Assumption Setting'!$K$45</f>
        <v>118.109090909091</v>
      </c>
      <c r="BG26" s="81" t="n">
        <f aca="false">BG25*'Assumption Setting'!$K$45</f>
        <v>118.109090909091</v>
      </c>
      <c r="BH26" s="81" t="n">
        <f aca="false">BH25*'Assumption Setting'!$K$45</f>
        <v>118.109090909091</v>
      </c>
      <c r="BI26" s="81" t="n">
        <f aca="false">BI25*'Assumption Setting'!$K$45</f>
        <v>118.109090909091</v>
      </c>
      <c r="BJ26" s="81" t="n">
        <f aca="false">BJ25*'Assumption Setting'!$K$45</f>
        <v>118.109090909091</v>
      </c>
      <c r="BK26" s="81" t="n">
        <f aca="false">BK25*'Assumption Setting'!$K$45</f>
        <v>118.109090909091</v>
      </c>
      <c r="BL26" s="81" t="n">
        <f aca="false">BL25*'Assumption Setting'!$K$45</f>
        <v>118.109090909091</v>
      </c>
      <c r="BM26" s="81" t="n">
        <f aca="false">BM25*'Assumption Setting'!$K$45</f>
        <v>118.109090909091</v>
      </c>
      <c r="BN26" s="81" t="n">
        <f aca="false">BN25*'Assumption Setting'!$K$45</f>
        <v>118.109090909091</v>
      </c>
    </row>
    <row r="27" customFormat="false" ht="15" hidden="false" customHeight="false" outlineLevel="0" collapsed="false">
      <c r="A27" s="12" t="s">
        <v>238</v>
      </c>
      <c r="B27" s="64" t="n">
        <f aca="false">SUM(C27:N27)</f>
        <v>480</v>
      </c>
      <c r="C27" s="65" t="n">
        <f aca="false">'Assumption Setting'!$C$46</f>
        <v>40</v>
      </c>
      <c r="D27" s="65" t="n">
        <f aca="false">'Assumption Setting'!$C$46</f>
        <v>40</v>
      </c>
      <c r="E27" s="65" t="n">
        <f aca="false">'Assumption Setting'!$C$46</f>
        <v>40</v>
      </c>
      <c r="F27" s="65" t="n">
        <f aca="false">'Assumption Setting'!$C$46</f>
        <v>40</v>
      </c>
      <c r="G27" s="65" t="n">
        <f aca="false">'Assumption Setting'!$C$46</f>
        <v>40</v>
      </c>
      <c r="H27" s="65" t="n">
        <f aca="false">'Assumption Setting'!$C$46</f>
        <v>40</v>
      </c>
      <c r="I27" s="65" t="n">
        <f aca="false">'Assumption Setting'!$C$46</f>
        <v>40</v>
      </c>
      <c r="J27" s="65" t="n">
        <f aca="false">'Assumption Setting'!$C$46</f>
        <v>40</v>
      </c>
      <c r="K27" s="65" t="n">
        <f aca="false">'Assumption Setting'!$C$46</f>
        <v>40</v>
      </c>
      <c r="L27" s="65" t="n">
        <f aca="false">'Assumption Setting'!$C$46</f>
        <v>40</v>
      </c>
      <c r="M27" s="65" t="n">
        <f aca="false">'Assumption Setting'!$C$46</f>
        <v>40</v>
      </c>
      <c r="N27" s="65" t="n">
        <f aca="false">'Assumption Setting'!$C$46</f>
        <v>40</v>
      </c>
      <c r="O27" s="64" t="n">
        <f aca="false">SUM(P27:AA27)</f>
        <v>1800</v>
      </c>
      <c r="P27" s="65" t="n">
        <f aca="false">'Assumption Setting'!$D$46</f>
        <v>150</v>
      </c>
      <c r="Q27" s="65" t="n">
        <f aca="false">'Assumption Setting'!$D$46</f>
        <v>150</v>
      </c>
      <c r="R27" s="65" t="n">
        <f aca="false">'Assumption Setting'!$D$46</f>
        <v>150</v>
      </c>
      <c r="S27" s="65" t="n">
        <f aca="false">'Assumption Setting'!$D$46</f>
        <v>150</v>
      </c>
      <c r="T27" s="65" t="n">
        <f aca="false">'Assumption Setting'!$D$46</f>
        <v>150</v>
      </c>
      <c r="U27" s="65" t="n">
        <f aca="false">'Assumption Setting'!$D$46</f>
        <v>150</v>
      </c>
      <c r="V27" s="65" t="n">
        <f aca="false">'Assumption Setting'!$D$46</f>
        <v>150</v>
      </c>
      <c r="W27" s="65" t="n">
        <f aca="false">'Assumption Setting'!$D$46</f>
        <v>150</v>
      </c>
      <c r="X27" s="65" t="n">
        <f aca="false">'Assumption Setting'!$D$46</f>
        <v>150</v>
      </c>
      <c r="Y27" s="65" t="n">
        <f aca="false">'Assumption Setting'!$D$46</f>
        <v>150</v>
      </c>
      <c r="Z27" s="65" t="n">
        <f aca="false">'Assumption Setting'!$D$46</f>
        <v>150</v>
      </c>
      <c r="AA27" s="65" t="n">
        <f aca="false">'Assumption Setting'!$D$46</f>
        <v>150</v>
      </c>
      <c r="AB27" s="64" t="n">
        <f aca="false">SUM(AC27:AN27)</f>
        <v>3600</v>
      </c>
      <c r="AC27" s="65" t="n">
        <f aca="false">'Assumption Setting'!$E$46</f>
        <v>300</v>
      </c>
      <c r="AD27" s="65" t="n">
        <f aca="false">'Assumption Setting'!$E$46</f>
        <v>300</v>
      </c>
      <c r="AE27" s="65" t="n">
        <f aca="false">'Assumption Setting'!$E$46</f>
        <v>300</v>
      </c>
      <c r="AF27" s="65" t="n">
        <f aca="false">'Assumption Setting'!$E$46</f>
        <v>300</v>
      </c>
      <c r="AG27" s="65" t="n">
        <f aca="false">'Assumption Setting'!$E$46</f>
        <v>300</v>
      </c>
      <c r="AH27" s="65" t="n">
        <f aca="false">'Assumption Setting'!$E$46</f>
        <v>300</v>
      </c>
      <c r="AI27" s="65" t="n">
        <f aca="false">'Assumption Setting'!$E$46</f>
        <v>300</v>
      </c>
      <c r="AJ27" s="65" t="n">
        <f aca="false">'Assumption Setting'!$E$46</f>
        <v>300</v>
      </c>
      <c r="AK27" s="65" t="n">
        <f aca="false">'Assumption Setting'!$E$46</f>
        <v>300</v>
      </c>
      <c r="AL27" s="65" t="n">
        <f aca="false">'Assumption Setting'!$E$46</f>
        <v>300</v>
      </c>
      <c r="AM27" s="65" t="n">
        <f aca="false">'Assumption Setting'!$E$46</f>
        <v>300</v>
      </c>
      <c r="AN27" s="65" t="n">
        <f aca="false">'Assumption Setting'!$E$46</f>
        <v>300</v>
      </c>
      <c r="AO27" s="64" t="n">
        <f aca="false">SUM(AP27:BA27)</f>
        <v>5400</v>
      </c>
      <c r="AP27" s="65" t="n">
        <f aca="false">'Assumption Setting'!$F$46</f>
        <v>450</v>
      </c>
      <c r="AQ27" s="65" t="n">
        <f aca="false">'Assumption Setting'!$F$46</f>
        <v>450</v>
      </c>
      <c r="AR27" s="65" t="n">
        <f aca="false">'Assumption Setting'!$F$46</f>
        <v>450</v>
      </c>
      <c r="AS27" s="65" t="n">
        <f aca="false">'Assumption Setting'!$F$46</f>
        <v>450</v>
      </c>
      <c r="AT27" s="65" t="n">
        <f aca="false">'Assumption Setting'!$F$46</f>
        <v>450</v>
      </c>
      <c r="AU27" s="65" t="n">
        <f aca="false">'Assumption Setting'!$F$46</f>
        <v>450</v>
      </c>
      <c r="AV27" s="65" t="n">
        <f aca="false">'Assumption Setting'!$F$46</f>
        <v>450</v>
      </c>
      <c r="AW27" s="65" t="n">
        <f aca="false">'Assumption Setting'!$F$46</f>
        <v>450</v>
      </c>
      <c r="AX27" s="65" t="n">
        <f aca="false">'Assumption Setting'!$F$46</f>
        <v>450</v>
      </c>
      <c r="AY27" s="65" t="n">
        <f aca="false">'Assumption Setting'!$F$46</f>
        <v>450</v>
      </c>
      <c r="AZ27" s="65" t="n">
        <f aca="false">'Assumption Setting'!$F$46</f>
        <v>450</v>
      </c>
      <c r="BA27" s="65" t="n">
        <f aca="false">'Assumption Setting'!$F$46</f>
        <v>450</v>
      </c>
      <c r="BB27" s="64" t="n">
        <f aca="false">SUM(BC27:BN27)</f>
        <v>7200</v>
      </c>
      <c r="BC27" s="65" t="n">
        <f aca="false">'Assumption Setting'!$G$46</f>
        <v>600</v>
      </c>
      <c r="BD27" s="65" t="n">
        <f aca="false">'Assumption Setting'!$G$46</f>
        <v>600</v>
      </c>
      <c r="BE27" s="65" t="n">
        <f aca="false">'Assumption Setting'!$G$46</f>
        <v>600</v>
      </c>
      <c r="BF27" s="65" t="n">
        <f aca="false">'Assumption Setting'!$G$46</f>
        <v>600</v>
      </c>
      <c r="BG27" s="65" t="n">
        <f aca="false">'Assumption Setting'!$G$46</f>
        <v>600</v>
      </c>
      <c r="BH27" s="65" t="n">
        <f aca="false">'Assumption Setting'!$G$46</f>
        <v>600</v>
      </c>
      <c r="BI27" s="65" t="n">
        <f aca="false">'Assumption Setting'!$G$46</f>
        <v>600</v>
      </c>
      <c r="BJ27" s="65" t="n">
        <f aca="false">'Assumption Setting'!$G$46</f>
        <v>600</v>
      </c>
      <c r="BK27" s="65" t="n">
        <f aca="false">'Assumption Setting'!$G$46</f>
        <v>600</v>
      </c>
      <c r="BL27" s="65" t="n">
        <f aca="false">'Assumption Setting'!$G$46</f>
        <v>600</v>
      </c>
      <c r="BM27" s="65" t="n">
        <f aca="false">'Assumption Setting'!$G$46</f>
        <v>600</v>
      </c>
      <c r="BN27" s="65" t="n">
        <f aca="false">'Assumption Setting'!$G$46</f>
        <v>600</v>
      </c>
    </row>
    <row r="28" customFormat="false" ht="15" hidden="false" customHeight="false" outlineLevel="0" collapsed="false">
      <c r="A28" s="12" t="s">
        <v>596</v>
      </c>
      <c r="B28" s="78" t="n">
        <f aca="false">SUM(C28:N28)</f>
        <v>9600</v>
      </c>
      <c r="C28" s="79" t="n">
        <f aca="false">IFERROR(C27/'Assumption Setting'!$H$46,0)</f>
        <v>800</v>
      </c>
      <c r="D28" s="79" t="n">
        <f aca="false">IFERROR(D27/'Assumption Setting'!$H$46,0)</f>
        <v>800</v>
      </c>
      <c r="E28" s="79" t="n">
        <f aca="false">IFERROR(E27/'Assumption Setting'!$H$46,0)</f>
        <v>800</v>
      </c>
      <c r="F28" s="79" t="n">
        <f aca="false">IFERROR(F27/'Assumption Setting'!$H$46,0)</f>
        <v>800</v>
      </c>
      <c r="G28" s="79" t="n">
        <f aca="false">IFERROR(G27/'Assumption Setting'!$H$46,0)</f>
        <v>800</v>
      </c>
      <c r="H28" s="79" t="n">
        <f aca="false">IFERROR(H27/'Assumption Setting'!$H$46,0)</f>
        <v>800</v>
      </c>
      <c r="I28" s="79" t="n">
        <f aca="false">IFERROR(I27/'Assumption Setting'!$H$46,0)</f>
        <v>800</v>
      </c>
      <c r="J28" s="79" t="n">
        <f aca="false">IFERROR(J27/'Assumption Setting'!$H$46,0)</f>
        <v>800</v>
      </c>
      <c r="K28" s="79" t="n">
        <f aca="false">IFERROR(K27/'Assumption Setting'!$H$46,0)</f>
        <v>800</v>
      </c>
      <c r="L28" s="79" t="n">
        <f aca="false">IFERROR(L27/'Assumption Setting'!$H$46,0)</f>
        <v>800</v>
      </c>
      <c r="M28" s="79" t="n">
        <f aca="false">IFERROR(M27/'Assumption Setting'!$H$46,0)</f>
        <v>800</v>
      </c>
      <c r="N28" s="79" t="n">
        <f aca="false">IFERROR(N27/'Assumption Setting'!$H$46,0)</f>
        <v>800</v>
      </c>
      <c r="O28" s="78" t="n">
        <f aca="false">SUM(P28:AA28)</f>
        <v>36000</v>
      </c>
      <c r="P28" s="79" t="n">
        <f aca="false">IFERROR(P27/'Assumption Setting'!$H$46,0)</f>
        <v>3000</v>
      </c>
      <c r="Q28" s="79" t="n">
        <f aca="false">IFERROR(Q27/'Assumption Setting'!$H$46,0)</f>
        <v>3000</v>
      </c>
      <c r="R28" s="79" t="n">
        <f aca="false">IFERROR(R27/'Assumption Setting'!$H$46,0)</f>
        <v>3000</v>
      </c>
      <c r="S28" s="79" t="n">
        <f aca="false">IFERROR(S27/'Assumption Setting'!$H$46,0)</f>
        <v>3000</v>
      </c>
      <c r="T28" s="79" t="n">
        <f aca="false">IFERROR(T27/'Assumption Setting'!$H$46,0)</f>
        <v>3000</v>
      </c>
      <c r="U28" s="79" t="n">
        <f aca="false">IFERROR(U27/'Assumption Setting'!$H$46,0)</f>
        <v>3000</v>
      </c>
      <c r="V28" s="79" t="n">
        <f aca="false">IFERROR(V27/'Assumption Setting'!$H$46,0)</f>
        <v>3000</v>
      </c>
      <c r="W28" s="79" t="n">
        <f aca="false">IFERROR(W27/'Assumption Setting'!$H$46,0)</f>
        <v>3000</v>
      </c>
      <c r="X28" s="79" t="n">
        <f aca="false">IFERROR(X27/'Assumption Setting'!$H$46,0)</f>
        <v>3000</v>
      </c>
      <c r="Y28" s="79" t="n">
        <f aca="false">IFERROR(Y27/'Assumption Setting'!$H$46,0)</f>
        <v>3000</v>
      </c>
      <c r="Z28" s="79" t="n">
        <f aca="false">IFERROR(Z27/'Assumption Setting'!$H$46,0)</f>
        <v>3000</v>
      </c>
      <c r="AA28" s="79" t="n">
        <f aca="false">IFERROR(AA27/'Assumption Setting'!$H$46,0)</f>
        <v>3000</v>
      </c>
      <c r="AB28" s="78" t="n">
        <f aca="false">SUM(AC28:AN28)</f>
        <v>72000</v>
      </c>
      <c r="AC28" s="79" t="n">
        <f aca="false">IFERROR(AC27/'Assumption Setting'!$H$46,0)</f>
        <v>6000</v>
      </c>
      <c r="AD28" s="79" t="n">
        <f aca="false">IFERROR(AD27/'Assumption Setting'!$H$46,0)</f>
        <v>6000</v>
      </c>
      <c r="AE28" s="79" t="n">
        <f aca="false">IFERROR(AE27/'Assumption Setting'!$H$46,0)</f>
        <v>6000</v>
      </c>
      <c r="AF28" s="79" t="n">
        <f aca="false">IFERROR(AF27/'Assumption Setting'!$H$46,0)</f>
        <v>6000</v>
      </c>
      <c r="AG28" s="79" t="n">
        <f aca="false">IFERROR(AG27/'Assumption Setting'!$H$46,0)</f>
        <v>6000</v>
      </c>
      <c r="AH28" s="79" t="n">
        <f aca="false">IFERROR(AH27/'Assumption Setting'!$H$46,0)</f>
        <v>6000</v>
      </c>
      <c r="AI28" s="79" t="n">
        <f aca="false">IFERROR(AI27/'Assumption Setting'!$H$46,0)</f>
        <v>6000</v>
      </c>
      <c r="AJ28" s="79" t="n">
        <f aca="false">IFERROR(AJ27/'Assumption Setting'!$H$46,0)</f>
        <v>6000</v>
      </c>
      <c r="AK28" s="79" t="n">
        <f aca="false">IFERROR(AK27/'Assumption Setting'!$H$46,0)</f>
        <v>6000</v>
      </c>
      <c r="AL28" s="79" t="n">
        <f aca="false">IFERROR(AL27/'Assumption Setting'!$H$46,0)</f>
        <v>6000</v>
      </c>
      <c r="AM28" s="79" t="n">
        <f aca="false">IFERROR(AM27/'Assumption Setting'!$H$46,0)</f>
        <v>6000</v>
      </c>
      <c r="AN28" s="79" t="n">
        <f aca="false">IFERROR(AN27/'Assumption Setting'!$H$46,0)</f>
        <v>6000</v>
      </c>
      <c r="AO28" s="78" t="n">
        <f aca="false">SUM(AP28:BA28)</f>
        <v>108000</v>
      </c>
      <c r="AP28" s="79" t="n">
        <f aca="false">IFERROR(AP27/'Assumption Setting'!$H$46,0)</f>
        <v>9000</v>
      </c>
      <c r="AQ28" s="79" t="n">
        <f aca="false">IFERROR(AQ27/'Assumption Setting'!$H$46,0)</f>
        <v>9000</v>
      </c>
      <c r="AR28" s="79" t="n">
        <f aca="false">IFERROR(AR27/'Assumption Setting'!$H$46,0)</f>
        <v>9000</v>
      </c>
      <c r="AS28" s="79" t="n">
        <f aca="false">IFERROR(AS27/'Assumption Setting'!$H$46,0)</f>
        <v>9000</v>
      </c>
      <c r="AT28" s="79" t="n">
        <f aca="false">IFERROR(AT27/'Assumption Setting'!$H$46,0)</f>
        <v>9000</v>
      </c>
      <c r="AU28" s="79" t="n">
        <f aca="false">IFERROR(AU27/'Assumption Setting'!$H$46,0)</f>
        <v>9000</v>
      </c>
      <c r="AV28" s="79" t="n">
        <f aca="false">IFERROR(AV27/'Assumption Setting'!$H$46,0)</f>
        <v>9000</v>
      </c>
      <c r="AW28" s="79" t="n">
        <f aca="false">IFERROR(AW27/'Assumption Setting'!$H$46,0)</f>
        <v>9000</v>
      </c>
      <c r="AX28" s="79" t="n">
        <f aca="false">IFERROR(AX27/'Assumption Setting'!$H$46,0)</f>
        <v>9000</v>
      </c>
      <c r="AY28" s="79" t="n">
        <f aca="false">IFERROR(AY27/'Assumption Setting'!$H$46,0)</f>
        <v>9000</v>
      </c>
      <c r="AZ28" s="79" t="n">
        <f aca="false">IFERROR(AZ27/'Assumption Setting'!$H$46,0)</f>
        <v>9000</v>
      </c>
      <c r="BA28" s="79" t="n">
        <f aca="false">IFERROR(BA27/'Assumption Setting'!$H$46,0)</f>
        <v>9000</v>
      </c>
      <c r="BB28" s="78" t="n">
        <f aca="false">SUM(BC28:BN28)</f>
        <v>144000</v>
      </c>
      <c r="BC28" s="79" t="n">
        <f aca="false">IFERROR(BC27/'Assumption Setting'!$H$46,0)</f>
        <v>12000</v>
      </c>
      <c r="BD28" s="79" t="n">
        <f aca="false">IFERROR(BD27/'Assumption Setting'!$H$46,0)</f>
        <v>12000</v>
      </c>
      <c r="BE28" s="79" t="n">
        <f aca="false">IFERROR(BE27/'Assumption Setting'!$H$46,0)</f>
        <v>12000</v>
      </c>
      <c r="BF28" s="79" t="n">
        <f aca="false">IFERROR(BF27/'Assumption Setting'!$H$46,0)</f>
        <v>12000</v>
      </c>
      <c r="BG28" s="79" t="n">
        <f aca="false">IFERROR(BG27/'Assumption Setting'!$H$46,0)</f>
        <v>12000</v>
      </c>
      <c r="BH28" s="79" t="n">
        <f aca="false">IFERROR(BH27/'Assumption Setting'!$H$46,0)</f>
        <v>12000</v>
      </c>
      <c r="BI28" s="79" t="n">
        <f aca="false">IFERROR(BI27/'Assumption Setting'!$H$46,0)</f>
        <v>12000</v>
      </c>
      <c r="BJ28" s="79" t="n">
        <f aca="false">IFERROR(BJ27/'Assumption Setting'!$H$46,0)</f>
        <v>12000</v>
      </c>
      <c r="BK28" s="79" t="n">
        <f aca="false">IFERROR(BK27/'Assumption Setting'!$H$46,0)</f>
        <v>12000</v>
      </c>
      <c r="BL28" s="79" t="n">
        <f aca="false">IFERROR(BL27/'Assumption Setting'!$H$46,0)</f>
        <v>12000</v>
      </c>
      <c r="BM28" s="79" t="n">
        <f aca="false">IFERROR(BM27/'Assumption Setting'!$H$46,0)</f>
        <v>12000</v>
      </c>
      <c r="BN28" s="79" t="n">
        <f aca="false">IFERROR(BN27/'Assumption Setting'!$H$46,0)</f>
        <v>12000</v>
      </c>
    </row>
    <row r="29" customFormat="false" ht="15" hidden="false" customHeight="false" outlineLevel="0" collapsed="false">
      <c r="A29" s="12" t="s">
        <v>597</v>
      </c>
      <c r="B29" s="78" t="n">
        <f aca="false">SUM(C29:N29)</f>
        <v>12384</v>
      </c>
      <c r="C29" s="79" t="n">
        <f aca="false">C28*(1+'Assumption Setting'!$I$46+'Assumption Setting'!$J$46)</f>
        <v>1032</v>
      </c>
      <c r="D29" s="79" t="n">
        <f aca="false">D28*(1+'Assumption Setting'!$I$46+'Assumption Setting'!$J$46)</f>
        <v>1032</v>
      </c>
      <c r="E29" s="79" t="n">
        <f aca="false">E28*(1+'Assumption Setting'!$I$46+'Assumption Setting'!$J$46)</f>
        <v>1032</v>
      </c>
      <c r="F29" s="79" t="n">
        <f aca="false">F28*(1+'Assumption Setting'!$I$46+'Assumption Setting'!$J$46)</f>
        <v>1032</v>
      </c>
      <c r="G29" s="79" t="n">
        <f aca="false">G28*(1+'Assumption Setting'!$I$46+'Assumption Setting'!$J$46)</f>
        <v>1032</v>
      </c>
      <c r="H29" s="79" t="n">
        <f aca="false">H28*(1+'Assumption Setting'!$I$46+'Assumption Setting'!$J$46)</f>
        <v>1032</v>
      </c>
      <c r="I29" s="79" t="n">
        <f aca="false">I28*(1+'Assumption Setting'!$I$46+'Assumption Setting'!$J$46)</f>
        <v>1032</v>
      </c>
      <c r="J29" s="79" t="n">
        <f aca="false">J28*(1+'Assumption Setting'!$I$46+'Assumption Setting'!$J$46)</f>
        <v>1032</v>
      </c>
      <c r="K29" s="79" t="n">
        <f aca="false">K28*(1+'Assumption Setting'!$I$46+'Assumption Setting'!$J$46)</f>
        <v>1032</v>
      </c>
      <c r="L29" s="79" t="n">
        <f aca="false">L28*(1+'Assumption Setting'!$I$46+'Assumption Setting'!$J$46)</f>
        <v>1032</v>
      </c>
      <c r="M29" s="79" t="n">
        <f aca="false">M28*(1+'Assumption Setting'!$I$46+'Assumption Setting'!$J$46)</f>
        <v>1032</v>
      </c>
      <c r="N29" s="79" t="n">
        <f aca="false">N28*(1+'Assumption Setting'!$I$46+'Assumption Setting'!$J$46)</f>
        <v>1032</v>
      </c>
      <c r="O29" s="78" t="n">
        <f aca="false">SUM(P29:AA29)</f>
        <v>46440</v>
      </c>
      <c r="P29" s="79" t="n">
        <f aca="false">P28*(1+'Assumption Setting'!$I$46+'Assumption Setting'!$J$46)</f>
        <v>3870</v>
      </c>
      <c r="Q29" s="79" t="n">
        <f aca="false">Q28*(1+'Assumption Setting'!$I$46+'Assumption Setting'!$J$46)</f>
        <v>3870</v>
      </c>
      <c r="R29" s="79" t="n">
        <f aca="false">R28*(1+'Assumption Setting'!$I$46+'Assumption Setting'!$J$46)</f>
        <v>3870</v>
      </c>
      <c r="S29" s="79" t="n">
        <f aca="false">S28*(1+'Assumption Setting'!$I$46+'Assumption Setting'!$J$46)</f>
        <v>3870</v>
      </c>
      <c r="T29" s="79" t="n">
        <f aca="false">T28*(1+'Assumption Setting'!$I$46+'Assumption Setting'!$J$46)</f>
        <v>3870</v>
      </c>
      <c r="U29" s="79" t="n">
        <f aca="false">U28*(1+'Assumption Setting'!$I$46+'Assumption Setting'!$J$46)</f>
        <v>3870</v>
      </c>
      <c r="V29" s="79" t="n">
        <f aca="false">V28*(1+'Assumption Setting'!$I$46+'Assumption Setting'!$J$46)</f>
        <v>3870</v>
      </c>
      <c r="W29" s="79" t="n">
        <f aca="false">W28*(1+'Assumption Setting'!$I$46+'Assumption Setting'!$J$46)</f>
        <v>3870</v>
      </c>
      <c r="X29" s="79" t="n">
        <f aca="false">X28*(1+'Assumption Setting'!$I$46+'Assumption Setting'!$J$46)</f>
        <v>3870</v>
      </c>
      <c r="Y29" s="79" t="n">
        <f aca="false">Y28*(1+'Assumption Setting'!$I$46+'Assumption Setting'!$J$46)</f>
        <v>3870</v>
      </c>
      <c r="Z29" s="79" t="n">
        <f aca="false">Z28*(1+'Assumption Setting'!$I$46+'Assumption Setting'!$J$46)</f>
        <v>3870</v>
      </c>
      <c r="AA29" s="79" t="n">
        <f aca="false">AA28*(1+'Assumption Setting'!$I$46+'Assumption Setting'!$J$46)</f>
        <v>3870</v>
      </c>
      <c r="AB29" s="78" t="n">
        <f aca="false">SUM(AC29:AN29)</f>
        <v>92880</v>
      </c>
      <c r="AC29" s="79" t="n">
        <f aca="false">AC28*(1+'Assumption Setting'!$I$46+'Assumption Setting'!$J$46)</f>
        <v>7740</v>
      </c>
      <c r="AD29" s="79" t="n">
        <f aca="false">AD28*(1+'Assumption Setting'!$I$46+'Assumption Setting'!$J$46)</f>
        <v>7740</v>
      </c>
      <c r="AE29" s="79" t="n">
        <f aca="false">AE28*(1+'Assumption Setting'!$I$46+'Assumption Setting'!$J$46)</f>
        <v>7740</v>
      </c>
      <c r="AF29" s="79" t="n">
        <f aca="false">AF28*(1+'Assumption Setting'!$I$46+'Assumption Setting'!$J$46)</f>
        <v>7740</v>
      </c>
      <c r="AG29" s="79" t="n">
        <f aca="false">AG28*(1+'Assumption Setting'!$I$46+'Assumption Setting'!$J$46)</f>
        <v>7740</v>
      </c>
      <c r="AH29" s="79" t="n">
        <f aca="false">AH28*(1+'Assumption Setting'!$I$46+'Assumption Setting'!$J$46)</f>
        <v>7740</v>
      </c>
      <c r="AI29" s="79" t="n">
        <f aca="false">AI28*(1+'Assumption Setting'!$I$46+'Assumption Setting'!$J$46)</f>
        <v>7740</v>
      </c>
      <c r="AJ29" s="79" t="n">
        <f aca="false">AJ28*(1+'Assumption Setting'!$I$46+'Assumption Setting'!$J$46)</f>
        <v>7740</v>
      </c>
      <c r="AK29" s="79" t="n">
        <f aca="false">AK28*(1+'Assumption Setting'!$I$46+'Assumption Setting'!$J$46)</f>
        <v>7740</v>
      </c>
      <c r="AL29" s="79" t="n">
        <f aca="false">AL28*(1+'Assumption Setting'!$I$46+'Assumption Setting'!$J$46)</f>
        <v>7740</v>
      </c>
      <c r="AM29" s="79" t="n">
        <f aca="false">AM28*(1+'Assumption Setting'!$I$46+'Assumption Setting'!$J$46)</f>
        <v>7740</v>
      </c>
      <c r="AN29" s="79" t="n">
        <f aca="false">AN28*(1+'Assumption Setting'!$I$46+'Assumption Setting'!$J$46)</f>
        <v>7740</v>
      </c>
      <c r="AO29" s="78" t="n">
        <f aca="false">SUM(AP29:BA29)</f>
        <v>139320</v>
      </c>
      <c r="AP29" s="79" t="n">
        <f aca="false">AP28*(1+'Assumption Setting'!$I$46+'Assumption Setting'!$J$46)</f>
        <v>11610</v>
      </c>
      <c r="AQ29" s="79" t="n">
        <f aca="false">AQ28*(1+'Assumption Setting'!$I$46+'Assumption Setting'!$J$46)</f>
        <v>11610</v>
      </c>
      <c r="AR29" s="79" t="n">
        <f aca="false">AR28*(1+'Assumption Setting'!$I$46+'Assumption Setting'!$J$46)</f>
        <v>11610</v>
      </c>
      <c r="AS29" s="79" t="n">
        <f aca="false">AS28*(1+'Assumption Setting'!$I$46+'Assumption Setting'!$J$46)</f>
        <v>11610</v>
      </c>
      <c r="AT29" s="79" t="n">
        <f aca="false">AT28*(1+'Assumption Setting'!$I$46+'Assumption Setting'!$J$46)</f>
        <v>11610</v>
      </c>
      <c r="AU29" s="79" t="n">
        <f aca="false">AU28*(1+'Assumption Setting'!$I$46+'Assumption Setting'!$J$46)</f>
        <v>11610</v>
      </c>
      <c r="AV29" s="79" t="n">
        <f aca="false">AV28*(1+'Assumption Setting'!$I$46+'Assumption Setting'!$J$46)</f>
        <v>11610</v>
      </c>
      <c r="AW29" s="79" t="n">
        <f aca="false">AW28*(1+'Assumption Setting'!$I$46+'Assumption Setting'!$J$46)</f>
        <v>11610</v>
      </c>
      <c r="AX29" s="79" t="n">
        <f aca="false">AX28*(1+'Assumption Setting'!$I$46+'Assumption Setting'!$J$46)</f>
        <v>11610</v>
      </c>
      <c r="AY29" s="79" t="n">
        <f aca="false">AY28*(1+'Assumption Setting'!$I$46+'Assumption Setting'!$J$46)</f>
        <v>11610</v>
      </c>
      <c r="AZ29" s="79" t="n">
        <f aca="false">AZ28*(1+'Assumption Setting'!$I$46+'Assumption Setting'!$J$46)</f>
        <v>11610</v>
      </c>
      <c r="BA29" s="79" t="n">
        <f aca="false">BA28*(1+'Assumption Setting'!$I$46+'Assumption Setting'!$J$46)</f>
        <v>11610</v>
      </c>
      <c r="BB29" s="78" t="n">
        <f aca="false">SUM(BC29:BN29)</f>
        <v>185760</v>
      </c>
      <c r="BC29" s="79" t="n">
        <f aca="false">BC28*(1+'Assumption Setting'!$I$46+'Assumption Setting'!$J$46)</f>
        <v>15480</v>
      </c>
      <c r="BD29" s="79" t="n">
        <f aca="false">BD28*(1+'Assumption Setting'!$I$46+'Assumption Setting'!$J$46)</f>
        <v>15480</v>
      </c>
      <c r="BE29" s="79" t="n">
        <f aca="false">BE28*(1+'Assumption Setting'!$I$46+'Assumption Setting'!$J$46)</f>
        <v>15480</v>
      </c>
      <c r="BF29" s="79" t="n">
        <f aca="false">BF28*(1+'Assumption Setting'!$I$46+'Assumption Setting'!$J$46)</f>
        <v>15480</v>
      </c>
      <c r="BG29" s="79" t="n">
        <f aca="false">BG28*(1+'Assumption Setting'!$I$46+'Assumption Setting'!$J$46)</f>
        <v>15480</v>
      </c>
      <c r="BH29" s="79" t="n">
        <f aca="false">BH28*(1+'Assumption Setting'!$I$46+'Assumption Setting'!$J$46)</f>
        <v>15480</v>
      </c>
      <c r="BI29" s="79" t="n">
        <f aca="false">BI28*(1+'Assumption Setting'!$I$46+'Assumption Setting'!$J$46)</f>
        <v>15480</v>
      </c>
      <c r="BJ29" s="79" t="n">
        <f aca="false">BJ28*(1+'Assumption Setting'!$I$46+'Assumption Setting'!$J$46)</f>
        <v>15480</v>
      </c>
      <c r="BK29" s="79" t="n">
        <f aca="false">BK28*(1+'Assumption Setting'!$I$46+'Assumption Setting'!$J$46)</f>
        <v>15480</v>
      </c>
      <c r="BL29" s="79" t="n">
        <f aca="false">BL28*(1+'Assumption Setting'!$I$46+'Assumption Setting'!$J$46)</f>
        <v>15480</v>
      </c>
      <c r="BM29" s="79" t="n">
        <f aca="false">BM28*(1+'Assumption Setting'!$I$46+'Assumption Setting'!$J$46)</f>
        <v>15480</v>
      </c>
      <c r="BN29" s="79" t="n">
        <f aca="false">BN28*(1+'Assumption Setting'!$I$46+'Assumption Setting'!$J$46)</f>
        <v>15480</v>
      </c>
    </row>
    <row r="30" customFormat="false" ht="15" hidden="false" customHeight="false" outlineLevel="0" collapsed="false">
      <c r="A30" s="12" t="s">
        <v>598</v>
      </c>
      <c r="B30" s="80" t="n">
        <f aca="false">SUM(C30:N30)</f>
        <v>272.448</v>
      </c>
      <c r="C30" s="81" t="n">
        <f aca="false">C29*'Assumption Setting'!$K$46</f>
        <v>22.704</v>
      </c>
      <c r="D30" s="81" t="n">
        <f aca="false">D29*'Assumption Setting'!$K$46</f>
        <v>22.704</v>
      </c>
      <c r="E30" s="81" t="n">
        <f aca="false">E29*'Assumption Setting'!$K$46</f>
        <v>22.704</v>
      </c>
      <c r="F30" s="81" t="n">
        <f aca="false">F29*'Assumption Setting'!$K$46</f>
        <v>22.704</v>
      </c>
      <c r="G30" s="81" t="n">
        <f aca="false">G29*'Assumption Setting'!$K$46</f>
        <v>22.704</v>
      </c>
      <c r="H30" s="81" t="n">
        <f aca="false">H29*'Assumption Setting'!$K$46</f>
        <v>22.704</v>
      </c>
      <c r="I30" s="81" t="n">
        <f aca="false">I29*'Assumption Setting'!$K$46</f>
        <v>22.704</v>
      </c>
      <c r="J30" s="81" t="n">
        <f aca="false">J29*'Assumption Setting'!$K$46</f>
        <v>22.704</v>
      </c>
      <c r="K30" s="81" t="n">
        <f aca="false">K29*'Assumption Setting'!$K$46</f>
        <v>22.704</v>
      </c>
      <c r="L30" s="81" t="n">
        <f aca="false">L29*'Assumption Setting'!$K$46</f>
        <v>22.704</v>
      </c>
      <c r="M30" s="81" t="n">
        <f aca="false">M29*'Assumption Setting'!$K$46</f>
        <v>22.704</v>
      </c>
      <c r="N30" s="81" t="n">
        <f aca="false">N29*'Assumption Setting'!$K$46</f>
        <v>22.704</v>
      </c>
      <c r="O30" s="80" t="n">
        <f aca="false">SUM(P30:AA30)</f>
        <v>1021.68</v>
      </c>
      <c r="P30" s="81" t="n">
        <f aca="false">P29*'Assumption Setting'!$K$46</f>
        <v>85.14</v>
      </c>
      <c r="Q30" s="81" t="n">
        <f aca="false">Q29*'Assumption Setting'!$K$46</f>
        <v>85.14</v>
      </c>
      <c r="R30" s="81" t="n">
        <f aca="false">R29*'Assumption Setting'!$K$46</f>
        <v>85.14</v>
      </c>
      <c r="S30" s="81" t="n">
        <f aca="false">S29*'Assumption Setting'!$K$46</f>
        <v>85.14</v>
      </c>
      <c r="T30" s="81" t="n">
        <f aca="false">T29*'Assumption Setting'!$K$46</f>
        <v>85.14</v>
      </c>
      <c r="U30" s="81" t="n">
        <f aca="false">U29*'Assumption Setting'!$K$46</f>
        <v>85.14</v>
      </c>
      <c r="V30" s="81" t="n">
        <f aca="false">V29*'Assumption Setting'!$K$46</f>
        <v>85.14</v>
      </c>
      <c r="W30" s="81" t="n">
        <f aca="false">W29*'Assumption Setting'!$K$46</f>
        <v>85.14</v>
      </c>
      <c r="X30" s="81" t="n">
        <f aca="false">X29*'Assumption Setting'!$K$46</f>
        <v>85.14</v>
      </c>
      <c r="Y30" s="81" t="n">
        <f aca="false">Y29*'Assumption Setting'!$K$46</f>
        <v>85.14</v>
      </c>
      <c r="Z30" s="81" t="n">
        <f aca="false">Z29*'Assumption Setting'!$K$46</f>
        <v>85.14</v>
      </c>
      <c r="AA30" s="81" t="n">
        <f aca="false">AA29*'Assumption Setting'!$K$46</f>
        <v>85.14</v>
      </c>
      <c r="AB30" s="80" t="n">
        <f aca="false">SUM(AC30:AN30)</f>
        <v>2043.36</v>
      </c>
      <c r="AC30" s="81" t="n">
        <f aca="false">AC29*'Assumption Setting'!$K$46</f>
        <v>170.28</v>
      </c>
      <c r="AD30" s="81" t="n">
        <f aca="false">AD29*'Assumption Setting'!$K$46</f>
        <v>170.28</v>
      </c>
      <c r="AE30" s="81" t="n">
        <f aca="false">AE29*'Assumption Setting'!$K$46</f>
        <v>170.28</v>
      </c>
      <c r="AF30" s="81" t="n">
        <f aca="false">AF29*'Assumption Setting'!$K$46</f>
        <v>170.28</v>
      </c>
      <c r="AG30" s="81" t="n">
        <f aca="false">AG29*'Assumption Setting'!$K$46</f>
        <v>170.28</v>
      </c>
      <c r="AH30" s="81" t="n">
        <f aca="false">AH29*'Assumption Setting'!$K$46</f>
        <v>170.28</v>
      </c>
      <c r="AI30" s="81" t="n">
        <f aca="false">AI29*'Assumption Setting'!$K$46</f>
        <v>170.28</v>
      </c>
      <c r="AJ30" s="81" t="n">
        <f aca="false">AJ29*'Assumption Setting'!$K$46</f>
        <v>170.28</v>
      </c>
      <c r="AK30" s="81" t="n">
        <f aca="false">AK29*'Assumption Setting'!$K$46</f>
        <v>170.28</v>
      </c>
      <c r="AL30" s="81" t="n">
        <f aca="false">AL29*'Assumption Setting'!$K$46</f>
        <v>170.28</v>
      </c>
      <c r="AM30" s="81" t="n">
        <f aca="false">AM29*'Assumption Setting'!$K$46</f>
        <v>170.28</v>
      </c>
      <c r="AN30" s="81" t="n">
        <f aca="false">AN29*'Assumption Setting'!$K$46</f>
        <v>170.28</v>
      </c>
      <c r="AO30" s="80" t="n">
        <f aca="false">SUM(AP30:BA30)</f>
        <v>3065.04</v>
      </c>
      <c r="AP30" s="81" t="n">
        <f aca="false">AP29*'Assumption Setting'!$K$46</f>
        <v>255.42</v>
      </c>
      <c r="AQ30" s="81" t="n">
        <f aca="false">AQ29*'Assumption Setting'!$K$46</f>
        <v>255.42</v>
      </c>
      <c r="AR30" s="81" t="n">
        <f aca="false">AR29*'Assumption Setting'!$K$46</f>
        <v>255.42</v>
      </c>
      <c r="AS30" s="81" t="n">
        <f aca="false">AS29*'Assumption Setting'!$K$46</f>
        <v>255.42</v>
      </c>
      <c r="AT30" s="81" t="n">
        <f aca="false">AT29*'Assumption Setting'!$K$46</f>
        <v>255.42</v>
      </c>
      <c r="AU30" s="81" t="n">
        <f aca="false">AU29*'Assumption Setting'!$K$46</f>
        <v>255.42</v>
      </c>
      <c r="AV30" s="81" t="n">
        <f aca="false">AV29*'Assumption Setting'!$K$46</f>
        <v>255.42</v>
      </c>
      <c r="AW30" s="81" t="n">
        <f aca="false">AW29*'Assumption Setting'!$K$46</f>
        <v>255.42</v>
      </c>
      <c r="AX30" s="81" t="n">
        <f aca="false">AX29*'Assumption Setting'!$K$46</f>
        <v>255.42</v>
      </c>
      <c r="AY30" s="81" t="n">
        <f aca="false">AY29*'Assumption Setting'!$K$46</f>
        <v>255.42</v>
      </c>
      <c r="AZ30" s="81" t="n">
        <f aca="false">AZ29*'Assumption Setting'!$K$46</f>
        <v>255.42</v>
      </c>
      <c r="BA30" s="81" t="n">
        <f aca="false">BA29*'Assumption Setting'!$K$46</f>
        <v>255.42</v>
      </c>
      <c r="BB30" s="80" t="n">
        <f aca="false">SUM(BC30:BN30)</f>
        <v>4086.72</v>
      </c>
      <c r="BC30" s="81" t="n">
        <f aca="false">BC29*'Assumption Setting'!$K$46</f>
        <v>340.56</v>
      </c>
      <c r="BD30" s="81" t="n">
        <f aca="false">BD29*'Assumption Setting'!$K$46</f>
        <v>340.56</v>
      </c>
      <c r="BE30" s="81" t="n">
        <f aca="false">BE29*'Assumption Setting'!$K$46</f>
        <v>340.56</v>
      </c>
      <c r="BF30" s="81" t="n">
        <f aca="false">BF29*'Assumption Setting'!$K$46</f>
        <v>340.56</v>
      </c>
      <c r="BG30" s="81" t="n">
        <f aca="false">BG29*'Assumption Setting'!$K$46</f>
        <v>340.56</v>
      </c>
      <c r="BH30" s="81" t="n">
        <f aca="false">BH29*'Assumption Setting'!$K$46</f>
        <v>340.56</v>
      </c>
      <c r="BI30" s="81" t="n">
        <f aca="false">BI29*'Assumption Setting'!$K$46</f>
        <v>340.56</v>
      </c>
      <c r="BJ30" s="81" t="n">
        <f aca="false">BJ29*'Assumption Setting'!$K$46</f>
        <v>340.56</v>
      </c>
      <c r="BK30" s="81" t="n">
        <f aca="false">BK29*'Assumption Setting'!$K$46</f>
        <v>340.56</v>
      </c>
      <c r="BL30" s="81" t="n">
        <f aca="false">BL29*'Assumption Setting'!$K$46</f>
        <v>340.56</v>
      </c>
      <c r="BM30" s="81" t="n">
        <f aca="false">BM29*'Assumption Setting'!$K$46</f>
        <v>340.56</v>
      </c>
      <c r="BN30" s="81" t="n">
        <f aca="false">BN29*'Assumption Setting'!$K$46</f>
        <v>340.56</v>
      </c>
    </row>
    <row r="31" customFormat="false" ht="15" hidden="false" customHeight="false" outlineLevel="0" collapsed="false">
      <c r="A31" s="69" t="s">
        <v>599</v>
      </c>
      <c r="B31" s="64" t="n">
        <f aca="false">SUM(C31:N31)</f>
        <v>4080</v>
      </c>
      <c r="C31" s="70" t="n">
        <f aca="false">C7+C11+C15+C19+C23+C27</f>
        <v>340</v>
      </c>
      <c r="D31" s="70" t="n">
        <f aca="false">D7+D11+D15+D19+D23+D27</f>
        <v>340</v>
      </c>
      <c r="E31" s="70" t="n">
        <f aca="false">E7+E11+E15+E19+E23+E27</f>
        <v>340</v>
      </c>
      <c r="F31" s="70" t="n">
        <f aca="false">F7+F11+F15+F19+F23+F27</f>
        <v>340</v>
      </c>
      <c r="G31" s="70" t="n">
        <f aca="false">G7+G11+G15+G19+G23+G27</f>
        <v>340</v>
      </c>
      <c r="H31" s="70" t="n">
        <f aca="false">H7+H11+H15+H19+H23+H27</f>
        <v>340</v>
      </c>
      <c r="I31" s="70" t="n">
        <f aca="false">I7+I11+I15+I19+I23+I27</f>
        <v>340</v>
      </c>
      <c r="J31" s="70" t="n">
        <f aca="false">J7+J11+J15+J19+J23+J27</f>
        <v>340</v>
      </c>
      <c r="K31" s="70" t="n">
        <f aca="false">K7+K11+K15+K19+K23+K27</f>
        <v>340</v>
      </c>
      <c r="L31" s="70" t="n">
        <f aca="false">L7+L11+L15+L19+L23+L27</f>
        <v>340</v>
      </c>
      <c r="M31" s="70" t="n">
        <f aca="false">M7+M11+M15+M19+M23+M27</f>
        <v>340</v>
      </c>
      <c r="N31" s="70" t="n">
        <f aca="false">N7+N11+N15+N19+N23+N27</f>
        <v>340</v>
      </c>
      <c r="O31" s="64" t="n">
        <f aca="false">SUM(P31:AA31)</f>
        <v>14160</v>
      </c>
      <c r="P31" s="70" t="n">
        <f aca="false">P7+P11+P15+P19+P23+P27</f>
        <v>1180</v>
      </c>
      <c r="Q31" s="70" t="n">
        <f aca="false">Q7+Q11+Q15+Q19+Q23+Q27</f>
        <v>1180</v>
      </c>
      <c r="R31" s="70" t="n">
        <f aca="false">R7+R11+R15+R19+R23+R27</f>
        <v>1180</v>
      </c>
      <c r="S31" s="70" t="n">
        <f aca="false">S7+S11+S15+S19+S23+S27</f>
        <v>1180</v>
      </c>
      <c r="T31" s="70" t="n">
        <f aca="false">T7+T11+T15+T19+T23+T27</f>
        <v>1180</v>
      </c>
      <c r="U31" s="70" t="n">
        <f aca="false">U7+U11+U15+U19+U23+U27</f>
        <v>1180</v>
      </c>
      <c r="V31" s="70" t="n">
        <f aca="false">V7+V11+V15+V19+V23+V27</f>
        <v>1180</v>
      </c>
      <c r="W31" s="70" t="n">
        <f aca="false">W7+W11+W15+W19+W23+W27</f>
        <v>1180</v>
      </c>
      <c r="X31" s="70" t="n">
        <f aca="false">X7+X11+X15+X19+X23+X27</f>
        <v>1180</v>
      </c>
      <c r="Y31" s="70" t="n">
        <f aca="false">Y7+Y11+Y15+Y19+Y23+Y27</f>
        <v>1180</v>
      </c>
      <c r="Z31" s="70" t="n">
        <f aca="false">Z7+Z11+Z15+Z19+Z23+Z27</f>
        <v>1180</v>
      </c>
      <c r="AA31" s="70" t="n">
        <f aca="false">AA7+AA11+AA15+AA19+AA23+AA27</f>
        <v>1180</v>
      </c>
      <c r="AB31" s="64" t="n">
        <f aca="false">SUM(AC31:AN31)</f>
        <v>28800</v>
      </c>
      <c r="AC31" s="70" t="n">
        <f aca="false">AC7+AC11+AC15+AC19+AC23+AC27</f>
        <v>2400</v>
      </c>
      <c r="AD31" s="70" t="n">
        <f aca="false">AD7+AD11+AD15+AD19+AD23+AD27</f>
        <v>2400</v>
      </c>
      <c r="AE31" s="70" t="n">
        <f aca="false">AE7+AE11+AE15+AE19+AE23+AE27</f>
        <v>2400</v>
      </c>
      <c r="AF31" s="70" t="n">
        <f aca="false">AF7+AF11+AF15+AF19+AF23+AF27</f>
        <v>2400</v>
      </c>
      <c r="AG31" s="70" t="n">
        <f aca="false">AG7+AG11+AG15+AG19+AG23+AG27</f>
        <v>2400</v>
      </c>
      <c r="AH31" s="70" t="n">
        <f aca="false">AH7+AH11+AH15+AH19+AH23+AH27</f>
        <v>2400</v>
      </c>
      <c r="AI31" s="70" t="n">
        <f aca="false">AI7+AI11+AI15+AI19+AI23+AI27</f>
        <v>2400</v>
      </c>
      <c r="AJ31" s="70" t="n">
        <f aca="false">AJ7+AJ11+AJ15+AJ19+AJ23+AJ27</f>
        <v>2400</v>
      </c>
      <c r="AK31" s="70" t="n">
        <f aca="false">AK7+AK11+AK15+AK19+AK23+AK27</f>
        <v>2400</v>
      </c>
      <c r="AL31" s="70" t="n">
        <f aca="false">AL7+AL11+AL15+AL19+AL23+AL27</f>
        <v>2400</v>
      </c>
      <c r="AM31" s="70" t="n">
        <f aca="false">AM7+AM11+AM15+AM19+AM23+AM27</f>
        <v>2400</v>
      </c>
      <c r="AN31" s="70" t="n">
        <f aca="false">AN7+AN11+AN15+AN19+AN23+AN27</f>
        <v>2400</v>
      </c>
      <c r="AO31" s="64" t="n">
        <f aca="false">SUM(AP31:BA31)</f>
        <v>44400</v>
      </c>
      <c r="AP31" s="70" t="n">
        <f aca="false">AP7+AP11+AP15+AP19+AP23+AP27</f>
        <v>3700</v>
      </c>
      <c r="AQ31" s="70" t="n">
        <f aca="false">AQ7+AQ11+AQ15+AQ19+AQ23+AQ27</f>
        <v>3700</v>
      </c>
      <c r="AR31" s="70" t="n">
        <f aca="false">AR7+AR11+AR15+AR19+AR23+AR27</f>
        <v>3700</v>
      </c>
      <c r="AS31" s="70" t="n">
        <f aca="false">AS7+AS11+AS15+AS19+AS23+AS27</f>
        <v>3700</v>
      </c>
      <c r="AT31" s="70" t="n">
        <f aca="false">AT7+AT11+AT15+AT19+AT23+AT27</f>
        <v>3700</v>
      </c>
      <c r="AU31" s="70" t="n">
        <f aca="false">AU7+AU11+AU15+AU19+AU23+AU27</f>
        <v>3700</v>
      </c>
      <c r="AV31" s="70" t="n">
        <f aca="false">AV7+AV11+AV15+AV19+AV23+AV27</f>
        <v>3700</v>
      </c>
      <c r="AW31" s="70" t="n">
        <f aca="false">AW7+AW11+AW15+AW19+AW23+AW27</f>
        <v>3700</v>
      </c>
      <c r="AX31" s="70" t="n">
        <f aca="false">AX7+AX11+AX15+AX19+AX23+AX27</f>
        <v>3700</v>
      </c>
      <c r="AY31" s="70" t="n">
        <f aca="false">AY7+AY11+AY15+AY19+AY23+AY27</f>
        <v>3700</v>
      </c>
      <c r="AZ31" s="70" t="n">
        <f aca="false">AZ7+AZ11+AZ15+AZ19+AZ23+AZ27</f>
        <v>3700</v>
      </c>
      <c r="BA31" s="70" t="n">
        <f aca="false">BA7+BA11+BA15+BA19+BA23+BA27</f>
        <v>3700</v>
      </c>
      <c r="BB31" s="64" t="n">
        <f aca="false">SUM(BC31:BN31)</f>
        <v>59400</v>
      </c>
      <c r="BC31" s="70" t="n">
        <f aca="false">BC7+BC11+BC15+BC19+BC23+BC27</f>
        <v>4950</v>
      </c>
      <c r="BD31" s="70" t="n">
        <f aca="false">BD7+BD11+BD15+BD19+BD23+BD27</f>
        <v>4950</v>
      </c>
      <c r="BE31" s="70" t="n">
        <f aca="false">BE7+BE11+BE15+BE19+BE23+BE27</f>
        <v>4950</v>
      </c>
      <c r="BF31" s="70" t="n">
        <f aca="false">BF7+BF11+BF15+BF19+BF23+BF27</f>
        <v>4950</v>
      </c>
      <c r="BG31" s="70" t="n">
        <f aca="false">BG7+BG11+BG15+BG19+BG23+BG27</f>
        <v>4950</v>
      </c>
      <c r="BH31" s="70" t="n">
        <f aca="false">BH7+BH11+BH15+BH19+BH23+BH27</f>
        <v>4950</v>
      </c>
      <c r="BI31" s="70" t="n">
        <f aca="false">BI7+BI11+BI15+BI19+BI23+BI27</f>
        <v>4950</v>
      </c>
      <c r="BJ31" s="70" t="n">
        <f aca="false">BJ7+BJ11+BJ15+BJ19+BJ23+BJ27</f>
        <v>4950</v>
      </c>
      <c r="BK31" s="70" t="n">
        <f aca="false">BK7+BK11+BK15+BK19+BK23+BK27</f>
        <v>4950</v>
      </c>
      <c r="BL31" s="70" t="n">
        <f aca="false">BL7+BL11+BL15+BL19+BL23+BL27</f>
        <v>4950</v>
      </c>
      <c r="BM31" s="70" t="n">
        <f aca="false">BM7+BM11+BM15+BM19+BM23+BM27</f>
        <v>4950</v>
      </c>
      <c r="BN31" s="70" t="n">
        <f aca="false">BN7+BN11+BN15+BN19+BN23+BN27</f>
        <v>4950</v>
      </c>
    </row>
    <row r="32" customFormat="false" ht="15" hidden="false" customHeight="false" outlineLevel="0" collapsed="false">
      <c r="A32" s="18" t="s">
        <v>600</v>
      </c>
      <c r="B32" s="78" t="n">
        <f aca="false">SUM(C32:N32)</f>
        <v>41243.4925074925</v>
      </c>
      <c r="C32" s="82" t="n">
        <f aca="false">C9+C13+C17+C21+C25+C29</f>
        <v>3436.95770895771</v>
      </c>
      <c r="D32" s="82" t="n">
        <f aca="false">D9+D13+D17+D21+D25+D29</f>
        <v>3436.95770895771</v>
      </c>
      <c r="E32" s="82" t="n">
        <f aca="false">E9+E13+E17+E21+E25+E29</f>
        <v>3436.95770895771</v>
      </c>
      <c r="F32" s="82" t="n">
        <f aca="false">F9+F13+F17+F21+F25+F29</f>
        <v>3436.95770895771</v>
      </c>
      <c r="G32" s="82" t="n">
        <f aca="false">G9+G13+G17+G21+G25+G29</f>
        <v>3436.95770895771</v>
      </c>
      <c r="H32" s="82" t="n">
        <f aca="false">H9+H13+H17+H21+H25+H29</f>
        <v>3436.95770895771</v>
      </c>
      <c r="I32" s="82" t="n">
        <f aca="false">I9+I13+I17+I21+I25+I29</f>
        <v>3436.95770895771</v>
      </c>
      <c r="J32" s="82" t="n">
        <f aca="false">J9+J13+J17+J21+J25+J29</f>
        <v>3436.95770895771</v>
      </c>
      <c r="K32" s="82" t="n">
        <f aca="false">K9+K13+K17+K21+K25+K29</f>
        <v>3436.95770895771</v>
      </c>
      <c r="L32" s="82" t="n">
        <f aca="false">L9+L13+L17+L21+L25+L29</f>
        <v>3436.95770895771</v>
      </c>
      <c r="M32" s="82" t="n">
        <f aca="false">M9+M13+M17+M21+M25+M29</f>
        <v>3436.95770895771</v>
      </c>
      <c r="N32" s="82" t="n">
        <f aca="false">N9+N13+N17+N21+N25+N29</f>
        <v>3436.95770895771</v>
      </c>
      <c r="O32" s="78" t="n">
        <f aca="false">SUM(P32:AA32)</f>
        <v>142613.326673327</v>
      </c>
      <c r="P32" s="82" t="n">
        <f aca="false">P9+P13+P17+P21+P25+P29</f>
        <v>11884.4438894439</v>
      </c>
      <c r="Q32" s="82" t="n">
        <f aca="false">Q9+Q13+Q17+Q21+Q25+Q29</f>
        <v>11884.4438894439</v>
      </c>
      <c r="R32" s="82" t="n">
        <f aca="false">R9+R13+R17+R21+R25+R29</f>
        <v>11884.4438894439</v>
      </c>
      <c r="S32" s="82" t="n">
        <f aca="false">S9+S13+S17+S21+S25+S29</f>
        <v>11884.4438894439</v>
      </c>
      <c r="T32" s="82" t="n">
        <f aca="false">T9+T13+T17+T21+T25+T29</f>
        <v>11884.4438894439</v>
      </c>
      <c r="U32" s="82" t="n">
        <f aca="false">U9+U13+U17+U21+U25+U29</f>
        <v>11884.4438894439</v>
      </c>
      <c r="V32" s="82" t="n">
        <f aca="false">V9+V13+V17+V21+V25+V29</f>
        <v>11884.4438894439</v>
      </c>
      <c r="W32" s="82" t="n">
        <f aca="false">W9+W13+W17+W21+W25+W29</f>
        <v>11884.4438894439</v>
      </c>
      <c r="X32" s="82" t="n">
        <f aca="false">X9+X13+X17+X21+X25+X29</f>
        <v>11884.4438894439</v>
      </c>
      <c r="Y32" s="82" t="n">
        <f aca="false">Y9+Y13+Y17+Y21+Y25+Y29</f>
        <v>11884.4438894439</v>
      </c>
      <c r="Z32" s="82" t="n">
        <f aca="false">Z9+Z13+Z17+Z21+Z25+Z29</f>
        <v>11884.4438894439</v>
      </c>
      <c r="AA32" s="82" t="n">
        <f aca="false">AA9+AA13+AA17+AA21+AA25+AA29</f>
        <v>11884.4438894439</v>
      </c>
      <c r="AB32" s="78" t="n">
        <f aca="false">SUM(AC32:AN32)</f>
        <v>288335.884115884</v>
      </c>
      <c r="AC32" s="82" t="n">
        <f aca="false">AC9+AC13+AC17+AC21+AC25+AC29</f>
        <v>24027.9903429903</v>
      </c>
      <c r="AD32" s="82" t="n">
        <f aca="false">AD9+AD13+AD17+AD21+AD25+AD29</f>
        <v>24027.9903429903</v>
      </c>
      <c r="AE32" s="82" t="n">
        <f aca="false">AE9+AE13+AE17+AE21+AE25+AE29</f>
        <v>24027.9903429903</v>
      </c>
      <c r="AF32" s="82" t="n">
        <f aca="false">AF9+AF13+AF17+AF21+AF25+AF29</f>
        <v>24027.9903429903</v>
      </c>
      <c r="AG32" s="82" t="n">
        <f aca="false">AG9+AG13+AG17+AG21+AG25+AG29</f>
        <v>24027.9903429903</v>
      </c>
      <c r="AH32" s="82" t="n">
        <f aca="false">AH9+AH13+AH17+AH21+AH25+AH29</f>
        <v>24027.9903429903</v>
      </c>
      <c r="AI32" s="82" t="n">
        <f aca="false">AI9+AI13+AI17+AI21+AI25+AI29</f>
        <v>24027.9903429903</v>
      </c>
      <c r="AJ32" s="82" t="n">
        <f aca="false">AJ9+AJ13+AJ17+AJ21+AJ25+AJ29</f>
        <v>24027.9903429903</v>
      </c>
      <c r="AK32" s="82" t="n">
        <f aca="false">AK9+AK13+AK17+AK21+AK25+AK29</f>
        <v>24027.9903429903</v>
      </c>
      <c r="AL32" s="82" t="n">
        <f aca="false">AL9+AL13+AL17+AL21+AL25+AL29</f>
        <v>24027.9903429903</v>
      </c>
      <c r="AM32" s="82" t="n">
        <f aca="false">AM9+AM13+AM17+AM21+AM25+AM29</f>
        <v>24027.9903429903</v>
      </c>
      <c r="AN32" s="82" t="n">
        <f aca="false">AN9+AN13+AN17+AN21+AN25+AN29</f>
        <v>24027.9903429903</v>
      </c>
      <c r="AO32" s="78" t="n">
        <f aca="false">SUM(AP32:BA32)</f>
        <v>440887.892107892</v>
      </c>
      <c r="AP32" s="82" t="n">
        <f aca="false">AP9+AP13+AP17+AP21+AP25+AP29</f>
        <v>36740.6576756577</v>
      </c>
      <c r="AQ32" s="82" t="n">
        <f aca="false">AQ9+AQ13+AQ17+AQ21+AQ25+AQ29</f>
        <v>36740.6576756577</v>
      </c>
      <c r="AR32" s="82" t="n">
        <f aca="false">AR9+AR13+AR17+AR21+AR25+AR29</f>
        <v>36740.6576756577</v>
      </c>
      <c r="AS32" s="82" t="n">
        <f aca="false">AS9+AS13+AS17+AS21+AS25+AS29</f>
        <v>36740.6576756577</v>
      </c>
      <c r="AT32" s="82" t="n">
        <f aca="false">AT9+AT13+AT17+AT21+AT25+AT29</f>
        <v>36740.6576756577</v>
      </c>
      <c r="AU32" s="82" t="n">
        <f aca="false">AU9+AU13+AU17+AU21+AU25+AU29</f>
        <v>36740.6576756577</v>
      </c>
      <c r="AV32" s="82" t="n">
        <f aca="false">AV9+AV13+AV17+AV21+AV25+AV29</f>
        <v>36740.6576756577</v>
      </c>
      <c r="AW32" s="82" t="n">
        <f aca="false">AW9+AW13+AW17+AW21+AW25+AW29</f>
        <v>36740.6576756577</v>
      </c>
      <c r="AX32" s="82" t="n">
        <f aca="false">AX9+AX13+AX17+AX21+AX25+AX29</f>
        <v>36740.6576756577</v>
      </c>
      <c r="AY32" s="82" t="n">
        <f aca="false">AY9+AY13+AY17+AY21+AY25+AY29</f>
        <v>36740.6576756577</v>
      </c>
      <c r="AZ32" s="82" t="n">
        <f aca="false">AZ9+AZ13+AZ17+AZ21+AZ25+AZ29</f>
        <v>36740.6576756577</v>
      </c>
      <c r="BA32" s="82" t="n">
        <f aca="false">BA9+BA13+BA17+BA21+BA25+BA29</f>
        <v>36740.6576756577</v>
      </c>
      <c r="BB32" s="78" t="n">
        <f aca="false">SUM(BC32:BN32)</f>
        <v>589739.9000999</v>
      </c>
      <c r="BC32" s="82" t="n">
        <f aca="false">BC9+BC13+BC17+BC21+BC25+BC29</f>
        <v>49144.9916749917</v>
      </c>
      <c r="BD32" s="82" t="n">
        <f aca="false">BD9+BD13+BD17+BD21+BD25+BD29</f>
        <v>49144.9916749917</v>
      </c>
      <c r="BE32" s="82" t="n">
        <f aca="false">BE9+BE13+BE17+BE21+BE25+BE29</f>
        <v>49144.9916749917</v>
      </c>
      <c r="BF32" s="82" t="n">
        <f aca="false">BF9+BF13+BF17+BF21+BF25+BF29</f>
        <v>49144.9916749917</v>
      </c>
      <c r="BG32" s="82" t="n">
        <f aca="false">BG9+BG13+BG17+BG21+BG25+BG29</f>
        <v>49144.9916749917</v>
      </c>
      <c r="BH32" s="82" t="n">
        <f aca="false">BH9+BH13+BH17+BH21+BH25+BH29</f>
        <v>49144.9916749917</v>
      </c>
      <c r="BI32" s="82" t="n">
        <f aca="false">BI9+BI13+BI17+BI21+BI25+BI29</f>
        <v>49144.9916749917</v>
      </c>
      <c r="BJ32" s="82" t="n">
        <f aca="false">BJ9+BJ13+BJ17+BJ21+BJ25+BJ29</f>
        <v>49144.9916749917</v>
      </c>
      <c r="BK32" s="82" t="n">
        <f aca="false">BK9+BK13+BK17+BK21+BK25+BK29</f>
        <v>49144.9916749917</v>
      </c>
      <c r="BL32" s="82" t="n">
        <f aca="false">BL9+BL13+BL17+BL21+BL25+BL29</f>
        <v>49144.9916749917</v>
      </c>
      <c r="BM32" s="82" t="n">
        <f aca="false">BM9+BM13+BM17+BM21+BM25+BM29</f>
        <v>49144.9916749917</v>
      </c>
      <c r="BN32" s="82" t="n">
        <f aca="false">BN9+BN13+BN17+BN21+BN25+BN29</f>
        <v>49144.9916749917</v>
      </c>
    </row>
    <row r="33" customFormat="false" ht="15" hidden="false" customHeight="false" outlineLevel="0" collapsed="false">
      <c r="A33" s="18" t="s">
        <v>601</v>
      </c>
      <c r="B33" s="80" t="n">
        <f aca="false">SUM(C33:N33)</f>
        <v>875.740907092907</v>
      </c>
      <c r="C33" s="83" t="n">
        <f aca="false">C10+C14+C18+C22+C26+C30</f>
        <v>72.9784089244089</v>
      </c>
      <c r="D33" s="83" t="n">
        <f aca="false">D10+D14+D18+D22+D26+D30</f>
        <v>72.9784089244089</v>
      </c>
      <c r="E33" s="83" t="n">
        <f aca="false">E10+E14+E18+E22+E26+E30</f>
        <v>72.9784089244089</v>
      </c>
      <c r="F33" s="83" t="n">
        <f aca="false">F10+F14+F18+F22+F26+F30</f>
        <v>72.9784089244089</v>
      </c>
      <c r="G33" s="83" t="n">
        <f aca="false">G10+G14+G18+G22+G26+G30</f>
        <v>72.9784089244089</v>
      </c>
      <c r="H33" s="83" t="n">
        <f aca="false">H10+H14+H18+H22+H26+H30</f>
        <v>72.9784089244089</v>
      </c>
      <c r="I33" s="83" t="n">
        <f aca="false">I10+I14+I18+I22+I26+I30</f>
        <v>72.9784089244089</v>
      </c>
      <c r="J33" s="83" t="n">
        <f aca="false">J10+J14+J18+J22+J26+J30</f>
        <v>72.9784089244089</v>
      </c>
      <c r="K33" s="83" t="n">
        <f aca="false">K10+K14+K18+K22+K26+K30</f>
        <v>72.9784089244089</v>
      </c>
      <c r="L33" s="83" t="n">
        <f aca="false">L10+L14+L18+L22+L26+L30</f>
        <v>72.9784089244089</v>
      </c>
      <c r="M33" s="83" t="n">
        <f aca="false">M10+M14+M18+M22+M26+M30</f>
        <v>72.9784089244089</v>
      </c>
      <c r="N33" s="83" t="n">
        <f aca="false">N10+N14+N18+N22+N26+N30</f>
        <v>72.9784089244089</v>
      </c>
      <c r="O33" s="80" t="n">
        <f aca="false">SUM(P33:AA33)</f>
        <v>3072.06925074925</v>
      </c>
      <c r="P33" s="83" t="n">
        <f aca="false">P10+P14+P18+P22+P26+P30</f>
        <v>256.005770895771</v>
      </c>
      <c r="Q33" s="83" t="n">
        <f aca="false">Q10+Q14+Q18+Q22+Q26+Q30</f>
        <v>256.005770895771</v>
      </c>
      <c r="R33" s="83" t="n">
        <f aca="false">R10+R14+R18+R22+R26+R30</f>
        <v>256.005770895771</v>
      </c>
      <c r="S33" s="83" t="n">
        <f aca="false">S10+S14+S18+S22+S26+S30</f>
        <v>256.005770895771</v>
      </c>
      <c r="T33" s="83" t="n">
        <f aca="false">T10+T14+T18+T22+T26+T30</f>
        <v>256.005770895771</v>
      </c>
      <c r="U33" s="83" t="n">
        <f aca="false">U10+U14+U18+U22+U26+U30</f>
        <v>256.005770895771</v>
      </c>
      <c r="V33" s="83" t="n">
        <f aca="false">V10+V14+V18+V22+V26+V30</f>
        <v>256.005770895771</v>
      </c>
      <c r="W33" s="83" t="n">
        <f aca="false">W10+W14+W18+W22+W26+W30</f>
        <v>256.005770895771</v>
      </c>
      <c r="X33" s="83" t="n">
        <f aca="false">X10+X14+X18+X22+X26+X30</f>
        <v>256.005770895771</v>
      </c>
      <c r="Y33" s="83" t="n">
        <f aca="false">Y10+Y14+Y18+Y22+Y26+Y30</f>
        <v>256.005770895771</v>
      </c>
      <c r="Z33" s="83" t="n">
        <f aca="false">Z10+Z14+Z18+Z22+Z26+Z30</f>
        <v>256.005770895771</v>
      </c>
      <c r="AA33" s="83" t="n">
        <f aca="false">AA10+AA14+AA18+AA22+AA26+AA30</f>
        <v>256.005770895771</v>
      </c>
      <c r="AB33" s="80" t="n">
        <f aca="false">SUM(AC33:AN33)</f>
        <v>6201.59696303697</v>
      </c>
      <c r="AC33" s="83" t="n">
        <f aca="false">AC10+AC14+AC18+AC22+AC26+AC30</f>
        <v>516.799746919747</v>
      </c>
      <c r="AD33" s="83" t="n">
        <f aca="false">AD10+AD14+AD18+AD22+AD26+AD30</f>
        <v>516.799746919747</v>
      </c>
      <c r="AE33" s="83" t="n">
        <f aca="false">AE10+AE14+AE18+AE22+AE26+AE30</f>
        <v>516.799746919747</v>
      </c>
      <c r="AF33" s="83" t="n">
        <f aca="false">AF10+AF14+AF18+AF22+AF26+AF30</f>
        <v>516.799746919747</v>
      </c>
      <c r="AG33" s="83" t="n">
        <f aca="false">AG10+AG14+AG18+AG22+AG26+AG30</f>
        <v>516.799746919747</v>
      </c>
      <c r="AH33" s="83" t="n">
        <f aca="false">AH10+AH14+AH18+AH22+AH26+AH30</f>
        <v>516.799746919747</v>
      </c>
      <c r="AI33" s="83" t="n">
        <f aca="false">AI10+AI14+AI18+AI22+AI26+AI30</f>
        <v>516.799746919747</v>
      </c>
      <c r="AJ33" s="83" t="n">
        <f aca="false">AJ10+AJ14+AJ18+AJ22+AJ26+AJ30</f>
        <v>516.799746919747</v>
      </c>
      <c r="AK33" s="83" t="n">
        <f aca="false">AK10+AK14+AK18+AK22+AK26+AK30</f>
        <v>516.799746919747</v>
      </c>
      <c r="AL33" s="83" t="n">
        <f aca="false">AL10+AL14+AL18+AL22+AL26+AL30</f>
        <v>516.799746919747</v>
      </c>
      <c r="AM33" s="83" t="n">
        <f aca="false">AM10+AM14+AM18+AM22+AM26+AM30</f>
        <v>516.799746919747</v>
      </c>
      <c r="AN33" s="83" t="n">
        <f aca="false">AN10+AN14+AN18+AN22+AN26+AN30</f>
        <v>516.799746919747</v>
      </c>
      <c r="AO33" s="80" t="n">
        <f aca="false">SUM(AP33:BA33)</f>
        <v>9471.77786213786</v>
      </c>
      <c r="AP33" s="83" t="n">
        <f aca="false">AP10+AP14+AP18+AP22+AP26+AP30</f>
        <v>789.314821844822</v>
      </c>
      <c r="AQ33" s="83" t="n">
        <f aca="false">AQ10+AQ14+AQ18+AQ22+AQ26+AQ30</f>
        <v>789.314821844822</v>
      </c>
      <c r="AR33" s="83" t="n">
        <f aca="false">AR10+AR14+AR18+AR22+AR26+AR30</f>
        <v>789.314821844822</v>
      </c>
      <c r="AS33" s="83" t="n">
        <f aca="false">AS10+AS14+AS18+AS22+AS26+AS30</f>
        <v>789.314821844822</v>
      </c>
      <c r="AT33" s="83" t="n">
        <f aca="false">AT10+AT14+AT18+AT22+AT26+AT30</f>
        <v>789.314821844822</v>
      </c>
      <c r="AU33" s="83" t="n">
        <f aca="false">AU10+AU14+AU18+AU22+AU26+AU30</f>
        <v>789.314821844822</v>
      </c>
      <c r="AV33" s="83" t="n">
        <f aca="false">AV10+AV14+AV18+AV22+AV26+AV30</f>
        <v>789.314821844822</v>
      </c>
      <c r="AW33" s="83" t="n">
        <f aca="false">AW10+AW14+AW18+AW22+AW26+AW30</f>
        <v>789.314821844822</v>
      </c>
      <c r="AX33" s="83" t="n">
        <f aca="false">AX10+AX14+AX18+AX22+AX26+AX30</f>
        <v>789.314821844822</v>
      </c>
      <c r="AY33" s="83" t="n">
        <f aca="false">AY10+AY14+AY18+AY22+AY26+AY30</f>
        <v>789.314821844822</v>
      </c>
      <c r="AZ33" s="83" t="n">
        <f aca="false">AZ10+AZ14+AZ18+AZ22+AZ26+AZ30</f>
        <v>789.314821844822</v>
      </c>
      <c r="BA33" s="83" t="n">
        <f aca="false">BA10+BA14+BA18+BA22+BA26+BA30</f>
        <v>789.314821844822</v>
      </c>
      <c r="BB33" s="80" t="n">
        <f aca="false">SUM(BC33:BN33)</f>
        <v>12667.9587612388</v>
      </c>
      <c r="BC33" s="83" t="n">
        <f aca="false">BC10+BC14+BC18+BC22+BC26+BC30</f>
        <v>1055.66323010323</v>
      </c>
      <c r="BD33" s="83" t="n">
        <f aca="false">BD10+BD14+BD18+BD22+BD26+BD30</f>
        <v>1055.66323010323</v>
      </c>
      <c r="BE33" s="83" t="n">
        <f aca="false">BE10+BE14+BE18+BE22+BE26+BE30</f>
        <v>1055.66323010323</v>
      </c>
      <c r="BF33" s="83" t="n">
        <f aca="false">BF10+BF14+BF18+BF22+BF26+BF30</f>
        <v>1055.66323010323</v>
      </c>
      <c r="BG33" s="83" t="n">
        <f aca="false">BG10+BG14+BG18+BG22+BG26+BG30</f>
        <v>1055.66323010323</v>
      </c>
      <c r="BH33" s="83" t="n">
        <f aca="false">BH10+BH14+BH18+BH22+BH26+BH30</f>
        <v>1055.66323010323</v>
      </c>
      <c r="BI33" s="83" t="n">
        <f aca="false">BI10+BI14+BI18+BI22+BI26+BI30</f>
        <v>1055.66323010323</v>
      </c>
      <c r="BJ33" s="83" t="n">
        <f aca="false">BJ10+BJ14+BJ18+BJ22+BJ26+BJ30</f>
        <v>1055.66323010323</v>
      </c>
      <c r="BK33" s="83" t="n">
        <f aca="false">BK10+BK14+BK18+BK22+BK26+BK30</f>
        <v>1055.66323010323</v>
      </c>
      <c r="BL33" s="83" t="n">
        <f aca="false">BL10+BL14+BL18+BL22+BL26+BL30</f>
        <v>1055.66323010323</v>
      </c>
      <c r="BM33" s="83" t="n">
        <f aca="false">BM10+BM14+BM18+BM22+BM26+BM30</f>
        <v>1055.66323010323</v>
      </c>
      <c r="BN33" s="83" t="n">
        <f aca="false">BN10+BN14+BN18+BN22+BN26+BN30</f>
        <v>1055.66323010323</v>
      </c>
    </row>
    <row r="34" customFormat="false" ht="15" hidden="false" customHeight="false" outlineLevel="0" collapsed="false">
      <c r="A34" s="12" t="s">
        <v>602</v>
      </c>
      <c r="B34" s="84" t="n">
        <f aca="false">IFERROR(AVERAGE(C34:N34),0)</f>
        <v>4.65891220445998</v>
      </c>
      <c r="C34" s="85" t="n">
        <f aca="false">IFERROR(C31/C33,0)</f>
        <v>4.65891220445998</v>
      </c>
      <c r="D34" s="85" t="n">
        <f aca="false">IFERROR(D31/D33,0)</f>
        <v>4.65891220445998</v>
      </c>
      <c r="E34" s="85" t="n">
        <f aca="false">IFERROR(E31/E33,0)</f>
        <v>4.65891220445998</v>
      </c>
      <c r="F34" s="85" t="n">
        <f aca="false">IFERROR(F31/F33,0)</f>
        <v>4.65891220445998</v>
      </c>
      <c r="G34" s="85" t="n">
        <f aca="false">IFERROR(G31/G33,0)</f>
        <v>4.65891220445998</v>
      </c>
      <c r="H34" s="85" t="n">
        <f aca="false">IFERROR(H31/H33,0)</f>
        <v>4.65891220445998</v>
      </c>
      <c r="I34" s="85" t="n">
        <f aca="false">IFERROR(I31/I33,0)</f>
        <v>4.65891220445998</v>
      </c>
      <c r="J34" s="85" t="n">
        <f aca="false">IFERROR(J31/J33,0)</f>
        <v>4.65891220445998</v>
      </c>
      <c r="K34" s="85" t="n">
        <f aca="false">IFERROR(K31/K33,0)</f>
        <v>4.65891220445998</v>
      </c>
      <c r="L34" s="85" t="n">
        <f aca="false">IFERROR(L31/L33,0)</f>
        <v>4.65891220445998</v>
      </c>
      <c r="M34" s="85" t="n">
        <f aca="false">IFERROR(M31/M33,0)</f>
        <v>4.65891220445998</v>
      </c>
      <c r="N34" s="85" t="n">
        <f aca="false">IFERROR(N31/N33,0)</f>
        <v>4.65891220445998</v>
      </c>
      <c r="O34" s="84" t="n">
        <f aca="false">IFERROR(AVERAGE(P34:AA34),0)</f>
        <v>4.60927109522238</v>
      </c>
      <c r="P34" s="85" t="n">
        <f aca="false">IFERROR(P31/P33,0)</f>
        <v>4.60927109522238</v>
      </c>
      <c r="Q34" s="85" t="n">
        <f aca="false">IFERROR(Q31/Q33,0)</f>
        <v>4.60927109522238</v>
      </c>
      <c r="R34" s="85" t="n">
        <f aca="false">IFERROR(R31/R33,0)</f>
        <v>4.60927109522238</v>
      </c>
      <c r="S34" s="85" t="n">
        <f aca="false">IFERROR(S31/S33,0)</f>
        <v>4.60927109522238</v>
      </c>
      <c r="T34" s="85" t="n">
        <f aca="false">IFERROR(T31/T33,0)</f>
        <v>4.60927109522238</v>
      </c>
      <c r="U34" s="85" t="n">
        <f aca="false">IFERROR(U31/U33,0)</f>
        <v>4.60927109522238</v>
      </c>
      <c r="V34" s="85" t="n">
        <f aca="false">IFERROR(V31/V33,0)</f>
        <v>4.60927109522238</v>
      </c>
      <c r="W34" s="85" t="n">
        <f aca="false">IFERROR(W31/W33,0)</f>
        <v>4.60927109522238</v>
      </c>
      <c r="X34" s="85" t="n">
        <f aca="false">IFERROR(X31/X33,0)</f>
        <v>4.60927109522238</v>
      </c>
      <c r="Y34" s="85" t="n">
        <f aca="false">IFERROR(Y31/Y33,0)</f>
        <v>4.60927109522238</v>
      </c>
      <c r="Z34" s="85" t="n">
        <f aca="false">IFERROR(Z31/Z33,0)</f>
        <v>4.60927109522238</v>
      </c>
      <c r="AA34" s="85" t="n">
        <f aca="false">IFERROR(AA31/AA33,0)</f>
        <v>4.60927109522238</v>
      </c>
      <c r="AB34" s="84" t="n">
        <f aca="false">IFERROR(AVERAGE(AC34:AN34),0)</f>
        <v>4.64396512247653</v>
      </c>
      <c r="AC34" s="85" t="n">
        <f aca="false">IFERROR(AC31/AC33,0)</f>
        <v>4.64396512247653</v>
      </c>
      <c r="AD34" s="85" t="n">
        <f aca="false">IFERROR(AD31/AD33,0)</f>
        <v>4.64396512247653</v>
      </c>
      <c r="AE34" s="85" t="n">
        <f aca="false">IFERROR(AE31/AE33,0)</f>
        <v>4.64396512247653</v>
      </c>
      <c r="AF34" s="85" t="n">
        <f aca="false">IFERROR(AF31/AF33,0)</f>
        <v>4.64396512247653</v>
      </c>
      <c r="AG34" s="85" t="n">
        <f aca="false">IFERROR(AG31/AG33,0)</f>
        <v>4.64396512247653</v>
      </c>
      <c r="AH34" s="85" t="n">
        <f aca="false">IFERROR(AH31/AH33,0)</f>
        <v>4.64396512247653</v>
      </c>
      <c r="AI34" s="85" t="n">
        <f aca="false">IFERROR(AI31/AI33,0)</f>
        <v>4.64396512247653</v>
      </c>
      <c r="AJ34" s="85" t="n">
        <f aca="false">IFERROR(AJ31/AJ33,0)</f>
        <v>4.64396512247653</v>
      </c>
      <c r="AK34" s="85" t="n">
        <f aca="false">IFERROR(AK31/AK33,0)</f>
        <v>4.64396512247653</v>
      </c>
      <c r="AL34" s="85" t="n">
        <f aca="false">IFERROR(AL31/AL33,0)</f>
        <v>4.64396512247653</v>
      </c>
      <c r="AM34" s="85" t="n">
        <f aca="false">IFERROR(AM31/AM33,0)</f>
        <v>4.64396512247653</v>
      </c>
      <c r="AN34" s="85" t="n">
        <f aca="false">IFERROR(AN31/AN33,0)</f>
        <v>4.64396512247653</v>
      </c>
      <c r="AO34" s="84" t="n">
        <f aca="false">IFERROR(AVERAGE(AP34:BA34),0)</f>
        <v>4.6876099340846</v>
      </c>
      <c r="AP34" s="85" t="n">
        <f aca="false">IFERROR(AP31/AP33,0)</f>
        <v>4.6876099340846</v>
      </c>
      <c r="AQ34" s="85" t="n">
        <f aca="false">IFERROR(AQ31/AQ33,0)</f>
        <v>4.6876099340846</v>
      </c>
      <c r="AR34" s="85" t="n">
        <f aca="false">IFERROR(AR31/AR33,0)</f>
        <v>4.6876099340846</v>
      </c>
      <c r="AS34" s="85" t="n">
        <f aca="false">IFERROR(AS31/AS33,0)</f>
        <v>4.6876099340846</v>
      </c>
      <c r="AT34" s="85" t="n">
        <f aca="false">IFERROR(AT31/AT33,0)</f>
        <v>4.6876099340846</v>
      </c>
      <c r="AU34" s="85" t="n">
        <f aca="false">IFERROR(AU31/AU33,0)</f>
        <v>4.6876099340846</v>
      </c>
      <c r="AV34" s="85" t="n">
        <f aca="false">IFERROR(AV31/AV33,0)</f>
        <v>4.6876099340846</v>
      </c>
      <c r="AW34" s="85" t="n">
        <f aca="false">IFERROR(AW31/AW33,0)</f>
        <v>4.6876099340846</v>
      </c>
      <c r="AX34" s="85" t="n">
        <f aca="false">IFERROR(AX31/AX33,0)</f>
        <v>4.6876099340846</v>
      </c>
      <c r="AY34" s="85" t="n">
        <f aca="false">IFERROR(AY31/AY33,0)</f>
        <v>4.6876099340846</v>
      </c>
      <c r="AZ34" s="85" t="n">
        <f aca="false">IFERROR(AZ31/AZ33,0)</f>
        <v>4.6876099340846</v>
      </c>
      <c r="BA34" s="85" t="n">
        <f aca="false">IFERROR(BA31/BA33,0)</f>
        <v>4.6876099340846</v>
      </c>
      <c r="BB34" s="84" t="n">
        <f aca="false">IFERROR(AVERAGE(BC34:BN34),0)</f>
        <v>4.68899537167355</v>
      </c>
      <c r="BC34" s="85" t="n">
        <f aca="false">IFERROR(BC31/BC33,0)</f>
        <v>4.68899537167355</v>
      </c>
      <c r="BD34" s="85" t="n">
        <f aca="false">IFERROR(BD31/BD33,0)</f>
        <v>4.68899537167355</v>
      </c>
      <c r="BE34" s="85" t="n">
        <f aca="false">IFERROR(BE31/BE33,0)</f>
        <v>4.68899537167355</v>
      </c>
      <c r="BF34" s="85" t="n">
        <f aca="false">IFERROR(BF31/BF33,0)</f>
        <v>4.68899537167355</v>
      </c>
      <c r="BG34" s="85" t="n">
        <f aca="false">IFERROR(BG31/BG33,0)</f>
        <v>4.68899537167355</v>
      </c>
      <c r="BH34" s="85" t="n">
        <f aca="false">IFERROR(BH31/BH33,0)</f>
        <v>4.68899537167355</v>
      </c>
      <c r="BI34" s="85" t="n">
        <f aca="false">IFERROR(BI31/BI33,0)</f>
        <v>4.68899537167355</v>
      </c>
      <c r="BJ34" s="85" t="n">
        <f aca="false">IFERROR(BJ31/BJ33,0)</f>
        <v>4.68899537167355</v>
      </c>
      <c r="BK34" s="85" t="n">
        <f aca="false">IFERROR(BK31/BK33,0)</f>
        <v>4.68899537167355</v>
      </c>
      <c r="BL34" s="85" t="n">
        <f aca="false">IFERROR(BL31/BL33,0)</f>
        <v>4.68899537167355</v>
      </c>
      <c r="BM34" s="85" t="n">
        <f aca="false">IFERROR(BM31/BM33,0)</f>
        <v>4.68899537167355</v>
      </c>
      <c r="BN34" s="85" t="n">
        <f aca="false">IFERROR(BN31/BN33,0)</f>
        <v>4.68899537167355</v>
      </c>
    </row>
    <row r="36" customFormat="false" ht="16.5" hidden="false" customHeight="true" outlineLevel="0" collapsed="false">
      <c r="A36" s="15" t="s">
        <v>603</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481</v>
      </c>
      <c r="B37" s="61" t="s">
        <v>81</v>
      </c>
      <c r="C37" s="62" t="s">
        <v>482</v>
      </c>
      <c r="D37" s="62" t="s">
        <v>483</v>
      </c>
      <c r="E37" s="62" t="s">
        <v>484</v>
      </c>
      <c r="F37" s="62" t="s">
        <v>485</v>
      </c>
      <c r="G37" s="62" t="s">
        <v>486</v>
      </c>
      <c r="H37" s="62" t="s">
        <v>487</v>
      </c>
      <c r="I37" s="62" t="s">
        <v>488</v>
      </c>
      <c r="J37" s="62" t="s">
        <v>489</v>
      </c>
      <c r="K37" s="62" t="s">
        <v>490</v>
      </c>
      <c r="L37" s="62" t="s">
        <v>491</v>
      </c>
      <c r="M37" s="62" t="s">
        <v>492</v>
      </c>
      <c r="N37" s="62" t="s">
        <v>493</v>
      </c>
      <c r="O37" s="61" t="s">
        <v>82</v>
      </c>
      <c r="P37" s="63" t="s">
        <v>494</v>
      </c>
      <c r="Q37" s="63" t="s">
        <v>495</v>
      </c>
      <c r="R37" s="63" t="s">
        <v>496</v>
      </c>
      <c r="S37" s="63" t="s">
        <v>497</v>
      </c>
      <c r="T37" s="63" t="s">
        <v>498</v>
      </c>
      <c r="U37" s="63" t="s">
        <v>499</v>
      </c>
      <c r="V37" s="63" t="s">
        <v>500</v>
      </c>
      <c r="W37" s="63" t="s">
        <v>501</v>
      </c>
      <c r="X37" s="63" t="s">
        <v>502</v>
      </c>
      <c r="Y37" s="63" t="s">
        <v>503</v>
      </c>
      <c r="Z37" s="63" t="s">
        <v>504</v>
      </c>
      <c r="AA37" s="63" t="s">
        <v>505</v>
      </c>
      <c r="AB37" s="61" t="s">
        <v>83</v>
      </c>
      <c r="AC37" s="62" t="s">
        <v>506</v>
      </c>
      <c r="AD37" s="62" t="s">
        <v>507</v>
      </c>
      <c r="AE37" s="62" t="s">
        <v>508</v>
      </c>
      <c r="AF37" s="62" t="s">
        <v>509</v>
      </c>
      <c r="AG37" s="62" t="s">
        <v>510</v>
      </c>
      <c r="AH37" s="62" t="s">
        <v>511</v>
      </c>
      <c r="AI37" s="62" t="s">
        <v>512</v>
      </c>
      <c r="AJ37" s="62" t="s">
        <v>513</v>
      </c>
      <c r="AK37" s="62" t="s">
        <v>514</v>
      </c>
      <c r="AL37" s="62" t="s">
        <v>515</v>
      </c>
      <c r="AM37" s="62" t="s">
        <v>516</v>
      </c>
      <c r="AN37" s="62" t="s">
        <v>517</v>
      </c>
      <c r="AO37" s="61" t="s">
        <v>84</v>
      </c>
      <c r="AP37" s="63" t="s">
        <v>518</v>
      </c>
      <c r="AQ37" s="63" t="s">
        <v>519</v>
      </c>
      <c r="AR37" s="63" t="s">
        <v>520</v>
      </c>
      <c r="AS37" s="63" t="s">
        <v>521</v>
      </c>
      <c r="AT37" s="63" t="s">
        <v>522</v>
      </c>
      <c r="AU37" s="63" t="s">
        <v>523</v>
      </c>
      <c r="AV37" s="63" t="s">
        <v>524</v>
      </c>
      <c r="AW37" s="63" t="s">
        <v>525</v>
      </c>
      <c r="AX37" s="63" t="s">
        <v>526</v>
      </c>
      <c r="AY37" s="63" t="s">
        <v>527</v>
      </c>
      <c r="AZ37" s="63" t="s">
        <v>528</v>
      </c>
      <c r="BA37" s="63" t="s">
        <v>529</v>
      </c>
      <c r="BB37" s="61" t="s">
        <v>85</v>
      </c>
      <c r="BC37" s="62" t="s">
        <v>530</v>
      </c>
      <c r="BD37" s="62" t="s">
        <v>531</v>
      </c>
      <c r="BE37" s="62" t="s">
        <v>532</v>
      </c>
      <c r="BF37" s="62" t="s">
        <v>533</v>
      </c>
      <c r="BG37" s="62" t="s">
        <v>534</v>
      </c>
      <c r="BH37" s="62" t="s">
        <v>535</v>
      </c>
      <c r="BI37" s="62" t="s">
        <v>536</v>
      </c>
      <c r="BJ37" s="62" t="s">
        <v>537</v>
      </c>
      <c r="BK37" s="62" t="s">
        <v>538</v>
      </c>
      <c r="BL37" s="62" t="s">
        <v>539</v>
      </c>
      <c r="BM37" s="62" t="s">
        <v>540</v>
      </c>
      <c r="BN37" s="62" t="s">
        <v>541</v>
      </c>
    </row>
    <row r="38" customFormat="false" ht="15" hidden="false" customHeight="false" outlineLevel="0" collapsed="false">
      <c r="A38" s="12" t="s">
        <v>255</v>
      </c>
      <c r="B38" s="80" t="n">
        <f aca="false">SUM(C38:N38)</f>
        <v>12</v>
      </c>
      <c r="C38" s="81" t="n">
        <f aca="false">'Assumption Setting'!$C$56</f>
        <v>1</v>
      </c>
      <c r="D38" s="81" t="n">
        <f aca="false">'Assumption Setting'!$C$56</f>
        <v>1</v>
      </c>
      <c r="E38" s="81" t="n">
        <f aca="false">'Assumption Setting'!$C$56</f>
        <v>1</v>
      </c>
      <c r="F38" s="81" t="n">
        <f aca="false">'Assumption Setting'!$C$56</f>
        <v>1</v>
      </c>
      <c r="G38" s="81" t="n">
        <f aca="false">'Assumption Setting'!$C$56</f>
        <v>1</v>
      </c>
      <c r="H38" s="81" t="n">
        <f aca="false">'Assumption Setting'!$C$56</f>
        <v>1</v>
      </c>
      <c r="I38" s="81" t="n">
        <f aca="false">'Assumption Setting'!$C$56</f>
        <v>1</v>
      </c>
      <c r="J38" s="81" t="n">
        <f aca="false">'Assumption Setting'!$C$56</f>
        <v>1</v>
      </c>
      <c r="K38" s="81" t="n">
        <f aca="false">'Assumption Setting'!$C$56</f>
        <v>1</v>
      </c>
      <c r="L38" s="81" t="n">
        <f aca="false">'Assumption Setting'!$C$56</f>
        <v>1</v>
      </c>
      <c r="M38" s="81" t="n">
        <f aca="false">'Assumption Setting'!$C$56</f>
        <v>1</v>
      </c>
      <c r="N38" s="81" t="n">
        <f aca="false">'Assumption Setting'!$C$56</f>
        <v>1</v>
      </c>
      <c r="O38" s="80" t="n">
        <f aca="false">SUM(P38:AA38)</f>
        <v>48</v>
      </c>
      <c r="P38" s="81" t="n">
        <f aca="false">'Assumption Setting'!$D$56</f>
        <v>4</v>
      </c>
      <c r="Q38" s="81" t="n">
        <f aca="false">'Assumption Setting'!$D$56</f>
        <v>4</v>
      </c>
      <c r="R38" s="81" t="n">
        <f aca="false">'Assumption Setting'!$D$56</f>
        <v>4</v>
      </c>
      <c r="S38" s="81" t="n">
        <f aca="false">'Assumption Setting'!$D$56</f>
        <v>4</v>
      </c>
      <c r="T38" s="81" t="n">
        <f aca="false">'Assumption Setting'!$D$56</f>
        <v>4</v>
      </c>
      <c r="U38" s="81" t="n">
        <f aca="false">'Assumption Setting'!$D$56</f>
        <v>4</v>
      </c>
      <c r="V38" s="81" t="n">
        <f aca="false">'Assumption Setting'!$D$56</f>
        <v>4</v>
      </c>
      <c r="W38" s="81" t="n">
        <f aca="false">'Assumption Setting'!$D$56</f>
        <v>4</v>
      </c>
      <c r="X38" s="81" t="n">
        <f aca="false">'Assumption Setting'!$D$56</f>
        <v>4</v>
      </c>
      <c r="Y38" s="81" t="n">
        <f aca="false">'Assumption Setting'!$D$56</f>
        <v>4</v>
      </c>
      <c r="Z38" s="81" t="n">
        <f aca="false">'Assumption Setting'!$D$56</f>
        <v>4</v>
      </c>
      <c r="AA38" s="81" t="n">
        <f aca="false">'Assumption Setting'!$D$56</f>
        <v>4</v>
      </c>
      <c r="AB38" s="80" t="n">
        <f aca="false">SUM(AC38:AN38)</f>
        <v>96</v>
      </c>
      <c r="AC38" s="81" t="n">
        <f aca="false">'Assumption Setting'!$E$56</f>
        <v>8</v>
      </c>
      <c r="AD38" s="81" t="n">
        <f aca="false">'Assumption Setting'!$E$56</f>
        <v>8</v>
      </c>
      <c r="AE38" s="81" t="n">
        <f aca="false">'Assumption Setting'!$E$56</f>
        <v>8</v>
      </c>
      <c r="AF38" s="81" t="n">
        <f aca="false">'Assumption Setting'!$E$56</f>
        <v>8</v>
      </c>
      <c r="AG38" s="81" t="n">
        <f aca="false">'Assumption Setting'!$E$56</f>
        <v>8</v>
      </c>
      <c r="AH38" s="81" t="n">
        <f aca="false">'Assumption Setting'!$E$56</f>
        <v>8</v>
      </c>
      <c r="AI38" s="81" t="n">
        <f aca="false">'Assumption Setting'!$E$56</f>
        <v>8</v>
      </c>
      <c r="AJ38" s="81" t="n">
        <f aca="false">'Assumption Setting'!$E$56</f>
        <v>8</v>
      </c>
      <c r="AK38" s="81" t="n">
        <f aca="false">'Assumption Setting'!$E$56</f>
        <v>8</v>
      </c>
      <c r="AL38" s="81" t="n">
        <f aca="false">'Assumption Setting'!$E$56</f>
        <v>8</v>
      </c>
      <c r="AM38" s="81" t="n">
        <f aca="false">'Assumption Setting'!$E$56</f>
        <v>8</v>
      </c>
      <c r="AN38" s="81" t="n">
        <f aca="false">'Assumption Setting'!$E$56</f>
        <v>8</v>
      </c>
      <c r="AO38" s="80" t="n">
        <f aca="false">SUM(AP38:BA38)</f>
        <v>132</v>
      </c>
      <c r="AP38" s="81" t="n">
        <f aca="false">'Assumption Setting'!$F$56</f>
        <v>11</v>
      </c>
      <c r="AQ38" s="81" t="n">
        <f aca="false">'Assumption Setting'!$F$56</f>
        <v>11</v>
      </c>
      <c r="AR38" s="81" t="n">
        <f aca="false">'Assumption Setting'!$F$56</f>
        <v>11</v>
      </c>
      <c r="AS38" s="81" t="n">
        <f aca="false">'Assumption Setting'!$F$56</f>
        <v>11</v>
      </c>
      <c r="AT38" s="81" t="n">
        <f aca="false">'Assumption Setting'!$F$56</f>
        <v>11</v>
      </c>
      <c r="AU38" s="81" t="n">
        <f aca="false">'Assumption Setting'!$F$56</f>
        <v>11</v>
      </c>
      <c r="AV38" s="81" t="n">
        <f aca="false">'Assumption Setting'!$F$56</f>
        <v>11</v>
      </c>
      <c r="AW38" s="81" t="n">
        <f aca="false">'Assumption Setting'!$F$56</f>
        <v>11</v>
      </c>
      <c r="AX38" s="81" t="n">
        <f aca="false">'Assumption Setting'!$F$56</f>
        <v>11</v>
      </c>
      <c r="AY38" s="81" t="n">
        <f aca="false">'Assumption Setting'!$F$56</f>
        <v>11</v>
      </c>
      <c r="AZ38" s="81" t="n">
        <f aca="false">'Assumption Setting'!$F$56</f>
        <v>11</v>
      </c>
      <c r="BA38" s="81" t="n">
        <f aca="false">'Assumption Setting'!$F$56</f>
        <v>11</v>
      </c>
      <c r="BB38" s="80" t="n">
        <f aca="false">SUM(BC38:BN38)</f>
        <v>168</v>
      </c>
      <c r="BC38" s="81" t="n">
        <f aca="false">'Assumption Setting'!$G$56</f>
        <v>14</v>
      </c>
      <c r="BD38" s="81" t="n">
        <f aca="false">'Assumption Setting'!$G$56</f>
        <v>14</v>
      </c>
      <c r="BE38" s="81" t="n">
        <f aca="false">'Assumption Setting'!$G$56</f>
        <v>14</v>
      </c>
      <c r="BF38" s="81" t="n">
        <f aca="false">'Assumption Setting'!$G$56</f>
        <v>14</v>
      </c>
      <c r="BG38" s="81" t="n">
        <f aca="false">'Assumption Setting'!$G$56</f>
        <v>14</v>
      </c>
      <c r="BH38" s="81" t="n">
        <f aca="false">'Assumption Setting'!$G$56</f>
        <v>14</v>
      </c>
      <c r="BI38" s="81" t="n">
        <f aca="false">'Assumption Setting'!$G$56</f>
        <v>14</v>
      </c>
      <c r="BJ38" s="81" t="n">
        <f aca="false">'Assumption Setting'!$G$56</f>
        <v>14</v>
      </c>
      <c r="BK38" s="81" t="n">
        <f aca="false">'Assumption Setting'!$G$56</f>
        <v>14</v>
      </c>
      <c r="BL38" s="81" t="n">
        <f aca="false">'Assumption Setting'!$G$56</f>
        <v>14</v>
      </c>
      <c r="BM38" s="81" t="n">
        <f aca="false">'Assumption Setting'!$G$56</f>
        <v>14</v>
      </c>
      <c r="BN38" s="81" t="n">
        <f aca="false">'Assumption Setting'!$G$56</f>
        <v>14</v>
      </c>
    </row>
    <row r="39" customFormat="false" ht="15" hidden="false" customHeight="false" outlineLevel="0" collapsed="false">
      <c r="A39" s="12" t="s">
        <v>604</v>
      </c>
      <c r="B39" s="64" t="n">
        <f aca="false">SUM(C39:N39)</f>
        <v>2160</v>
      </c>
      <c r="C39" s="65" t="n">
        <f aca="false">C38*'Assumption Setting'!$H$56</f>
        <v>180</v>
      </c>
      <c r="D39" s="65" t="n">
        <f aca="false">D38*'Assumption Setting'!$H$56</f>
        <v>180</v>
      </c>
      <c r="E39" s="65" t="n">
        <f aca="false">E38*'Assumption Setting'!$H$56</f>
        <v>180</v>
      </c>
      <c r="F39" s="65" t="n">
        <f aca="false">F38*'Assumption Setting'!$H$56</f>
        <v>180</v>
      </c>
      <c r="G39" s="65" t="n">
        <f aca="false">G38*'Assumption Setting'!$H$56</f>
        <v>180</v>
      </c>
      <c r="H39" s="65" t="n">
        <f aca="false">H38*'Assumption Setting'!$H$56</f>
        <v>180</v>
      </c>
      <c r="I39" s="65" t="n">
        <f aca="false">I38*'Assumption Setting'!$H$56</f>
        <v>180</v>
      </c>
      <c r="J39" s="65" t="n">
        <f aca="false">J38*'Assumption Setting'!$H$56</f>
        <v>180</v>
      </c>
      <c r="K39" s="65" t="n">
        <f aca="false">K38*'Assumption Setting'!$H$56</f>
        <v>180</v>
      </c>
      <c r="L39" s="65" t="n">
        <f aca="false">L38*'Assumption Setting'!$H$56</f>
        <v>180</v>
      </c>
      <c r="M39" s="65" t="n">
        <f aca="false">M38*'Assumption Setting'!$H$56</f>
        <v>180</v>
      </c>
      <c r="N39" s="65" t="n">
        <f aca="false">N38*'Assumption Setting'!$H$56</f>
        <v>180</v>
      </c>
      <c r="O39" s="64" t="n">
        <f aca="false">SUM(P39:AA39)</f>
        <v>8640</v>
      </c>
      <c r="P39" s="65" t="n">
        <f aca="false">P38*'Assumption Setting'!$H$56</f>
        <v>720</v>
      </c>
      <c r="Q39" s="65" t="n">
        <f aca="false">Q38*'Assumption Setting'!$H$56</f>
        <v>720</v>
      </c>
      <c r="R39" s="65" t="n">
        <f aca="false">R38*'Assumption Setting'!$H$56</f>
        <v>720</v>
      </c>
      <c r="S39" s="65" t="n">
        <f aca="false">S38*'Assumption Setting'!$H$56</f>
        <v>720</v>
      </c>
      <c r="T39" s="65" t="n">
        <f aca="false">T38*'Assumption Setting'!$H$56</f>
        <v>720</v>
      </c>
      <c r="U39" s="65" t="n">
        <f aca="false">U38*'Assumption Setting'!$H$56</f>
        <v>720</v>
      </c>
      <c r="V39" s="65" t="n">
        <f aca="false">V38*'Assumption Setting'!$H$56</f>
        <v>720</v>
      </c>
      <c r="W39" s="65" t="n">
        <f aca="false">W38*'Assumption Setting'!$H$56</f>
        <v>720</v>
      </c>
      <c r="X39" s="65" t="n">
        <f aca="false">X38*'Assumption Setting'!$H$56</f>
        <v>720</v>
      </c>
      <c r="Y39" s="65" t="n">
        <f aca="false">Y38*'Assumption Setting'!$H$56</f>
        <v>720</v>
      </c>
      <c r="Z39" s="65" t="n">
        <f aca="false">Z38*'Assumption Setting'!$H$56</f>
        <v>720</v>
      </c>
      <c r="AA39" s="65" t="n">
        <f aca="false">AA38*'Assumption Setting'!$H$56</f>
        <v>720</v>
      </c>
      <c r="AB39" s="64" t="n">
        <f aca="false">SUM(AC39:AN39)</f>
        <v>17280</v>
      </c>
      <c r="AC39" s="65" t="n">
        <f aca="false">AC38*'Assumption Setting'!$H$56</f>
        <v>1440</v>
      </c>
      <c r="AD39" s="65" t="n">
        <f aca="false">AD38*'Assumption Setting'!$H$56</f>
        <v>1440</v>
      </c>
      <c r="AE39" s="65" t="n">
        <f aca="false">AE38*'Assumption Setting'!$H$56</f>
        <v>1440</v>
      </c>
      <c r="AF39" s="65" t="n">
        <f aca="false">AF38*'Assumption Setting'!$H$56</f>
        <v>1440</v>
      </c>
      <c r="AG39" s="65" t="n">
        <f aca="false">AG38*'Assumption Setting'!$H$56</f>
        <v>1440</v>
      </c>
      <c r="AH39" s="65" t="n">
        <f aca="false">AH38*'Assumption Setting'!$H$56</f>
        <v>1440</v>
      </c>
      <c r="AI39" s="65" t="n">
        <f aca="false">AI38*'Assumption Setting'!$H$56</f>
        <v>1440</v>
      </c>
      <c r="AJ39" s="65" t="n">
        <f aca="false">AJ38*'Assumption Setting'!$H$56</f>
        <v>1440</v>
      </c>
      <c r="AK39" s="65" t="n">
        <f aca="false">AK38*'Assumption Setting'!$H$56</f>
        <v>1440</v>
      </c>
      <c r="AL39" s="65" t="n">
        <f aca="false">AL38*'Assumption Setting'!$H$56</f>
        <v>1440</v>
      </c>
      <c r="AM39" s="65" t="n">
        <f aca="false">AM38*'Assumption Setting'!$H$56</f>
        <v>1440</v>
      </c>
      <c r="AN39" s="65" t="n">
        <f aca="false">AN38*'Assumption Setting'!$H$56</f>
        <v>1440</v>
      </c>
      <c r="AO39" s="64" t="n">
        <f aca="false">SUM(AP39:BA39)</f>
        <v>23760</v>
      </c>
      <c r="AP39" s="65" t="n">
        <f aca="false">AP38*'Assumption Setting'!$H$56</f>
        <v>1980</v>
      </c>
      <c r="AQ39" s="65" t="n">
        <f aca="false">AQ38*'Assumption Setting'!$H$56</f>
        <v>1980</v>
      </c>
      <c r="AR39" s="65" t="n">
        <f aca="false">AR38*'Assumption Setting'!$H$56</f>
        <v>1980</v>
      </c>
      <c r="AS39" s="65" t="n">
        <f aca="false">AS38*'Assumption Setting'!$H$56</f>
        <v>1980</v>
      </c>
      <c r="AT39" s="65" t="n">
        <f aca="false">AT38*'Assumption Setting'!$H$56</f>
        <v>1980</v>
      </c>
      <c r="AU39" s="65" t="n">
        <f aca="false">AU38*'Assumption Setting'!$H$56</f>
        <v>1980</v>
      </c>
      <c r="AV39" s="65" t="n">
        <f aca="false">AV38*'Assumption Setting'!$H$56</f>
        <v>1980</v>
      </c>
      <c r="AW39" s="65" t="n">
        <f aca="false">AW38*'Assumption Setting'!$H$56</f>
        <v>1980</v>
      </c>
      <c r="AX39" s="65" t="n">
        <f aca="false">AX38*'Assumption Setting'!$H$56</f>
        <v>1980</v>
      </c>
      <c r="AY39" s="65" t="n">
        <f aca="false">AY38*'Assumption Setting'!$H$56</f>
        <v>1980</v>
      </c>
      <c r="AZ39" s="65" t="n">
        <f aca="false">AZ38*'Assumption Setting'!$H$56</f>
        <v>1980</v>
      </c>
      <c r="BA39" s="65" t="n">
        <f aca="false">BA38*'Assumption Setting'!$H$56</f>
        <v>1980</v>
      </c>
      <c r="BB39" s="64" t="n">
        <f aca="false">SUM(BC39:BN39)</f>
        <v>30240</v>
      </c>
      <c r="BC39" s="65" t="n">
        <f aca="false">BC38*'Assumption Setting'!$H$56</f>
        <v>2520</v>
      </c>
      <c r="BD39" s="65" t="n">
        <f aca="false">BD38*'Assumption Setting'!$H$56</f>
        <v>2520</v>
      </c>
      <c r="BE39" s="65" t="n">
        <f aca="false">BE38*'Assumption Setting'!$H$56</f>
        <v>2520</v>
      </c>
      <c r="BF39" s="65" t="n">
        <f aca="false">BF38*'Assumption Setting'!$H$56</f>
        <v>2520</v>
      </c>
      <c r="BG39" s="65" t="n">
        <f aca="false">BG38*'Assumption Setting'!$H$56</f>
        <v>2520</v>
      </c>
      <c r="BH39" s="65" t="n">
        <f aca="false">BH38*'Assumption Setting'!$H$56</f>
        <v>2520</v>
      </c>
      <c r="BI39" s="65" t="n">
        <f aca="false">BI38*'Assumption Setting'!$H$56</f>
        <v>2520</v>
      </c>
      <c r="BJ39" s="65" t="n">
        <f aca="false">BJ38*'Assumption Setting'!$H$56</f>
        <v>2520</v>
      </c>
      <c r="BK39" s="65" t="n">
        <f aca="false">BK38*'Assumption Setting'!$H$56</f>
        <v>2520</v>
      </c>
      <c r="BL39" s="65" t="n">
        <f aca="false">BL38*'Assumption Setting'!$H$56</f>
        <v>2520</v>
      </c>
      <c r="BM39" s="65" t="n">
        <f aca="false">BM38*'Assumption Setting'!$H$56</f>
        <v>2520</v>
      </c>
      <c r="BN39" s="65" t="n">
        <f aca="false">BN38*'Assumption Setting'!$H$56</f>
        <v>2520</v>
      </c>
    </row>
    <row r="40" customFormat="false" ht="15" hidden="false" customHeight="false" outlineLevel="0" collapsed="false">
      <c r="A40" s="12" t="s">
        <v>605</v>
      </c>
      <c r="B40" s="78" t="n">
        <f aca="false">SUM(C40:N40)</f>
        <v>360</v>
      </c>
      <c r="C40" s="79" t="n">
        <f aca="false">C38*'Assumption Setting'!$I$56</f>
        <v>30</v>
      </c>
      <c r="D40" s="79" t="n">
        <f aca="false">D38*'Assumption Setting'!$I$56</f>
        <v>30</v>
      </c>
      <c r="E40" s="79" t="n">
        <f aca="false">E38*'Assumption Setting'!$I$56</f>
        <v>30</v>
      </c>
      <c r="F40" s="79" t="n">
        <f aca="false">F38*'Assumption Setting'!$I$56</f>
        <v>30</v>
      </c>
      <c r="G40" s="79" t="n">
        <f aca="false">G38*'Assumption Setting'!$I$56</f>
        <v>30</v>
      </c>
      <c r="H40" s="79" t="n">
        <f aca="false">H38*'Assumption Setting'!$I$56</f>
        <v>30</v>
      </c>
      <c r="I40" s="79" t="n">
        <f aca="false">I38*'Assumption Setting'!$I$56</f>
        <v>30</v>
      </c>
      <c r="J40" s="79" t="n">
        <f aca="false">J38*'Assumption Setting'!$I$56</f>
        <v>30</v>
      </c>
      <c r="K40" s="79" t="n">
        <f aca="false">K38*'Assumption Setting'!$I$56</f>
        <v>30</v>
      </c>
      <c r="L40" s="79" t="n">
        <f aca="false">L38*'Assumption Setting'!$I$56</f>
        <v>30</v>
      </c>
      <c r="M40" s="79" t="n">
        <f aca="false">M38*'Assumption Setting'!$I$56</f>
        <v>30</v>
      </c>
      <c r="N40" s="79" t="n">
        <f aca="false">N38*'Assumption Setting'!$I$56</f>
        <v>30</v>
      </c>
      <c r="O40" s="78" t="n">
        <f aca="false">SUM(P40:AA40)</f>
        <v>1440</v>
      </c>
      <c r="P40" s="79" t="n">
        <f aca="false">P38*'Assumption Setting'!$I$56</f>
        <v>120</v>
      </c>
      <c r="Q40" s="79" t="n">
        <f aca="false">Q38*'Assumption Setting'!$I$56</f>
        <v>120</v>
      </c>
      <c r="R40" s="79" t="n">
        <f aca="false">R38*'Assumption Setting'!$I$56</f>
        <v>120</v>
      </c>
      <c r="S40" s="79" t="n">
        <f aca="false">S38*'Assumption Setting'!$I$56</f>
        <v>120</v>
      </c>
      <c r="T40" s="79" t="n">
        <f aca="false">T38*'Assumption Setting'!$I$56</f>
        <v>120</v>
      </c>
      <c r="U40" s="79" t="n">
        <f aca="false">U38*'Assumption Setting'!$I$56</f>
        <v>120</v>
      </c>
      <c r="V40" s="79" t="n">
        <f aca="false">V38*'Assumption Setting'!$I$56</f>
        <v>120</v>
      </c>
      <c r="W40" s="79" t="n">
        <f aca="false">W38*'Assumption Setting'!$I$56</f>
        <v>120</v>
      </c>
      <c r="X40" s="79" t="n">
        <f aca="false">X38*'Assumption Setting'!$I$56</f>
        <v>120</v>
      </c>
      <c r="Y40" s="79" t="n">
        <f aca="false">Y38*'Assumption Setting'!$I$56</f>
        <v>120</v>
      </c>
      <c r="Z40" s="79" t="n">
        <f aca="false">Z38*'Assumption Setting'!$I$56</f>
        <v>120</v>
      </c>
      <c r="AA40" s="79" t="n">
        <f aca="false">AA38*'Assumption Setting'!$I$56</f>
        <v>120</v>
      </c>
      <c r="AB40" s="78" t="n">
        <f aca="false">SUM(AC40:AN40)</f>
        <v>2880</v>
      </c>
      <c r="AC40" s="79" t="n">
        <f aca="false">AC38*'Assumption Setting'!$I$56</f>
        <v>240</v>
      </c>
      <c r="AD40" s="79" t="n">
        <f aca="false">AD38*'Assumption Setting'!$I$56</f>
        <v>240</v>
      </c>
      <c r="AE40" s="79" t="n">
        <f aca="false">AE38*'Assumption Setting'!$I$56</f>
        <v>240</v>
      </c>
      <c r="AF40" s="79" t="n">
        <f aca="false">AF38*'Assumption Setting'!$I$56</f>
        <v>240</v>
      </c>
      <c r="AG40" s="79" t="n">
        <f aca="false">AG38*'Assumption Setting'!$I$56</f>
        <v>240</v>
      </c>
      <c r="AH40" s="79" t="n">
        <f aca="false">AH38*'Assumption Setting'!$I$56</f>
        <v>240</v>
      </c>
      <c r="AI40" s="79" t="n">
        <f aca="false">AI38*'Assumption Setting'!$I$56</f>
        <v>240</v>
      </c>
      <c r="AJ40" s="79" t="n">
        <f aca="false">AJ38*'Assumption Setting'!$I$56</f>
        <v>240</v>
      </c>
      <c r="AK40" s="79" t="n">
        <f aca="false">AK38*'Assumption Setting'!$I$56</f>
        <v>240</v>
      </c>
      <c r="AL40" s="79" t="n">
        <f aca="false">AL38*'Assumption Setting'!$I$56</f>
        <v>240</v>
      </c>
      <c r="AM40" s="79" t="n">
        <f aca="false">AM38*'Assumption Setting'!$I$56</f>
        <v>240</v>
      </c>
      <c r="AN40" s="79" t="n">
        <f aca="false">AN38*'Assumption Setting'!$I$56</f>
        <v>240</v>
      </c>
      <c r="AO40" s="78" t="n">
        <f aca="false">SUM(AP40:BA40)</f>
        <v>3960</v>
      </c>
      <c r="AP40" s="79" t="n">
        <f aca="false">AP38*'Assumption Setting'!$I$56</f>
        <v>330</v>
      </c>
      <c r="AQ40" s="79" t="n">
        <f aca="false">AQ38*'Assumption Setting'!$I$56</f>
        <v>330</v>
      </c>
      <c r="AR40" s="79" t="n">
        <f aca="false">AR38*'Assumption Setting'!$I$56</f>
        <v>330</v>
      </c>
      <c r="AS40" s="79" t="n">
        <f aca="false">AS38*'Assumption Setting'!$I$56</f>
        <v>330</v>
      </c>
      <c r="AT40" s="79" t="n">
        <f aca="false">AT38*'Assumption Setting'!$I$56</f>
        <v>330</v>
      </c>
      <c r="AU40" s="79" t="n">
        <f aca="false">AU38*'Assumption Setting'!$I$56</f>
        <v>330</v>
      </c>
      <c r="AV40" s="79" t="n">
        <f aca="false">AV38*'Assumption Setting'!$I$56</f>
        <v>330</v>
      </c>
      <c r="AW40" s="79" t="n">
        <f aca="false">AW38*'Assumption Setting'!$I$56</f>
        <v>330</v>
      </c>
      <c r="AX40" s="79" t="n">
        <f aca="false">AX38*'Assumption Setting'!$I$56</f>
        <v>330</v>
      </c>
      <c r="AY40" s="79" t="n">
        <f aca="false">AY38*'Assumption Setting'!$I$56</f>
        <v>330</v>
      </c>
      <c r="AZ40" s="79" t="n">
        <f aca="false">AZ38*'Assumption Setting'!$I$56</f>
        <v>330</v>
      </c>
      <c r="BA40" s="79" t="n">
        <f aca="false">BA38*'Assumption Setting'!$I$56</f>
        <v>330</v>
      </c>
      <c r="BB40" s="78" t="n">
        <f aca="false">SUM(BC40:BN40)</f>
        <v>5040</v>
      </c>
      <c r="BC40" s="79" t="n">
        <f aca="false">BC38*'Assumption Setting'!$I$56</f>
        <v>420</v>
      </c>
      <c r="BD40" s="79" t="n">
        <f aca="false">BD38*'Assumption Setting'!$I$56</f>
        <v>420</v>
      </c>
      <c r="BE40" s="79" t="n">
        <f aca="false">BE38*'Assumption Setting'!$I$56</f>
        <v>420</v>
      </c>
      <c r="BF40" s="79" t="n">
        <f aca="false">BF38*'Assumption Setting'!$I$56</f>
        <v>420</v>
      </c>
      <c r="BG40" s="79" t="n">
        <f aca="false">BG38*'Assumption Setting'!$I$56</f>
        <v>420</v>
      </c>
      <c r="BH40" s="79" t="n">
        <f aca="false">BH38*'Assumption Setting'!$I$56</f>
        <v>420</v>
      </c>
      <c r="BI40" s="79" t="n">
        <f aca="false">BI38*'Assumption Setting'!$I$56</f>
        <v>420</v>
      </c>
      <c r="BJ40" s="79" t="n">
        <f aca="false">BJ38*'Assumption Setting'!$I$56</f>
        <v>420</v>
      </c>
      <c r="BK40" s="79" t="n">
        <f aca="false">BK38*'Assumption Setting'!$I$56</f>
        <v>420</v>
      </c>
      <c r="BL40" s="79" t="n">
        <f aca="false">BL38*'Assumption Setting'!$I$56</f>
        <v>420</v>
      </c>
      <c r="BM40" s="79" t="n">
        <f aca="false">BM38*'Assumption Setting'!$I$56</f>
        <v>420</v>
      </c>
      <c r="BN40" s="79" t="n">
        <f aca="false">BN38*'Assumption Setting'!$I$56</f>
        <v>420</v>
      </c>
    </row>
    <row r="41" customFormat="false" ht="15" hidden="false" customHeight="false" outlineLevel="0" collapsed="false">
      <c r="A41" s="12" t="s">
        <v>606</v>
      </c>
      <c r="B41" s="80" t="n">
        <f aca="false">SUM(C41:N41)</f>
        <v>9.6</v>
      </c>
      <c r="C41" s="81" t="n">
        <f aca="false">C38*'Assumption Setting'!$J$56</f>
        <v>0.8</v>
      </c>
      <c r="D41" s="81" t="n">
        <f aca="false">D38*'Assumption Setting'!$J$56</f>
        <v>0.8</v>
      </c>
      <c r="E41" s="81" t="n">
        <f aca="false">E38*'Assumption Setting'!$J$56</f>
        <v>0.8</v>
      </c>
      <c r="F41" s="81" t="n">
        <f aca="false">F38*'Assumption Setting'!$J$56</f>
        <v>0.8</v>
      </c>
      <c r="G41" s="81" t="n">
        <f aca="false">G38*'Assumption Setting'!$J$56</f>
        <v>0.8</v>
      </c>
      <c r="H41" s="81" t="n">
        <f aca="false">H38*'Assumption Setting'!$J$56</f>
        <v>0.8</v>
      </c>
      <c r="I41" s="81" t="n">
        <f aca="false">I38*'Assumption Setting'!$J$56</f>
        <v>0.8</v>
      </c>
      <c r="J41" s="81" t="n">
        <f aca="false">J38*'Assumption Setting'!$J$56</f>
        <v>0.8</v>
      </c>
      <c r="K41" s="81" t="n">
        <f aca="false">K38*'Assumption Setting'!$J$56</f>
        <v>0.8</v>
      </c>
      <c r="L41" s="81" t="n">
        <f aca="false">L38*'Assumption Setting'!$J$56</f>
        <v>0.8</v>
      </c>
      <c r="M41" s="81" t="n">
        <f aca="false">M38*'Assumption Setting'!$J$56</f>
        <v>0.8</v>
      </c>
      <c r="N41" s="81" t="n">
        <f aca="false">N38*'Assumption Setting'!$J$56</f>
        <v>0.8</v>
      </c>
      <c r="O41" s="80" t="n">
        <f aca="false">SUM(P41:AA41)</f>
        <v>38.4</v>
      </c>
      <c r="P41" s="81" t="n">
        <f aca="false">P38*'Assumption Setting'!$J$56</f>
        <v>3.2</v>
      </c>
      <c r="Q41" s="81" t="n">
        <f aca="false">Q38*'Assumption Setting'!$J$56</f>
        <v>3.2</v>
      </c>
      <c r="R41" s="81" t="n">
        <f aca="false">R38*'Assumption Setting'!$J$56</f>
        <v>3.2</v>
      </c>
      <c r="S41" s="81" t="n">
        <f aca="false">S38*'Assumption Setting'!$J$56</f>
        <v>3.2</v>
      </c>
      <c r="T41" s="81" t="n">
        <f aca="false">T38*'Assumption Setting'!$J$56</f>
        <v>3.2</v>
      </c>
      <c r="U41" s="81" t="n">
        <f aca="false">U38*'Assumption Setting'!$J$56</f>
        <v>3.2</v>
      </c>
      <c r="V41" s="81" t="n">
        <f aca="false">V38*'Assumption Setting'!$J$56</f>
        <v>3.2</v>
      </c>
      <c r="W41" s="81" t="n">
        <f aca="false">W38*'Assumption Setting'!$J$56</f>
        <v>3.2</v>
      </c>
      <c r="X41" s="81" t="n">
        <f aca="false">X38*'Assumption Setting'!$J$56</f>
        <v>3.2</v>
      </c>
      <c r="Y41" s="81" t="n">
        <f aca="false">Y38*'Assumption Setting'!$J$56</f>
        <v>3.2</v>
      </c>
      <c r="Z41" s="81" t="n">
        <f aca="false">Z38*'Assumption Setting'!$J$56</f>
        <v>3.2</v>
      </c>
      <c r="AA41" s="81" t="n">
        <f aca="false">AA38*'Assumption Setting'!$J$56</f>
        <v>3.2</v>
      </c>
      <c r="AB41" s="80" t="n">
        <f aca="false">SUM(AC41:AN41)</f>
        <v>76.8</v>
      </c>
      <c r="AC41" s="81" t="n">
        <f aca="false">AC38*'Assumption Setting'!$J$56</f>
        <v>6.4</v>
      </c>
      <c r="AD41" s="81" t="n">
        <f aca="false">AD38*'Assumption Setting'!$J$56</f>
        <v>6.4</v>
      </c>
      <c r="AE41" s="81" t="n">
        <f aca="false">AE38*'Assumption Setting'!$J$56</f>
        <v>6.4</v>
      </c>
      <c r="AF41" s="81" t="n">
        <f aca="false">AF38*'Assumption Setting'!$J$56</f>
        <v>6.4</v>
      </c>
      <c r="AG41" s="81" t="n">
        <f aca="false">AG38*'Assumption Setting'!$J$56</f>
        <v>6.4</v>
      </c>
      <c r="AH41" s="81" t="n">
        <f aca="false">AH38*'Assumption Setting'!$J$56</f>
        <v>6.4</v>
      </c>
      <c r="AI41" s="81" t="n">
        <f aca="false">AI38*'Assumption Setting'!$J$56</f>
        <v>6.4</v>
      </c>
      <c r="AJ41" s="81" t="n">
        <f aca="false">AJ38*'Assumption Setting'!$J$56</f>
        <v>6.4</v>
      </c>
      <c r="AK41" s="81" t="n">
        <f aca="false">AK38*'Assumption Setting'!$J$56</f>
        <v>6.4</v>
      </c>
      <c r="AL41" s="81" t="n">
        <f aca="false">AL38*'Assumption Setting'!$J$56</f>
        <v>6.4</v>
      </c>
      <c r="AM41" s="81" t="n">
        <f aca="false">AM38*'Assumption Setting'!$J$56</f>
        <v>6.4</v>
      </c>
      <c r="AN41" s="81" t="n">
        <f aca="false">AN38*'Assumption Setting'!$J$56</f>
        <v>6.4</v>
      </c>
      <c r="AO41" s="80" t="n">
        <f aca="false">SUM(AP41:BA41)</f>
        <v>105.6</v>
      </c>
      <c r="AP41" s="81" t="n">
        <f aca="false">AP38*'Assumption Setting'!$J$56</f>
        <v>8.8</v>
      </c>
      <c r="AQ41" s="81" t="n">
        <f aca="false">AQ38*'Assumption Setting'!$J$56</f>
        <v>8.8</v>
      </c>
      <c r="AR41" s="81" t="n">
        <f aca="false">AR38*'Assumption Setting'!$J$56</f>
        <v>8.8</v>
      </c>
      <c r="AS41" s="81" t="n">
        <f aca="false">AS38*'Assumption Setting'!$J$56</f>
        <v>8.8</v>
      </c>
      <c r="AT41" s="81" t="n">
        <f aca="false">AT38*'Assumption Setting'!$J$56</f>
        <v>8.8</v>
      </c>
      <c r="AU41" s="81" t="n">
        <f aca="false">AU38*'Assumption Setting'!$J$56</f>
        <v>8.8</v>
      </c>
      <c r="AV41" s="81" t="n">
        <f aca="false">AV38*'Assumption Setting'!$J$56</f>
        <v>8.8</v>
      </c>
      <c r="AW41" s="81" t="n">
        <f aca="false">AW38*'Assumption Setting'!$J$56</f>
        <v>8.8</v>
      </c>
      <c r="AX41" s="81" t="n">
        <f aca="false">AX38*'Assumption Setting'!$J$56</f>
        <v>8.8</v>
      </c>
      <c r="AY41" s="81" t="n">
        <f aca="false">AY38*'Assumption Setting'!$J$56</f>
        <v>8.8</v>
      </c>
      <c r="AZ41" s="81" t="n">
        <f aca="false">AZ38*'Assumption Setting'!$J$56</f>
        <v>8.8</v>
      </c>
      <c r="BA41" s="81" t="n">
        <f aca="false">BA38*'Assumption Setting'!$J$56</f>
        <v>8.8</v>
      </c>
      <c r="BB41" s="80" t="n">
        <f aca="false">SUM(BC41:BN41)</f>
        <v>134.4</v>
      </c>
      <c r="BC41" s="81" t="n">
        <f aca="false">BC38*'Assumption Setting'!$J$56</f>
        <v>11.2</v>
      </c>
      <c r="BD41" s="81" t="n">
        <f aca="false">BD38*'Assumption Setting'!$J$56</f>
        <v>11.2</v>
      </c>
      <c r="BE41" s="81" t="n">
        <f aca="false">BE38*'Assumption Setting'!$J$56</f>
        <v>11.2</v>
      </c>
      <c r="BF41" s="81" t="n">
        <f aca="false">BF38*'Assumption Setting'!$J$56</f>
        <v>11.2</v>
      </c>
      <c r="BG41" s="81" t="n">
        <f aca="false">BG38*'Assumption Setting'!$J$56</f>
        <v>11.2</v>
      </c>
      <c r="BH41" s="81" t="n">
        <f aca="false">BH38*'Assumption Setting'!$J$56</f>
        <v>11.2</v>
      </c>
      <c r="BI41" s="81" t="n">
        <f aca="false">BI38*'Assumption Setting'!$J$56</f>
        <v>11.2</v>
      </c>
      <c r="BJ41" s="81" t="n">
        <f aca="false">BJ38*'Assumption Setting'!$J$56</f>
        <v>11.2</v>
      </c>
      <c r="BK41" s="81" t="n">
        <f aca="false">BK38*'Assumption Setting'!$J$56</f>
        <v>11.2</v>
      </c>
      <c r="BL41" s="81" t="n">
        <f aca="false">BL38*'Assumption Setting'!$J$56</f>
        <v>11.2</v>
      </c>
      <c r="BM41" s="81" t="n">
        <f aca="false">BM38*'Assumption Setting'!$J$56</f>
        <v>11.2</v>
      </c>
      <c r="BN41" s="81" t="n">
        <f aca="false">BN38*'Assumption Setting'!$J$56</f>
        <v>11.2</v>
      </c>
    </row>
    <row r="42" customFormat="false" ht="15" hidden="false" customHeight="false" outlineLevel="0" collapsed="false">
      <c r="A42" s="12" t="s">
        <v>257</v>
      </c>
      <c r="B42" s="80" t="n">
        <f aca="false">SUM(C42:N42)</f>
        <v>24</v>
      </c>
      <c r="C42" s="81" t="n">
        <f aca="false">'Assumption Setting'!$C$57</f>
        <v>2</v>
      </c>
      <c r="D42" s="81" t="n">
        <f aca="false">'Assumption Setting'!$C$57</f>
        <v>2</v>
      </c>
      <c r="E42" s="81" t="n">
        <f aca="false">'Assumption Setting'!$C$57</f>
        <v>2</v>
      </c>
      <c r="F42" s="81" t="n">
        <f aca="false">'Assumption Setting'!$C$57</f>
        <v>2</v>
      </c>
      <c r="G42" s="81" t="n">
        <f aca="false">'Assumption Setting'!$C$57</f>
        <v>2</v>
      </c>
      <c r="H42" s="81" t="n">
        <f aca="false">'Assumption Setting'!$C$57</f>
        <v>2</v>
      </c>
      <c r="I42" s="81" t="n">
        <f aca="false">'Assumption Setting'!$C$57</f>
        <v>2</v>
      </c>
      <c r="J42" s="81" t="n">
        <f aca="false">'Assumption Setting'!$C$57</f>
        <v>2</v>
      </c>
      <c r="K42" s="81" t="n">
        <f aca="false">'Assumption Setting'!$C$57</f>
        <v>2</v>
      </c>
      <c r="L42" s="81" t="n">
        <f aca="false">'Assumption Setting'!$C$57</f>
        <v>2</v>
      </c>
      <c r="M42" s="81" t="n">
        <f aca="false">'Assumption Setting'!$C$57</f>
        <v>2</v>
      </c>
      <c r="N42" s="81" t="n">
        <f aca="false">'Assumption Setting'!$C$57</f>
        <v>2</v>
      </c>
      <c r="O42" s="80" t="n">
        <f aca="false">SUM(P42:AA42)</f>
        <v>60</v>
      </c>
      <c r="P42" s="81" t="n">
        <f aca="false">'Assumption Setting'!$D$57</f>
        <v>5</v>
      </c>
      <c r="Q42" s="81" t="n">
        <f aca="false">'Assumption Setting'!$D$57</f>
        <v>5</v>
      </c>
      <c r="R42" s="81" t="n">
        <f aca="false">'Assumption Setting'!$D$57</f>
        <v>5</v>
      </c>
      <c r="S42" s="81" t="n">
        <f aca="false">'Assumption Setting'!$D$57</f>
        <v>5</v>
      </c>
      <c r="T42" s="81" t="n">
        <f aca="false">'Assumption Setting'!$D$57</f>
        <v>5</v>
      </c>
      <c r="U42" s="81" t="n">
        <f aca="false">'Assumption Setting'!$D$57</f>
        <v>5</v>
      </c>
      <c r="V42" s="81" t="n">
        <f aca="false">'Assumption Setting'!$D$57</f>
        <v>5</v>
      </c>
      <c r="W42" s="81" t="n">
        <f aca="false">'Assumption Setting'!$D$57</f>
        <v>5</v>
      </c>
      <c r="X42" s="81" t="n">
        <f aca="false">'Assumption Setting'!$D$57</f>
        <v>5</v>
      </c>
      <c r="Y42" s="81" t="n">
        <f aca="false">'Assumption Setting'!$D$57</f>
        <v>5</v>
      </c>
      <c r="Z42" s="81" t="n">
        <f aca="false">'Assumption Setting'!$D$57</f>
        <v>5</v>
      </c>
      <c r="AA42" s="81" t="n">
        <f aca="false">'Assumption Setting'!$D$57</f>
        <v>5</v>
      </c>
      <c r="AB42" s="80" t="n">
        <f aca="false">SUM(AC42:AN42)</f>
        <v>108</v>
      </c>
      <c r="AC42" s="81" t="n">
        <f aca="false">'Assumption Setting'!$E$57</f>
        <v>9</v>
      </c>
      <c r="AD42" s="81" t="n">
        <f aca="false">'Assumption Setting'!$E$57</f>
        <v>9</v>
      </c>
      <c r="AE42" s="81" t="n">
        <f aca="false">'Assumption Setting'!$E$57</f>
        <v>9</v>
      </c>
      <c r="AF42" s="81" t="n">
        <f aca="false">'Assumption Setting'!$E$57</f>
        <v>9</v>
      </c>
      <c r="AG42" s="81" t="n">
        <f aca="false">'Assumption Setting'!$E$57</f>
        <v>9</v>
      </c>
      <c r="AH42" s="81" t="n">
        <f aca="false">'Assumption Setting'!$E$57</f>
        <v>9</v>
      </c>
      <c r="AI42" s="81" t="n">
        <f aca="false">'Assumption Setting'!$E$57</f>
        <v>9</v>
      </c>
      <c r="AJ42" s="81" t="n">
        <f aca="false">'Assumption Setting'!$E$57</f>
        <v>9</v>
      </c>
      <c r="AK42" s="81" t="n">
        <f aca="false">'Assumption Setting'!$E$57</f>
        <v>9</v>
      </c>
      <c r="AL42" s="81" t="n">
        <f aca="false">'Assumption Setting'!$E$57</f>
        <v>9</v>
      </c>
      <c r="AM42" s="81" t="n">
        <f aca="false">'Assumption Setting'!$E$57</f>
        <v>9</v>
      </c>
      <c r="AN42" s="81" t="n">
        <f aca="false">'Assumption Setting'!$E$57</f>
        <v>9</v>
      </c>
      <c r="AO42" s="80" t="n">
        <f aca="false">SUM(AP42:BA42)</f>
        <v>144</v>
      </c>
      <c r="AP42" s="81" t="n">
        <f aca="false">'Assumption Setting'!$F$57</f>
        <v>12</v>
      </c>
      <c r="AQ42" s="81" t="n">
        <f aca="false">'Assumption Setting'!$F$57</f>
        <v>12</v>
      </c>
      <c r="AR42" s="81" t="n">
        <f aca="false">'Assumption Setting'!$F$57</f>
        <v>12</v>
      </c>
      <c r="AS42" s="81" t="n">
        <f aca="false">'Assumption Setting'!$F$57</f>
        <v>12</v>
      </c>
      <c r="AT42" s="81" t="n">
        <f aca="false">'Assumption Setting'!$F$57</f>
        <v>12</v>
      </c>
      <c r="AU42" s="81" t="n">
        <f aca="false">'Assumption Setting'!$F$57</f>
        <v>12</v>
      </c>
      <c r="AV42" s="81" t="n">
        <f aca="false">'Assumption Setting'!$F$57</f>
        <v>12</v>
      </c>
      <c r="AW42" s="81" t="n">
        <f aca="false">'Assumption Setting'!$F$57</f>
        <v>12</v>
      </c>
      <c r="AX42" s="81" t="n">
        <f aca="false">'Assumption Setting'!$F$57</f>
        <v>12</v>
      </c>
      <c r="AY42" s="81" t="n">
        <f aca="false">'Assumption Setting'!$F$57</f>
        <v>12</v>
      </c>
      <c r="AZ42" s="81" t="n">
        <f aca="false">'Assumption Setting'!$F$57</f>
        <v>12</v>
      </c>
      <c r="BA42" s="81" t="n">
        <f aca="false">'Assumption Setting'!$F$57</f>
        <v>12</v>
      </c>
      <c r="BB42" s="80" t="n">
        <f aca="false">SUM(BC42:BN42)</f>
        <v>180</v>
      </c>
      <c r="BC42" s="81" t="n">
        <f aca="false">'Assumption Setting'!$G$57</f>
        <v>15</v>
      </c>
      <c r="BD42" s="81" t="n">
        <f aca="false">'Assumption Setting'!$G$57</f>
        <v>15</v>
      </c>
      <c r="BE42" s="81" t="n">
        <f aca="false">'Assumption Setting'!$G$57</f>
        <v>15</v>
      </c>
      <c r="BF42" s="81" t="n">
        <f aca="false">'Assumption Setting'!$G$57</f>
        <v>15</v>
      </c>
      <c r="BG42" s="81" t="n">
        <f aca="false">'Assumption Setting'!$G$57</f>
        <v>15</v>
      </c>
      <c r="BH42" s="81" t="n">
        <f aca="false">'Assumption Setting'!$G$57</f>
        <v>15</v>
      </c>
      <c r="BI42" s="81" t="n">
        <f aca="false">'Assumption Setting'!$G$57</f>
        <v>15</v>
      </c>
      <c r="BJ42" s="81" t="n">
        <f aca="false">'Assumption Setting'!$G$57</f>
        <v>15</v>
      </c>
      <c r="BK42" s="81" t="n">
        <f aca="false">'Assumption Setting'!$G$57</f>
        <v>15</v>
      </c>
      <c r="BL42" s="81" t="n">
        <f aca="false">'Assumption Setting'!$G$57</f>
        <v>15</v>
      </c>
      <c r="BM42" s="81" t="n">
        <f aca="false">'Assumption Setting'!$G$57</f>
        <v>15</v>
      </c>
      <c r="BN42" s="81" t="n">
        <f aca="false">'Assumption Setting'!$G$57</f>
        <v>15</v>
      </c>
    </row>
    <row r="43" customFormat="false" ht="15" hidden="false" customHeight="false" outlineLevel="0" collapsed="false">
      <c r="A43" s="12" t="s">
        <v>604</v>
      </c>
      <c r="B43" s="64" t="n">
        <f aca="false">SUM(C43:N43)</f>
        <v>1920</v>
      </c>
      <c r="C43" s="65" t="n">
        <f aca="false">C42*'Assumption Setting'!$H$57</f>
        <v>160</v>
      </c>
      <c r="D43" s="65" t="n">
        <f aca="false">D42*'Assumption Setting'!$H$57</f>
        <v>160</v>
      </c>
      <c r="E43" s="65" t="n">
        <f aca="false">E42*'Assumption Setting'!$H$57</f>
        <v>160</v>
      </c>
      <c r="F43" s="65" t="n">
        <f aca="false">F42*'Assumption Setting'!$H$57</f>
        <v>160</v>
      </c>
      <c r="G43" s="65" t="n">
        <f aca="false">G42*'Assumption Setting'!$H$57</f>
        <v>160</v>
      </c>
      <c r="H43" s="65" t="n">
        <f aca="false">H42*'Assumption Setting'!$H$57</f>
        <v>160</v>
      </c>
      <c r="I43" s="65" t="n">
        <f aca="false">I42*'Assumption Setting'!$H$57</f>
        <v>160</v>
      </c>
      <c r="J43" s="65" t="n">
        <f aca="false">J42*'Assumption Setting'!$H$57</f>
        <v>160</v>
      </c>
      <c r="K43" s="65" t="n">
        <f aca="false">K42*'Assumption Setting'!$H$57</f>
        <v>160</v>
      </c>
      <c r="L43" s="65" t="n">
        <f aca="false">L42*'Assumption Setting'!$H$57</f>
        <v>160</v>
      </c>
      <c r="M43" s="65" t="n">
        <f aca="false">M42*'Assumption Setting'!$H$57</f>
        <v>160</v>
      </c>
      <c r="N43" s="65" t="n">
        <f aca="false">N42*'Assumption Setting'!$H$57</f>
        <v>160</v>
      </c>
      <c r="O43" s="64" t="n">
        <f aca="false">SUM(P43:AA43)</f>
        <v>4800</v>
      </c>
      <c r="P43" s="65" t="n">
        <f aca="false">P42*'Assumption Setting'!$H$57</f>
        <v>400</v>
      </c>
      <c r="Q43" s="65" t="n">
        <f aca="false">Q42*'Assumption Setting'!$H$57</f>
        <v>400</v>
      </c>
      <c r="R43" s="65" t="n">
        <f aca="false">R42*'Assumption Setting'!$H$57</f>
        <v>400</v>
      </c>
      <c r="S43" s="65" t="n">
        <f aca="false">S42*'Assumption Setting'!$H$57</f>
        <v>400</v>
      </c>
      <c r="T43" s="65" t="n">
        <f aca="false">T42*'Assumption Setting'!$H$57</f>
        <v>400</v>
      </c>
      <c r="U43" s="65" t="n">
        <f aca="false">U42*'Assumption Setting'!$H$57</f>
        <v>400</v>
      </c>
      <c r="V43" s="65" t="n">
        <f aca="false">V42*'Assumption Setting'!$H$57</f>
        <v>400</v>
      </c>
      <c r="W43" s="65" t="n">
        <f aca="false">W42*'Assumption Setting'!$H$57</f>
        <v>400</v>
      </c>
      <c r="X43" s="65" t="n">
        <f aca="false">X42*'Assumption Setting'!$H$57</f>
        <v>400</v>
      </c>
      <c r="Y43" s="65" t="n">
        <f aca="false">Y42*'Assumption Setting'!$H$57</f>
        <v>400</v>
      </c>
      <c r="Z43" s="65" t="n">
        <f aca="false">Z42*'Assumption Setting'!$H$57</f>
        <v>400</v>
      </c>
      <c r="AA43" s="65" t="n">
        <f aca="false">AA42*'Assumption Setting'!$H$57</f>
        <v>400</v>
      </c>
      <c r="AB43" s="64" t="n">
        <f aca="false">SUM(AC43:AN43)</f>
        <v>8640</v>
      </c>
      <c r="AC43" s="65" t="n">
        <f aca="false">AC42*'Assumption Setting'!$H$57</f>
        <v>720</v>
      </c>
      <c r="AD43" s="65" t="n">
        <f aca="false">AD42*'Assumption Setting'!$H$57</f>
        <v>720</v>
      </c>
      <c r="AE43" s="65" t="n">
        <f aca="false">AE42*'Assumption Setting'!$H$57</f>
        <v>720</v>
      </c>
      <c r="AF43" s="65" t="n">
        <f aca="false">AF42*'Assumption Setting'!$H$57</f>
        <v>720</v>
      </c>
      <c r="AG43" s="65" t="n">
        <f aca="false">AG42*'Assumption Setting'!$H$57</f>
        <v>720</v>
      </c>
      <c r="AH43" s="65" t="n">
        <f aca="false">AH42*'Assumption Setting'!$H$57</f>
        <v>720</v>
      </c>
      <c r="AI43" s="65" t="n">
        <f aca="false">AI42*'Assumption Setting'!$H$57</f>
        <v>720</v>
      </c>
      <c r="AJ43" s="65" t="n">
        <f aca="false">AJ42*'Assumption Setting'!$H$57</f>
        <v>720</v>
      </c>
      <c r="AK43" s="65" t="n">
        <f aca="false">AK42*'Assumption Setting'!$H$57</f>
        <v>720</v>
      </c>
      <c r="AL43" s="65" t="n">
        <f aca="false">AL42*'Assumption Setting'!$H$57</f>
        <v>720</v>
      </c>
      <c r="AM43" s="65" t="n">
        <f aca="false">AM42*'Assumption Setting'!$H$57</f>
        <v>720</v>
      </c>
      <c r="AN43" s="65" t="n">
        <f aca="false">AN42*'Assumption Setting'!$H$57</f>
        <v>720</v>
      </c>
      <c r="AO43" s="64" t="n">
        <f aca="false">SUM(AP43:BA43)</f>
        <v>11520</v>
      </c>
      <c r="AP43" s="65" t="n">
        <f aca="false">AP42*'Assumption Setting'!$H$57</f>
        <v>960</v>
      </c>
      <c r="AQ43" s="65" t="n">
        <f aca="false">AQ42*'Assumption Setting'!$H$57</f>
        <v>960</v>
      </c>
      <c r="AR43" s="65" t="n">
        <f aca="false">AR42*'Assumption Setting'!$H$57</f>
        <v>960</v>
      </c>
      <c r="AS43" s="65" t="n">
        <f aca="false">AS42*'Assumption Setting'!$H$57</f>
        <v>960</v>
      </c>
      <c r="AT43" s="65" t="n">
        <f aca="false">AT42*'Assumption Setting'!$H$57</f>
        <v>960</v>
      </c>
      <c r="AU43" s="65" t="n">
        <f aca="false">AU42*'Assumption Setting'!$H$57</f>
        <v>960</v>
      </c>
      <c r="AV43" s="65" t="n">
        <f aca="false">AV42*'Assumption Setting'!$H$57</f>
        <v>960</v>
      </c>
      <c r="AW43" s="65" t="n">
        <f aca="false">AW42*'Assumption Setting'!$H$57</f>
        <v>960</v>
      </c>
      <c r="AX43" s="65" t="n">
        <f aca="false">AX42*'Assumption Setting'!$H$57</f>
        <v>960</v>
      </c>
      <c r="AY43" s="65" t="n">
        <f aca="false">AY42*'Assumption Setting'!$H$57</f>
        <v>960</v>
      </c>
      <c r="AZ43" s="65" t="n">
        <f aca="false">AZ42*'Assumption Setting'!$H$57</f>
        <v>960</v>
      </c>
      <c r="BA43" s="65" t="n">
        <f aca="false">BA42*'Assumption Setting'!$H$57</f>
        <v>960</v>
      </c>
      <c r="BB43" s="64" t="n">
        <f aca="false">SUM(BC43:BN43)</f>
        <v>14400</v>
      </c>
      <c r="BC43" s="65" t="n">
        <f aca="false">BC42*'Assumption Setting'!$H$57</f>
        <v>1200</v>
      </c>
      <c r="BD43" s="65" t="n">
        <f aca="false">BD42*'Assumption Setting'!$H$57</f>
        <v>1200</v>
      </c>
      <c r="BE43" s="65" t="n">
        <f aca="false">BE42*'Assumption Setting'!$H$57</f>
        <v>1200</v>
      </c>
      <c r="BF43" s="65" t="n">
        <f aca="false">BF42*'Assumption Setting'!$H$57</f>
        <v>1200</v>
      </c>
      <c r="BG43" s="65" t="n">
        <f aca="false">BG42*'Assumption Setting'!$H$57</f>
        <v>1200</v>
      </c>
      <c r="BH43" s="65" t="n">
        <f aca="false">BH42*'Assumption Setting'!$H$57</f>
        <v>1200</v>
      </c>
      <c r="BI43" s="65" t="n">
        <f aca="false">BI42*'Assumption Setting'!$H$57</f>
        <v>1200</v>
      </c>
      <c r="BJ43" s="65" t="n">
        <f aca="false">BJ42*'Assumption Setting'!$H$57</f>
        <v>1200</v>
      </c>
      <c r="BK43" s="65" t="n">
        <f aca="false">BK42*'Assumption Setting'!$H$57</f>
        <v>1200</v>
      </c>
      <c r="BL43" s="65" t="n">
        <f aca="false">BL42*'Assumption Setting'!$H$57</f>
        <v>1200</v>
      </c>
      <c r="BM43" s="65" t="n">
        <f aca="false">BM42*'Assumption Setting'!$H$57</f>
        <v>1200</v>
      </c>
      <c r="BN43" s="65" t="n">
        <f aca="false">BN42*'Assumption Setting'!$H$57</f>
        <v>1200</v>
      </c>
    </row>
    <row r="44" customFormat="false" ht="15" hidden="false" customHeight="false" outlineLevel="0" collapsed="false">
      <c r="A44" s="12" t="s">
        <v>605</v>
      </c>
      <c r="B44" s="78" t="n">
        <f aca="false">SUM(C44:N44)</f>
        <v>528</v>
      </c>
      <c r="C44" s="79" t="n">
        <f aca="false">C42*'Assumption Setting'!$I$57</f>
        <v>44</v>
      </c>
      <c r="D44" s="79" t="n">
        <f aca="false">D42*'Assumption Setting'!$I$57</f>
        <v>44</v>
      </c>
      <c r="E44" s="79" t="n">
        <f aca="false">E42*'Assumption Setting'!$I$57</f>
        <v>44</v>
      </c>
      <c r="F44" s="79" t="n">
        <f aca="false">F42*'Assumption Setting'!$I$57</f>
        <v>44</v>
      </c>
      <c r="G44" s="79" t="n">
        <f aca="false">G42*'Assumption Setting'!$I$57</f>
        <v>44</v>
      </c>
      <c r="H44" s="79" t="n">
        <f aca="false">H42*'Assumption Setting'!$I$57</f>
        <v>44</v>
      </c>
      <c r="I44" s="79" t="n">
        <f aca="false">I42*'Assumption Setting'!$I$57</f>
        <v>44</v>
      </c>
      <c r="J44" s="79" t="n">
        <f aca="false">J42*'Assumption Setting'!$I$57</f>
        <v>44</v>
      </c>
      <c r="K44" s="79" t="n">
        <f aca="false">K42*'Assumption Setting'!$I$57</f>
        <v>44</v>
      </c>
      <c r="L44" s="79" t="n">
        <f aca="false">L42*'Assumption Setting'!$I$57</f>
        <v>44</v>
      </c>
      <c r="M44" s="79" t="n">
        <f aca="false">M42*'Assumption Setting'!$I$57</f>
        <v>44</v>
      </c>
      <c r="N44" s="79" t="n">
        <f aca="false">N42*'Assumption Setting'!$I$57</f>
        <v>44</v>
      </c>
      <c r="O44" s="78" t="n">
        <f aca="false">SUM(P44:AA44)</f>
        <v>1320</v>
      </c>
      <c r="P44" s="79" t="n">
        <f aca="false">P42*'Assumption Setting'!$I$57</f>
        <v>110</v>
      </c>
      <c r="Q44" s="79" t="n">
        <f aca="false">Q42*'Assumption Setting'!$I$57</f>
        <v>110</v>
      </c>
      <c r="R44" s="79" t="n">
        <f aca="false">R42*'Assumption Setting'!$I$57</f>
        <v>110</v>
      </c>
      <c r="S44" s="79" t="n">
        <f aca="false">S42*'Assumption Setting'!$I$57</f>
        <v>110</v>
      </c>
      <c r="T44" s="79" t="n">
        <f aca="false">T42*'Assumption Setting'!$I$57</f>
        <v>110</v>
      </c>
      <c r="U44" s="79" t="n">
        <f aca="false">U42*'Assumption Setting'!$I$57</f>
        <v>110</v>
      </c>
      <c r="V44" s="79" t="n">
        <f aca="false">V42*'Assumption Setting'!$I$57</f>
        <v>110</v>
      </c>
      <c r="W44" s="79" t="n">
        <f aca="false">W42*'Assumption Setting'!$I$57</f>
        <v>110</v>
      </c>
      <c r="X44" s="79" t="n">
        <f aca="false">X42*'Assumption Setting'!$I$57</f>
        <v>110</v>
      </c>
      <c r="Y44" s="79" t="n">
        <f aca="false">Y42*'Assumption Setting'!$I$57</f>
        <v>110</v>
      </c>
      <c r="Z44" s="79" t="n">
        <f aca="false">Z42*'Assumption Setting'!$I$57</f>
        <v>110</v>
      </c>
      <c r="AA44" s="79" t="n">
        <f aca="false">AA42*'Assumption Setting'!$I$57</f>
        <v>110</v>
      </c>
      <c r="AB44" s="78" t="n">
        <f aca="false">SUM(AC44:AN44)</f>
        <v>2376</v>
      </c>
      <c r="AC44" s="79" t="n">
        <f aca="false">AC42*'Assumption Setting'!$I$57</f>
        <v>198</v>
      </c>
      <c r="AD44" s="79" t="n">
        <f aca="false">AD42*'Assumption Setting'!$I$57</f>
        <v>198</v>
      </c>
      <c r="AE44" s="79" t="n">
        <f aca="false">AE42*'Assumption Setting'!$I$57</f>
        <v>198</v>
      </c>
      <c r="AF44" s="79" t="n">
        <f aca="false">AF42*'Assumption Setting'!$I$57</f>
        <v>198</v>
      </c>
      <c r="AG44" s="79" t="n">
        <f aca="false">AG42*'Assumption Setting'!$I$57</f>
        <v>198</v>
      </c>
      <c r="AH44" s="79" t="n">
        <f aca="false">AH42*'Assumption Setting'!$I$57</f>
        <v>198</v>
      </c>
      <c r="AI44" s="79" t="n">
        <f aca="false">AI42*'Assumption Setting'!$I$57</f>
        <v>198</v>
      </c>
      <c r="AJ44" s="79" t="n">
        <f aca="false">AJ42*'Assumption Setting'!$I$57</f>
        <v>198</v>
      </c>
      <c r="AK44" s="79" t="n">
        <f aca="false">AK42*'Assumption Setting'!$I$57</f>
        <v>198</v>
      </c>
      <c r="AL44" s="79" t="n">
        <f aca="false">AL42*'Assumption Setting'!$I$57</f>
        <v>198</v>
      </c>
      <c r="AM44" s="79" t="n">
        <f aca="false">AM42*'Assumption Setting'!$I$57</f>
        <v>198</v>
      </c>
      <c r="AN44" s="79" t="n">
        <f aca="false">AN42*'Assumption Setting'!$I$57</f>
        <v>198</v>
      </c>
      <c r="AO44" s="78" t="n">
        <f aca="false">SUM(AP44:BA44)</f>
        <v>3168</v>
      </c>
      <c r="AP44" s="79" t="n">
        <f aca="false">AP42*'Assumption Setting'!$I$57</f>
        <v>264</v>
      </c>
      <c r="AQ44" s="79" t="n">
        <f aca="false">AQ42*'Assumption Setting'!$I$57</f>
        <v>264</v>
      </c>
      <c r="AR44" s="79" t="n">
        <f aca="false">AR42*'Assumption Setting'!$I$57</f>
        <v>264</v>
      </c>
      <c r="AS44" s="79" t="n">
        <f aca="false">AS42*'Assumption Setting'!$I$57</f>
        <v>264</v>
      </c>
      <c r="AT44" s="79" t="n">
        <f aca="false">AT42*'Assumption Setting'!$I$57</f>
        <v>264</v>
      </c>
      <c r="AU44" s="79" t="n">
        <f aca="false">AU42*'Assumption Setting'!$I$57</f>
        <v>264</v>
      </c>
      <c r="AV44" s="79" t="n">
        <f aca="false">AV42*'Assumption Setting'!$I$57</f>
        <v>264</v>
      </c>
      <c r="AW44" s="79" t="n">
        <f aca="false">AW42*'Assumption Setting'!$I$57</f>
        <v>264</v>
      </c>
      <c r="AX44" s="79" t="n">
        <f aca="false">AX42*'Assumption Setting'!$I$57</f>
        <v>264</v>
      </c>
      <c r="AY44" s="79" t="n">
        <f aca="false">AY42*'Assumption Setting'!$I$57</f>
        <v>264</v>
      </c>
      <c r="AZ44" s="79" t="n">
        <f aca="false">AZ42*'Assumption Setting'!$I$57</f>
        <v>264</v>
      </c>
      <c r="BA44" s="79" t="n">
        <f aca="false">BA42*'Assumption Setting'!$I$57</f>
        <v>264</v>
      </c>
      <c r="BB44" s="78" t="n">
        <f aca="false">SUM(BC44:BN44)</f>
        <v>3960</v>
      </c>
      <c r="BC44" s="79" t="n">
        <f aca="false">BC42*'Assumption Setting'!$I$57</f>
        <v>330</v>
      </c>
      <c r="BD44" s="79" t="n">
        <f aca="false">BD42*'Assumption Setting'!$I$57</f>
        <v>330</v>
      </c>
      <c r="BE44" s="79" t="n">
        <f aca="false">BE42*'Assumption Setting'!$I$57</f>
        <v>330</v>
      </c>
      <c r="BF44" s="79" t="n">
        <f aca="false">BF42*'Assumption Setting'!$I$57</f>
        <v>330</v>
      </c>
      <c r="BG44" s="79" t="n">
        <f aca="false">BG42*'Assumption Setting'!$I$57</f>
        <v>330</v>
      </c>
      <c r="BH44" s="79" t="n">
        <f aca="false">BH42*'Assumption Setting'!$I$57</f>
        <v>330</v>
      </c>
      <c r="BI44" s="79" t="n">
        <f aca="false">BI42*'Assumption Setting'!$I$57</f>
        <v>330</v>
      </c>
      <c r="BJ44" s="79" t="n">
        <f aca="false">BJ42*'Assumption Setting'!$I$57</f>
        <v>330</v>
      </c>
      <c r="BK44" s="79" t="n">
        <f aca="false">BK42*'Assumption Setting'!$I$57</f>
        <v>330</v>
      </c>
      <c r="BL44" s="79" t="n">
        <f aca="false">BL42*'Assumption Setting'!$I$57</f>
        <v>330</v>
      </c>
      <c r="BM44" s="79" t="n">
        <f aca="false">BM42*'Assumption Setting'!$I$57</f>
        <v>330</v>
      </c>
      <c r="BN44" s="79" t="n">
        <f aca="false">BN42*'Assumption Setting'!$I$57</f>
        <v>330</v>
      </c>
    </row>
    <row r="45" customFormat="false" ht="15" hidden="false" customHeight="false" outlineLevel="0" collapsed="false">
      <c r="A45" s="12" t="s">
        <v>606</v>
      </c>
      <c r="B45" s="80" t="n">
        <f aca="false">SUM(C45:N45)</f>
        <v>7.2</v>
      </c>
      <c r="C45" s="81" t="n">
        <f aca="false">C42*'Assumption Setting'!$J$57</f>
        <v>0.6</v>
      </c>
      <c r="D45" s="81" t="n">
        <f aca="false">D42*'Assumption Setting'!$J$57</f>
        <v>0.6</v>
      </c>
      <c r="E45" s="81" t="n">
        <f aca="false">E42*'Assumption Setting'!$J$57</f>
        <v>0.6</v>
      </c>
      <c r="F45" s="81" t="n">
        <f aca="false">F42*'Assumption Setting'!$J$57</f>
        <v>0.6</v>
      </c>
      <c r="G45" s="81" t="n">
        <f aca="false">G42*'Assumption Setting'!$J$57</f>
        <v>0.6</v>
      </c>
      <c r="H45" s="81" t="n">
        <f aca="false">H42*'Assumption Setting'!$J$57</f>
        <v>0.6</v>
      </c>
      <c r="I45" s="81" t="n">
        <f aca="false">I42*'Assumption Setting'!$J$57</f>
        <v>0.6</v>
      </c>
      <c r="J45" s="81" t="n">
        <f aca="false">J42*'Assumption Setting'!$J$57</f>
        <v>0.6</v>
      </c>
      <c r="K45" s="81" t="n">
        <f aca="false">K42*'Assumption Setting'!$J$57</f>
        <v>0.6</v>
      </c>
      <c r="L45" s="81" t="n">
        <f aca="false">L42*'Assumption Setting'!$J$57</f>
        <v>0.6</v>
      </c>
      <c r="M45" s="81" t="n">
        <f aca="false">M42*'Assumption Setting'!$J$57</f>
        <v>0.6</v>
      </c>
      <c r="N45" s="81" t="n">
        <f aca="false">N42*'Assumption Setting'!$J$57</f>
        <v>0.6</v>
      </c>
      <c r="O45" s="80" t="n">
        <f aca="false">SUM(P45:AA45)</f>
        <v>18</v>
      </c>
      <c r="P45" s="81" t="n">
        <f aca="false">P42*'Assumption Setting'!$J$57</f>
        <v>1.5</v>
      </c>
      <c r="Q45" s="81" t="n">
        <f aca="false">Q42*'Assumption Setting'!$J$57</f>
        <v>1.5</v>
      </c>
      <c r="R45" s="81" t="n">
        <f aca="false">R42*'Assumption Setting'!$J$57</f>
        <v>1.5</v>
      </c>
      <c r="S45" s="81" t="n">
        <f aca="false">S42*'Assumption Setting'!$J$57</f>
        <v>1.5</v>
      </c>
      <c r="T45" s="81" t="n">
        <f aca="false">T42*'Assumption Setting'!$J$57</f>
        <v>1.5</v>
      </c>
      <c r="U45" s="81" t="n">
        <f aca="false">U42*'Assumption Setting'!$J$57</f>
        <v>1.5</v>
      </c>
      <c r="V45" s="81" t="n">
        <f aca="false">V42*'Assumption Setting'!$J$57</f>
        <v>1.5</v>
      </c>
      <c r="W45" s="81" t="n">
        <f aca="false">W42*'Assumption Setting'!$J$57</f>
        <v>1.5</v>
      </c>
      <c r="X45" s="81" t="n">
        <f aca="false">X42*'Assumption Setting'!$J$57</f>
        <v>1.5</v>
      </c>
      <c r="Y45" s="81" t="n">
        <f aca="false">Y42*'Assumption Setting'!$J$57</f>
        <v>1.5</v>
      </c>
      <c r="Z45" s="81" t="n">
        <f aca="false">Z42*'Assumption Setting'!$J$57</f>
        <v>1.5</v>
      </c>
      <c r="AA45" s="81" t="n">
        <f aca="false">AA42*'Assumption Setting'!$J$57</f>
        <v>1.5</v>
      </c>
      <c r="AB45" s="80" t="n">
        <f aca="false">SUM(AC45:AN45)</f>
        <v>32.4</v>
      </c>
      <c r="AC45" s="81" t="n">
        <f aca="false">AC42*'Assumption Setting'!$J$57</f>
        <v>2.7</v>
      </c>
      <c r="AD45" s="81" t="n">
        <f aca="false">AD42*'Assumption Setting'!$J$57</f>
        <v>2.7</v>
      </c>
      <c r="AE45" s="81" t="n">
        <f aca="false">AE42*'Assumption Setting'!$J$57</f>
        <v>2.7</v>
      </c>
      <c r="AF45" s="81" t="n">
        <f aca="false">AF42*'Assumption Setting'!$J$57</f>
        <v>2.7</v>
      </c>
      <c r="AG45" s="81" t="n">
        <f aca="false">AG42*'Assumption Setting'!$J$57</f>
        <v>2.7</v>
      </c>
      <c r="AH45" s="81" t="n">
        <f aca="false">AH42*'Assumption Setting'!$J$57</f>
        <v>2.7</v>
      </c>
      <c r="AI45" s="81" t="n">
        <f aca="false">AI42*'Assumption Setting'!$J$57</f>
        <v>2.7</v>
      </c>
      <c r="AJ45" s="81" t="n">
        <f aca="false">AJ42*'Assumption Setting'!$J$57</f>
        <v>2.7</v>
      </c>
      <c r="AK45" s="81" t="n">
        <f aca="false">AK42*'Assumption Setting'!$J$57</f>
        <v>2.7</v>
      </c>
      <c r="AL45" s="81" t="n">
        <f aca="false">AL42*'Assumption Setting'!$J$57</f>
        <v>2.7</v>
      </c>
      <c r="AM45" s="81" t="n">
        <f aca="false">AM42*'Assumption Setting'!$J$57</f>
        <v>2.7</v>
      </c>
      <c r="AN45" s="81" t="n">
        <f aca="false">AN42*'Assumption Setting'!$J$57</f>
        <v>2.7</v>
      </c>
      <c r="AO45" s="80" t="n">
        <f aca="false">SUM(AP45:BA45)</f>
        <v>43.2</v>
      </c>
      <c r="AP45" s="81" t="n">
        <f aca="false">AP42*'Assumption Setting'!$J$57</f>
        <v>3.6</v>
      </c>
      <c r="AQ45" s="81" t="n">
        <f aca="false">AQ42*'Assumption Setting'!$J$57</f>
        <v>3.6</v>
      </c>
      <c r="AR45" s="81" t="n">
        <f aca="false">AR42*'Assumption Setting'!$J$57</f>
        <v>3.6</v>
      </c>
      <c r="AS45" s="81" t="n">
        <f aca="false">AS42*'Assumption Setting'!$J$57</f>
        <v>3.6</v>
      </c>
      <c r="AT45" s="81" t="n">
        <f aca="false">AT42*'Assumption Setting'!$J$57</f>
        <v>3.6</v>
      </c>
      <c r="AU45" s="81" t="n">
        <f aca="false">AU42*'Assumption Setting'!$J$57</f>
        <v>3.6</v>
      </c>
      <c r="AV45" s="81" t="n">
        <f aca="false">AV42*'Assumption Setting'!$J$57</f>
        <v>3.6</v>
      </c>
      <c r="AW45" s="81" t="n">
        <f aca="false">AW42*'Assumption Setting'!$J$57</f>
        <v>3.6</v>
      </c>
      <c r="AX45" s="81" t="n">
        <f aca="false">AX42*'Assumption Setting'!$J$57</f>
        <v>3.6</v>
      </c>
      <c r="AY45" s="81" t="n">
        <f aca="false">AY42*'Assumption Setting'!$J$57</f>
        <v>3.6</v>
      </c>
      <c r="AZ45" s="81" t="n">
        <f aca="false">AZ42*'Assumption Setting'!$J$57</f>
        <v>3.6</v>
      </c>
      <c r="BA45" s="81" t="n">
        <f aca="false">BA42*'Assumption Setting'!$J$57</f>
        <v>3.6</v>
      </c>
      <c r="BB45" s="80" t="n">
        <f aca="false">SUM(BC45:BN45)</f>
        <v>54</v>
      </c>
      <c r="BC45" s="81" t="n">
        <f aca="false">BC42*'Assumption Setting'!$J$57</f>
        <v>4.5</v>
      </c>
      <c r="BD45" s="81" t="n">
        <f aca="false">BD42*'Assumption Setting'!$J$57</f>
        <v>4.5</v>
      </c>
      <c r="BE45" s="81" t="n">
        <f aca="false">BE42*'Assumption Setting'!$J$57</f>
        <v>4.5</v>
      </c>
      <c r="BF45" s="81" t="n">
        <f aca="false">BF42*'Assumption Setting'!$J$57</f>
        <v>4.5</v>
      </c>
      <c r="BG45" s="81" t="n">
        <f aca="false">BG42*'Assumption Setting'!$J$57</f>
        <v>4.5</v>
      </c>
      <c r="BH45" s="81" t="n">
        <f aca="false">BH42*'Assumption Setting'!$J$57</f>
        <v>4.5</v>
      </c>
      <c r="BI45" s="81" t="n">
        <f aca="false">BI42*'Assumption Setting'!$J$57</f>
        <v>4.5</v>
      </c>
      <c r="BJ45" s="81" t="n">
        <f aca="false">BJ42*'Assumption Setting'!$J$57</f>
        <v>4.5</v>
      </c>
      <c r="BK45" s="81" t="n">
        <f aca="false">BK42*'Assumption Setting'!$J$57</f>
        <v>4.5</v>
      </c>
      <c r="BL45" s="81" t="n">
        <f aca="false">BL42*'Assumption Setting'!$J$57</f>
        <v>4.5</v>
      </c>
      <c r="BM45" s="81" t="n">
        <f aca="false">BM42*'Assumption Setting'!$J$57</f>
        <v>4.5</v>
      </c>
      <c r="BN45" s="81" t="n">
        <f aca="false">BN42*'Assumption Setting'!$J$57</f>
        <v>4.5</v>
      </c>
    </row>
    <row r="46" customFormat="false" ht="15" hidden="false" customHeight="false" outlineLevel="0" collapsed="false">
      <c r="A46" s="12" t="s">
        <v>259</v>
      </c>
      <c r="B46" s="80" t="n">
        <f aca="false">SUM(C46:N46)</f>
        <v>2.4</v>
      </c>
      <c r="C46" s="81" t="n">
        <f aca="false">'Assumption Setting'!$C$58</f>
        <v>0.2</v>
      </c>
      <c r="D46" s="81" t="n">
        <f aca="false">'Assumption Setting'!$C$58</f>
        <v>0.2</v>
      </c>
      <c r="E46" s="81" t="n">
        <f aca="false">'Assumption Setting'!$C$58</f>
        <v>0.2</v>
      </c>
      <c r="F46" s="81" t="n">
        <f aca="false">'Assumption Setting'!$C$58</f>
        <v>0.2</v>
      </c>
      <c r="G46" s="81" t="n">
        <f aca="false">'Assumption Setting'!$C$58</f>
        <v>0.2</v>
      </c>
      <c r="H46" s="81" t="n">
        <f aca="false">'Assumption Setting'!$C$58</f>
        <v>0.2</v>
      </c>
      <c r="I46" s="81" t="n">
        <f aca="false">'Assumption Setting'!$C$58</f>
        <v>0.2</v>
      </c>
      <c r="J46" s="81" t="n">
        <f aca="false">'Assumption Setting'!$C$58</f>
        <v>0.2</v>
      </c>
      <c r="K46" s="81" t="n">
        <f aca="false">'Assumption Setting'!$C$58</f>
        <v>0.2</v>
      </c>
      <c r="L46" s="81" t="n">
        <f aca="false">'Assumption Setting'!$C$58</f>
        <v>0.2</v>
      </c>
      <c r="M46" s="81" t="n">
        <f aca="false">'Assumption Setting'!$C$58</f>
        <v>0.2</v>
      </c>
      <c r="N46" s="81" t="n">
        <f aca="false">'Assumption Setting'!$C$58</f>
        <v>0.2</v>
      </c>
      <c r="O46" s="80" t="n">
        <f aca="false">SUM(P46:AA46)</f>
        <v>12</v>
      </c>
      <c r="P46" s="81" t="n">
        <f aca="false">'Assumption Setting'!$D$58</f>
        <v>1</v>
      </c>
      <c r="Q46" s="81" t="n">
        <f aca="false">'Assumption Setting'!$D$58</f>
        <v>1</v>
      </c>
      <c r="R46" s="81" t="n">
        <f aca="false">'Assumption Setting'!$D$58</f>
        <v>1</v>
      </c>
      <c r="S46" s="81" t="n">
        <f aca="false">'Assumption Setting'!$D$58</f>
        <v>1</v>
      </c>
      <c r="T46" s="81" t="n">
        <f aca="false">'Assumption Setting'!$D$58</f>
        <v>1</v>
      </c>
      <c r="U46" s="81" t="n">
        <f aca="false">'Assumption Setting'!$D$58</f>
        <v>1</v>
      </c>
      <c r="V46" s="81" t="n">
        <f aca="false">'Assumption Setting'!$D$58</f>
        <v>1</v>
      </c>
      <c r="W46" s="81" t="n">
        <f aca="false">'Assumption Setting'!$D$58</f>
        <v>1</v>
      </c>
      <c r="X46" s="81" t="n">
        <f aca="false">'Assumption Setting'!$D$58</f>
        <v>1</v>
      </c>
      <c r="Y46" s="81" t="n">
        <f aca="false">'Assumption Setting'!$D$58</f>
        <v>1</v>
      </c>
      <c r="Z46" s="81" t="n">
        <f aca="false">'Assumption Setting'!$D$58</f>
        <v>1</v>
      </c>
      <c r="AA46" s="81" t="n">
        <f aca="false">'Assumption Setting'!$D$58</f>
        <v>1</v>
      </c>
      <c r="AB46" s="80" t="n">
        <f aca="false">SUM(AC46:AN46)</f>
        <v>24</v>
      </c>
      <c r="AC46" s="81" t="n">
        <f aca="false">'Assumption Setting'!$E$58</f>
        <v>2</v>
      </c>
      <c r="AD46" s="81" t="n">
        <f aca="false">'Assumption Setting'!$E$58</f>
        <v>2</v>
      </c>
      <c r="AE46" s="81" t="n">
        <f aca="false">'Assumption Setting'!$E$58</f>
        <v>2</v>
      </c>
      <c r="AF46" s="81" t="n">
        <f aca="false">'Assumption Setting'!$E$58</f>
        <v>2</v>
      </c>
      <c r="AG46" s="81" t="n">
        <f aca="false">'Assumption Setting'!$E$58</f>
        <v>2</v>
      </c>
      <c r="AH46" s="81" t="n">
        <f aca="false">'Assumption Setting'!$E$58</f>
        <v>2</v>
      </c>
      <c r="AI46" s="81" t="n">
        <f aca="false">'Assumption Setting'!$E$58</f>
        <v>2</v>
      </c>
      <c r="AJ46" s="81" t="n">
        <f aca="false">'Assumption Setting'!$E$58</f>
        <v>2</v>
      </c>
      <c r="AK46" s="81" t="n">
        <f aca="false">'Assumption Setting'!$E$58</f>
        <v>2</v>
      </c>
      <c r="AL46" s="81" t="n">
        <f aca="false">'Assumption Setting'!$E$58</f>
        <v>2</v>
      </c>
      <c r="AM46" s="81" t="n">
        <f aca="false">'Assumption Setting'!$E$58</f>
        <v>2</v>
      </c>
      <c r="AN46" s="81" t="n">
        <f aca="false">'Assumption Setting'!$E$58</f>
        <v>2</v>
      </c>
      <c r="AO46" s="80" t="n">
        <f aca="false">SUM(AP46:BA46)</f>
        <v>30</v>
      </c>
      <c r="AP46" s="81" t="n">
        <f aca="false">'Assumption Setting'!$F$58</f>
        <v>2.5</v>
      </c>
      <c r="AQ46" s="81" t="n">
        <f aca="false">'Assumption Setting'!$F$58</f>
        <v>2.5</v>
      </c>
      <c r="AR46" s="81" t="n">
        <f aca="false">'Assumption Setting'!$F$58</f>
        <v>2.5</v>
      </c>
      <c r="AS46" s="81" t="n">
        <f aca="false">'Assumption Setting'!$F$58</f>
        <v>2.5</v>
      </c>
      <c r="AT46" s="81" t="n">
        <f aca="false">'Assumption Setting'!$F$58</f>
        <v>2.5</v>
      </c>
      <c r="AU46" s="81" t="n">
        <f aca="false">'Assumption Setting'!$F$58</f>
        <v>2.5</v>
      </c>
      <c r="AV46" s="81" t="n">
        <f aca="false">'Assumption Setting'!$F$58</f>
        <v>2.5</v>
      </c>
      <c r="AW46" s="81" t="n">
        <f aca="false">'Assumption Setting'!$F$58</f>
        <v>2.5</v>
      </c>
      <c r="AX46" s="81" t="n">
        <f aca="false">'Assumption Setting'!$F$58</f>
        <v>2.5</v>
      </c>
      <c r="AY46" s="81" t="n">
        <f aca="false">'Assumption Setting'!$F$58</f>
        <v>2.5</v>
      </c>
      <c r="AZ46" s="81" t="n">
        <f aca="false">'Assumption Setting'!$F$58</f>
        <v>2.5</v>
      </c>
      <c r="BA46" s="81" t="n">
        <f aca="false">'Assumption Setting'!$F$58</f>
        <v>2.5</v>
      </c>
      <c r="BB46" s="80" t="n">
        <f aca="false">SUM(BC46:BN46)</f>
        <v>36</v>
      </c>
      <c r="BC46" s="81" t="n">
        <f aca="false">'Assumption Setting'!$G$58</f>
        <v>3</v>
      </c>
      <c r="BD46" s="81" t="n">
        <f aca="false">'Assumption Setting'!$G$58</f>
        <v>3</v>
      </c>
      <c r="BE46" s="81" t="n">
        <f aca="false">'Assumption Setting'!$G$58</f>
        <v>3</v>
      </c>
      <c r="BF46" s="81" t="n">
        <f aca="false">'Assumption Setting'!$G$58</f>
        <v>3</v>
      </c>
      <c r="BG46" s="81" t="n">
        <f aca="false">'Assumption Setting'!$G$58</f>
        <v>3</v>
      </c>
      <c r="BH46" s="81" t="n">
        <f aca="false">'Assumption Setting'!$G$58</f>
        <v>3</v>
      </c>
      <c r="BI46" s="81" t="n">
        <f aca="false">'Assumption Setting'!$G$58</f>
        <v>3</v>
      </c>
      <c r="BJ46" s="81" t="n">
        <f aca="false">'Assumption Setting'!$G$58</f>
        <v>3</v>
      </c>
      <c r="BK46" s="81" t="n">
        <f aca="false">'Assumption Setting'!$G$58</f>
        <v>3</v>
      </c>
      <c r="BL46" s="81" t="n">
        <f aca="false">'Assumption Setting'!$G$58</f>
        <v>3</v>
      </c>
      <c r="BM46" s="81" t="n">
        <f aca="false">'Assumption Setting'!$G$58</f>
        <v>3</v>
      </c>
      <c r="BN46" s="81" t="n">
        <f aca="false">'Assumption Setting'!$G$58</f>
        <v>3</v>
      </c>
    </row>
    <row r="47" customFormat="false" ht="15" hidden="false" customHeight="false" outlineLevel="0" collapsed="false">
      <c r="A47" s="12" t="s">
        <v>604</v>
      </c>
      <c r="B47" s="64" t="n">
        <f aca="false">SUM(C47:N47)</f>
        <v>1440</v>
      </c>
      <c r="C47" s="65" t="n">
        <f aca="false">C46*'Assumption Setting'!$H$58</f>
        <v>120</v>
      </c>
      <c r="D47" s="65" t="n">
        <f aca="false">D46*'Assumption Setting'!$H$58</f>
        <v>120</v>
      </c>
      <c r="E47" s="65" t="n">
        <f aca="false">E46*'Assumption Setting'!$H$58</f>
        <v>120</v>
      </c>
      <c r="F47" s="65" t="n">
        <f aca="false">F46*'Assumption Setting'!$H$58</f>
        <v>120</v>
      </c>
      <c r="G47" s="65" t="n">
        <f aca="false">G46*'Assumption Setting'!$H$58</f>
        <v>120</v>
      </c>
      <c r="H47" s="65" t="n">
        <f aca="false">H46*'Assumption Setting'!$H$58</f>
        <v>120</v>
      </c>
      <c r="I47" s="65" t="n">
        <f aca="false">I46*'Assumption Setting'!$H$58</f>
        <v>120</v>
      </c>
      <c r="J47" s="65" t="n">
        <f aca="false">J46*'Assumption Setting'!$H$58</f>
        <v>120</v>
      </c>
      <c r="K47" s="65" t="n">
        <f aca="false">K46*'Assumption Setting'!$H$58</f>
        <v>120</v>
      </c>
      <c r="L47" s="65" t="n">
        <f aca="false">L46*'Assumption Setting'!$H$58</f>
        <v>120</v>
      </c>
      <c r="M47" s="65" t="n">
        <f aca="false">M46*'Assumption Setting'!$H$58</f>
        <v>120</v>
      </c>
      <c r="N47" s="65" t="n">
        <f aca="false">N46*'Assumption Setting'!$H$58</f>
        <v>120</v>
      </c>
      <c r="O47" s="64" t="n">
        <f aca="false">SUM(P47:AA47)</f>
        <v>7200</v>
      </c>
      <c r="P47" s="65" t="n">
        <f aca="false">P46*'Assumption Setting'!$H$58</f>
        <v>600</v>
      </c>
      <c r="Q47" s="65" t="n">
        <f aca="false">Q46*'Assumption Setting'!$H$58</f>
        <v>600</v>
      </c>
      <c r="R47" s="65" t="n">
        <f aca="false">R46*'Assumption Setting'!$H$58</f>
        <v>600</v>
      </c>
      <c r="S47" s="65" t="n">
        <f aca="false">S46*'Assumption Setting'!$H$58</f>
        <v>600</v>
      </c>
      <c r="T47" s="65" t="n">
        <f aca="false">T46*'Assumption Setting'!$H$58</f>
        <v>600</v>
      </c>
      <c r="U47" s="65" t="n">
        <f aca="false">U46*'Assumption Setting'!$H$58</f>
        <v>600</v>
      </c>
      <c r="V47" s="65" t="n">
        <f aca="false">V46*'Assumption Setting'!$H$58</f>
        <v>600</v>
      </c>
      <c r="W47" s="65" t="n">
        <f aca="false">W46*'Assumption Setting'!$H$58</f>
        <v>600</v>
      </c>
      <c r="X47" s="65" t="n">
        <f aca="false">X46*'Assumption Setting'!$H$58</f>
        <v>600</v>
      </c>
      <c r="Y47" s="65" t="n">
        <f aca="false">Y46*'Assumption Setting'!$H$58</f>
        <v>600</v>
      </c>
      <c r="Z47" s="65" t="n">
        <f aca="false">Z46*'Assumption Setting'!$H$58</f>
        <v>600</v>
      </c>
      <c r="AA47" s="65" t="n">
        <f aca="false">AA46*'Assumption Setting'!$H$58</f>
        <v>600</v>
      </c>
      <c r="AB47" s="64" t="n">
        <f aca="false">SUM(AC47:AN47)</f>
        <v>14400</v>
      </c>
      <c r="AC47" s="65" t="n">
        <f aca="false">AC46*'Assumption Setting'!$H$58</f>
        <v>1200</v>
      </c>
      <c r="AD47" s="65" t="n">
        <f aca="false">AD46*'Assumption Setting'!$H$58</f>
        <v>1200</v>
      </c>
      <c r="AE47" s="65" t="n">
        <f aca="false">AE46*'Assumption Setting'!$H$58</f>
        <v>1200</v>
      </c>
      <c r="AF47" s="65" t="n">
        <f aca="false">AF46*'Assumption Setting'!$H$58</f>
        <v>1200</v>
      </c>
      <c r="AG47" s="65" t="n">
        <f aca="false">AG46*'Assumption Setting'!$H$58</f>
        <v>1200</v>
      </c>
      <c r="AH47" s="65" t="n">
        <f aca="false">AH46*'Assumption Setting'!$H$58</f>
        <v>1200</v>
      </c>
      <c r="AI47" s="65" t="n">
        <f aca="false">AI46*'Assumption Setting'!$H$58</f>
        <v>1200</v>
      </c>
      <c r="AJ47" s="65" t="n">
        <f aca="false">AJ46*'Assumption Setting'!$H$58</f>
        <v>1200</v>
      </c>
      <c r="AK47" s="65" t="n">
        <f aca="false">AK46*'Assumption Setting'!$H$58</f>
        <v>1200</v>
      </c>
      <c r="AL47" s="65" t="n">
        <f aca="false">AL46*'Assumption Setting'!$H$58</f>
        <v>1200</v>
      </c>
      <c r="AM47" s="65" t="n">
        <f aca="false">AM46*'Assumption Setting'!$H$58</f>
        <v>1200</v>
      </c>
      <c r="AN47" s="65" t="n">
        <f aca="false">AN46*'Assumption Setting'!$H$58</f>
        <v>1200</v>
      </c>
      <c r="AO47" s="64" t="n">
        <f aca="false">SUM(AP47:BA47)</f>
        <v>18000</v>
      </c>
      <c r="AP47" s="65" t="n">
        <f aca="false">AP46*'Assumption Setting'!$H$58</f>
        <v>1500</v>
      </c>
      <c r="AQ47" s="65" t="n">
        <f aca="false">AQ46*'Assumption Setting'!$H$58</f>
        <v>1500</v>
      </c>
      <c r="AR47" s="65" t="n">
        <f aca="false">AR46*'Assumption Setting'!$H$58</f>
        <v>1500</v>
      </c>
      <c r="AS47" s="65" t="n">
        <f aca="false">AS46*'Assumption Setting'!$H$58</f>
        <v>1500</v>
      </c>
      <c r="AT47" s="65" t="n">
        <f aca="false">AT46*'Assumption Setting'!$H$58</f>
        <v>1500</v>
      </c>
      <c r="AU47" s="65" t="n">
        <f aca="false">AU46*'Assumption Setting'!$H$58</f>
        <v>1500</v>
      </c>
      <c r="AV47" s="65" t="n">
        <f aca="false">AV46*'Assumption Setting'!$H$58</f>
        <v>1500</v>
      </c>
      <c r="AW47" s="65" t="n">
        <f aca="false">AW46*'Assumption Setting'!$H$58</f>
        <v>1500</v>
      </c>
      <c r="AX47" s="65" t="n">
        <f aca="false">AX46*'Assumption Setting'!$H$58</f>
        <v>1500</v>
      </c>
      <c r="AY47" s="65" t="n">
        <f aca="false">AY46*'Assumption Setting'!$H$58</f>
        <v>1500</v>
      </c>
      <c r="AZ47" s="65" t="n">
        <f aca="false">AZ46*'Assumption Setting'!$H$58</f>
        <v>1500</v>
      </c>
      <c r="BA47" s="65" t="n">
        <f aca="false">BA46*'Assumption Setting'!$H$58</f>
        <v>1500</v>
      </c>
      <c r="BB47" s="64" t="n">
        <f aca="false">SUM(BC47:BN47)</f>
        <v>21600</v>
      </c>
      <c r="BC47" s="65" t="n">
        <f aca="false">BC46*'Assumption Setting'!$H$58</f>
        <v>1800</v>
      </c>
      <c r="BD47" s="65" t="n">
        <f aca="false">BD46*'Assumption Setting'!$H$58</f>
        <v>1800</v>
      </c>
      <c r="BE47" s="65" t="n">
        <f aca="false">BE46*'Assumption Setting'!$H$58</f>
        <v>1800</v>
      </c>
      <c r="BF47" s="65" t="n">
        <f aca="false">BF46*'Assumption Setting'!$H$58</f>
        <v>1800</v>
      </c>
      <c r="BG47" s="65" t="n">
        <f aca="false">BG46*'Assumption Setting'!$H$58</f>
        <v>1800</v>
      </c>
      <c r="BH47" s="65" t="n">
        <f aca="false">BH46*'Assumption Setting'!$H$58</f>
        <v>1800</v>
      </c>
      <c r="BI47" s="65" t="n">
        <f aca="false">BI46*'Assumption Setting'!$H$58</f>
        <v>1800</v>
      </c>
      <c r="BJ47" s="65" t="n">
        <f aca="false">BJ46*'Assumption Setting'!$H$58</f>
        <v>1800</v>
      </c>
      <c r="BK47" s="65" t="n">
        <f aca="false">BK46*'Assumption Setting'!$H$58</f>
        <v>1800</v>
      </c>
      <c r="BL47" s="65" t="n">
        <f aca="false">BL46*'Assumption Setting'!$H$58</f>
        <v>1800</v>
      </c>
      <c r="BM47" s="65" t="n">
        <f aca="false">BM46*'Assumption Setting'!$H$58</f>
        <v>1800</v>
      </c>
      <c r="BN47" s="65" t="n">
        <f aca="false">BN46*'Assumption Setting'!$H$58</f>
        <v>1800</v>
      </c>
    </row>
    <row r="48" customFormat="false" ht="15" hidden="false" customHeight="false" outlineLevel="0" collapsed="false">
      <c r="A48" s="12" t="s">
        <v>605</v>
      </c>
      <c r="B48" s="78" t="n">
        <f aca="false">SUM(C48:N48)</f>
        <v>192</v>
      </c>
      <c r="C48" s="79" t="n">
        <f aca="false">C46*'Assumption Setting'!$I$58</f>
        <v>16</v>
      </c>
      <c r="D48" s="79" t="n">
        <f aca="false">D46*'Assumption Setting'!$I$58</f>
        <v>16</v>
      </c>
      <c r="E48" s="79" t="n">
        <f aca="false">E46*'Assumption Setting'!$I$58</f>
        <v>16</v>
      </c>
      <c r="F48" s="79" t="n">
        <f aca="false">F46*'Assumption Setting'!$I$58</f>
        <v>16</v>
      </c>
      <c r="G48" s="79" t="n">
        <f aca="false">G46*'Assumption Setting'!$I$58</f>
        <v>16</v>
      </c>
      <c r="H48" s="79" t="n">
        <f aca="false">H46*'Assumption Setting'!$I$58</f>
        <v>16</v>
      </c>
      <c r="I48" s="79" t="n">
        <f aca="false">I46*'Assumption Setting'!$I$58</f>
        <v>16</v>
      </c>
      <c r="J48" s="79" t="n">
        <f aca="false">J46*'Assumption Setting'!$I$58</f>
        <v>16</v>
      </c>
      <c r="K48" s="79" t="n">
        <f aca="false">K46*'Assumption Setting'!$I$58</f>
        <v>16</v>
      </c>
      <c r="L48" s="79" t="n">
        <f aca="false">L46*'Assumption Setting'!$I$58</f>
        <v>16</v>
      </c>
      <c r="M48" s="79" t="n">
        <f aca="false">M46*'Assumption Setting'!$I$58</f>
        <v>16</v>
      </c>
      <c r="N48" s="79" t="n">
        <f aca="false">N46*'Assumption Setting'!$I$58</f>
        <v>16</v>
      </c>
      <c r="O48" s="78" t="n">
        <f aca="false">SUM(P48:AA48)</f>
        <v>960</v>
      </c>
      <c r="P48" s="79" t="n">
        <f aca="false">P46*'Assumption Setting'!$I$58</f>
        <v>80</v>
      </c>
      <c r="Q48" s="79" t="n">
        <f aca="false">Q46*'Assumption Setting'!$I$58</f>
        <v>80</v>
      </c>
      <c r="R48" s="79" t="n">
        <f aca="false">R46*'Assumption Setting'!$I$58</f>
        <v>80</v>
      </c>
      <c r="S48" s="79" t="n">
        <f aca="false">S46*'Assumption Setting'!$I$58</f>
        <v>80</v>
      </c>
      <c r="T48" s="79" t="n">
        <f aca="false">T46*'Assumption Setting'!$I$58</f>
        <v>80</v>
      </c>
      <c r="U48" s="79" t="n">
        <f aca="false">U46*'Assumption Setting'!$I$58</f>
        <v>80</v>
      </c>
      <c r="V48" s="79" t="n">
        <f aca="false">V46*'Assumption Setting'!$I$58</f>
        <v>80</v>
      </c>
      <c r="W48" s="79" t="n">
        <f aca="false">W46*'Assumption Setting'!$I$58</f>
        <v>80</v>
      </c>
      <c r="X48" s="79" t="n">
        <f aca="false">X46*'Assumption Setting'!$I$58</f>
        <v>80</v>
      </c>
      <c r="Y48" s="79" t="n">
        <f aca="false">Y46*'Assumption Setting'!$I$58</f>
        <v>80</v>
      </c>
      <c r="Z48" s="79" t="n">
        <f aca="false">Z46*'Assumption Setting'!$I$58</f>
        <v>80</v>
      </c>
      <c r="AA48" s="79" t="n">
        <f aca="false">AA46*'Assumption Setting'!$I$58</f>
        <v>80</v>
      </c>
      <c r="AB48" s="78" t="n">
        <f aca="false">SUM(AC48:AN48)</f>
        <v>1920</v>
      </c>
      <c r="AC48" s="79" t="n">
        <f aca="false">AC46*'Assumption Setting'!$I$58</f>
        <v>160</v>
      </c>
      <c r="AD48" s="79" t="n">
        <f aca="false">AD46*'Assumption Setting'!$I$58</f>
        <v>160</v>
      </c>
      <c r="AE48" s="79" t="n">
        <f aca="false">AE46*'Assumption Setting'!$I$58</f>
        <v>160</v>
      </c>
      <c r="AF48" s="79" t="n">
        <f aca="false">AF46*'Assumption Setting'!$I$58</f>
        <v>160</v>
      </c>
      <c r="AG48" s="79" t="n">
        <f aca="false">AG46*'Assumption Setting'!$I$58</f>
        <v>160</v>
      </c>
      <c r="AH48" s="79" t="n">
        <f aca="false">AH46*'Assumption Setting'!$I$58</f>
        <v>160</v>
      </c>
      <c r="AI48" s="79" t="n">
        <f aca="false">AI46*'Assumption Setting'!$I$58</f>
        <v>160</v>
      </c>
      <c r="AJ48" s="79" t="n">
        <f aca="false">AJ46*'Assumption Setting'!$I$58</f>
        <v>160</v>
      </c>
      <c r="AK48" s="79" t="n">
        <f aca="false">AK46*'Assumption Setting'!$I$58</f>
        <v>160</v>
      </c>
      <c r="AL48" s="79" t="n">
        <f aca="false">AL46*'Assumption Setting'!$I$58</f>
        <v>160</v>
      </c>
      <c r="AM48" s="79" t="n">
        <f aca="false">AM46*'Assumption Setting'!$I$58</f>
        <v>160</v>
      </c>
      <c r="AN48" s="79" t="n">
        <f aca="false">AN46*'Assumption Setting'!$I$58</f>
        <v>160</v>
      </c>
      <c r="AO48" s="78" t="n">
        <f aca="false">SUM(AP48:BA48)</f>
        <v>2400</v>
      </c>
      <c r="AP48" s="79" t="n">
        <f aca="false">AP46*'Assumption Setting'!$I$58</f>
        <v>200</v>
      </c>
      <c r="AQ48" s="79" t="n">
        <f aca="false">AQ46*'Assumption Setting'!$I$58</f>
        <v>200</v>
      </c>
      <c r="AR48" s="79" t="n">
        <f aca="false">AR46*'Assumption Setting'!$I$58</f>
        <v>200</v>
      </c>
      <c r="AS48" s="79" t="n">
        <f aca="false">AS46*'Assumption Setting'!$I$58</f>
        <v>200</v>
      </c>
      <c r="AT48" s="79" t="n">
        <f aca="false">AT46*'Assumption Setting'!$I$58</f>
        <v>200</v>
      </c>
      <c r="AU48" s="79" t="n">
        <f aca="false">AU46*'Assumption Setting'!$I$58</f>
        <v>200</v>
      </c>
      <c r="AV48" s="79" t="n">
        <f aca="false">AV46*'Assumption Setting'!$I$58</f>
        <v>200</v>
      </c>
      <c r="AW48" s="79" t="n">
        <f aca="false">AW46*'Assumption Setting'!$I$58</f>
        <v>200</v>
      </c>
      <c r="AX48" s="79" t="n">
        <f aca="false">AX46*'Assumption Setting'!$I$58</f>
        <v>200</v>
      </c>
      <c r="AY48" s="79" t="n">
        <f aca="false">AY46*'Assumption Setting'!$I$58</f>
        <v>200</v>
      </c>
      <c r="AZ48" s="79" t="n">
        <f aca="false">AZ46*'Assumption Setting'!$I$58</f>
        <v>200</v>
      </c>
      <c r="BA48" s="79" t="n">
        <f aca="false">BA46*'Assumption Setting'!$I$58</f>
        <v>200</v>
      </c>
      <c r="BB48" s="78" t="n">
        <f aca="false">SUM(BC48:BN48)</f>
        <v>2880</v>
      </c>
      <c r="BC48" s="79" t="n">
        <f aca="false">BC46*'Assumption Setting'!$I$58</f>
        <v>240</v>
      </c>
      <c r="BD48" s="79" t="n">
        <f aca="false">BD46*'Assumption Setting'!$I$58</f>
        <v>240</v>
      </c>
      <c r="BE48" s="79" t="n">
        <f aca="false">BE46*'Assumption Setting'!$I$58</f>
        <v>240</v>
      </c>
      <c r="BF48" s="79" t="n">
        <f aca="false">BF46*'Assumption Setting'!$I$58</f>
        <v>240</v>
      </c>
      <c r="BG48" s="79" t="n">
        <f aca="false">BG46*'Assumption Setting'!$I$58</f>
        <v>240</v>
      </c>
      <c r="BH48" s="79" t="n">
        <f aca="false">BH46*'Assumption Setting'!$I$58</f>
        <v>240</v>
      </c>
      <c r="BI48" s="79" t="n">
        <f aca="false">BI46*'Assumption Setting'!$I$58</f>
        <v>240</v>
      </c>
      <c r="BJ48" s="79" t="n">
        <f aca="false">BJ46*'Assumption Setting'!$I$58</f>
        <v>240</v>
      </c>
      <c r="BK48" s="79" t="n">
        <f aca="false">BK46*'Assumption Setting'!$I$58</f>
        <v>240</v>
      </c>
      <c r="BL48" s="79" t="n">
        <f aca="false">BL46*'Assumption Setting'!$I$58</f>
        <v>240</v>
      </c>
      <c r="BM48" s="79" t="n">
        <f aca="false">BM46*'Assumption Setting'!$I$58</f>
        <v>240</v>
      </c>
      <c r="BN48" s="79" t="n">
        <f aca="false">BN46*'Assumption Setting'!$I$58</f>
        <v>240</v>
      </c>
    </row>
    <row r="49" customFormat="false" ht="15" hidden="false" customHeight="false" outlineLevel="0" collapsed="false">
      <c r="A49" s="12" t="s">
        <v>606</v>
      </c>
      <c r="B49" s="80" t="n">
        <f aca="false">SUM(C49:N49)</f>
        <v>4.32</v>
      </c>
      <c r="C49" s="81" t="n">
        <f aca="false">C46*'Assumption Setting'!$J$58</f>
        <v>0.36</v>
      </c>
      <c r="D49" s="81" t="n">
        <f aca="false">D46*'Assumption Setting'!$J$58</f>
        <v>0.36</v>
      </c>
      <c r="E49" s="81" t="n">
        <f aca="false">E46*'Assumption Setting'!$J$58</f>
        <v>0.36</v>
      </c>
      <c r="F49" s="81" t="n">
        <f aca="false">F46*'Assumption Setting'!$J$58</f>
        <v>0.36</v>
      </c>
      <c r="G49" s="81" t="n">
        <f aca="false">G46*'Assumption Setting'!$J$58</f>
        <v>0.36</v>
      </c>
      <c r="H49" s="81" t="n">
        <f aca="false">H46*'Assumption Setting'!$J$58</f>
        <v>0.36</v>
      </c>
      <c r="I49" s="81" t="n">
        <f aca="false">I46*'Assumption Setting'!$J$58</f>
        <v>0.36</v>
      </c>
      <c r="J49" s="81" t="n">
        <f aca="false">J46*'Assumption Setting'!$J$58</f>
        <v>0.36</v>
      </c>
      <c r="K49" s="81" t="n">
        <f aca="false">K46*'Assumption Setting'!$J$58</f>
        <v>0.36</v>
      </c>
      <c r="L49" s="81" t="n">
        <f aca="false">L46*'Assumption Setting'!$J$58</f>
        <v>0.36</v>
      </c>
      <c r="M49" s="81" t="n">
        <f aca="false">M46*'Assumption Setting'!$J$58</f>
        <v>0.36</v>
      </c>
      <c r="N49" s="81" t="n">
        <f aca="false">N46*'Assumption Setting'!$J$58</f>
        <v>0.36</v>
      </c>
      <c r="O49" s="80" t="n">
        <f aca="false">SUM(P49:AA49)</f>
        <v>21.6</v>
      </c>
      <c r="P49" s="81" t="n">
        <f aca="false">P46*'Assumption Setting'!$J$58</f>
        <v>1.8</v>
      </c>
      <c r="Q49" s="81" t="n">
        <f aca="false">Q46*'Assumption Setting'!$J$58</f>
        <v>1.8</v>
      </c>
      <c r="R49" s="81" t="n">
        <f aca="false">R46*'Assumption Setting'!$J$58</f>
        <v>1.8</v>
      </c>
      <c r="S49" s="81" t="n">
        <f aca="false">S46*'Assumption Setting'!$J$58</f>
        <v>1.8</v>
      </c>
      <c r="T49" s="81" t="n">
        <f aca="false">T46*'Assumption Setting'!$J$58</f>
        <v>1.8</v>
      </c>
      <c r="U49" s="81" t="n">
        <f aca="false">U46*'Assumption Setting'!$J$58</f>
        <v>1.8</v>
      </c>
      <c r="V49" s="81" t="n">
        <f aca="false">V46*'Assumption Setting'!$J$58</f>
        <v>1.8</v>
      </c>
      <c r="W49" s="81" t="n">
        <f aca="false">W46*'Assumption Setting'!$J$58</f>
        <v>1.8</v>
      </c>
      <c r="X49" s="81" t="n">
        <f aca="false">X46*'Assumption Setting'!$J$58</f>
        <v>1.8</v>
      </c>
      <c r="Y49" s="81" t="n">
        <f aca="false">Y46*'Assumption Setting'!$J$58</f>
        <v>1.8</v>
      </c>
      <c r="Z49" s="81" t="n">
        <f aca="false">Z46*'Assumption Setting'!$J$58</f>
        <v>1.8</v>
      </c>
      <c r="AA49" s="81" t="n">
        <f aca="false">AA46*'Assumption Setting'!$J$58</f>
        <v>1.8</v>
      </c>
      <c r="AB49" s="80" t="n">
        <f aca="false">SUM(AC49:AN49)</f>
        <v>43.2</v>
      </c>
      <c r="AC49" s="81" t="n">
        <f aca="false">AC46*'Assumption Setting'!$J$58</f>
        <v>3.6</v>
      </c>
      <c r="AD49" s="81" t="n">
        <f aca="false">AD46*'Assumption Setting'!$J$58</f>
        <v>3.6</v>
      </c>
      <c r="AE49" s="81" t="n">
        <f aca="false">AE46*'Assumption Setting'!$J$58</f>
        <v>3.6</v>
      </c>
      <c r="AF49" s="81" t="n">
        <f aca="false">AF46*'Assumption Setting'!$J$58</f>
        <v>3.6</v>
      </c>
      <c r="AG49" s="81" t="n">
        <f aca="false">AG46*'Assumption Setting'!$J$58</f>
        <v>3.6</v>
      </c>
      <c r="AH49" s="81" t="n">
        <f aca="false">AH46*'Assumption Setting'!$J$58</f>
        <v>3.6</v>
      </c>
      <c r="AI49" s="81" t="n">
        <f aca="false">AI46*'Assumption Setting'!$J$58</f>
        <v>3.6</v>
      </c>
      <c r="AJ49" s="81" t="n">
        <f aca="false">AJ46*'Assumption Setting'!$J$58</f>
        <v>3.6</v>
      </c>
      <c r="AK49" s="81" t="n">
        <f aca="false">AK46*'Assumption Setting'!$J$58</f>
        <v>3.6</v>
      </c>
      <c r="AL49" s="81" t="n">
        <f aca="false">AL46*'Assumption Setting'!$J$58</f>
        <v>3.6</v>
      </c>
      <c r="AM49" s="81" t="n">
        <f aca="false">AM46*'Assumption Setting'!$J$58</f>
        <v>3.6</v>
      </c>
      <c r="AN49" s="81" t="n">
        <f aca="false">AN46*'Assumption Setting'!$J$58</f>
        <v>3.6</v>
      </c>
      <c r="AO49" s="80" t="n">
        <f aca="false">SUM(AP49:BA49)</f>
        <v>54</v>
      </c>
      <c r="AP49" s="81" t="n">
        <f aca="false">AP46*'Assumption Setting'!$J$58</f>
        <v>4.5</v>
      </c>
      <c r="AQ49" s="81" t="n">
        <f aca="false">AQ46*'Assumption Setting'!$J$58</f>
        <v>4.5</v>
      </c>
      <c r="AR49" s="81" t="n">
        <f aca="false">AR46*'Assumption Setting'!$J$58</f>
        <v>4.5</v>
      </c>
      <c r="AS49" s="81" t="n">
        <f aca="false">AS46*'Assumption Setting'!$J$58</f>
        <v>4.5</v>
      </c>
      <c r="AT49" s="81" t="n">
        <f aca="false">AT46*'Assumption Setting'!$J$58</f>
        <v>4.5</v>
      </c>
      <c r="AU49" s="81" t="n">
        <f aca="false">AU46*'Assumption Setting'!$J$58</f>
        <v>4.5</v>
      </c>
      <c r="AV49" s="81" t="n">
        <f aca="false">AV46*'Assumption Setting'!$J$58</f>
        <v>4.5</v>
      </c>
      <c r="AW49" s="81" t="n">
        <f aca="false">AW46*'Assumption Setting'!$J$58</f>
        <v>4.5</v>
      </c>
      <c r="AX49" s="81" t="n">
        <f aca="false">AX46*'Assumption Setting'!$J$58</f>
        <v>4.5</v>
      </c>
      <c r="AY49" s="81" t="n">
        <f aca="false">AY46*'Assumption Setting'!$J$58</f>
        <v>4.5</v>
      </c>
      <c r="AZ49" s="81" t="n">
        <f aca="false">AZ46*'Assumption Setting'!$J$58</f>
        <v>4.5</v>
      </c>
      <c r="BA49" s="81" t="n">
        <f aca="false">BA46*'Assumption Setting'!$J$58</f>
        <v>4.5</v>
      </c>
      <c r="BB49" s="80" t="n">
        <f aca="false">SUM(BC49:BN49)</f>
        <v>64.8</v>
      </c>
      <c r="BC49" s="81" t="n">
        <f aca="false">BC46*'Assumption Setting'!$J$58</f>
        <v>5.4</v>
      </c>
      <c r="BD49" s="81" t="n">
        <f aca="false">BD46*'Assumption Setting'!$J$58</f>
        <v>5.4</v>
      </c>
      <c r="BE49" s="81" t="n">
        <f aca="false">BE46*'Assumption Setting'!$J$58</f>
        <v>5.4</v>
      </c>
      <c r="BF49" s="81" t="n">
        <f aca="false">BF46*'Assumption Setting'!$J$58</f>
        <v>5.4</v>
      </c>
      <c r="BG49" s="81" t="n">
        <f aca="false">BG46*'Assumption Setting'!$J$58</f>
        <v>5.4</v>
      </c>
      <c r="BH49" s="81" t="n">
        <f aca="false">BH46*'Assumption Setting'!$J$58</f>
        <v>5.4</v>
      </c>
      <c r="BI49" s="81" t="n">
        <f aca="false">BI46*'Assumption Setting'!$J$58</f>
        <v>5.4</v>
      </c>
      <c r="BJ49" s="81" t="n">
        <f aca="false">BJ46*'Assumption Setting'!$J$58</f>
        <v>5.4</v>
      </c>
      <c r="BK49" s="81" t="n">
        <f aca="false">BK46*'Assumption Setting'!$J$58</f>
        <v>5.4</v>
      </c>
      <c r="BL49" s="81" t="n">
        <f aca="false">BL46*'Assumption Setting'!$J$58</f>
        <v>5.4</v>
      </c>
      <c r="BM49" s="81" t="n">
        <f aca="false">BM46*'Assumption Setting'!$J$58</f>
        <v>5.4</v>
      </c>
      <c r="BN49" s="81" t="n">
        <f aca="false">BN46*'Assumption Setting'!$J$58</f>
        <v>5.4</v>
      </c>
    </row>
    <row r="50" customFormat="false" ht="15" hidden="false" customHeight="false" outlineLevel="0" collapsed="false">
      <c r="A50" s="12" t="s">
        <v>261</v>
      </c>
      <c r="B50" s="80" t="n">
        <f aca="false">SUM(C50:N50)</f>
        <v>3.6</v>
      </c>
      <c r="C50" s="81" t="n">
        <f aca="false">'Assumption Setting'!$C$59</f>
        <v>0.3</v>
      </c>
      <c r="D50" s="81" t="n">
        <f aca="false">'Assumption Setting'!$C$59</f>
        <v>0.3</v>
      </c>
      <c r="E50" s="81" t="n">
        <f aca="false">'Assumption Setting'!$C$59</f>
        <v>0.3</v>
      </c>
      <c r="F50" s="81" t="n">
        <f aca="false">'Assumption Setting'!$C$59</f>
        <v>0.3</v>
      </c>
      <c r="G50" s="81" t="n">
        <f aca="false">'Assumption Setting'!$C$59</f>
        <v>0.3</v>
      </c>
      <c r="H50" s="81" t="n">
        <f aca="false">'Assumption Setting'!$C$59</f>
        <v>0.3</v>
      </c>
      <c r="I50" s="81" t="n">
        <f aca="false">'Assumption Setting'!$C$59</f>
        <v>0.3</v>
      </c>
      <c r="J50" s="81" t="n">
        <f aca="false">'Assumption Setting'!$C$59</f>
        <v>0.3</v>
      </c>
      <c r="K50" s="81" t="n">
        <f aca="false">'Assumption Setting'!$C$59</f>
        <v>0.3</v>
      </c>
      <c r="L50" s="81" t="n">
        <f aca="false">'Assumption Setting'!$C$59</f>
        <v>0.3</v>
      </c>
      <c r="M50" s="81" t="n">
        <f aca="false">'Assumption Setting'!$C$59</f>
        <v>0.3</v>
      </c>
      <c r="N50" s="81" t="n">
        <f aca="false">'Assumption Setting'!$C$59</f>
        <v>0.3</v>
      </c>
      <c r="O50" s="80" t="n">
        <f aca="false">SUM(P50:AA50)</f>
        <v>18</v>
      </c>
      <c r="P50" s="81" t="n">
        <f aca="false">'Assumption Setting'!$D$59</f>
        <v>1.5</v>
      </c>
      <c r="Q50" s="81" t="n">
        <f aca="false">'Assumption Setting'!$D$59</f>
        <v>1.5</v>
      </c>
      <c r="R50" s="81" t="n">
        <f aca="false">'Assumption Setting'!$D$59</f>
        <v>1.5</v>
      </c>
      <c r="S50" s="81" t="n">
        <f aca="false">'Assumption Setting'!$D$59</f>
        <v>1.5</v>
      </c>
      <c r="T50" s="81" t="n">
        <f aca="false">'Assumption Setting'!$D$59</f>
        <v>1.5</v>
      </c>
      <c r="U50" s="81" t="n">
        <f aca="false">'Assumption Setting'!$D$59</f>
        <v>1.5</v>
      </c>
      <c r="V50" s="81" t="n">
        <f aca="false">'Assumption Setting'!$D$59</f>
        <v>1.5</v>
      </c>
      <c r="W50" s="81" t="n">
        <f aca="false">'Assumption Setting'!$D$59</f>
        <v>1.5</v>
      </c>
      <c r="X50" s="81" t="n">
        <f aca="false">'Assumption Setting'!$D$59</f>
        <v>1.5</v>
      </c>
      <c r="Y50" s="81" t="n">
        <f aca="false">'Assumption Setting'!$D$59</f>
        <v>1.5</v>
      </c>
      <c r="Z50" s="81" t="n">
        <f aca="false">'Assumption Setting'!$D$59</f>
        <v>1.5</v>
      </c>
      <c r="AA50" s="81" t="n">
        <f aca="false">'Assumption Setting'!$D$59</f>
        <v>1.5</v>
      </c>
      <c r="AB50" s="80" t="n">
        <f aca="false">SUM(AC50:AN50)</f>
        <v>36</v>
      </c>
      <c r="AC50" s="81" t="n">
        <f aca="false">'Assumption Setting'!$E$59</f>
        <v>3</v>
      </c>
      <c r="AD50" s="81" t="n">
        <f aca="false">'Assumption Setting'!$E$59</f>
        <v>3</v>
      </c>
      <c r="AE50" s="81" t="n">
        <f aca="false">'Assumption Setting'!$E$59</f>
        <v>3</v>
      </c>
      <c r="AF50" s="81" t="n">
        <f aca="false">'Assumption Setting'!$E$59</f>
        <v>3</v>
      </c>
      <c r="AG50" s="81" t="n">
        <f aca="false">'Assumption Setting'!$E$59</f>
        <v>3</v>
      </c>
      <c r="AH50" s="81" t="n">
        <f aca="false">'Assumption Setting'!$E$59</f>
        <v>3</v>
      </c>
      <c r="AI50" s="81" t="n">
        <f aca="false">'Assumption Setting'!$E$59</f>
        <v>3</v>
      </c>
      <c r="AJ50" s="81" t="n">
        <f aca="false">'Assumption Setting'!$E$59</f>
        <v>3</v>
      </c>
      <c r="AK50" s="81" t="n">
        <f aca="false">'Assumption Setting'!$E$59</f>
        <v>3</v>
      </c>
      <c r="AL50" s="81" t="n">
        <f aca="false">'Assumption Setting'!$E$59</f>
        <v>3</v>
      </c>
      <c r="AM50" s="81" t="n">
        <f aca="false">'Assumption Setting'!$E$59</f>
        <v>3</v>
      </c>
      <c r="AN50" s="81" t="n">
        <f aca="false">'Assumption Setting'!$E$59</f>
        <v>3</v>
      </c>
      <c r="AO50" s="80" t="n">
        <f aca="false">SUM(AP50:BA50)</f>
        <v>48</v>
      </c>
      <c r="AP50" s="81" t="n">
        <f aca="false">'Assumption Setting'!$F$59</f>
        <v>4</v>
      </c>
      <c r="AQ50" s="81" t="n">
        <f aca="false">'Assumption Setting'!$F$59</f>
        <v>4</v>
      </c>
      <c r="AR50" s="81" t="n">
        <f aca="false">'Assumption Setting'!$F$59</f>
        <v>4</v>
      </c>
      <c r="AS50" s="81" t="n">
        <f aca="false">'Assumption Setting'!$F$59</f>
        <v>4</v>
      </c>
      <c r="AT50" s="81" t="n">
        <f aca="false">'Assumption Setting'!$F$59</f>
        <v>4</v>
      </c>
      <c r="AU50" s="81" t="n">
        <f aca="false">'Assumption Setting'!$F$59</f>
        <v>4</v>
      </c>
      <c r="AV50" s="81" t="n">
        <f aca="false">'Assumption Setting'!$F$59</f>
        <v>4</v>
      </c>
      <c r="AW50" s="81" t="n">
        <f aca="false">'Assumption Setting'!$F$59</f>
        <v>4</v>
      </c>
      <c r="AX50" s="81" t="n">
        <f aca="false">'Assumption Setting'!$F$59</f>
        <v>4</v>
      </c>
      <c r="AY50" s="81" t="n">
        <f aca="false">'Assumption Setting'!$F$59</f>
        <v>4</v>
      </c>
      <c r="AZ50" s="81" t="n">
        <f aca="false">'Assumption Setting'!$F$59</f>
        <v>4</v>
      </c>
      <c r="BA50" s="81" t="n">
        <f aca="false">'Assumption Setting'!$F$59</f>
        <v>4</v>
      </c>
      <c r="BB50" s="80" t="n">
        <f aca="false">SUM(BC50:BN50)</f>
        <v>60</v>
      </c>
      <c r="BC50" s="81" t="n">
        <f aca="false">'Assumption Setting'!$G$59</f>
        <v>5</v>
      </c>
      <c r="BD50" s="81" t="n">
        <f aca="false">'Assumption Setting'!$G$59</f>
        <v>5</v>
      </c>
      <c r="BE50" s="81" t="n">
        <f aca="false">'Assumption Setting'!$G$59</f>
        <v>5</v>
      </c>
      <c r="BF50" s="81" t="n">
        <f aca="false">'Assumption Setting'!$G$59</f>
        <v>5</v>
      </c>
      <c r="BG50" s="81" t="n">
        <f aca="false">'Assumption Setting'!$G$59</f>
        <v>5</v>
      </c>
      <c r="BH50" s="81" t="n">
        <f aca="false">'Assumption Setting'!$G$59</f>
        <v>5</v>
      </c>
      <c r="BI50" s="81" t="n">
        <f aca="false">'Assumption Setting'!$G$59</f>
        <v>5</v>
      </c>
      <c r="BJ50" s="81" t="n">
        <f aca="false">'Assumption Setting'!$G$59</f>
        <v>5</v>
      </c>
      <c r="BK50" s="81" t="n">
        <f aca="false">'Assumption Setting'!$G$59</f>
        <v>5</v>
      </c>
      <c r="BL50" s="81" t="n">
        <f aca="false">'Assumption Setting'!$G$59</f>
        <v>5</v>
      </c>
      <c r="BM50" s="81" t="n">
        <f aca="false">'Assumption Setting'!$G$59</f>
        <v>5</v>
      </c>
      <c r="BN50" s="81" t="n">
        <f aca="false">'Assumption Setting'!$G$59</f>
        <v>5</v>
      </c>
    </row>
    <row r="51" customFormat="false" ht="15" hidden="false" customHeight="false" outlineLevel="0" collapsed="false">
      <c r="A51" s="12" t="s">
        <v>604</v>
      </c>
      <c r="B51" s="64" t="n">
        <f aca="false">SUM(C51:N51)</f>
        <v>540</v>
      </c>
      <c r="C51" s="65" t="n">
        <f aca="false">C50*'Assumption Setting'!$H$59</f>
        <v>45</v>
      </c>
      <c r="D51" s="65" t="n">
        <f aca="false">D50*'Assumption Setting'!$H$59</f>
        <v>45</v>
      </c>
      <c r="E51" s="65" t="n">
        <f aca="false">E50*'Assumption Setting'!$H$59</f>
        <v>45</v>
      </c>
      <c r="F51" s="65" t="n">
        <f aca="false">F50*'Assumption Setting'!$H$59</f>
        <v>45</v>
      </c>
      <c r="G51" s="65" t="n">
        <f aca="false">G50*'Assumption Setting'!$H$59</f>
        <v>45</v>
      </c>
      <c r="H51" s="65" t="n">
        <f aca="false">H50*'Assumption Setting'!$H$59</f>
        <v>45</v>
      </c>
      <c r="I51" s="65" t="n">
        <f aca="false">I50*'Assumption Setting'!$H$59</f>
        <v>45</v>
      </c>
      <c r="J51" s="65" t="n">
        <f aca="false">J50*'Assumption Setting'!$H$59</f>
        <v>45</v>
      </c>
      <c r="K51" s="65" t="n">
        <f aca="false">K50*'Assumption Setting'!$H$59</f>
        <v>45</v>
      </c>
      <c r="L51" s="65" t="n">
        <f aca="false">L50*'Assumption Setting'!$H$59</f>
        <v>45</v>
      </c>
      <c r="M51" s="65" t="n">
        <f aca="false">M50*'Assumption Setting'!$H$59</f>
        <v>45</v>
      </c>
      <c r="N51" s="65" t="n">
        <f aca="false">N50*'Assumption Setting'!$H$59</f>
        <v>45</v>
      </c>
      <c r="O51" s="64" t="n">
        <f aca="false">SUM(P51:AA51)</f>
        <v>2700</v>
      </c>
      <c r="P51" s="65" t="n">
        <f aca="false">P50*'Assumption Setting'!$H$59</f>
        <v>225</v>
      </c>
      <c r="Q51" s="65" t="n">
        <f aca="false">Q50*'Assumption Setting'!$H$59</f>
        <v>225</v>
      </c>
      <c r="R51" s="65" t="n">
        <f aca="false">R50*'Assumption Setting'!$H$59</f>
        <v>225</v>
      </c>
      <c r="S51" s="65" t="n">
        <f aca="false">S50*'Assumption Setting'!$H$59</f>
        <v>225</v>
      </c>
      <c r="T51" s="65" t="n">
        <f aca="false">T50*'Assumption Setting'!$H$59</f>
        <v>225</v>
      </c>
      <c r="U51" s="65" t="n">
        <f aca="false">U50*'Assumption Setting'!$H$59</f>
        <v>225</v>
      </c>
      <c r="V51" s="65" t="n">
        <f aca="false">V50*'Assumption Setting'!$H$59</f>
        <v>225</v>
      </c>
      <c r="W51" s="65" t="n">
        <f aca="false">W50*'Assumption Setting'!$H$59</f>
        <v>225</v>
      </c>
      <c r="X51" s="65" t="n">
        <f aca="false">X50*'Assumption Setting'!$H$59</f>
        <v>225</v>
      </c>
      <c r="Y51" s="65" t="n">
        <f aca="false">Y50*'Assumption Setting'!$H$59</f>
        <v>225</v>
      </c>
      <c r="Z51" s="65" t="n">
        <f aca="false">Z50*'Assumption Setting'!$H$59</f>
        <v>225</v>
      </c>
      <c r="AA51" s="65" t="n">
        <f aca="false">AA50*'Assumption Setting'!$H$59</f>
        <v>225</v>
      </c>
      <c r="AB51" s="64" t="n">
        <f aca="false">SUM(AC51:AN51)</f>
        <v>5400</v>
      </c>
      <c r="AC51" s="65" t="n">
        <f aca="false">AC50*'Assumption Setting'!$H$59</f>
        <v>450</v>
      </c>
      <c r="AD51" s="65" t="n">
        <f aca="false">AD50*'Assumption Setting'!$H$59</f>
        <v>450</v>
      </c>
      <c r="AE51" s="65" t="n">
        <f aca="false">AE50*'Assumption Setting'!$H$59</f>
        <v>450</v>
      </c>
      <c r="AF51" s="65" t="n">
        <f aca="false">AF50*'Assumption Setting'!$H$59</f>
        <v>450</v>
      </c>
      <c r="AG51" s="65" t="n">
        <f aca="false">AG50*'Assumption Setting'!$H$59</f>
        <v>450</v>
      </c>
      <c r="AH51" s="65" t="n">
        <f aca="false">AH50*'Assumption Setting'!$H$59</f>
        <v>450</v>
      </c>
      <c r="AI51" s="65" t="n">
        <f aca="false">AI50*'Assumption Setting'!$H$59</f>
        <v>450</v>
      </c>
      <c r="AJ51" s="65" t="n">
        <f aca="false">AJ50*'Assumption Setting'!$H$59</f>
        <v>450</v>
      </c>
      <c r="AK51" s="65" t="n">
        <f aca="false">AK50*'Assumption Setting'!$H$59</f>
        <v>450</v>
      </c>
      <c r="AL51" s="65" t="n">
        <f aca="false">AL50*'Assumption Setting'!$H$59</f>
        <v>450</v>
      </c>
      <c r="AM51" s="65" t="n">
        <f aca="false">AM50*'Assumption Setting'!$H$59</f>
        <v>450</v>
      </c>
      <c r="AN51" s="65" t="n">
        <f aca="false">AN50*'Assumption Setting'!$H$59</f>
        <v>450</v>
      </c>
      <c r="AO51" s="64" t="n">
        <f aca="false">SUM(AP51:BA51)</f>
        <v>7200</v>
      </c>
      <c r="AP51" s="65" t="n">
        <f aca="false">AP50*'Assumption Setting'!$H$59</f>
        <v>600</v>
      </c>
      <c r="AQ51" s="65" t="n">
        <f aca="false">AQ50*'Assumption Setting'!$H$59</f>
        <v>600</v>
      </c>
      <c r="AR51" s="65" t="n">
        <f aca="false">AR50*'Assumption Setting'!$H$59</f>
        <v>600</v>
      </c>
      <c r="AS51" s="65" t="n">
        <f aca="false">AS50*'Assumption Setting'!$H$59</f>
        <v>600</v>
      </c>
      <c r="AT51" s="65" t="n">
        <f aca="false">AT50*'Assumption Setting'!$H$59</f>
        <v>600</v>
      </c>
      <c r="AU51" s="65" t="n">
        <f aca="false">AU50*'Assumption Setting'!$H$59</f>
        <v>600</v>
      </c>
      <c r="AV51" s="65" t="n">
        <f aca="false">AV50*'Assumption Setting'!$H$59</f>
        <v>600</v>
      </c>
      <c r="AW51" s="65" t="n">
        <f aca="false">AW50*'Assumption Setting'!$H$59</f>
        <v>600</v>
      </c>
      <c r="AX51" s="65" t="n">
        <f aca="false">AX50*'Assumption Setting'!$H$59</f>
        <v>600</v>
      </c>
      <c r="AY51" s="65" t="n">
        <f aca="false">AY50*'Assumption Setting'!$H$59</f>
        <v>600</v>
      </c>
      <c r="AZ51" s="65" t="n">
        <f aca="false">AZ50*'Assumption Setting'!$H$59</f>
        <v>600</v>
      </c>
      <c r="BA51" s="65" t="n">
        <f aca="false">BA50*'Assumption Setting'!$H$59</f>
        <v>600</v>
      </c>
      <c r="BB51" s="64" t="n">
        <f aca="false">SUM(BC51:BN51)</f>
        <v>9000</v>
      </c>
      <c r="BC51" s="65" t="n">
        <f aca="false">BC50*'Assumption Setting'!$H$59</f>
        <v>750</v>
      </c>
      <c r="BD51" s="65" t="n">
        <f aca="false">BD50*'Assumption Setting'!$H$59</f>
        <v>750</v>
      </c>
      <c r="BE51" s="65" t="n">
        <f aca="false">BE50*'Assumption Setting'!$H$59</f>
        <v>750</v>
      </c>
      <c r="BF51" s="65" t="n">
        <f aca="false">BF50*'Assumption Setting'!$H$59</f>
        <v>750</v>
      </c>
      <c r="BG51" s="65" t="n">
        <f aca="false">BG50*'Assumption Setting'!$H$59</f>
        <v>750</v>
      </c>
      <c r="BH51" s="65" t="n">
        <f aca="false">BH50*'Assumption Setting'!$H$59</f>
        <v>750</v>
      </c>
      <c r="BI51" s="65" t="n">
        <f aca="false">BI50*'Assumption Setting'!$H$59</f>
        <v>750</v>
      </c>
      <c r="BJ51" s="65" t="n">
        <f aca="false">BJ50*'Assumption Setting'!$H$59</f>
        <v>750</v>
      </c>
      <c r="BK51" s="65" t="n">
        <f aca="false">BK50*'Assumption Setting'!$H$59</f>
        <v>750</v>
      </c>
      <c r="BL51" s="65" t="n">
        <f aca="false">BL50*'Assumption Setting'!$H$59</f>
        <v>750</v>
      </c>
      <c r="BM51" s="65" t="n">
        <f aca="false">BM50*'Assumption Setting'!$H$59</f>
        <v>750</v>
      </c>
      <c r="BN51" s="65" t="n">
        <f aca="false">BN50*'Assumption Setting'!$H$59</f>
        <v>750</v>
      </c>
    </row>
    <row r="52" customFormat="false" ht="15" hidden="false" customHeight="false" outlineLevel="0" collapsed="false">
      <c r="A52" s="12" t="s">
        <v>605</v>
      </c>
      <c r="B52" s="78" t="n">
        <f aca="false">SUM(C52:N52)</f>
        <v>144</v>
      </c>
      <c r="C52" s="79" t="n">
        <f aca="false">C50*'Assumption Setting'!$I$59</f>
        <v>12</v>
      </c>
      <c r="D52" s="79" t="n">
        <f aca="false">D50*'Assumption Setting'!$I$59</f>
        <v>12</v>
      </c>
      <c r="E52" s="79" t="n">
        <f aca="false">E50*'Assumption Setting'!$I$59</f>
        <v>12</v>
      </c>
      <c r="F52" s="79" t="n">
        <f aca="false">F50*'Assumption Setting'!$I$59</f>
        <v>12</v>
      </c>
      <c r="G52" s="79" t="n">
        <f aca="false">G50*'Assumption Setting'!$I$59</f>
        <v>12</v>
      </c>
      <c r="H52" s="79" t="n">
        <f aca="false">H50*'Assumption Setting'!$I$59</f>
        <v>12</v>
      </c>
      <c r="I52" s="79" t="n">
        <f aca="false">I50*'Assumption Setting'!$I$59</f>
        <v>12</v>
      </c>
      <c r="J52" s="79" t="n">
        <f aca="false">J50*'Assumption Setting'!$I$59</f>
        <v>12</v>
      </c>
      <c r="K52" s="79" t="n">
        <f aca="false">K50*'Assumption Setting'!$I$59</f>
        <v>12</v>
      </c>
      <c r="L52" s="79" t="n">
        <f aca="false">L50*'Assumption Setting'!$I$59</f>
        <v>12</v>
      </c>
      <c r="M52" s="79" t="n">
        <f aca="false">M50*'Assumption Setting'!$I$59</f>
        <v>12</v>
      </c>
      <c r="N52" s="79" t="n">
        <f aca="false">N50*'Assumption Setting'!$I$59</f>
        <v>12</v>
      </c>
      <c r="O52" s="78" t="n">
        <f aca="false">SUM(P52:AA52)</f>
        <v>720</v>
      </c>
      <c r="P52" s="79" t="n">
        <f aca="false">P50*'Assumption Setting'!$I$59</f>
        <v>60</v>
      </c>
      <c r="Q52" s="79" t="n">
        <f aca="false">Q50*'Assumption Setting'!$I$59</f>
        <v>60</v>
      </c>
      <c r="R52" s="79" t="n">
        <f aca="false">R50*'Assumption Setting'!$I$59</f>
        <v>60</v>
      </c>
      <c r="S52" s="79" t="n">
        <f aca="false">S50*'Assumption Setting'!$I$59</f>
        <v>60</v>
      </c>
      <c r="T52" s="79" t="n">
        <f aca="false">T50*'Assumption Setting'!$I$59</f>
        <v>60</v>
      </c>
      <c r="U52" s="79" t="n">
        <f aca="false">U50*'Assumption Setting'!$I$59</f>
        <v>60</v>
      </c>
      <c r="V52" s="79" t="n">
        <f aca="false">V50*'Assumption Setting'!$I$59</f>
        <v>60</v>
      </c>
      <c r="W52" s="79" t="n">
        <f aca="false">W50*'Assumption Setting'!$I$59</f>
        <v>60</v>
      </c>
      <c r="X52" s="79" t="n">
        <f aca="false">X50*'Assumption Setting'!$I$59</f>
        <v>60</v>
      </c>
      <c r="Y52" s="79" t="n">
        <f aca="false">Y50*'Assumption Setting'!$I$59</f>
        <v>60</v>
      </c>
      <c r="Z52" s="79" t="n">
        <f aca="false">Z50*'Assumption Setting'!$I$59</f>
        <v>60</v>
      </c>
      <c r="AA52" s="79" t="n">
        <f aca="false">AA50*'Assumption Setting'!$I$59</f>
        <v>60</v>
      </c>
      <c r="AB52" s="78" t="n">
        <f aca="false">SUM(AC52:AN52)</f>
        <v>1440</v>
      </c>
      <c r="AC52" s="79" t="n">
        <f aca="false">AC50*'Assumption Setting'!$I$59</f>
        <v>120</v>
      </c>
      <c r="AD52" s="79" t="n">
        <f aca="false">AD50*'Assumption Setting'!$I$59</f>
        <v>120</v>
      </c>
      <c r="AE52" s="79" t="n">
        <f aca="false">AE50*'Assumption Setting'!$I$59</f>
        <v>120</v>
      </c>
      <c r="AF52" s="79" t="n">
        <f aca="false">AF50*'Assumption Setting'!$I$59</f>
        <v>120</v>
      </c>
      <c r="AG52" s="79" t="n">
        <f aca="false">AG50*'Assumption Setting'!$I$59</f>
        <v>120</v>
      </c>
      <c r="AH52" s="79" t="n">
        <f aca="false">AH50*'Assumption Setting'!$I$59</f>
        <v>120</v>
      </c>
      <c r="AI52" s="79" t="n">
        <f aca="false">AI50*'Assumption Setting'!$I$59</f>
        <v>120</v>
      </c>
      <c r="AJ52" s="79" t="n">
        <f aca="false">AJ50*'Assumption Setting'!$I$59</f>
        <v>120</v>
      </c>
      <c r="AK52" s="79" t="n">
        <f aca="false">AK50*'Assumption Setting'!$I$59</f>
        <v>120</v>
      </c>
      <c r="AL52" s="79" t="n">
        <f aca="false">AL50*'Assumption Setting'!$I$59</f>
        <v>120</v>
      </c>
      <c r="AM52" s="79" t="n">
        <f aca="false">AM50*'Assumption Setting'!$I$59</f>
        <v>120</v>
      </c>
      <c r="AN52" s="79" t="n">
        <f aca="false">AN50*'Assumption Setting'!$I$59</f>
        <v>120</v>
      </c>
      <c r="AO52" s="78" t="n">
        <f aca="false">SUM(AP52:BA52)</f>
        <v>1920</v>
      </c>
      <c r="AP52" s="79" t="n">
        <f aca="false">AP50*'Assumption Setting'!$I$59</f>
        <v>160</v>
      </c>
      <c r="AQ52" s="79" t="n">
        <f aca="false">AQ50*'Assumption Setting'!$I$59</f>
        <v>160</v>
      </c>
      <c r="AR52" s="79" t="n">
        <f aca="false">AR50*'Assumption Setting'!$I$59</f>
        <v>160</v>
      </c>
      <c r="AS52" s="79" t="n">
        <f aca="false">AS50*'Assumption Setting'!$I$59</f>
        <v>160</v>
      </c>
      <c r="AT52" s="79" t="n">
        <f aca="false">AT50*'Assumption Setting'!$I$59</f>
        <v>160</v>
      </c>
      <c r="AU52" s="79" t="n">
        <f aca="false">AU50*'Assumption Setting'!$I$59</f>
        <v>160</v>
      </c>
      <c r="AV52" s="79" t="n">
        <f aca="false">AV50*'Assumption Setting'!$I$59</f>
        <v>160</v>
      </c>
      <c r="AW52" s="79" t="n">
        <f aca="false">AW50*'Assumption Setting'!$I$59</f>
        <v>160</v>
      </c>
      <c r="AX52" s="79" t="n">
        <f aca="false">AX50*'Assumption Setting'!$I$59</f>
        <v>160</v>
      </c>
      <c r="AY52" s="79" t="n">
        <f aca="false">AY50*'Assumption Setting'!$I$59</f>
        <v>160</v>
      </c>
      <c r="AZ52" s="79" t="n">
        <f aca="false">AZ50*'Assumption Setting'!$I$59</f>
        <v>160</v>
      </c>
      <c r="BA52" s="79" t="n">
        <f aca="false">BA50*'Assumption Setting'!$I$59</f>
        <v>160</v>
      </c>
      <c r="BB52" s="78" t="n">
        <f aca="false">SUM(BC52:BN52)</f>
        <v>2400</v>
      </c>
      <c r="BC52" s="79" t="n">
        <f aca="false">BC50*'Assumption Setting'!$I$59</f>
        <v>200</v>
      </c>
      <c r="BD52" s="79" t="n">
        <f aca="false">BD50*'Assumption Setting'!$I$59</f>
        <v>200</v>
      </c>
      <c r="BE52" s="79" t="n">
        <f aca="false">BE50*'Assumption Setting'!$I$59</f>
        <v>200</v>
      </c>
      <c r="BF52" s="79" t="n">
        <f aca="false">BF50*'Assumption Setting'!$I$59</f>
        <v>200</v>
      </c>
      <c r="BG52" s="79" t="n">
        <f aca="false">BG50*'Assumption Setting'!$I$59</f>
        <v>200</v>
      </c>
      <c r="BH52" s="79" t="n">
        <f aca="false">BH50*'Assumption Setting'!$I$59</f>
        <v>200</v>
      </c>
      <c r="BI52" s="79" t="n">
        <f aca="false">BI50*'Assumption Setting'!$I$59</f>
        <v>200</v>
      </c>
      <c r="BJ52" s="79" t="n">
        <f aca="false">BJ50*'Assumption Setting'!$I$59</f>
        <v>200</v>
      </c>
      <c r="BK52" s="79" t="n">
        <f aca="false">BK50*'Assumption Setting'!$I$59</f>
        <v>200</v>
      </c>
      <c r="BL52" s="79" t="n">
        <f aca="false">BL50*'Assumption Setting'!$I$59</f>
        <v>200</v>
      </c>
      <c r="BM52" s="79" t="n">
        <f aca="false">BM50*'Assumption Setting'!$I$59</f>
        <v>200</v>
      </c>
      <c r="BN52" s="79" t="n">
        <f aca="false">BN50*'Assumption Setting'!$I$59</f>
        <v>200</v>
      </c>
    </row>
    <row r="53" customFormat="false" ht="15" hidden="false" customHeight="false" outlineLevel="0" collapsed="false">
      <c r="A53" s="12" t="s">
        <v>606</v>
      </c>
      <c r="B53" s="80" t="n">
        <f aca="false">SUM(C53:N53)</f>
        <v>3.6</v>
      </c>
      <c r="C53" s="81" t="n">
        <f aca="false">C50*'Assumption Setting'!$J$59</f>
        <v>0.3</v>
      </c>
      <c r="D53" s="81" t="n">
        <f aca="false">D50*'Assumption Setting'!$J$59</f>
        <v>0.3</v>
      </c>
      <c r="E53" s="81" t="n">
        <f aca="false">E50*'Assumption Setting'!$J$59</f>
        <v>0.3</v>
      </c>
      <c r="F53" s="81" t="n">
        <f aca="false">F50*'Assumption Setting'!$J$59</f>
        <v>0.3</v>
      </c>
      <c r="G53" s="81" t="n">
        <f aca="false">G50*'Assumption Setting'!$J$59</f>
        <v>0.3</v>
      </c>
      <c r="H53" s="81" t="n">
        <f aca="false">H50*'Assumption Setting'!$J$59</f>
        <v>0.3</v>
      </c>
      <c r="I53" s="81" t="n">
        <f aca="false">I50*'Assumption Setting'!$J$59</f>
        <v>0.3</v>
      </c>
      <c r="J53" s="81" t="n">
        <f aca="false">J50*'Assumption Setting'!$J$59</f>
        <v>0.3</v>
      </c>
      <c r="K53" s="81" t="n">
        <f aca="false">K50*'Assumption Setting'!$J$59</f>
        <v>0.3</v>
      </c>
      <c r="L53" s="81" t="n">
        <f aca="false">L50*'Assumption Setting'!$J$59</f>
        <v>0.3</v>
      </c>
      <c r="M53" s="81" t="n">
        <f aca="false">M50*'Assumption Setting'!$J$59</f>
        <v>0.3</v>
      </c>
      <c r="N53" s="81" t="n">
        <f aca="false">N50*'Assumption Setting'!$J$59</f>
        <v>0.3</v>
      </c>
      <c r="O53" s="80" t="n">
        <f aca="false">SUM(P53:AA53)</f>
        <v>18</v>
      </c>
      <c r="P53" s="81" t="n">
        <f aca="false">P50*'Assumption Setting'!$J$59</f>
        <v>1.5</v>
      </c>
      <c r="Q53" s="81" t="n">
        <f aca="false">Q50*'Assumption Setting'!$J$59</f>
        <v>1.5</v>
      </c>
      <c r="R53" s="81" t="n">
        <f aca="false">R50*'Assumption Setting'!$J$59</f>
        <v>1.5</v>
      </c>
      <c r="S53" s="81" t="n">
        <f aca="false">S50*'Assumption Setting'!$J$59</f>
        <v>1.5</v>
      </c>
      <c r="T53" s="81" t="n">
        <f aca="false">T50*'Assumption Setting'!$J$59</f>
        <v>1.5</v>
      </c>
      <c r="U53" s="81" t="n">
        <f aca="false">U50*'Assumption Setting'!$J$59</f>
        <v>1.5</v>
      </c>
      <c r="V53" s="81" t="n">
        <f aca="false">V50*'Assumption Setting'!$J$59</f>
        <v>1.5</v>
      </c>
      <c r="W53" s="81" t="n">
        <f aca="false">W50*'Assumption Setting'!$J$59</f>
        <v>1.5</v>
      </c>
      <c r="X53" s="81" t="n">
        <f aca="false">X50*'Assumption Setting'!$J$59</f>
        <v>1.5</v>
      </c>
      <c r="Y53" s="81" t="n">
        <f aca="false">Y50*'Assumption Setting'!$J$59</f>
        <v>1.5</v>
      </c>
      <c r="Z53" s="81" t="n">
        <f aca="false">Z50*'Assumption Setting'!$J$59</f>
        <v>1.5</v>
      </c>
      <c r="AA53" s="81" t="n">
        <f aca="false">AA50*'Assumption Setting'!$J$59</f>
        <v>1.5</v>
      </c>
      <c r="AB53" s="80" t="n">
        <f aca="false">SUM(AC53:AN53)</f>
        <v>36</v>
      </c>
      <c r="AC53" s="81" t="n">
        <f aca="false">AC50*'Assumption Setting'!$J$59</f>
        <v>3</v>
      </c>
      <c r="AD53" s="81" t="n">
        <f aca="false">AD50*'Assumption Setting'!$J$59</f>
        <v>3</v>
      </c>
      <c r="AE53" s="81" t="n">
        <f aca="false">AE50*'Assumption Setting'!$J$59</f>
        <v>3</v>
      </c>
      <c r="AF53" s="81" t="n">
        <f aca="false">AF50*'Assumption Setting'!$J$59</f>
        <v>3</v>
      </c>
      <c r="AG53" s="81" t="n">
        <f aca="false">AG50*'Assumption Setting'!$J$59</f>
        <v>3</v>
      </c>
      <c r="AH53" s="81" t="n">
        <f aca="false">AH50*'Assumption Setting'!$J$59</f>
        <v>3</v>
      </c>
      <c r="AI53" s="81" t="n">
        <f aca="false">AI50*'Assumption Setting'!$J$59</f>
        <v>3</v>
      </c>
      <c r="AJ53" s="81" t="n">
        <f aca="false">AJ50*'Assumption Setting'!$J$59</f>
        <v>3</v>
      </c>
      <c r="AK53" s="81" t="n">
        <f aca="false">AK50*'Assumption Setting'!$J$59</f>
        <v>3</v>
      </c>
      <c r="AL53" s="81" t="n">
        <f aca="false">AL50*'Assumption Setting'!$J$59</f>
        <v>3</v>
      </c>
      <c r="AM53" s="81" t="n">
        <f aca="false">AM50*'Assumption Setting'!$J$59</f>
        <v>3</v>
      </c>
      <c r="AN53" s="81" t="n">
        <f aca="false">AN50*'Assumption Setting'!$J$59</f>
        <v>3</v>
      </c>
      <c r="AO53" s="80" t="n">
        <f aca="false">SUM(AP53:BA53)</f>
        <v>48</v>
      </c>
      <c r="AP53" s="81" t="n">
        <f aca="false">AP50*'Assumption Setting'!$J$59</f>
        <v>4</v>
      </c>
      <c r="AQ53" s="81" t="n">
        <f aca="false">AQ50*'Assumption Setting'!$J$59</f>
        <v>4</v>
      </c>
      <c r="AR53" s="81" t="n">
        <f aca="false">AR50*'Assumption Setting'!$J$59</f>
        <v>4</v>
      </c>
      <c r="AS53" s="81" t="n">
        <f aca="false">AS50*'Assumption Setting'!$J$59</f>
        <v>4</v>
      </c>
      <c r="AT53" s="81" t="n">
        <f aca="false">AT50*'Assumption Setting'!$J$59</f>
        <v>4</v>
      </c>
      <c r="AU53" s="81" t="n">
        <f aca="false">AU50*'Assumption Setting'!$J$59</f>
        <v>4</v>
      </c>
      <c r="AV53" s="81" t="n">
        <f aca="false">AV50*'Assumption Setting'!$J$59</f>
        <v>4</v>
      </c>
      <c r="AW53" s="81" t="n">
        <f aca="false">AW50*'Assumption Setting'!$J$59</f>
        <v>4</v>
      </c>
      <c r="AX53" s="81" t="n">
        <f aca="false">AX50*'Assumption Setting'!$J$59</f>
        <v>4</v>
      </c>
      <c r="AY53" s="81" t="n">
        <f aca="false">AY50*'Assumption Setting'!$J$59</f>
        <v>4</v>
      </c>
      <c r="AZ53" s="81" t="n">
        <f aca="false">AZ50*'Assumption Setting'!$J$59</f>
        <v>4</v>
      </c>
      <c r="BA53" s="81" t="n">
        <f aca="false">BA50*'Assumption Setting'!$J$59</f>
        <v>4</v>
      </c>
      <c r="BB53" s="80" t="n">
        <f aca="false">SUM(BC53:BN53)</f>
        <v>60</v>
      </c>
      <c r="BC53" s="81" t="n">
        <f aca="false">BC50*'Assumption Setting'!$J$59</f>
        <v>5</v>
      </c>
      <c r="BD53" s="81" t="n">
        <f aca="false">BD50*'Assumption Setting'!$J$59</f>
        <v>5</v>
      </c>
      <c r="BE53" s="81" t="n">
        <f aca="false">BE50*'Assumption Setting'!$J$59</f>
        <v>5</v>
      </c>
      <c r="BF53" s="81" t="n">
        <f aca="false">BF50*'Assumption Setting'!$J$59</f>
        <v>5</v>
      </c>
      <c r="BG53" s="81" t="n">
        <f aca="false">BG50*'Assumption Setting'!$J$59</f>
        <v>5</v>
      </c>
      <c r="BH53" s="81" t="n">
        <f aca="false">BH50*'Assumption Setting'!$J$59</f>
        <v>5</v>
      </c>
      <c r="BI53" s="81" t="n">
        <f aca="false">BI50*'Assumption Setting'!$J$59</f>
        <v>5</v>
      </c>
      <c r="BJ53" s="81" t="n">
        <f aca="false">BJ50*'Assumption Setting'!$J$59</f>
        <v>5</v>
      </c>
      <c r="BK53" s="81" t="n">
        <f aca="false">BK50*'Assumption Setting'!$J$59</f>
        <v>5</v>
      </c>
      <c r="BL53" s="81" t="n">
        <f aca="false">BL50*'Assumption Setting'!$J$59</f>
        <v>5</v>
      </c>
      <c r="BM53" s="81" t="n">
        <f aca="false">BM50*'Assumption Setting'!$J$59</f>
        <v>5</v>
      </c>
      <c r="BN53" s="81" t="n">
        <f aca="false">BN50*'Assumption Setting'!$J$59</f>
        <v>5</v>
      </c>
    </row>
    <row r="54" customFormat="false" ht="15" hidden="false" customHeight="false" outlineLevel="0" collapsed="false">
      <c r="A54" s="12" t="s">
        <v>262</v>
      </c>
      <c r="B54" s="80" t="n">
        <f aca="false">SUM(C54:N54)</f>
        <v>360</v>
      </c>
      <c r="C54" s="81" t="n">
        <f aca="false">'Assumption Setting'!$C$60</f>
        <v>30</v>
      </c>
      <c r="D54" s="81" t="n">
        <f aca="false">'Assumption Setting'!$C$60</f>
        <v>30</v>
      </c>
      <c r="E54" s="81" t="n">
        <f aca="false">'Assumption Setting'!$C$60</f>
        <v>30</v>
      </c>
      <c r="F54" s="81" t="n">
        <f aca="false">'Assumption Setting'!$C$60</f>
        <v>30</v>
      </c>
      <c r="G54" s="81" t="n">
        <f aca="false">'Assumption Setting'!$C$60</f>
        <v>30</v>
      </c>
      <c r="H54" s="81" t="n">
        <f aca="false">'Assumption Setting'!$C$60</f>
        <v>30</v>
      </c>
      <c r="I54" s="81" t="n">
        <f aca="false">'Assumption Setting'!$C$60</f>
        <v>30</v>
      </c>
      <c r="J54" s="81" t="n">
        <f aca="false">'Assumption Setting'!$C$60</f>
        <v>30</v>
      </c>
      <c r="K54" s="81" t="n">
        <f aca="false">'Assumption Setting'!$C$60</f>
        <v>30</v>
      </c>
      <c r="L54" s="81" t="n">
        <f aca="false">'Assumption Setting'!$C$60</f>
        <v>30</v>
      </c>
      <c r="M54" s="81" t="n">
        <f aca="false">'Assumption Setting'!$C$60</f>
        <v>30</v>
      </c>
      <c r="N54" s="81" t="n">
        <f aca="false">'Assumption Setting'!$C$60</f>
        <v>30</v>
      </c>
      <c r="O54" s="80" t="n">
        <f aca="false">SUM(P54:AA54)</f>
        <v>480</v>
      </c>
      <c r="P54" s="81" t="n">
        <f aca="false">'Assumption Setting'!$D$60</f>
        <v>40</v>
      </c>
      <c r="Q54" s="81" t="n">
        <f aca="false">'Assumption Setting'!$D$60</f>
        <v>40</v>
      </c>
      <c r="R54" s="81" t="n">
        <f aca="false">'Assumption Setting'!$D$60</f>
        <v>40</v>
      </c>
      <c r="S54" s="81" t="n">
        <f aca="false">'Assumption Setting'!$D$60</f>
        <v>40</v>
      </c>
      <c r="T54" s="81" t="n">
        <f aca="false">'Assumption Setting'!$D$60</f>
        <v>40</v>
      </c>
      <c r="U54" s="81" t="n">
        <f aca="false">'Assumption Setting'!$D$60</f>
        <v>40</v>
      </c>
      <c r="V54" s="81" t="n">
        <f aca="false">'Assumption Setting'!$D$60</f>
        <v>40</v>
      </c>
      <c r="W54" s="81" t="n">
        <f aca="false">'Assumption Setting'!$D$60</f>
        <v>40</v>
      </c>
      <c r="X54" s="81" t="n">
        <f aca="false">'Assumption Setting'!$D$60</f>
        <v>40</v>
      </c>
      <c r="Y54" s="81" t="n">
        <f aca="false">'Assumption Setting'!$D$60</f>
        <v>40</v>
      </c>
      <c r="Z54" s="81" t="n">
        <f aca="false">'Assumption Setting'!$D$60</f>
        <v>40</v>
      </c>
      <c r="AA54" s="81" t="n">
        <f aca="false">'Assumption Setting'!$D$60</f>
        <v>40</v>
      </c>
      <c r="AB54" s="80" t="n">
        <f aca="false">SUM(AC54:AN54)</f>
        <v>660</v>
      </c>
      <c r="AC54" s="81" t="n">
        <f aca="false">'Assumption Setting'!$E$60</f>
        <v>55</v>
      </c>
      <c r="AD54" s="81" t="n">
        <f aca="false">'Assumption Setting'!$E$60</f>
        <v>55</v>
      </c>
      <c r="AE54" s="81" t="n">
        <f aca="false">'Assumption Setting'!$E$60</f>
        <v>55</v>
      </c>
      <c r="AF54" s="81" t="n">
        <f aca="false">'Assumption Setting'!$E$60</f>
        <v>55</v>
      </c>
      <c r="AG54" s="81" t="n">
        <f aca="false">'Assumption Setting'!$E$60</f>
        <v>55</v>
      </c>
      <c r="AH54" s="81" t="n">
        <f aca="false">'Assumption Setting'!$E$60</f>
        <v>55</v>
      </c>
      <c r="AI54" s="81" t="n">
        <f aca="false">'Assumption Setting'!$E$60</f>
        <v>55</v>
      </c>
      <c r="AJ54" s="81" t="n">
        <f aca="false">'Assumption Setting'!$E$60</f>
        <v>55</v>
      </c>
      <c r="AK54" s="81" t="n">
        <f aca="false">'Assumption Setting'!$E$60</f>
        <v>55</v>
      </c>
      <c r="AL54" s="81" t="n">
        <f aca="false">'Assumption Setting'!$E$60</f>
        <v>55</v>
      </c>
      <c r="AM54" s="81" t="n">
        <f aca="false">'Assumption Setting'!$E$60</f>
        <v>55</v>
      </c>
      <c r="AN54" s="81" t="n">
        <f aca="false">'Assumption Setting'!$E$60</f>
        <v>55</v>
      </c>
      <c r="AO54" s="80" t="n">
        <f aca="false">SUM(AP54:BA54)</f>
        <v>840</v>
      </c>
      <c r="AP54" s="81" t="n">
        <f aca="false">'Assumption Setting'!$F$60</f>
        <v>70</v>
      </c>
      <c r="AQ54" s="81" t="n">
        <f aca="false">'Assumption Setting'!$F$60</f>
        <v>70</v>
      </c>
      <c r="AR54" s="81" t="n">
        <f aca="false">'Assumption Setting'!$F$60</f>
        <v>70</v>
      </c>
      <c r="AS54" s="81" t="n">
        <f aca="false">'Assumption Setting'!$F$60</f>
        <v>70</v>
      </c>
      <c r="AT54" s="81" t="n">
        <f aca="false">'Assumption Setting'!$F$60</f>
        <v>70</v>
      </c>
      <c r="AU54" s="81" t="n">
        <f aca="false">'Assumption Setting'!$F$60</f>
        <v>70</v>
      </c>
      <c r="AV54" s="81" t="n">
        <f aca="false">'Assumption Setting'!$F$60</f>
        <v>70</v>
      </c>
      <c r="AW54" s="81" t="n">
        <f aca="false">'Assumption Setting'!$F$60</f>
        <v>70</v>
      </c>
      <c r="AX54" s="81" t="n">
        <f aca="false">'Assumption Setting'!$F$60</f>
        <v>70</v>
      </c>
      <c r="AY54" s="81" t="n">
        <f aca="false">'Assumption Setting'!$F$60</f>
        <v>70</v>
      </c>
      <c r="AZ54" s="81" t="n">
        <f aca="false">'Assumption Setting'!$F$60</f>
        <v>70</v>
      </c>
      <c r="BA54" s="81" t="n">
        <f aca="false">'Assumption Setting'!$F$60</f>
        <v>70</v>
      </c>
      <c r="BB54" s="80" t="n">
        <f aca="false">SUM(BC54:BN54)</f>
        <v>1020</v>
      </c>
      <c r="BC54" s="81" t="n">
        <f aca="false">'Assumption Setting'!$G$60</f>
        <v>85</v>
      </c>
      <c r="BD54" s="81" t="n">
        <f aca="false">'Assumption Setting'!$G$60</f>
        <v>85</v>
      </c>
      <c r="BE54" s="81" t="n">
        <f aca="false">'Assumption Setting'!$G$60</f>
        <v>85</v>
      </c>
      <c r="BF54" s="81" t="n">
        <f aca="false">'Assumption Setting'!$G$60</f>
        <v>85</v>
      </c>
      <c r="BG54" s="81" t="n">
        <f aca="false">'Assumption Setting'!$G$60</f>
        <v>85</v>
      </c>
      <c r="BH54" s="81" t="n">
        <f aca="false">'Assumption Setting'!$G$60</f>
        <v>85</v>
      </c>
      <c r="BI54" s="81" t="n">
        <f aca="false">'Assumption Setting'!$G$60</f>
        <v>85</v>
      </c>
      <c r="BJ54" s="81" t="n">
        <f aca="false">'Assumption Setting'!$G$60</f>
        <v>85</v>
      </c>
      <c r="BK54" s="81" t="n">
        <f aca="false">'Assumption Setting'!$G$60</f>
        <v>85</v>
      </c>
      <c r="BL54" s="81" t="n">
        <f aca="false">'Assumption Setting'!$G$60</f>
        <v>85</v>
      </c>
      <c r="BM54" s="81" t="n">
        <f aca="false">'Assumption Setting'!$G$60</f>
        <v>85</v>
      </c>
      <c r="BN54" s="81" t="n">
        <f aca="false">'Assumption Setting'!$G$60</f>
        <v>85</v>
      </c>
    </row>
    <row r="55" customFormat="false" ht="15" hidden="false" customHeight="false" outlineLevel="0" collapsed="false">
      <c r="A55" s="12" t="s">
        <v>604</v>
      </c>
      <c r="B55" s="64" t="n">
        <f aca="false">SUM(C55:N55)</f>
        <v>0</v>
      </c>
      <c r="C55" s="65" t="n">
        <f aca="false">C54*'Assumption Setting'!$H$60</f>
        <v>0</v>
      </c>
      <c r="D55" s="65" t="n">
        <f aca="false">D54*'Assumption Setting'!$H$60</f>
        <v>0</v>
      </c>
      <c r="E55" s="65" t="n">
        <f aca="false">E54*'Assumption Setting'!$H$60</f>
        <v>0</v>
      </c>
      <c r="F55" s="65" t="n">
        <f aca="false">F54*'Assumption Setting'!$H$60</f>
        <v>0</v>
      </c>
      <c r="G55" s="65" t="n">
        <f aca="false">G54*'Assumption Setting'!$H$60</f>
        <v>0</v>
      </c>
      <c r="H55" s="65" t="n">
        <f aca="false">H54*'Assumption Setting'!$H$60</f>
        <v>0</v>
      </c>
      <c r="I55" s="65" t="n">
        <f aca="false">I54*'Assumption Setting'!$H$60</f>
        <v>0</v>
      </c>
      <c r="J55" s="65" t="n">
        <f aca="false">J54*'Assumption Setting'!$H$60</f>
        <v>0</v>
      </c>
      <c r="K55" s="65" t="n">
        <f aca="false">K54*'Assumption Setting'!$H$60</f>
        <v>0</v>
      </c>
      <c r="L55" s="65" t="n">
        <f aca="false">L54*'Assumption Setting'!$H$60</f>
        <v>0</v>
      </c>
      <c r="M55" s="65" t="n">
        <f aca="false">M54*'Assumption Setting'!$H$60</f>
        <v>0</v>
      </c>
      <c r="N55" s="65" t="n">
        <f aca="false">N54*'Assumption Setting'!$H$60</f>
        <v>0</v>
      </c>
      <c r="O55" s="64" t="n">
        <f aca="false">SUM(P55:AA55)</f>
        <v>0</v>
      </c>
      <c r="P55" s="65" t="n">
        <f aca="false">P54*'Assumption Setting'!$H$60</f>
        <v>0</v>
      </c>
      <c r="Q55" s="65" t="n">
        <f aca="false">Q54*'Assumption Setting'!$H$60</f>
        <v>0</v>
      </c>
      <c r="R55" s="65" t="n">
        <f aca="false">R54*'Assumption Setting'!$H$60</f>
        <v>0</v>
      </c>
      <c r="S55" s="65" t="n">
        <f aca="false">S54*'Assumption Setting'!$H$60</f>
        <v>0</v>
      </c>
      <c r="T55" s="65" t="n">
        <f aca="false">T54*'Assumption Setting'!$H$60</f>
        <v>0</v>
      </c>
      <c r="U55" s="65" t="n">
        <f aca="false">U54*'Assumption Setting'!$H$60</f>
        <v>0</v>
      </c>
      <c r="V55" s="65" t="n">
        <f aca="false">V54*'Assumption Setting'!$H$60</f>
        <v>0</v>
      </c>
      <c r="W55" s="65" t="n">
        <f aca="false">W54*'Assumption Setting'!$H$60</f>
        <v>0</v>
      </c>
      <c r="X55" s="65" t="n">
        <f aca="false">X54*'Assumption Setting'!$H$60</f>
        <v>0</v>
      </c>
      <c r="Y55" s="65" t="n">
        <f aca="false">Y54*'Assumption Setting'!$H$60</f>
        <v>0</v>
      </c>
      <c r="Z55" s="65" t="n">
        <f aca="false">Z54*'Assumption Setting'!$H$60</f>
        <v>0</v>
      </c>
      <c r="AA55" s="65" t="n">
        <f aca="false">AA54*'Assumption Setting'!$H$60</f>
        <v>0</v>
      </c>
      <c r="AB55" s="64" t="n">
        <f aca="false">SUM(AC55:AN55)</f>
        <v>0</v>
      </c>
      <c r="AC55" s="65" t="n">
        <f aca="false">AC54*'Assumption Setting'!$H$60</f>
        <v>0</v>
      </c>
      <c r="AD55" s="65" t="n">
        <f aca="false">AD54*'Assumption Setting'!$H$60</f>
        <v>0</v>
      </c>
      <c r="AE55" s="65" t="n">
        <f aca="false">AE54*'Assumption Setting'!$H$60</f>
        <v>0</v>
      </c>
      <c r="AF55" s="65" t="n">
        <f aca="false">AF54*'Assumption Setting'!$H$60</f>
        <v>0</v>
      </c>
      <c r="AG55" s="65" t="n">
        <f aca="false">AG54*'Assumption Setting'!$H$60</f>
        <v>0</v>
      </c>
      <c r="AH55" s="65" t="n">
        <f aca="false">AH54*'Assumption Setting'!$H$60</f>
        <v>0</v>
      </c>
      <c r="AI55" s="65" t="n">
        <f aca="false">AI54*'Assumption Setting'!$H$60</f>
        <v>0</v>
      </c>
      <c r="AJ55" s="65" t="n">
        <f aca="false">AJ54*'Assumption Setting'!$H$60</f>
        <v>0</v>
      </c>
      <c r="AK55" s="65" t="n">
        <f aca="false">AK54*'Assumption Setting'!$H$60</f>
        <v>0</v>
      </c>
      <c r="AL55" s="65" t="n">
        <f aca="false">AL54*'Assumption Setting'!$H$60</f>
        <v>0</v>
      </c>
      <c r="AM55" s="65" t="n">
        <f aca="false">AM54*'Assumption Setting'!$H$60</f>
        <v>0</v>
      </c>
      <c r="AN55" s="65" t="n">
        <f aca="false">AN54*'Assumption Setting'!$H$60</f>
        <v>0</v>
      </c>
      <c r="AO55" s="64" t="n">
        <f aca="false">SUM(AP55:BA55)</f>
        <v>0</v>
      </c>
      <c r="AP55" s="65" t="n">
        <f aca="false">AP54*'Assumption Setting'!$H$60</f>
        <v>0</v>
      </c>
      <c r="AQ55" s="65" t="n">
        <f aca="false">AQ54*'Assumption Setting'!$H$60</f>
        <v>0</v>
      </c>
      <c r="AR55" s="65" t="n">
        <f aca="false">AR54*'Assumption Setting'!$H$60</f>
        <v>0</v>
      </c>
      <c r="AS55" s="65" t="n">
        <f aca="false">AS54*'Assumption Setting'!$H$60</f>
        <v>0</v>
      </c>
      <c r="AT55" s="65" t="n">
        <f aca="false">AT54*'Assumption Setting'!$H$60</f>
        <v>0</v>
      </c>
      <c r="AU55" s="65" t="n">
        <f aca="false">AU54*'Assumption Setting'!$H$60</f>
        <v>0</v>
      </c>
      <c r="AV55" s="65" t="n">
        <f aca="false">AV54*'Assumption Setting'!$H$60</f>
        <v>0</v>
      </c>
      <c r="AW55" s="65" t="n">
        <f aca="false">AW54*'Assumption Setting'!$H$60</f>
        <v>0</v>
      </c>
      <c r="AX55" s="65" t="n">
        <f aca="false">AX54*'Assumption Setting'!$H$60</f>
        <v>0</v>
      </c>
      <c r="AY55" s="65" t="n">
        <f aca="false">AY54*'Assumption Setting'!$H$60</f>
        <v>0</v>
      </c>
      <c r="AZ55" s="65" t="n">
        <f aca="false">AZ54*'Assumption Setting'!$H$60</f>
        <v>0</v>
      </c>
      <c r="BA55" s="65" t="n">
        <f aca="false">BA54*'Assumption Setting'!$H$60</f>
        <v>0</v>
      </c>
      <c r="BB55" s="64" t="n">
        <f aca="false">SUM(BC55:BN55)</f>
        <v>0</v>
      </c>
      <c r="BC55" s="65" t="n">
        <f aca="false">BC54*'Assumption Setting'!$H$60</f>
        <v>0</v>
      </c>
      <c r="BD55" s="65" t="n">
        <f aca="false">BD54*'Assumption Setting'!$H$60</f>
        <v>0</v>
      </c>
      <c r="BE55" s="65" t="n">
        <f aca="false">BE54*'Assumption Setting'!$H$60</f>
        <v>0</v>
      </c>
      <c r="BF55" s="65" t="n">
        <f aca="false">BF54*'Assumption Setting'!$H$60</f>
        <v>0</v>
      </c>
      <c r="BG55" s="65" t="n">
        <f aca="false">BG54*'Assumption Setting'!$H$60</f>
        <v>0</v>
      </c>
      <c r="BH55" s="65" t="n">
        <f aca="false">BH54*'Assumption Setting'!$H$60</f>
        <v>0</v>
      </c>
      <c r="BI55" s="65" t="n">
        <f aca="false">BI54*'Assumption Setting'!$H$60</f>
        <v>0</v>
      </c>
      <c r="BJ55" s="65" t="n">
        <f aca="false">BJ54*'Assumption Setting'!$H$60</f>
        <v>0</v>
      </c>
      <c r="BK55" s="65" t="n">
        <f aca="false">BK54*'Assumption Setting'!$H$60</f>
        <v>0</v>
      </c>
      <c r="BL55" s="65" t="n">
        <f aca="false">BL54*'Assumption Setting'!$H$60</f>
        <v>0</v>
      </c>
      <c r="BM55" s="65" t="n">
        <f aca="false">BM54*'Assumption Setting'!$H$60</f>
        <v>0</v>
      </c>
      <c r="BN55" s="65" t="n">
        <f aca="false">BN54*'Assumption Setting'!$H$60</f>
        <v>0</v>
      </c>
    </row>
    <row r="56" customFormat="false" ht="15" hidden="false" customHeight="false" outlineLevel="0" collapsed="false">
      <c r="A56" s="12" t="s">
        <v>605</v>
      </c>
      <c r="B56" s="78" t="n">
        <f aca="false">SUM(C56:N56)</f>
        <v>0</v>
      </c>
      <c r="C56" s="79" t="n">
        <f aca="false">C54*'Assumption Setting'!$I$60</f>
        <v>0</v>
      </c>
      <c r="D56" s="79" t="n">
        <f aca="false">D54*'Assumption Setting'!$I$60</f>
        <v>0</v>
      </c>
      <c r="E56" s="79" t="n">
        <f aca="false">E54*'Assumption Setting'!$I$60</f>
        <v>0</v>
      </c>
      <c r="F56" s="79" t="n">
        <f aca="false">F54*'Assumption Setting'!$I$60</f>
        <v>0</v>
      </c>
      <c r="G56" s="79" t="n">
        <f aca="false">G54*'Assumption Setting'!$I$60</f>
        <v>0</v>
      </c>
      <c r="H56" s="79" t="n">
        <f aca="false">H54*'Assumption Setting'!$I$60</f>
        <v>0</v>
      </c>
      <c r="I56" s="79" t="n">
        <f aca="false">I54*'Assumption Setting'!$I$60</f>
        <v>0</v>
      </c>
      <c r="J56" s="79" t="n">
        <f aca="false">J54*'Assumption Setting'!$I$60</f>
        <v>0</v>
      </c>
      <c r="K56" s="79" t="n">
        <f aca="false">K54*'Assumption Setting'!$I$60</f>
        <v>0</v>
      </c>
      <c r="L56" s="79" t="n">
        <f aca="false">L54*'Assumption Setting'!$I$60</f>
        <v>0</v>
      </c>
      <c r="M56" s="79" t="n">
        <f aca="false">M54*'Assumption Setting'!$I$60</f>
        <v>0</v>
      </c>
      <c r="N56" s="79" t="n">
        <f aca="false">N54*'Assumption Setting'!$I$60</f>
        <v>0</v>
      </c>
      <c r="O56" s="78" t="n">
        <f aca="false">SUM(P56:AA56)</f>
        <v>0</v>
      </c>
      <c r="P56" s="79" t="n">
        <f aca="false">P54*'Assumption Setting'!$I$60</f>
        <v>0</v>
      </c>
      <c r="Q56" s="79" t="n">
        <f aca="false">Q54*'Assumption Setting'!$I$60</f>
        <v>0</v>
      </c>
      <c r="R56" s="79" t="n">
        <f aca="false">R54*'Assumption Setting'!$I$60</f>
        <v>0</v>
      </c>
      <c r="S56" s="79" t="n">
        <f aca="false">S54*'Assumption Setting'!$I$60</f>
        <v>0</v>
      </c>
      <c r="T56" s="79" t="n">
        <f aca="false">T54*'Assumption Setting'!$I$60</f>
        <v>0</v>
      </c>
      <c r="U56" s="79" t="n">
        <f aca="false">U54*'Assumption Setting'!$I$60</f>
        <v>0</v>
      </c>
      <c r="V56" s="79" t="n">
        <f aca="false">V54*'Assumption Setting'!$I$60</f>
        <v>0</v>
      </c>
      <c r="W56" s="79" t="n">
        <f aca="false">W54*'Assumption Setting'!$I$60</f>
        <v>0</v>
      </c>
      <c r="X56" s="79" t="n">
        <f aca="false">X54*'Assumption Setting'!$I$60</f>
        <v>0</v>
      </c>
      <c r="Y56" s="79" t="n">
        <f aca="false">Y54*'Assumption Setting'!$I$60</f>
        <v>0</v>
      </c>
      <c r="Z56" s="79" t="n">
        <f aca="false">Z54*'Assumption Setting'!$I$60</f>
        <v>0</v>
      </c>
      <c r="AA56" s="79" t="n">
        <f aca="false">AA54*'Assumption Setting'!$I$60</f>
        <v>0</v>
      </c>
      <c r="AB56" s="78" t="n">
        <f aca="false">SUM(AC56:AN56)</f>
        <v>0</v>
      </c>
      <c r="AC56" s="79" t="n">
        <f aca="false">AC54*'Assumption Setting'!$I$60</f>
        <v>0</v>
      </c>
      <c r="AD56" s="79" t="n">
        <f aca="false">AD54*'Assumption Setting'!$I$60</f>
        <v>0</v>
      </c>
      <c r="AE56" s="79" t="n">
        <f aca="false">AE54*'Assumption Setting'!$I$60</f>
        <v>0</v>
      </c>
      <c r="AF56" s="79" t="n">
        <f aca="false">AF54*'Assumption Setting'!$I$60</f>
        <v>0</v>
      </c>
      <c r="AG56" s="79" t="n">
        <f aca="false">AG54*'Assumption Setting'!$I$60</f>
        <v>0</v>
      </c>
      <c r="AH56" s="79" t="n">
        <f aca="false">AH54*'Assumption Setting'!$I$60</f>
        <v>0</v>
      </c>
      <c r="AI56" s="79" t="n">
        <f aca="false">AI54*'Assumption Setting'!$I$60</f>
        <v>0</v>
      </c>
      <c r="AJ56" s="79" t="n">
        <f aca="false">AJ54*'Assumption Setting'!$I$60</f>
        <v>0</v>
      </c>
      <c r="AK56" s="79" t="n">
        <f aca="false">AK54*'Assumption Setting'!$I$60</f>
        <v>0</v>
      </c>
      <c r="AL56" s="79" t="n">
        <f aca="false">AL54*'Assumption Setting'!$I$60</f>
        <v>0</v>
      </c>
      <c r="AM56" s="79" t="n">
        <f aca="false">AM54*'Assumption Setting'!$I$60</f>
        <v>0</v>
      </c>
      <c r="AN56" s="79" t="n">
        <f aca="false">AN54*'Assumption Setting'!$I$60</f>
        <v>0</v>
      </c>
      <c r="AO56" s="78" t="n">
        <f aca="false">SUM(AP56:BA56)</f>
        <v>0</v>
      </c>
      <c r="AP56" s="79" t="n">
        <f aca="false">AP54*'Assumption Setting'!$I$60</f>
        <v>0</v>
      </c>
      <c r="AQ56" s="79" t="n">
        <f aca="false">AQ54*'Assumption Setting'!$I$60</f>
        <v>0</v>
      </c>
      <c r="AR56" s="79" t="n">
        <f aca="false">AR54*'Assumption Setting'!$I$60</f>
        <v>0</v>
      </c>
      <c r="AS56" s="79" t="n">
        <f aca="false">AS54*'Assumption Setting'!$I$60</f>
        <v>0</v>
      </c>
      <c r="AT56" s="79" t="n">
        <f aca="false">AT54*'Assumption Setting'!$I$60</f>
        <v>0</v>
      </c>
      <c r="AU56" s="79" t="n">
        <f aca="false">AU54*'Assumption Setting'!$I$60</f>
        <v>0</v>
      </c>
      <c r="AV56" s="79" t="n">
        <f aca="false">AV54*'Assumption Setting'!$I$60</f>
        <v>0</v>
      </c>
      <c r="AW56" s="79" t="n">
        <f aca="false">AW54*'Assumption Setting'!$I$60</f>
        <v>0</v>
      </c>
      <c r="AX56" s="79" t="n">
        <f aca="false">AX54*'Assumption Setting'!$I$60</f>
        <v>0</v>
      </c>
      <c r="AY56" s="79" t="n">
        <f aca="false">AY54*'Assumption Setting'!$I$60</f>
        <v>0</v>
      </c>
      <c r="AZ56" s="79" t="n">
        <f aca="false">AZ54*'Assumption Setting'!$I$60</f>
        <v>0</v>
      </c>
      <c r="BA56" s="79" t="n">
        <f aca="false">BA54*'Assumption Setting'!$I$60</f>
        <v>0</v>
      </c>
      <c r="BB56" s="78" t="n">
        <f aca="false">SUM(BC56:BN56)</f>
        <v>0</v>
      </c>
      <c r="BC56" s="79" t="n">
        <f aca="false">BC54*'Assumption Setting'!$I$60</f>
        <v>0</v>
      </c>
      <c r="BD56" s="79" t="n">
        <f aca="false">BD54*'Assumption Setting'!$I$60</f>
        <v>0</v>
      </c>
      <c r="BE56" s="79" t="n">
        <f aca="false">BE54*'Assumption Setting'!$I$60</f>
        <v>0</v>
      </c>
      <c r="BF56" s="79" t="n">
        <f aca="false">BF54*'Assumption Setting'!$I$60</f>
        <v>0</v>
      </c>
      <c r="BG56" s="79" t="n">
        <f aca="false">BG54*'Assumption Setting'!$I$60</f>
        <v>0</v>
      </c>
      <c r="BH56" s="79" t="n">
        <f aca="false">BH54*'Assumption Setting'!$I$60</f>
        <v>0</v>
      </c>
      <c r="BI56" s="79" t="n">
        <f aca="false">BI54*'Assumption Setting'!$I$60</f>
        <v>0</v>
      </c>
      <c r="BJ56" s="79" t="n">
        <f aca="false">BJ54*'Assumption Setting'!$I$60</f>
        <v>0</v>
      </c>
      <c r="BK56" s="79" t="n">
        <f aca="false">BK54*'Assumption Setting'!$I$60</f>
        <v>0</v>
      </c>
      <c r="BL56" s="79" t="n">
        <f aca="false">BL54*'Assumption Setting'!$I$60</f>
        <v>0</v>
      </c>
      <c r="BM56" s="79" t="n">
        <f aca="false">BM54*'Assumption Setting'!$I$60</f>
        <v>0</v>
      </c>
      <c r="BN56" s="79" t="n">
        <f aca="false">BN54*'Assumption Setting'!$I$60</f>
        <v>0</v>
      </c>
    </row>
    <row r="57" customFormat="false" ht="15" hidden="false" customHeight="false" outlineLevel="0" collapsed="false">
      <c r="A57" s="12" t="s">
        <v>606</v>
      </c>
      <c r="B57" s="80" t="n">
        <f aca="false">SUM(C57:N57)</f>
        <v>360</v>
      </c>
      <c r="C57" s="81" t="n">
        <f aca="false">C54*'Assumption Setting'!$J$60</f>
        <v>30</v>
      </c>
      <c r="D57" s="81" t="n">
        <f aca="false">D54*'Assumption Setting'!$J$60</f>
        <v>30</v>
      </c>
      <c r="E57" s="81" t="n">
        <f aca="false">E54*'Assumption Setting'!$J$60</f>
        <v>30</v>
      </c>
      <c r="F57" s="81" t="n">
        <f aca="false">F54*'Assumption Setting'!$J$60</f>
        <v>30</v>
      </c>
      <c r="G57" s="81" t="n">
        <f aca="false">G54*'Assumption Setting'!$J$60</f>
        <v>30</v>
      </c>
      <c r="H57" s="81" t="n">
        <f aca="false">H54*'Assumption Setting'!$J$60</f>
        <v>30</v>
      </c>
      <c r="I57" s="81" t="n">
        <f aca="false">I54*'Assumption Setting'!$J$60</f>
        <v>30</v>
      </c>
      <c r="J57" s="81" t="n">
        <f aca="false">J54*'Assumption Setting'!$J$60</f>
        <v>30</v>
      </c>
      <c r="K57" s="81" t="n">
        <f aca="false">K54*'Assumption Setting'!$J$60</f>
        <v>30</v>
      </c>
      <c r="L57" s="81" t="n">
        <f aca="false">L54*'Assumption Setting'!$J$60</f>
        <v>30</v>
      </c>
      <c r="M57" s="81" t="n">
        <f aca="false">M54*'Assumption Setting'!$J$60</f>
        <v>30</v>
      </c>
      <c r="N57" s="81" t="n">
        <f aca="false">N54*'Assumption Setting'!$J$60</f>
        <v>30</v>
      </c>
      <c r="O57" s="80" t="n">
        <f aca="false">SUM(P57:AA57)</f>
        <v>480</v>
      </c>
      <c r="P57" s="81" t="n">
        <f aca="false">P54*'Assumption Setting'!$J$60</f>
        <v>40</v>
      </c>
      <c r="Q57" s="81" t="n">
        <f aca="false">Q54*'Assumption Setting'!$J$60</f>
        <v>40</v>
      </c>
      <c r="R57" s="81" t="n">
        <f aca="false">R54*'Assumption Setting'!$J$60</f>
        <v>40</v>
      </c>
      <c r="S57" s="81" t="n">
        <f aca="false">S54*'Assumption Setting'!$J$60</f>
        <v>40</v>
      </c>
      <c r="T57" s="81" t="n">
        <f aca="false">T54*'Assumption Setting'!$J$60</f>
        <v>40</v>
      </c>
      <c r="U57" s="81" t="n">
        <f aca="false">U54*'Assumption Setting'!$J$60</f>
        <v>40</v>
      </c>
      <c r="V57" s="81" t="n">
        <f aca="false">V54*'Assumption Setting'!$J$60</f>
        <v>40</v>
      </c>
      <c r="W57" s="81" t="n">
        <f aca="false">W54*'Assumption Setting'!$J$60</f>
        <v>40</v>
      </c>
      <c r="X57" s="81" t="n">
        <f aca="false">X54*'Assumption Setting'!$J$60</f>
        <v>40</v>
      </c>
      <c r="Y57" s="81" t="n">
        <f aca="false">Y54*'Assumption Setting'!$J$60</f>
        <v>40</v>
      </c>
      <c r="Z57" s="81" t="n">
        <f aca="false">Z54*'Assumption Setting'!$J$60</f>
        <v>40</v>
      </c>
      <c r="AA57" s="81" t="n">
        <f aca="false">AA54*'Assumption Setting'!$J$60</f>
        <v>40</v>
      </c>
      <c r="AB57" s="80" t="n">
        <f aca="false">SUM(AC57:AN57)</f>
        <v>660</v>
      </c>
      <c r="AC57" s="81" t="n">
        <f aca="false">AC54*'Assumption Setting'!$J$60</f>
        <v>55</v>
      </c>
      <c r="AD57" s="81" t="n">
        <f aca="false">AD54*'Assumption Setting'!$J$60</f>
        <v>55</v>
      </c>
      <c r="AE57" s="81" t="n">
        <f aca="false">AE54*'Assumption Setting'!$J$60</f>
        <v>55</v>
      </c>
      <c r="AF57" s="81" t="n">
        <f aca="false">AF54*'Assumption Setting'!$J$60</f>
        <v>55</v>
      </c>
      <c r="AG57" s="81" t="n">
        <f aca="false">AG54*'Assumption Setting'!$J$60</f>
        <v>55</v>
      </c>
      <c r="AH57" s="81" t="n">
        <f aca="false">AH54*'Assumption Setting'!$J$60</f>
        <v>55</v>
      </c>
      <c r="AI57" s="81" t="n">
        <f aca="false">AI54*'Assumption Setting'!$J$60</f>
        <v>55</v>
      </c>
      <c r="AJ57" s="81" t="n">
        <f aca="false">AJ54*'Assumption Setting'!$J$60</f>
        <v>55</v>
      </c>
      <c r="AK57" s="81" t="n">
        <f aca="false">AK54*'Assumption Setting'!$J$60</f>
        <v>55</v>
      </c>
      <c r="AL57" s="81" t="n">
        <f aca="false">AL54*'Assumption Setting'!$J$60</f>
        <v>55</v>
      </c>
      <c r="AM57" s="81" t="n">
        <f aca="false">AM54*'Assumption Setting'!$J$60</f>
        <v>55</v>
      </c>
      <c r="AN57" s="81" t="n">
        <f aca="false">AN54*'Assumption Setting'!$J$60</f>
        <v>55</v>
      </c>
      <c r="AO57" s="80" t="n">
        <f aca="false">SUM(AP57:BA57)</f>
        <v>840</v>
      </c>
      <c r="AP57" s="81" t="n">
        <f aca="false">AP54*'Assumption Setting'!$J$60</f>
        <v>70</v>
      </c>
      <c r="AQ57" s="81" t="n">
        <f aca="false">AQ54*'Assumption Setting'!$J$60</f>
        <v>70</v>
      </c>
      <c r="AR57" s="81" t="n">
        <f aca="false">AR54*'Assumption Setting'!$J$60</f>
        <v>70</v>
      </c>
      <c r="AS57" s="81" t="n">
        <f aca="false">AS54*'Assumption Setting'!$J$60</f>
        <v>70</v>
      </c>
      <c r="AT57" s="81" t="n">
        <f aca="false">AT54*'Assumption Setting'!$J$60</f>
        <v>70</v>
      </c>
      <c r="AU57" s="81" t="n">
        <f aca="false">AU54*'Assumption Setting'!$J$60</f>
        <v>70</v>
      </c>
      <c r="AV57" s="81" t="n">
        <f aca="false">AV54*'Assumption Setting'!$J$60</f>
        <v>70</v>
      </c>
      <c r="AW57" s="81" t="n">
        <f aca="false">AW54*'Assumption Setting'!$J$60</f>
        <v>70</v>
      </c>
      <c r="AX57" s="81" t="n">
        <f aca="false">AX54*'Assumption Setting'!$J$60</f>
        <v>70</v>
      </c>
      <c r="AY57" s="81" t="n">
        <f aca="false">AY54*'Assumption Setting'!$J$60</f>
        <v>70</v>
      </c>
      <c r="AZ57" s="81" t="n">
        <f aca="false">AZ54*'Assumption Setting'!$J$60</f>
        <v>70</v>
      </c>
      <c r="BA57" s="81" t="n">
        <f aca="false">BA54*'Assumption Setting'!$J$60</f>
        <v>70</v>
      </c>
      <c r="BB57" s="80" t="n">
        <f aca="false">SUM(BC57:BN57)</f>
        <v>1020</v>
      </c>
      <c r="BC57" s="81" t="n">
        <f aca="false">BC54*'Assumption Setting'!$J$60</f>
        <v>85</v>
      </c>
      <c r="BD57" s="81" t="n">
        <f aca="false">BD54*'Assumption Setting'!$J$60</f>
        <v>85</v>
      </c>
      <c r="BE57" s="81" t="n">
        <f aca="false">BE54*'Assumption Setting'!$J$60</f>
        <v>85</v>
      </c>
      <c r="BF57" s="81" t="n">
        <f aca="false">BF54*'Assumption Setting'!$J$60</f>
        <v>85</v>
      </c>
      <c r="BG57" s="81" t="n">
        <f aca="false">BG54*'Assumption Setting'!$J$60</f>
        <v>85</v>
      </c>
      <c r="BH57" s="81" t="n">
        <f aca="false">BH54*'Assumption Setting'!$J$60</f>
        <v>85</v>
      </c>
      <c r="BI57" s="81" t="n">
        <f aca="false">BI54*'Assumption Setting'!$J$60</f>
        <v>85</v>
      </c>
      <c r="BJ57" s="81" t="n">
        <f aca="false">BJ54*'Assumption Setting'!$J$60</f>
        <v>85</v>
      </c>
      <c r="BK57" s="81" t="n">
        <f aca="false">BK54*'Assumption Setting'!$J$60</f>
        <v>85</v>
      </c>
      <c r="BL57" s="81" t="n">
        <f aca="false">BL54*'Assumption Setting'!$J$60</f>
        <v>85</v>
      </c>
      <c r="BM57" s="81" t="n">
        <f aca="false">BM54*'Assumption Setting'!$J$60</f>
        <v>85</v>
      </c>
      <c r="BN57" s="81" t="n">
        <f aca="false">BN54*'Assumption Setting'!$J$60</f>
        <v>85</v>
      </c>
    </row>
    <row r="58" customFormat="false" ht="15" hidden="false" customHeight="false" outlineLevel="0" collapsed="false">
      <c r="A58" s="69" t="s">
        <v>607</v>
      </c>
      <c r="B58" s="64" t="n">
        <f aca="false">SUM(C58:N58)</f>
        <v>6060</v>
      </c>
      <c r="C58" s="70" t="n">
        <f aca="false">C39+C43+C47+C51+C55</f>
        <v>505</v>
      </c>
      <c r="D58" s="70" t="n">
        <f aca="false">D39+D43+D47+D51+D55</f>
        <v>505</v>
      </c>
      <c r="E58" s="70" t="n">
        <f aca="false">E39+E43+E47+E51+E55</f>
        <v>505</v>
      </c>
      <c r="F58" s="70" t="n">
        <f aca="false">F39+F43+F47+F51+F55</f>
        <v>505</v>
      </c>
      <c r="G58" s="70" t="n">
        <f aca="false">G39+G43+G47+G51+G55</f>
        <v>505</v>
      </c>
      <c r="H58" s="70" t="n">
        <f aca="false">H39+H43+H47+H51+H55</f>
        <v>505</v>
      </c>
      <c r="I58" s="70" t="n">
        <f aca="false">I39+I43+I47+I51+I55</f>
        <v>505</v>
      </c>
      <c r="J58" s="70" t="n">
        <f aca="false">J39+J43+J47+J51+J55</f>
        <v>505</v>
      </c>
      <c r="K58" s="70" t="n">
        <f aca="false">K39+K43+K47+K51+K55</f>
        <v>505</v>
      </c>
      <c r="L58" s="70" t="n">
        <f aca="false">L39+L43+L47+L51+L55</f>
        <v>505</v>
      </c>
      <c r="M58" s="70" t="n">
        <f aca="false">M39+M43+M47+M51+M55</f>
        <v>505</v>
      </c>
      <c r="N58" s="70" t="n">
        <f aca="false">N39+N43+N47+N51+N55</f>
        <v>505</v>
      </c>
      <c r="O58" s="64" t="n">
        <f aca="false">SUM(P58:AA58)</f>
        <v>23340</v>
      </c>
      <c r="P58" s="70" t="n">
        <f aca="false">P39+P43+P47+P51+P55</f>
        <v>1945</v>
      </c>
      <c r="Q58" s="70" t="n">
        <f aca="false">Q39+Q43+Q47+Q51+Q55</f>
        <v>1945</v>
      </c>
      <c r="R58" s="70" t="n">
        <f aca="false">R39+R43+R47+R51+R55</f>
        <v>1945</v>
      </c>
      <c r="S58" s="70" t="n">
        <f aca="false">S39+S43+S47+S51+S55</f>
        <v>1945</v>
      </c>
      <c r="T58" s="70" t="n">
        <f aca="false">T39+T43+T47+T51+T55</f>
        <v>1945</v>
      </c>
      <c r="U58" s="70" t="n">
        <f aca="false">U39+U43+U47+U51+U55</f>
        <v>1945</v>
      </c>
      <c r="V58" s="70" t="n">
        <f aca="false">V39+V43+V47+V51+V55</f>
        <v>1945</v>
      </c>
      <c r="W58" s="70" t="n">
        <f aca="false">W39+W43+W47+W51+W55</f>
        <v>1945</v>
      </c>
      <c r="X58" s="70" t="n">
        <f aca="false">X39+X43+X47+X51+X55</f>
        <v>1945</v>
      </c>
      <c r="Y58" s="70" t="n">
        <f aca="false">Y39+Y43+Y47+Y51+Y55</f>
        <v>1945</v>
      </c>
      <c r="Z58" s="70" t="n">
        <f aca="false">Z39+Z43+Z47+Z51+Z55</f>
        <v>1945</v>
      </c>
      <c r="AA58" s="70" t="n">
        <f aca="false">AA39+AA43+AA47+AA51+AA55</f>
        <v>1945</v>
      </c>
      <c r="AB58" s="64" t="n">
        <f aca="false">SUM(AC58:AN58)</f>
        <v>45720</v>
      </c>
      <c r="AC58" s="70" t="n">
        <f aca="false">AC39+AC43+AC47+AC51+AC55</f>
        <v>3810</v>
      </c>
      <c r="AD58" s="70" t="n">
        <f aca="false">AD39+AD43+AD47+AD51+AD55</f>
        <v>3810</v>
      </c>
      <c r="AE58" s="70" t="n">
        <f aca="false">AE39+AE43+AE47+AE51+AE55</f>
        <v>3810</v>
      </c>
      <c r="AF58" s="70" t="n">
        <f aca="false">AF39+AF43+AF47+AF51+AF55</f>
        <v>3810</v>
      </c>
      <c r="AG58" s="70" t="n">
        <f aca="false">AG39+AG43+AG47+AG51+AG55</f>
        <v>3810</v>
      </c>
      <c r="AH58" s="70" t="n">
        <f aca="false">AH39+AH43+AH47+AH51+AH55</f>
        <v>3810</v>
      </c>
      <c r="AI58" s="70" t="n">
        <f aca="false">AI39+AI43+AI47+AI51+AI55</f>
        <v>3810</v>
      </c>
      <c r="AJ58" s="70" t="n">
        <f aca="false">AJ39+AJ43+AJ47+AJ51+AJ55</f>
        <v>3810</v>
      </c>
      <c r="AK58" s="70" t="n">
        <f aca="false">AK39+AK43+AK47+AK51+AK55</f>
        <v>3810</v>
      </c>
      <c r="AL58" s="70" t="n">
        <f aca="false">AL39+AL43+AL47+AL51+AL55</f>
        <v>3810</v>
      </c>
      <c r="AM58" s="70" t="n">
        <f aca="false">AM39+AM43+AM47+AM51+AM55</f>
        <v>3810</v>
      </c>
      <c r="AN58" s="70" t="n">
        <f aca="false">AN39+AN43+AN47+AN51+AN55</f>
        <v>3810</v>
      </c>
      <c r="AO58" s="64" t="n">
        <f aca="false">SUM(AP58:BA58)</f>
        <v>60480</v>
      </c>
      <c r="AP58" s="70" t="n">
        <f aca="false">AP39+AP43+AP47+AP51+AP55</f>
        <v>5040</v>
      </c>
      <c r="AQ58" s="70" t="n">
        <f aca="false">AQ39+AQ43+AQ47+AQ51+AQ55</f>
        <v>5040</v>
      </c>
      <c r="AR58" s="70" t="n">
        <f aca="false">AR39+AR43+AR47+AR51+AR55</f>
        <v>5040</v>
      </c>
      <c r="AS58" s="70" t="n">
        <f aca="false">AS39+AS43+AS47+AS51+AS55</f>
        <v>5040</v>
      </c>
      <c r="AT58" s="70" t="n">
        <f aca="false">AT39+AT43+AT47+AT51+AT55</f>
        <v>5040</v>
      </c>
      <c r="AU58" s="70" t="n">
        <f aca="false">AU39+AU43+AU47+AU51+AU55</f>
        <v>5040</v>
      </c>
      <c r="AV58" s="70" t="n">
        <f aca="false">AV39+AV43+AV47+AV51+AV55</f>
        <v>5040</v>
      </c>
      <c r="AW58" s="70" t="n">
        <f aca="false">AW39+AW43+AW47+AW51+AW55</f>
        <v>5040</v>
      </c>
      <c r="AX58" s="70" t="n">
        <f aca="false">AX39+AX43+AX47+AX51+AX55</f>
        <v>5040</v>
      </c>
      <c r="AY58" s="70" t="n">
        <f aca="false">AY39+AY43+AY47+AY51+AY55</f>
        <v>5040</v>
      </c>
      <c r="AZ58" s="70" t="n">
        <f aca="false">AZ39+AZ43+AZ47+AZ51+AZ55</f>
        <v>5040</v>
      </c>
      <c r="BA58" s="70" t="n">
        <f aca="false">BA39+BA43+BA47+BA51+BA55</f>
        <v>5040</v>
      </c>
      <c r="BB58" s="64" t="n">
        <f aca="false">SUM(BC58:BN58)</f>
        <v>75240</v>
      </c>
      <c r="BC58" s="70" t="n">
        <f aca="false">BC39+BC43+BC47+BC51+BC55</f>
        <v>6270</v>
      </c>
      <c r="BD58" s="70" t="n">
        <f aca="false">BD39+BD43+BD47+BD51+BD55</f>
        <v>6270</v>
      </c>
      <c r="BE58" s="70" t="n">
        <f aca="false">BE39+BE43+BE47+BE51+BE55</f>
        <v>6270</v>
      </c>
      <c r="BF58" s="70" t="n">
        <f aca="false">BF39+BF43+BF47+BF51+BF55</f>
        <v>6270</v>
      </c>
      <c r="BG58" s="70" t="n">
        <f aca="false">BG39+BG43+BG47+BG51+BG55</f>
        <v>6270</v>
      </c>
      <c r="BH58" s="70" t="n">
        <f aca="false">BH39+BH43+BH47+BH51+BH55</f>
        <v>6270</v>
      </c>
      <c r="BI58" s="70" t="n">
        <f aca="false">BI39+BI43+BI47+BI51+BI55</f>
        <v>6270</v>
      </c>
      <c r="BJ58" s="70" t="n">
        <f aca="false">BJ39+BJ43+BJ47+BJ51+BJ55</f>
        <v>6270</v>
      </c>
      <c r="BK58" s="70" t="n">
        <f aca="false">BK39+BK43+BK47+BK51+BK55</f>
        <v>6270</v>
      </c>
      <c r="BL58" s="70" t="n">
        <f aca="false">BL39+BL43+BL47+BL51+BL55</f>
        <v>6270</v>
      </c>
      <c r="BM58" s="70" t="n">
        <f aca="false">BM39+BM43+BM47+BM51+BM55</f>
        <v>6270</v>
      </c>
      <c r="BN58" s="70" t="n">
        <f aca="false">BN39+BN43+BN47+BN51+BN55</f>
        <v>6270</v>
      </c>
    </row>
    <row r="59" customFormat="false" ht="15" hidden="false" customHeight="false" outlineLevel="0" collapsed="false">
      <c r="A59" s="18" t="s">
        <v>608</v>
      </c>
      <c r="B59" s="78" t="n">
        <f aca="false">SUM(C59:N59)</f>
        <v>1224</v>
      </c>
      <c r="C59" s="82" t="n">
        <f aca="false">C40+C44+C48+C52+C56</f>
        <v>102</v>
      </c>
      <c r="D59" s="82" t="n">
        <f aca="false">D40+D44+D48+D52+D56</f>
        <v>102</v>
      </c>
      <c r="E59" s="82" t="n">
        <f aca="false">E40+E44+E48+E52+E56</f>
        <v>102</v>
      </c>
      <c r="F59" s="82" t="n">
        <f aca="false">F40+F44+F48+F52+F56</f>
        <v>102</v>
      </c>
      <c r="G59" s="82" t="n">
        <f aca="false">G40+G44+G48+G52+G56</f>
        <v>102</v>
      </c>
      <c r="H59" s="82" t="n">
        <f aca="false">H40+H44+H48+H52+H56</f>
        <v>102</v>
      </c>
      <c r="I59" s="82" t="n">
        <f aca="false">I40+I44+I48+I52+I56</f>
        <v>102</v>
      </c>
      <c r="J59" s="82" t="n">
        <f aca="false">J40+J44+J48+J52+J56</f>
        <v>102</v>
      </c>
      <c r="K59" s="82" t="n">
        <f aca="false">K40+K44+K48+K52+K56</f>
        <v>102</v>
      </c>
      <c r="L59" s="82" t="n">
        <f aca="false">L40+L44+L48+L52+L56</f>
        <v>102</v>
      </c>
      <c r="M59" s="82" t="n">
        <f aca="false">M40+M44+M48+M52+M56</f>
        <v>102</v>
      </c>
      <c r="N59" s="82" t="n">
        <f aca="false">N40+N44+N48+N52+N56</f>
        <v>102</v>
      </c>
      <c r="O59" s="78" t="n">
        <f aca="false">SUM(P59:AA59)</f>
        <v>4440</v>
      </c>
      <c r="P59" s="82" t="n">
        <f aca="false">P40+P44+P48+P52+P56</f>
        <v>370</v>
      </c>
      <c r="Q59" s="82" t="n">
        <f aca="false">Q40+Q44+Q48+Q52+Q56</f>
        <v>370</v>
      </c>
      <c r="R59" s="82" t="n">
        <f aca="false">R40+R44+R48+R52+R56</f>
        <v>370</v>
      </c>
      <c r="S59" s="82" t="n">
        <f aca="false">S40+S44+S48+S52+S56</f>
        <v>370</v>
      </c>
      <c r="T59" s="82" t="n">
        <f aca="false">T40+T44+T48+T52+T56</f>
        <v>370</v>
      </c>
      <c r="U59" s="82" t="n">
        <f aca="false">U40+U44+U48+U52+U56</f>
        <v>370</v>
      </c>
      <c r="V59" s="82" t="n">
        <f aca="false">V40+V44+V48+V52+V56</f>
        <v>370</v>
      </c>
      <c r="W59" s="82" t="n">
        <f aca="false">W40+W44+W48+W52+W56</f>
        <v>370</v>
      </c>
      <c r="X59" s="82" t="n">
        <f aca="false">X40+X44+X48+X52+X56</f>
        <v>370</v>
      </c>
      <c r="Y59" s="82" t="n">
        <f aca="false">Y40+Y44+Y48+Y52+Y56</f>
        <v>370</v>
      </c>
      <c r="Z59" s="82" t="n">
        <f aca="false">Z40+Z44+Z48+Z52+Z56</f>
        <v>370</v>
      </c>
      <c r="AA59" s="82" t="n">
        <f aca="false">AA40+AA44+AA48+AA52+AA56</f>
        <v>370</v>
      </c>
      <c r="AB59" s="78" t="n">
        <f aca="false">SUM(AC59:AN59)</f>
        <v>8616</v>
      </c>
      <c r="AC59" s="82" t="n">
        <f aca="false">AC40+AC44+AC48+AC52+AC56</f>
        <v>718</v>
      </c>
      <c r="AD59" s="82" t="n">
        <f aca="false">AD40+AD44+AD48+AD52+AD56</f>
        <v>718</v>
      </c>
      <c r="AE59" s="82" t="n">
        <f aca="false">AE40+AE44+AE48+AE52+AE56</f>
        <v>718</v>
      </c>
      <c r="AF59" s="82" t="n">
        <f aca="false">AF40+AF44+AF48+AF52+AF56</f>
        <v>718</v>
      </c>
      <c r="AG59" s="82" t="n">
        <f aca="false">AG40+AG44+AG48+AG52+AG56</f>
        <v>718</v>
      </c>
      <c r="AH59" s="82" t="n">
        <f aca="false">AH40+AH44+AH48+AH52+AH56</f>
        <v>718</v>
      </c>
      <c r="AI59" s="82" t="n">
        <f aca="false">AI40+AI44+AI48+AI52+AI56</f>
        <v>718</v>
      </c>
      <c r="AJ59" s="82" t="n">
        <f aca="false">AJ40+AJ44+AJ48+AJ52+AJ56</f>
        <v>718</v>
      </c>
      <c r="AK59" s="82" t="n">
        <f aca="false">AK40+AK44+AK48+AK52+AK56</f>
        <v>718</v>
      </c>
      <c r="AL59" s="82" t="n">
        <f aca="false">AL40+AL44+AL48+AL52+AL56</f>
        <v>718</v>
      </c>
      <c r="AM59" s="82" t="n">
        <f aca="false">AM40+AM44+AM48+AM52+AM56</f>
        <v>718</v>
      </c>
      <c r="AN59" s="82" t="n">
        <f aca="false">AN40+AN44+AN48+AN52+AN56</f>
        <v>718</v>
      </c>
      <c r="AO59" s="78" t="n">
        <f aca="false">SUM(AP59:BA59)</f>
        <v>11448</v>
      </c>
      <c r="AP59" s="82" t="n">
        <f aca="false">AP40+AP44+AP48+AP52+AP56</f>
        <v>954</v>
      </c>
      <c r="AQ59" s="82" t="n">
        <f aca="false">AQ40+AQ44+AQ48+AQ52+AQ56</f>
        <v>954</v>
      </c>
      <c r="AR59" s="82" t="n">
        <f aca="false">AR40+AR44+AR48+AR52+AR56</f>
        <v>954</v>
      </c>
      <c r="AS59" s="82" t="n">
        <f aca="false">AS40+AS44+AS48+AS52+AS56</f>
        <v>954</v>
      </c>
      <c r="AT59" s="82" t="n">
        <f aca="false">AT40+AT44+AT48+AT52+AT56</f>
        <v>954</v>
      </c>
      <c r="AU59" s="82" t="n">
        <f aca="false">AU40+AU44+AU48+AU52+AU56</f>
        <v>954</v>
      </c>
      <c r="AV59" s="82" t="n">
        <f aca="false">AV40+AV44+AV48+AV52+AV56</f>
        <v>954</v>
      </c>
      <c r="AW59" s="82" t="n">
        <f aca="false">AW40+AW44+AW48+AW52+AW56</f>
        <v>954</v>
      </c>
      <c r="AX59" s="82" t="n">
        <f aca="false">AX40+AX44+AX48+AX52+AX56</f>
        <v>954</v>
      </c>
      <c r="AY59" s="82" t="n">
        <f aca="false">AY40+AY44+AY48+AY52+AY56</f>
        <v>954</v>
      </c>
      <c r="AZ59" s="82" t="n">
        <f aca="false">AZ40+AZ44+AZ48+AZ52+AZ56</f>
        <v>954</v>
      </c>
      <c r="BA59" s="82" t="n">
        <f aca="false">BA40+BA44+BA48+BA52+BA56</f>
        <v>954</v>
      </c>
      <c r="BB59" s="78" t="n">
        <f aca="false">SUM(BC59:BN59)</f>
        <v>14280</v>
      </c>
      <c r="BC59" s="82" t="n">
        <f aca="false">BC40+BC44+BC48+BC52+BC56</f>
        <v>1190</v>
      </c>
      <c r="BD59" s="82" t="n">
        <f aca="false">BD40+BD44+BD48+BD52+BD56</f>
        <v>1190</v>
      </c>
      <c r="BE59" s="82" t="n">
        <f aca="false">BE40+BE44+BE48+BE52+BE56</f>
        <v>1190</v>
      </c>
      <c r="BF59" s="82" t="n">
        <f aca="false">BF40+BF44+BF48+BF52+BF56</f>
        <v>1190</v>
      </c>
      <c r="BG59" s="82" t="n">
        <f aca="false">BG40+BG44+BG48+BG52+BG56</f>
        <v>1190</v>
      </c>
      <c r="BH59" s="82" t="n">
        <f aca="false">BH40+BH44+BH48+BH52+BH56</f>
        <v>1190</v>
      </c>
      <c r="BI59" s="82" t="n">
        <f aca="false">BI40+BI44+BI48+BI52+BI56</f>
        <v>1190</v>
      </c>
      <c r="BJ59" s="82" t="n">
        <f aca="false">BJ40+BJ44+BJ48+BJ52+BJ56</f>
        <v>1190</v>
      </c>
      <c r="BK59" s="82" t="n">
        <f aca="false">BK40+BK44+BK48+BK52+BK56</f>
        <v>1190</v>
      </c>
      <c r="BL59" s="82" t="n">
        <f aca="false">BL40+BL44+BL48+BL52+BL56</f>
        <v>1190</v>
      </c>
      <c r="BM59" s="82" t="n">
        <f aca="false">BM40+BM44+BM48+BM52+BM56</f>
        <v>1190</v>
      </c>
      <c r="BN59" s="82" t="n">
        <f aca="false">BN40+BN44+BN48+BN52+BN56</f>
        <v>1190</v>
      </c>
    </row>
    <row r="60" customFormat="false" ht="15" hidden="false" customHeight="false" outlineLevel="0" collapsed="false">
      <c r="A60" s="18" t="s">
        <v>609</v>
      </c>
      <c r="B60" s="80" t="n">
        <f aca="false">SUM(C60:N60)</f>
        <v>384.72</v>
      </c>
      <c r="C60" s="83" t="n">
        <f aca="false">C41+C45+C49+C53+C57</f>
        <v>32.06</v>
      </c>
      <c r="D60" s="83" t="n">
        <f aca="false">D41+D45+D49+D53+D57</f>
        <v>32.06</v>
      </c>
      <c r="E60" s="83" t="n">
        <f aca="false">E41+E45+E49+E53+E57</f>
        <v>32.06</v>
      </c>
      <c r="F60" s="83" t="n">
        <f aca="false">F41+F45+F49+F53+F57</f>
        <v>32.06</v>
      </c>
      <c r="G60" s="83" t="n">
        <f aca="false">G41+G45+G49+G53+G57</f>
        <v>32.06</v>
      </c>
      <c r="H60" s="83" t="n">
        <f aca="false">H41+H45+H49+H53+H57</f>
        <v>32.06</v>
      </c>
      <c r="I60" s="83" t="n">
        <f aca="false">I41+I45+I49+I53+I57</f>
        <v>32.06</v>
      </c>
      <c r="J60" s="83" t="n">
        <f aca="false">J41+J45+J49+J53+J57</f>
        <v>32.06</v>
      </c>
      <c r="K60" s="83" t="n">
        <f aca="false">K41+K45+K49+K53+K57</f>
        <v>32.06</v>
      </c>
      <c r="L60" s="83" t="n">
        <f aca="false">L41+L45+L49+L53+L57</f>
        <v>32.06</v>
      </c>
      <c r="M60" s="83" t="n">
        <f aca="false">M41+M45+M49+M53+M57</f>
        <v>32.06</v>
      </c>
      <c r="N60" s="83" t="n">
        <f aca="false">N41+N45+N49+N53+N57</f>
        <v>32.06</v>
      </c>
      <c r="O60" s="80" t="n">
        <f aca="false">SUM(P60:AA60)</f>
        <v>576</v>
      </c>
      <c r="P60" s="83" t="n">
        <f aca="false">P41+P45+P49+P53+P57</f>
        <v>48</v>
      </c>
      <c r="Q60" s="83" t="n">
        <f aca="false">Q41+Q45+Q49+Q53+Q57</f>
        <v>48</v>
      </c>
      <c r="R60" s="83" t="n">
        <f aca="false">R41+R45+R49+R53+R57</f>
        <v>48</v>
      </c>
      <c r="S60" s="83" t="n">
        <f aca="false">S41+S45+S49+S53+S57</f>
        <v>48</v>
      </c>
      <c r="T60" s="83" t="n">
        <f aca="false">T41+T45+T49+T53+T57</f>
        <v>48</v>
      </c>
      <c r="U60" s="83" t="n">
        <f aca="false">U41+U45+U49+U53+U57</f>
        <v>48</v>
      </c>
      <c r="V60" s="83" t="n">
        <f aca="false">V41+V45+V49+V53+V57</f>
        <v>48</v>
      </c>
      <c r="W60" s="83" t="n">
        <f aca="false">W41+W45+W49+W53+W57</f>
        <v>48</v>
      </c>
      <c r="X60" s="83" t="n">
        <f aca="false">X41+X45+X49+X53+X57</f>
        <v>48</v>
      </c>
      <c r="Y60" s="83" t="n">
        <f aca="false">Y41+Y45+Y49+Y53+Y57</f>
        <v>48</v>
      </c>
      <c r="Z60" s="83" t="n">
        <f aca="false">Z41+Z45+Z49+Z53+Z57</f>
        <v>48</v>
      </c>
      <c r="AA60" s="83" t="n">
        <f aca="false">AA41+AA45+AA49+AA53+AA57</f>
        <v>48</v>
      </c>
      <c r="AB60" s="80" t="n">
        <f aca="false">SUM(AC60:AN60)</f>
        <v>848.4</v>
      </c>
      <c r="AC60" s="83" t="n">
        <f aca="false">AC41+AC45+AC49+AC53+AC57</f>
        <v>70.7</v>
      </c>
      <c r="AD60" s="83" t="n">
        <f aca="false">AD41+AD45+AD49+AD53+AD57</f>
        <v>70.7</v>
      </c>
      <c r="AE60" s="83" t="n">
        <f aca="false">AE41+AE45+AE49+AE53+AE57</f>
        <v>70.7</v>
      </c>
      <c r="AF60" s="83" t="n">
        <f aca="false">AF41+AF45+AF49+AF53+AF57</f>
        <v>70.7</v>
      </c>
      <c r="AG60" s="83" t="n">
        <f aca="false">AG41+AG45+AG49+AG53+AG57</f>
        <v>70.7</v>
      </c>
      <c r="AH60" s="83" t="n">
        <f aca="false">AH41+AH45+AH49+AH53+AH57</f>
        <v>70.7</v>
      </c>
      <c r="AI60" s="83" t="n">
        <f aca="false">AI41+AI45+AI49+AI53+AI57</f>
        <v>70.7</v>
      </c>
      <c r="AJ60" s="83" t="n">
        <f aca="false">AJ41+AJ45+AJ49+AJ53+AJ57</f>
        <v>70.7</v>
      </c>
      <c r="AK60" s="83" t="n">
        <f aca="false">AK41+AK45+AK49+AK53+AK57</f>
        <v>70.7</v>
      </c>
      <c r="AL60" s="83" t="n">
        <f aca="false">AL41+AL45+AL49+AL53+AL57</f>
        <v>70.7</v>
      </c>
      <c r="AM60" s="83" t="n">
        <f aca="false">AM41+AM45+AM49+AM53+AM57</f>
        <v>70.7</v>
      </c>
      <c r="AN60" s="83" t="n">
        <f aca="false">AN41+AN45+AN49+AN53+AN57</f>
        <v>70.7</v>
      </c>
      <c r="AO60" s="80" t="n">
        <f aca="false">SUM(AP60:BA60)</f>
        <v>1090.8</v>
      </c>
      <c r="AP60" s="83" t="n">
        <f aca="false">AP41+AP45+AP49+AP53+AP57</f>
        <v>90.9</v>
      </c>
      <c r="AQ60" s="83" t="n">
        <f aca="false">AQ41+AQ45+AQ49+AQ53+AQ57</f>
        <v>90.9</v>
      </c>
      <c r="AR60" s="83" t="n">
        <f aca="false">AR41+AR45+AR49+AR53+AR57</f>
        <v>90.9</v>
      </c>
      <c r="AS60" s="83" t="n">
        <f aca="false">AS41+AS45+AS49+AS53+AS57</f>
        <v>90.9</v>
      </c>
      <c r="AT60" s="83" t="n">
        <f aca="false">AT41+AT45+AT49+AT53+AT57</f>
        <v>90.9</v>
      </c>
      <c r="AU60" s="83" t="n">
        <f aca="false">AU41+AU45+AU49+AU53+AU57</f>
        <v>90.9</v>
      </c>
      <c r="AV60" s="83" t="n">
        <f aca="false">AV41+AV45+AV49+AV53+AV57</f>
        <v>90.9</v>
      </c>
      <c r="AW60" s="83" t="n">
        <f aca="false">AW41+AW45+AW49+AW53+AW57</f>
        <v>90.9</v>
      </c>
      <c r="AX60" s="83" t="n">
        <f aca="false">AX41+AX45+AX49+AX53+AX57</f>
        <v>90.9</v>
      </c>
      <c r="AY60" s="83" t="n">
        <f aca="false">AY41+AY45+AY49+AY53+AY57</f>
        <v>90.9</v>
      </c>
      <c r="AZ60" s="83" t="n">
        <f aca="false">AZ41+AZ45+AZ49+AZ53+AZ57</f>
        <v>90.9</v>
      </c>
      <c r="BA60" s="83" t="n">
        <f aca="false">BA41+BA45+BA49+BA53+BA57</f>
        <v>90.9</v>
      </c>
      <c r="BB60" s="80" t="n">
        <f aca="false">SUM(BC60:BN60)</f>
        <v>1333.2</v>
      </c>
      <c r="BC60" s="83" t="n">
        <f aca="false">BC41+BC45+BC49+BC53+BC57</f>
        <v>111.1</v>
      </c>
      <c r="BD60" s="83" t="n">
        <f aca="false">BD41+BD45+BD49+BD53+BD57</f>
        <v>111.1</v>
      </c>
      <c r="BE60" s="83" t="n">
        <f aca="false">BE41+BE45+BE49+BE53+BE57</f>
        <v>111.1</v>
      </c>
      <c r="BF60" s="83" t="n">
        <f aca="false">BF41+BF45+BF49+BF53+BF57</f>
        <v>111.1</v>
      </c>
      <c r="BG60" s="83" t="n">
        <f aca="false">BG41+BG45+BG49+BG53+BG57</f>
        <v>111.1</v>
      </c>
      <c r="BH60" s="83" t="n">
        <f aca="false">BH41+BH45+BH49+BH53+BH57</f>
        <v>111.1</v>
      </c>
      <c r="BI60" s="83" t="n">
        <f aca="false">BI41+BI45+BI49+BI53+BI57</f>
        <v>111.1</v>
      </c>
      <c r="BJ60" s="83" t="n">
        <f aca="false">BJ41+BJ45+BJ49+BJ53+BJ57</f>
        <v>111.1</v>
      </c>
      <c r="BK60" s="83" t="n">
        <f aca="false">BK41+BK45+BK49+BK53+BK57</f>
        <v>111.1</v>
      </c>
      <c r="BL60" s="83" t="n">
        <f aca="false">BL41+BL45+BL49+BL53+BL57</f>
        <v>111.1</v>
      </c>
      <c r="BM60" s="83" t="n">
        <f aca="false">BM41+BM45+BM49+BM53+BM57</f>
        <v>111.1</v>
      </c>
      <c r="BN60" s="83" t="n">
        <f aca="false">BN41+BN45+BN49+BN53+BN57</f>
        <v>111.1</v>
      </c>
    </row>
    <row r="61" customFormat="false" ht="15" hidden="false" customHeight="false" outlineLevel="0" collapsed="false">
      <c r="A61" s="66" t="s">
        <v>610</v>
      </c>
      <c r="B61" s="67" t="n">
        <f aca="false">SUM(C61:N61)</f>
        <v>10140</v>
      </c>
      <c r="C61" s="68" t="n">
        <f aca="false">C31+C58</f>
        <v>845</v>
      </c>
      <c r="D61" s="68" t="n">
        <f aca="false">D31+D58</f>
        <v>845</v>
      </c>
      <c r="E61" s="68" t="n">
        <f aca="false">E31+E58</f>
        <v>845</v>
      </c>
      <c r="F61" s="68" t="n">
        <f aca="false">F31+F58</f>
        <v>845</v>
      </c>
      <c r="G61" s="68" t="n">
        <f aca="false">G31+G58</f>
        <v>845</v>
      </c>
      <c r="H61" s="68" t="n">
        <f aca="false">H31+H58</f>
        <v>845</v>
      </c>
      <c r="I61" s="68" t="n">
        <f aca="false">I31+I58</f>
        <v>845</v>
      </c>
      <c r="J61" s="68" t="n">
        <f aca="false">J31+J58</f>
        <v>845</v>
      </c>
      <c r="K61" s="68" t="n">
        <f aca="false">K31+K58</f>
        <v>845</v>
      </c>
      <c r="L61" s="68" t="n">
        <f aca="false">L31+L58</f>
        <v>845</v>
      </c>
      <c r="M61" s="68" t="n">
        <f aca="false">M31+M58</f>
        <v>845</v>
      </c>
      <c r="N61" s="68" t="n">
        <f aca="false">N31+N58</f>
        <v>845</v>
      </c>
      <c r="O61" s="67" t="n">
        <f aca="false">SUM(P61:AA61)</f>
        <v>37500</v>
      </c>
      <c r="P61" s="68" t="n">
        <f aca="false">P31+P58</f>
        <v>3125</v>
      </c>
      <c r="Q61" s="68" t="n">
        <f aca="false">Q31+Q58</f>
        <v>3125</v>
      </c>
      <c r="R61" s="68" t="n">
        <f aca="false">R31+R58</f>
        <v>3125</v>
      </c>
      <c r="S61" s="68" t="n">
        <f aca="false">S31+S58</f>
        <v>3125</v>
      </c>
      <c r="T61" s="68" t="n">
        <f aca="false">T31+T58</f>
        <v>3125</v>
      </c>
      <c r="U61" s="68" t="n">
        <f aca="false">U31+U58</f>
        <v>3125</v>
      </c>
      <c r="V61" s="68" t="n">
        <f aca="false">V31+V58</f>
        <v>3125</v>
      </c>
      <c r="W61" s="68" t="n">
        <f aca="false">W31+W58</f>
        <v>3125</v>
      </c>
      <c r="X61" s="68" t="n">
        <f aca="false">X31+X58</f>
        <v>3125</v>
      </c>
      <c r="Y61" s="68" t="n">
        <f aca="false">Y31+Y58</f>
        <v>3125</v>
      </c>
      <c r="Z61" s="68" t="n">
        <f aca="false">Z31+Z58</f>
        <v>3125</v>
      </c>
      <c r="AA61" s="68" t="n">
        <f aca="false">AA31+AA58</f>
        <v>3125</v>
      </c>
      <c r="AB61" s="67" t="n">
        <f aca="false">SUM(AC61:AN61)</f>
        <v>74520</v>
      </c>
      <c r="AC61" s="68" t="n">
        <f aca="false">AC31+AC58</f>
        <v>6210</v>
      </c>
      <c r="AD61" s="68" t="n">
        <f aca="false">AD31+AD58</f>
        <v>6210</v>
      </c>
      <c r="AE61" s="68" t="n">
        <f aca="false">AE31+AE58</f>
        <v>6210</v>
      </c>
      <c r="AF61" s="68" t="n">
        <f aca="false">AF31+AF58</f>
        <v>6210</v>
      </c>
      <c r="AG61" s="68" t="n">
        <f aca="false">AG31+AG58</f>
        <v>6210</v>
      </c>
      <c r="AH61" s="68" t="n">
        <f aca="false">AH31+AH58</f>
        <v>6210</v>
      </c>
      <c r="AI61" s="68" t="n">
        <f aca="false">AI31+AI58</f>
        <v>6210</v>
      </c>
      <c r="AJ61" s="68" t="n">
        <f aca="false">AJ31+AJ58</f>
        <v>6210</v>
      </c>
      <c r="AK61" s="68" t="n">
        <f aca="false">AK31+AK58</f>
        <v>6210</v>
      </c>
      <c r="AL61" s="68" t="n">
        <f aca="false">AL31+AL58</f>
        <v>6210</v>
      </c>
      <c r="AM61" s="68" t="n">
        <f aca="false">AM31+AM58</f>
        <v>6210</v>
      </c>
      <c r="AN61" s="68" t="n">
        <f aca="false">AN31+AN58</f>
        <v>6210</v>
      </c>
      <c r="AO61" s="67" t="n">
        <f aca="false">SUM(AP61:BA61)</f>
        <v>104880</v>
      </c>
      <c r="AP61" s="68" t="n">
        <f aca="false">AP31+AP58</f>
        <v>8740</v>
      </c>
      <c r="AQ61" s="68" t="n">
        <f aca="false">AQ31+AQ58</f>
        <v>8740</v>
      </c>
      <c r="AR61" s="68" t="n">
        <f aca="false">AR31+AR58</f>
        <v>8740</v>
      </c>
      <c r="AS61" s="68" t="n">
        <f aca="false">AS31+AS58</f>
        <v>8740</v>
      </c>
      <c r="AT61" s="68" t="n">
        <f aca="false">AT31+AT58</f>
        <v>8740</v>
      </c>
      <c r="AU61" s="68" t="n">
        <f aca="false">AU31+AU58</f>
        <v>8740</v>
      </c>
      <c r="AV61" s="68" t="n">
        <f aca="false">AV31+AV58</f>
        <v>8740</v>
      </c>
      <c r="AW61" s="68" t="n">
        <f aca="false">AW31+AW58</f>
        <v>8740</v>
      </c>
      <c r="AX61" s="68" t="n">
        <f aca="false">AX31+AX58</f>
        <v>8740</v>
      </c>
      <c r="AY61" s="68" t="n">
        <f aca="false">AY31+AY58</f>
        <v>8740</v>
      </c>
      <c r="AZ61" s="68" t="n">
        <f aca="false">AZ31+AZ58</f>
        <v>8740</v>
      </c>
      <c r="BA61" s="68" t="n">
        <f aca="false">BA31+BA58</f>
        <v>8740</v>
      </c>
      <c r="BB61" s="67" t="n">
        <f aca="false">SUM(BC61:BN61)</f>
        <v>134640</v>
      </c>
      <c r="BC61" s="68" t="n">
        <f aca="false">BC31+BC58</f>
        <v>11220</v>
      </c>
      <c r="BD61" s="68" t="n">
        <f aca="false">BD31+BD58</f>
        <v>11220</v>
      </c>
      <c r="BE61" s="68" t="n">
        <f aca="false">BE31+BE58</f>
        <v>11220</v>
      </c>
      <c r="BF61" s="68" t="n">
        <f aca="false">BF31+BF58</f>
        <v>11220</v>
      </c>
      <c r="BG61" s="68" t="n">
        <f aca="false">BG31+BG58</f>
        <v>11220</v>
      </c>
      <c r="BH61" s="68" t="n">
        <f aca="false">BH31+BH58</f>
        <v>11220</v>
      </c>
      <c r="BI61" s="68" t="n">
        <f aca="false">BI31+BI58</f>
        <v>11220</v>
      </c>
      <c r="BJ61" s="68" t="n">
        <f aca="false">BJ31+BJ58</f>
        <v>11220</v>
      </c>
      <c r="BK61" s="68" t="n">
        <f aca="false">BK31+BK58</f>
        <v>11220</v>
      </c>
      <c r="BL61" s="68" t="n">
        <f aca="false">BL31+BL58</f>
        <v>11220</v>
      </c>
      <c r="BM61" s="68" t="n">
        <f aca="false">BM31+BM58</f>
        <v>11220</v>
      </c>
      <c r="BN61" s="68" t="n">
        <f aca="false">BN31+BN58</f>
        <v>11220</v>
      </c>
    </row>
    <row r="63" customFormat="false" ht="16.5" hidden="false" customHeight="true" outlineLevel="0" collapsed="false">
      <c r="A63" s="15" t="s">
        <v>611</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481</v>
      </c>
      <c r="B64" s="61" t="s">
        <v>81</v>
      </c>
      <c r="C64" s="62" t="s">
        <v>482</v>
      </c>
      <c r="D64" s="62" t="s">
        <v>483</v>
      </c>
      <c r="E64" s="62" t="s">
        <v>484</v>
      </c>
      <c r="F64" s="62" t="s">
        <v>485</v>
      </c>
      <c r="G64" s="62" t="s">
        <v>486</v>
      </c>
      <c r="H64" s="62" t="s">
        <v>487</v>
      </c>
      <c r="I64" s="62" t="s">
        <v>488</v>
      </c>
      <c r="J64" s="62" t="s">
        <v>489</v>
      </c>
      <c r="K64" s="62" t="s">
        <v>490</v>
      </c>
      <c r="L64" s="62" t="s">
        <v>491</v>
      </c>
      <c r="M64" s="62" t="s">
        <v>492</v>
      </c>
      <c r="N64" s="62" t="s">
        <v>493</v>
      </c>
      <c r="O64" s="61" t="s">
        <v>82</v>
      </c>
      <c r="P64" s="63" t="s">
        <v>494</v>
      </c>
      <c r="Q64" s="63" t="s">
        <v>495</v>
      </c>
      <c r="R64" s="63" t="s">
        <v>496</v>
      </c>
      <c r="S64" s="63" t="s">
        <v>497</v>
      </c>
      <c r="T64" s="63" t="s">
        <v>498</v>
      </c>
      <c r="U64" s="63" t="s">
        <v>499</v>
      </c>
      <c r="V64" s="63" t="s">
        <v>500</v>
      </c>
      <c r="W64" s="63" t="s">
        <v>501</v>
      </c>
      <c r="X64" s="63" t="s">
        <v>502</v>
      </c>
      <c r="Y64" s="63" t="s">
        <v>503</v>
      </c>
      <c r="Z64" s="63" t="s">
        <v>504</v>
      </c>
      <c r="AA64" s="63" t="s">
        <v>505</v>
      </c>
      <c r="AB64" s="61" t="s">
        <v>83</v>
      </c>
      <c r="AC64" s="62" t="s">
        <v>506</v>
      </c>
      <c r="AD64" s="62" t="s">
        <v>507</v>
      </c>
      <c r="AE64" s="62" t="s">
        <v>508</v>
      </c>
      <c r="AF64" s="62" t="s">
        <v>509</v>
      </c>
      <c r="AG64" s="62" t="s">
        <v>510</v>
      </c>
      <c r="AH64" s="62" t="s">
        <v>511</v>
      </c>
      <c r="AI64" s="62" t="s">
        <v>512</v>
      </c>
      <c r="AJ64" s="62" t="s">
        <v>513</v>
      </c>
      <c r="AK64" s="62" t="s">
        <v>514</v>
      </c>
      <c r="AL64" s="62" t="s">
        <v>515</v>
      </c>
      <c r="AM64" s="62" t="s">
        <v>516</v>
      </c>
      <c r="AN64" s="62" t="s">
        <v>517</v>
      </c>
      <c r="AO64" s="61" t="s">
        <v>84</v>
      </c>
      <c r="AP64" s="63" t="s">
        <v>518</v>
      </c>
      <c r="AQ64" s="63" t="s">
        <v>519</v>
      </c>
      <c r="AR64" s="63" t="s">
        <v>520</v>
      </c>
      <c r="AS64" s="63" t="s">
        <v>521</v>
      </c>
      <c r="AT64" s="63" t="s">
        <v>522</v>
      </c>
      <c r="AU64" s="63" t="s">
        <v>523</v>
      </c>
      <c r="AV64" s="63" t="s">
        <v>524</v>
      </c>
      <c r="AW64" s="63" t="s">
        <v>525</v>
      </c>
      <c r="AX64" s="63" t="s">
        <v>526</v>
      </c>
      <c r="AY64" s="63" t="s">
        <v>527</v>
      </c>
      <c r="AZ64" s="63" t="s">
        <v>528</v>
      </c>
      <c r="BA64" s="63" t="s">
        <v>529</v>
      </c>
      <c r="BB64" s="61" t="s">
        <v>85</v>
      </c>
      <c r="BC64" s="62" t="s">
        <v>530</v>
      </c>
      <c r="BD64" s="62" t="s">
        <v>531</v>
      </c>
      <c r="BE64" s="62" t="s">
        <v>532</v>
      </c>
      <c r="BF64" s="62" t="s">
        <v>533</v>
      </c>
      <c r="BG64" s="62" t="s">
        <v>534</v>
      </c>
      <c r="BH64" s="62" t="s">
        <v>535</v>
      </c>
      <c r="BI64" s="62" t="s">
        <v>536</v>
      </c>
      <c r="BJ64" s="62" t="s">
        <v>537</v>
      </c>
      <c r="BK64" s="62" t="s">
        <v>538</v>
      </c>
      <c r="BL64" s="62" t="s">
        <v>539</v>
      </c>
      <c r="BM64" s="62" t="s">
        <v>540</v>
      </c>
      <c r="BN64" s="62" t="s">
        <v>541</v>
      </c>
    </row>
    <row r="65" customFormat="false" ht="15" hidden="false" customHeight="false" outlineLevel="0" collapsed="false">
      <c r="A65" s="12" t="s">
        <v>612</v>
      </c>
      <c r="B65" s="78" t="n">
        <f aca="false">SUM(C65:N65)</f>
        <v>350.296362837163</v>
      </c>
      <c r="C65" s="79" t="n">
        <f aca="false">C33*'Assumption Setting'!$C$49</f>
        <v>29.1913635697636</v>
      </c>
      <c r="D65" s="79" t="n">
        <f aca="false">D33*'Assumption Setting'!$C$49</f>
        <v>29.1913635697636</v>
      </c>
      <c r="E65" s="79" t="n">
        <f aca="false">E33*'Assumption Setting'!$C$49</f>
        <v>29.1913635697636</v>
      </c>
      <c r="F65" s="79" t="n">
        <f aca="false">F33*'Assumption Setting'!$C$49</f>
        <v>29.1913635697636</v>
      </c>
      <c r="G65" s="79" t="n">
        <f aca="false">G33*'Assumption Setting'!$C$49</f>
        <v>29.1913635697636</v>
      </c>
      <c r="H65" s="79" t="n">
        <f aca="false">H33*'Assumption Setting'!$C$49</f>
        <v>29.1913635697636</v>
      </c>
      <c r="I65" s="79" t="n">
        <f aca="false">I33*'Assumption Setting'!$C$49</f>
        <v>29.1913635697636</v>
      </c>
      <c r="J65" s="79" t="n">
        <f aca="false">J33*'Assumption Setting'!$C$49</f>
        <v>29.1913635697636</v>
      </c>
      <c r="K65" s="79" t="n">
        <f aca="false">K33*'Assumption Setting'!$C$49</f>
        <v>29.1913635697636</v>
      </c>
      <c r="L65" s="79" t="n">
        <f aca="false">L33*'Assumption Setting'!$C$49</f>
        <v>29.1913635697636</v>
      </c>
      <c r="M65" s="79" t="n">
        <f aca="false">M33*'Assumption Setting'!$C$49</f>
        <v>29.1913635697636</v>
      </c>
      <c r="N65" s="79" t="n">
        <f aca="false">N33*'Assumption Setting'!$C$49</f>
        <v>29.1913635697636</v>
      </c>
      <c r="O65" s="78" t="n">
        <f aca="false">SUM(P65:AA65)</f>
        <v>1290.26908531469</v>
      </c>
      <c r="P65" s="79" t="n">
        <f aca="false">P33*'Assumption Setting'!$D$49</f>
        <v>107.522423776224</v>
      </c>
      <c r="Q65" s="79" t="n">
        <f aca="false">Q33*'Assumption Setting'!$D$49</f>
        <v>107.522423776224</v>
      </c>
      <c r="R65" s="79" t="n">
        <f aca="false">R33*'Assumption Setting'!$D$49</f>
        <v>107.522423776224</v>
      </c>
      <c r="S65" s="79" t="n">
        <f aca="false">S33*'Assumption Setting'!$D$49</f>
        <v>107.522423776224</v>
      </c>
      <c r="T65" s="79" t="n">
        <f aca="false">T33*'Assumption Setting'!$D$49</f>
        <v>107.522423776224</v>
      </c>
      <c r="U65" s="79" t="n">
        <f aca="false">U33*'Assumption Setting'!$D$49</f>
        <v>107.522423776224</v>
      </c>
      <c r="V65" s="79" t="n">
        <f aca="false">V33*'Assumption Setting'!$D$49</f>
        <v>107.522423776224</v>
      </c>
      <c r="W65" s="79" t="n">
        <f aca="false">W33*'Assumption Setting'!$D$49</f>
        <v>107.522423776224</v>
      </c>
      <c r="X65" s="79" t="n">
        <f aca="false">X33*'Assumption Setting'!$D$49</f>
        <v>107.522423776224</v>
      </c>
      <c r="Y65" s="79" t="n">
        <f aca="false">Y33*'Assumption Setting'!$D$49</f>
        <v>107.522423776224</v>
      </c>
      <c r="Z65" s="79" t="n">
        <f aca="false">Z33*'Assumption Setting'!$D$49</f>
        <v>107.522423776224</v>
      </c>
      <c r="AA65" s="79" t="n">
        <f aca="false">AA33*'Assumption Setting'!$D$49</f>
        <v>107.522423776224</v>
      </c>
      <c r="AB65" s="78" t="n">
        <f aca="false">SUM(AC65:AN65)</f>
        <v>2790.71863336663</v>
      </c>
      <c r="AC65" s="79" t="n">
        <f aca="false">AC33*'Assumption Setting'!$E$49</f>
        <v>232.559886113886</v>
      </c>
      <c r="AD65" s="79" t="n">
        <f aca="false">AD33*'Assumption Setting'!$E$49</f>
        <v>232.559886113886</v>
      </c>
      <c r="AE65" s="79" t="n">
        <f aca="false">AE33*'Assumption Setting'!$E$49</f>
        <v>232.559886113886</v>
      </c>
      <c r="AF65" s="79" t="n">
        <f aca="false">AF33*'Assumption Setting'!$E$49</f>
        <v>232.559886113886</v>
      </c>
      <c r="AG65" s="79" t="n">
        <f aca="false">AG33*'Assumption Setting'!$E$49</f>
        <v>232.559886113886</v>
      </c>
      <c r="AH65" s="79" t="n">
        <f aca="false">AH33*'Assumption Setting'!$E$49</f>
        <v>232.559886113886</v>
      </c>
      <c r="AI65" s="79" t="n">
        <f aca="false">AI33*'Assumption Setting'!$E$49</f>
        <v>232.559886113886</v>
      </c>
      <c r="AJ65" s="79" t="n">
        <f aca="false">AJ33*'Assumption Setting'!$E$49</f>
        <v>232.559886113886</v>
      </c>
      <c r="AK65" s="79" t="n">
        <f aca="false">AK33*'Assumption Setting'!$E$49</f>
        <v>232.559886113886</v>
      </c>
      <c r="AL65" s="79" t="n">
        <f aca="false">AL33*'Assumption Setting'!$E$49</f>
        <v>232.559886113886</v>
      </c>
      <c r="AM65" s="79" t="n">
        <f aca="false">AM33*'Assumption Setting'!$E$49</f>
        <v>232.559886113886</v>
      </c>
      <c r="AN65" s="79" t="n">
        <f aca="false">AN33*'Assumption Setting'!$E$49</f>
        <v>232.559886113886</v>
      </c>
      <c r="AO65" s="78" t="n">
        <f aca="false">SUM(AP65:BA65)</f>
        <v>4451.7355952048</v>
      </c>
      <c r="AP65" s="79" t="n">
        <f aca="false">AP33*'Assumption Setting'!$F$49</f>
        <v>370.977966267066</v>
      </c>
      <c r="AQ65" s="79" t="n">
        <f aca="false">AQ33*'Assumption Setting'!$F$49</f>
        <v>370.977966267066</v>
      </c>
      <c r="AR65" s="79" t="n">
        <f aca="false">AR33*'Assumption Setting'!$F$49</f>
        <v>370.977966267066</v>
      </c>
      <c r="AS65" s="79" t="n">
        <f aca="false">AS33*'Assumption Setting'!$F$49</f>
        <v>370.977966267066</v>
      </c>
      <c r="AT65" s="79" t="n">
        <f aca="false">AT33*'Assumption Setting'!$F$49</f>
        <v>370.977966267066</v>
      </c>
      <c r="AU65" s="79" t="n">
        <f aca="false">AU33*'Assumption Setting'!$F$49</f>
        <v>370.977966267066</v>
      </c>
      <c r="AV65" s="79" t="n">
        <f aca="false">AV33*'Assumption Setting'!$F$49</f>
        <v>370.977966267066</v>
      </c>
      <c r="AW65" s="79" t="n">
        <f aca="false">AW33*'Assumption Setting'!$F$49</f>
        <v>370.977966267066</v>
      </c>
      <c r="AX65" s="79" t="n">
        <f aca="false">AX33*'Assumption Setting'!$F$49</f>
        <v>370.977966267066</v>
      </c>
      <c r="AY65" s="79" t="n">
        <f aca="false">AY33*'Assumption Setting'!$F$49</f>
        <v>370.977966267066</v>
      </c>
      <c r="AZ65" s="79" t="n">
        <f aca="false">AZ33*'Assumption Setting'!$F$49</f>
        <v>370.977966267066</v>
      </c>
      <c r="BA65" s="79" t="n">
        <f aca="false">BA33*'Assumption Setting'!$F$49</f>
        <v>370.977966267066</v>
      </c>
      <c r="BB65" s="78" t="n">
        <f aca="false">SUM(BC65:BN65)</f>
        <v>6080.6202053946</v>
      </c>
      <c r="BC65" s="79" t="n">
        <f aca="false">BC33*'Assumption Setting'!$G$49</f>
        <v>506.71835044955</v>
      </c>
      <c r="BD65" s="79" t="n">
        <f aca="false">BD33*'Assumption Setting'!$G$49</f>
        <v>506.71835044955</v>
      </c>
      <c r="BE65" s="79" t="n">
        <f aca="false">BE33*'Assumption Setting'!$G$49</f>
        <v>506.71835044955</v>
      </c>
      <c r="BF65" s="79" t="n">
        <f aca="false">BF33*'Assumption Setting'!$G$49</f>
        <v>506.71835044955</v>
      </c>
      <c r="BG65" s="79" t="n">
        <f aca="false">BG33*'Assumption Setting'!$G$49</f>
        <v>506.71835044955</v>
      </c>
      <c r="BH65" s="79" t="n">
        <f aca="false">BH33*'Assumption Setting'!$G$49</f>
        <v>506.71835044955</v>
      </c>
      <c r="BI65" s="79" t="n">
        <f aca="false">BI33*'Assumption Setting'!$G$49</f>
        <v>506.71835044955</v>
      </c>
      <c r="BJ65" s="79" t="n">
        <f aca="false">BJ33*'Assumption Setting'!$G$49</f>
        <v>506.71835044955</v>
      </c>
      <c r="BK65" s="79" t="n">
        <f aca="false">BK33*'Assumption Setting'!$G$49</f>
        <v>506.71835044955</v>
      </c>
      <c r="BL65" s="79" t="n">
        <f aca="false">BL33*'Assumption Setting'!$G$49</f>
        <v>506.71835044955</v>
      </c>
      <c r="BM65" s="79" t="n">
        <f aca="false">BM33*'Assumption Setting'!$G$49</f>
        <v>506.71835044955</v>
      </c>
      <c r="BN65" s="79" t="n">
        <f aca="false">BN33*'Assumption Setting'!$G$49</f>
        <v>506.71835044955</v>
      </c>
    </row>
    <row r="66" customFormat="false" ht="15" hidden="false" customHeight="false" outlineLevel="0" collapsed="false">
      <c r="A66" s="12" t="s">
        <v>613</v>
      </c>
      <c r="B66" s="78" t="n">
        <f aca="false">SUM(C66:N66)</f>
        <v>489.6</v>
      </c>
      <c r="C66" s="79" t="n">
        <f aca="false">C59*'Assumption Setting'!$C$49</f>
        <v>40.8</v>
      </c>
      <c r="D66" s="79" t="n">
        <f aca="false">D59*'Assumption Setting'!$C$49</f>
        <v>40.8</v>
      </c>
      <c r="E66" s="79" t="n">
        <f aca="false">E59*'Assumption Setting'!$C$49</f>
        <v>40.8</v>
      </c>
      <c r="F66" s="79" t="n">
        <f aca="false">F59*'Assumption Setting'!$C$49</f>
        <v>40.8</v>
      </c>
      <c r="G66" s="79" t="n">
        <f aca="false">G59*'Assumption Setting'!$C$49</f>
        <v>40.8</v>
      </c>
      <c r="H66" s="79" t="n">
        <f aca="false">H59*'Assumption Setting'!$C$49</f>
        <v>40.8</v>
      </c>
      <c r="I66" s="79" t="n">
        <f aca="false">I59*'Assumption Setting'!$C$49</f>
        <v>40.8</v>
      </c>
      <c r="J66" s="79" t="n">
        <f aca="false">J59*'Assumption Setting'!$C$49</f>
        <v>40.8</v>
      </c>
      <c r="K66" s="79" t="n">
        <f aca="false">K59*'Assumption Setting'!$C$49</f>
        <v>40.8</v>
      </c>
      <c r="L66" s="79" t="n">
        <f aca="false">L59*'Assumption Setting'!$C$49</f>
        <v>40.8</v>
      </c>
      <c r="M66" s="79" t="n">
        <f aca="false">M59*'Assumption Setting'!$C$49</f>
        <v>40.8</v>
      </c>
      <c r="N66" s="79" t="n">
        <f aca="false">N59*'Assumption Setting'!$C$49</f>
        <v>40.8</v>
      </c>
      <c r="O66" s="78" t="n">
        <f aca="false">SUM(P66:AA66)</f>
        <v>1864.8</v>
      </c>
      <c r="P66" s="79" t="n">
        <f aca="false">P59*'Assumption Setting'!$D$49</f>
        <v>155.4</v>
      </c>
      <c r="Q66" s="79" t="n">
        <f aca="false">Q59*'Assumption Setting'!$D$49</f>
        <v>155.4</v>
      </c>
      <c r="R66" s="79" t="n">
        <f aca="false">R59*'Assumption Setting'!$D$49</f>
        <v>155.4</v>
      </c>
      <c r="S66" s="79" t="n">
        <f aca="false">S59*'Assumption Setting'!$D$49</f>
        <v>155.4</v>
      </c>
      <c r="T66" s="79" t="n">
        <f aca="false">T59*'Assumption Setting'!$D$49</f>
        <v>155.4</v>
      </c>
      <c r="U66" s="79" t="n">
        <f aca="false">U59*'Assumption Setting'!$D$49</f>
        <v>155.4</v>
      </c>
      <c r="V66" s="79" t="n">
        <f aca="false">V59*'Assumption Setting'!$D$49</f>
        <v>155.4</v>
      </c>
      <c r="W66" s="79" t="n">
        <f aca="false">W59*'Assumption Setting'!$D$49</f>
        <v>155.4</v>
      </c>
      <c r="X66" s="79" t="n">
        <f aca="false">X59*'Assumption Setting'!$D$49</f>
        <v>155.4</v>
      </c>
      <c r="Y66" s="79" t="n">
        <f aca="false">Y59*'Assumption Setting'!$D$49</f>
        <v>155.4</v>
      </c>
      <c r="Z66" s="79" t="n">
        <f aca="false">Z59*'Assumption Setting'!$D$49</f>
        <v>155.4</v>
      </c>
      <c r="AA66" s="79" t="n">
        <f aca="false">AA59*'Assumption Setting'!$D$49</f>
        <v>155.4</v>
      </c>
      <c r="AB66" s="78" t="n">
        <f aca="false">SUM(AC66:AN66)</f>
        <v>3877.2</v>
      </c>
      <c r="AC66" s="79" t="n">
        <f aca="false">AC59*'Assumption Setting'!$E$49</f>
        <v>323.1</v>
      </c>
      <c r="AD66" s="79" t="n">
        <f aca="false">AD59*'Assumption Setting'!$E$49</f>
        <v>323.1</v>
      </c>
      <c r="AE66" s="79" t="n">
        <f aca="false">AE59*'Assumption Setting'!$E$49</f>
        <v>323.1</v>
      </c>
      <c r="AF66" s="79" t="n">
        <f aca="false">AF59*'Assumption Setting'!$E$49</f>
        <v>323.1</v>
      </c>
      <c r="AG66" s="79" t="n">
        <f aca="false">AG59*'Assumption Setting'!$E$49</f>
        <v>323.1</v>
      </c>
      <c r="AH66" s="79" t="n">
        <f aca="false">AH59*'Assumption Setting'!$E$49</f>
        <v>323.1</v>
      </c>
      <c r="AI66" s="79" t="n">
        <f aca="false">AI59*'Assumption Setting'!$E$49</f>
        <v>323.1</v>
      </c>
      <c r="AJ66" s="79" t="n">
        <f aca="false">AJ59*'Assumption Setting'!$E$49</f>
        <v>323.1</v>
      </c>
      <c r="AK66" s="79" t="n">
        <f aca="false">AK59*'Assumption Setting'!$E$49</f>
        <v>323.1</v>
      </c>
      <c r="AL66" s="79" t="n">
        <f aca="false">AL59*'Assumption Setting'!$E$49</f>
        <v>323.1</v>
      </c>
      <c r="AM66" s="79" t="n">
        <f aca="false">AM59*'Assumption Setting'!$E$49</f>
        <v>323.1</v>
      </c>
      <c r="AN66" s="79" t="n">
        <f aca="false">AN59*'Assumption Setting'!$E$49</f>
        <v>323.1</v>
      </c>
      <c r="AO66" s="78" t="n">
        <f aca="false">SUM(AP66:BA66)</f>
        <v>5380.56</v>
      </c>
      <c r="AP66" s="79" t="n">
        <f aca="false">AP59*'Assumption Setting'!$F$49</f>
        <v>448.38</v>
      </c>
      <c r="AQ66" s="79" t="n">
        <f aca="false">AQ59*'Assumption Setting'!$F$49</f>
        <v>448.38</v>
      </c>
      <c r="AR66" s="79" t="n">
        <f aca="false">AR59*'Assumption Setting'!$F$49</f>
        <v>448.38</v>
      </c>
      <c r="AS66" s="79" t="n">
        <f aca="false">AS59*'Assumption Setting'!$F$49</f>
        <v>448.38</v>
      </c>
      <c r="AT66" s="79" t="n">
        <f aca="false">AT59*'Assumption Setting'!$F$49</f>
        <v>448.38</v>
      </c>
      <c r="AU66" s="79" t="n">
        <f aca="false">AU59*'Assumption Setting'!$F$49</f>
        <v>448.38</v>
      </c>
      <c r="AV66" s="79" t="n">
        <f aca="false">AV59*'Assumption Setting'!$F$49</f>
        <v>448.38</v>
      </c>
      <c r="AW66" s="79" t="n">
        <f aca="false">AW59*'Assumption Setting'!$F$49</f>
        <v>448.38</v>
      </c>
      <c r="AX66" s="79" t="n">
        <f aca="false">AX59*'Assumption Setting'!$F$49</f>
        <v>448.38</v>
      </c>
      <c r="AY66" s="79" t="n">
        <f aca="false">AY59*'Assumption Setting'!$F$49</f>
        <v>448.38</v>
      </c>
      <c r="AZ66" s="79" t="n">
        <f aca="false">AZ59*'Assumption Setting'!$F$49</f>
        <v>448.38</v>
      </c>
      <c r="BA66" s="79" t="n">
        <f aca="false">BA59*'Assumption Setting'!$F$49</f>
        <v>448.38</v>
      </c>
      <c r="BB66" s="78" t="n">
        <f aca="false">SUM(BC66:BN66)</f>
        <v>6854.4</v>
      </c>
      <c r="BC66" s="79" t="n">
        <f aca="false">BC59*'Assumption Setting'!$G$49</f>
        <v>571.2</v>
      </c>
      <c r="BD66" s="79" t="n">
        <f aca="false">BD59*'Assumption Setting'!$G$49</f>
        <v>571.2</v>
      </c>
      <c r="BE66" s="79" t="n">
        <f aca="false">BE59*'Assumption Setting'!$G$49</f>
        <v>571.2</v>
      </c>
      <c r="BF66" s="79" t="n">
        <f aca="false">BF59*'Assumption Setting'!$G$49</f>
        <v>571.2</v>
      </c>
      <c r="BG66" s="79" t="n">
        <f aca="false">BG59*'Assumption Setting'!$G$49</f>
        <v>571.2</v>
      </c>
      <c r="BH66" s="79" t="n">
        <f aca="false">BH59*'Assumption Setting'!$G$49</f>
        <v>571.2</v>
      </c>
      <c r="BI66" s="79" t="n">
        <f aca="false">BI59*'Assumption Setting'!$G$49</f>
        <v>571.2</v>
      </c>
      <c r="BJ66" s="79" t="n">
        <f aca="false">BJ59*'Assumption Setting'!$G$49</f>
        <v>571.2</v>
      </c>
      <c r="BK66" s="79" t="n">
        <f aca="false">BK59*'Assumption Setting'!$G$49</f>
        <v>571.2</v>
      </c>
      <c r="BL66" s="79" t="n">
        <f aca="false">BL59*'Assumption Setting'!$G$49</f>
        <v>571.2</v>
      </c>
      <c r="BM66" s="79" t="n">
        <f aca="false">BM59*'Assumption Setting'!$G$49</f>
        <v>571.2</v>
      </c>
      <c r="BN66" s="79" t="n">
        <f aca="false">BN59*'Assumption Setting'!$G$49</f>
        <v>571.2</v>
      </c>
    </row>
    <row r="67" customFormat="false" ht="15" hidden="false" customHeight="false" outlineLevel="0" collapsed="false">
      <c r="A67" s="12" t="s">
        <v>614</v>
      </c>
      <c r="B67" s="80" t="n">
        <f aca="false">SUM(C67:N67)</f>
        <v>6.7191709026973</v>
      </c>
      <c r="C67" s="81" t="n">
        <f aca="false">(C65+C66)/1000*'Assumption Setting'!$C$62</f>
        <v>0.559930908558109</v>
      </c>
      <c r="D67" s="81" t="n">
        <f aca="false">(D65+D66)/1000*'Assumption Setting'!$C$62</f>
        <v>0.559930908558109</v>
      </c>
      <c r="E67" s="81" t="n">
        <f aca="false">(E65+E66)/1000*'Assumption Setting'!$C$62</f>
        <v>0.559930908558109</v>
      </c>
      <c r="F67" s="81" t="n">
        <f aca="false">(F65+F66)/1000*'Assumption Setting'!$C$62</f>
        <v>0.559930908558109</v>
      </c>
      <c r="G67" s="81" t="n">
        <f aca="false">(G65+G66)/1000*'Assumption Setting'!$C$62</f>
        <v>0.559930908558109</v>
      </c>
      <c r="H67" s="81" t="n">
        <f aca="false">(H65+H66)/1000*'Assumption Setting'!$C$62</f>
        <v>0.559930908558109</v>
      </c>
      <c r="I67" s="81" t="n">
        <f aca="false">(I65+I66)/1000*'Assumption Setting'!$C$62</f>
        <v>0.559930908558109</v>
      </c>
      <c r="J67" s="81" t="n">
        <f aca="false">(J65+J66)/1000*'Assumption Setting'!$C$62</f>
        <v>0.559930908558109</v>
      </c>
      <c r="K67" s="81" t="n">
        <f aca="false">(K65+K66)/1000*'Assumption Setting'!$C$62</f>
        <v>0.559930908558109</v>
      </c>
      <c r="L67" s="81" t="n">
        <f aca="false">(L65+L66)/1000*'Assumption Setting'!$C$62</f>
        <v>0.559930908558109</v>
      </c>
      <c r="M67" s="81" t="n">
        <f aca="false">(M65+M66)/1000*'Assumption Setting'!$C$62</f>
        <v>0.559930908558109</v>
      </c>
      <c r="N67" s="81" t="n">
        <f aca="false">(N65+N66)/1000*'Assumption Setting'!$C$62</f>
        <v>0.559930908558109</v>
      </c>
      <c r="O67" s="80" t="n">
        <f aca="false">SUM(P67:AA67)</f>
        <v>25.2405526825175</v>
      </c>
      <c r="P67" s="81" t="n">
        <f aca="false">(P65+P66)/1000*'Assumption Setting'!$C$62</f>
        <v>2.10337939020979</v>
      </c>
      <c r="Q67" s="81" t="n">
        <f aca="false">(Q65+Q66)/1000*'Assumption Setting'!$C$62</f>
        <v>2.10337939020979</v>
      </c>
      <c r="R67" s="81" t="n">
        <f aca="false">(R65+R66)/1000*'Assumption Setting'!$C$62</f>
        <v>2.10337939020979</v>
      </c>
      <c r="S67" s="81" t="n">
        <f aca="false">(S65+S66)/1000*'Assumption Setting'!$C$62</f>
        <v>2.10337939020979</v>
      </c>
      <c r="T67" s="81" t="n">
        <f aca="false">(T65+T66)/1000*'Assumption Setting'!$C$62</f>
        <v>2.10337939020979</v>
      </c>
      <c r="U67" s="81" t="n">
        <f aca="false">(U65+U66)/1000*'Assumption Setting'!$C$62</f>
        <v>2.10337939020979</v>
      </c>
      <c r="V67" s="81" t="n">
        <f aca="false">(V65+V66)/1000*'Assumption Setting'!$C$62</f>
        <v>2.10337939020979</v>
      </c>
      <c r="W67" s="81" t="n">
        <f aca="false">(W65+W66)/1000*'Assumption Setting'!$C$62</f>
        <v>2.10337939020979</v>
      </c>
      <c r="X67" s="81" t="n">
        <f aca="false">(X65+X66)/1000*'Assumption Setting'!$C$62</f>
        <v>2.10337939020979</v>
      </c>
      <c r="Y67" s="81" t="n">
        <f aca="false">(Y65+Y66)/1000*'Assumption Setting'!$C$62</f>
        <v>2.10337939020979</v>
      </c>
      <c r="Z67" s="81" t="n">
        <f aca="false">(Z65+Z66)/1000*'Assumption Setting'!$C$62</f>
        <v>2.10337939020979</v>
      </c>
      <c r="AA67" s="81" t="n">
        <f aca="false">(AA65+AA66)/1000*'Assumption Setting'!$C$62</f>
        <v>2.10337939020979</v>
      </c>
      <c r="AB67" s="80" t="n">
        <f aca="false">SUM(AC67:AN67)</f>
        <v>53.3433490669331</v>
      </c>
      <c r="AC67" s="81" t="n">
        <f aca="false">(AC65+AC66)/1000*'Assumption Setting'!$C$62</f>
        <v>4.44527908891109</v>
      </c>
      <c r="AD67" s="81" t="n">
        <f aca="false">(AD65+AD66)/1000*'Assumption Setting'!$C$62</f>
        <v>4.44527908891109</v>
      </c>
      <c r="AE67" s="81" t="n">
        <f aca="false">(AE65+AE66)/1000*'Assumption Setting'!$C$62</f>
        <v>4.44527908891109</v>
      </c>
      <c r="AF67" s="81" t="n">
        <f aca="false">(AF65+AF66)/1000*'Assumption Setting'!$C$62</f>
        <v>4.44527908891109</v>
      </c>
      <c r="AG67" s="81" t="n">
        <f aca="false">(AG65+AG66)/1000*'Assumption Setting'!$C$62</f>
        <v>4.44527908891109</v>
      </c>
      <c r="AH67" s="81" t="n">
        <f aca="false">(AH65+AH66)/1000*'Assumption Setting'!$C$62</f>
        <v>4.44527908891109</v>
      </c>
      <c r="AI67" s="81" t="n">
        <f aca="false">(AI65+AI66)/1000*'Assumption Setting'!$C$62</f>
        <v>4.44527908891109</v>
      </c>
      <c r="AJ67" s="81" t="n">
        <f aca="false">(AJ65+AJ66)/1000*'Assumption Setting'!$C$62</f>
        <v>4.44527908891109</v>
      </c>
      <c r="AK67" s="81" t="n">
        <f aca="false">(AK65+AK66)/1000*'Assumption Setting'!$C$62</f>
        <v>4.44527908891109</v>
      </c>
      <c r="AL67" s="81" t="n">
        <f aca="false">(AL65+AL66)/1000*'Assumption Setting'!$C$62</f>
        <v>4.44527908891109</v>
      </c>
      <c r="AM67" s="81" t="n">
        <f aca="false">(AM65+AM66)/1000*'Assumption Setting'!$C$62</f>
        <v>4.44527908891109</v>
      </c>
      <c r="AN67" s="81" t="n">
        <f aca="false">(AN65+AN66)/1000*'Assumption Setting'!$C$62</f>
        <v>4.44527908891109</v>
      </c>
      <c r="AO67" s="80" t="n">
        <f aca="false">SUM(AP67:BA67)</f>
        <v>78.6583647616384</v>
      </c>
      <c r="AP67" s="81" t="n">
        <f aca="false">(AP65+AP66)/1000*'Assumption Setting'!$C$62</f>
        <v>6.55486373013653</v>
      </c>
      <c r="AQ67" s="81" t="n">
        <f aca="false">(AQ65+AQ66)/1000*'Assumption Setting'!$C$62</f>
        <v>6.55486373013653</v>
      </c>
      <c r="AR67" s="81" t="n">
        <f aca="false">(AR65+AR66)/1000*'Assumption Setting'!$C$62</f>
        <v>6.55486373013653</v>
      </c>
      <c r="AS67" s="81" t="n">
        <f aca="false">(AS65+AS66)/1000*'Assumption Setting'!$C$62</f>
        <v>6.55486373013653</v>
      </c>
      <c r="AT67" s="81" t="n">
        <f aca="false">(AT65+AT66)/1000*'Assumption Setting'!$C$62</f>
        <v>6.55486373013653</v>
      </c>
      <c r="AU67" s="81" t="n">
        <f aca="false">(AU65+AU66)/1000*'Assumption Setting'!$C$62</f>
        <v>6.55486373013653</v>
      </c>
      <c r="AV67" s="81" t="n">
        <f aca="false">(AV65+AV66)/1000*'Assumption Setting'!$C$62</f>
        <v>6.55486373013653</v>
      </c>
      <c r="AW67" s="81" t="n">
        <f aca="false">(AW65+AW66)/1000*'Assumption Setting'!$C$62</f>
        <v>6.55486373013653</v>
      </c>
      <c r="AX67" s="81" t="n">
        <f aca="false">(AX65+AX66)/1000*'Assumption Setting'!$C$62</f>
        <v>6.55486373013653</v>
      </c>
      <c r="AY67" s="81" t="n">
        <f aca="false">(AY65+AY66)/1000*'Assumption Setting'!$C$62</f>
        <v>6.55486373013653</v>
      </c>
      <c r="AZ67" s="81" t="n">
        <f aca="false">(AZ65+AZ66)/1000*'Assumption Setting'!$C$62</f>
        <v>6.55486373013653</v>
      </c>
      <c r="BA67" s="81" t="n">
        <f aca="false">(BA65+BA66)/1000*'Assumption Setting'!$C$62</f>
        <v>6.55486373013653</v>
      </c>
      <c r="BB67" s="80" t="n">
        <f aca="false">SUM(BC67:BN67)</f>
        <v>103.480161643157</v>
      </c>
      <c r="BC67" s="81" t="n">
        <f aca="false">(BC65+BC66)/1000*'Assumption Setting'!$C$62</f>
        <v>8.6233468035964</v>
      </c>
      <c r="BD67" s="81" t="n">
        <f aca="false">(BD65+BD66)/1000*'Assumption Setting'!$C$62</f>
        <v>8.6233468035964</v>
      </c>
      <c r="BE67" s="81" t="n">
        <f aca="false">(BE65+BE66)/1000*'Assumption Setting'!$C$62</f>
        <v>8.6233468035964</v>
      </c>
      <c r="BF67" s="81" t="n">
        <f aca="false">(BF65+BF66)/1000*'Assumption Setting'!$C$62</f>
        <v>8.6233468035964</v>
      </c>
      <c r="BG67" s="81" t="n">
        <f aca="false">(BG65+BG66)/1000*'Assumption Setting'!$C$62</f>
        <v>8.6233468035964</v>
      </c>
      <c r="BH67" s="81" t="n">
        <f aca="false">(BH65+BH66)/1000*'Assumption Setting'!$C$62</f>
        <v>8.6233468035964</v>
      </c>
      <c r="BI67" s="81" t="n">
        <f aca="false">(BI65+BI66)/1000*'Assumption Setting'!$C$62</f>
        <v>8.6233468035964</v>
      </c>
      <c r="BJ67" s="81" t="n">
        <f aca="false">(BJ65+BJ66)/1000*'Assumption Setting'!$C$62</f>
        <v>8.6233468035964</v>
      </c>
      <c r="BK67" s="81" t="n">
        <f aca="false">(BK65+BK66)/1000*'Assumption Setting'!$C$62</f>
        <v>8.6233468035964</v>
      </c>
      <c r="BL67" s="81" t="n">
        <f aca="false">(BL65+BL66)/1000*'Assumption Setting'!$C$62</f>
        <v>8.6233468035964</v>
      </c>
      <c r="BM67" s="81" t="n">
        <f aca="false">(BM65+BM66)/1000*'Assumption Setting'!$C$62</f>
        <v>8.6233468035964</v>
      </c>
      <c r="BN67" s="81" t="n">
        <f aca="false">(BN65+BN66)/1000*'Assumption Setting'!$C$62</f>
        <v>8.6233468035964</v>
      </c>
    </row>
    <row r="68" customFormat="false" ht="15" hidden="false" customHeight="false" outlineLevel="0" collapsed="false">
      <c r="A68" s="69" t="s">
        <v>615</v>
      </c>
      <c r="B68" s="80" t="n">
        <f aca="false">SUM(C68:N68)</f>
        <v>391.439170902697</v>
      </c>
      <c r="C68" s="86" t="n">
        <f aca="false">C60+C67</f>
        <v>32.6199309085581</v>
      </c>
      <c r="D68" s="86" t="n">
        <f aca="false">D60+D67</f>
        <v>32.6199309085581</v>
      </c>
      <c r="E68" s="86" t="n">
        <f aca="false">E60+E67</f>
        <v>32.6199309085581</v>
      </c>
      <c r="F68" s="86" t="n">
        <f aca="false">F60+F67</f>
        <v>32.6199309085581</v>
      </c>
      <c r="G68" s="86" t="n">
        <f aca="false">G60+G67</f>
        <v>32.6199309085581</v>
      </c>
      <c r="H68" s="86" t="n">
        <f aca="false">H60+H67</f>
        <v>32.6199309085581</v>
      </c>
      <c r="I68" s="86" t="n">
        <f aca="false">I60+I67</f>
        <v>32.6199309085581</v>
      </c>
      <c r="J68" s="86" t="n">
        <f aca="false">J60+J67</f>
        <v>32.6199309085581</v>
      </c>
      <c r="K68" s="86" t="n">
        <f aca="false">K60+K67</f>
        <v>32.6199309085581</v>
      </c>
      <c r="L68" s="86" t="n">
        <f aca="false">L60+L67</f>
        <v>32.6199309085581</v>
      </c>
      <c r="M68" s="86" t="n">
        <f aca="false">M60+M67</f>
        <v>32.6199309085581</v>
      </c>
      <c r="N68" s="86" t="n">
        <f aca="false">N60+N67</f>
        <v>32.6199309085581</v>
      </c>
      <c r="O68" s="80" t="n">
        <f aca="false">SUM(P68:AA68)</f>
        <v>601.240552682517</v>
      </c>
      <c r="P68" s="86" t="n">
        <f aca="false">P60+P67</f>
        <v>50.1033793902098</v>
      </c>
      <c r="Q68" s="86" t="n">
        <f aca="false">Q60+Q67</f>
        <v>50.1033793902098</v>
      </c>
      <c r="R68" s="86" t="n">
        <f aca="false">R60+R67</f>
        <v>50.1033793902098</v>
      </c>
      <c r="S68" s="86" t="n">
        <f aca="false">S60+S67</f>
        <v>50.1033793902098</v>
      </c>
      <c r="T68" s="86" t="n">
        <f aca="false">T60+T67</f>
        <v>50.1033793902098</v>
      </c>
      <c r="U68" s="86" t="n">
        <f aca="false">U60+U67</f>
        <v>50.1033793902098</v>
      </c>
      <c r="V68" s="86" t="n">
        <f aca="false">V60+V67</f>
        <v>50.1033793902098</v>
      </c>
      <c r="W68" s="86" t="n">
        <f aca="false">W60+W67</f>
        <v>50.1033793902098</v>
      </c>
      <c r="X68" s="86" t="n">
        <f aca="false">X60+X67</f>
        <v>50.1033793902098</v>
      </c>
      <c r="Y68" s="86" t="n">
        <f aca="false">Y60+Y67</f>
        <v>50.1033793902098</v>
      </c>
      <c r="Z68" s="86" t="n">
        <f aca="false">Z60+Z67</f>
        <v>50.1033793902098</v>
      </c>
      <c r="AA68" s="86" t="n">
        <f aca="false">AA60+AA67</f>
        <v>50.1033793902098</v>
      </c>
      <c r="AB68" s="80" t="n">
        <f aca="false">SUM(AC68:AN68)</f>
        <v>901.743349066933</v>
      </c>
      <c r="AC68" s="86" t="n">
        <f aca="false">AC60+AC67</f>
        <v>75.1452790889111</v>
      </c>
      <c r="AD68" s="86" t="n">
        <f aca="false">AD60+AD67</f>
        <v>75.1452790889111</v>
      </c>
      <c r="AE68" s="86" t="n">
        <f aca="false">AE60+AE67</f>
        <v>75.1452790889111</v>
      </c>
      <c r="AF68" s="86" t="n">
        <f aca="false">AF60+AF67</f>
        <v>75.1452790889111</v>
      </c>
      <c r="AG68" s="86" t="n">
        <f aca="false">AG60+AG67</f>
        <v>75.1452790889111</v>
      </c>
      <c r="AH68" s="86" t="n">
        <f aca="false">AH60+AH67</f>
        <v>75.1452790889111</v>
      </c>
      <c r="AI68" s="86" t="n">
        <f aca="false">AI60+AI67</f>
        <v>75.1452790889111</v>
      </c>
      <c r="AJ68" s="86" t="n">
        <f aca="false">AJ60+AJ67</f>
        <v>75.1452790889111</v>
      </c>
      <c r="AK68" s="86" t="n">
        <f aca="false">AK60+AK67</f>
        <v>75.1452790889111</v>
      </c>
      <c r="AL68" s="86" t="n">
        <f aca="false">AL60+AL67</f>
        <v>75.1452790889111</v>
      </c>
      <c r="AM68" s="86" t="n">
        <f aca="false">AM60+AM67</f>
        <v>75.1452790889111</v>
      </c>
      <c r="AN68" s="86" t="n">
        <f aca="false">AN60+AN67</f>
        <v>75.1452790889111</v>
      </c>
      <c r="AO68" s="80" t="n">
        <f aca="false">SUM(AP68:BA68)</f>
        <v>1169.45836476164</v>
      </c>
      <c r="AP68" s="86" t="n">
        <f aca="false">AP60+AP67</f>
        <v>97.4548637301365</v>
      </c>
      <c r="AQ68" s="86" t="n">
        <f aca="false">AQ60+AQ67</f>
        <v>97.4548637301365</v>
      </c>
      <c r="AR68" s="86" t="n">
        <f aca="false">AR60+AR67</f>
        <v>97.4548637301365</v>
      </c>
      <c r="AS68" s="86" t="n">
        <f aca="false">AS60+AS67</f>
        <v>97.4548637301365</v>
      </c>
      <c r="AT68" s="86" t="n">
        <f aca="false">AT60+AT67</f>
        <v>97.4548637301365</v>
      </c>
      <c r="AU68" s="86" t="n">
        <f aca="false">AU60+AU67</f>
        <v>97.4548637301365</v>
      </c>
      <c r="AV68" s="86" t="n">
        <f aca="false">AV60+AV67</f>
        <v>97.4548637301365</v>
      </c>
      <c r="AW68" s="86" t="n">
        <f aca="false">AW60+AW67</f>
        <v>97.4548637301365</v>
      </c>
      <c r="AX68" s="86" t="n">
        <f aca="false">AX60+AX67</f>
        <v>97.4548637301365</v>
      </c>
      <c r="AY68" s="86" t="n">
        <f aca="false">AY60+AY67</f>
        <v>97.4548637301365</v>
      </c>
      <c r="AZ68" s="86" t="n">
        <f aca="false">AZ60+AZ67</f>
        <v>97.4548637301365</v>
      </c>
      <c r="BA68" s="86" t="n">
        <f aca="false">BA60+BA67</f>
        <v>97.4548637301365</v>
      </c>
      <c r="BB68" s="80" t="n">
        <f aca="false">SUM(BC68:BN68)</f>
        <v>1436.68016164316</v>
      </c>
      <c r="BC68" s="86" t="n">
        <f aca="false">BC60+BC67</f>
        <v>119.723346803596</v>
      </c>
      <c r="BD68" s="86" t="n">
        <f aca="false">BD60+BD67</f>
        <v>119.723346803596</v>
      </c>
      <c r="BE68" s="86" t="n">
        <f aca="false">BE60+BE67</f>
        <v>119.723346803596</v>
      </c>
      <c r="BF68" s="86" t="n">
        <f aca="false">BF60+BF67</f>
        <v>119.723346803596</v>
      </c>
      <c r="BG68" s="86" t="n">
        <f aca="false">BG60+BG67</f>
        <v>119.723346803596</v>
      </c>
      <c r="BH68" s="86" t="n">
        <f aca="false">BH60+BH67</f>
        <v>119.723346803596</v>
      </c>
      <c r="BI68" s="86" t="n">
        <f aca="false">BI60+BI67</f>
        <v>119.723346803596</v>
      </c>
      <c r="BJ68" s="86" t="n">
        <f aca="false">BJ60+BJ67</f>
        <v>119.723346803596</v>
      </c>
      <c r="BK68" s="86" t="n">
        <f aca="false">BK60+BK67</f>
        <v>119.723346803596</v>
      </c>
      <c r="BL68" s="86" t="n">
        <f aca="false">BL60+BL67</f>
        <v>119.723346803596</v>
      </c>
      <c r="BM68" s="86" t="n">
        <f aca="false">BM60+BM67</f>
        <v>119.723346803596</v>
      </c>
      <c r="BN68" s="86" t="n">
        <f aca="false">BN60+BN67</f>
        <v>119.723346803596</v>
      </c>
    </row>
    <row r="69" customFormat="false" ht="15" hidden="false" customHeight="false" outlineLevel="0" collapsed="false">
      <c r="A69" s="18" t="s">
        <v>277</v>
      </c>
      <c r="B69" s="80" t="n">
        <f aca="false">SUM(C69:N69)</f>
        <v>156.575668361079</v>
      </c>
      <c r="C69" s="83" t="n">
        <f aca="false">C68*'Assumption Setting'!$C$68</f>
        <v>13.0479723634232</v>
      </c>
      <c r="D69" s="83" t="n">
        <f aca="false">D68*'Assumption Setting'!$C$68</f>
        <v>13.0479723634232</v>
      </c>
      <c r="E69" s="83" t="n">
        <f aca="false">E68*'Assumption Setting'!$C$68</f>
        <v>13.0479723634232</v>
      </c>
      <c r="F69" s="83" t="n">
        <f aca="false">F68*'Assumption Setting'!$C$68</f>
        <v>13.0479723634232</v>
      </c>
      <c r="G69" s="83" t="n">
        <f aca="false">G68*'Assumption Setting'!$C$68</f>
        <v>13.0479723634232</v>
      </c>
      <c r="H69" s="83" t="n">
        <f aca="false">H68*'Assumption Setting'!$C$68</f>
        <v>13.0479723634232</v>
      </c>
      <c r="I69" s="83" t="n">
        <f aca="false">I68*'Assumption Setting'!$C$68</f>
        <v>13.0479723634232</v>
      </c>
      <c r="J69" s="83" t="n">
        <f aca="false">J68*'Assumption Setting'!$C$68</f>
        <v>13.0479723634232</v>
      </c>
      <c r="K69" s="83" t="n">
        <f aca="false">K68*'Assumption Setting'!$C$68</f>
        <v>13.0479723634232</v>
      </c>
      <c r="L69" s="83" t="n">
        <f aca="false">L68*'Assumption Setting'!$C$68</f>
        <v>13.0479723634232</v>
      </c>
      <c r="M69" s="83" t="n">
        <f aca="false">M68*'Assumption Setting'!$C$68</f>
        <v>13.0479723634232</v>
      </c>
      <c r="N69" s="83" t="n">
        <f aca="false">N68*'Assumption Setting'!$C$68</f>
        <v>13.0479723634232</v>
      </c>
      <c r="O69" s="80" t="n">
        <f aca="false">SUM(P69:AA69)</f>
        <v>240.496221073007</v>
      </c>
      <c r="P69" s="83" t="n">
        <f aca="false">P68*'Assumption Setting'!$C$68</f>
        <v>20.0413517560839</v>
      </c>
      <c r="Q69" s="83" t="n">
        <f aca="false">Q68*'Assumption Setting'!$C$68</f>
        <v>20.0413517560839</v>
      </c>
      <c r="R69" s="83" t="n">
        <f aca="false">R68*'Assumption Setting'!$C$68</f>
        <v>20.0413517560839</v>
      </c>
      <c r="S69" s="83" t="n">
        <f aca="false">S68*'Assumption Setting'!$C$68</f>
        <v>20.0413517560839</v>
      </c>
      <c r="T69" s="83" t="n">
        <f aca="false">T68*'Assumption Setting'!$C$68</f>
        <v>20.0413517560839</v>
      </c>
      <c r="U69" s="83" t="n">
        <f aca="false">U68*'Assumption Setting'!$C$68</f>
        <v>20.0413517560839</v>
      </c>
      <c r="V69" s="83" t="n">
        <f aca="false">V68*'Assumption Setting'!$C$68</f>
        <v>20.0413517560839</v>
      </c>
      <c r="W69" s="83" t="n">
        <f aca="false">W68*'Assumption Setting'!$C$68</f>
        <v>20.0413517560839</v>
      </c>
      <c r="X69" s="83" t="n">
        <f aca="false">X68*'Assumption Setting'!$C$68</f>
        <v>20.0413517560839</v>
      </c>
      <c r="Y69" s="83" t="n">
        <f aca="false">Y68*'Assumption Setting'!$C$68</f>
        <v>20.0413517560839</v>
      </c>
      <c r="Z69" s="83" t="n">
        <f aca="false">Z68*'Assumption Setting'!$C$68</f>
        <v>20.0413517560839</v>
      </c>
      <c r="AA69" s="83" t="n">
        <f aca="false">AA68*'Assumption Setting'!$C$68</f>
        <v>20.0413517560839</v>
      </c>
      <c r="AB69" s="80" t="n">
        <f aca="false">SUM(AC69:AN69)</f>
        <v>360.697339626773</v>
      </c>
      <c r="AC69" s="83" t="n">
        <f aca="false">AC68*'Assumption Setting'!$C$68</f>
        <v>30.0581116355644</v>
      </c>
      <c r="AD69" s="83" t="n">
        <f aca="false">AD68*'Assumption Setting'!$C$68</f>
        <v>30.0581116355644</v>
      </c>
      <c r="AE69" s="83" t="n">
        <f aca="false">AE68*'Assumption Setting'!$C$68</f>
        <v>30.0581116355644</v>
      </c>
      <c r="AF69" s="83" t="n">
        <f aca="false">AF68*'Assumption Setting'!$C$68</f>
        <v>30.0581116355644</v>
      </c>
      <c r="AG69" s="83" t="n">
        <f aca="false">AG68*'Assumption Setting'!$C$68</f>
        <v>30.0581116355644</v>
      </c>
      <c r="AH69" s="83" t="n">
        <f aca="false">AH68*'Assumption Setting'!$C$68</f>
        <v>30.0581116355644</v>
      </c>
      <c r="AI69" s="83" t="n">
        <f aca="false">AI68*'Assumption Setting'!$C$68</f>
        <v>30.0581116355644</v>
      </c>
      <c r="AJ69" s="83" t="n">
        <f aca="false">AJ68*'Assumption Setting'!$C$68</f>
        <v>30.0581116355644</v>
      </c>
      <c r="AK69" s="83" t="n">
        <f aca="false">AK68*'Assumption Setting'!$C$68</f>
        <v>30.0581116355644</v>
      </c>
      <c r="AL69" s="83" t="n">
        <f aca="false">AL68*'Assumption Setting'!$C$68</f>
        <v>30.0581116355644</v>
      </c>
      <c r="AM69" s="83" t="n">
        <f aca="false">AM68*'Assumption Setting'!$C$68</f>
        <v>30.0581116355644</v>
      </c>
      <c r="AN69" s="83" t="n">
        <f aca="false">AN68*'Assumption Setting'!$C$68</f>
        <v>30.0581116355644</v>
      </c>
      <c r="AO69" s="80" t="n">
        <f aca="false">SUM(AP69:BA69)</f>
        <v>467.783345904655</v>
      </c>
      <c r="AP69" s="83" t="n">
        <f aca="false">AP68*'Assumption Setting'!$C$68</f>
        <v>38.9819454920546</v>
      </c>
      <c r="AQ69" s="83" t="n">
        <f aca="false">AQ68*'Assumption Setting'!$C$68</f>
        <v>38.9819454920546</v>
      </c>
      <c r="AR69" s="83" t="n">
        <f aca="false">AR68*'Assumption Setting'!$C$68</f>
        <v>38.9819454920546</v>
      </c>
      <c r="AS69" s="83" t="n">
        <f aca="false">AS68*'Assumption Setting'!$C$68</f>
        <v>38.9819454920546</v>
      </c>
      <c r="AT69" s="83" t="n">
        <f aca="false">AT68*'Assumption Setting'!$C$68</f>
        <v>38.9819454920546</v>
      </c>
      <c r="AU69" s="83" t="n">
        <f aca="false">AU68*'Assumption Setting'!$C$68</f>
        <v>38.9819454920546</v>
      </c>
      <c r="AV69" s="83" t="n">
        <f aca="false">AV68*'Assumption Setting'!$C$68</f>
        <v>38.9819454920546</v>
      </c>
      <c r="AW69" s="83" t="n">
        <f aca="false">AW68*'Assumption Setting'!$C$68</f>
        <v>38.9819454920546</v>
      </c>
      <c r="AX69" s="83" t="n">
        <f aca="false">AX68*'Assumption Setting'!$C$68</f>
        <v>38.9819454920546</v>
      </c>
      <c r="AY69" s="83" t="n">
        <f aca="false">AY68*'Assumption Setting'!$C$68</f>
        <v>38.9819454920546</v>
      </c>
      <c r="AZ69" s="83" t="n">
        <f aca="false">AZ68*'Assumption Setting'!$C$68</f>
        <v>38.9819454920546</v>
      </c>
      <c r="BA69" s="83" t="n">
        <f aca="false">BA68*'Assumption Setting'!$C$68</f>
        <v>38.9819454920546</v>
      </c>
      <c r="BB69" s="80" t="n">
        <f aca="false">SUM(BC69:BN69)</f>
        <v>574.672064657263</v>
      </c>
      <c r="BC69" s="83" t="n">
        <f aca="false">BC68*'Assumption Setting'!$C$68</f>
        <v>47.8893387214386</v>
      </c>
      <c r="BD69" s="83" t="n">
        <f aca="false">BD68*'Assumption Setting'!$C$68</f>
        <v>47.8893387214386</v>
      </c>
      <c r="BE69" s="83" t="n">
        <f aca="false">BE68*'Assumption Setting'!$C$68</f>
        <v>47.8893387214386</v>
      </c>
      <c r="BF69" s="83" t="n">
        <f aca="false">BF68*'Assumption Setting'!$C$68</f>
        <v>47.8893387214386</v>
      </c>
      <c r="BG69" s="83" t="n">
        <f aca="false">BG68*'Assumption Setting'!$C$68</f>
        <v>47.8893387214386</v>
      </c>
      <c r="BH69" s="83" t="n">
        <f aca="false">BH68*'Assumption Setting'!$C$68</f>
        <v>47.8893387214386</v>
      </c>
      <c r="BI69" s="83" t="n">
        <f aca="false">BI68*'Assumption Setting'!$C$68</f>
        <v>47.8893387214386</v>
      </c>
      <c r="BJ69" s="83" t="n">
        <f aca="false">BJ68*'Assumption Setting'!$C$68</f>
        <v>47.8893387214386</v>
      </c>
      <c r="BK69" s="83" t="n">
        <f aca="false">BK68*'Assumption Setting'!$C$68</f>
        <v>47.8893387214386</v>
      </c>
      <c r="BL69" s="83" t="n">
        <f aca="false">BL68*'Assumption Setting'!$C$68</f>
        <v>47.8893387214386</v>
      </c>
      <c r="BM69" s="83" t="n">
        <f aca="false">BM68*'Assumption Setting'!$C$68</f>
        <v>47.8893387214386</v>
      </c>
      <c r="BN69" s="83" t="n">
        <f aca="false">BN68*'Assumption Setting'!$C$68</f>
        <v>47.8893387214386</v>
      </c>
    </row>
    <row r="70" customFormat="false" ht="15" hidden="false" customHeight="false" outlineLevel="0" collapsed="false">
      <c r="A70" s="12" t="s">
        <v>616</v>
      </c>
      <c r="B70" s="80" t="n">
        <f aca="false">SUM(C70:N70)</f>
        <v>62.6302673444316</v>
      </c>
      <c r="C70" s="81" t="n">
        <f aca="false">C69*'Assumption Setting'!$D$68</f>
        <v>5.2191889453693</v>
      </c>
      <c r="D70" s="81" t="n">
        <f aca="false">D69*'Assumption Setting'!$D$68</f>
        <v>5.2191889453693</v>
      </c>
      <c r="E70" s="81" t="n">
        <f aca="false">E69*'Assumption Setting'!$D$68</f>
        <v>5.2191889453693</v>
      </c>
      <c r="F70" s="81" t="n">
        <f aca="false">F69*'Assumption Setting'!$D$68</f>
        <v>5.2191889453693</v>
      </c>
      <c r="G70" s="81" t="n">
        <f aca="false">G69*'Assumption Setting'!$D$68</f>
        <v>5.2191889453693</v>
      </c>
      <c r="H70" s="81" t="n">
        <f aca="false">H69*'Assumption Setting'!$D$68</f>
        <v>5.2191889453693</v>
      </c>
      <c r="I70" s="81" t="n">
        <f aca="false">I69*'Assumption Setting'!$D$68</f>
        <v>5.2191889453693</v>
      </c>
      <c r="J70" s="81" t="n">
        <f aca="false">J69*'Assumption Setting'!$D$68</f>
        <v>5.2191889453693</v>
      </c>
      <c r="K70" s="81" t="n">
        <f aca="false">K69*'Assumption Setting'!$D$68</f>
        <v>5.2191889453693</v>
      </c>
      <c r="L70" s="81" t="n">
        <f aca="false">L69*'Assumption Setting'!$D$68</f>
        <v>5.2191889453693</v>
      </c>
      <c r="M70" s="81" t="n">
        <f aca="false">M69*'Assumption Setting'!$D$68</f>
        <v>5.2191889453693</v>
      </c>
      <c r="N70" s="81" t="n">
        <f aca="false">N69*'Assumption Setting'!$D$68</f>
        <v>5.2191889453693</v>
      </c>
      <c r="O70" s="80" t="n">
        <f aca="false">SUM(P70:AA70)</f>
        <v>96.1984884292028</v>
      </c>
      <c r="P70" s="81" t="n">
        <f aca="false">P69*'Assumption Setting'!$D$68</f>
        <v>8.01654070243357</v>
      </c>
      <c r="Q70" s="81" t="n">
        <f aca="false">Q69*'Assumption Setting'!$D$68</f>
        <v>8.01654070243357</v>
      </c>
      <c r="R70" s="81" t="n">
        <f aca="false">R69*'Assumption Setting'!$D$68</f>
        <v>8.01654070243357</v>
      </c>
      <c r="S70" s="81" t="n">
        <f aca="false">S69*'Assumption Setting'!$D$68</f>
        <v>8.01654070243357</v>
      </c>
      <c r="T70" s="81" t="n">
        <f aca="false">T69*'Assumption Setting'!$D$68</f>
        <v>8.01654070243357</v>
      </c>
      <c r="U70" s="81" t="n">
        <f aca="false">U69*'Assumption Setting'!$D$68</f>
        <v>8.01654070243357</v>
      </c>
      <c r="V70" s="81" t="n">
        <f aca="false">V69*'Assumption Setting'!$D$68</f>
        <v>8.01654070243357</v>
      </c>
      <c r="W70" s="81" t="n">
        <f aca="false">W69*'Assumption Setting'!$D$68</f>
        <v>8.01654070243357</v>
      </c>
      <c r="X70" s="81" t="n">
        <f aca="false">X69*'Assumption Setting'!$D$68</f>
        <v>8.01654070243357</v>
      </c>
      <c r="Y70" s="81" t="n">
        <f aca="false">Y69*'Assumption Setting'!$D$68</f>
        <v>8.01654070243357</v>
      </c>
      <c r="Z70" s="81" t="n">
        <f aca="false">Z69*'Assumption Setting'!$D$68</f>
        <v>8.01654070243357</v>
      </c>
      <c r="AA70" s="81" t="n">
        <f aca="false">AA69*'Assumption Setting'!$D$68</f>
        <v>8.01654070243357</v>
      </c>
      <c r="AB70" s="80" t="n">
        <f aca="false">SUM(AC70:AN70)</f>
        <v>144.278935850709</v>
      </c>
      <c r="AC70" s="81" t="n">
        <f aca="false">AC69*'Assumption Setting'!$D$68</f>
        <v>12.0232446542258</v>
      </c>
      <c r="AD70" s="81" t="n">
        <f aca="false">AD69*'Assumption Setting'!$D$68</f>
        <v>12.0232446542258</v>
      </c>
      <c r="AE70" s="81" t="n">
        <f aca="false">AE69*'Assumption Setting'!$D$68</f>
        <v>12.0232446542258</v>
      </c>
      <c r="AF70" s="81" t="n">
        <f aca="false">AF69*'Assumption Setting'!$D$68</f>
        <v>12.0232446542258</v>
      </c>
      <c r="AG70" s="81" t="n">
        <f aca="false">AG69*'Assumption Setting'!$D$68</f>
        <v>12.0232446542258</v>
      </c>
      <c r="AH70" s="81" t="n">
        <f aca="false">AH69*'Assumption Setting'!$D$68</f>
        <v>12.0232446542258</v>
      </c>
      <c r="AI70" s="81" t="n">
        <f aca="false">AI69*'Assumption Setting'!$D$68</f>
        <v>12.0232446542258</v>
      </c>
      <c r="AJ70" s="81" t="n">
        <f aca="false">AJ69*'Assumption Setting'!$D$68</f>
        <v>12.0232446542258</v>
      </c>
      <c r="AK70" s="81" t="n">
        <f aca="false">AK69*'Assumption Setting'!$D$68</f>
        <v>12.0232446542258</v>
      </c>
      <c r="AL70" s="81" t="n">
        <f aca="false">AL69*'Assumption Setting'!$D$68</f>
        <v>12.0232446542258</v>
      </c>
      <c r="AM70" s="81" t="n">
        <f aca="false">AM69*'Assumption Setting'!$D$68</f>
        <v>12.0232446542258</v>
      </c>
      <c r="AN70" s="81" t="n">
        <f aca="false">AN69*'Assumption Setting'!$D$68</f>
        <v>12.0232446542258</v>
      </c>
      <c r="AO70" s="80" t="n">
        <f aca="false">SUM(AP70:BA70)</f>
        <v>187.113338361862</v>
      </c>
      <c r="AP70" s="81" t="n">
        <f aca="false">AP69*'Assumption Setting'!$D$68</f>
        <v>15.5927781968218</v>
      </c>
      <c r="AQ70" s="81" t="n">
        <f aca="false">AQ69*'Assumption Setting'!$D$68</f>
        <v>15.5927781968218</v>
      </c>
      <c r="AR70" s="81" t="n">
        <f aca="false">AR69*'Assumption Setting'!$D$68</f>
        <v>15.5927781968218</v>
      </c>
      <c r="AS70" s="81" t="n">
        <f aca="false">AS69*'Assumption Setting'!$D$68</f>
        <v>15.5927781968218</v>
      </c>
      <c r="AT70" s="81" t="n">
        <f aca="false">AT69*'Assumption Setting'!$D$68</f>
        <v>15.5927781968218</v>
      </c>
      <c r="AU70" s="81" t="n">
        <f aca="false">AU69*'Assumption Setting'!$D$68</f>
        <v>15.5927781968218</v>
      </c>
      <c r="AV70" s="81" t="n">
        <f aca="false">AV69*'Assumption Setting'!$D$68</f>
        <v>15.5927781968218</v>
      </c>
      <c r="AW70" s="81" t="n">
        <f aca="false">AW69*'Assumption Setting'!$D$68</f>
        <v>15.5927781968218</v>
      </c>
      <c r="AX70" s="81" t="n">
        <f aca="false">AX69*'Assumption Setting'!$D$68</f>
        <v>15.5927781968218</v>
      </c>
      <c r="AY70" s="81" t="n">
        <f aca="false">AY69*'Assumption Setting'!$D$68</f>
        <v>15.5927781968218</v>
      </c>
      <c r="AZ70" s="81" t="n">
        <f aca="false">AZ69*'Assumption Setting'!$D$68</f>
        <v>15.5927781968218</v>
      </c>
      <c r="BA70" s="81" t="n">
        <f aca="false">BA69*'Assumption Setting'!$D$68</f>
        <v>15.5927781968218</v>
      </c>
      <c r="BB70" s="80" t="n">
        <f aca="false">SUM(BC70:BN70)</f>
        <v>229.868825862905</v>
      </c>
      <c r="BC70" s="81" t="n">
        <f aca="false">BC69*'Assumption Setting'!$D$68</f>
        <v>19.1557354885754</v>
      </c>
      <c r="BD70" s="81" t="n">
        <f aca="false">BD69*'Assumption Setting'!$D$68</f>
        <v>19.1557354885754</v>
      </c>
      <c r="BE70" s="81" t="n">
        <f aca="false">BE69*'Assumption Setting'!$D$68</f>
        <v>19.1557354885754</v>
      </c>
      <c r="BF70" s="81" t="n">
        <f aca="false">BF69*'Assumption Setting'!$D$68</f>
        <v>19.1557354885754</v>
      </c>
      <c r="BG70" s="81" t="n">
        <f aca="false">BG69*'Assumption Setting'!$D$68</f>
        <v>19.1557354885754</v>
      </c>
      <c r="BH70" s="81" t="n">
        <f aca="false">BH69*'Assumption Setting'!$D$68</f>
        <v>19.1557354885754</v>
      </c>
      <c r="BI70" s="81" t="n">
        <f aca="false">BI69*'Assumption Setting'!$D$68</f>
        <v>19.1557354885754</v>
      </c>
      <c r="BJ70" s="81" t="n">
        <f aca="false">BJ69*'Assumption Setting'!$D$68</f>
        <v>19.1557354885754</v>
      </c>
      <c r="BK70" s="81" t="n">
        <f aca="false">BK69*'Assumption Setting'!$D$68</f>
        <v>19.1557354885754</v>
      </c>
      <c r="BL70" s="81" t="n">
        <f aca="false">BL69*'Assumption Setting'!$D$68</f>
        <v>19.1557354885754</v>
      </c>
      <c r="BM70" s="81" t="n">
        <f aca="false">BM69*'Assumption Setting'!$D$68</f>
        <v>19.1557354885754</v>
      </c>
      <c r="BN70" s="81" t="n">
        <f aca="false">BN69*'Assumption Setting'!$D$68</f>
        <v>19.1557354885754</v>
      </c>
    </row>
    <row r="71" customFormat="false" ht="15" hidden="false" customHeight="false" outlineLevel="0" collapsed="false">
      <c r="A71" s="12" t="s">
        <v>617</v>
      </c>
      <c r="B71" s="80" t="n">
        <f aca="false">SUM(C71:N71)</f>
        <v>28.1836203049942</v>
      </c>
      <c r="C71" s="81" t="n">
        <f aca="false">C70*'Assumption Setting'!$E$68</f>
        <v>2.34863502541618</v>
      </c>
      <c r="D71" s="81" t="n">
        <f aca="false">D70*'Assumption Setting'!$E$68</f>
        <v>2.34863502541618</v>
      </c>
      <c r="E71" s="81" t="n">
        <f aca="false">E70*'Assumption Setting'!$E$68</f>
        <v>2.34863502541618</v>
      </c>
      <c r="F71" s="81" t="n">
        <f aca="false">F70*'Assumption Setting'!$E$68</f>
        <v>2.34863502541618</v>
      </c>
      <c r="G71" s="81" t="n">
        <f aca="false">G70*'Assumption Setting'!$E$68</f>
        <v>2.34863502541618</v>
      </c>
      <c r="H71" s="81" t="n">
        <f aca="false">H70*'Assumption Setting'!$E$68</f>
        <v>2.34863502541618</v>
      </c>
      <c r="I71" s="81" t="n">
        <f aca="false">I70*'Assumption Setting'!$E$68</f>
        <v>2.34863502541618</v>
      </c>
      <c r="J71" s="81" t="n">
        <f aca="false">J70*'Assumption Setting'!$E$68</f>
        <v>2.34863502541618</v>
      </c>
      <c r="K71" s="81" t="n">
        <f aca="false">K70*'Assumption Setting'!$E$68</f>
        <v>2.34863502541618</v>
      </c>
      <c r="L71" s="81" t="n">
        <f aca="false">L70*'Assumption Setting'!$E$68</f>
        <v>2.34863502541618</v>
      </c>
      <c r="M71" s="81" t="n">
        <f aca="false">M70*'Assumption Setting'!$E$68</f>
        <v>2.34863502541618</v>
      </c>
      <c r="N71" s="81" t="n">
        <f aca="false">N70*'Assumption Setting'!$E$68</f>
        <v>2.34863502541618</v>
      </c>
      <c r="O71" s="80" t="n">
        <f aca="false">SUM(P71:AA71)</f>
        <v>43.2893197931413</v>
      </c>
      <c r="P71" s="81" t="n">
        <f aca="false">P70*'Assumption Setting'!$E$68</f>
        <v>3.60744331609511</v>
      </c>
      <c r="Q71" s="81" t="n">
        <f aca="false">Q70*'Assumption Setting'!$E$68</f>
        <v>3.60744331609511</v>
      </c>
      <c r="R71" s="81" t="n">
        <f aca="false">R70*'Assumption Setting'!$E$68</f>
        <v>3.60744331609511</v>
      </c>
      <c r="S71" s="81" t="n">
        <f aca="false">S70*'Assumption Setting'!$E$68</f>
        <v>3.60744331609511</v>
      </c>
      <c r="T71" s="81" t="n">
        <f aca="false">T70*'Assumption Setting'!$E$68</f>
        <v>3.60744331609511</v>
      </c>
      <c r="U71" s="81" t="n">
        <f aca="false">U70*'Assumption Setting'!$E$68</f>
        <v>3.60744331609511</v>
      </c>
      <c r="V71" s="81" t="n">
        <f aca="false">V70*'Assumption Setting'!$E$68</f>
        <v>3.60744331609511</v>
      </c>
      <c r="W71" s="81" t="n">
        <f aca="false">W70*'Assumption Setting'!$E$68</f>
        <v>3.60744331609511</v>
      </c>
      <c r="X71" s="81" t="n">
        <f aca="false">X70*'Assumption Setting'!$E$68</f>
        <v>3.60744331609511</v>
      </c>
      <c r="Y71" s="81" t="n">
        <f aca="false">Y70*'Assumption Setting'!$E$68</f>
        <v>3.60744331609511</v>
      </c>
      <c r="Z71" s="81" t="n">
        <f aca="false">Z70*'Assumption Setting'!$E$68</f>
        <v>3.60744331609511</v>
      </c>
      <c r="AA71" s="81" t="n">
        <f aca="false">AA70*'Assumption Setting'!$E$68</f>
        <v>3.60744331609511</v>
      </c>
      <c r="AB71" s="80" t="n">
        <f aca="false">SUM(AC71:AN71)</f>
        <v>64.9255211328192</v>
      </c>
      <c r="AC71" s="81" t="n">
        <f aca="false">AC70*'Assumption Setting'!$E$68</f>
        <v>5.4104600944016</v>
      </c>
      <c r="AD71" s="81" t="n">
        <f aca="false">AD70*'Assumption Setting'!$E$68</f>
        <v>5.4104600944016</v>
      </c>
      <c r="AE71" s="81" t="n">
        <f aca="false">AE70*'Assumption Setting'!$E$68</f>
        <v>5.4104600944016</v>
      </c>
      <c r="AF71" s="81" t="n">
        <f aca="false">AF70*'Assumption Setting'!$E$68</f>
        <v>5.4104600944016</v>
      </c>
      <c r="AG71" s="81" t="n">
        <f aca="false">AG70*'Assumption Setting'!$E$68</f>
        <v>5.4104600944016</v>
      </c>
      <c r="AH71" s="81" t="n">
        <f aca="false">AH70*'Assumption Setting'!$E$68</f>
        <v>5.4104600944016</v>
      </c>
      <c r="AI71" s="81" t="n">
        <f aca="false">AI70*'Assumption Setting'!$E$68</f>
        <v>5.4104600944016</v>
      </c>
      <c r="AJ71" s="81" t="n">
        <f aca="false">AJ70*'Assumption Setting'!$E$68</f>
        <v>5.4104600944016</v>
      </c>
      <c r="AK71" s="81" t="n">
        <f aca="false">AK70*'Assumption Setting'!$E$68</f>
        <v>5.4104600944016</v>
      </c>
      <c r="AL71" s="81" t="n">
        <f aca="false">AL70*'Assumption Setting'!$E$68</f>
        <v>5.4104600944016</v>
      </c>
      <c r="AM71" s="81" t="n">
        <f aca="false">AM70*'Assumption Setting'!$E$68</f>
        <v>5.4104600944016</v>
      </c>
      <c r="AN71" s="81" t="n">
        <f aca="false">AN70*'Assumption Setting'!$E$68</f>
        <v>5.4104600944016</v>
      </c>
      <c r="AO71" s="80" t="n">
        <f aca="false">SUM(AP71:BA71)</f>
        <v>84.201002262838</v>
      </c>
      <c r="AP71" s="81" t="n">
        <f aca="false">AP70*'Assumption Setting'!$E$68</f>
        <v>7.01675018856983</v>
      </c>
      <c r="AQ71" s="81" t="n">
        <f aca="false">AQ70*'Assumption Setting'!$E$68</f>
        <v>7.01675018856983</v>
      </c>
      <c r="AR71" s="81" t="n">
        <f aca="false">AR70*'Assumption Setting'!$E$68</f>
        <v>7.01675018856983</v>
      </c>
      <c r="AS71" s="81" t="n">
        <f aca="false">AS70*'Assumption Setting'!$E$68</f>
        <v>7.01675018856983</v>
      </c>
      <c r="AT71" s="81" t="n">
        <f aca="false">AT70*'Assumption Setting'!$E$68</f>
        <v>7.01675018856983</v>
      </c>
      <c r="AU71" s="81" t="n">
        <f aca="false">AU70*'Assumption Setting'!$E$68</f>
        <v>7.01675018856983</v>
      </c>
      <c r="AV71" s="81" t="n">
        <f aca="false">AV70*'Assumption Setting'!$E$68</f>
        <v>7.01675018856983</v>
      </c>
      <c r="AW71" s="81" t="n">
        <f aca="false">AW70*'Assumption Setting'!$E$68</f>
        <v>7.01675018856983</v>
      </c>
      <c r="AX71" s="81" t="n">
        <f aca="false">AX70*'Assumption Setting'!$E$68</f>
        <v>7.01675018856983</v>
      </c>
      <c r="AY71" s="81" t="n">
        <f aca="false">AY70*'Assumption Setting'!$E$68</f>
        <v>7.01675018856983</v>
      </c>
      <c r="AZ71" s="81" t="n">
        <f aca="false">AZ70*'Assumption Setting'!$E$68</f>
        <v>7.01675018856983</v>
      </c>
      <c r="BA71" s="81" t="n">
        <f aca="false">BA70*'Assumption Setting'!$E$68</f>
        <v>7.01675018856983</v>
      </c>
      <c r="BB71" s="80" t="n">
        <f aca="false">SUM(BC71:BN71)</f>
        <v>103.440971638307</v>
      </c>
      <c r="BC71" s="81" t="n">
        <f aca="false">BC70*'Assumption Setting'!$E$68</f>
        <v>8.62008096985894</v>
      </c>
      <c r="BD71" s="81" t="n">
        <f aca="false">BD70*'Assumption Setting'!$E$68</f>
        <v>8.62008096985894</v>
      </c>
      <c r="BE71" s="81" t="n">
        <f aca="false">BE70*'Assumption Setting'!$E$68</f>
        <v>8.62008096985894</v>
      </c>
      <c r="BF71" s="81" t="n">
        <f aca="false">BF70*'Assumption Setting'!$E$68</f>
        <v>8.62008096985894</v>
      </c>
      <c r="BG71" s="81" t="n">
        <f aca="false">BG70*'Assumption Setting'!$E$68</f>
        <v>8.62008096985894</v>
      </c>
      <c r="BH71" s="81" t="n">
        <f aca="false">BH70*'Assumption Setting'!$E$68</f>
        <v>8.62008096985894</v>
      </c>
      <c r="BI71" s="81" t="n">
        <f aca="false">BI70*'Assumption Setting'!$E$68</f>
        <v>8.62008096985894</v>
      </c>
      <c r="BJ71" s="81" t="n">
        <f aca="false">BJ70*'Assumption Setting'!$E$68</f>
        <v>8.62008096985894</v>
      </c>
      <c r="BK71" s="81" t="n">
        <f aca="false">BK70*'Assumption Setting'!$E$68</f>
        <v>8.62008096985894</v>
      </c>
      <c r="BL71" s="81" t="n">
        <f aca="false">BL70*'Assumption Setting'!$E$68</f>
        <v>8.62008096985894</v>
      </c>
      <c r="BM71" s="81" t="n">
        <f aca="false">BM70*'Assumption Setting'!$E$68</f>
        <v>8.62008096985894</v>
      </c>
      <c r="BN71" s="81" t="n">
        <f aca="false">BN70*'Assumption Setting'!$E$68</f>
        <v>8.62008096985894</v>
      </c>
    </row>
    <row r="72" customFormat="false" ht="15" hidden="false" customHeight="false" outlineLevel="0" collapsed="false">
      <c r="A72" s="18" t="s">
        <v>618</v>
      </c>
      <c r="B72" s="80" t="n">
        <f aca="false">SUM(C72:N72)</f>
        <v>7.23379587828185</v>
      </c>
      <c r="C72" s="83" t="n">
        <f aca="true">IF((1-'Assumption Setting'!$G$68)&lt;1,0,OFFSET($A$71,0,2+13*INT(((1-'Assumption Setting'!$G$68)-1)/12)+MOD((1-'Assumption Setting'!$G$68)-1,12)))*'Assumption Setting'!$F$68*'Assumption Setting'!$C$77</f>
        <v>0</v>
      </c>
      <c r="D72" s="83" t="n">
        <f aca="true">IF((2-'Assumption Setting'!$G$68)&lt;1,0,OFFSET($A$71,0,2+13*INT(((2-'Assumption Setting'!$G$68)-1)/12)+MOD((2-'Assumption Setting'!$G$68)-1,12)))*'Assumption Setting'!$F$68*'Assumption Setting'!$C$77</f>
        <v>0.657617807116532</v>
      </c>
      <c r="E72" s="83" t="n">
        <f aca="true">IF((3-'Assumption Setting'!$G$68)&lt;1,0,OFFSET($A$71,0,2+13*INT(((3-'Assumption Setting'!$G$68)-1)/12)+MOD((3-'Assumption Setting'!$G$68)-1,12)))*'Assumption Setting'!$F$68*'Assumption Setting'!$C$77</f>
        <v>0.657617807116532</v>
      </c>
      <c r="F72" s="83" t="n">
        <f aca="true">IF((4-'Assumption Setting'!$G$68)&lt;1,0,OFFSET($A$71,0,2+13*INT(((4-'Assumption Setting'!$G$68)-1)/12)+MOD((4-'Assumption Setting'!$G$68)-1,12)))*'Assumption Setting'!$F$68*'Assumption Setting'!$C$77</f>
        <v>0.657617807116532</v>
      </c>
      <c r="G72" s="83" t="n">
        <f aca="true">IF((5-'Assumption Setting'!$G$68)&lt;1,0,OFFSET($A$71,0,2+13*INT(((5-'Assumption Setting'!$G$68)-1)/12)+MOD((5-'Assumption Setting'!$G$68)-1,12)))*'Assumption Setting'!$F$68*'Assumption Setting'!$C$77</f>
        <v>0.657617807116532</v>
      </c>
      <c r="H72" s="83" t="n">
        <f aca="true">IF((6-'Assumption Setting'!$G$68)&lt;1,0,OFFSET($A$71,0,2+13*INT(((6-'Assumption Setting'!$G$68)-1)/12)+MOD((6-'Assumption Setting'!$G$68)-1,12)))*'Assumption Setting'!$F$68*'Assumption Setting'!$C$77</f>
        <v>0.657617807116532</v>
      </c>
      <c r="I72" s="83" t="n">
        <f aca="true">IF((7-'Assumption Setting'!$G$68)&lt;1,0,OFFSET($A$71,0,2+13*INT(((7-'Assumption Setting'!$G$68)-1)/12)+MOD((7-'Assumption Setting'!$G$68)-1,12)))*'Assumption Setting'!$F$68*'Assumption Setting'!$C$77</f>
        <v>0.657617807116532</v>
      </c>
      <c r="J72" s="83" t="n">
        <f aca="true">IF((8-'Assumption Setting'!$G$68)&lt;1,0,OFFSET($A$71,0,2+13*INT(((8-'Assumption Setting'!$G$68)-1)/12)+MOD((8-'Assumption Setting'!$G$68)-1,12)))*'Assumption Setting'!$F$68*'Assumption Setting'!$C$77</f>
        <v>0.657617807116532</v>
      </c>
      <c r="K72" s="83" t="n">
        <f aca="true">IF((9-'Assumption Setting'!$G$68)&lt;1,0,OFFSET($A$71,0,2+13*INT(((9-'Assumption Setting'!$G$68)-1)/12)+MOD((9-'Assumption Setting'!$G$68)-1,12)))*'Assumption Setting'!$F$68*'Assumption Setting'!$C$77</f>
        <v>0.657617807116532</v>
      </c>
      <c r="L72" s="83" t="n">
        <f aca="true">IF((10-'Assumption Setting'!$G$68)&lt;1,0,OFFSET($A$71,0,2+13*INT(((10-'Assumption Setting'!$G$68)-1)/12)+MOD((10-'Assumption Setting'!$G$68)-1,12)))*'Assumption Setting'!$F$68*'Assumption Setting'!$C$77</f>
        <v>0.657617807116532</v>
      </c>
      <c r="M72" s="83" t="n">
        <f aca="true">IF((11-'Assumption Setting'!$G$68)&lt;1,0,OFFSET($A$71,0,2+13*INT(((11-'Assumption Setting'!$G$68)-1)/12)+MOD((11-'Assumption Setting'!$G$68)-1,12)))*'Assumption Setting'!$F$68*'Assumption Setting'!$C$77</f>
        <v>0.657617807116532</v>
      </c>
      <c r="N72" s="83" t="n">
        <f aca="true">IF((12-'Assumption Setting'!$G$68)&lt;1,0,OFFSET($A$71,0,2+13*INT(((12-'Assumption Setting'!$G$68)-1)/12)+MOD((12-'Assumption Setting'!$G$68)-1,12)))*'Assumption Setting'!$F$68*'Assumption Setting'!$C$77</f>
        <v>0.657617807116532</v>
      </c>
      <c r="O72" s="80" t="n">
        <f aca="false">SUM(P72:AA72)</f>
        <v>12.9453975427584</v>
      </c>
      <c r="P72" s="83" t="n">
        <f aca="true">IF((13-'Assumption Setting'!$G$68)&lt;1,0,OFFSET($A$71,0,2+13*INT(((13-'Assumption Setting'!$G$68)-1)/12)+MOD((13-'Assumption Setting'!$G$68)-1,12)))*'Assumption Setting'!$F$68*'Assumption Setting'!$D$77</f>
        <v>0.723379587828185</v>
      </c>
      <c r="Q72" s="83" t="n">
        <f aca="true">IF((14-'Assumption Setting'!$G$68)&lt;1,0,OFFSET($A$71,0,2+13*INT(((14-'Assumption Setting'!$G$68)-1)/12)+MOD((14-'Assumption Setting'!$G$68)-1,12)))*'Assumption Setting'!$F$68*'Assumption Setting'!$D$77</f>
        <v>1.11109254135729</v>
      </c>
      <c r="R72" s="83" t="n">
        <f aca="true">IF((15-'Assumption Setting'!$G$68)&lt;1,0,OFFSET($A$71,0,2+13*INT(((15-'Assumption Setting'!$G$68)-1)/12)+MOD((15-'Assumption Setting'!$G$68)-1,12)))*'Assumption Setting'!$F$68*'Assumption Setting'!$D$77</f>
        <v>1.11109254135729</v>
      </c>
      <c r="S72" s="83" t="n">
        <f aca="true">IF((16-'Assumption Setting'!$G$68)&lt;1,0,OFFSET($A$71,0,2+13*INT(((16-'Assumption Setting'!$G$68)-1)/12)+MOD((16-'Assumption Setting'!$G$68)-1,12)))*'Assumption Setting'!$F$68*'Assumption Setting'!$D$77</f>
        <v>1.11109254135729</v>
      </c>
      <c r="T72" s="83" t="n">
        <f aca="true">IF((17-'Assumption Setting'!$G$68)&lt;1,0,OFFSET($A$71,0,2+13*INT(((17-'Assumption Setting'!$G$68)-1)/12)+MOD((17-'Assumption Setting'!$G$68)-1,12)))*'Assumption Setting'!$F$68*'Assumption Setting'!$D$77</f>
        <v>1.11109254135729</v>
      </c>
      <c r="U72" s="83" t="n">
        <f aca="true">IF((18-'Assumption Setting'!$G$68)&lt;1,0,OFFSET($A$71,0,2+13*INT(((18-'Assumption Setting'!$G$68)-1)/12)+MOD((18-'Assumption Setting'!$G$68)-1,12)))*'Assumption Setting'!$F$68*'Assumption Setting'!$D$77</f>
        <v>1.11109254135729</v>
      </c>
      <c r="V72" s="83" t="n">
        <f aca="true">IF((19-'Assumption Setting'!$G$68)&lt;1,0,OFFSET($A$71,0,2+13*INT(((19-'Assumption Setting'!$G$68)-1)/12)+MOD((19-'Assumption Setting'!$G$68)-1,12)))*'Assumption Setting'!$F$68*'Assumption Setting'!$D$77</f>
        <v>1.11109254135729</v>
      </c>
      <c r="W72" s="83" t="n">
        <f aca="true">IF((20-'Assumption Setting'!$G$68)&lt;1,0,OFFSET($A$71,0,2+13*INT(((20-'Assumption Setting'!$G$68)-1)/12)+MOD((20-'Assumption Setting'!$G$68)-1,12)))*'Assumption Setting'!$F$68*'Assumption Setting'!$D$77</f>
        <v>1.11109254135729</v>
      </c>
      <c r="X72" s="83" t="n">
        <f aca="true">IF((21-'Assumption Setting'!$G$68)&lt;1,0,OFFSET($A$71,0,2+13*INT(((21-'Assumption Setting'!$G$68)-1)/12)+MOD((21-'Assumption Setting'!$G$68)-1,12)))*'Assumption Setting'!$F$68*'Assumption Setting'!$D$77</f>
        <v>1.11109254135729</v>
      </c>
      <c r="Y72" s="83" t="n">
        <f aca="true">IF((22-'Assumption Setting'!$G$68)&lt;1,0,OFFSET($A$71,0,2+13*INT(((22-'Assumption Setting'!$G$68)-1)/12)+MOD((22-'Assumption Setting'!$G$68)-1,12)))*'Assumption Setting'!$F$68*'Assumption Setting'!$D$77</f>
        <v>1.11109254135729</v>
      </c>
      <c r="Z72" s="83" t="n">
        <f aca="true">IF((23-'Assumption Setting'!$G$68)&lt;1,0,OFFSET($A$71,0,2+13*INT(((23-'Assumption Setting'!$G$68)-1)/12)+MOD((23-'Assumption Setting'!$G$68)-1,12)))*'Assumption Setting'!$F$68*'Assumption Setting'!$D$77</f>
        <v>1.11109254135729</v>
      </c>
      <c r="AA72" s="83" t="n">
        <f aca="true">IF((24-'Assumption Setting'!$G$68)&lt;1,0,OFFSET($A$71,0,2+13*INT(((24-'Assumption Setting'!$G$68)-1)/12)+MOD((24-'Assumption Setting'!$G$68)-1,12)))*'Assumption Setting'!$F$68*'Assumption Setting'!$D$77</f>
        <v>1.11109254135729</v>
      </c>
      <c r="AB72" s="80" t="n">
        <f aca="false">SUM(AC72:AN72)</f>
        <v>21.2091614631163</v>
      </c>
      <c r="AC72" s="83" t="n">
        <f aca="true">IF((25-'Assumption Setting'!$G$68)&lt;1,0,OFFSET($A$71,0,2+13*INT(((25-'Assumption Setting'!$G$68)-1)/12)+MOD((25-'Assumption Setting'!$G$68)-1,12)))*'Assumption Setting'!$F$68*'Assumption Setting'!$E$77</f>
        <v>1.21210095420796</v>
      </c>
      <c r="AD72" s="83" t="n">
        <f aca="true">IF((26-'Assumption Setting'!$G$68)&lt;1,0,OFFSET($A$71,0,2+13*INT(((26-'Assumption Setting'!$G$68)-1)/12)+MOD((26-'Assumption Setting'!$G$68)-1,12)))*'Assumption Setting'!$F$68*'Assumption Setting'!$E$77</f>
        <v>1.81791459171894</v>
      </c>
      <c r="AE72" s="83" t="n">
        <f aca="true">IF((27-'Assumption Setting'!$G$68)&lt;1,0,OFFSET($A$71,0,2+13*INT(((27-'Assumption Setting'!$G$68)-1)/12)+MOD((27-'Assumption Setting'!$G$68)-1,12)))*'Assumption Setting'!$F$68*'Assumption Setting'!$E$77</f>
        <v>1.81791459171894</v>
      </c>
      <c r="AF72" s="83" t="n">
        <f aca="true">IF((28-'Assumption Setting'!$G$68)&lt;1,0,OFFSET($A$71,0,2+13*INT(((28-'Assumption Setting'!$G$68)-1)/12)+MOD((28-'Assumption Setting'!$G$68)-1,12)))*'Assumption Setting'!$F$68*'Assumption Setting'!$E$77</f>
        <v>1.81791459171894</v>
      </c>
      <c r="AG72" s="83" t="n">
        <f aca="true">IF((29-'Assumption Setting'!$G$68)&lt;1,0,OFFSET($A$71,0,2+13*INT(((29-'Assumption Setting'!$G$68)-1)/12)+MOD((29-'Assumption Setting'!$G$68)-1,12)))*'Assumption Setting'!$F$68*'Assumption Setting'!$E$77</f>
        <v>1.81791459171894</v>
      </c>
      <c r="AH72" s="83" t="n">
        <f aca="true">IF((30-'Assumption Setting'!$G$68)&lt;1,0,OFFSET($A$71,0,2+13*INT(((30-'Assumption Setting'!$G$68)-1)/12)+MOD((30-'Assumption Setting'!$G$68)-1,12)))*'Assumption Setting'!$F$68*'Assumption Setting'!$E$77</f>
        <v>1.81791459171894</v>
      </c>
      <c r="AI72" s="83" t="n">
        <f aca="true">IF((31-'Assumption Setting'!$G$68)&lt;1,0,OFFSET($A$71,0,2+13*INT(((31-'Assumption Setting'!$G$68)-1)/12)+MOD((31-'Assumption Setting'!$G$68)-1,12)))*'Assumption Setting'!$F$68*'Assumption Setting'!$E$77</f>
        <v>1.81791459171894</v>
      </c>
      <c r="AJ72" s="83" t="n">
        <f aca="true">IF((32-'Assumption Setting'!$G$68)&lt;1,0,OFFSET($A$71,0,2+13*INT(((32-'Assumption Setting'!$G$68)-1)/12)+MOD((32-'Assumption Setting'!$G$68)-1,12)))*'Assumption Setting'!$F$68*'Assumption Setting'!$E$77</f>
        <v>1.81791459171894</v>
      </c>
      <c r="AK72" s="83" t="n">
        <f aca="true">IF((33-'Assumption Setting'!$G$68)&lt;1,0,OFFSET($A$71,0,2+13*INT(((33-'Assumption Setting'!$G$68)-1)/12)+MOD((33-'Assumption Setting'!$G$68)-1,12)))*'Assumption Setting'!$F$68*'Assumption Setting'!$E$77</f>
        <v>1.81791459171894</v>
      </c>
      <c r="AL72" s="83" t="n">
        <f aca="true">IF((34-'Assumption Setting'!$G$68)&lt;1,0,OFFSET($A$71,0,2+13*INT(((34-'Assumption Setting'!$G$68)-1)/12)+MOD((34-'Assumption Setting'!$G$68)-1,12)))*'Assumption Setting'!$F$68*'Assumption Setting'!$E$77</f>
        <v>1.81791459171894</v>
      </c>
      <c r="AM72" s="83" t="n">
        <f aca="true">IF((35-'Assumption Setting'!$G$68)&lt;1,0,OFFSET($A$71,0,2+13*INT(((35-'Assumption Setting'!$G$68)-1)/12)+MOD((35-'Assumption Setting'!$G$68)-1,12)))*'Assumption Setting'!$F$68*'Assumption Setting'!$E$77</f>
        <v>1.81791459171894</v>
      </c>
      <c r="AN72" s="83" t="n">
        <f aca="true">IF((36-'Assumption Setting'!$G$68)&lt;1,0,OFFSET($A$71,0,2+13*INT(((36-'Assumption Setting'!$G$68)-1)/12)+MOD((36-'Assumption Setting'!$G$68)-1,12)))*'Assumption Setting'!$F$68*'Assumption Setting'!$E$77</f>
        <v>1.81791459171894</v>
      </c>
      <c r="AO72" s="80" t="n">
        <f aca="false">SUM(AP72:BA72)</f>
        <v>28.9081492590344</v>
      </c>
      <c r="AP72" s="83" t="n">
        <f aca="true">IF((37-'Assumption Setting'!$G$68)&lt;1,0,OFFSET($A$71,0,2+13*INT(((37-'Assumption Setting'!$G$68)-1)/12)+MOD((37-'Assumption Setting'!$G$68)-1,12)))*'Assumption Setting'!$F$68*'Assumption Setting'!$F$77</f>
        <v>1.89366103304056</v>
      </c>
      <c r="AQ72" s="83" t="n">
        <f aca="true">IF((38-'Assumption Setting'!$G$68)&lt;1,0,OFFSET($A$71,0,2+13*INT(((38-'Assumption Setting'!$G$68)-1)/12)+MOD((38-'Assumption Setting'!$G$68)-1,12)))*'Assumption Setting'!$F$68*'Assumption Setting'!$F$77</f>
        <v>2.45586256599944</v>
      </c>
      <c r="AR72" s="83" t="n">
        <f aca="true">IF((39-'Assumption Setting'!$G$68)&lt;1,0,OFFSET($A$71,0,2+13*INT(((39-'Assumption Setting'!$G$68)-1)/12)+MOD((39-'Assumption Setting'!$G$68)-1,12)))*'Assumption Setting'!$F$68*'Assumption Setting'!$F$77</f>
        <v>2.45586256599944</v>
      </c>
      <c r="AS72" s="83" t="n">
        <f aca="true">IF((40-'Assumption Setting'!$G$68)&lt;1,0,OFFSET($A$71,0,2+13*INT(((40-'Assumption Setting'!$G$68)-1)/12)+MOD((40-'Assumption Setting'!$G$68)-1,12)))*'Assumption Setting'!$F$68*'Assumption Setting'!$F$77</f>
        <v>2.45586256599944</v>
      </c>
      <c r="AT72" s="83" t="n">
        <f aca="true">IF((41-'Assumption Setting'!$G$68)&lt;1,0,OFFSET($A$71,0,2+13*INT(((41-'Assumption Setting'!$G$68)-1)/12)+MOD((41-'Assumption Setting'!$G$68)-1,12)))*'Assumption Setting'!$F$68*'Assumption Setting'!$F$77</f>
        <v>2.45586256599944</v>
      </c>
      <c r="AU72" s="83" t="n">
        <f aca="true">IF((42-'Assumption Setting'!$G$68)&lt;1,0,OFFSET($A$71,0,2+13*INT(((42-'Assumption Setting'!$G$68)-1)/12)+MOD((42-'Assumption Setting'!$G$68)-1,12)))*'Assumption Setting'!$F$68*'Assumption Setting'!$F$77</f>
        <v>2.45586256599944</v>
      </c>
      <c r="AV72" s="83" t="n">
        <f aca="true">IF((43-'Assumption Setting'!$G$68)&lt;1,0,OFFSET($A$71,0,2+13*INT(((43-'Assumption Setting'!$G$68)-1)/12)+MOD((43-'Assumption Setting'!$G$68)-1,12)))*'Assumption Setting'!$F$68*'Assumption Setting'!$F$77</f>
        <v>2.45586256599944</v>
      </c>
      <c r="AW72" s="83" t="n">
        <f aca="true">IF((44-'Assumption Setting'!$G$68)&lt;1,0,OFFSET($A$71,0,2+13*INT(((44-'Assumption Setting'!$G$68)-1)/12)+MOD((44-'Assumption Setting'!$G$68)-1,12)))*'Assumption Setting'!$F$68*'Assumption Setting'!$F$77</f>
        <v>2.45586256599944</v>
      </c>
      <c r="AX72" s="83" t="n">
        <f aca="true">IF((45-'Assumption Setting'!$G$68)&lt;1,0,OFFSET($A$71,0,2+13*INT(((45-'Assumption Setting'!$G$68)-1)/12)+MOD((45-'Assumption Setting'!$G$68)-1,12)))*'Assumption Setting'!$F$68*'Assumption Setting'!$F$77</f>
        <v>2.45586256599944</v>
      </c>
      <c r="AY72" s="83" t="n">
        <f aca="true">IF((46-'Assumption Setting'!$G$68)&lt;1,0,OFFSET($A$71,0,2+13*INT(((46-'Assumption Setting'!$G$68)-1)/12)+MOD((46-'Assumption Setting'!$G$68)-1,12)))*'Assumption Setting'!$F$68*'Assumption Setting'!$F$77</f>
        <v>2.45586256599944</v>
      </c>
      <c r="AZ72" s="83" t="n">
        <f aca="true">IF((47-'Assumption Setting'!$G$68)&lt;1,0,OFFSET($A$71,0,2+13*INT(((47-'Assumption Setting'!$G$68)-1)/12)+MOD((47-'Assumption Setting'!$G$68)-1,12)))*'Assumption Setting'!$F$68*'Assumption Setting'!$F$77</f>
        <v>2.45586256599944</v>
      </c>
      <c r="BA72" s="83" t="n">
        <f aca="true">IF((48-'Assumption Setting'!$G$68)&lt;1,0,OFFSET($A$71,0,2+13*INT(((48-'Assumption Setting'!$G$68)-1)/12)+MOD((48-'Assumption Setting'!$G$68)-1,12)))*'Assumption Setting'!$F$68*'Assumption Setting'!$F$77</f>
        <v>2.45586256599944</v>
      </c>
      <c r="BB72" s="80" t="n">
        <f aca="false">SUM(BC72:BN72)</f>
        <v>37.0689012719546</v>
      </c>
      <c r="BC72" s="83" t="n">
        <f aca="true">IF((49-'Assumption Setting'!$G$68)&lt;1,0,OFFSET($A$71,0,2+13*INT(((49-'Assumption Setting'!$G$68)-1)/12)+MOD((49-'Assumption Setting'!$G$68)-1,12)))*'Assumption Setting'!$F$68*'Assumption Setting'!$G$77</f>
        <v>2.55409706863942</v>
      </c>
      <c r="BD72" s="83" t="n">
        <f aca="true">IF((50-'Assumption Setting'!$G$68)&lt;1,0,OFFSET($A$71,0,2+13*INT(((50-'Assumption Setting'!$G$68)-1)/12)+MOD((50-'Assumption Setting'!$G$68)-1,12)))*'Assumption Setting'!$F$68*'Assumption Setting'!$G$77</f>
        <v>3.13770947302866</v>
      </c>
      <c r="BE72" s="83" t="n">
        <f aca="true">IF((51-'Assumption Setting'!$G$68)&lt;1,0,OFFSET($A$71,0,2+13*INT(((51-'Assumption Setting'!$G$68)-1)/12)+MOD((51-'Assumption Setting'!$G$68)-1,12)))*'Assumption Setting'!$F$68*'Assumption Setting'!$G$77</f>
        <v>3.13770947302866</v>
      </c>
      <c r="BF72" s="83" t="n">
        <f aca="true">IF((52-'Assumption Setting'!$G$68)&lt;1,0,OFFSET($A$71,0,2+13*INT(((52-'Assumption Setting'!$G$68)-1)/12)+MOD((52-'Assumption Setting'!$G$68)-1,12)))*'Assumption Setting'!$F$68*'Assumption Setting'!$G$77</f>
        <v>3.13770947302866</v>
      </c>
      <c r="BG72" s="83" t="n">
        <f aca="true">IF((53-'Assumption Setting'!$G$68)&lt;1,0,OFFSET($A$71,0,2+13*INT(((53-'Assumption Setting'!$G$68)-1)/12)+MOD((53-'Assumption Setting'!$G$68)-1,12)))*'Assumption Setting'!$F$68*'Assumption Setting'!$G$77</f>
        <v>3.13770947302866</v>
      </c>
      <c r="BH72" s="83" t="n">
        <f aca="true">IF((54-'Assumption Setting'!$G$68)&lt;1,0,OFFSET($A$71,0,2+13*INT(((54-'Assumption Setting'!$G$68)-1)/12)+MOD((54-'Assumption Setting'!$G$68)-1,12)))*'Assumption Setting'!$F$68*'Assumption Setting'!$G$77</f>
        <v>3.13770947302866</v>
      </c>
      <c r="BI72" s="83" t="n">
        <f aca="true">IF((55-'Assumption Setting'!$G$68)&lt;1,0,OFFSET($A$71,0,2+13*INT(((55-'Assumption Setting'!$G$68)-1)/12)+MOD((55-'Assumption Setting'!$G$68)-1,12)))*'Assumption Setting'!$F$68*'Assumption Setting'!$G$77</f>
        <v>3.13770947302866</v>
      </c>
      <c r="BJ72" s="83" t="n">
        <f aca="true">IF((56-'Assumption Setting'!$G$68)&lt;1,0,OFFSET($A$71,0,2+13*INT(((56-'Assumption Setting'!$G$68)-1)/12)+MOD((56-'Assumption Setting'!$G$68)-1,12)))*'Assumption Setting'!$F$68*'Assumption Setting'!$G$77</f>
        <v>3.13770947302866</v>
      </c>
      <c r="BK72" s="83" t="n">
        <f aca="true">IF((57-'Assumption Setting'!$G$68)&lt;1,0,OFFSET($A$71,0,2+13*INT(((57-'Assumption Setting'!$G$68)-1)/12)+MOD((57-'Assumption Setting'!$G$68)-1,12)))*'Assumption Setting'!$F$68*'Assumption Setting'!$G$77</f>
        <v>3.13770947302866</v>
      </c>
      <c r="BL72" s="83" t="n">
        <f aca="true">IF((58-'Assumption Setting'!$G$68)&lt;1,0,OFFSET($A$71,0,2+13*INT(((58-'Assumption Setting'!$G$68)-1)/12)+MOD((58-'Assumption Setting'!$G$68)-1,12)))*'Assumption Setting'!$F$68*'Assumption Setting'!$G$77</f>
        <v>3.13770947302866</v>
      </c>
      <c r="BM72" s="83" t="n">
        <f aca="true">IF((59-'Assumption Setting'!$G$68)&lt;1,0,OFFSET($A$71,0,2+13*INT(((59-'Assumption Setting'!$G$68)-1)/12)+MOD((59-'Assumption Setting'!$G$68)-1,12)))*'Assumption Setting'!$F$68*'Assumption Setting'!$G$77</f>
        <v>3.13770947302866</v>
      </c>
      <c r="BN72" s="83" t="n">
        <f aca="true">IF((60-'Assumption Setting'!$G$68)&lt;1,0,OFFSET($A$71,0,2+13*INT(((60-'Assumption Setting'!$G$68)-1)/12)+MOD((60-'Assumption Setting'!$G$68)-1,12)))*'Assumption Setting'!$F$68*'Assumption Setting'!$G$77</f>
        <v>3.13770947302866</v>
      </c>
    </row>
    <row r="73" customFormat="false" ht="15" hidden="false" customHeight="false" outlineLevel="0" collapsed="false">
      <c r="A73" s="69" t="s">
        <v>619</v>
      </c>
      <c r="B73" s="80" t="n">
        <f aca="false">SUM(C73:N73)</f>
        <v>5.91856026404879</v>
      </c>
      <c r="C73" s="86" t="n">
        <f aca="true">IF((1-'Assumption Setting'!$H$68)&lt;1,0,OFFSET($A$72,0,2+13*INT(((1-'Assumption Setting'!$H$68)-1)/12)+MOD((1-'Assumption Setting'!$H$68)-1,12)))</f>
        <v>0</v>
      </c>
      <c r="D73" s="86" t="n">
        <f aca="true">IF((2-'Assumption Setting'!$H$68)&lt;1,0,OFFSET($A$72,0,2+13*INT(((2-'Assumption Setting'!$H$68)-1)/12)+MOD((2-'Assumption Setting'!$H$68)-1,12)))</f>
        <v>0</v>
      </c>
      <c r="E73" s="86" t="n">
        <f aca="true">IF((3-'Assumption Setting'!$H$68)&lt;1,0,OFFSET($A$72,0,2+13*INT(((3-'Assumption Setting'!$H$68)-1)/12)+MOD((3-'Assumption Setting'!$H$68)-1,12)))</f>
        <v>0</v>
      </c>
      <c r="F73" s="86" t="n">
        <f aca="true">IF((4-'Assumption Setting'!$H$68)&lt;1,0,OFFSET($A$72,0,2+13*INT(((4-'Assumption Setting'!$H$68)-1)/12)+MOD((4-'Assumption Setting'!$H$68)-1,12)))</f>
        <v>0.657617807116532</v>
      </c>
      <c r="G73" s="86" t="n">
        <f aca="true">IF((5-'Assumption Setting'!$H$68)&lt;1,0,OFFSET($A$72,0,2+13*INT(((5-'Assumption Setting'!$H$68)-1)/12)+MOD((5-'Assumption Setting'!$H$68)-1,12)))</f>
        <v>0.657617807116532</v>
      </c>
      <c r="H73" s="86" t="n">
        <f aca="true">IF((6-'Assumption Setting'!$H$68)&lt;1,0,OFFSET($A$72,0,2+13*INT(((6-'Assumption Setting'!$H$68)-1)/12)+MOD((6-'Assumption Setting'!$H$68)-1,12)))</f>
        <v>0.657617807116532</v>
      </c>
      <c r="I73" s="86" t="n">
        <f aca="true">IF((7-'Assumption Setting'!$H$68)&lt;1,0,OFFSET($A$72,0,2+13*INT(((7-'Assumption Setting'!$H$68)-1)/12)+MOD((7-'Assumption Setting'!$H$68)-1,12)))</f>
        <v>0.657617807116532</v>
      </c>
      <c r="J73" s="86" t="n">
        <f aca="true">IF((8-'Assumption Setting'!$H$68)&lt;1,0,OFFSET($A$72,0,2+13*INT(((8-'Assumption Setting'!$H$68)-1)/12)+MOD((8-'Assumption Setting'!$H$68)-1,12)))</f>
        <v>0.657617807116532</v>
      </c>
      <c r="K73" s="86" t="n">
        <f aca="true">IF((9-'Assumption Setting'!$H$68)&lt;1,0,OFFSET($A$72,0,2+13*INT(((9-'Assumption Setting'!$H$68)-1)/12)+MOD((9-'Assumption Setting'!$H$68)-1,12)))</f>
        <v>0.657617807116532</v>
      </c>
      <c r="L73" s="86" t="n">
        <f aca="true">IF((10-'Assumption Setting'!$H$68)&lt;1,0,OFFSET($A$72,0,2+13*INT(((10-'Assumption Setting'!$H$68)-1)/12)+MOD((10-'Assumption Setting'!$H$68)-1,12)))</f>
        <v>0.657617807116532</v>
      </c>
      <c r="M73" s="86" t="n">
        <f aca="true">IF((11-'Assumption Setting'!$H$68)&lt;1,0,OFFSET($A$72,0,2+13*INT(((11-'Assumption Setting'!$H$68)-1)/12)+MOD((11-'Assumption Setting'!$H$68)-1,12)))</f>
        <v>0.657617807116532</v>
      </c>
      <c r="N73" s="86" t="n">
        <f aca="true">IF((12-'Assumption Setting'!$H$68)&lt;1,0,OFFSET($A$72,0,2+13*INT(((12-'Assumption Setting'!$H$68)-1)/12)+MOD((12-'Assumption Setting'!$H$68)-1,12)))</f>
        <v>0.657617807116532</v>
      </c>
      <c r="O73" s="80" t="n">
        <f aca="false">SUM(P73:AA73)</f>
        <v>12.0384480742769</v>
      </c>
      <c r="P73" s="86" t="n">
        <f aca="true">IF((13-'Assumption Setting'!$H$68)&lt;1,0,OFFSET($A$72,0,2+13*INT(((13-'Assumption Setting'!$H$68)-1)/12)+MOD((13-'Assumption Setting'!$H$68)-1,12)))</f>
        <v>0.657617807116532</v>
      </c>
      <c r="Q73" s="86" t="n">
        <f aca="true">IF((14-'Assumption Setting'!$H$68)&lt;1,0,OFFSET($A$72,0,2+13*INT(((14-'Assumption Setting'!$H$68)-1)/12)+MOD((14-'Assumption Setting'!$H$68)-1,12)))</f>
        <v>0.657617807116532</v>
      </c>
      <c r="R73" s="86" t="n">
        <f aca="true">IF((15-'Assumption Setting'!$H$68)&lt;1,0,OFFSET($A$72,0,2+13*INT(((15-'Assumption Setting'!$H$68)-1)/12)+MOD((15-'Assumption Setting'!$H$68)-1,12)))</f>
        <v>0.723379587828185</v>
      </c>
      <c r="S73" s="86" t="n">
        <f aca="true">IF((16-'Assumption Setting'!$H$68)&lt;1,0,OFFSET($A$72,0,2+13*INT(((16-'Assumption Setting'!$H$68)-1)/12)+MOD((16-'Assumption Setting'!$H$68)-1,12)))</f>
        <v>1.11109254135729</v>
      </c>
      <c r="T73" s="86" t="n">
        <f aca="true">IF((17-'Assumption Setting'!$H$68)&lt;1,0,OFFSET($A$72,0,2+13*INT(((17-'Assumption Setting'!$H$68)-1)/12)+MOD((17-'Assumption Setting'!$H$68)-1,12)))</f>
        <v>1.11109254135729</v>
      </c>
      <c r="U73" s="86" t="n">
        <f aca="true">IF((18-'Assumption Setting'!$H$68)&lt;1,0,OFFSET($A$72,0,2+13*INT(((18-'Assumption Setting'!$H$68)-1)/12)+MOD((18-'Assumption Setting'!$H$68)-1,12)))</f>
        <v>1.11109254135729</v>
      </c>
      <c r="V73" s="86" t="n">
        <f aca="true">IF((19-'Assumption Setting'!$H$68)&lt;1,0,OFFSET($A$72,0,2+13*INT(((19-'Assumption Setting'!$H$68)-1)/12)+MOD((19-'Assumption Setting'!$H$68)-1,12)))</f>
        <v>1.11109254135729</v>
      </c>
      <c r="W73" s="86" t="n">
        <f aca="true">IF((20-'Assumption Setting'!$H$68)&lt;1,0,OFFSET($A$72,0,2+13*INT(((20-'Assumption Setting'!$H$68)-1)/12)+MOD((20-'Assumption Setting'!$H$68)-1,12)))</f>
        <v>1.11109254135729</v>
      </c>
      <c r="X73" s="86" t="n">
        <f aca="true">IF((21-'Assumption Setting'!$H$68)&lt;1,0,OFFSET($A$72,0,2+13*INT(((21-'Assumption Setting'!$H$68)-1)/12)+MOD((21-'Assumption Setting'!$H$68)-1,12)))</f>
        <v>1.11109254135729</v>
      </c>
      <c r="Y73" s="86" t="n">
        <f aca="true">IF((22-'Assumption Setting'!$H$68)&lt;1,0,OFFSET($A$72,0,2+13*INT(((22-'Assumption Setting'!$H$68)-1)/12)+MOD((22-'Assumption Setting'!$H$68)-1,12)))</f>
        <v>1.11109254135729</v>
      </c>
      <c r="Z73" s="86" t="n">
        <f aca="true">IF((23-'Assumption Setting'!$H$68)&lt;1,0,OFFSET($A$72,0,2+13*INT(((23-'Assumption Setting'!$H$68)-1)/12)+MOD((23-'Assumption Setting'!$H$68)-1,12)))</f>
        <v>1.11109254135729</v>
      </c>
      <c r="AA73" s="86" t="n">
        <f aca="true">IF((24-'Assumption Setting'!$H$68)&lt;1,0,OFFSET($A$72,0,2+13*INT(((24-'Assumption Setting'!$H$68)-1)/12)+MOD((24-'Assumption Setting'!$H$68)-1,12)))</f>
        <v>1.11109254135729</v>
      </c>
      <c r="AB73" s="80" t="n">
        <f aca="false">SUM(AC73:AN73)</f>
        <v>19.795517362393</v>
      </c>
      <c r="AC73" s="86" t="n">
        <f aca="true">IF((25-'Assumption Setting'!$H$68)&lt;1,0,OFFSET($A$72,0,2+13*INT(((25-'Assumption Setting'!$H$68)-1)/12)+MOD((25-'Assumption Setting'!$H$68)-1,12)))</f>
        <v>1.11109254135729</v>
      </c>
      <c r="AD73" s="86" t="n">
        <f aca="true">IF((26-'Assumption Setting'!$H$68)&lt;1,0,OFFSET($A$72,0,2+13*INT(((26-'Assumption Setting'!$H$68)-1)/12)+MOD((26-'Assumption Setting'!$H$68)-1,12)))</f>
        <v>1.11109254135729</v>
      </c>
      <c r="AE73" s="86" t="n">
        <f aca="true">IF((27-'Assumption Setting'!$H$68)&lt;1,0,OFFSET($A$72,0,2+13*INT(((27-'Assumption Setting'!$H$68)-1)/12)+MOD((27-'Assumption Setting'!$H$68)-1,12)))</f>
        <v>1.21210095420796</v>
      </c>
      <c r="AF73" s="86" t="n">
        <f aca="true">IF((28-'Assumption Setting'!$H$68)&lt;1,0,OFFSET($A$72,0,2+13*INT(((28-'Assumption Setting'!$H$68)-1)/12)+MOD((28-'Assumption Setting'!$H$68)-1,12)))</f>
        <v>1.81791459171894</v>
      </c>
      <c r="AG73" s="86" t="n">
        <f aca="true">IF((29-'Assumption Setting'!$H$68)&lt;1,0,OFFSET($A$72,0,2+13*INT(((29-'Assumption Setting'!$H$68)-1)/12)+MOD((29-'Assumption Setting'!$H$68)-1,12)))</f>
        <v>1.81791459171894</v>
      </c>
      <c r="AH73" s="86" t="n">
        <f aca="true">IF((30-'Assumption Setting'!$H$68)&lt;1,0,OFFSET($A$72,0,2+13*INT(((30-'Assumption Setting'!$H$68)-1)/12)+MOD((30-'Assumption Setting'!$H$68)-1,12)))</f>
        <v>1.81791459171894</v>
      </c>
      <c r="AI73" s="86" t="n">
        <f aca="true">IF((31-'Assumption Setting'!$H$68)&lt;1,0,OFFSET($A$72,0,2+13*INT(((31-'Assumption Setting'!$H$68)-1)/12)+MOD((31-'Assumption Setting'!$H$68)-1,12)))</f>
        <v>1.81791459171894</v>
      </c>
      <c r="AJ73" s="86" t="n">
        <f aca="true">IF((32-'Assumption Setting'!$H$68)&lt;1,0,OFFSET($A$72,0,2+13*INT(((32-'Assumption Setting'!$H$68)-1)/12)+MOD((32-'Assumption Setting'!$H$68)-1,12)))</f>
        <v>1.81791459171894</v>
      </c>
      <c r="AK73" s="86" t="n">
        <f aca="true">IF((33-'Assumption Setting'!$H$68)&lt;1,0,OFFSET($A$72,0,2+13*INT(((33-'Assumption Setting'!$H$68)-1)/12)+MOD((33-'Assumption Setting'!$H$68)-1,12)))</f>
        <v>1.81791459171894</v>
      </c>
      <c r="AL73" s="86" t="n">
        <f aca="true">IF((34-'Assumption Setting'!$H$68)&lt;1,0,OFFSET($A$72,0,2+13*INT(((34-'Assumption Setting'!$H$68)-1)/12)+MOD((34-'Assumption Setting'!$H$68)-1,12)))</f>
        <v>1.81791459171894</v>
      </c>
      <c r="AM73" s="86" t="n">
        <f aca="true">IF((35-'Assumption Setting'!$H$68)&lt;1,0,OFFSET($A$72,0,2+13*INT(((35-'Assumption Setting'!$H$68)-1)/12)+MOD((35-'Assumption Setting'!$H$68)-1,12)))</f>
        <v>1.81791459171894</v>
      </c>
      <c r="AN73" s="86" t="n">
        <f aca="true">IF((36-'Assumption Setting'!$H$68)&lt;1,0,OFFSET($A$72,0,2+13*INT(((36-'Assumption Setting'!$H$68)-1)/12)+MOD((36-'Assumption Setting'!$H$68)-1,12)))</f>
        <v>1.81791459171894</v>
      </c>
      <c r="AO73" s="80" t="n">
        <f aca="false">SUM(AP73:BA73)</f>
        <v>27.6322533104734</v>
      </c>
      <c r="AP73" s="86" t="n">
        <f aca="true">IF((37-'Assumption Setting'!$H$68)&lt;1,0,OFFSET($A$72,0,2+13*INT(((37-'Assumption Setting'!$H$68)-1)/12)+MOD((37-'Assumption Setting'!$H$68)-1,12)))</f>
        <v>1.81791459171894</v>
      </c>
      <c r="AQ73" s="86" t="n">
        <f aca="true">IF((38-'Assumption Setting'!$H$68)&lt;1,0,OFFSET($A$72,0,2+13*INT(((38-'Assumption Setting'!$H$68)-1)/12)+MOD((38-'Assumption Setting'!$H$68)-1,12)))</f>
        <v>1.81791459171894</v>
      </c>
      <c r="AR73" s="86" t="n">
        <f aca="true">IF((39-'Assumption Setting'!$H$68)&lt;1,0,OFFSET($A$72,0,2+13*INT(((39-'Assumption Setting'!$H$68)-1)/12)+MOD((39-'Assumption Setting'!$H$68)-1,12)))</f>
        <v>1.89366103304056</v>
      </c>
      <c r="AS73" s="86" t="n">
        <f aca="true">IF((40-'Assumption Setting'!$H$68)&lt;1,0,OFFSET($A$72,0,2+13*INT(((40-'Assumption Setting'!$H$68)-1)/12)+MOD((40-'Assumption Setting'!$H$68)-1,12)))</f>
        <v>2.45586256599944</v>
      </c>
      <c r="AT73" s="86" t="n">
        <f aca="true">IF((41-'Assumption Setting'!$H$68)&lt;1,0,OFFSET($A$72,0,2+13*INT(((41-'Assumption Setting'!$H$68)-1)/12)+MOD((41-'Assumption Setting'!$H$68)-1,12)))</f>
        <v>2.45586256599944</v>
      </c>
      <c r="AU73" s="86" t="n">
        <f aca="true">IF((42-'Assumption Setting'!$H$68)&lt;1,0,OFFSET($A$72,0,2+13*INT(((42-'Assumption Setting'!$H$68)-1)/12)+MOD((42-'Assumption Setting'!$H$68)-1,12)))</f>
        <v>2.45586256599944</v>
      </c>
      <c r="AV73" s="86" t="n">
        <f aca="true">IF((43-'Assumption Setting'!$H$68)&lt;1,0,OFFSET($A$72,0,2+13*INT(((43-'Assumption Setting'!$H$68)-1)/12)+MOD((43-'Assumption Setting'!$H$68)-1,12)))</f>
        <v>2.45586256599944</v>
      </c>
      <c r="AW73" s="86" t="n">
        <f aca="true">IF((44-'Assumption Setting'!$H$68)&lt;1,0,OFFSET($A$72,0,2+13*INT(((44-'Assumption Setting'!$H$68)-1)/12)+MOD((44-'Assumption Setting'!$H$68)-1,12)))</f>
        <v>2.45586256599944</v>
      </c>
      <c r="AX73" s="86" t="n">
        <f aca="true">IF((45-'Assumption Setting'!$H$68)&lt;1,0,OFFSET($A$72,0,2+13*INT(((45-'Assumption Setting'!$H$68)-1)/12)+MOD((45-'Assumption Setting'!$H$68)-1,12)))</f>
        <v>2.45586256599944</v>
      </c>
      <c r="AY73" s="86" t="n">
        <f aca="true">IF((46-'Assumption Setting'!$H$68)&lt;1,0,OFFSET($A$72,0,2+13*INT(((46-'Assumption Setting'!$H$68)-1)/12)+MOD((46-'Assumption Setting'!$H$68)-1,12)))</f>
        <v>2.45586256599944</v>
      </c>
      <c r="AZ73" s="86" t="n">
        <f aca="true">IF((47-'Assumption Setting'!$H$68)&lt;1,0,OFFSET($A$72,0,2+13*INT(((47-'Assumption Setting'!$H$68)-1)/12)+MOD((47-'Assumption Setting'!$H$68)-1,12)))</f>
        <v>2.45586256599944</v>
      </c>
      <c r="BA73" s="86" t="n">
        <f aca="true">IF((48-'Assumption Setting'!$H$68)&lt;1,0,OFFSET($A$72,0,2+13*INT(((48-'Assumption Setting'!$H$68)-1)/12)+MOD((48-'Assumption Setting'!$H$68)-1,12)))</f>
        <v>2.45586256599944</v>
      </c>
      <c r="BB73" s="80" t="n">
        <f aca="false">SUM(BC73:BN73)</f>
        <v>35.7052074578962</v>
      </c>
      <c r="BC73" s="86" t="n">
        <f aca="true">IF((49-'Assumption Setting'!$H$68)&lt;1,0,OFFSET($A$72,0,2+13*INT(((49-'Assumption Setting'!$H$68)-1)/12)+MOD((49-'Assumption Setting'!$H$68)-1,12)))</f>
        <v>2.45586256599944</v>
      </c>
      <c r="BD73" s="86" t="n">
        <f aca="true">IF((50-'Assumption Setting'!$H$68)&lt;1,0,OFFSET($A$72,0,2+13*INT(((50-'Assumption Setting'!$H$68)-1)/12)+MOD((50-'Assumption Setting'!$H$68)-1,12)))</f>
        <v>2.45586256599944</v>
      </c>
      <c r="BE73" s="86" t="n">
        <f aca="true">IF((51-'Assumption Setting'!$H$68)&lt;1,0,OFFSET($A$72,0,2+13*INT(((51-'Assumption Setting'!$H$68)-1)/12)+MOD((51-'Assumption Setting'!$H$68)-1,12)))</f>
        <v>2.55409706863942</v>
      </c>
      <c r="BF73" s="86" t="n">
        <f aca="true">IF((52-'Assumption Setting'!$H$68)&lt;1,0,OFFSET($A$72,0,2+13*INT(((52-'Assumption Setting'!$H$68)-1)/12)+MOD((52-'Assumption Setting'!$H$68)-1,12)))</f>
        <v>3.13770947302866</v>
      </c>
      <c r="BG73" s="86" t="n">
        <f aca="true">IF((53-'Assumption Setting'!$H$68)&lt;1,0,OFFSET($A$72,0,2+13*INT(((53-'Assumption Setting'!$H$68)-1)/12)+MOD((53-'Assumption Setting'!$H$68)-1,12)))</f>
        <v>3.13770947302866</v>
      </c>
      <c r="BH73" s="86" t="n">
        <f aca="true">IF((54-'Assumption Setting'!$H$68)&lt;1,0,OFFSET($A$72,0,2+13*INT(((54-'Assumption Setting'!$H$68)-1)/12)+MOD((54-'Assumption Setting'!$H$68)-1,12)))</f>
        <v>3.13770947302866</v>
      </c>
      <c r="BI73" s="86" t="n">
        <f aca="true">IF((55-'Assumption Setting'!$H$68)&lt;1,0,OFFSET($A$72,0,2+13*INT(((55-'Assumption Setting'!$H$68)-1)/12)+MOD((55-'Assumption Setting'!$H$68)-1,12)))</f>
        <v>3.13770947302866</v>
      </c>
      <c r="BJ73" s="86" t="n">
        <f aca="true">IF((56-'Assumption Setting'!$H$68)&lt;1,0,OFFSET($A$72,0,2+13*INT(((56-'Assumption Setting'!$H$68)-1)/12)+MOD((56-'Assumption Setting'!$H$68)-1,12)))</f>
        <v>3.13770947302866</v>
      </c>
      <c r="BK73" s="86" t="n">
        <f aca="true">IF((57-'Assumption Setting'!$H$68)&lt;1,0,OFFSET($A$72,0,2+13*INT(((57-'Assumption Setting'!$H$68)-1)/12)+MOD((57-'Assumption Setting'!$H$68)-1,12)))</f>
        <v>3.13770947302866</v>
      </c>
      <c r="BL73" s="86" t="n">
        <f aca="true">IF((58-'Assumption Setting'!$H$68)&lt;1,0,OFFSET($A$72,0,2+13*INT(((58-'Assumption Setting'!$H$68)-1)/12)+MOD((58-'Assumption Setting'!$H$68)-1,12)))</f>
        <v>3.13770947302866</v>
      </c>
      <c r="BM73" s="86" t="n">
        <f aca="true">IF((59-'Assumption Setting'!$H$68)&lt;1,0,OFFSET($A$72,0,2+13*INT(((59-'Assumption Setting'!$H$68)-1)/12)+MOD((59-'Assumption Setting'!$H$68)-1,12)))</f>
        <v>3.13770947302866</v>
      </c>
      <c r="BN73" s="86" t="n">
        <f aca="true">IF((60-'Assumption Setting'!$H$68)&lt;1,0,OFFSET($A$72,0,2+13*INT(((60-'Assumption Setting'!$H$68)-1)/12)+MOD((60-'Assumption Setting'!$H$68)-1,12)))</f>
        <v>3.13770947302866</v>
      </c>
    </row>
    <row r="74" customFormat="false" ht="15" hidden="false" customHeight="false" outlineLevel="0" collapsed="false">
      <c r="A74" s="18" t="s">
        <v>279</v>
      </c>
      <c r="B74" s="80" t="n">
        <f aca="false">SUM(C74:N74)</f>
        <v>62.6302673444316</v>
      </c>
      <c r="C74" s="83" t="n">
        <f aca="false">C68*'Assumption Setting'!$C$69</f>
        <v>5.2191889453693</v>
      </c>
      <c r="D74" s="83" t="n">
        <f aca="false">D68*'Assumption Setting'!$C$69</f>
        <v>5.2191889453693</v>
      </c>
      <c r="E74" s="83" t="n">
        <f aca="false">E68*'Assumption Setting'!$C$69</f>
        <v>5.2191889453693</v>
      </c>
      <c r="F74" s="83" t="n">
        <f aca="false">F68*'Assumption Setting'!$C$69</f>
        <v>5.2191889453693</v>
      </c>
      <c r="G74" s="83" t="n">
        <f aca="false">G68*'Assumption Setting'!$C$69</f>
        <v>5.2191889453693</v>
      </c>
      <c r="H74" s="83" t="n">
        <f aca="false">H68*'Assumption Setting'!$C$69</f>
        <v>5.2191889453693</v>
      </c>
      <c r="I74" s="83" t="n">
        <f aca="false">I68*'Assumption Setting'!$C$69</f>
        <v>5.2191889453693</v>
      </c>
      <c r="J74" s="83" t="n">
        <f aca="false">J68*'Assumption Setting'!$C$69</f>
        <v>5.2191889453693</v>
      </c>
      <c r="K74" s="83" t="n">
        <f aca="false">K68*'Assumption Setting'!$C$69</f>
        <v>5.2191889453693</v>
      </c>
      <c r="L74" s="83" t="n">
        <f aca="false">L68*'Assumption Setting'!$C$69</f>
        <v>5.2191889453693</v>
      </c>
      <c r="M74" s="83" t="n">
        <f aca="false">M68*'Assumption Setting'!$C$69</f>
        <v>5.2191889453693</v>
      </c>
      <c r="N74" s="83" t="n">
        <f aca="false">N68*'Assumption Setting'!$C$69</f>
        <v>5.2191889453693</v>
      </c>
      <c r="O74" s="80" t="n">
        <f aca="false">SUM(P74:AA74)</f>
        <v>96.1984884292028</v>
      </c>
      <c r="P74" s="83" t="n">
        <f aca="false">P68*'Assumption Setting'!$C$69</f>
        <v>8.01654070243357</v>
      </c>
      <c r="Q74" s="83" t="n">
        <f aca="false">Q68*'Assumption Setting'!$C$69</f>
        <v>8.01654070243357</v>
      </c>
      <c r="R74" s="83" t="n">
        <f aca="false">R68*'Assumption Setting'!$C$69</f>
        <v>8.01654070243357</v>
      </c>
      <c r="S74" s="83" t="n">
        <f aca="false">S68*'Assumption Setting'!$C$69</f>
        <v>8.01654070243357</v>
      </c>
      <c r="T74" s="83" t="n">
        <f aca="false">T68*'Assumption Setting'!$C$69</f>
        <v>8.01654070243357</v>
      </c>
      <c r="U74" s="83" t="n">
        <f aca="false">U68*'Assumption Setting'!$C$69</f>
        <v>8.01654070243357</v>
      </c>
      <c r="V74" s="83" t="n">
        <f aca="false">V68*'Assumption Setting'!$C$69</f>
        <v>8.01654070243357</v>
      </c>
      <c r="W74" s="83" t="n">
        <f aca="false">W68*'Assumption Setting'!$C$69</f>
        <v>8.01654070243357</v>
      </c>
      <c r="X74" s="83" t="n">
        <f aca="false">X68*'Assumption Setting'!$C$69</f>
        <v>8.01654070243357</v>
      </c>
      <c r="Y74" s="83" t="n">
        <f aca="false">Y68*'Assumption Setting'!$C$69</f>
        <v>8.01654070243357</v>
      </c>
      <c r="Z74" s="83" t="n">
        <f aca="false">Z68*'Assumption Setting'!$C$69</f>
        <v>8.01654070243357</v>
      </c>
      <c r="AA74" s="83" t="n">
        <f aca="false">AA68*'Assumption Setting'!$C$69</f>
        <v>8.01654070243357</v>
      </c>
      <c r="AB74" s="80" t="n">
        <f aca="false">SUM(AC74:AN74)</f>
        <v>144.278935850709</v>
      </c>
      <c r="AC74" s="83" t="n">
        <f aca="false">AC68*'Assumption Setting'!$C$69</f>
        <v>12.0232446542258</v>
      </c>
      <c r="AD74" s="83" t="n">
        <f aca="false">AD68*'Assumption Setting'!$C$69</f>
        <v>12.0232446542258</v>
      </c>
      <c r="AE74" s="83" t="n">
        <f aca="false">AE68*'Assumption Setting'!$C$69</f>
        <v>12.0232446542258</v>
      </c>
      <c r="AF74" s="83" t="n">
        <f aca="false">AF68*'Assumption Setting'!$C$69</f>
        <v>12.0232446542258</v>
      </c>
      <c r="AG74" s="83" t="n">
        <f aca="false">AG68*'Assumption Setting'!$C$69</f>
        <v>12.0232446542258</v>
      </c>
      <c r="AH74" s="83" t="n">
        <f aca="false">AH68*'Assumption Setting'!$C$69</f>
        <v>12.0232446542258</v>
      </c>
      <c r="AI74" s="83" t="n">
        <f aca="false">AI68*'Assumption Setting'!$C$69</f>
        <v>12.0232446542258</v>
      </c>
      <c r="AJ74" s="83" t="n">
        <f aca="false">AJ68*'Assumption Setting'!$C$69</f>
        <v>12.0232446542258</v>
      </c>
      <c r="AK74" s="83" t="n">
        <f aca="false">AK68*'Assumption Setting'!$C$69</f>
        <v>12.0232446542258</v>
      </c>
      <c r="AL74" s="83" t="n">
        <f aca="false">AL68*'Assumption Setting'!$C$69</f>
        <v>12.0232446542258</v>
      </c>
      <c r="AM74" s="83" t="n">
        <f aca="false">AM68*'Assumption Setting'!$C$69</f>
        <v>12.0232446542258</v>
      </c>
      <c r="AN74" s="83" t="n">
        <f aca="false">AN68*'Assumption Setting'!$C$69</f>
        <v>12.0232446542258</v>
      </c>
      <c r="AO74" s="80" t="n">
        <f aca="false">SUM(AP74:BA74)</f>
        <v>187.113338361862</v>
      </c>
      <c r="AP74" s="83" t="n">
        <f aca="false">AP68*'Assumption Setting'!$C$69</f>
        <v>15.5927781968218</v>
      </c>
      <c r="AQ74" s="83" t="n">
        <f aca="false">AQ68*'Assumption Setting'!$C$69</f>
        <v>15.5927781968218</v>
      </c>
      <c r="AR74" s="83" t="n">
        <f aca="false">AR68*'Assumption Setting'!$C$69</f>
        <v>15.5927781968218</v>
      </c>
      <c r="AS74" s="83" t="n">
        <f aca="false">AS68*'Assumption Setting'!$C$69</f>
        <v>15.5927781968218</v>
      </c>
      <c r="AT74" s="83" t="n">
        <f aca="false">AT68*'Assumption Setting'!$C$69</f>
        <v>15.5927781968218</v>
      </c>
      <c r="AU74" s="83" t="n">
        <f aca="false">AU68*'Assumption Setting'!$C$69</f>
        <v>15.5927781968218</v>
      </c>
      <c r="AV74" s="83" t="n">
        <f aca="false">AV68*'Assumption Setting'!$C$69</f>
        <v>15.5927781968218</v>
      </c>
      <c r="AW74" s="83" t="n">
        <f aca="false">AW68*'Assumption Setting'!$C$69</f>
        <v>15.5927781968218</v>
      </c>
      <c r="AX74" s="83" t="n">
        <f aca="false">AX68*'Assumption Setting'!$C$69</f>
        <v>15.5927781968218</v>
      </c>
      <c r="AY74" s="83" t="n">
        <f aca="false">AY68*'Assumption Setting'!$C$69</f>
        <v>15.5927781968218</v>
      </c>
      <c r="AZ74" s="83" t="n">
        <f aca="false">AZ68*'Assumption Setting'!$C$69</f>
        <v>15.5927781968218</v>
      </c>
      <c r="BA74" s="83" t="n">
        <f aca="false">BA68*'Assumption Setting'!$C$69</f>
        <v>15.5927781968218</v>
      </c>
      <c r="BB74" s="80" t="n">
        <f aca="false">SUM(BC74:BN74)</f>
        <v>229.868825862905</v>
      </c>
      <c r="BC74" s="83" t="n">
        <f aca="false">BC68*'Assumption Setting'!$C$69</f>
        <v>19.1557354885754</v>
      </c>
      <c r="BD74" s="83" t="n">
        <f aca="false">BD68*'Assumption Setting'!$C$69</f>
        <v>19.1557354885754</v>
      </c>
      <c r="BE74" s="83" t="n">
        <f aca="false">BE68*'Assumption Setting'!$C$69</f>
        <v>19.1557354885754</v>
      </c>
      <c r="BF74" s="83" t="n">
        <f aca="false">BF68*'Assumption Setting'!$C$69</f>
        <v>19.1557354885754</v>
      </c>
      <c r="BG74" s="83" t="n">
        <f aca="false">BG68*'Assumption Setting'!$C$69</f>
        <v>19.1557354885754</v>
      </c>
      <c r="BH74" s="83" t="n">
        <f aca="false">BH68*'Assumption Setting'!$C$69</f>
        <v>19.1557354885754</v>
      </c>
      <c r="BI74" s="83" t="n">
        <f aca="false">BI68*'Assumption Setting'!$C$69</f>
        <v>19.1557354885754</v>
      </c>
      <c r="BJ74" s="83" t="n">
        <f aca="false">BJ68*'Assumption Setting'!$C$69</f>
        <v>19.1557354885754</v>
      </c>
      <c r="BK74" s="83" t="n">
        <f aca="false">BK68*'Assumption Setting'!$C$69</f>
        <v>19.1557354885754</v>
      </c>
      <c r="BL74" s="83" t="n">
        <f aca="false">BL68*'Assumption Setting'!$C$69</f>
        <v>19.1557354885754</v>
      </c>
      <c r="BM74" s="83" t="n">
        <f aca="false">BM68*'Assumption Setting'!$C$69</f>
        <v>19.1557354885754</v>
      </c>
      <c r="BN74" s="83" t="n">
        <f aca="false">BN68*'Assumption Setting'!$C$69</f>
        <v>19.1557354885754</v>
      </c>
    </row>
    <row r="75" customFormat="false" ht="15" hidden="false" customHeight="false" outlineLevel="0" collapsed="false">
      <c r="A75" s="12" t="s">
        <v>616</v>
      </c>
      <c r="B75" s="80" t="n">
        <f aca="false">SUM(C75:N75)</f>
        <v>21.9205935705511</v>
      </c>
      <c r="C75" s="81" t="n">
        <f aca="false">C74*'Assumption Setting'!$D$69</f>
        <v>1.82671613087925</v>
      </c>
      <c r="D75" s="81" t="n">
        <f aca="false">D74*'Assumption Setting'!$D$69</f>
        <v>1.82671613087925</v>
      </c>
      <c r="E75" s="81" t="n">
        <f aca="false">E74*'Assumption Setting'!$D$69</f>
        <v>1.82671613087925</v>
      </c>
      <c r="F75" s="81" t="n">
        <f aca="false">F74*'Assumption Setting'!$D$69</f>
        <v>1.82671613087925</v>
      </c>
      <c r="G75" s="81" t="n">
        <f aca="false">G74*'Assumption Setting'!$D$69</f>
        <v>1.82671613087925</v>
      </c>
      <c r="H75" s="81" t="n">
        <f aca="false">H74*'Assumption Setting'!$D$69</f>
        <v>1.82671613087925</v>
      </c>
      <c r="I75" s="81" t="n">
        <f aca="false">I74*'Assumption Setting'!$D$69</f>
        <v>1.82671613087925</v>
      </c>
      <c r="J75" s="81" t="n">
        <f aca="false">J74*'Assumption Setting'!$D$69</f>
        <v>1.82671613087925</v>
      </c>
      <c r="K75" s="81" t="n">
        <f aca="false">K74*'Assumption Setting'!$D$69</f>
        <v>1.82671613087925</v>
      </c>
      <c r="L75" s="81" t="n">
        <f aca="false">L74*'Assumption Setting'!$D$69</f>
        <v>1.82671613087925</v>
      </c>
      <c r="M75" s="81" t="n">
        <f aca="false">M74*'Assumption Setting'!$D$69</f>
        <v>1.82671613087925</v>
      </c>
      <c r="N75" s="81" t="n">
        <f aca="false">N74*'Assumption Setting'!$D$69</f>
        <v>1.82671613087925</v>
      </c>
      <c r="O75" s="80" t="n">
        <f aca="false">SUM(P75:AA75)</f>
        <v>33.669470950221</v>
      </c>
      <c r="P75" s="81" t="n">
        <f aca="false">P74*'Assumption Setting'!$D$69</f>
        <v>2.80578924585175</v>
      </c>
      <c r="Q75" s="81" t="n">
        <f aca="false">Q74*'Assumption Setting'!$D$69</f>
        <v>2.80578924585175</v>
      </c>
      <c r="R75" s="81" t="n">
        <f aca="false">R74*'Assumption Setting'!$D$69</f>
        <v>2.80578924585175</v>
      </c>
      <c r="S75" s="81" t="n">
        <f aca="false">S74*'Assumption Setting'!$D$69</f>
        <v>2.80578924585175</v>
      </c>
      <c r="T75" s="81" t="n">
        <f aca="false">T74*'Assumption Setting'!$D$69</f>
        <v>2.80578924585175</v>
      </c>
      <c r="U75" s="81" t="n">
        <f aca="false">U74*'Assumption Setting'!$D$69</f>
        <v>2.80578924585175</v>
      </c>
      <c r="V75" s="81" t="n">
        <f aca="false">V74*'Assumption Setting'!$D$69</f>
        <v>2.80578924585175</v>
      </c>
      <c r="W75" s="81" t="n">
        <f aca="false">W74*'Assumption Setting'!$D$69</f>
        <v>2.80578924585175</v>
      </c>
      <c r="X75" s="81" t="n">
        <f aca="false">X74*'Assumption Setting'!$D$69</f>
        <v>2.80578924585175</v>
      </c>
      <c r="Y75" s="81" t="n">
        <f aca="false">Y74*'Assumption Setting'!$D$69</f>
        <v>2.80578924585175</v>
      </c>
      <c r="Z75" s="81" t="n">
        <f aca="false">Z74*'Assumption Setting'!$D$69</f>
        <v>2.80578924585175</v>
      </c>
      <c r="AA75" s="81" t="n">
        <f aca="false">AA74*'Assumption Setting'!$D$69</f>
        <v>2.80578924585175</v>
      </c>
      <c r="AB75" s="80" t="n">
        <f aca="false">SUM(AC75:AN75)</f>
        <v>50.4976275477483</v>
      </c>
      <c r="AC75" s="81" t="n">
        <f aca="false">AC74*'Assumption Setting'!$D$69</f>
        <v>4.20813562897902</v>
      </c>
      <c r="AD75" s="81" t="n">
        <f aca="false">AD74*'Assumption Setting'!$D$69</f>
        <v>4.20813562897902</v>
      </c>
      <c r="AE75" s="81" t="n">
        <f aca="false">AE74*'Assumption Setting'!$D$69</f>
        <v>4.20813562897902</v>
      </c>
      <c r="AF75" s="81" t="n">
        <f aca="false">AF74*'Assumption Setting'!$D$69</f>
        <v>4.20813562897902</v>
      </c>
      <c r="AG75" s="81" t="n">
        <f aca="false">AG74*'Assumption Setting'!$D$69</f>
        <v>4.20813562897902</v>
      </c>
      <c r="AH75" s="81" t="n">
        <f aca="false">AH74*'Assumption Setting'!$D$69</f>
        <v>4.20813562897902</v>
      </c>
      <c r="AI75" s="81" t="n">
        <f aca="false">AI74*'Assumption Setting'!$D$69</f>
        <v>4.20813562897902</v>
      </c>
      <c r="AJ75" s="81" t="n">
        <f aca="false">AJ74*'Assumption Setting'!$D$69</f>
        <v>4.20813562897902</v>
      </c>
      <c r="AK75" s="81" t="n">
        <f aca="false">AK74*'Assumption Setting'!$D$69</f>
        <v>4.20813562897902</v>
      </c>
      <c r="AL75" s="81" t="n">
        <f aca="false">AL74*'Assumption Setting'!$D$69</f>
        <v>4.20813562897902</v>
      </c>
      <c r="AM75" s="81" t="n">
        <f aca="false">AM74*'Assumption Setting'!$D$69</f>
        <v>4.20813562897902</v>
      </c>
      <c r="AN75" s="81" t="n">
        <f aca="false">AN74*'Assumption Setting'!$D$69</f>
        <v>4.20813562897902</v>
      </c>
      <c r="AO75" s="80" t="n">
        <f aca="false">SUM(AP75:BA75)</f>
        <v>65.4896684266518</v>
      </c>
      <c r="AP75" s="81" t="n">
        <f aca="false">AP74*'Assumption Setting'!$D$69</f>
        <v>5.45747236888765</v>
      </c>
      <c r="AQ75" s="81" t="n">
        <f aca="false">AQ74*'Assumption Setting'!$D$69</f>
        <v>5.45747236888765</v>
      </c>
      <c r="AR75" s="81" t="n">
        <f aca="false">AR74*'Assumption Setting'!$D$69</f>
        <v>5.45747236888765</v>
      </c>
      <c r="AS75" s="81" t="n">
        <f aca="false">AS74*'Assumption Setting'!$D$69</f>
        <v>5.45747236888765</v>
      </c>
      <c r="AT75" s="81" t="n">
        <f aca="false">AT74*'Assumption Setting'!$D$69</f>
        <v>5.45747236888765</v>
      </c>
      <c r="AU75" s="81" t="n">
        <f aca="false">AU74*'Assumption Setting'!$D$69</f>
        <v>5.45747236888765</v>
      </c>
      <c r="AV75" s="81" t="n">
        <f aca="false">AV74*'Assumption Setting'!$D$69</f>
        <v>5.45747236888765</v>
      </c>
      <c r="AW75" s="81" t="n">
        <f aca="false">AW74*'Assumption Setting'!$D$69</f>
        <v>5.45747236888765</v>
      </c>
      <c r="AX75" s="81" t="n">
        <f aca="false">AX74*'Assumption Setting'!$D$69</f>
        <v>5.45747236888765</v>
      </c>
      <c r="AY75" s="81" t="n">
        <f aca="false">AY74*'Assumption Setting'!$D$69</f>
        <v>5.45747236888765</v>
      </c>
      <c r="AZ75" s="81" t="n">
        <f aca="false">AZ74*'Assumption Setting'!$D$69</f>
        <v>5.45747236888765</v>
      </c>
      <c r="BA75" s="81" t="n">
        <f aca="false">BA74*'Assumption Setting'!$D$69</f>
        <v>5.45747236888765</v>
      </c>
      <c r="BB75" s="80" t="n">
        <f aca="false">SUM(BC75:BN75)</f>
        <v>80.4540890520168</v>
      </c>
      <c r="BC75" s="81" t="n">
        <f aca="false">BC74*'Assumption Setting'!$D$69</f>
        <v>6.7045074210014</v>
      </c>
      <c r="BD75" s="81" t="n">
        <f aca="false">BD74*'Assumption Setting'!$D$69</f>
        <v>6.7045074210014</v>
      </c>
      <c r="BE75" s="81" t="n">
        <f aca="false">BE74*'Assumption Setting'!$D$69</f>
        <v>6.7045074210014</v>
      </c>
      <c r="BF75" s="81" t="n">
        <f aca="false">BF74*'Assumption Setting'!$D$69</f>
        <v>6.7045074210014</v>
      </c>
      <c r="BG75" s="81" t="n">
        <f aca="false">BG74*'Assumption Setting'!$D$69</f>
        <v>6.7045074210014</v>
      </c>
      <c r="BH75" s="81" t="n">
        <f aca="false">BH74*'Assumption Setting'!$D$69</f>
        <v>6.7045074210014</v>
      </c>
      <c r="BI75" s="81" t="n">
        <f aca="false">BI74*'Assumption Setting'!$D$69</f>
        <v>6.7045074210014</v>
      </c>
      <c r="BJ75" s="81" t="n">
        <f aca="false">BJ74*'Assumption Setting'!$D$69</f>
        <v>6.7045074210014</v>
      </c>
      <c r="BK75" s="81" t="n">
        <f aca="false">BK74*'Assumption Setting'!$D$69</f>
        <v>6.7045074210014</v>
      </c>
      <c r="BL75" s="81" t="n">
        <f aca="false">BL74*'Assumption Setting'!$D$69</f>
        <v>6.7045074210014</v>
      </c>
      <c r="BM75" s="81" t="n">
        <f aca="false">BM74*'Assumption Setting'!$D$69</f>
        <v>6.7045074210014</v>
      </c>
      <c r="BN75" s="81" t="n">
        <f aca="false">BN74*'Assumption Setting'!$D$69</f>
        <v>6.7045074210014</v>
      </c>
    </row>
    <row r="76" customFormat="false" ht="15" hidden="false" customHeight="false" outlineLevel="0" collapsed="false">
      <c r="A76" s="12" t="s">
        <v>617</v>
      </c>
      <c r="B76" s="80" t="n">
        <f aca="false">SUM(C76:N76)</f>
        <v>8.76823742822042</v>
      </c>
      <c r="C76" s="81" t="n">
        <f aca="false">C75*'Assumption Setting'!$E$69</f>
        <v>0.730686452351702</v>
      </c>
      <c r="D76" s="81" t="n">
        <f aca="false">D75*'Assumption Setting'!$E$69</f>
        <v>0.730686452351702</v>
      </c>
      <c r="E76" s="81" t="n">
        <f aca="false">E75*'Assumption Setting'!$E$69</f>
        <v>0.730686452351702</v>
      </c>
      <c r="F76" s="81" t="n">
        <f aca="false">F75*'Assumption Setting'!$E$69</f>
        <v>0.730686452351702</v>
      </c>
      <c r="G76" s="81" t="n">
        <f aca="false">G75*'Assumption Setting'!$E$69</f>
        <v>0.730686452351702</v>
      </c>
      <c r="H76" s="81" t="n">
        <f aca="false">H75*'Assumption Setting'!$E$69</f>
        <v>0.730686452351702</v>
      </c>
      <c r="I76" s="81" t="n">
        <f aca="false">I75*'Assumption Setting'!$E$69</f>
        <v>0.730686452351702</v>
      </c>
      <c r="J76" s="81" t="n">
        <f aca="false">J75*'Assumption Setting'!$E$69</f>
        <v>0.730686452351702</v>
      </c>
      <c r="K76" s="81" t="n">
        <f aca="false">K75*'Assumption Setting'!$E$69</f>
        <v>0.730686452351702</v>
      </c>
      <c r="L76" s="81" t="n">
        <f aca="false">L75*'Assumption Setting'!$E$69</f>
        <v>0.730686452351702</v>
      </c>
      <c r="M76" s="81" t="n">
        <f aca="false">M75*'Assumption Setting'!$E$69</f>
        <v>0.730686452351702</v>
      </c>
      <c r="N76" s="81" t="n">
        <f aca="false">N75*'Assumption Setting'!$E$69</f>
        <v>0.730686452351702</v>
      </c>
      <c r="O76" s="80" t="n">
        <f aca="false">SUM(P76:AA76)</f>
        <v>13.4677883800884</v>
      </c>
      <c r="P76" s="81" t="n">
        <f aca="false">P75*'Assumption Setting'!$E$69</f>
        <v>1.1223156983407</v>
      </c>
      <c r="Q76" s="81" t="n">
        <f aca="false">Q75*'Assumption Setting'!$E$69</f>
        <v>1.1223156983407</v>
      </c>
      <c r="R76" s="81" t="n">
        <f aca="false">R75*'Assumption Setting'!$E$69</f>
        <v>1.1223156983407</v>
      </c>
      <c r="S76" s="81" t="n">
        <f aca="false">S75*'Assumption Setting'!$E$69</f>
        <v>1.1223156983407</v>
      </c>
      <c r="T76" s="81" t="n">
        <f aca="false">T75*'Assumption Setting'!$E$69</f>
        <v>1.1223156983407</v>
      </c>
      <c r="U76" s="81" t="n">
        <f aca="false">U75*'Assumption Setting'!$E$69</f>
        <v>1.1223156983407</v>
      </c>
      <c r="V76" s="81" t="n">
        <f aca="false">V75*'Assumption Setting'!$E$69</f>
        <v>1.1223156983407</v>
      </c>
      <c r="W76" s="81" t="n">
        <f aca="false">W75*'Assumption Setting'!$E$69</f>
        <v>1.1223156983407</v>
      </c>
      <c r="X76" s="81" t="n">
        <f aca="false">X75*'Assumption Setting'!$E$69</f>
        <v>1.1223156983407</v>
      </c>
      <c r="Y76" s="81" t="n">
        <f aca="false">Y75*'Assumption Setting'!$E$69</f>
        <v>1.1223156983407</v>
      </c>
      <c r="Z76" s="81" t="n">
        <f aca="false">Z75*'Assumption Setting'!$E$69</f>
        <v>1.1223156983407</v>
      </c>
      <c r="AA76" s="81" t="n">
        <f aca="false">AA75*'Assumption Setting'!$E$69</f>
        <v>1.1223156983407</v>
      </c>
      <c r="AB76" s="80" t="n">
        <f aca="false">SUM(AC76:AN76)</f>
        <v>20.1990510190993</v>
      </c>
      <c r="AC76" s="81" t="n">
        <f aca="false">AC75*'Assumption Setting'!$E$69</f>
        <v>1.68325425159161</v>
      </c>
      <c r="AD76" s="81" t="n">
        <f aca="false">AD75*'Assumption Setting'!$E$69</f>
        <v>1.68325425159161</v>
      </c>
      <c r="AE76" s="81" t="n">
        <f aca="false">AE75*'Assumption Setting'!$E$69</f>
        <v>1.68325425159161</v>
      </c>
      <c r="AF76" s="81" t="n">
        <f aca="false">AF75*'Assumption Setting'!$E$69</f>
        <v>1.68325425159161</v>
      </c>
      <c r="AG76" s="81" t="n">
        <f aca="false">AG75*'Assumption Setting'!$E$69</f>
        <v>1.68325425159161</v>
      </c>
      <c r="AH76" s="81" t="n">
        <f aca="false">AH75*'Assumption Setting'!$E$69</f>
        <v>1.68325425159161</v>
      </c>
      <c r="AI76" s="81" t="n">
        <f aca="false">AI75*'Assumption Setting'!$E$69</f>
        <v>1.68325425159161</v>
      </c>
      <c r="AJ76" s="81" t="n">
        <f aca="false">AJ75*'Assumption Setting'!$E$69</f>
        <v>1.68325425159161</v>
      </c>
      <c r="AK76" s="81" t="n">
        <f aca="false">AK75*'Assumption Setting'!$E$69</f>
        <v>1.68325425159161</v>
      </c>
      <c r="AL76" s="81" t="n">
        <f aca="false">AL75*'Assumption Setting'!$E$69</f>
        <v>1.68325425159161</v>
      </c>
      <c r="AM76" s="81" t="n">
        <f aca="false">AM75*'Assumption Setting'!$E$69</f>
        <v>1.68325425159161</v>
      </c>
      <c r="AN76" s="81" t="n">
        <f aca="false">AN75*'Assumption Setting'!$E$69</f>
        <v>1.68325425159161</v>
      </c>
      <c r="AO76" s="80" t="n">
        <f aca="false">SUM(AP76:BA76)</f>
        <v>26.1958673706607</v>
      </c>
      <c r="AP76" s="81" t="n">
        <f aca="false">AP75*'Assumption Setting'!$E$69</f>
        <v>2.18298894755506</v>
      </c>
      <c r="AQ76" s="81" t="n">
        <f aca="false">AQ75*'Assumption Setting'!$E$69</f>
        <v>2.18298894755506</v>
      </c>
      <c r="AR76" s="81" t="n">
        <f aca="false">AR75*'Assumption Setting'!$E$69</f>
        <v>2.18298894755506</v>
      </c>
      <c r="AS76" s="81" t="n">
        <f aca="false">AS75*'Assumption Setting'!$E$69</f>
        <v>2.18298894755506</v>
      </c>
      <c r="AT76" s="81" t="n">
        <f aca="false">AT75*'Assumption Setting'!$E$69</f>
        <v>2.18298894755506</v>
      </c>
      <c r="AU76" s="81" t="n">
        <f aca="false">AU75*'Assumption Setting'!$E$69</f>
        <v>2.18298894755506</v>
      </c>
      <c r="AV76" s="81" t="n">
        <f aca="false">AV75*'Assumption Setting'!$E$69</f>
        <v>2.18298894755506</v>
      </c>
      <c r="AW76" s="81" t="n">
        <f aca="false">AW75*'Assumption Setting'!$E$69</f>
        <v>2.18298894755506</v>
      </c>
      <c r="AX76" s="81" t="n">
        <f aca="false">AX75*'Assumption Setting'!$E$69</f>
        <v>2.18298894755506</v>
      </c>
      <c r="AY76" s="81" t="n">
        <f aca="false">AY75*'Assumption Setting'!$E$69</f>
        <v>2.18298894755506</v>
      </c>
      <c r="AZ76" s="81" t="n">
        <f aca="false">AZ75*'Assumption Setting'!$E$69</f>
        <v>2.18298894755506</v>
      </c>
      <c r="BA76" s="81" t="n">
        <f aca="false">BA75*'Assumption Setting'!$E$69</f>
        <v>2.18298894755506</v>
      </c>
      <c r="BB76" s="80" t="n">
        <f aca="false">SUM(BC76:BN76)</f>
        <v>32.1816356208067</v>
      </c>
      <c r="BC76" s="81" t="n">
        <f aca="false">BC75*'Assumption Setting'!$E$69</f>
        <v>2.68180296840056</v>
      </c>
      <c r="BD76" s="81" t="n">
        <f aca="false">BD75*'Assumption Setting'!$E$69</f>
        <v>2.68180296840056</v>
      </c>
      <c r="BE76" s="81" t="n">
        <f aca="false">BE75*'Assumption Setting'!$E$69</f>
        <v>2.68180296840056</v>
      </c>
      <c r="BF76" s="81" t="n">
        <f aca="false">BF75*'Assumption Setting'!$E$69</f>
        <v>2.68180296840056</v>
      </c>
      <c r="BG76" s="81" t="n">
        <f aca="false">BG75*'Assumption Setting'!$E$69</f>
        <v>2.68180296840056</v>
      </c>
      <c r="BH76" s="81" t="n">
        <f aca="false">BH75*'Assumption Setting'!$E$69</f>
        <v>2.68180296840056</v>
      </c>
      <c r="BI76" s="81" t="n">
        <f aca="false">BI75*'Assumption Setting'!$E$69</f>
        <v>2.68180296840056</v>
      </c>
      <c r="BJ76" s="81" t="n">
        <f aca="false">BJ75*'Assumption Setting'!$E$69</f>
        <v>2.68180296840056</v>
      </c>
      <c r="BK76" s="81" t="n">
        <f aca="false">BK75*'Assumption Setting'!$E$69</f>
        <v>2.68180296840056</v>
      </c>
      <c r="BL76" s="81" t="n">
        <f aca="false">BL75*'Assumption Setting'!$E$69</f>
        <v>2.68180296840056</v>
      </c>
      <c r="BM76" s="81" t="n">
        <f aca="false">BM75*'Assumption Setting'!$E$69</f>
        <v>2.68180296840056</v>
      </c>
      <c r="BN76" s="81" t="n">
        <f aca="false">BN75*'Assumption Setting'!$E$69</f>
        <v>2.68180296840056</v>
      </c>
    </row>
    <row r="77" customFormat="false" ht="15" hidden="false" customHeight="false" outlineLevel="0" collapsed="false">
      <c r="A77" s="18" t="s">
        <v>618</v>
      </c>
      <c r="B77" s="80" t="n">
        <f aca="false">SUM(C77:N77)</f>
        <v>2.00938774396718</v>
      </c>
      <c r="C77" s="83" t="n">
        <f aca="true">IF((1-'Assumption Setting'!$G$69)&lt;1,0,OFFSET($A$76,0,2+13*INT(((1-'Assumption Setting'!$G$69)-1)/12)+MOD((1-'Assumption Setting'!$G$69)-1,12)))*'Assumption Setting'!$F$69*'Assumption Setting'!$C$77</f>
        <v>0</v>
      </c>
      <c r="D77" s="83" t="n">
        <f aca="true">IF((2-'Assumption Setting'!$G$69)&lt;1,0,OFFSET($A$76,0,2+13*INT(((2-'Assumption Setting'!$G$69)-1)/12)+MOD((2-'Assumption Setting'!$G$69)-1,12)))*'Assumption Setting'!$F$69*'Assumption Setting'!$C$77</f>
        <v>0.182671613087925</v>
      </c>
      <c r="E77" s="83" t="n">
        <f aca="true">IF((3-'Assumption Setting'!$G$69)&lt;1,0,OFFSET($A$76,0,2+13*INT(((3-'Assumption Setting'!$G$69)-1)/12)+MOD((3-'Assumption Setting'!$G$69)-1,12)))*'Assumption Setting'!$F$69*'Assumption Setting'!$C$77</f>
        <v>0.182671613087925</v>
      </c>
      <c r="F77" s="83" t="n">
        <f aca="true">IF((4-'Assumption Setting'!$G$69)&lt;1,0,OFFSET($A$76,0,2+13*INT(((4-'Assumption Setting'!$G$69)-1)/12)+MOD((4-'Assumption Setting'!$G$69)-1,12)))*'Assumption Setting'!$F$69*'Assumption Setting'!$C$77</f>
        <v>0.182671613087925</v>
      </c>
      <c r="G77" s="83" t="n">
        <f aca="true">IF((5-'Assumption Setting'!$G$69)&lt;1,0,OFFSET($A$76,0,2+13*INT(((5-'Assumption Setting'!$G$69)-1)/12)+MOD((5-'Assumption Setting'!$G$69)-1,12)))*'Assumption Setting'!$F$69*'Assumption Setting'!$C$77</f>
        <v>0.182671613087925</v>
      </c>
      <c r="H77" s="83" t="n">
        <f aca="true">IF((6-'Assumption Setting'!$G$69)&lt;1,0,OFFSET($A$76,0,2+13*INT(((6-'Assumption Setting'!$G$69)-1)/12)+MOD((6-'Assumption Setting'!$G$69)-1,12)))*'Assumption Setting'!$F$69*'Assumption Setting'!$C$77</f>
        <v>0.182671613087925</v>
      </c>
      <c r="I77" s="83" t="n">
        <f aca="true">IF((7-'Assumption Setting'!$G$69)&lt;1,0,OFFSET($A$76,0,2+13*INT(((7-'Assumption Setting'!$G$69)-1)/12)+MOD((7-'Assumption Setting'!$G$69)-1,12)))*'Assumption Setting'!$F$69*'Assumption Setting'!$C$77</f>
        <v>0.182671613087925</v>
      </c>
      <c r="J77" s="83" t="n">
        <f aca="true">IF((8-'Assumption Setting'!$G$69)&lt;1,0,OFFSET($A$76,0,2+13*INT(((8-'Assumption Setting'!$G$69)-1)/12)+MOD((8-'Assumption Setting'!$G$69)-1,12)))*'Assumption Setting'!$F$69*'Assumption Setting'!$C$77</f>
        <v>0.182671613087925</v>
      </c>
      <c r="K77" s="83" t="n">
        <f aca="true">IF((9-'Assumption Setting'!$G$69)&lt;1,0,OFFSET($A$76,0,2+13*INT(((9-'Assumption Setting'!$G$69)-1)/12)+MOD((9-'Assumption Setting'!$G$69)-1,12)))*'Assumption Setting'!$F$69*'Assumption Setting'!$C$77</f>
        <v>0.182671613087925</v>
      </c>
      <c r="L77" s="83" t="n">
        <f aca="true">IF((10-'Assumption Setting'!$G$69)&lt;1,0,OFFSET($A$76,0,2+13*INT(((10-'Assumption Setting'!$G$69)-1)/12)+MOD((10-'Assumption Setting'!$G$69)-1,12)))*'Assumption Setting'!$F$69*'Assumption Setting'!$C$77</f>
        <v>0.182671613087925</v>
      </c>
      <c r="M77" s="83" t="n">
        <f aca="true">IF((11-'Assumption Setting'!$G$69)&lt;1,0,OFFSET($A$76,0,2+13*INT(((11-'Assumption Setting'!$G$69)-1)/12)+MOD((11-'Assumption Setting'!$G$69)-1,12)))*'Assumption Setting'!$F$69*'Assumption Setting'!$C$77</f>
        <v>0.182671613087925</v>
      </c>
      <c r="N77" s="83" t="n">
        <f aca="true">IF((12-'Assumption Setting'!$G$69)&lt;1,0,OFFSET($A$76,0,2+13*INT(((12-'Assumption Setting'!$G$69)-1)/12)+MOD((12-'Assumption Setting'!$G$69)-1,12)))*'Assumption Setting'!$F$69*'Assumption Setting'!$C$77</f>
        <v>0.182671613087925</v>
      </c>
      <c r="O77" s="80" t="n">
        <f aca="false">SUM(P77:AA77)</f>
        <v>3.59594376187733</v>
      </c>
      <c r="P77" s="83" t="n">
        <f aca="true">IF((13-'Assumption Setting'!$G$69)&lt;1,0,OFFSET($A$76,0,2+13*INT(((13-'Assumption Setting'!$G$69)-1)/12)+MOD((13-'Assumption Setting'!$G$69)-1,12)))*'Assumption Setting'!$F$69*'Assumption Setting'!$D$77</f>
        <v>0.200938774396718</v>
      </c>
      <c r="Q77" s="83" t="n">
        <f aca="true">IF((14-'Assumption Setting'!$G$69)&lt;1,0,OFFSET($A$76,0,2+13*INT(((14-'Assumption Setting'!$G$69)-1)/12)+MOD((14-'Assumption Setting'!$G$69)-1,12)))*'Assumption Setting'!$F$69*'Assumption Setting'!$D$77</f>
        <v>0.308636817043692</v>
      </c>
      <c r="R77" s="83" t="n">
        <f aca="true">IF((15-'Assumption Setting'!$G$69)&lt;1,0,OFFSET($A$76,0,2+13*INT(((15-'Assumption Setting'!$G$69)-1)/12)+MOD((15-'Assumption Setting'!$G$69)-1,12)))*'Assumption Setting'!$F$69*'Assumption Setting'!$D$77</f>
        <v>0.308636817043692</v>
      </c>
      <c r="S77" s="83" t="n">
        <f aca="true">IF((16-'Assumption Setting'!$G$69)&lt;1,0,OFFSET($A$76,0,2+13*INT(((16-'Assumption Setting'!$G$69)-1)/12)+MOD((16-'Assumption Setting'!$G$69)-1,12)))*'Assumption Setting'!$F$69*'Assumption Setting'!$D$77</f>
        <v>0.308636817043692</v>
      </c>
      <c r="T77" s="83" t="n">
        <f aca="true">IF((17-'Assumption Setting'!$G$69)&lt;1,0,OFFSET($A$76,0,2+13*INT(((17-'Assumption Setting'!$G$69)-1)/12)+MOD((17-'Assumption Setting'!$G$69)-1,12)))*'Assumption Setting'!$F$69*'Assumption Setting'!$D$77</f>
        <v>0.308636817043692</v>
      </c>
      <c r="U77" s="83" t="n">
        <f aca="true">IF((18-'Assumption Setting'!$G$69)&lt;1,0,OFFSET($A$76,0,2+13*INT(((18-'Assumption Setting'!$G$69)-1)/12)+MOD((18-'Assumption Setting'!$G$69)-1,12)))*'Assumption Setting'!$F$69*'Assumption Setting'!$D$77</f>
        <v>0.308636817043692</v>
      </c>
      <c r="V77" s="83" t="n">
        <f aca="true">IF((19-'Assumption Setting'!$G$69)&lt;1,0,OFFSET($A$76,0,2+13*INT(((19-'Assumption Setting'!$G$69)-1)/12)+MOD((19-'Assumption Setting'!$G$69)-1,12)))*'Assumption Setting'!$F$69*'Assumption Setting'!$D$77</f>
        <v>0.308636817043692</v>
      </c>
      <c r="W77" s="83" t="n">
        <f aca="true">IF((20-'Assumption Setting'!$G$69)&lt;1,0,OFFSET($A$76,0,2+13*INT(((20-'Assumption Setting'!$G$69)-1)/12)+MOD((20-'Assumption Setting'!$G$69)-1,12)))*'Assumption Setting'!$F$69*'Assumption Setting'!$D$77</f>
        <v>0.308636817043692</v>
      </c>
      <c r="X77" s="83" t="n">
        <f aca="true">IF((21-'Assumption Setting'!$G$69)&lt;1,0,OFFSET($A$76,0,2+13*INT(((21-'Assumption Setting'!$G$69)-1)/12)+MOD((21-'Assumption Setting'!$G$69)-1,12)))*'Assumption Setting'!$F$69*'Assumption Setting'!$D$77</f>
        <v>0.308636817043692</v>
      </c>
      <c r="Y77" s="83" t="n">
        <f aca="true">IF((22-'Assumption Setting'!$G$69)&lt;1,0,OFFSET($A$76,0,2+13*INT(((22-'Assumption Setting'!$G$69)-1)/12)+MOD((22-'Assumption Setting'!$G$69)-1,12)))*'Assumption Setting'!$F$69*'Assumption Setting'!$D$77</f>
        <v>0.308636817043692</v>
      </c>
      <c r="Z77" s="83" t="n">
        <f aca="true">IF((23-'Assumption Setting'!$G$69)&lt;1,0,OFFSET($A$76,0,2+13*INT(((23-'Assumption Setting'!$G$69)-1)/12)+MOD((23-'Assumption Setting'!$G$69)-1,12)))*'Assumption Setting'!$F$69*'Assumption Setting'!$D$77</f>
        <v>0.308636817043692</v>
      </c>
      <c r="AA77" s="83" t="n">
        <f aca="true">IF((24-'Assumption Setting'!$G$69)&lt;1,0,OFFSET($A$76,0,2+13*INT(((24-'Assumption Setting'!$G$69)-1)/12)+MOD((24-'Assumption Setting'!$G$69)-1,12)))*'Assumption Setting'!$F$69*'Assumption Setting'!$D$77</f>
        <v>0.308636817043692</v>
      </c>
      <c r="AB77" s="80" t="n">
        <f aca="false">SUM(AC77:AN77)</f>
        <v>5.89143373975452</v>
      </c>
      <c r="AC77" s="83" t="n">
        <f aca="true">IF((25-'Assumption Setting'!$G$69)&lt;1,0,OFFSET($A$76,0,2+13*INT(((25-'Assumption Setting'!$G$69)-1)/12)+MOD((25-'Assumption Setting'!$G$69)-1,12)))*'Assumption Setting'!$F$69*'Assumption Setting'!$E$77</f>
        <v>0.33669470950221</v>
      </c>
      <c r="AD77" s="83" t="n">
        <f aca="true">IF((26-'Assumption Setting'!$G$69)&lt;1,0,OFFSET($A$76,0,2+13*INT(((26-'Assumption Setting'!$G$69)-1)/12)+MOD((26-'Assumption Setting'!$G$69)-1,12)))*'Assumption Setting'!$F$69*'Assumption Setting'!$E$77</f>
        <v>0.504976275477483</v>
      </c>
      <c r="AE77" s="83" t="n">
        <f aca="true">IF((27-'Assumption Setting'!$G$69)&lt;1,0,OFFSET($A$76,0,2+13*INT(((27-'Assumption Setting'!$G$69)-1)/12)+MOD((27-'Assumption Setting'!$G$69)-1,12)))*'Assumption Setting'!$F$69*'Assumption Setting'!$E$77</f>
        <v>0.504976275477483</v>
      </c>
      <c r="AF77" s="83" t="n">
        <f aca="true">IF((28-'Assumption Setting'!$G$69)&lt;1,0,OFFSET($A$76,0,2+13*INT(((28-'Assumption Setting'!$G$69)-1)/12)+MOD((28-'Assumption Setting'!$G$69)-1,12)))*'Assumption Setting'!$F$69*'Assumption Setting'!$E$77</f>
        <v>0.504976275477483</v>
      </c>
      <c r="AG77" s="83" t="n">
        <f aca="true">IF((29-'Assumption Setting'!$G$69)&lt;1,0,OFFSET($A$76,0,2+13*INT(((29-'Assumption Setting'!$G$69)-1)/12)+MOD((29-'Assumption Setting'!$G$69)-1,12)))*'Assumption Setting'!$F$69*'Assumption Setting'!$E$77</f>
        <v>0.504976275477483</v>
      </c>
      <c r="AH77" s="83" t="n">
        <f aca="true">IF((30-'Assumption Setting'!$G$69)&lt;1,0,OFFSET($A$76,0,2+13*INT(((30-'Assumption Setting'!$G$69)-1)/12)+MOD((30-'Assumption Setting'!$G$69)-1,12)))*'Assumption Setting'!$F$69*'Assumption Setting'!$E$77</f>
        <v>0.504976275477483</v>
      </c>
      <c r="AI77" s="83" t="n">
        <f aca="true">IF((31-'Assumption Setting'!$G$69)&lt;1,0,OFFSET($A$76,0,2+13*INT(((31-'Assumption Setting'!$G$69)-1)/12)+MOD((31-'Assumption Setting'!$G$69)-1,12)))*'Assumption Setting'!$F$69*'Assumption Setting'!$E$77</f>
        <v>0.504976275477483</v>
      </c>
      <c r="AJ77" s="83" t="n">
        <f aca="true">IF((32-'Assumption Setting'!$G$69)&lt;1,0,OFFSET($A$76,0,2+13*INT(((32-'Assumption Setting'!$G$69)-1)/12)+MOD((32-'Assumption Setting'!$G$69)-1,12)))*'Assumption Setting'!$F$69*'Assumption Setting'!$E$77</f>
        <v>0.504976275477483</v>
      </c>
      <c r="AK77" s="83" t="n">
        <f aca="true">IF((33-'Assumption Setting'!$G$69)&lt;1,0,OFFSET($A$76,0,2+13*INT(((33-'Assumption Setting'!$G$69)-1)/12)+MOD((33-'Assumption Setting'!$G$69)-1,12)))*'Assumption Setting'!$F$69*'Assumption Setting'!$E$77</f>
        <v>0.504976275477483</v>
      </c>
      <c r="AL77" s="83" t="n">
        <f aca="true">IF((34-'Assumption Setting'!$G$69)&lt;1,0,OFFSET($A$76,0,2+13*INT(((34-'Assumption Setting'!$G$69)-1)/12)+MOD((34-'Assumption Setting'!$G$69)-1,12)))*'Assumption Setting'!$F$69*'Assumption Setting'!$E$77</f>
        <v>0.504976275477483</v>
      </c>
      <c r="AM77" s="83" t="n">
        <f aca="true">IF((35-'Assumption Setting'!$G$69)&lt;1,0,OFFSET($A$76,0,2+13*INT(((35-'Assumption Setting'!$G$69)-1)/12)+MOD((35-'Assumption Setting'!$G$69)-1,12)))*'Assumption Setting'!$F$69*'Assumption Setting'!$E$77</f>
        <v>0.504976275477483</v>
      </c>
      <c r="AN77" s="83" t="n">
        <f aca="true">IF((36-'Assumption Setting'!$G$69)&lt;1,0,OFFSET($A$76,0,2+13*INT(((36-'Assumption Setting'!$G$69)-1)/12)+MOD((36-'Assumption Setting'!$G$69)-1,12)))*'Assumption Setting'!$F$69*'Assumption Setting'!$E$77</f>
        <v>0.504976275477483</v>
      </c>
      <c r="AO77" s="80" t="n">
        <f aca="false">SUM(AP77:BA77)</f>
        <v>8.03004146084289</v>
      </c>
      <c r="AP77" s="83" t="n">
        <f aca="true">IF((37-'Assumption Setting'!$G$69)&lt;1,0,OFFSET($A$76,0,2+13*INT(((37-'Assumption Setting'!$G$69)-1)/12)+MOD((37-'Assumption Setting'!$G$69)-1,12)))*'Assumption Setting'!$F$69*'Assumption Setting'!$F$77</f>
        <v>0.526016953622378</v>
      </c>
      <c r="AQ77" s="83" t="n">
        <f aca="true">IF((38-'Assumption Setting'!$G$69)&lt;1,0,OFFSET($A$76,0,2+13*INT(((38-'Assumption Setting'!$G$69)-1)/12)+MOD((38-'Assumption Setting'!$G$69)-1,12)))*'Assumption Setting'!$F$69*'Assumption Setting'!$F$77</f>
        <v>0.682184046110956</v>
      </c>
      <c r="AR77" s="83" t="n">
        <f aca="true">IF((39-'Assumption Setting'!$G$69)&lt;1,0,OFFSET($A$76,0,2+13*INT(((39-'Assumption Setting'!$G$69)-1)/12)+MOD((39-'Assumption Setting'!$G$69)-1,12)))*'Assumption Setting'!$F$69*'Assumption Setting'!$F$77</f>
        <v>0.682184046110956</v>
      </c>
      <c r="AS77" s="83" t="n">
        <f aca="true">IF((40-'Assumption Setting'!$G$69)&lt;1,0,OFFSET($A$76,0,2+13*INT(((40-'Assumption Setting'!$G$69)-1)/12)+MOD((40-'Assumption Setting'!$G$69)-1,12)))*'Assumption Setting'!$F$69*'Assumption Setting'!$F$77</f>
        <v>0.682184046110956</v>
      </c>
      <c r="AT77" s="83" t="n">
        <f aca="true">IF((41-'Assumption Setting'!$G$69)&lt;1,0,OFFSET($A$76,0,2+13*INT(((41-'Assumption Setting'!$G$69)-1)/12)+MOD((41-'Assumption Setting'!$G$69)-1,12)))*'Assumption Setting'!$F$69*'Assumption Setting'!$F$77</f>
        <v>0.682184046110956</v>
      </c>
      <c r="AU77" s="83" t="n">
        <f aca="true">IF((42-'Assumption Setting'!$G$69)&lt;1,0,OFFSET($A$76,0,2+13*INT(((42-'Assumption Setting'!$G$69)-1)/12)+MOD((42-'Assumption Setting'!$G$69)-1,12)))*'Assumption Setting'!$F$69*'Assumption Setting'!$F$77</f>
        <v>0.682184046110956</v>
      </c>
      <c r="AV77" s="83" t="n">
        <f aca="true">IF((43-'Assumption Setting'!$G$69)&lt;1,0,OFFSET($A$76,0,2+13*INT(((43-'Assumption Setting'!$G$69)-1)/12)+MOD((43-'Assumption Setting'!$G$69)-1,12)))*'Assumption Setting'!$F$69*'Assumption Setting'!$F$77</f>
        <v>0.682184046110956</v>
      </c>
      <c r="AW77" s="83" t="n">
        <f aca="true">IF((44-'Assumption Setting'!$G$69)&lt;1,0,OFFSET($A$76,0,2+13*INT(((44-'Assumption Setting'!$G$69)-1)/12)+MOD((44-'Assumption Setting'!$G$69)-1,12)))*'Assumption Setting'!$F$69*'Assumption Setting'!$F$77</f>
        <v>0.682184046110956</v>
      </c>
      <c r="AX77" s="83" t="n">
        <f aca="true">IF((45-'Assumption Setting'!$G$69)&lt;1,0,OFFSET($A$76,0,2+13*INT(((45-'Assumption Setting'!$G$69)-1)/12)+MOD((45-'Assumption Setting'!$G$69)-1,12)))*'Assumption Setting'!$F$69*'Assumption Setting'!$F$77</f>
        <v>0.682184046110956</v>
      </c>
      <c r="AY77" s="83" t="n">
        <f aca="true">IF((46-'Assumption Setting'!$G$69)&lt;1,0,OFFSET($A$76,0,2+13*INT(((46-'Assumption Setting'!$G$69)-1)/12)+MOD((46-'Assumption Setting'!$G$69)-1,12)))*'Assumption Setting'!$F$69*'Assumption Setting'!$F$77</f>
        <v>0.682184046110956</v>
      </c>
      <c r="AZ77" s="83" t="n">
        <f aca="true">IF((47-'Assumption Setting'!$G$69)&lt;1,0,OFFSET($A$76,0,2+13*INT(((47-'Assumption Setting'!$G$69)-1)/12)+MOD((47-'Assumption Setting'!$G$69)-1,12)))*'Assumption Setting'!$F$69*'Assumption Setting'!$F$77</f>
        <v>0.682184046110956</v>
      </c>
      <c r="BA77" s="83" t="n">
        <f aca="true">IF((48-'Assumption Setting'!$G$69)&lt;1,0,OFFSET($A$76,0,2+13*INT(((48-'Assumption Setting'!$G$69)-1)/12)+MOD((48-'Assumption Setting'!$G$69)-1,12)))*'Assumption Setting'!$F$69*'Assumption Setting'!$F$77</f>
        <v>0.682184046110956</v>
      </c>
      <c r="BB77" s="80" t="n">
        <f aca="false">SUM(BC77:BN77)</f>
        <v>10.2969170199874</v>
      </c>
      <c r="BC77" s="83" t="n">
        <f aca="true">IF((49-'Assumption Setting'!$G$69)&lt;1,0,OFFSET($A$76,0,2+13*INT(((49-'Assumption Setting'!$G$69)-1)/12)+MOD((49-'Assumption Setting'!$G$69)-1,12)))*'Assumption Setting'!$F$69*'Assumption Setting'!$G$77</f>
        <v>0.709471407955394</v>
      </c>
      <c r="BD77" s="83" t="n">
        <f aca="true">IF((50-'Assumption Setting'!$G$69)&lt;1,0,OFFSET($A$76,0,2+13*INT(((50-'Assumption Setting'!$G$69)-1)/12)+MOD((50-'Assumption Setting'!$G$69)-1,12)))*'Assumption Setting'!$F$69*'Assumption Setting'!$G$77</f>
        <v>0.871585964730182</v>
      </c>
      <c r="BE77" s="83" t="n">
        <f aca="true">IF((51-'Assumption Setting'!$G$69)&lt;1,0,OFFSET($A$76,0,2+13*INT(((51-'Assumption Setting'!$G$69)-1)/12)+MOD((51-'Assumption Setting'!$G$69)-1,12)))*'Assumption Setting'!$F$69*'Assumption Setting'!$G$77</f>
        <v>0.871585964730182</v>
      </c>
      <c r="BF77" s="83" t="n">
        <f aca="true">IF((52-'Assumption Setting'!$G$69)&lt;1,0,OFFSET($A$76,0,2+13*INT(((52-'Assumption Setting'!$G$69)-1)/12)+MOD((52-'Assumption Setting'!$G$69)-1,12)))*'Assumption Setting'!$F$69*'Assumption Setting'!$G$77</f>
        <v>0.871585964730182</v>
      </c>
      <c r="BG77" s="83" t="n">
        <f aca="true">IF((53-'Assumption Setting'!$G$69)&lt;1,0,OFFSET($A$76,0,2+13*INT(((53-'Assumption Setting'!$G$69)-1)/12)+MOD((53-'Assumption Setting'!$G$69)-1,12)))*'Assumption Setting'!$F$69*'Assumption Setting'!$G$77</f>
        <v>0.871585964730182</v>
      </c>
      <c r="BH77" s="83" t="n">
        <f aca="true">IF((54-'Assumption Setting'!$G$69)&lt;1,0,OFFSET($A$76,0,2+13*INT(((54-'Assumption Setting'!$G$69)-1)/12)+MOD((54-'Assumption Setting'!$G$69)-1,12)))*'Assumption Setting'!$F$69*'Assumption Setting'!$G$77</f>
        <v>0.871585964730182</v>
      </c>
      <c r="BI77" s="83" t="n">
        <f aca="true">IF((55-'Assumption Setting'!$G$69)&lt;1,0,OFFSET($A$76,0,2+13*INT(((55-'Assumption Setting'!$G$69)-1)/12)+MOD((55-'Assumption Setting'!$G$69)-1,12)))*'Assumption Setting'!$F$69*'Assumption Setting'!$G$77</f>
        <v>0.871585964730182</v>
      </c>
      <c r="BJ77" s="83" t="n">
        <f aca="true">IF((56-'Assumption Setting'!$G$69)&lt;1,0,OFFSET($A$76,0,2+13*INT(((56-'Assumption Setting'!$G$69)-1)/12)+MOD((56-'Assumption Setting'!$G$69)-1,12)))*'Assumption Setting'!$F$69*'Assumption Setting'!$G$77</f>
        <v>0.871585964730182</v>
      </c>
      <c r="BK77" s="83" t="n">
        <f aca="true">IF((57-'Assumption Setting'!$G$69)&lt;1,0,OFFSET($A$76,0,2+13*INT(((57-'Assumption Setting'!$G$69)-1)/12)+MOD((57-'Assumption Setting'!$G$69)-1,12)))*'Assumption Setting'!$F$69*'Assumption Setting'!$G$77</f>
        <v>0.871585964730182</v>
      </c>
      <c r="BL77" s="83" t="n">
        <f aca="true">IF((58-'Assumption Setting'!$G$69)&lt;1,0,OFFSET($A$76,0,2+13*INT(((58-'Assumption Setting'!$G$69)-1)/12)+MOD((58-'Assumption Setting'!$G$69)-1,12)))*'Assumption Setting'!$F$69*'Assumption Setting'!$G$77</f>
        <v>0.871585964730182</v>
      </c>
      <c r="BM77" s="83" t="n">
        <f aca="true">IF((59-'Assumption Setting'!$G$69)&lt;1,0,OFFSET($A$76,0,2+13*INT(((59-'Assumption Setting'!$G$69)-1)/12)+MOD((59-'Assumption Setting'!$G$69)-1,12)))*'Assumption Setting'!$F$69*'Assumption Setting'!$G$77</f>
        <v>0.871585964730182</v>
      </c>
      <c r="BN77" s="83" t="n">
        <f aca="true">IF((60-'Assumption Setting'!$G$69)&lt;1,0,OFFSET($A$76,0,2+13*INT(((60-'Assumption Setting'!$G$69)-1)/12)+MOD((60-'Assumption Setting'!$G$69)-1,12)))*'Assumption Setting'!$F$69*'Assumption Setting'!$G$77</f>
        <v>0.871585964730182</v>
      </c>
    </row>
    <row r="78" customFormat="false" ht="15" hidden="false" customHeight="false" outlineLevel="0" collapsed="false">
      <c r="A78" s="69" t="s">
        <v>619</v>
      </c>
      <c r="B78" s="80" t="n">
        <f aca="false">SUM(C78:N78)</f>
        <v>1.82671613087925</v>
      </c>
      <c r="C78" s="86" t="n">
        <f aca="true">IF((1-'Assumption Setting'!$H$69)&lt;1,0,OFFSET($A$77,0,2+13*INT(((1-'Assumption Setting'!$H$69)-1)/12)+MOD((1-'Assumption Setting'!$H$69)-1,12)))</f>
        <v>0</v>
      </c>
      <c r="D78" s="86" t="n">
        <f aca="true">IF((2-'Assumption Setting'!$H$69)&lt;1,0,OFFSET($A$77,0,2+13*INT(((2-'Assumption Setting'!$H$69)-1)/12)+MOD((2-'Assumption Setting'!$H$69)-1,12)))</f>
        <v>0</v>
      </c>
      <c r="E78" s="86" t="n">
        <f aca="true">IF((3-'Assumption Setting'!$H$69)&lt;1,0,OFFSET($A$77,0,2+13*INT(((3-'Assumption Setting'!$H$69)-1)/12)+MOD((3-'Assumption Setting'!$H$69)-1,12)))</f>
        <v>0.182671613087925</v>
      </c>
      <c r="F78" s="86" t="n">
        <f aca="true">IF((4-'Assumption Setting'!$H$69)&lt;1,0,OFFSET($A$77,0,2+13*INT(((4-'Assumption Setting'!$H$69)-1)/12)+MOD((4-'Assumption Setting'!$H$69)-1,12)))</f>
        <v>0.182671613087925</v>
      </c>
      <c r="G78" s="86" t="n">
        <f aca="true">IF((5-'Assumption Setting'!$H$69)&lt;1,0,OFFSET($A$77,0,2+13*INT(((5-'Assumption Setting'!$H$69)-1)/12)+MOD((5-'Assumption Setting'!$H$69)-1,12)))</f>
        <v>0.182671613087925</v>
      </c>
      <c r="H78" s="86" t="n">
        <f aca="true">IF((6-'Assumption Setting'!$H$69)&lt;1,0,OFFSET($A$77,0,2+13*INT(((6-'Assumption Setting'!$H$69)-1)/12)+MOD((6-'Assumption Setting'!$H$69)-1,12)))</f>
        <v>0.182671613087925</v>
      </c>
      <c r="I78" s="86" t="n">
        <f aca="true">IF((7-'Assumption Setting'!$H$69)&lt;1,0,OFFSET($A$77,0,2+13*INT(((7-'Assumption Setting'!$H$69)-1)/12)+MOD((7-'Assumption Setting'!$H$69)-1,12)))</f>
        <v>0.182671613087925</v>
      </c>
      <c r="J78" s="86" t="n">
        <f aca="true">IF((8-'Assumption Setting'!$H$69)&lt;1,0,OFFSET($A$77,0,2+13*INT(((8-'Assumption Setting'!$H$69)-1)/12)+MOD((8-'Assumption Setting'!$H$69)-1,12)))</f>
        <v>0.182671613087925</v>
      </c>
      <c r="K78" s="86" t="n">
        <f aca="true">IF((9-'Assumption Setting'!$H$69)&lt;1,0,OFFSET($A$77,0,2+13*INT(((9-'Assumption Setting'!$H$69)-1)/12)+MOD((9-'Assumption Setting'!$H$69)-1,12)))</f>
        <v>0.182671613087925</v>
      </c>
      <c r="L78" s="86" t="n">
        <f aca="true">IF((10-'Assumption Setting'!$H$69)&lt;1,0,OFFSET($A$77,0,2+13*INT(((10-'Assumption Setting'!$H$69)-1)/12)+MOD((10-'Assumption Setting'!$H$69)-1,12)))</f>
        <v>0.182671613087925</v>
      </c>
      <c r="M78" s="86" t="n">
        <f aca="true">IF((11-'Assumption Setting'!$H$69)&lt;1,0,OFFSET($A$77,0,2+13*INT(((11-'Assumption Setting'!$H$69)-1)/12)+MOD((11-'Assumption Setting'!$H$69)-1,12)))</f>
        <v>0.182671613087925</v>
      </c>
      <c r="N78" s="86" t="n">
        <f aca="true">IF((12-'Assumption Setting'!$H$69)&lt;1,0,OFFSET($A$77,0,2+13*INT(((12-'Assumption Setting'!$H$69)-1)/12)+MOD((12-'Assumption Setting'!$H$69)-1,12)))</f>
        <v>0.182671613087925</v>
      </c>
      <c r="O78" s="80" t="n">
        <f aca="false">SUM(P78:AA78)</f>
        <v>3.46997855792157</v>
      </c>
      <c r="P78" s="86" t="n">
        <f aca="true">IF((13-'Assumption Setting'!$H$69)&lt;1,0,OFFSET($A$77,0,2+13*INT(((13-'Assumption Setting'!$H$69)-1)/12)+MOD((13-'Assumption Setting'!$H$69)-1,12)))</f>
        <v>0.182671613087925</v>
      </c>
      <c r="Q78" s="86" t="n">
        <f aca="true">IF((14-'Assumption Setting'!$H$69)&lt;1,0,OFFSET($A$77,0,2+13*INT(((14-'Assumption Setting'!$H$69)-1)/12)+MOD((14-'Assumption Setting'!$H$69)-1,12)))</f>
        <v>0.200938774396718</v>
      </c>
      <c r="R78" s="86" t="n">
        <f aca="true">IF((15-'Assumption Setting'!$H$69)&lt;1,0,OFFSET($A$77,0,2+13*INT(((15-'Assumption Setting'!$H$69)-1)/12)+MOD((15-'Assumption Setting'!$H$69)-1,12)))</f>
        <v>0.308636817043692</v>
      </c>
      <c r="S78" s="86" t="n">
        <f aca="true">IF((16-'Assumption Setting'!$H$69)&lt;1,0,OFFSET($A$77,0,2+13*INT(((16-'Assumption Setting'!$H$69)-1)/12)+MOD((16-'Assumption Setting'!$H$69)-1,12)))</f>
        <v>0.308636817043692</v>
      </c>
      <c r="T78" s="86" t="n">
        <f aca="true">IF((17-'Assumption Setting'!$H$69)&lt;1,0,OFFSET($A$77,0,2+13*INT(((17-'Assumption Setting'!$H$69)-1)/12)+MOD((17-'Assumption Setting'!$H$69)-1,12)))</f>
        <v>0.308636817043692</v>
      </c>
      <c r="U78" s="86" t="n">
        <f aca="true">IF((18-'Assumption Setting'!$H$69)&lt;1,0,OFFSET($A$77,0,2+13*INT(((18-'Assumption Setting'!$H$69)-1)/12)+MOD((18-'Assumption Setting'!$H$69)-1,12)))</f>
        <v>0.308636817043692</v>
      </c>
      <c r="V78" s="86" t="n">
        <f aca="true">IF((19-'Assumption Setting'!$H$69)&lt;1,0,OFFSET($A$77,0,2+13*INT(((19-'Assumption Setting'!$H$69)-1)/12)+MOD((19-'Assumption Setting'!$H$69)-1,12)))</f>
        <v>0.308636817043692</v>
      </c>
      <c r="W78" s="86" t="n">
        <f aca="true">IF((20-'Assumption Setting'!$H$69)&lt;1,0,OFFSET($A$77,0,2+13*INT(((20-'Assumption Setting'!$H$69)-1)/12)+MOD((20-'Assumption Setting'!$H$69)-1,12)))</f>
        <v>0.308636817043692</v>
      </c>
      <c r="X78" s="86" t="n">
        <f aca="true">IF((21-'Assumption Setting'!$H$69)&lt;1,0,OFFSET($A$77,0,2+13*INT(((21-'Assumption Setting'!$H$69)-1)/12)+MOD((21-'Assumption Setting'!$H$69)-1,12)))</f>
        <v>0.308636817043692</v>
      </c>
      <c r="Y78" s="86" t="n">
        <f aca="true">IF((22-'Assumption Setting'!$H$69)&lt;1,0,OFFSET($A$77,0,2+13*INT(((22-'Assumption Setting'!$H$69)-1)/12)+MOD((22-'Assumption Setting'!$H$69)-1,12)))</f>
        <v>0.308636817043692</v>
      </c>
      <c r="Z78" s="86" t="n">
        <f aca="true">IF((23-'Assumption Setting'!$H$69)&lt;1,0,OFFSET($A$77,0,2+13*INT(((23-'Assumption Setting'!$H$69)-1)/12)+MOD((23-'Assumption Setting'!$H$69)-1,12)))</f>
        <v>0.308636817043692</v>
      </c>
      <c r="AA78" s="86" t="n">
        <f aca="true">IF((24-'Assumption Setting'!$H$69)&lt;1,0,OFFSET($A$77,0,2+13*INT(((24-'Assumption Setting'!$H$69)-1)/12)+MOD((24-'Assumption Setting'!$H$69)-1,12)))</f>
        <v>0.308636817043692</v>
      </c>
      <c r="AB78" s="80" t="n">
        <f aca="false">SUM(AC78:AN78)</f>
        <v>5.69509428132073</v>
      </c>
      <c r="AC78" s="86" t="n">
        <f aca="true">IF((25-'Assumption Setting'!$H$69)&lt;1,0,OFFSET($A$77,0,2+13*INT(((25-'Assumption Setting'!$H$69)-1)/12)+MOD((25-'Assumption Setting'!$H$69)-1,12)))</f>
        <v>0.308636817043692</v>
      </c>
      <c r="AD78" s="86" t="n">
        <f aca="true">IF((26-'Assumption Setting'!$H$69)&lt;1,0,OFFSET($A$77,0,2+13*INT(((26-'Assumption Setting'!$H$69)-1)/12)+MOD((26-'Assumption Setting'!$H$69)-1,12)))</f>
        <v>0.33669470950221</v>
      </c>
      <c r="AE78" s="86" t="n">
        <f aca="true">IF((27-'Assumption Setting'!$H$69)&lt;1,0,OFFSET($A$77,0,2+13*INT(((27-'Assumption Setting'!$H$69)-1)/12)+MOD((27-'Assumption Setting'!$H$69)-1,12)))</f>
        <v>0.504976275477483</v>
      </c>
      <c r="AF78" s="86" t="n">
        <f aca="true">IF((28-'Assumption Setting'!$H$69)&lt;1,0,OFFSET($A$77,0,2+13*INT(((28-'Assumption Setting'!$H$69)-1)/12)+MOD((28-'Assumption Setting'!$H$69)-1,12)))</f>
        <v>0.504976275477483</v>
      </c>
      <c r="AG78" s="86" t="n">
        <f aca="true">IF((29-'Assumption Setting'!$H$69)&lt;1,0,OFFSET($A$77,0,2+13*INT(((29-'Assumption Setting'!$H$69)-1)/12)+MOD((29-'Assumption Setting'!$H$69)-1,12)))</f>
        <v>0.504976275477483</v>
      </c>
      <c r="AH78" s="86" t="n">
        <f aca="true">IF((30-'Assumption Setting'!$H$69)&lt;1,0,OFFSET($A$77,0,2+13*INT(((30-'Assumption Setting'!$H$69)-1)/12)+MOD((30-'Assumption Setting'!$H$69)-1,12)))</f>
        <v>0.504976275477483</v>
      </c>
      <c r="AI78" s="86" t="n">
        <f aca="true">IF((31-'Assumption Setting'!$H$69)&lt;1,0,OFFSET($A$77,0,2+13*INT(((31-'Assumption Setting'!$H$69)-1)/12)+MOD((31-'Assumption Setting'!$H$69)-1,12)))</f>
        <v>0.504976275477483</v>
      </c>
      <c r="AJ78" s="86" t="n">
        <f aca="true">IF((32-'Assumption Setting'!$H$69)&lt;1,0,OFFSET($A$77,0,2+13*INT(((32-'Assumption Setting'!$H$69)-1)/12)+MOD((32-'Assumption Setting'!$H$69)-1,12)))</f>
        <v>0.504976275477483</v>
      </c>
      <c r="AK78" s="86" t="n">
        <f aca="true">IF((33-'Assumption Setting'!$H$69)&lt;1,0,OFFSET($A$77,0,2+13*INT(((33-'Assumption Setting'!$H$69)-1)/12)+MOD((33-'Assumption Setting'!$H$69)-1,12)))</f>
        <v>0.504976275477483</v>
      </c>
      <c r="AL78" s="86" t="n">
        <f aca="true">IF((34-'Assumption Setting'!$H$69)&lt;1,0,OFFSET($A$77,0,2+13*INT(((34-'Assumption Setting'!$H$69)-1)/12)+MOD((34-'Assumption Setting'!$H$69)-1,12)))</f>
        <v>0.504976275477483</v>
      </c>
      <c r="AM78" s="86" t="n">
        <f aca="true">IF((35-'Assumption Setting'!$H$69)&lt;1,0,OFFSET($A$77,0,2+13*INT(((35-'Assumption Setting'!$H$69)-1)/12)+MOD((35-'Assumption Setting'!$H$69)-1,12)))</f>
        <v>0.504976275477483</v>
      </c>
      <c r="AN78" s="86" t="n">
        <f aca="true">IF((36-'Assumption Setting'!$H$69)&lt;1,0,OFFSET($A$77,0,2+13*INT(((36-'Assumption Setting'!$H$69)-1)/12)+MOD((36-'Assumption Setting'!$H$69)-1,12)))</f>
        <v>0.504976275477483</v>
      </c>
      <c r="AO78" s="80" t="n">
        <f aca="false">SUM(AP78:BA78)</f>
        <v>7.85283369020942</v>
      </c>
      <c r="AP78" s="86" t="n">
        <f aca="true">IF((37-'Assumption Setting'!$H$69)&lt;1,0,OFFSET($A$77,0,2+13*INT(((37-'Assumption Setting'!$H$69)-1)/12)+MOD((37-'Assumption Setting'!$H$69)-1,12)))</f>
        <v>0.504976275477483</v>
      </c>
      <c r="AQ78" s="86" t="n">
        <f aca="true">IF((38-'Assumption Setting'!$H$69)&lt;1,0,OFFSET($A$77,0,2+13*INT(((38-'Assumption Setting'!$H$69)-1)/12)+MOD((38-'Assumption Setting'!$H$69)-1,12)))</f>
        <v>0.526016953622378</v>
      </c>
      <c r="AR78" s="86" t="n">
        <f aca="true">IF((39-'Assumption Setting'!$H$69)&lt;1,0,OFFSET($A$77,0,2+13*INT(((39-'Assumption Setting'!$H$69)-1)/12)+MOD((39-'Assumption Setting'!$H$69)-1,12)))</f>
        <v>0.682184046110956</v>
      </c>
      <c r="AS78" s="86" t="n">
        <f aca="true">IF((40-'Assumption Setting'!$H$69)&lt;1,0,OFFSET($A$77,0,2+13*INT(((40-'Assumption Setting'!$H$69)-1)/12)+MOD((40-'Assumption Setting'!$H$69)-1,12)))</f>
        <v>0.682184046110956</v>
      </c>
      <c r="AT78" s="86" t="n">
        <f aca="true">IF((41-'Assumption Setting'!$H$69)&lt;1,0,OFFSET($A$77,0,2+13*INT(((41-'Assumption Setting'!$H$69)-1)/12)+MOD((41-'Assumption Setting'!$H$69)-1,12)))</f>
        <v>0.682184046110956</v>
      </c>
      <c r="AU78" s="86" t="n">
        <f aca="true">IF((42-'Assumption Setting'!$H$69)&lt;1,0,OFFSET($A$77,0,2+13*INT(((42-'Assumption Setting'!$H$69)-1)/12)+MOD((42-'Assumption Setting'!$H$69)-1,12)))</f>
        <v>0.682184046110956</v>
      </c>
      <c r="AV78" s="86" t="n">
        <f aca="true">IF((43-'Assumption Setting'!$H$69)&lt;1,0,OFFSET($A$77,0,2+13*INT(((43-'Assumption Setting'!$H$69)-1)/12)+MOD((43-'Assumption Setting'!$H$69)-1,12)))</f>
        <v>0.682184046110956</v>
      </c>
      <c r="AW78" s="86" t="n">
        <f aca="true">IF((44-'Assumption Setting'!$H$69)&lt;1,0,OFFSET($A$77,0,2+13*INT(((44-'Assumption Setting'!$H$69)-1)/12)+MOD((44-'Assumption Setting'!$H$69)-1,12)))</f>
        <v>0.682184046110956</v>
      </c>
      <c r="AX78" s="86" t="n">
        <f aca="true">IF((45-'Assumption Setting'!$H$69)&lt;1,0,OFFSET($A$77,0,2+13*INT(((45-'Assumption Setting'!$H$69)-1)/12)+MOD((45-'Assumption Setting'!$H$69)-1,12)))</f>
        <v>0.682184046110956</v>
      </c>
      <c r="AY78" s="86" t="n">
        <f aca="true">IF((46-'Assumption Setting'!$H$69)&lt;1,0,OFFSET($A$77,0,2+13*INT(((46-'Assumption Setting'!$H$69)-1)/12)+MOD((46-'Assumption Setting'!$H$69)-1,12)))</f>
        <v>0.682184046110956</v>
      </c>
      <c r="AZ78" s="86" t="n">
        <f aca="true">IF((47-'Assumption Setting'!$H$69)&lt;1,0,OFFSET($A$77,0,2+13*INT(((47-'Assumption Setting'!$H$69)-1)/12)+MOD((47-'Assumption Setting'!$H$69)-1,12)))</f>
        <v>0.682184046110956</v>
      </c>
      <c r="BA78" s="86" t="n">
        <f aca="true">IF((48-'Assumption Setting'!$H$69)&lt;1,0,OFFSET($A$77,0,2+13*INT(((48-'Assumption Setting'!$H$69)-1)/12)+MOD((48-'Assumption Setting'!$H$69)-1,12)))</f>
        <v>0.682184046110956</v>
      </c>
      <c r="BB78" s="80" t="n">
        <f aca="false">SUM(BC78:BN78)</f>
        <v>10.1075151013682</v>
      </c>
      <c r="BC78" s="86" t="n">
        <f aca="true">IF((49-'Assumption Setting'!$H$69)&lt;1,0,OFFSET($A$77,0,2+13*INT(((49-'Assumption Setting'!$H$69)-1)/12)+MOD((49-'Assumption Setting'!$H$69)-1,12)))</f>
        <v>0.682184046110956</v>
      </c>
      <c r="BD78" s="86" t="n">
        <f aca="true">IF((50-'Assumption Setting'!$H$69)&lt;1,0,OFFSET($A$77,0,2+13*INT(((50-'Assumption Setting'!$H$69)-1)/12)+MOD((50-'Assumption Setting'!$H$69)-1,12)))</f>
        <v>0.709471407955394</v>
      </c>
      <c r="BE78" s="86" t="n">
        <f aca="true">IF((51-'Assumption Setting'!$H$69)&lt;1,0,OFFSET($A$77,0,2+13*INT(((51-'Assumption Setting'!$H$69)-1)/12)+MOD((51-'Assumption Setting'!$H$69)-1,12)))</f>
        <v>0.871585964730182</v>
      </c>
      <c r="BF78" s="86" t="n">
        <f aca="true">IF((52-'Assumption Setting'!$H$69)&lt;1,0,OFFSET($A$77,0,2+13*INT(((52-'Assumption Setting'!$H$69)-1)/12)+MOD((52-'Assumption Setting'!$H$69)-1,12)))</f>
        <v>0.871585964730182</v>
      </c>
      <c r="BG78" s="86" t="n">
        <f aca="true">IF((53-'Assumption Setting'!$H$69)&lt;1,0,OFFSET($A$77,0,2+13*INT(((53-'Assumption Setting'!$H$69)-1)/12)+MOD((53-'Assumption Setting'!$H$69)-1,12)))</f>
        <v>0.871585964730182</v>
      </c>
      <c r="BH78" s="86" t="n">
        <f aca="true">IF((54-'Assumption Setting'!$H$69)&lt;1,0,OFFSET($A$77,0,2+13*INT(((54-'Assumption Setting'!$H$69)-1)/12)+MOD((54-'Assumption Setting'!$H$69)-1,12)))</f>
        <v>0.871585964730182</v>
      </c>
      <c r="BI78" s="86" t="n">
        <f aca="true">IF((55-'Assumption Setting'!$H$69)&lt;1,0,OFFSET($A$77,0,2+13*INT(((55-'Assumption Setting'!$H$69)-1)/12)+MOD((55-'Assumption Setting'!$H$69)-1,12)))</f>
        <v>0.871585964730182</v>
      </c>
      <c r="BJ78" s="86" t="n">
        <f aca="true">IF((56-'Assumption Setting'!$H$69)&lt;1,0,OFFSET($A$77,0,2+13*INT(((56-'Assumption Setting'!$H$69)-1)/12)+MOD((56-'Assumption Setting'!$H$69)-1,12)))</f>
        <v>0.871585964730182</v>
      </c>
      <c r="BK78" s="86" t="n">
        <f aca="true">IF((57-'Assumption Setting'!$H$69)&lt;1,0,OFFSET($A$77,0,2+13*INT(((57-'Assumption Setting'!$H$69)-1)/12)+MOD((57-'Assumption Setting'!$H$69)-1,12)))</f>
        <v>0.871585964730182</v>
      </c>
      <c r="BL78" s="86" t="n">
        <f aca="true">IF((58-'Assumption Setting'!$H$69)&lt;1,0,OFFSET($A$77,0,2+13*INT(((58-'Assumption Setting'!$H$69)-1)/12)+MOD((58-'Assumption Setting'!$H$69)-1,12)))</f>
        <v>0.871585964730182</v>
      </c>
      <c r="BM78" s="86" t="n">
        <f aca="true">IF((59-'Assumption Setting'!$H$69)&lt;1,0,OFFSET($A$77,0,2+13*INT(((59-'Assumption Setting'!$H$69)-1)/12)+MOD((59-'Assumption Setting'!$H$69)-1,12)))</f>
        <v>0.871585964730182</v>
      </c>
      <c r="BN78" s="86" t="n">
        <f aca="true">IF((60-'Assumption Setting'!$H$69)&lt;1,0,OFFSET($A$77,0,2+13*INT(((60-'Assumption Setting'!$H$69)-1)/12)+MOD((60-'Assumption Setting'!$H$69)-1,12)))</f>
        <v>0.871585964730182</v>
      </c>
    </row>
    <row r="79" customFormat="false" ht="15" hidden="false" customHeight="false" outlineLevel="0" collapsed="false">
      <c r="A79" s="18" t="s">
        <v>281</v>
      </c>
      <c r="B79" s="80" t="n">
        <f aca="false">SUM(C79:N79)</f>
        <v>54.8014839263776</v>
      </c>
      <c r="C79" s="83" t="n">
        <f aca="false">C68*'Assumption Setting'!$C$70</f>
        <v>4.56679032719814</v>
      </c>
      <c r="D79" s="83" t="n">
        <f aca="false">D68*'Assumption Setting'!$C$70</f>
        <v>4.56679032719814</v>
      </c>
      <c r="E79" s="83" t="n">
        <f aca="false">E68*'Assumption Setting'!$C$70</f>
        <v>4.56679032719814</v>
      </c>
      <c r="F79" s="83" t="n">
        <f aca="false">F68*'Assumption Setting'!$C$70</f>
        <v>4.56679032719814</v>
      </c>
      <c r="G79" s="83" t="n">
        <f aca="false">G68*'Assumption Setting'!$C$70</f>
        <v>4.56679032719814</v>
      </c>
      <c r="H79" s="83" t="n">
        <f aca="false">H68*'Assumption Setting'!$C$70</f>
        <v>4.56679032719814</v>
      </c>
      <c r="I79" s="83" t="n">
        <f aca="false">I68*'Assumption Setting'!$C$70</f>
        <v>4.56679032719814</v>
      </c>
      <c r="J79" s="83" t="n">
        <f aca="false">J68*'Assumption Setting'!$C$70</f>
        <v>4.56679032719814</v>
      </c>
      <c r="K79" s="83" t="n">
        <f aca="false">K68*'Assumption Setting'!$C$70</f>
        <v>4.56679032719814</v>
      </c>
      <c r="L79" s="83" t="n">
        <f aca="false">L68*'Assumption Setting'!$C$70</f>
        <v>4.56679032719814</v>
      </c>
      <c r="M79" s="83" t="n">
        <f aca="false">M68*'Assumption Setting'!$C$70</f>
        <v>4.56679032719814</v>
      </c>
      <c r="N79" s="83" t="n">
        <f aca="false">N68*'Assumption Setting'!$C$70</f>
        <v>4.56679032719814</v>
      </c>
      <c r="O79" s="80" t="n">
        <f aca="false">SUM(P79:AA79)</f>
        <v>84.1736773755524</v>
      </c>
      <c r="P79" s="83" t="n">
        <f aca="false">P68*'Assumption Setting'!$C$70</f>
        <v>7.01447311462937</v>
      </c>
      <c r="Q79" s="83" t="n">
        <f aca="false">Q68*'Assumption Setting'!$C$70</f>
        <v>7.01447311462937</v>
      </c>
      <c r="R79" s="83" t="n">
        <f aca="false">R68*'Assumption Setting'!$C$70</f>
        <v>7.01447311462937</v>
      </c>
      <c r="S79" s="83" t="n">
        <f aca="false">S68*'Assumption Setting'!$C$70</f>
        <v>7.01447311462937</v>
      </c>
      <c r="T79" s="83" t="n">
        <f aca="false">T68*'Assumption Setting'!$C$70</f>
        <v>7.01447311462937</v>
      </c>
      <c r="U79" s="83" t="n">
        <f aca="false">U68*'Assumption Setting'!$C$70</f>
        <v>7.01447311462937</v>
      </c>
      <c r="V79" s="83" t="n">
        <f aca="false">V68*'Assumption Setting'!$C$70</f>
        <v>7.01447311462937</v>
      </c>
      <c r="W79" s="83" t="n">
        <f aca="false">W68*'Assumption Setting'!$C$70</f>
        <v>7.01447311462937</v>
      </c>
      <c r="X79" s="83" t="n">
        <f aca="false">X68*'Assumption Setting'!$C$70</f>
        <v>7.01447311462937</v>
      </c>
      <c r="Y79" s="83" t="n">
        <f aca="false">Y68*'Assumption Setting'!$C$70</f>
        <v>7.01447311462937</v>
      </c>
      <c r="Z79" s="83" t="n">
        <f aca="false">Z68*'Assumption Setting'!$C$70</f>
        <v>7.01447311462937</v>
      </c>
      <c r="AA79" s="83" t="n">
        <f aca="false">AA68*'Assumption Setting'!$C$70</f>
        <v>7.01447311462937</v>
      </c>
      <c r="AB79" s="80" t="n">
        <f aca="false">SUM(AC79:AN79)</f>
        <v>126.244068869371</v>
      </c>
      <c r="AC79" s="83" t="n">
        <f aca="false">AC68*'Assumption Setting'!$C$70</f>
        <v>10.5203390724476</v>
      </c>
      <c r="AD79" s="83" t="n">
        <f aca="false">AD68*'Assumption Setting'!$C$70</f>
        <v>10.5203390724476</v>
      </c>
      <c r="AE79" s="83" t="n">
        <f aca="false">AE68*'Assumption Setting'!$C$70</f>
        <v>10.5203390724476</v>
      </c>
      <c r="AF79" s="83" t="n">
        <f aca="false">AF68*'Assumption Setting'!$C$70</f>
        <v>10.5203390724476</v>
      </c>
      <c r="AG79" s="83" t="n">
        <f aca="false">AG68*'Assumption Setting'!$C$70</f>
        <v>10.5203390724476</v>
      </c>
      <c r="AH79" s="83" t="n">
        <f aca="false">AH68*'Assumption Setting'!$C$70</f>
        <v>10.5203390724476</v>
      </c>
      <c r="AI79" s="83" t="n">
        <f aca="false">AI68*'Assumption Setting'!$C$70</f>
        <v>10.5203390724476</v>
      </c>
      <c r="AJ79" s="83" t="n">
        <f aca="false">AJ68*'Assumption Setting'!$C$70</f>
        <v>10.5203390724476</v>
      </c>
      <c r="AK79" s="83" t="n">
        <f aca="false">AK68*'Assumption Setting'!$C$70</f>
        <v>10.5203390724476</v>
      </c>
      <c r="AL79" s="83" t="n">
        <f aca="false">AL68*'Assumption Setting'!$C$70</f>
        <v>10.5203390724476</v>
      </c>
      <c r="AM79" s="83" t="n">
        <f aca="false">AM68*'Assumption Setting'!$C$70</f>
        <v>10.5203390724476</v>
      </c>
      <c r="AN79" s="83" t="n">
        <f aca="false">AN68*'Assumption Setting'!$C$70</f>
        <v>10.5203390724476</v>
      </c>
      <c r="AO79" s="80" t="n">
        <f aca="false">SUM(AP79:BA79)</f>
        <v>163.724171066629</v>
      </c>
      <c r="AP79" s="83" t="n">
        <f aca="false">AP68*'Assumption Setting'!$C$70</f>
        <v>13.6436809222191</v>
      </c>
      <c r="AQ79" s="83" t="n">
        <f aca="false">AQ68*'Assumption Setting'!$C$70</f>
        <v>13.6436809222191</v>
      </c>
      <c r="AR79" s="83" t="n">
        <f aca="false">AR68*'Assumption Setting'!$C$70</f>
        <v>13.6436809222191</v>
      </c>
      <c r="AS79" s="83" t="n">
        <f aca="false">AS68*'Assumption Setting'!$C$70</f>
        <v>13.6436809222191</v>
      </c>
      <c r="AT79" s="83" t="n">
        <f aca="false">AT68*'Assumption Setting'!$C$70</f>
        <v>13.6436809222191</v>
      </c>
      <c r="AU79" s="83" t="n">
        <f aca="false">AU68*'Assumption Setting'!$C$70</f>
        <v>13.6436809222191</v>
      </c>
      <c r="AV79" s="83" t="n">
        <f aca="false">AV68*'Assumption Setting'!$C$70</f>
        <v>13.6436809222191</v>
      </c>
      <c r="AW79" s="83" t="n">
        <f aca="false">AW68*'Assumption Setting'!$C$70</f>
        <v>13.6436809222191</v>
      </c>
      <c r="AX79" s="83" t="n">
        <f aca="false">AX68*'Assumption Setting'!$C$70</f>
        <v>13.6436809222191</v>
      </c>
      <c r="AY79" s="83" t="n">
        <f aca="false">AY68*'Assumption Setting'!$C$70</f>
        <v>13.6436809222191</v>
      </c>
      <c r="AZ79" s="83" t="n">
        <f aca="false">AZ68*'Assumption Setting'!$C$70</f>
        <v>13.6436809222191</v>
      </c>
      <c r="BA79" s="83" t="n">
        <f aca="false">BA68*'Assumption Setting'!$C$70</f>
        <v>13.6436809222191</v>
      </c>
      <c r="BB79" s="80" t="n">
        <f aca="false">SUM(BC79:BN79)</f>
        <v>201.135222630042</v>
      </c>
      <c r="BC79" s="83" t="n">
        <f aca="false">BC68*'Assumption Setting'!$C$70</f>
        <v>16.7612685525035</v>
      </c>
      <c r="BD79" s="83" t="n">
        <f aca="false">BD68*'Assumption Setting'!$C$70</f>
        <v>16.7612685525035</v>
      </c>
      <c r="BE79" s="83" t="n">
        <f aca="false">BE68*'Assumption Setting'!$C$70</f>
        <v>16.7612685525035</v>
      </c>
      <c r="BF79" s="83" t="n">
        <f aca="false">BF68*'Assumption Setting'!$C$70</f>
        <v>16.7612685525035</v>
      </c>
      <c r="BG79" s="83" t="n">
        <f aca="false">BG68*'Assumption Setting'!$C$70</f>
        <v>16.7612685525035</v>
      </c>
      <c r="BH79" s="83" t="n">
        <f aca="false">BH68*'Assumption Setting'!$C$70</f>
        <v>16.7612685525035</v>
      </c>
      <c r="BI79" s="83" t="n">
        <f aca="false">BI68*'Assumption Setting'!$C$70</f>
        <v>16.7612685525035</v>
      </c>
      <c r="BJ79" s="83" t="n">
        <f aca="false">BJ68*'Assumption Setting'!$C$70</f>
        <v>16.7612685525035</v>
      </c>
      <c r="BK79" s="83" t="n">
        <f aca="false">BK68*'Assumption Setting'!$C$70</f>
        <v>16.7612685525035</v>
      </c>
      <c r="BL79" s="83" t="n">
        <f aca="false">BL68*'Assumption Setting'!$C$70</f>
        <v>16.7612685525035</v>
      </c>
      <c r="BM79" s="83" t="n">
        <f aca="false">BM68*'Assumption Setting'!$C$70</f>
        <v>16.7612685525035</v>
      </c>
      <c r="BN79" s="83" t="n">
        <f aca="false">BN68*'Assumption Setting'!$C$70</f>
        <v>16.7612685525035</v>
      </c>
    </row>
    <row r="80" customFormat="false" ht="15" hidden="false" customHeight="false" outlineLevel="0" collapsed="false">
      <c r="A80" s="12" t="s">
        <v>616</v>
      </c>
      <c r="B80" s="80" t="n">
        <f aca="false">SUM(C80:N80)</f>
        <v>16.4404451779133</v>
      </c>
      <c r="C80" s="81" t="n">
        <f aca="false">C79*'Assumption Setting'!$D$70</f>
        <v>1.37003709815944</v>
      </c>
      <c r="D80" s="81" t="n">
        <f aca="false">D79*'Assumption Setting'!$D$70</f>
        <v>1.37003709815944</v>
      </c>
      <c r="E80" s="81" t="n">
        <f aca="false">E79*'Assumption Setting'!$D$70</f>
        <v>1.37003709815944</v>
      </c>
      <c r="F80" s="81" t="n">
        <f aca="false">F79*'Assumption Setting'!$D$70</f>
        <v>1.37003709815944</v>
      </c>
      <c r="G80" s="81" t="n">
        <f aca="false">G79*'Assumption Setting'!$D$70</f>
        <v>1.37003709815944</v>
      </c>
      <c r="H80" s="81" t="n">
        <f aca="false">H79*'Assumption Setting'!$D$70</f>
        <v>1.37003709815944</v>
      </c>
      <c r="I80" s="81" t="n">
        <f aca="false">I79*'Assumption Setting'!$D$70</f>
        <v>1.37003709815944</v>
      </c>
      <c r="J80" s="81" t="n">
        <f aca="false">J79*'Assumption Setting'!$D$70</f>
        <v>1.37003709815944</v>
      </c>
      <c r="K80" s="81" t="n">
        <f aca="false">K79*'Assumption Setting'!$D$70</f>
        <v>1.37003709815944</v>
      </c>
      <c r="L80" s="81" t="n">
        <f aca="false">L79*'Assumption Setting'!$D$70</f>
        <v>1.37003709815944</v>
      </c>
      <c r="M80" s="81" t="n">
        <f aca="false">M79*'Assumption Setting'!$D$70</f>
        <v>1.37003709815944</v>
      </c>
      <c r="N80" s="81" t="n">
        <f aca="false">N79*'Assumption Setting'!$D$70</f>
        <v>1.37003709815944</v>
      </c>
      <c r="O80" s="80" t="n">
        <f aca="false">SUM(P80:AA80)</f>
        <v>25.2521032126657</v>
      </c>
      <c r="P80" s="81" t="n">
        <f aca="false">P79*'Assumption Setting'!$D$70</f>
        <v>2.10434193438881</v>
      </c>
      <c r="Q80" s="81" t="n">
        <f aca="false">Q79*'Assumption Setting'!$D$70</f>
        <v>2.10434193438881</v>
      </c>
      <c r="R80" s="81" t="n">
        <f aca="false">R79*'Assumption Setting'!$D$70</f>
        <v>2.10434193438881</v>
      </c>
      <c r="S80" s="81" t="n">
        <f aca="false">S79*'Assumption Setting'!$D$70</f>
        <v>2.10434193438881</v>
      </c>
      <c r="T80" s="81" t="n">
        <f aca="false">T79*'Assumption Setting'!$D$70</f>
        <v>2.10434193438881</v>
      </c>
      <c r="U80" s="81" t="n">
        <f aca="false">U79*'Assumption Setting'!$D$70</f>
        <v>2.10434193438881</v>
      </c>
      <c r="V80" s="81" t="n">
        <f aca="false">V79*'Assumption Setting'!$D$70</f>
        <v>2.10434193438881</v>
      </c>
      <c r="W80" s="81" t="n">
        <f aca="false">W79*'Assumption Setting'!$D$70</f>
        <v>2.10434193438881</v>
      </c>
      <c r="X80" s="81" t="n">
        <f aca="false">X79*'Assumption Setting'!$D$70</f>
        <v>2.10434193438881</v>
      </c>
      <c r="Y80" s="81" t="n">
        <f aca="false">Y79*'Assumption Setting'!$D$70</f>
        <v>2.10434193438881</v>
      </c>
      <c r="Z80" s="81" t="n">
        <f aca="false">Z79*'Assumption Setting'!$D$70</f>
        <v>2.10434193438881</v>
      </c>
      <c r="AA80" s="81" t="n">
        <f aca="false">AA79*'Assumption Setting'!$D$70</f>
        <v>2.10434193438881</v>
      </c>
      <c r="AB80" s="80" t="n">
        <f aca="false">SUM(AC80:AN80)</f>
        <v>37.8732206608112</v>
      </c>
      <c r="AC80" s="81" t="n">
        <f aca="false">AC79*'Assumption Setting'!$D$70</f>
        <v>3.15610172173427</v>
      </c>
      <c r="AD80" s="81" t="n">
        <f aca="false">AD79*'Assumption Setting'!$D$70</f>
        <v>3.15610172173427</v>
      </c>
      <c r="AE80" s="81" t="n">
        <f aca="false">AE79*'Assumption Setting'!$D$70</f>
        <v>3.15610172173427</v>
      </c>
      <c r="AF80" s="81" t="n">
        <f aca="false">AF79*'Assumption Setting'!$D$70</f>
        <v>3.15610172173427</v>
      </c>
      <c r="AG80" s="81" t="n">
        <f aca="false">AG79*'Assumption Setting'!$D$70</f>
        <v>3.15610172173427</v>
      </c>
      <c r="AH80" s="81" t="n">
        <f aca="false">AH79*'Assumption Setting'!$D$70</f>
        <v>3.15610172173427</v>
      </c>
      <c r="AI80" s="81" t="n">
        <f aca="false">AI79*'Assumption Setting'!$D$70</f>
        <v>3.15610172173427</v>
      </c>
      <c r="AJ80" s="81" t="n">
        <f aca="false">AJ79*'Assumption Setting'!$D$70</f>
        <v>3.15610172173427</v>
      </c>
      <c r="AK80" s="81" t="n">
        <f aca="false">AK79*'Assumption Setting'!$D$70</f>
        <v>3.15610172173427</v>
      </c>
      <c r="AL80" s="81" t="n">
        <f aca="false">AL79*'Assumption Setting'!$D$70</f>
        <v>3.15610172173427</v>
      </c>
      <c r="AM80" s="81" t="n">
        <f aca="false">AM79*'Assumption Setting'!$D$70</f>
        <v>3.15610172173427</v>
      </c>
      <c r="AN80" s="81" t="n">
        <f aca="false">AN79*'Assumption Setting'!$D$70</f>
        <v>3.15610172173427</v>
      </c>
      <c r="AO80" s="80" t="n">
        <f aca="false">SUM(AP80:BA80)</f>
        <v>49.1172513199888</v>
      </c>
      <c r="AP80" s="81" t="n">
        <f aca="false">AP79*'Assumption Setting'!$D$70</f>
        <v>4.09310427666574</v>
      </c>
      <c r="AQ80" s="81" t="n">
        <f aca="false">AQ79*'Assumption Setting'!$D$70</f>
        <v>4.09310427666574</v>
      </c>
      <c r="AR80" s="81" t="n">
        <f aca="false">AR79*'Assumption Setting'!$D$70</f>
        <v>4.09310427666574</v>
      </c>
      <c r="AS80" s="81" t="n">
        <f aca="false">AS79*'Assumption Setting'!$D$70</f>
        <v>4.09310427666574</v>
      </c>
      <c r="AT80" s="81" t="n">
        <f aca="false">AT79*'Assumption Setting'!$D$70</f>
        <v>4.09310427666574</v>
      </c>
      <c r="AU80" s="81" t="n">
        <f aca="false">AU79*'Assumption Setting'!$D$70</f>
        <v>4.09310427666574</v>
      </c>
      <c r="AV80" s="81" t="n">
        <f aca="false">AV79*'Assumption Setting'!$D$70</f>
        <v>4.09310427666574</v>
      </c>
      <c r="AW80" s="81" t="n">
        <f aca="false">AW79*'Assumption Setting'!$D$70</f>
        <v>4.09310427666574</v>
      </c>
      <c r="AX80" s="81" t="n">
        <f aca="false">AX79*'Assumption Setting'!$D$70</f>
        <v>4.09310427666574</v>
      </c>
      <c r="AY80" s="81" t="n">
        <f aca="false">AY79*'Assumption Setting'!$D$70</f>
        <v>4.09310427666574</v>
      </c>
      <c r="AZ80" s="81" t="n">
        <f aca="false">AZ79*'Assumption Setting'!$D$70</f>
        <v>4.09310427666574</v>
      </c>
      <c r="BA80" s="81" t="n">
        <f aca="false">BA79*'Assumption Setting'!$D$70</f>
        <v>4.09310427666574</v>
      </c>
      <c r="BB80" s="80" t="n">
        <f aca="false">SUM(BC80:BN80)</f>
        <v>60.3405667890126</v>
      </c>
      <c r="BC80" s="81" t="n">
        <f aca="false">BC79*'Assumption Setting'!$D$70</f>
        <v>5.02838056575105</v>
      </c>
      <c r="BD80" s="81" t="n">
        <f aca="false">BD79*'Assumption Setting'!$D$70</f>
        <v>5.02838056575105</v>
      </c>
      <c r="BE80" s="81" t="n">
        <f aca="false">BE79*'Assumption Setting'!$D$70</f>
        <v>5.02838056575105</v>
      </c>
      <c r="BF80" s="81" t="n">
        <f aca="false">BF79*'Assumption Setting'!$D$70</f>
        <v>5.02838056575105</v>
      </c>
      <c r="BG80" s="81" t="n">
        <f aca="false">BG79*'Assumption Setting'!$D$70</f>
        <v>5.02838056575105</v>
      </c>
      <c r="BH80" s="81" t="n">
        <f aca="false">BH79*'Assumption Setting'!$D$70</f>
        <v>5.02838056575105</v>
      </c>
      <c r="BI80" s="81" t="n">
        <f aca="false">BI79*'Assumption Setting'!$D$70</f>
        <v>5.02838056575105</v>
      </c>
      <c r="BJ80" s="81" t="n">
        <f aca="false">BJ79*'Assumption Setting'!$D$70</f>
        <v>5.02838056575105</v>
      </c>
      <c r="BK80" s="81" t="n">
        <f aca="false">BK79*'Assumption Setting'!$D$70</f>
        <v>5.02838056575105</v>
      </c>
      <c r="BL80" s="81" t="n">
        <f aca="false">BL79*'Assumption Setting'!$D$70</f>
        <v>5.02838056575105</v>
      </c>
      <c r="BM80" s="81" t="n">
        <f aca="false">BM79*'Assumption Setting'!$D$70</f>
        <v>5.02838056575105</v>
      </c>
      <c r="BN80" s="81" t="n">
        <f aca="false">BN79*'Assumption Setting'!$D$70</f>
        <v>5.02838056575105</v>
      </c>
    </row>
    <row r="81" customFormat="false" ht="15" hidden="false" customHeight="false" outlineLevel="0" collapsed="false">
      <c r="A81" s="12" t="s">
        <v>617</v>
      </c>
      <c r="B81" s="80" t="n">
        <f aca="false">SUM(C81:N81)</f>
        <v>5.75415581226965</v>
      </c>
      <c r="C81" s="81" t="n">
        <f aca="false">C80*'Assumption Setting'!$E$70</f>
        <v>0.479512984355804</v>
      </c>
      <c r="D81" s="81" t="n">
        <f aca="false">D80*'Assumption Setting'!$E$70</f>
        <v>0.479512984355804</v>
      </c>
      <c r="E81" s="81" t="n">
        <f aca="false">E80*'Assumption Setting'!$E$70</f>
        <v>0.479512984355804</v>
      </c>
      <c r="F81" s="81" t="n">
        <f aca="false">F80*'Assumption Setting'!$E$70</f>
        <v>0.479512984355804</v>
      </c>
      <c r="G81" s="81" t="n">
        <f aca="false">G80*'Assumption Setting'!$E$70</f>
        <v>0.479512984355804</v>
      </c>
      <c r="H81" s="81" t="n">
        <f aca="false">H80*'Assumption Setting'!$E$70</f>
        <v>0.479512984355804</v>
      </c>
      <c r="I81" s="81" t="n">
        <f aca="false">I80*'Assumption Setting'!$E$70</f>
        <v>0.479512984355804</v>
      </c>
      <c r="J81" s="81" t="n">
        <f aca="false">J80*'Assumption Setting'!$E$70</f>
        <v>0.479512984355804</v>
      </c>
      <c r="K81" s="81" t="n">
        <f aca="false">K80*'Assumption Setting'!$E$70</f>
        <v>0.479512984355804</v>
      </c>
      <c r="L81" s="81" t="n">
        <f aca="false">L80*'Assumption Setting'!$E$70</f>
        <v>0.479512984355804</v>
      </c>
      <c r="M81" s="81" t="n">
        <f aca="false">M80*'Assumption Setting'!$E$70</f>
        <v>0.479512984355804</v>
      </c>
      <c r="N81" s="81" t="n">
        <f aca="false">N80*'Assumption Setting'!$E$70</f>
        <v>0.479512984355804</v>
      </c>
      <c r="O81" s="80" t="n">
        <f aca="false">SUM(P81:AA81)</f>
        <v>8.83823612443301</v>
      </c>
      <c r="P81" s="81" t="n">
        <f aca="false">P80*'Assumption Setting'!$E$70</f>
        <v>0.736519677036084</v>
      </c>
      <c r="Q81" s="81" t="n">
        <f aca="false">Q80*'Assumption Setting'!$E$70</f>
        <v>0.736519677036084</v>
      </c>
      <c r="R81" s="81" t="n">
        <f aca="false">R80*'Assumption Setting'!$E$70</f>
        <v>0.736519677036084</v>
      </c>
      <c r="S81" s="81" t="n">
        <f aca="false">S80*'Assumption Setting'!$E$70</f>
        <v>0.736519677036084</v>
      </c>
      <c r="T81" s="81" t="n">
        <f aca="false">T80*'Assumption Setting'!$E$70</f>
        <v>0.736519677036084</v>
      </c>
      <c r="U81" s="81" t="n">
        <f aca="false">U80*'Assumption Setting'!$E$70</f>
        <v>0.736519677036084</v>
      </c>
      <c r="V81" s="81" t="n">
        <f aca="false">V80*'Assumption Setting'!$E$70</f>
        <v>0.736519677036084</v>
      </c>
      <c r="W81" s="81" t="n">
        <f aca="false">W80*'Assumption Setting'!$E$70</f>
        <v>0.736519677036084</v>
      </c>
      <c r="X81" s="81" t="n">
        <f aca="false">X80*'Assumption Setting'!$E$70</f>
        <v>0.736519677036084</v>
      </c>
      <c r="Y81" s="81" t="n">
        <f aca="false">Y80*'Assumption Setting'!$E$70</f>
        <v>0.736519677036084</v>
      </c>
      <c r="Z81" s="81" t="n">
        <f aca="false">Z80*'Assumption Setting'!$E$70</f>
        <v>0.736519677036084</v>
      </c>
      <c r="AA81" s="81" t="n">
        <f aca="false">AA80*'Assumption Setting'!$E$70</f>
        <v>0.736519677036084</v>
      </c>
      <c r="AB81" s="80" t="n">
        <f aca="false">SUM(AC81:AN81)</f>
        <v>13.2556272312839</v>
      </c>
      <c r="AC81" s="81" t="n">
        <f aca="false">AC80*'Assumption Setting'!$E$70</f>
        <v>1.10463560260699</v>
      </c>
      <c r="AD81" s="81" t="n">
        <f aca="false">AD80*'Assumption Setting'!$E$70</f>
        <v>1.10463560260699</v>
      </c>
      <c r="AE81" s="81" t="n">
        <f aca="false">AE80*'Assumption Setting'!$E$70</f>
        <v>1.10463560260699</v>
      </c>
      <c r="AF81" s="81" t="n">
        <f aca="false">AF80*'Assumption Setting'!$E$70</f>
        <v>1.10463560260699</v>
      </c>
      <c r="AG81" s="81" t="n">
        <f aca="false">AG80*'Assumption Setting'!$E$70</f>
        <v>1.10463560260699</v>
      </c>
      <c r="AH81" s="81" t="n">
        <f aca="false">AH80*'Assumption Setting'!$E$70</f>
        <v>1.10463560260699</v>
      </c>
      <c r="AI81" s="81" t="n">
        <f aca="false">AI80*'Assumption Setting'!$E$70</f>
        <v>1.10463560260699</v>
      </c>
      <c r="AJ81" s="81" t="n">
        <f aca="false">AJ80*'Assumption Setting'!$E$70</f>
        <v>1.10463560260699</v>
      </c>
      <c r="AK81" s="81" t="n">
        <f aca="false">AK80*'Assumption Setting'!$E$70</f>
        <v>1.10463560260699</v>
      </c>
      <c r="AL81" s="81" t="n">
        <f aca="false">AL80*'Assumption Setting'!$E$70</f>
        <v>1.10463560260699</v>
      </c>
      <c r="AM81" s="81" t="n">
        <f aca="false">AM80*'Assumption Setting'!$E$70</f>
        <v>1.10463560260699</v>
      </c>
      <c r="AN81" s="81" t="n">
        <f aca="false">AN80*'Assumption Setting'!$E$70</f>
        <v>1.10463560260699</v>
      </c>
      <c r="AO81" s="80" t="n">
        <f aca="false">SUM(AP81:BA81)</f>
        <v>17.1910379619961</v>
      </c>
      <c r="AP81" s="81" t="n">
        <f aca="false">AP80*'Assumption Setting'!$E$70</f>
        <v>1.43258649683301</v>
      </c>
      <c r="AQ81" s="81" t="n">
        <f aca="false">AQ80*'Assumption Setting'!$E$70</f>
        <v>1.43258649683301</v>
      </c>
      <c r="AR81" s="81" t="n">
        <f aca="false">AR80*'Assumption Setting'!$E$70</f>
        <v>1.43258649683301</v>
      </c>
      <c r="AS81" s="81" t="n">
        <f aca="false">AS80*'Assumption Setting'!$E$70</f>
        <v>1.43258649683301</v>
      </c>
      <c r="AT81" s="81" t="n">
        <f aca="false">AT80*'Assumption Setting'!$E$70</f>
        <v>1.43258649683301</v>
      </c>
      <c r="AU81" s="81" t="n">
        <f aca="false">AU80*'Assumption Setting'!$E$70</f>
        <v>1.43258649683301</v>
      </c>
      <c r="AV81" s="81" t="n">
        <f aca="false">AV80*'Assumption Setting'!$E$70</f>
        <v>1.43258649683301</v>
      </c>
      <c r="AW81" s="81" t="n">
        <f aca="false">AW80*'Assumption Setting'!$E$70</f>
        <v>1.43258649683301</v>
      </c>
      <c r="AX81" s="81" t="n">
        <f aca="false">AX80*'Assumption Setting'!$E$70</f>
        <v>1.43258649683301</v>
      </c>
      <c r="AY81" s="81" t="n">
        <f aca="false">AY80*'Assumption Setting'!$E$70</f>
        <v>1.43258649683301</v>
      </c>
      <c r="AZ81" s="81" t="n">
        <f aca="false">AZ80*'Assumption Setting'!$E$70</f>
        <v>1.43258649683301</v>
      </c>
      <c r="BA81" s="81" t="n">
        <f aca="false">BA80*'Assumption Setting'!$E$70</f>
        <v>1.43258649683301</v>
      </c>
      <c r="BB81" s="80" t="n">
        <f aca="false">SUM(BC81:BN81)</f>
        <v>21.1191983761544</v>
      </c>
      <c r="BC81" s="81" t="n">
        <f aca="false">BC80*'Assumption Setting'!$E$70</f>
        <v>1.75993319801287</v>
      </c>
      <c r="BD81" s="81" t="n">
        <f aca="false">BD80*'Assumption Setting'!$E$70</f>
        <v>1.75993319801287</v>
      </c>
      <c r="BE81" s="81" t="n">
        <f aca="false">BE80*'Assumption Setting'!$E$70</f>
        <v>1.75993319801287</v>
      </c>
      <c r="BF81" s="81" t="n">
        <f aca="false">BF80*'Assumption Setting'!$E$70</f>
        <v>1.75993319801287</v>
      </c>
      <c r="BG81" s="81" t="n">
        <f aca="false">BG80*'Assumption Setting'!$E$70</f>
        <v>1.75993319801287</v>
      </c>
      <c r="BH81" s="81" t="n">
        <f aca="false">BH80*'Assumption Setting'!$E$70</f>
        <v>1.75993319801287</v>
      </c>
      <c r="BI81" s="81" t="n">
        <f aca="false">BI80*'Assumption Setting'!$E$70</f>
        <v>1.75993319801287</v>
      </c>
      <c r="BJ81" s="81" t="n">
        <f aca="false">BJ80*'Assumption Setting'!$E$70</f>
        <v>1.75993319801287</v>
      </c>
      <c r="BK81" s="81" t="n">
        <f aca="false">BK80*'Assumption Setting'!$E$70</f>
        <v>1.75993319801287</v>
      </c>
      <c r="BL81" s="81" t="n">
        <f aca="false">BL80*'Assumption Setting'!$E$70</f>
        <v>1.75993319801287</v>
      </c>
      <c r="BM81" s="81" t="n">
        <f aca="false">BM80*'Assumption Setting'!$E$70</f>
        <v>1.75993319801287</v>
      </c>
      <c r="BN81" s="81" t="n">
        <f aca="false">BN80*'Assumption Setting'!$E$70</f>
        <v>1.75993319801287</v>
      </c>
    </row>
    <row r="82" customFormat="false" ht="15" hidden="false" customHeight="false" outlineLevel="0" collapsed="false">
      <c r="A82" s="18" t="s">
        <v>618</v>
      </c>
      <c r="B82" s="80" t="n">
        <f aca="false">SUM(C82:N82)</f>
        <v>1.05492856558277</v>
      </c>
      <c r="C82" s="83" t="n">
        <f aca="true">IF((1-'Assumption Setting'!$G$70)&lt;1,0,OFFSET($A$81,0,2+13*INT(((1-'Assumption Setting'!$G$70)-1)/12)+MOD((1-'Assumption Setting'!$G$70)-1,12)))*'Assumption Setting'!$F$70*'Assumption Setting'!$C$77</f>
        <v>0</v>
      </c>
      <c r="D82" s="83" t="n">
        <f aca="true">IF((2-'Assumption Setting'!$G$70)&lt;1,0,OFFSET($A$81,0,2+13*INT(((2-'Assumption Setting'!$G$70)-1)/12)+MOD((2-'Assumption Setting'!$G$70)-1,12)))*'Assumption Setting'!$F$70*'Assumption Setting'!$C$77</f>
        <v>0.0959025968711609</v>
      </c>
      <c r="E82" s="83" t="n">
        <f aca="true">IF((3-'Assumption Setting'!$G$70)&lt;1,0,OFFSET($A$81,0,2+13*INT(((3-'Assumption Setting'!$G$70)-1)/12)+MOD((3-'Assumption Setting'!$G$70)-1,12)))*'Assumption Setting'!$F$70*'Assumption Setting'!$C$77</f>
        <v>0.0959025968711609</v>
      </c>
      <c r="F82" s="83" t="n">
        <f aca="true">IF((4-'Assumption Setting'!$G$70)&lt;1,0,OFFSET($A$81,0,2+13*INT(((4-'Assumption Setting'!$G$70)-1)/12)+MOD((4-'Assumption Setting'!$G$70)-1,12)))*'Assumption Setting'!$F$70*'Assumption Setting'!$C$77</f>
        <v>0.0959025968711609</v>
      </c>
      <c r="G82" s="83" t="n">
        <f aca="true">IF((5-'Assumption Setting'!$G$70)&lt;1,0,OFFSET($A$81,0,2+13*INT(((5-'Assumption Setting'!$G$70)-1)/12)+MOD((5-'Assumption Setting'!$G$70)-1,12)))*'Assumption Setting'!$F$70*'Assumption Setting'!$C$77</f>
        <v>0.0959025968711609</v>
      </c>
      <c r="H82" s="83" t="n">
        <f aca="true">IF((6-'Assumption Setting'!$G$70)&lt;1,0,OFFSET($A$81,0,2+13*INT(((6-'Assumption Setting'!$G$70)-1)/12)+MOD((6-'Assumption Setting'!$G$70)-1,12)))*'Assumption Setting'!$F$70*'Assumption Setting'!$C$77</f>
        <v>0.0959025968711609</v>
      </c>
      <c r="I82" s="83" t="n">
        <f aca="true">IF((7-'Assumption Setting'!$G$70)&lt;1,0,OFFSET($A$81,0,2+13*INT(((7-'Assumption Setting'!$G$70)-1)/12)+MOD((7-'Assumption Setting'!$G$70)-1,12)))*'Assumption Setting'!$F$70*'Assumption Setting'!$C$77</f>
        <v>0.0959025968711609</v>
      </c>
      <c r="J82" s="83" t="n">
        <f aca="true">IF((8-'Assumption Setting'!$G$70)&lt;1,0,OFFSET($A$81,0,2+13*INT(((8-'Assumption Setting'!$G$70)-1)/12)+MOD((8-'Assumption Setting'!$G$70)-1,12)))*'Assumption Setting'!$F$70*'Assumption Setting'!$C$77</f>
        <v>0.0959025968711609</v>
      </c>
      <c r="K82" s="83" t="n">
        <f aca="true">IF((9-'Assumption Setting'!$G$70)&lt;1,0,OFFSET($A$81,0,2+13*INT(((9-'Assumption Setting'!$G$70)-1)/12)+MOD((9-'Assumption Setting'!$G$70)-1,12)))*'Assumption Setting'!$F$70*'Assumption Setting'!$C$77</f>
        <v>0.0959025968711609</v>
      </c>
      <c r="L82" s="83" t="n">
        <f aca="true">IF((10-'Assumption Setting'!$G$70)&lt;1,0,OFFSET($A$81,0,2+13*INT(((10-'Assumption Setting'!$G$70)-1)/12)+MOD((10-'Assumption Setting'!$G$70)-1,12)))*'Assumption Setting'!$F$70*'Assumption Setting'!$C$77</f>
        <v>0.0959025968711609</v>
      </c>
      <c r="M82" s="83" t="n">
        <f aca="true">IF((11-'Assumption Setting'!$G$70)&lt;1,0,OFFSET($A$81,0,2+13*INT(((11-'Assumption Setting'!$G$70)-1)/12)+MOD((11-'Assumption Setting'!$G$70)-1,12)))*'Assumption Setting'!$F$70*'Assumption Setting'!$C$77</f>
        <v>0.0959025968711609</v>
      </c>
      <c r="N82" s="83" t="n">
        <f aca="true">IF((12-'Assumption Setting'!$G$70)&lt;1,0,OFFSET($A$81,0,2+13*INT(((12-'Assumption Setting'!$G$70)-1)/12)+MOD((12-'Assumption Setting'!$G$70)-1,12)))*'Assumption Setting'!$F$70*'Assumption Setting'!$C$77</f>
        <v>0.0959025968711609</v>
      </c>
      <c r="O82" s="80" t="n">
        <f aca="false">SUM(P82:AA82)</f>
        <v>1.8878704749856</v>
      </c>
      <c r="P82" s="83" t="n">
        <f aca="true">IF((13-'Assumption Setting'!$G$70)&lt;1,0,OFFSET($A$81,0,2+13*INT(((13-'Assumption Setting'!$G$70)-1)/12)+MOD((13-'Assumption Setting'!$G$70)-1,12)))*'Assumption Setting'!$F$70*'Assumption Setting'!$D$77</f>
        <v>0.105492856558277</v>
      </c>
      <c r="Q82" s="83" t="n">
        <f aca="true">IF((14-'Assumption Setting'!$G$70)&lt;1,0,OFFSET($A$81,0,2+13*INT(((14-'Assumption Setting'!$G$70)-1)/12)+MOD((14-'Assumption Setting'!$G$70)-1,12)))*'Assumption Setting'!$F$70*'Assumption Setting'!$D$77</f>
        <v>0.162034328947938</v>
      </c>
      <c r="R82" s="83" t="n">
        <f aca="true">IF((15-'Assumption Setting'!$G$70)&lt;1,0,OFFSET($A$81,0,2+13*INT(((15-'Assumption Setting'!$G$70)-1)/12)+MOD((15-'Assumption Setting'!$G$70)-1,12)))*'Assumption Setting'!$F$70*'Assumption Setting'!$D$77</f>
        <v>0.162034328947938</v>
      </c>
      <c r="S82" s="83" t="n">
        <f aca="true">IF((16-'Assumption Setting'!$G$70)&lt;1,0,OFFSET($A$81,0,2+13*INT(((16-'Assumption Setting'!$G$70)-1)/12)+MOD((16-'Assumption Setting'!$G$70)-1,12)))*'Assumption Setting'!$F$70*'Assumption Setting'!$D$77</f>
        <v>0.162034328947938</v>
      </c>
      <c r="T82" s="83" t="n">
        <f aca="true">IF((17-'Assumption Setting'!$G$70)&lt;1,0,OFFSET($A$81,0,2+13*INT(((17-'Assumption Setting'!$G$70)-1)/12)+MOD((17-'Assumption Setting'!$G$70)-1,12)))*'Assumption Setting'!$F$70*'Assumption Setting'!$D$77</f>
        <v>0.162034328947938</v>
      </c>
      <c r="U82" s="83" t="n">
        <f aca="true">IF((18-'Assumption Setting'!$G$70)&lt;1,0,OFFSET($A$81,0,2+13*INT(((18-'Assumption Setting'!$G$70)-1)/12)+MOD((18-'Assumption Setting'!$G$70)-1,12)))*'Assumption Setting'!$F$70*'Assumption Setting'!$D$77</f>
        <v>0.162034328947938</v>
      </c>
      <c r="V82" s="83" t="n">
        <f aca="true">IF((19-'Assumption Setting'!$G$70)&lt;1,0,OFFSET($A$81,0,2+13*INT(((19-'Assumption Setting'!$G$70)-1)/12)+MOD((19-'Assumption Setting'!$G$70)-1,12)))*'Assumption Setting'!$F$70*'Assumption Setting'!$D$77</f>
        <v>0.162034328947938</v>
      </c>
      <c r="W82" s="83" t="n">
        <f aca="true">IF((20-'Assumption Setting'!$G$70)&lt;1,0,OFFSET($A$81,0,2+13*INT(((20-'Assumption Setting'!$G$70)-1)/12)+MOD((20-'Assumption Setting'!$G$70)-1,12)))*'Assumption Setting'!$F$70*'Assumption Setting'!$D$77</f>
        <v>0.162034328947938</v>
      </c>
      <c r="X82" s="83" t="n">
        <f aca="true">IF((21-'Assumption Setting'!$G$70)&lt;1,0,OFFSET($A$81,0,2+13*INT(((21-'Assumption Setting'!$G$70)-1)/12)+MOD((21-'Assumption Setting'!$G$70)-1,12)))*'Assumption Setting'!$F$70*'Assumption Setting'!$D$77</f>
        <v>0.162034328947938</v>
      </c>
      <c r="Y82" s="83" t="n">
        <f aca="true">IF((22-'Assumption Setting'!$G$70)&lt;1,0,OFFSET($A$81,0,2+13*INT(((22-'Assumption Setting'!$G$70)-1)/12)+MOD((22-'Assumption Setting'!$G$70)-1,12)))*'Assumption Setting'!$F$70*'Assumption Setting'!$D$77</f>
        <v>0.162034328947938</v>
      </c>
      <c r="Z82" s="83" t="n">
        <f aca="true">IF((23-'Assumption Setting'!$G$70)&lt;1,0,OFFSET($A$81,0,2+13*INT(((23-'Assumption Setting'!$G$70)-1)/12)+MOD((23-'Assumption Setting'!$G$70)-1,12)))*'Assumption Setting'!$F$70*'Assumption Setting'!$D$77</f>
        <v>0.162034328947938</v>
      </c>
      <c r="AA82" s="83" t="n">
        <f aca="true">IF((24-'Assumption Setting'!$G$70)&lt;1,0,OFFSET($A$81,0,2+13*INT(((24-'Assumption Setting'!$G$70)-1)/12)+MOD((24-'Assumption Setting'!$G$70)-1,12)))*'Assumption Setting'!$F$70*'Assumption Setting'!$D$77</f>
        <v>0.162034328947938</v>
      </c>
      <c r="AB82" s="80" t="n">
        <f aca="false">SUM(AC82:AN82)</f>
        <v>3.09300271337112</v>
      </c>
      <c r="AC82" s="83" t="n">
        <f aca="true">IF((25-'Assumption Setting'!$G$70)&lt;1,0,OFFSET($A$81,0,2+13*INT(((25-'Assumption Setting'!$G$70)-1)/12)+MOD((25-'Assumption Setting'!$G$70)-1,12)))*'Assumption Setting'!$F$70*'Assumption Setting'!$E$77</f>
        <v>0.17676472248866</v>
      </c>
      <c r="AD82" s="83" t="n">
        <f aca="true">IF((26-'Assumption Setting'!$G$70)&lt;1,0,OFFSET($A$81,0,2+13*INT(((26-'Assumption Setting'!$G$70)-1)/12)+MOD((26-'Assumption Setting'!$G$70)-1,12)))*'Assumption Setting'!$F$70*'Assumption Setting'!$E$77</f>
        <v>0.265112544625678</v>
      </c>
      <c r="AE82" s="83" t="n">
        <f aca="true">IF((27-'Assumption Setting'!$G$70)&lt;1,0,OFFSET($A$81,0,2+13*INT(((27-'Assumption Setting'!$G$70)-1)/12)+MOD((27-'Assumption Setting'!$G$70)-1,12)))*'Assumption Setting'!$F$70*'Assumption Setting'!$E$77</f>
        <v>0.265112544625678</v>
      </c>
      <c r="AF82" s="83" t="n">
        <f aca="true">IF((28-'Assumption Setting'!$G$70)&lt;1,0,OFFSET($A$81,0,2+13*INT(((28-'Assumption Setting'!$G$70)-1)/12)+MOD((28-'Assumption Setting'!$G$70)-1,12)))*'Assumption Setting'!$F$70*'Assumption Setting'!$E$77</f>
        <v>0.265112544625678</v>
      </c>
      <c r="AG82" s="83" t="n">
        <f aca="true">IF((29-'Assumption Setting'!$G$70)&lt;1,0,OFFSET($A$81,0,2+13*INT(((29-'Assumption Setting'!$G$70)-1)/12)+MOD((29-'Assumption Setting'!$G$70)-1,12)))*'Assumption Setting'!$F$70*'Assumption Setting'!$E$77</f>
        <v>0.265112544625678</v>
      </c>
      <c r="AH82" s="83" t="n">
        <f aca="true">IF((30-'Assumption Setting'!$G$70)&lt;1,0,OFFSET($A$81,0,2+13*INT(((30-'Assumption Setting'!$G$70)-1)/12)+MOD((30-'Assumption Setting'!$G$70)-1,12)))*'Assumption Setting'!$F$70*'Assumption Setting'!$E$77</f>
        <v>0.265112544625678</v>
      </c>
      <c r="AI82" s="83" t="n">
        <f aca="true">IF((31-'Assumption Setting'!$G$70)&lt;1,0,OFFSET($A$81,0,2+13*INT(((31-'Assumption Setting'!$G$70)-1)/12)+MOD((31-'Assumption Setting'!$G$70)-1,12)))*'Assumption Setting'!$F$70*'Assumption Setting'!$E$77</f>
        <v>0.265112544625678</v>
      </c>
      <c r="AJ82" s="83" t="n">
        <f aca="true">IF((32-'Assumption Setting'!$G$70)&lt;1,0,OFFSET($A$81,0,2+13*INT(((32-'Assumption Setting'!$G$70)-1)/12)+MOD((32-'Assumption Setting'!$G$70)-1,12)))*'Assumption Setting'!$F$70*'Assumption Setting'!$E$77</f>
        <v>0.265112544625678</v>
      </c>
      <c r="AK82" s="83" t="n">
        <f aca="true">IF((33-'Assumption Setting'!$G$70)&lt;1,0,OFFSET($A$81,0,2+13*INT(((33-'Assumption Setting'!$G$70)-1)/12)+MOD((33-'Assumption Setting'!$G$70)-1,12)))*'Assumption Setting'!$F$70*'Assumption Setting'!$E$77</f>
        <v>0.265112544625678</v>
      </c>
      <c r="AL82" s="83" t="n">
        <f aca="true">IF((34-'Assumption Setting'!$G$70)&lt;1,0,OFFSET($A$81,0,2+13*INT(((34-'Assumption Setting'!$G$70)-1)/12)+MOD((34-'Assumption Setting'!$G$70)-1,12)))*'Assumption Setting'!$F$70*'Assumption Setting'!$E$77</f>
        <v>0.265112544625678</v>
      </c>
      <c r="AM82" s="83" t="n">
        <f aca="true">IF((35-'Assumption Setting'!$G$70)&lt;1,0,OFFSET($A$81,0,2+13*INT(((35-'Assumption Setting'!$G$70)-1)/12)+MOD((35-'Assumption Setting'!$G$70)-1,12)))*'Assumption Setting'!$F$70*'Assumption Setting'!$E$77</f>
        <v>0.265112544625678</v>
      </c>
      <c r="AN82" s="83" t="n">
        <f aca="true">IF((36-'Assumption Setting'!$G$70)&lt;1,0,OFFSET($A$81,0,2+13*INT(((36-'Assumption Setting'!$G$70)-1)/12)+MOD((36-'Assumption Setting'!$G$70)-1,12)))*'Assumption Setting'!$F$70*'Assumption Setting'!$E$77</f>
        <v>0.265112544625678</v>
      </c>
      <c r="AO82" s="80" t="n">
        <f aca="false">SUM(AP82:BA82)</f>
        <v>4.21577176694252</v>
      </c>
      <c r="AP82" s="83" t="n">
        <f aca="true">IF((37-'Assumption Setting'!$G$70)&lt;1,0,OFFSET($A$81,0,2+13*INT(((37-'Assumption Setting'!$G$70)-1)/12)+MOD((37-'Assumption Setting'!$G$70)-1,12)))*'Assumption Setting'!$F$70*'Assumption Setting'!$F$77</f>
        <v>0.276158900651748</v>
      </c>
      <c r="AQ82" s="83" t="n">
        <f aca="true">IF((38-'Assumption Setting'!$G$70)&lt;1,0,OFFSET($A$81,0,2+13*INT(((38-'Assumption Setting'!$G$70)-1)/12)+MOD((38-'Assumption Setting'!$G$70)-1,12)))*'Assumption Setting'!$F$70*'Assumption Setting'!$F$77</f>
        <v>0.358146624208252</v>
      </c>
      <c r="AR82" s="83" t="n">
        <f aca="true">IF((39-'Assumption Setting'!$G$70)&lt;1,0,OFFSET($A$81,0,2+13*INT(((39-'Assumption Setting'!$G$70)-1)/12)+MOD((39-'Assumption Setting'!$G$70)-1,12)))*'Assumption Setting'!$F$70*'Assumption Setting'!$F$77</f>
        <v>0.358146624208252</v>
      </c>
      <c r="AS82" s="83" t="n">
        <f aca="true">IF((40-'Assumption Setting'!$G$70)&lt;1,0,OFFSET($A$81,0,2+13*INT(((40-'Assumption Setting'!$G$70)-1)/12)+MOD((40-'Assumption Setting'!$G$70)-1,12)))*'Assumption Setting'!$F$70*'Assumption Setting'!$F$77</f>
        <v>0.358146624208252</v>
      </c>
      <c r="AT82" s="83" t="n">
        <f aca="true">IF((41-'Assumption Setting'!$G$70)&lt;1,0,OFFSET($A$81,0,2+13*INT(((41-'Assumption Setting'!$G$70)-1)/12)+MOD((41-'Assumption Setting'!$G$70)-1,12)))*'Assumption Setting'!$F$70*'Assumption Setting'!$F$77</f>
        <v>0.358146624208252</v>
      </c>
      <c r="AU82" s="83" t="n">
        <f aca="true">IF((42-'Assumption Setting'!$G$70)&lt;1,0,OFFSET($A$81,0,2+13*INT(((42-'Assumption Setting'!$G$70)-1)/12)+MOD((42-'Assumption Setting'!$G$70)-1,12)))*'Assumption Setting'!$F$70*'Assumption Setting'!$F$77</f>
        <v>0.358146624208252</v>
      </c>
      <c r="AV82" s="83" t="n">
        <f aca="true">IF((43-'Assumption Setting'!$G$70)&lt;1,0,OFFSET($A$81,0,2+13*INT(((43-'Assumption Setting'!$G$70)-1)/12)+MOD((43-'Assumption Setting'!$G$70)-1,12)))*'Assumption Setting'!$F$70*'Assumption Setting'!$F$77</f>
        <v>0.358146624208252</v>
      </c>
      <c r="AW82" s="83" t="n">
        <f aca="true">IF((44-'Assumption Setting'!$G$70)&lt;1,0,OFFSET($A$81,0,2+13*INT(((44-'Assumption Setting'!$G$70)-1)/12)+MOD((44-'Assumption Setting'!$G$70)-1,12)))*'Assumption Setting'!$F$70*'Assumption Setting'!$F$77</f>
        <v>0.358146624208252</v>
      </c>
      <c r="AX82" s="83" t="n">
        <f aca="true">IF((45-'Assumption Setting'!$G$70)&lt;1,0,OFFSET($A$81,0,2+13*INT(((45-'Assumption Setting'!$G$70)-1)/12)+MOD((45-'Assumption Setting'!$G$70)-1,12)))*'Assumption Setting'!$F$70*'Assumption Setting'!$F$77</f>
        <v>0.358146624208252</v>
      </c>
      <c r="AY82" s="83" t="n">
        <f aca="true">IF((46-'Assumption Setting'!$G$70)&lt;1,0,OFFSET($A$81,0,2+13*INT(((46-'Assumption Setting'!$G$70)-1)/12)+MOD((46-'Assumption Setting'!$G$70)-1,12)))*'Assumption Setting'!$F$70*'Assumption Setting'!$F$77</f>
        <v>0.358146624208252</v>
      </c>
      <c r="AZ82" s="83" t="n">
        <f aca="true">IF((47-'Assumption Setting'!$G$70)&lt;1,0,OFFSET($A$81,0,2+13*INT(((47-'Assumption Setting'!$G$70)-1)/12)+MOD((47-'Assumption Setting'!$G$70)-1,12)))*'Assumption Setting'!$F$70*'Assumption Setting'!$F$77</f>
        <v>0.358146624208252</v>
      </c>
      <c r="BA82" s="83" t="n">
        <f aca="true">IF((48-'Assumption Setting'!$G$70)&lt;1,0,OFFSET($A$81,0,2+13*INT(((48-'Assumption Setting'!$G$70)-1)/12)+MOD((48-'Assumption Setting'!$G$70)-1,12)))*'Assumption Setting'!$F$70*'Assumption Setting'!$F$77</f>
        <v>0.358146624208252</v>
      </c>
      <c r="BB82" s="80" t="n">
        <f aca="false">SUM(BC82:BN82)</f>
        <v>5.40588143549338</v>
      </c>
      <c r="BC82" s="83" t="n">
        <f aca="true">IF((49-'Assumption Setting'!$G$70)&lt;1,0,OFFSET($A$81,0,2+13*INT(((49-'Assumption Setting'!$G$70)-1)/12)+MOD((49-'Assumption Setting'!$G$70)-1,12)))*'Assumption Setting'!$F$70*'Assumption Setting'!$G$77</f>
        <v>0.372472489176582</v>
      </c>
      <c r="BD82" s="83" t="n">
        <f aca="true">IF((50-'Assumption Setting'!$G$70)&lt;1,0,OFFSET($A$81,0,2+13*INT(((50-'Assumption Setting'!$G$70)-1)/12)+MOD((50-'Assumption Setting'!$G$70)-1,12)))*'Assumption Setting'!$F$70*'Assumption Setting'!$G$77</f>
        <v>0.457582631483346</v>
      </c>
      <c r="BE82" s="83" t="n">
        <f aca="true">IF((51-'Assumption Setting'!$G$70)&lt;1,0,OFFSET($A$81,0,2+13*INT(((51-'Assumption Setting'!$G$70)-1)/12)+MOD((51-'Assumption Setting'!$G$70)-1,12)))*'Assumption Setting'!$F$70*'Assumption Setting'!$G$77</f>
        <v>0.457582631483346</v>
      </c>
      <c r="BF82" s="83" t="n">
        <f aca="true">IF((52-'Assumption Setting'!$G$70)&lt;1,0,OFFSET($A$81,0,2+13*INT(((52-'Assumption Setting'!$G$70)-1)/12)+MOD((52-'Assumption Setting'!$G$70)-1,12)))*'Assumption Setting'!$F$70*'Assumption Setting'!$G$77</f>
        <v>0.457582631483346</v>
      </c>
      <c r="BG82" s="83" t="n">
        <f aca="true">IF((53-'Assumption Setting'!$G$70)&lt;1,0,OFFSET($A$81,0,2+13*INT(((53-'Assumption Setting'!$G$70)-1)/12)+MOD((53-'Assumption Setting'!$G$70)-1,12)))*'Assumption Setting'!$F$70*'Assumption Setting'!$G$77</f>
        <v>0.457582631483346</v>
      </c>
      <c r="BH82" s="83" t="n">
        <f aca="true">IF((54-'Assumption Setting'!$G$70)&lt;1,0,OFFSET($A$81,0,2+13*INT(((54-'Assumption Setting'!$G$70)-1)/12)+MOD((54-'Assumption Setting'!$G$70)-1,12)))*'Assumption Setting'!$F$70*'Assumption Setting'!$G$77</f>
        <v>0.457582631483346</v>
      </c>
      <c r="BI82" s="83" t="n">
        <f aca="true">IF((55-'Assumption Setting'!$G$70)&lt;1,0,OFFSET($A$81,0,2+13*INT(((55-'Assumption Setting'!$G$70)-1)/12)+MOD((55-'Assumption Setting'!$G$70)-1,12)))*'Assumption Setting'!$F$70*'Assumption Setting'!$G$77</f>
        <v>0.457582631483346</v>
      </c>
      <c r="BJ82" s="83" t="n">
        <f aca="true">IF((56-'Assumption Setting'!$G$70)&lt;1,0,OFFSET($A$81,0,2+13*INT(((56-'Assumption Setting'!$G$70)-1)/12)+MOD((56-'Assumption Setting'!$G$70)-1,12)))*'Assumption Setting'!$F$70*'Assumption Setting'!$G$77</f>
        <v>0.457582631483346</v>
      </c>
      <c r="BK82" s="83" t="n">
        <f aca="true">IF((57-'Assumption Setting'!$G$70)&lt;1,0,OFFSET($A$81,0,2+13*INT(((57-'Assumption Setting'!$G$70)-1)/12)+MOD((57-'Assumption Setting'!$G$70)-1,12)))*'Assumption Setting'!$F$70*'Assumption Setting'!$G$77</f>
        <v>0.457582631483346</v>
      </c>
      <c r="BL82" s="83" t="n">
        <f aca="true">IF((58-'Assumption Setting'!$G$70)&lt;1,0,OFFSET($A$81,0,2+13*INT(((58-'Assumption Setting'!$G$70)-1)/12)+MOD((58-'Assumption Setting'!$G$70)-1,12)))*'Assumption Setting'!$F$70*'Assumption Setting'!$G$77</f>
        <v>0.457582631483346</v>
      </c>
      <c r="BM82" s="83" t="n">
        <f aca="true">IF((59-'Assumption Setting'!$G$70)&lt;1,0,OFFSET($A$81,0,2+13*INT(((59-'Assumption Setting'!$G$70)-1)/12)+MOD((59-'Assumption Setting'!$G$70)-1,12)))*'Assumption Setting'!$F$70*'Assumption Setting'!$G$77</f>
        <v>0.457582631483346</v>
      </c>
      <c r="BN82" s="83" t="n">
        <f aca="true">IF((60-'Assumption Setting'!$G$70)&lt;1,0,OFFSET($A$81,0,2+13*INT(((60-'Assumption Setting'!$G$70)-1)/12)+MOD((60-'Assumption Setting'!$G$70)-1,12)))*'Assumption Setting'!$F$70*'Assumption Setting'!$G$77</f>
        <v>0.457582631483346</v>
      </c>
    </row>
    <row r="83" customFormat="false" ht="15" hidden="false" customHeight="false" outlineLevel="0" collapsed="false">
      <c r="A83" s="69" t="s">
        <v>619</v>
      </c>
      <c r="B83" s="80" t="n">
        <f aca="false">SUM(C83:N83)</f>
        <v>0.767220774969287</v>
      </c>
      <c r="C83" s="86" t="n">
        <f aca="true">IF((1-'Assumption Setting'!$H$70)&lt;1,0,OFFSET($A$82,0,2+13*INT(((1-'Assumption Setting'!$H$70)-1)/12)+MOD((1-'Assumption Setting'!$H$70)-1,12)))</f>
        <v>0</v>
      </c>
      <c r="D83" s="86" t="n">
        <f aca="true">IF((2-'Assumption Setting'!$H$70)&lt;1,0,OFFSET($A$82,0,2+13*INT(((2-'Assumption Setting'!$H$70)-1)/12)+MOD((2-'Assumption Setting'!$H$70)-1,12)))</f>
        <v>0</v>
      </c>
      <c r="E83" s="86" t="n">
        <f aca="true">IF((3-'Assumption Setting'!$H$70)&lt;1,0,OFFSET($A$82,0,2+13*INT(((3-'Assumption Setting'!$H$70)-1)/12)+MOD((3-'Assumption Setting'!$H$70)-1,12)))</f>
        <v>0</v>
      </c>
      <c r="F83" s="86" t="n">
        <f aca="true">IF((4-'Assumption Setting'!$H$70)&lt;1,0,OFFSET($A$82,0,2+13*INT(((4-'Assumption Setting'!$H$70)-1)/12)+MOD((4-'Assumption Setting'!$H$70)-1,12)))</f>
        <v>0</v>
      </c>
      <c r="G83" s="86" t="n">
        <f aca="true">IF((5-'Assumption Setting'!$H$70)&lt;1,0,OFFSET($A$82,0,2+13*INT(((5-'Assumption Setting'!$H$70)-1)/12)+MOD((5-'Assumption Setting'!$H$70)-1,12)))</f>
        <v>0.0959025968711609</v>
      </c>
      <c r="H83" s="86" t="n">
        <f aca="true">IF((6-'Assumption Setting'!$H$70)&lt;1,0,OFFSET($A$82,0,2+13*INT(((6-'Assumption Setting'!$H$70)-1)/12)+MOD((6-'Assumption Setting'!$H$70)-1,12)))</f>
        <v>0.0959025968711609</v>
      </c>
      <c r="I83" s="86" t="n">
        <f aca="true">IF((7-'Assumption Setting'!$H$70)&lt;1,0,OFFSET($A$82,0,2+13*INT(((7-'Assumption Setting'!$H$70)-1)/12)+MOD((7-'Assumption Setting'!$H$70)-1,12)))</f>
        <v>0.0959025968711609</v>
      </c>
      <c r="J83" s="86" t="n">
        <f aca="true">IF((8-'Assumption Setting'!$H$70)&lt;1,0,OFFSET($A$82,0,2+13*INT(((8-'Assumption Setting'!$H$70)-1)/12)+MOD((8-'Assumption Setting'!$H$70)-1,12)))</f>
        <v>0.0959025968711609</v>
      </c>
      <c r="K83" s="86" t="n">
        <f aca="true">IF((9-'Assumption Setting'!$H$70)&lt;1,0,OFFSET($A$82,0,2+13*INT(((9-'Assumption Setting'!$H$70)-1)/12)+MOD((9-'Assumption Setting'!$H$70)-1,12)))</f>
        <v>0.0959025968711609</v>
      </c>
      <c r="L83" s="86" t="n">
        <f aca="true">IF((10-'Assumption Setting'!$H$70)&lt;1,0,OFFSET($A$82,0,2+13*INT(((10-'Assumption Setting'!$H$70)-1)/12)+MOD((10-'Assumption Setting'!$H$70)-1,12)))</f>
        <v>0.0959025968711609</v>
      </c>
      <c r="M83" s="86" t="n">
        <f aca="true">IF((11-'Assumption Setting'!$H$70)&lt;1,0,OFFSET($A$82,0,2+13*INT(((11-'Assumption Setting'!$H$70)-1)/12)+MOD((11-'Assumption Setting'!$H$70)-1,12)))</f>
        <v>0.0959025968711609</v>
      </c>
      <c r="N83" s="86" t="n">
        <f aca="true">IF((12-'Assumption Setting'!$H$70)&lt;1,0,OFFSET($A$82,0,2+13*INT(((12-'Assumption Setting'!$H$70)-1)/12)+MOD((12-'Assumption Setting'!$H$70)-1,12)))</f>
        <v>0.0959025968711609</v>
      </c>
      <c r="O83" s="80" t="n">
        <f aca="false">SUM(P83:AA83)</f>
        <v>1.68947527875527</v>
      </c>
      <c r="P83" s="86" t="n">
        <f aca="true">IF((13-'Assumption Setting'!$H$70)&lt;1,0,OFFSET($A$82,0,2+13*INT(((13-'Assumption Setting'!$H$70)-1)/12)+MOD((13-'Assumption Setting'!$H$70)-1,12)))</f>
        <v>0.0959025968711609</v>
      </c>
      <c r="Q83" s="86" t="n">
        <f aca="true">IF((14-'Assumption Setting'!$H$70)&lt;1,0,OFFSET($A$82,0,2+13*INT(((14-'Assumption Setting'!$H$70)-1)/12)+MOD((14-'Assumption Setting'!$H$70)-1,12)))</f>
        <v>0.0959025968711609</v>
      </c>
      <c r="R83" s="86" t="n">
        <f aca="true">IF((15-'Assumption Setting'!$H$70)&lt;1,0,OFFSET($A$82,0,2+13*INT(((15-'Assumption Setting'!$H$70)-1)/12)+MOD((15-'Assumption Setting'!$H$70)-1,12)))</f>
        <v>0.0959025968711609</v>
      </c>
      <c r="S83" s="86" t="n">
        <f aca="true">IF((16-'Assumption Setting'!$H$70)&lt;1,0,OFFSET($A$82,0,2+13*INT(((16-'Assumption Setting'!$H$70)-1)/12)+MOD((16-'Assumption Setting'!$H$70)-1,12)))</f>
        <v>0.105492856558277</v>
      </c>
      <c r="T83" s="86" t="n">
        <f aca="true">IF((17-'Assumption Setting'!$H$70)&lt;1,0,OFFSET($A$82,0,2+13*INT(((17-'Assumption Setting'!$H$70)-1)/12)+MOD((17-'Assumption Setting'!$H$70)-1,12)))</f>
        <v>0.162034328947938</v>
      </c>
      <c r="U83" s="86" t="n">
        <f aca="true">IF((18-'Assumption Setting'!$H$70)&lt;1,0,OFFSET($A$82,0,2+13*INT(((18-'Assumption Setting'!$H$70)-1)/12)+MOD((18-'Assumption Setting'!$H$70)-1,12)))</f>
        <v>0.162034328947938</v>
      </c>
      <c r="V83" s="86" t="n">
        <f aca="true">IF((19-'Assumption Setting'!$H$70)&lt;1,0,OFFSET($A$82,0,2+13*INT(((19-'Assumption Setting'!$H$70)-1)/12)+MOD((19-'Assumption Setting'!$H$70)-1,12)))</f>
        <v>0.162034328947938</v>
      </c>
      <c r="W83" s="86" t="n">
        <f aca="true">IF((20-'Assumption Setting'!$H$70)&lt;1,0,OFFSET($A$82,0,2+13*INT(((20-'Assumption Setting'!$H$70)-1)/12)+MOD((20-'Assumption Setting'!$H$70)-1,12)))</f>
        <v>0.162034328947938</v>
      </c>
      <c r="X83" s="86" t="n">
        <f aca="true">IF((21-'Assumption Setting'!$H$70)&lt;1,0,OFFSET($A$82,0,2+13*INT(((21-'Assumption Setting'!$H$70)-1)/12)+MOD((21-'Assumption Setting'!$H$70)-1,12)))</f>
        <v>0.162034328947938</v>
      </c>
      <c r="Y83" s="86" t="n">
        <f aca="true">IF((22-'Assumption Setting'!$H$70)&lt;1,0,OFFSET($A$82,0,2+13*INT(((22-'Assumption Setting'!$H$70)-1)/12)+MOD((22-'Assumption Setting'!$H$70)-1,12)))</f>
        <v>0.162034328947938</v>
      </c>
      <c r="Z83" s="86" t="n">
        <f aca="true">IF((23-'Assumption Setting'!$H$70)&lt;1,0,OFFSET($A$82,0,2+13*INT(((23-'Assumption Setting'!$H$70)-1)/12)+MOD((23-'Assumption Setting'!$H$70)-1,12)))</f>
        <v>0.162034328947938</v>
      </c>
      <c r="AA83" s="86" t="n">
        <f aca="true">IF((24-'Assumption Setting'!$H$70)&lt;1,0,OFFSET($A$82,0,2+13*INT(((24-'Assumption Setting'!$H$70)-1)/12)+MOD((24-'Assumption Setting'!$H$70)-1,12)))</f>
        <v>0.162034328947938</v>
      </c>
      <c r="AB83" s="80" t="n">
        <f aca="false">SUM(AC83:AN83)</f>
        <v>2.7837680663379</v>
      </c>
      <c r="AC83" s="86" t="n">
        <f aca="true">IF((25-'Assumption Setting'!$H$70)&lt;1,0,OFFSET($A$82,0,2+13*INT(((25-'Assumption Setting'!$H$70)-1)/12)+MOD((25-'Assumption Setting'!$H$70)-1,12)))</f>
        <v>0.162034328947938</v>
      </c>
      <c r="AD83" s="86" t="n">
        <f aca="true">IF((26-'Assumption Setting'!$H$70)&lt;1,0,OFFSET($A$82,0,2+13*INT(((26-'Assumption Setting'!$H$70)-1)/12)+MOD((26-'Assumption Setting'!$H$70)-1,12)))</f>
        <v>0.162034328947938</v>
      </c>
      <c r="AE83" s="86" t="n">
        <f aca="true">IF((27-'Assumption Setting'!$H$70)&lt;1,0,OFFSET($A$82,0,2+13*INT(((27-'Assumption Setting'!$H$70)-1)/12)+MOD((27-'Assumption Setting'!$H$70)-1,12)))</f>
        <v>0.162034328947938</v>
      </c>
      <c r="AF83" s="86" t="n">
        <f aca="true">IF((28-'Assumption Setting'!$H$70)&lt;1,0,OFFSET($A$82,0,2+13*INT(((28-'Assumption Setting'!$H$70)-1)/12)+MOD((28-'Assumption Setting'!$H$70)-1,12)))</f>
        <v>0.17676472248866</v>
      </c>
      <c r="AG83" s="86" t="n">
        <f aca="true">IF((29-'Assumption Setting'!$H$70)&lt;1,0,OFFSET($A$82,0,2+13*INT(((29-'Assumption Setting'!$H$70)-1)/12)+MOD((29-'Assumption Setting'!$H$70)-1,12)))</f>
        <v>0.265112544625678</v>
      </c>
      <c r="AH83" s="86" t="n">
        <f aca="true">IF((30-'Assumption Setting'!$H$70)&lt;1,0,OFFSET($A$82,0,2+13*INT(((30-'Assumption Setting'!$H$70)-1)/12)+MOD((30-'Assumption Setting'!$H$70)-1,12)))</f>
        <v>0.265112544625678</v>
      </c>
      <c r="AI83" s="86" t="n">
        <f aca="true">IF((31-'Assumption Setting'!$H$70)&lt;1,0,OFFSET($A$82,0,2+13*INT(((31-'Assumption Setting'!$H$70)-1)/12)+MOD((31-'Assumption Setting'!$H$70)-1,12)))</f>
        <v>0.265112544625678</v>
      </c>
      <c r="AJ83" s="86" t="n">
        <f aca="true">IF((32-'Assumption Setting'!$H$70)&lt;1,0,OFFSET($A$82,0,2+13*INT(((32-'Assumption Setting'!$H$70)-1)/12)+MOD((32-'Assumption Setting'!$H$70)-1,12)))</f>
        <v>0.265112544625678</v>
      </c>
      <c r="AK83" s="86" t="n">
        <f aca="true">IF((33-'Assumption Setting'!$H$70)&lt;1,0,OFFSET($A$82,0,2+13*INT(((33-'Assumption Setting'!$H$70)-1)/12)+MOD((33-'Assumption Setting'!$H$70)-1,12)))</f>
        <v>0.265112544625678</v>
      </c>
      <c r="AL83" s="86" t="n">
        <f aca="true">IF((34-'Assumption Setting'!$H$70)&lt;1,0,OFFSET($A$82,0,2+13*INT(((34-'Assumption Setting'!$H$70)-1)/12)+MOD((34-'Assumption Setting'!$H$70)-1,12)))</f>
        <v>0.265112544625678</v>
      </c>
      <c r="AM83" s="86" t="n">
        <f aca="true">IF((35-'Assumption Setting'!$H$70)&lt;1,0,OFFSET($A$82,0,2+13*INT(((35-'Assumption Setting'!$H$70)-1)/12)+MOD((35-'Assumption Setting'!$H$70)-1,12)))</f>
        <v>0.265112544625678</v>
      </c>
      <c r="AN83" s="86" t="n">
        <f aca="true">IF((36-'Assumption Setting'!$H$70)&lt;1,0,OFFSET($A$82,0,2+13*INT(((36-'Assumption Setting'!$H$70)-1)/12)+MOD((36-'Assumption Setting'!$H$70)-1,12)))</f>
        <v>0.265112544625678</v>
      </c>
      <c r="AO83" s="80" t="n">
        <f aca="false">SUM(AP83:BA83)</f>
        <v>3.9366695281948</v>
      </c>
      <c r="AP83" s="86" t="n">
        <f aca="true">IF((37-'Assumption Setting'!$H$70)&lt;1,0,OFFSET($A$82,0,2+13*INT(((37-'Assumption Setting'!$H$70)-1)/12)+MOD((37-'Assumption Setting'!$H$70)-1,12)))</f>
        <v>0.265112544625678</v>
      </c>
      <c r="AQ83" s="86" t="n">
        <f aca="true">IF((38-'Assumption Setting'!$H$70)&lt;1,0,OFFSET($A$82,0,2+13*INT(((38-'Assumption Setting'!$H$70)-1)/12)+MOD((38-'Assumption Setting'!$H$70)-1,12)))</f>
        <v>0.265112544625678</v>
      </c>
      <c r="AR83" s="86" t="n">
        <f aca="true">IF((39-'Assumption Setting'!$H$70)&lt;1,0,OFFSET($A$82,0,2+13*INT(((39-'Assumption Setting'!$H$70)-1)/12)+MOD((39-'Assumption Setting'!$H$70)-1,12)))</f>
        <v>0.265112544625678</v>
      </c>
      <c r="AS83" s="86" t="n">
        <f aca="true">IF((40-'Assumption Setting'!$H$70)&lt;1,0,OFFSET($A$82,0,2+13*INT(((40-'Assumption Setting'!$H$70)-1)/12)+MOD((40-'Assumption Setting'!$H$70)-1,12)))</f>
        <v>0.276158900651748</v>
      </c>
      <c r="AT83" s="86" t="n">
        <f aca="true">IF((41-'Assumption Setting'!$H$70)&lt;1,0,OFFSET($A$82,0,2+13*INT(((41-'Assumption Setting'!$H$70)-1)/12)+MOD((41-'Assumption Setting'!$H$70)-1,12)))</f>
        <v>0.358146624208252</v>
      </c>
      <c r="AU83" s="86" t="n">
        <f aca="true">IF((42-'Assumption Setting'!$H$70)&lt;1,0,OFFSET($A$82,0,2+13*INT(((42-'Assumption Setting'!$H$70)-1)/12)+MOD((42-'Assumption Setting'!$H$70)-1,12)))</f>
        <v>0.358146624208252</v>
      </c>
      <c r="AV83" s="86" t="n">
        <f aca="true">IF((43-'Assumption Setting'!$H$70)&lt;1,0,OFFSET($A$82,0,2+13*INT(((43-'Assumption Setting'!$H$70)-1)/12)+MOD((43-'Assumption Setting'!$H$70)-1,12)))</f>
        <v>0.358146624208252</v>
      </c>
      <c r="AW83" s="86" t="n">
        <f aca="true">IF((44-'Assumption Setting'!$H$70)&lt;1,0,OFFSET($A$82,0,2+13*INT(((44-'Assumption Setting'!$H$70)-1)/12)+MOD((44-'Assumption Setting'!$H$70)-1,12)))</f>
        <v>0.358146624208252</v>
      </c>
      <c r="AX83" s="86" t="n">
        <f aca="true">IF((45-'Assumption Setting'!$H$70)&lt;1,0,OFFSET($A$82,0,2+13*INT(((45-'Assumption Setting'!$H$70)-1)/12)+MOD((45-'Assumption Setting'!$H$70)-1,12)))</f>
        <v>0.358146624208252</v>
      </c>
      <c r="AY83" s="86" t="n">
        <f aca="true">IF((46-'Assumption Setting'!$H$70)&lt;1,0,OFFSET($A$82,0,2+13*INT(((46-'Assumption Setting'!$H$70)-1)/12)+MOD((46-'Assumption Setting'!$H$70)-1,12)))</f>
        <v>0.358146624208252</v>
      </c>
      <c r="AZ83" s="86" t="n">
        <f aca="true">IF((47-'Assumption Setting'!$H$70)&lt;1,0,OFFSET($A$82,0,2+13*INT(((47-'Assumption Setting'!$H$70)-1)/12)+MOD((47-'Assumption Setting'!$H$70)-1,12)))</f>
        <v>0.358146624208252</v>
      </c>
      <c r="BA83" s="86" t="n">
        <f aca="true">IF((48-'Assumption Setting'!$H$70)&lt;1,0,OFFSET($A$82,0,2+13*INT(((48-'Assumption Setting'!$H$70)-1)/12)+MOD((48-'Assumption Setting'!$H$70)-1,12)))</f>
        <v>0.358146624208252</v>
      </c>
      <c r="BB83" s="80" t="n">
        <f aca="false">SUM(BC83:BN83)</f>
        <v>5.1075734136681</v>
      </c>
      <c r="BC83" s="86" t="n">
        <f aca="true">IF((49-'Assumption Setting'!$H$70)&lt;1,0,OFFSET($A$82,0,2+13*INT(((49-'Assumption Setting'!$H$70)-1)/12)+MOD((49-'Assumption Setting'!$H$70)-1,12)))</f>
        <v>0.358146624208252</v>
      </c>
      <c r="BD83" s="86" t="n">
        <f aca="true">IF((50-'Assumption Setting'!$H$70)&lt;1,0,OFFSET($A$82,0,2+13*INT(((50-'Assumption Setting'!$H$70)-1)/12)+MOD((50-'Assumption Setting'!$H$70)-1,12)))</f>
        <v>0.358146624208252</v>
      </c>
      <c r="BE83" s="86" t="n">
        <f aca="true">IF((51-'Assumption Setting'!$H$70)&lt;1,0,OFFSET($A$82,0,2+13*INT(((51-'Assumption Setting'!$H$70)-1)/12)+MOD((51-'Assumption Setting'!$H$70)-1,12)))</f>
        <v>0.358146624208252</v>
      </c>
      <c r="BF83" s="86" t="n">
        <f aca="true">IF((52-'Assumption Setting'!$H$70)&lt;1,0,OFFSET($A$82,0,2+13*INT(((52-'Assumption Setting'!$H$70)-1)/12)+MOD((52-'Assumption Setting'!$H$70)-1,12)))</f>
        <v>0.372472489176582</v>
      </c>
      <c r="BG83" s="86" t="n">
        <f aca="true">IF((53-'Assumption Setting'!$H$70)&lt;1,0,OFFSET($A$82,0,2+13*INT(((53-'Assumption Setting'!$H$70)-1)/12)+MOD((53-'Assumption Setting'!$H$70)-1,12)))</f>
        <v>0.457582631483346</v>
      </c>
      <c r="BH83" s="86" t="n">
        <f aca="true">IF((54-'Assumption Setting'!$H$70)&lt;1,0,OFFSET($A$82,0,2+13*INT(((54-'Assumption Setting'!$H$70)-1)/12)+MOD((54-'Assumption Setting'!$H$70)-1,12)))</f>
        <v>0.457582631483346</v>
      </c>
      <c r="BI83" s="86" t="n">
        <f aca="true">IF((55-'Assumption Setting'!$H$70)&lt;1,0,OFFSET($A$82,0,2+13*INT(((55-'Assumption Setting'!$H$70)-1)/12)+MOD((55-'Assumption Setting'!$H$70)-1,12)))</f>
        <v>0.457582631483346</v>
      </c>
      <c r="BJ83" s="86" t="n">
        <f aca="true">IF((56-'Assumption Setting'!$H$70)&lt;1,0,OFFSET($A$82,0,2+13*INT(((56-'Assumption Setting'!$H$70)-1)/12)+MOD((56-'Assumption Setting'!$H$70)-1,12)))</f>
        <v>0.457582631483346</v>
      </c>
      <c r="BK83" s="86" t="n">
        <f aca="true">IF((57-'Assumption Setting'!$H$70)&lt;1,0,OFFSET($A$82,0,2+13*INT(((57-'Assumption Setting'!$H$70)-1)/12)+MOD((57-'Assumption Setting'!$H$70)-1,12)))</f>
        <v>0.457582631483346</v>
      </c>
      <c r="BL83" s="86" t="n">
        <f aca="true">IF((58-'Assumption Setting'!$H$70)&lt;1,0,OFFSET($A$82,0,2+13*INT(((58-'Assumption Setting'!$H$70)-1)/12)+MOD((58-'Assumption Setting'!$H$70)-1,12)))</f>
        <v>0.457582631483346</v>
      </c>
      <c r="BM83" s="86" t="n">
        <f aca="true">IF((59-'Assumption Setting'!$H$70)&lt;1,0,OFFSET($A$82,0,2+13*INT(((59-'Assumption Setting'!$H$70)-1)/12)+MOD((59-'Assumption Setting'!$H$70)-1,12)))</f>
        <v>0.457582631483346</v>
      </c>
      <c r="BN83" s="86" t="n">
        <f aca="true">IF((60-'Assumption Setting'!$H$70)&lt;1,0,OFFSET($A$82,0,2+13*INT(((60-'Assumption Setting'!$H$70)-1)/12)+MOD((60-'Assumption Setting'!$H$70)-1,12)))</f>
        <v>0.457582631483346</v>
      </c>
    </row>
    <row r="84" customFormat="false" ht="15" hidden="false" customHeight="false" outlineLevel="0" collapsed="false">
      <c r="A84" s="18" t="s">
        <v>283</v>
      </c>
      <c r="B84" s="80" t="n">
        <f aca="false">SUM(C84:N84)</f>
        <v>46.9727005083237</v>
      </c>
      <c r="C84" s="83" t="n">
        <f aca="false">C68*'Assumption Setting'!$C$71</f>
        <v>3.91439170902697</v>
      </c>
      <c r="D84" s="83" t="n">
        <f aca="false">D68*'Assumption Setting'!$C$71</f>
        <v>3.91439170902697</v>
      </c>
      <c r="E84" s="83" t="n">
        <f aca="false">E68*'Assumption Setting'!$C$71</f>
        <v>3.91439170902697</v>
      </c>
      <c r="F84" s="83" t="n">
        <f aca="false">F68*'Assumption Setting'!$C$71</f>
        <v>3.91439170902697</v>
      </c>
      <c r="G84" s="83" t="n">
        <f aca="false">G68*'Assumption Setting'!$C$71</f>
        <v>3.91439170902697</v>
      </c>
      <c r="H84" s="83" t="n">
        <f aca="false">H68*'Assumption Setting'!$C$71</f>
        <v>3.91439170902697</v>
      </c>
      <c r="I84" s="83" t="n">
        <f aca="false">I68*'Assumption Setting'!$C$71</f>
        <v>3.91439170902697</v>
      </c>
      <c r="J84" s="83" t="n">
        <f aca="false">J68*'Assumption Setting'!$C$71</f>
        <v>3.91439170902697</v>
      </c>
      <c r="K84" s="83" t="n">
        <f aca="false">K68*'Assumption Setting'!$C$71</f>
        <v>3.91439170902697</v>
      </c>
      <c r="L84" s="83" t="n">
        <f aca="false">L68*'Assumption Setting'!$C$71</f>
        <v>3.91439170902697</v>
      </c>
      <c r="M84" s="83" t="n">
        <f aca="false">M68*'Assumption Setting'!$C$71</f>
        <v>3.91439170902697</v>
      </c>
      <c r="N84" s="83" t="n">
        <f aca="false">N68*'Assumption Setting'!$C$71</f>
        <v>3.91439170902697</v>
      </c>
      <c r="O84" s="80" t="n">
        <f aca="false">SUM(P84:AA84)</f>
        <v>72.1488663219021</v>
      </c>
      <c r="P84" s="83" t="n">
        <f aca="false">P68*'Assumption Setting'!$C$71</f>
        <v>6.01240552682518</v>
      </c>
      <c r="Q84" s="83" t="n">
        <f aca="false">Q68*'Assumption Setting'!$C$71</f>
        <v>6.01240552682518</v>
      </c>
      <c r="R84" s="83" t="n">
        <f aca="false">R68*'Assumption Setting'!$C$71</f>
        <v>6.01240552682518</v>
      </c>
      <c r="S84" s="83" t="n">
        <f aca="false">S68*'Assumption Setting'!$C$71</f>
        <v>6.01240552682518</v>
      </c>
      <c r="T84" s="83" t="n">
        <f aca="false">T68*'Assumption Setting'!$C$71</f>
        <v>6.01240552682518</v>
      </c>
      <c r="U84" s="83" t="n">
        <f aca="false">U68*'Assumption Setting'!$C$71</f>
        <v>6.01240552682518</v>
      </c>
      <c r="V84" s="83" t="n">
        <f aca="false">V68*'Assumption Setting'!$C$71</f>
        <v>6.01240552682518</v>
      </c>
      <c r="W84" s="83" t="n">
        <f aca="false">W68*'Assumption Setting'!$C$71</f>
        <v>6.01240552682518</v>
      </c>
      <c r="X84" s="83" t="n">
        <f aca="false">X68*'Assumption Setting'!$C$71</f>
        <v>6.01240552682518</v>
      </c>
      <c r="Y84" s="83" t="n">
        <f aca="false">Y68*'Assumption Setting'!$C$71</f>
        <v>6.01240552682518</v>
      </c>
      <c r="Z84" s="83" t="n">
        <f aca="false">Z68*'Assumption Setting'!$C$71</f>
        <v>6.01240552682518</v>
      </c>
      <c r="AA84" s="83" t="n">
        <f aca="false">AA68*'Assumption Setting'!$C$71</f>
        <v>6.01240552682518</v>
      </c>
      <c r="AB84" s="80" t="n">
        <f aca="false">SUM(AC84:AN84)</f>
        <v>108.209201888032</v>
      </c>
      <c r="AC84" s="83" t="n">
        <f aca="false">AC68*'Assumption Setting'!$C$71</f>
        <v>9.01743349066933</v>
      </c>
      <c r="AD84" s="83" t="n">
        <f aca="false">AD68*'Assumption Setting'!$C$71</f>
        <v>9.01743349066933</v>
      </c>
      <c r="AE84" s="83" t="n">
        <f aca="false">AE68*'Assumption Setting'!$C$71</f>
        <v>9.01743349066933</v>
      </c>
      <c r="AF84" s="83" t="n">
        <f aca="false">AF68*'Assumption Setting'!$C$71</f>
        <v>9.01743349066933</v>
      </c>
      <c r="AG84" s="83" t="n">
        <f aca="false">AG68*'Assumption Setting'!$C$71</f>
        <v>9.01743349066933</v>
      </c>
      <c r="AH84" s="83" t="n">
        <f aca="false">AH68*'Assumption Setting'!$C$71</f>
        <v>9.01743349066933</v>
      </c>
      <c r="AI84" s="83" t="n">
        <f aca="false">AI68*'Assumption Setting'!$C$71</f>
        <v>9.01743349066933</v>
      </c>
      <c r="AJ84" s="83" t="n">
        <f aca="false">AJ68*'Assumption Setting'!$C$71</f>
        <v>9.01743349066933</v>
      </c>
      <c r="AK84" s="83" t="n">
        <f aca="false">AK68*'Assumption Setting'!$C$71</f>
        <v>9.01743349066933</v>
      </c>
      <c r="AL84" s="83" t="n">
        <f aca="false">AL68*'Assumption Setting'!$C$71</f>
        <v>9.01743349066933</v>
      </c>
      <c r="AM84" s="83" t="n">
        <f aca="false">AM68*'Assumption Setting'!$C$71</f>
        <v>9.01743349066933</v>
      </c>
      <c r="AN84" s="83" t="n">
        <f aca="false">AN68*'Assumption Setting'!$C$71</f>
        <v>9.01743349066933</v>
      </c>
      <c r="AO84" s="80" t="n">
        <f aca="false">SUM(AP84:BA84)</f>
        <v>140.335003771397</v>
      </c>
      <c r="AP84" s="83" t="n">
        <f aca="false">AP68*'Assumption Setting'!$C$71</f>
        <v>11.6945836476164</v>
      </c>
      <c r="AQ84" s="83" t="n">
        <f aca="false">AQ68*'Assumption Setting'!$C$71</f>
        <v>11.6945836476164</v>
      </c>
      <c r="AR84" s="83" t="n">
        <f aca="false">AR68*'Assumption Setting'!$C$71</f>
        <v>11.6945836476164</v>
      </c>
      <c r="AS84" s="83" t="n">
        <f aca="false">AS68*'Assumption Setting'!$C$71</f>
        <v>11.6945836476164</v>
      </c>
      <c r="AT84" s="83" t="n">
        <f aca="false">AT68*'Assumption Setting'!$C$71</f>
        <v>11.6945836476164</v>
      </c>
      <c r="AU84" s="83" t="n">
        <f aca="false">AU68*'Assumption Setting'!$C$71</f>
        <v>11.6945836476164</v>
      </c>
      <c r="AV84" s="83" t="n">
        <f aca="false">AV68*'Assumption Setting'!$C$71</f>
        <v>11.6945836476164</v>
      </c>
      <c r="AW84" s="83" t="n">
        <f aca="false">AW68*'Assumption Setting'!$C$71</f>
        <v>11.6945836476164</v>
      </c>
      <c r="AX84" s="83" t="n">
        <f aca="false">AX68*'Assumption Setting'!$C$71</f>
        <v>11.6945836476164</v>
      </c>
      <c r="AY84" s="83" t="n">
        <f aca="false">AY68*'Assumption Setting'!$C$71</f>
        <v>11.6945836476164</v>
      </c>
      <c r="AZ84" s="83" t="n">
        <f aca="false">AZ68*'Assumption Setting'!$C$71</f>
        <v>11.6945836476164</v>
      </c>
      <c r="BA84" s="83" t="n">
        <f aca="false">BA68*'Assumption Setting'!$C$71</f>
        <v>11.6945836476164</v>
      </c>
      <c r="BB84" s="80" t="n">
        <f aca="false">SUM(BC84:BN84)</f>
        <v>172.401619397179</v>
      </c>
      <c r="BC84" s="83" t="n">
        <f aca="false">BC68*'Assumption Setting'!$C$71</f>
        <v>14.3668016164316</v>
      </c>
      <c r="BD84" s="83" t="n">
        <f aca="false">BD68*'Assumption Setting'!$C$71</f>
        <v>14.3668016164316</v>
      </c>
      <c r="BE84" s="83" t="n">
        <f aca="false">BE68*'Assumption Setting'!$C$71</f>
        <v>14.3668016164316</v>
      </c>
      <c r="BF84" s="83" t="n">
        <f aca="false">BF68*'Assumption Setting'!$C$71</f>
        <v>14.3668016164316</v>
      </c>
      <c r="BG84" s="83" t="n">
        <f aca="false">BG68*'Assumption Setting'!$C$71</f>
        <v>14.3668016164316</v>
      </c>
      <c r="BH84" s="83" t="n">
        <f aca="false">BH68*'Assumption Setting'!$C$71</f>
        <v>14.3668016164316</v>
      </c>
      <c r="BI84" s="83" t="n">
        <f aca="false">BI68*'Assumption Setting'!$C$71</f>
        <v>14.3668016164316</v>
      </c>
      <c r="BJ84" s="83" t="n">
        <f aca="false">BJ68*'Assumption Setting'!$C$71</f>
        <v>14.3668016164316</v>
      </c>
      <c r="BK84" s="83" t="n">
        <f aca="false">BK68*'Assumption Setting'!$C$71</f>
        <v>14.3668016164316</v>
      </c>
      <c r="BL84" s="83" t="n">
        <f aca="false">BL68*'Assumption Setting'!$C$71</f>
        <v>14.3668016164316</v>
      </c>
      <c r="BM84" s="83" t="n">
        <f aca="false">BM68*'Assumption Setting'!$C$71</f>
        <v>14.3668016164316</v>
      </c>
      <c r="BN84" s="83" t="n">
        <f aca="false">BN68*'Assumption Setting'!$C$71</f>
        <v>14.3668016164316</v>
      </c>
    </row>
    <row r="85" customFormat="false" ht="15" hidden="false" customHeight="false" outlineLevel="0" collapsed="false">
      <c r="A85" s="12" t="s">
        <v>616</v>
      </c>
      <c r="B85" s="80" t="n">
        <f aca="false">SUM(C85:N85)</f>
        <v>11.7431751270809</v>
      </c>
      <c r="C85" s="81" t="n">
        <f aca="false">C84*'Assumption Setting'!$D$71</f>
        <v>0.978597927256743</v>
      </c>
      <c r="D85" s="81" t="n">
        <f aca="false">D84*'Assumption Setting'!$D$71</f>
        <v>0.978597927256743</v>
      </c>
      <c r="E85" s="81" t="n">
        <f aca="false">E84*'Assumption Setting'!$D$71</f>
        <v>0.978597927256743</v>
      </c>
      <c r="F85" s="81" t="n">
        <f aca="false">F84*'Assumption Setting'!$D$71</f>
        <v>0.978597927256743</v>
      </c>
      <c r="G85" s="81" t="n">
        <f aca="false">G84*'Assumption Setting'!$D$71</f>
        <v>0.978597927256743</v>
      </c>
      <c r="H85" s="81" t="n">
        <f aca="false">H84*'Assumption Setting'!$D$71</f>
        <v>0.978597927256743</v>
      </c>
      <c r="I85" s="81" t="n">
        <f aca="false">I84*'Assumption Setting'!$D$71</f>
        <v>0.978597927256743</v>
      </c>
      <c r="J85" s="81" t="n">
        <f aca="false">J84*'Assumption Setting'!$D$71</f>
        <v>0.978597927256743</v>
      </c>
      <c r="K85" s="81" t="n">
        <f aca="false">K84*'Assumption Setting'!$D$71</f>
        <v>0.978597927256743</v>
      </c>
      <c r="L85" s="81" t="n">
        <f aca="false">L84*'Assumption Setting'!$D$71</f>
        <v>0.978597927256743</v>
      </c>
      <c r="M85" s="81" t="n">
        <f aca="false">M84*'Assumption Setting'!$D$71</f>
        <v>0.978597927256743</v>
      </c>
      <c r="N85" s="81" t="n">
        <f aca="false">N84*'Assumption Setting'!$D$71</f>
        <v>0.978597927256743</v>
      </c>
      <c r="O85" s="80" t="n">
        <f aca="false">SUM(P85:AA85)</f>
        <v>18.0372165804755</v>
      </c>
      <c r="P85" s="81" t="n">
        <f aca="false">P84*'Assumption Setting'!$D$71</f>
        <v>1.50310138170629</v>
      </c>
      <c r="Q85" s="81" t="n">
        <f aca="false">Q84*'Assumption Setting'!$D$71</f>
        <v>1.50310138170629</v>
      </c>
      <c r="R85" s="81" t="n">
        <f aca="false">R84*'Assumption Setting'!$D$71</f>
        <v>1.50310138170629</v>
      </c>
      <c r="S85" s="81" t="n">
        <f aca="false">S84*'Assumption Setting'!$D$71</f>
        <v>1.50310138170629</v>
      </c>
      <c r="T85" s="81" t="n">
        <f aca="false">T84*'Assumption Setting'!$D$71</f>
        <v>1.50310138170629</v>
      </c>
      <c r="U85" s="81" t="n">
        <f aca="false">U84*'Assumption Setting'!$D$71</f>
        <v>1.50310138170629</v>
      </c>
      <c r="V85" s="81" t="n">
        <f aca="false">V84*'Assumption Setting'!$D$71</f>
        <v>1.50310138170629</v>
      </c>
      <c r="W85" s="81" t="n">
        <f aca="false">W84*'Assumption Setting'!$D$71</f>
        <v>1.50310138170629</v>
      </c>
      <c r="X85" s="81" t="n">
        <f aca="false">X84*'Assumption Setting'!$D$71</f>
        <v>1.50310138170629</v>
      </c>
      <c r="Y85" s="81" t="n">
        <f aca="false">Y84*'Assumption Setting'!$D$71</f>
        <v>1.50310138170629</v>
      </c>
      <c r="Z85" s="81" t="n">
        <f aca="false">Z84*'Assumption Setting'!$D$71</f>
        <v>1.50310138170629</v>
      </c>
      <c r="AA85" s="81" t="n">
        <f aca="false">AA84*'Assumption Setting'!$D$71</f>
        <v>1.50310138170629</v>
      </c>
      <c r="AB85" s="80" t="n">
        <f aca="false">SUM(AC85:AN85)</f>
        <v>27.052300472008</v>
      </c>
      <c r="AC85" s="81" t="n">
        <f aca="false">AC84*'Assumption Setting'!$D$71</f>
        <v>2.25435837266733</v>
      </c>
      <c r="AD85" s="81" t="n">
        <f aca="false">AD84*'Assumption Setting'!$D$71</f>
        <v>2.25435837266733</v>
      </c>
      <c r="AE85" s="81" t="n">
        <f aca="false">AE84*'Assumption Setting'!$D$71</f>
        <v>2.25435837266733</v>
      </c>
      <c r="AF85" s="81" t="n">
        <f aca="false">AF84*'Assumption Setting'!$D$71</f>
        <v>2.25435837266733</v>
      </c>
      <c r="AG85" s="81" t="n">
        <f aca="false">AG84*'Assumption Setting'!$D$71</f>
        <v>2.25435837266733</v>
      </c>
      <c r="AH85" s="81" t="n">
        <f aca="false">AH84*'Assumption Setting'!$D$71</f>
        <v>2.25435837266733</v>
      </c>
      <c r="AI85" s="81" t="n">
        <f aca="false">AI84*'Assumption Setting'!$D$71</f>
        <v>2.25435837266733</v>
      </c>
      <c r="AJ85" s="81" t="n">
        <f aca="false">AJ84*'Assumption Setting'!$D$71</f>
        <v>2.25435837266733</v>
      </c>
      <c r="AK85" s="81" t="n">
        <f aca="false">AK84*'Assumption Setting'!$D$71</f>
        <v>2.25435837266733</v>
      </c>
      <c r="AL85" s="81" t="n">
        <f aca="false">AL84*'Assumption Setting'!$D$71</f>
        <v>2.25435837266733</v>
      </c>
      <c r="AM85" s="81" t="n">
        <f aca="false">AM84*'Assumption Setting'!$D$71</f>
        <v>2.25435837266733</v>
      </c>
      <c r="AN85" s="81" t="n">
        <f aca="false">AN84*'Assumption Setting'!$D$71</f>
        <v>2.25435837266733</v>
      </c>
      <c r="AO85" s="80" t="n">
        <f aca="false">SUM(AP85:BA85)</f>
        <v>35.0837509428492</v>
      </c>
      <c r="AP85" s="81" t="n">
        <f aca="false">AP84*'Assumption Setting'!$D$71</f>
        <v>2.9236459119041</v>
      </c>
      <c r="AQ85" s="81" t="n">
        <f aca="false">AQ84*'Assumption Setting'!$D$71</f>
        <v>2.9236459119041</v>
      </c>
      <c r="AR85" s="81" t="n">
        <f aca="false">AR84*'Assumption Setting'!$D$71</f>
        <v>2.9236459119041</v>
      </c>
      <c r="AS85" s="81" t="n">
        <f aca="false">AS84*'Assumption Setting'!$D$71</f>
        <v>2.9236459119041</v>
      </c>
      <c r="AT85" s="81" t="n">
        <f aca="false">AT84*'Assumption Setting'!$D$71</f>
        <v>2.9236459119041</v>
      </c>
      <c r="AU85" s="81" t="n">
        <f aca="false">AU84*'Assumption Setting'!$D$71</f>
        <v>2.9236459119041</v>
      </c>
      <c r="AV85" s="81" t="n">
        <f aca="false">AV84*'Assumption Setting'!$D$71</f>
        <v>2.9236459119041</v>
      </c>
      <c r="AW85" s="81" t="n">
        <f aca="false">AW84*'Assumption Setting'!$D$71</f>
        <v>2.9236459119041</v>
      </c>
      <c r="AX85" s="81" t="n">
        <f aca="false">AX84*'Assumption Setting'!$D$71</f>
        <v>2.9236459119041</v>
      </c>
      <c r="AY85" s="81" t="n">
        <f aca="false">AY84*'Assumption Setting'!$D$71</f>
        <v>2.9236459119041</v>
      </c>
      <c r="AZ85" s="81" t="n">
        <f aca="false">AZ84*'Assumption Setting'!$D$71</f>
        <v>2.9236459119041</v>
      </c>
      <c r="BA85" s="81" t="n">
        <f aca="false">BA84*'Assumption Setting'!$D$71</f>
        <v>2.9236459119041</v>
      </c>
      <c r="BB85" s="80" t="n">
        <f aca="false">SUM(BC85:BN85)</f>
        <v>43.1004048492947</v>
      </c>
      <c r="BC85" s="81" t="n">
        <f aca="false">BC84*'Assumption Setting'!$D$71</f>
        <v>3.59170040410789</v>
      </c>
      <c r="BD85" s="81" t="n">
        <f aca="false">BD84*'Assumption Setting'!$D$71</f>
        <v>3.59170040410789</v>
      </c>
      <c r="BE85" s="81" t="n">
        <f aca="false">BE84*'Assumption Setting'!$D$71</f>
        <v>3.59170040410789</v>
      </c>
      <c r="BF85" s="81" t="n">
        <f aca="false">BF84*'Assumption Setting'!$D$71</f>
        <v>3.59170040410789</v>
      </c>
      <c r="BG85" s="81" t="n">
        <f aca="false">BG84*'Assumption Setting'!$D$71</f>
        <v>3.59170040410789</v>
      </c>
      <c r="BH85" s="81" t="n">
        <f aca="false">BH84*'Assumption Setting'!$D$71</f>
        <v>3.59170040410789</v>
      </c>
      <c r="BI85" s="81" t="n">
        <f aca="false">BI84*'Assumption Setting'!$D$71</f>
        <v>3.59170040410789</v>
      </c>
      <c r="BJ85" s="81" t="n">
        <f aca="false">BJ84*'Assumption Setting'!$D$71</f>
        <v>3.59170040410789</v>
      </c>
      <c r="BK85" s="81" t="n">
        <f aca="false">BK84*'Assumption Setting'!$D$71</f>
        <v>3.59170040410789</v>
      </c>
      <c r="BL85" s="81" t="n">
        <f aca="false">BL84*'Assumption Setting'!$D$71</f>
        <v>3.59170040410789</v>
      </c>
      <c r="BM85" s="81" t="n">
        <f aca="false">BM84*'Assumption Setting'!$D$71</f>
        <v>3.59170040410789</v>
      </c>
      <c r="BN85" s="81" t="n">
        <f aca="false">BN84*'Assumption Setting'!$D$71</f>
        <v>3.59170040410789</v>
      </c>
    </row>
    <row r="86" customFormat="false" ht="15" hidden="false" customHeight="false" outlineLevel="0" collapsed="false">
      <c r="A86" s="12" t="s">
        <v>617</v>
      </c>
      <c r="B86" s="80" t="n">
        <f aca="false">SUM(C86:N86)</f>
        <v>3.52295253812428</v>
      </c>
      <c r="C86" s="81" t="n">
        <f aca="false">C85*'Assumption Setting'!$E$71</f>
        <v>0.293579378177023</v>
      </c>
      <c r="D86" s="81" t="n">
        <f aca="false">D85*'Assumption Setting'!$E$71</f>
        <v>0.293579378177023</v>
      </c>
      <c r="E86" s="81" t="n">
        <f aca="false">E85*'Assumption Setting'!$E$71</f>
        <v>0.293579378177023</v>
      </c>
      <c r="F86" s="81" t="n">
        <f aca="false">F85*'Assumption Setting'!$E$71</f>
        <v>0.293579378177023</v>
      </c>
      <c r="G86" s="81" t="n">
        <f aca="false">G85*'Assumption Setting'!$E$71</f>
        <v>0.293579378177023</v>
      </c>
      <c r="H86" s="81" t="n">
        <f aca="false">H85*'Assumption Setting'!$E$71</f>
        <v>0.293579378177023</v>
      </c>
      <c r="I86" s="81" t="n">
        <f aca="false">I85*'Assumption Setting'!$E$71</f>
        <v>0.293579378177023</v>
      </c>
      <c r="J86" s="81" t="n">
        <f aca="false">J85*'Assumption Setting'!$E$71</f>
        <v>0.293579378177023</v>
      </c>
      <c r="K86" s="81" t="n">
        <f aca="false">K85*'Assumption Setting'!$E$71</f>
        <v>0.293579378177023</v>
      </c>
      <c r="L86" s="81" t="n">
        <f aca="false">L85*'Assumption Setting'!$E$71</f>
        <v>0.293579378177023</v>
      </c>
      <c r="M86" s="81" t="n">
        <f aca="false">M85*'Assumption Setting'!$E$71</f>
        <v>0.293579378177023</v>
      </c>
      <c r="N86" s="81" t="n">
        <f aca="false">N85*'Assumption Setting'!$E$71</f>
        <v>0.293579378177023</v>
      </c>
      <c r="O86" s="80" t="n">
        <f aca="false">SUM(P86:AA86)</f>
        <v>5.41116497414266</v>
      </c>
      <c r="P86" s="81" t="n">
        <f aca="false">P85*'Assumption Setting'!$E$71</f>
        <v>0.450930414511888</v>
      </c>
      <c r="Q86" s="81" t="n">
        <f aca="false">Q85*'Assumption Setting'!$E$71</f>
        <v>0.450930414511888</v>
      </c>
      <c r="R86" s="81" t="n">
        <f aca="false">R85*'Assumption Setting'!$E$71</f>
        <v>0.450930414511888</v>
      </c>
      <c r="S86" s="81" t="n">
        <f aca="false">S85*'Assumption Setting'!$E$71</f>
        <v>0.450930414511888</v>
      </c>
      <c r="T86" s="81" t="n">
        <f aca="false">T85*'Assumption Setting'!$E$71</f>
        <v>0.450930414511888</v>
      </c>
      <c r="U86" s="81" t="n">
        <f aca="false">U85*'Assumption Setting'!$E$71</f>
        <v>0.450930414511888</v>
      </c>
      <c r="V86" s="81" t="n">
        <f aca="false">V85*'Assumption Setting'!$E$71</f>
        <v>0.450930414511888</v>
      </c>
      <c r="W86" s="81" t="n">
        <f aca="false">W85*'Assumption Setting'!$E$71</f>
        <v>0.450930414511888</v>
      </c>
      <c r="X86" s="81" t="n">
        <f aca="false">X85*'Assumption Setting'!$E$71</f>
        <v>0.450930414511888</v>
      </c>
      <c r="Y86" s="81" t="n">
        <f aca="false">Y85*'Assumption Setting'!$E$71</f>
        <v>0.450930414511888</v>
      </c>
      <c r="Z86" s="81" t="n">
        <f aca="false">Z85*'Assumption Setting'!$E$71</f>
        <v>0.450930414511888</v>
      </c>
      <c r="AA86" s="81" t="n">
        <f aca="false">AA85*'Assumption Setting'!$E$71</f>
        <v>0.450930414511888</v>
      </c>
      <c r="AB86" s="80" t="n">
        <f aca="false">SUM(AC86:AN86)</f>
        <v>8.1156901416024</v>
      </c>
      <c r="AC86" s="81" t="n">
        <f aca="false">AC85*'Assumption Setting'!$E$71</f>
        <v>0.6763075118002</v>
      </c>
      <c r="AD86" s="81" t="n">
        <f aca="false">AD85*'Assumption Setting'!$E$71</f>
        <v>0.6763075118002</v>
      </c>
      <c r="AE86" s="81" t="n">
        <f aca="false">AE85*'Assumption Setting'!$E$71</f>
        <v>0.6763075118002</v>
      </c>
      <c r="AF86" s="81" t="n">
        <f aca="false">AF85*'Assumption Setting'!$E$71</f>
        <v>0.6763075118002</v>
      </c>
      <c r="AG86" s="81" t="n">
        <f aca="false">AG85*'Assumption Setting'!$E$71</f>
        <v>0.6763075118002</v>
      </c>
      <c r="AH86" s="81" t="n">
        <f aca="false">AH85*'Assumption Setting'!$E$71</f>
        <v>0.6763075118002</v>
      </c>
      <c r="AI86" s="81" t="n">
        <f aca="false">AI85*'Assumption Setting'!$E$71</f>
        <v>0.6763075118002</v>
      </c>
      <c r="AJ86" s="81" t="n">
        <f aca="false">AJ85*'Assumption Setting'!$E$71</f>
        <v>0.6763075118002</v>
      </c>
      <c r="AK86" s="81" t="n">
        <f aca="false">AK85*'Assumption Setting'!$E$71</f>
        <v>0.6763075118002</v>
      </c>
      <c r="AL86" s="81" t="n">
        <f aca="false">AL85*'Assumption Setting'!$E$71</f>
        <v>0.6763075118002</v>
      </c>
      <c r="AM86" s="81" t="n">
        <f aca="false">AM85*'Assumption Setting'!$E$71</f>
        <v>0.6763075118002</v>
      </c>
      <c r="AN86" s="81" t="n">
        <f aca="false">AN85*'Assumption Setting'!$E$71</f>
        <v>0.6763075118002</v>
      </c>
      <c r="AO86" s="80" t="n">
        <f aca="false">SUM(AP86:BA86)</f>
        <v>10.5251252828547</v>
      </c>
      <c r="AP86" s="81" t="n">
        <f aca="false">AP85*'Assumption Setting'!$E$71</f>
        <v>0.877093773571229</v>
      </c>
      <c r="AQ86" s="81" t="n">
        <f aca="false">AQ85*'Assumption Setting'!$E$71</f>
        <v>0.877093773571229</v>
      </c>
      <c r="AR86" s="81" t="n">
        <f aca="false">AR85*'Assumption Setting'!$E$71</f>
        <v>0.877093773571229</v>
      </c>
      <c r="AS86" s="81" t="n">
        <f aca="false">AS85*'Assumption Setting'!$E$71</f>
        <v>0.877093773571229</v>
      </c>
      <c r="AT86" s="81" t="n">
        <f aca="false">AT85*'Assumption Setting'!$E$71</f>
        <v>0.877093773571229</v>
      </c>
      <c r="AU86" s="81" t="n">
        <f aca="false">AU85*'Assumption Setting'!$E$71</f>
        <v>0.877093773571229</v>
      </c>
      <c r="AV86" s="81" t="n">
        <f aca="false">AV85*'Assumption Setting'!$E$71</f>
        <v>0.877093773571229</v>
      </c>
      <c r="AW86" s="81" t="n">
        <f aca="false">AW85*'Assumption Setting'!$E$71</f>
        <v>0.877093773571229</v>
      </c>
      <c r="AX86" s="81" t="n">
        <f aca="false">AX85*'Assumption Setting'!$E$71</f>
        <v>0.877093773571229</v>
      </c>
      <c r="AY86" s="81" t="n">
        <f aca="false">AY85*'Assumption Setting'!$E$71</f>
        <v>0.877093773571229</v>
      </c>
      <c r="AZ86" s="81" t="n">
        <f aca="false">AZ85*'Assumption Setting'!$E$71</f>
        <v>0.877093773571229</v>
      </c>
      <c r="BA86" s="81" t="n">
        <f aca="false">BA85*'Assumption Setting'!$E$71</f>
        <v>0.877093773571229</v>
      </c>
      <c r="BB86" s="80" t="n">
        <f aca="false">SUM(BC86:BN86)</f>
        <v>12.9301214547884</v>
      </c>
      <c r="BC86" s="81" t="n">
        <f aca="false">BC85*'Assumption Setting'!$E$71</f>
        <v>1.07751012123237</v>
      </c>
      <c r="BD86" s="81" t="n">
        <f aca="false">BD85*'Assumption Setting'!$E$71</f>
        <v>1.07751012123237</v>
      </c>
      <c r="BE86" s="81" t="n">
        <f aca="false">BE85*'Assumption Setting'!$E$71</f>
        <v>1.07751012123237</v>
      </c>
      <c r="BF86" s="81" t="n">
        <f aca="false">BF85*'Assumption Setting'!$E$71</f>
        <v>1.07751012123237</v>
      </c>
      <c r="BG86" s="81" t="n">
        <f aca="false">BG85*'Assumption Setting'!$E$71</f>
        <v>1.07751012123237</v>
      </c>
      <c r="BH86" s="81" t="n">
        <f aca="false">BH85*'Assumption Setting'!$E$71</f>
        <v>1.07751012123237</v>
      </c>
      <c r="BI86" s="81" t="n">
        <f aca="false">BI85*'Assumption Setting'!$E$71</f>
        <v>1.07751012123237</v>
      </c>
      <c r="BJ86" s="81" t="n">
        <f aca="false">BJ85*'Assumption Setting'!$E$71</f>
        <v>1.07751012123237</v>
      </c>
      <c r="BK86" s="81" t="n">
        <f aca="false">BK85*'Assumption Setting'!$E$71</f>
        <v>1.07751012123237</v>
      </c>
      <c r="BL86" s="81" t="n">
        <f aca="false">BL85*'Assumption Setting'!$E$71</f>
        <v>1.07751012123237</v>
      </c>
      <c r="BM86" s="81" t="n">
        <f aca="false">BM85*'Assumption Setting'!$E$71</f>
        <v>1.07751012123237</v>
      </c>
      <c r="BN86" s="81" t="n">
        <f aca="false">BN85*'Assumption Setting'!$E$71</f>
        <v>1.07751012123237</v>
      </c>
    </row>
    <row r="87" customFormat="false" ht="15" hidden="false" customHeight="false" outlineLevel="0" collapsed="false">
      <c r="A87" s="18" t="s">
        <v>618</v>
      </c>
      <c r="B87" s="80" t="n">
        <f aca="false">SUM(C87:N87)</f>
        <v>0.645874631989451</v>
      </c>
      <c r="C87" s="83" t="n">
        <f aca="true">IF((1-'Assumption Setting'!$G$71)&lt;1,0,OFFSET($A$86,0,2+13*INT(((1-'Assumption Setting'!$G$71)-1)/12)+MOD((1-'Assumption Setting'!$G$71)-1,12)))*'Assumption Setting'!$F$71*'Assumption Setting'!$C$77</f>
        <v>0</v>
      </c>
      <c r="D87" s="83" t="n">
        <f aca="true">IF((2-'Assumption Setting'!$G$71)&lt;1,0,OFFSET($A$86,0,2+13*INT(((2-'Assumption Setting'!$G$71)-1)/12)+MOD((2-'Assumption Setting'!$G$71)-1,12)))*'Assumption Setting'!$F$71*'Assumption Setting'!$C$77</f>
        <v>0.0587158756354046</v>
      </c>
      <c r="E87" s="83" t="n">
        <f aca="true">IF((3-'Assumption Setting'!$G$71)&lt;1,0,OFFSET($A$86,0,2+13*INT(((3-'Assumption Setting'!$G$71)-1)/12)+MOD((3-'Assumption Setting'!$G$71)-1,12)))*'Assumption Setting'!$F$71*'Assumption Setting'!$C$77</f>
        <v>0.0587158756354046</v>
      </c>
      <c r="F87" s="83" t="n">
        <f aca="true">IF((4-'Assumption Setting'!$G$71)&lt;1,0,OFFSET($A$86,0,2+13*INT(((4-'Assumption Setting'!$G$71)-1)/12)+MOD((4-'Assumption Setting'!$G$71)-1,12)))*'Assumption Setting'!$F$71*'Assumption Setting'!$C$77</f>
        <v>0.0587158756354046</v>
      </c>
      <c r="G87" s="83" t="n">
        <f aca="true">IF((5-'Assumption Setting'!$G$71)&lt;1,0,OFFSET($A$86,0,2+13*INT(((5-'Assumption Setting'!$G$71)-1)/12)+MOD((5-'Assumption Setting'!$G$71)-1,12)))*'Assumption Setting'!$F$71*'Assumption Setting'!$C$77</f>
        <v>0.0587158756354046</v>
      </c>
      <c r="H87" s="83" t="n">
        <f aca="true">IF((6-'Assumption Setting'!$G$71)&lt;1,0,OFFSET($A$86,0,2+13*INT(((6-'Assumption Setting'!$G$71)-1)/12)+MOD((6-'Assumption Setting'!$G$71)-1,12)))*'Assumption Setting'!$F$71*'Assumption Setting'!$C$77</f>
        <v>0.0587158756354046</v>
      </c>
      <c r="I87" s="83" t="n">
        <f aca="true">IF((7-'Assumption Setting'!$G$71)&lt;1,0,OFFSET($A$86,0,2+13*INT(((7-'Assumption Setting'!$G$71)-1)/12)+MOD((7-'Assumption Setting'!$G$71)-1,12)))*'Assumption Setting'!$F$71*'Assumption Setting'!$C$77</f>
        <v>0.0587158756354046</v>
      </c>
      <c r="J87" s="83" t="n">
        <f aca="true">IF((8-'Assumption Setting'!$G$71)&lt;1,0,OFFSET($A$86,0,2+13*INT(((8-'Assumption Setting'!$G$71)-1)/12)+MOD((8-'Assumption Setting'!$G$71)-1,12)))*'Assumption Setting'!$F$71*'Assumption Setting'!$C$77</f>
        <v>0.0587158756354046</v>
      </c>
      <c r="K87" s="83" t="n">
        <f aca="true">IF((9-'Assumption Setting'!$G$71)&lt;1,0,OFFSET($A$86,0,2+13*INT(((9-'Assumption Setting'!$G$71)-1)/12)+MOD((9-'Assumption Setting'!$G$71)-1,12)))*'Assumption Setting'!$F$71*'Assumption Setting'!$C$77</f>
        <v>0.0587158756354046</v>
      </c>
      <c r="L87" s="83" t="n">
        <f aca="true">IF((10-'Assumption Setting'!$G$71)&lt;1,0,OFFSET($A$86,0,2+13*INT(((10-'Assumption Setting'!$G$71)-1)/12)+MOD((10-'Assumption Setting'!$G$71)-1,12)))*'Assumption Setting'!$F$71*'Assumption Setting'!$C$77</f>
        <v>0.0587158756354046</v>
      </c>
      <c r="M87" s="83" t="n">
        <f aca="true">IF((11-'Assumption Setting'!$G$71)&lt;1,0,OFFSET($A$86,0,2+13*INT(((11-'Assumption Setting'!$G$71)-1)/12)+MOD((11-'Assumption Setting'!$G$71)-1,12)))*'Assumption Setting'!$F$71*'Assumption Setting'!$C$77</f>
        <v>0.0587158756354046</v>
      </c>
      <c r="N87" s="83" t="n">
        <f aca="true">IF((12-'Assumption Setting'!$G$71)&lt;1,0,OFFSET($A$86,0,2+13*INT(((12-'Assumption Setting'!$G$71)-1)/12)+MOD((12-'Assumption Setting'!$G$71)-1,12)))*'Assumption Setting'!$F$71*'Assumption Setting'!$C$77</f>
        <v>0.0587158756354046</v>
      </c>
      <c r="O87" s="80" t="n">
        <f aca="false">SUM(P87:AA87)</f>
        <v>1.15583906631771</v>
      </c>
      <c r="P87" s="83" t="n">
        <f aca="true">IF((13-'Assumption Setting'!$G$71)&lt;1,0,OFFSET($A$86,0,2+13*INT(((13-'Assumption Setting'!$G$71)-1)/12)+MOD((13-'Assumption Setting'!$G$71)-1,12)))*'Assumption Setting'!$F$71*'Assumption Setting'!$D$77</f>
        <v>0.0645874631989451</v>
      </c>
      <c r="Q87" s="83" t="n">
        <f aca="true">IF((14-'Assumption Setting'!$G$71)&lt;1,0,OFFSET($A$86,0,2+13*INT(((14-'Assumption Setting'!$G$71)-1)/12)+MOD((14-'Assumption Setting'!$G$71)-1,12)))*'Assumption Setting'!$F$71*'Assumption Setting'!$D$77</f>
        <v>0.0992046911926154</v>
      </c>
      <c r="R87" s="83" t="n">
        <f aca="true">IF((15-'Assumption Setting'!$G$71)&lt;1,0,OFFSET($A$86,0,2+13*INT(((15-'Assumption Setting'!$G$71)-1)/12)+MOD((15-'Assumption Setting'!$G$71)-1,12)))*'Assumption Setting'!$F$71*'Assumption Setting'!$D$77</f>
        <v>0.0992046911926154</v>
      </c>
      <c r="S87" s="83" t="n">
        <f aca="true">IF((16-'Assumption Setting'!$G$71)&lt;1,0,OFFSET($A$86,0,2+13*INT(((16-'Assumption Setting'!$G$71)-1)/12)+MOD((16-'Assumption Setting'!$G$71)-1,12)))*'Assumption Setting'!$F$71*'Assumption Setting'!$D$77</f>
        <v>0.0992046911926154</v>
      </c>
      <c r="T87" s="83" t="n">
        <f aca="true">IF((17-'Assumption Setting'!$G$71)&lt;1,0,OFFSET($A$86,0,2+13*INT(((17-'Assumption Setting'!$G$71)-1)/12)+MOD((17-'Assumption Setting'!$G$71)-1,12)))*'Assumption Setting'!$F$71*'Assumption Setting'!$D$77</f>
        <v>0.0992046911926154</v>
      </c>
      <c r="U87" s="83" t="n">
        <f aca="true">IF((18-'Assumption Setting'!$G$71)&lt;1,0,OFFSET($A$86,0,2+13*INT(((18-'Assumption Setting'!$G$71)-1)/12)+MOD((18-'Assumption Setting'!$G$71)-1,12)))*'Assumption Setting'!$F$71*'Assumption Setting'!$D$77</f>
        <v>0.0992046911926154</v>
      </c>
      <c r="V87" s="83" t="n">
        <f aca="true">IF((19-'Assumption Setting'!$G$71)&lt;1,0,OFFSET($A$86,0,2+13*INT(((19-'Assumption Setting'!$G$71)-1)/12)+MOD((19-'Assumption Setting'!$G$71)-1,12)))*'Assumption Setting'!$F$71*'Assumption Setting'!$D$77</f>
        <v>0.0992046911926154</v>
      </c>
      <c r="W87" s="83" t="n">
        <f aca="true">IF((20-'Assumption Setting'!$G$71)&lt;1,0,OFFSET($A$86,0,2+13*INT(((20-'Assumption Setting'!$G$71)-1)/12)+MOD((20-'Assumption Setting'!$G$71)-1,12)))*'Assumption Setting'!$F$71*'Assumption Setting'!$D$77</f>
        <v>0.0992046911926154</v>
      </c>
      <c r="X87" s="83" t="n">
        <f aca="true">IF((21-'Assumption Setting'!$G$71)&lt;1,0,OFFSET($A$86,0,2+13*INT(((21-'Assumption Setting'!$G$71)-1)/12)+MOD((21-'Assumption Setting'!$G$71)-1,12)))*'Assumption Setting'!$F$71*'Assumption Setting'!$D$77</f>
        <v>0.0992046911926154</v>
      </c>
      <c r="Y87" s="83" t="n">
        <f aca="true">IF((22-'Assumption Setting'!$G$71)&lt;1,0,OFFSET($A$86,0,2+13*INT(((22-'Assumption Setting'!$G$71)-1)/12)+MOD((22-'Assumption Setting'!$G$71)-1,12)))*'Assumption Setting'!$F$71*'Assumption Setting'!$D$77</f>
        <v>0.0992046911926154</v>
      </c>
      <c r="Z87" s="83" t="n">
        <f aca="true">IF((23-'Assumption Setting'!$G$71)&lt;1,0,OFFSET($A$86,0,2+13*INT(((23-'Assumption Setting'!$G$71)-1)/12)+MOD((23-'Assumption Setting'!$G$71)-1,12)))*'Assumption Setting'!$F$71*'Assumption Setting'!$D$77</f>
        <v>0.0992046911926154</v>
      </c>
      <c r="AA87" s="83" t="n">
        <f aca="true">IF((24-'Assumption Setting'!$G$71)&lt;1,0,OFFSET($A$86,0,2+13*INT(((24-'Assumption Setting'!$G$71)-1)/12)+MOD((24-'Assumption Setting'!$G$71)-1,12)))*'Assumption Setting'!$F$71*'Assumption Setting'!$D$77</f>
        <v>0.0992046911926154</v>
      </c>
      <c r="AB87" s="80" t="n">
        <f aca="false">SUM(AC87:AN87)</f>
        <v>1.89367513063538</v>
      </c>
      <c r="AC87" s="83" t="n">
        <f aca="true">IF((25-'Assumption Setting'!$G$71)&lt;1,0,OFFSET($A$86,0,2+13*INT(((25-'Assumption Setting'!$G$71)-1)/12)+MOD((25-'Assumption Setting'!$G$71)-1,12)))*'Assumption Setting'!$F$71*'Assumption Setting'!$E$77</f>
        <v>0.108223299482853</v>
      </c>
      <c r="AD87" s="83" t="n">
        <f aca="true">IF((26-'Assumption Setting'!$G$71)&lt;1,0,OFFSET($A$86,0,2+13*INT(((26-'Assumption Setting'!$G$71)-1)/12)+MOD((26-'Assumption Setting'!$G$71)-1,12)))*'Assumption Setting'!$F$71*'Assumption Setting'!$E$77</f>
        <v>0.162313802832048</v>
      </c>
      <c r="AE87" s="83" t="n">
        <f aca="true">IF((27-'Assumption Setting'!$G$71)&lt;1,0,OFFSET($A$86,0,2+13*INT(((27-'Assumption Setting'!$G$71)-1)/12)+MOD((27-'Assumption Setting'!$G$71)-1,12)))*'Assumption Setting'!$F$71*'Assumption Setting'!$E$77</f>
        <v>0.162313802832048</v>
      </c>
      <c r="AF87" s="83" t="n">
        <f aca="true">IF((28-'Assumption Setting'!$G$71)&lt;1,0,OFFSET($A$86,0,2+13*INT(((28-'Assumption Setting'!$G$71)-1)/12)+MOD((28-'Assumption Setting'!$G$71)-1,12)))*'Assumption Setting'!$F$71*'Assumption Setting'!$E$77</f>
        <v>0.162313802832048</v>
      </c>
      <c r="AG87" s="83" t="n">
        <f aca="true">IF((29-'Assumption Setting'!$G$71)&lt;1,0,OFFSET($A$86,0,2+13*INT(((29-'Assumption Setting'!$G$71)-1)/12)+MOD((29-'Assumption Setting'!$G$71)-1,12)))*'Assumption Setting'!$F$71*'Assumption Setting'!$E$77</f>
        <v>0.162313802832048</v>
      </c>
      <c r="AH87" s="83" t="n">
        <f aca="true">IF((30-'Assumption Setting'!$G$71)&lt;1,0,OFFSET($A$86,0,2+13*INT(((30-'Assumption Setting'!$G$71)-1)/12)+MOD((30-'Assumption Setting'!$G$71)-1,12)))*'Assumption Setting'!$F$71*'Assumption Setting'!$E$77</f>
        <v>0.162313802832048</v>
      </c>
      <c r="AI87" s="83" t="n">
        <f aca="true">IF((31-'Assumption Setting'!$G$71)&lt;1,0,OFFSET($A$86,0,2+13*INT(((31-'Assumption Setting'!$G$71)-1)/12)+MOD((31-'Assumption Setting'!$G$71)-1,12)))*'Assumption Setting'!$F$71*'Assumption Setting'!$E$77</f>
        <v>0.162313802832048</v>
      </c>
      <c r="AJ87" s="83" t="n">
        <f aca="true">IF((32-'Assumption Setting'!$G$71)&lt;1,0,OFFSET($A$86,0,2+13*INT(((32-'Assumption Setting'!$G$71)-1)/12)+MOD((32-'Assumption Setting'!$G$71)-1,12)))*'Assumption Setting'!$F$71*'Assumption Setting'!$E$77</f>
        <v>0.162313802832048</v>
      </c>
      <c r="AK87" s="83" t="n">
        <f aca="true">IF((33-'Assumption Setting'!$G$71)&lt;1,0,OFFSET($A$86,0,2+13*INT(((33-'Assumption Setting'!$G$71)-1)/12)+MOD((33-'Assumption Setting'!$G$71)-1,12)))*'Assumption Setting'!$F$71*'Assumption Setting'!$E$77</f>
        <v>0.162313802832048</v>
      </c>
      <c r="AL87" s="83" t="n">
        <f aca="true">IF((34-'Assumption Setting'!$G$71)&lt;1,0,OFFSET($A$86,0,2+13*INT(((34-'Assumption Setting'!$G$71)-1)/12)+MOD((34-'Assumption Setting'!$G$71)-1,12)))*'Assumption Setting'!$F$71*'Assumption Setting'!$E$77</f>
        <v>0.162313802832048</v>
      </c>
      <c r="AM87" s="83" t="n">
        <f aca="true">IF((35-'Assumption Setting'!$G$71)&lt;1,0,OFFSET($A$86,0,2+13*INT(((35-'Assumption Setting'!$G$71)-1)/12)+MOD((35-'Assumption Setting'!$G$71)-1,12)))*'Assumption Setting'!$F$71*'Assumption Setting'!$E$77</f>
        <v>0.162313802832048</v>
      </c>
      <c r="AN87" s="83" t="n">
        <f aca="true">IF((36-'Assumption Setting'!$G$71)&lt;1,0,OFFSET($A$86,0,2+13*INT(((36-'Assumption Setting'!$G$71)-1)/12)+MOD((36-'Assumption Setting'!$G$71)-1,12)))*'Assumption Setting'!$F$71*'Assumption Setting'!$E$77</f>
        <v>0.162313802832048</v>
      </c>
      <c r="AO87" s="80" t="n">
        <f aca="false">SUM(AP87:BA87)</f>
        <v>2.58108475527093</v>
      </c>
      <c r="AP87" s="83" t="n">
        <f aca="true">IF((37-'Assumption Setting'!$G$71)&lt;1,0,OFFSET($A$86,0,2+13*INT(((37-'Assumption Setting'!$G$71)-1)/12)+MOD((37-'Assumption Setting'!$G$71)-1,12)))*'Assumption Setting'!$F$71*'Assumption Setting'!$F$77</f>
        <v>0.16907687795005</v>
      </c>
      <c r="AQ87" s="83" t="n">
        <f aca="true">IF((38-'Assumption Setting'!$G$71)&lt;1,0,OFFSET($A$86,0,2+13*INT(((38-'Assumption Setting'!$G$71)-1)/12)+MOD((38-'Assumption Setting'!$G$71)-1,12)))*'Assumption Setting'!$F$71*'Assumption Setting'!$F$77</f>
        <v>0.219273443392807</v>
      </c>
      <c r="AR87" s="83" t="n">
        <f aca="true">IF((39-'Assumption Setting'!$G$71)&lt;1,0,OFFSET($A$86,0,2+13*INT(((39-'Assumption Setting'!$G$71)-1)/12)+MOD((39-'Assumption Setting'!$G$71)-1,12)))*'Assumption Setting'!$F$71*'Assumption Setting'!$F$77</f>
        <v>0.219273443392807</v>
      </c>
      <c r="AS87" s="83" t="n">
        <f aca="true">IF((40-'Assumption Setting'!$G$71)&lt;1,0,OFFSET($A$86,0,2+13*INT(((40-'Assumption Setting'!$G$71)-1)/12)+MOD((40-'Assumption Setting'!$G$71)-1,12)))*'Assumption Setting'!$F$71*'Assumption Setting'!$F$77</f>
        <v>0.219273443392807</v>
      </c>
      <c r="AT87" s="83" t="n">
        <f aca="true">IF((41-'Assumption Setting'!$G$71)&lt;1,0,OFFSET($A$86,0,2+13*INT(((41-'Assumption Setting'!$G$71)-1)/12)+MOD((41-'Assumption Setting'!$G$71)-1,12)))*'Assumption Setting'!$F$71*'Assumption Setting'!$F$77</f>
        <v>0.219273443392807</v>
      </c>
      <c r="AU87" s="83" t="n">
        <f aca="true">IF((42-'Assumption Setting'!$G$71)&lt;1,0,OFFSET($A$86,0,2+13*INT(((42-'Assumption Setting'!$G$71)-1)/12)+MOD((42-'Assumption Setting'!$G$71)-1,12)))*'Assumption Setting'!$F$71*'Assumption Setting'!$F$77</f>
        <v>0.219273443392807</v>
      </c>
      <c r="AV87" s="83" t="n">
        <f aca="true">IF((43-'Assumption Setting'!$G$71)&lt;1,0,OFFSET($A$86,0,2+13*INT(((43-'Assumption Setting'!$G$71)-1)/12)+MOD((43-'Assumption Setting'!$G$71)-1,12)))*'Assumption Setting'!$F$71*'Assumption Setting'!$F$77</f>
        <v>0.219273443392807</v>
      </c>
      <c r="AW87" s="83" t="n">
        <f aca="true">IF((44-'Assumption Setting'!$G$71)&lt;1,0,OFFSET($A$86,0,2+13*INT(((44-'Assumption Setting'!$G$71)-1)/12)+MOD((44-'Assumption Setting'!$G$71)-1,12)))*'Assumption Setting'!$F$71*'Assumption Setting'!$F$77</f>
        <v>0.219273443392807</v>
      </c>
      <c r="AX87" s="83" t="n">
        <f aca="true">IF((45-'Assumption Setting'!$G$71)&lt;1,0,OFFSET($A$86,0,2+13*INT(((45-'Assumption Setting'!$G$71)-1)/12)+MOD((45-'Assumption Setting'!$G$71)-1,12)))*'Assumption Setting'!$F$71*'Assumption Setting'!$F$77</f>
        <v>0.219273443392807</v>
      </c>
      <c r="AY87" s="83" t="n">
        <f aca="true">IF((46-'Assumption Setting'!$G$71)&lt;1,0,OFFSET($A$86,0,2+13*INT(((46-'Assumption Setting'!$G$71)-1)/12)+MOD((46-'Assumption Setting'!$G$71)-1,12)))*'Assumption Setting'!$F$71*'Assumption Setting'!$F$77</f>
        <v>0.219273443392807</v>
      </c>
      <c r="AZ87" s="83" t="n">
        <f aca="true">IF((47-'Assumption Setting'!$G$71)&lt;1,0,OFFSET($A$86,0,2+13*INT(((47-'Assumption Setting'!$G$71)-1)/12)+MOD((47-'Assumption Setting'!$G$71)-1,12)))*'Assumption Setting'!$F$71*'Assumption Setting'!$F$77</f>
        <v>0.219273443392807</v>
      </c>
      <c r="BA87" s="83" t="n">
        <f aca="true">IF((48-'Assumption Setting'!$G$71)&lt;1,0,OFFSET($A$86,0,2+13*INT(((48-'Assumption Setting'!$G$71)-1)/12)+MOD((48-'Assumption Setting'!$G$71)-1,12)))*'Assumption Setting'!$F$71*'Assumption Setting'!$F$77</f>
        <v>0.219273443392807</v>
      </c>
      <c r="BB87" s="80" t="n">
        <f aca="false">SUM(BC87:BN87)</f>
        <v>3.30972332785309</v>
      </c>
      <c r="BC87" s="83" t="n">
        <f aca="true">IF((49-'Assumption Setting'!$G$71)&lt;1,0,OFFSET($A$86,0,2+13*INT(((49-'Assumption Setting'!$G$71)-1)/12)+MOD((49-'Assumption Setting'!$G$71)-1,12)))*'Assumption Setting'!$F$71*'Assumption Setting'!$G$77</f>
        <v>0.22804438112852</v>
      </c>
      <c r="BD87" s="83" t="n">
        <f aca="true">IF((50-'Assumption Setting'!$G$71)&lt;1,0,OFFSET($A$86,0,2+13*INT(((50-'Assumption Setting'!$G$71)-1)/12)+MOD((50-'Assumption Setting'!$G$71)-1,12)))*'Assumption Setting'!$F$71*'Assumption Setting'!$G$77</f>
        <v>0.280152631520416</v>
      </c>
      <c r="BE87" s="83" t="n">
        <f aca="true">IF((51-'Assumption Setting'!$G$71)&lt;1,0,OFFSET($A$86,0,2+13*INT(((51-'Assumption Setting'!$G$71)-1)/12)+MOD((51-'Assumption Setting'!$G$71)-1,12)))*'Assumption Setting'!$F$71*'Assumption Setting'!$G$77</f>
        <v>0.280152631520416</v>
      </c>
      <c r="BF87" s="83" t="n">
        <f aca="true">IF((52-'Assumption Setting'!$G$71)&lt;1,0,OFFSET($A$86,0,2+13*INT(((52-'Assumption Setting'!$G$71)-1)/12)+MOD((52-'Assumption Setting'!$G$71)-1,12)))*'Assumption Setting'!$F$71*'Assumption Setting'!$G$77</f>
        <v>0.280152631520416</v>
      </c>
      <c r="BG87" s="83" t="n">
        <f aca="true">IF((53-'Assumption Setting'!$G$71)&lt;1,0,OFFSET($A$86,0,2+13*INT(((53-'Assumption Setting'!$G$71)-1)/12)+MOD((53-'Assumption Setting'!$G$71)-1,12)))*'Assumption Setting'!$F$71*'Assumption Setting'!$G$77</f>
        <v>0.280152631520416</v>
      </c>
      <c r="BH87" s="83" t="n">
        <f aca="true">IF((54-'Assumption Setting'!$G$71)&lt;1,0,OFFSET($A$86,0,2+13*INT(((54-'Assumption Setting'!$G$71)-1)/12)+MOD((54-'Assumption Setting'!$G$71)-1,12)))*'Assumption Setting'!$F$71*'Assumption Setting'!$G$77</f>
        <v>0.280152631520416</v>
      </c>
      <c r="BI87" s="83" t="n">
        <f aca="true">IF((55-'Assumption Setting'!$G$71)&lt;1,0,OFFSET($A$86,0,2+13*INT(((55-'Assumption Setting'!$G$71)-1)/12)+MOD((55-'Assumption Setting'!$G$71)-1,12)))*'Assumption Setting'!$F$71*'Assumption Setting'!$G$77</f>
        <v>0.280152631520416</v>
      </c>
      <c r="BJ87" s="83" t="n">
        <f aca="true">IF((56-'Assumption Setting'!$G$71)&lt;1,0,OFFSET($A$86,0,2+13*INT(((56-'Assumption Setting'!$G$71)-1)/12)+MOD((56-'Assumption Setting'!$G$71)-1,12)))*'Assumption Setting'!$F$71*'Assumption Setting'!$G$77</f>
        <v>0.280152631520416</v>
      </c>
      <c r="BK87" s="83" t="n">
        <f aca="true">IF((57-'Assumption Setting'!$G$71)&lt;1,0,OFFSET($A$86,0,2+13*INT(((57-'Assumption Setting'!$G$71)-1)/12)+MOD((57-'Assumption Setting'!$G$71)-1,12)))*'Assumption Setting'!$F$71*'Assumption Setting'!$G$77</f>
        <v>0.280152631520416</v>
      </c>
      <c r="BL87" s="83" t="n">
        <f aca="true">IF((58-'Assumption Setting'!$G$71)&lt;1,0,OFFSET($A$86,0,2+13*INT(((58-'Assumption Setting'!$G$71)-1)/12)+MOD((58-'Assumption Setting'!$G$71)-1,12)))*'Assumption Setting'!$F$71*'Assumption Setting'!$G$77</f>
        <v>0.280152631520416</v>
      </c>
      <c r="BM87" s="83" t="n">
        <f aca="true">IF((59-'Assumption Setting'!$G$71)&lt;1,0,OFFSET($A$86,0,2+13*INT(((59-'Assumption Setting'!$G$71)-1)/12)+MOD((59-'Assumption Setting'!$G$71)-1,12)))*'Assumption Setting'!$F$71*'Assumption Setting'!$G$77</f>
        <v>0.280152631520416</v>
      </c>
      <c r="BN87" s="83" t="n">
        <f aca="true">IF((60-'Assumption Setting'!$G$71)&lt;1,0,OFFSET($A$86,0,2+13*INT(((60-'Assumption Setting'!$G$71)-1)/12)+MOD((60-'Assumption Setting'!$G$71)-1,12)))*'Assumption Setting'!$F$71*'Assumption Setting'!$G$77</f>
        <v>0.280152631520416</v>
      </c>
    </row>
    <row r="88" customFormat="false" ht="15" hidden="false" customHeight="false" outlineLevel="0" collapsed="false">
      <c r="A88" s="69" t="s">
        <v>619</v>
      </c>
      <c r="B88" s="80" t="n">
        <f aca="false">SUM(C88:N88)</f>
        <v>0.469727005083237</v>
      </c>
      <c r="C88" s="86" t="n">
        <f aca="true">IF((1-'Assumption Setting'!$H$71)&lt;1,0,OFFSET($A$87,0,2+13*INT(((1-'Assumption Setting'!$H$71)-1)/12)+MOD((1-'Assumption Setting'!$H$71)-1,12)))</f>
        <v>0</v>
      </c>
      <c r="D88" s="86" t="n">
        <f aca="true">IF((2-'Assumption Setting'!$H$71)&lt;1,0,OFFSET($A$87,0,2+13*INT(((2-'Assumption Setting'!$H$71)-1)/12)+MOD((2-'Assumption Setting'!$H$71)-1,12)))</f>
        <v>0</v>
      </c>
      <c r="E88" s="86" t="n">
        <f aca="true">IF((3-'Assumption Setting'!$H$71)&lt;1,0,OFFSET($A$87,0,2+13*INT(((3-'Assumption Setting'!$H$71)-1)/12)+MOD((3-'Assumption Setting'!$H$71)-1,12)))</f>
        <v>0</v>
      </c>
      <c r="F88" s="86" t="n">
        <f aca="true">IF((4-'Assumption Setting'!$H$71)&lt;1,0,OFFSET($A$87,0,2+13*INT(((4-'Assumption Setting'!$H$71)-1)/12)+MOD((4-'Assumption Setting'!$H$71)-1,12)))</f>
        <v>0</v>
      </c>
      <c r="G88" s="86" t="n">
        <f aca="true">IF((5-'Assumption Setting'!$H$71)&lt;1,0,OFFSET($A$87,0,2+13*INT(((5-'Assumption Setting'!$H$71)-1)/12)+MOD((5-'Assumption Setting'!$H$71)-1,12)))</f>
        <v>0.0587158756354046</v>
      </c>
      <c r="H88" s="86" t="n">
        <f aca="true">IF((6-'Assumption Setting'!$H$71)&lt;1,0,OFFSET($A$87,0,2+13*INT(((6-'Assumption Setting'!$H$71)-1)/12)+MOD((6-'Assumption Setting'!$H$71)-1,12)))</f>
        <v>0.0587158756354046</v>
      </c>
      <c r="I88" s="86" t="n">
        <f aca="true">IF((7-'Assumption Setting'!$H$71)&lt;1,0,OFFSET($A$87,0,2+13*INT(((7-'Assumption Setting'!$H$71)-1)/12)+MOD((7-'Assumption Setting'!$H$71)-1,12)))</f>
        <v>0.0587158756354046</v>
      </c>
      <c r="J88" s="86" t="n">
        <f aca="true">IF((8-'Assumption Setting'!$H$71)&lt;1,0,OFFSET($A$87,0,2+13*INT(((8-'Assumption Setting'!$H$71)-1)/12)+MOD((8-'Assumption Setting'!$H$71)-1,12)))</f>
        <v>0.0587158756354046</v>
      </c>
      <c r="K88" s="86" t="n">
        <f aca="true">IF((9-'Assumption Setting'!$H$71)&lt;1,0,OFFSET($A$87,0,2+13*INT(((9-'Assumption Setting'!$H$71)-1)/12)+MOD((9-'Assumption Setting'!$H$71)-1,12)))</f>
        <v>0.0587158756354046</v>
      </c>
      <c r="L88" s="86" t="n">
        <f aca="true">IF((10-'Assumption Setting'!$H$71)&lt;1,0,OFFSET($A$87,0,2+13*INT(((10-'Assumption Setting'!$H$71)-1)/12)+MOD((10-'Assumption Setting'!$H$71)-1,12)))</f>
        <v>0.0587158756354046</v>
      </c>
      <c r="M88" s="86" t="n">
        <f aca="true">IF((11-'Assumption Setting'!$H$71)&lt;1,0,OFFSET($A$87,0,2+13*INT(((11-'Assumption Setting'!$H$71)-1)/12)+MOD((11-'Assumption Setting'!$H$71)-1,12)))</f>
        <v>0.0587158756354046</v>
      </c>
      <c r="N88" s="86" t="n">
        <f aca="true">IF((12-'Assumption Setting'!$H$71)&lt;1,0,OFFSET($A$87,0,2+13*INT(((12-'Assumption Setting'!$H$71)-1)/12)+MOD((12-'Assumption Setting'!$H$71)-1,12)))</f>
        <v>0.0587158756354046</v>
      </c>
      <c r="O88" s="80" t="n">
        <f aca="false">SUM(P88:AA88)</f>
        <v>1.03437261964608</v>
      </c>
      <c r="P88" s="86" t="n">
        <f aca="true">IF((13-'Assumption Setting'!$H$71)&lt;1,0,OFFSET($A$87,0,2+13*INT(((13-'Assumption Setting'!$H$71)-1)/12)+MOD((13-'Assumption Setting'!$H$71)-1,12)))</f>
        <v>0.0587158756354046</v>
      </c>
      <c r="Q88" s="86" t="n">
        <f aca="true">IF((14-'Assumption Setting'!$H$71)&lt;1,0,OFFSET($A$87,0,2+13*INT(((14-'Assumption Setting'!$H$71)-1)/12)+MOD((14-'Assumption Setting'!$H$71)-1,12)))</f>
        <v>0.0587158756354046</v>
      </c>
      <c r="R88" s="86" t="n">
        <f aca="true">IF((15-'Assumption Setting'!$H$71)&lt;1,0,OFFSET($A$87,0,2+13*INT(((15-'Assumption Setting'!$H$71)-1)/12)+MOD((15-'Assumption Setting'!$H$71)-1,12)))</f>
        <v>0.0587158756354046</v>
      </c>
      <c r="S88" s="86" t="n">
        <f aca="true">IF((16-'Assumption Setting'!$H$71)&lt;1,0,OFFSET($A$87,0,2+13*INT(((16-'Assumption Setting'!$H$71)-1)/12)+MOD((16-'Assumption Setting'!$H$71)-1,12)))</f>
        <v>0.0645874631989451</v>
      </c>
      <c r="T88" s="86" t="n">
        <f aca="true">IF((17-'Assumption Setting'!$H$71)&lt;1,0,OFFSET($A$87,0,2+13*INT(((17-'Assumption Setting'!$H$71)-1)/12)+MOD((17-'Assumption Setting'!$H$71)-1,12)))</f>
        <v>0.0992046911926154</v>
      </c>
      <c r="U88" s="86" t="n">
        <f aca="true">IF((18-'Assumption Setting'!$H$71)&lt;1,0,OFFSET($A$87,0,2+13*INT(((18-'Assumption Setting'!$H$71)-1)/12)+MOD((18-'Assumption Setting'!$H$71)-1,12)))</f>
        <v>0.0992046911926154</v>
      </c>
      <c r="V88" s="86" t="n">
        <f aca="true">IF((19-'Assumption Setting'!$H$71)&lt;1,0,OFFSET($A$87,0,2+13*INT(((19-'Assumption Setting'!$H$71)-1)/12)+MOD((19-'Assumption Setting'!$H$71)-1,12)))</f>
        <v>0.0992046911926154</v>
      </c>
      <c r="W88" s="86" t="n">
        <f aca="true">IF((20-'Assumption Setting'!$H$71)&lt;1,0,OFFSET($A$87,0,2+13*INT(((20-'Assumption Setting'!$H$71)-1)/12)+MOD((20-'Assumption Setting'!$H$71)-1,12)))</f>
        <v>0.0992046911926154</v>
      </c>
      <c r="X88" s="86" t="n">
        <f aca="true">IF((21-'Assumption Setting'!$H$71)&lt;1,0,OFFSET($A$87,0,2+13*INT(((21-'Assumption Setting'!$H$71)-1)/12)+MOD((21-'Assumption Setting'!$H$71)-1,12)))</f>
        <v>0.0992046911926154</v>
      </c>
      <c r="Y88" s="86" t="n">
        <f aca="true">IF((22-'Assumption Setting'!$H$71)&lt;1,0,OFFSET($A$87,0,2+13*INT(((22-'Assumption Setting'!$H$71)-1)/12)+MOD((22-'Assumption Setting'!$H$71)-1,12)))</f>
        <v>0.0992046911926154</v>
      </c>
      <c r="Z88" s="86" t="n">
        <f aca="true">IF((23-'Assumption Setting'!$H$71)&lt;1,0,OFFSET($A$87,0,2+13*INT(((23-'Assumption Setting'!$H$71)-1)/12)+MOD((23-'Assumption Setting'!$H$71)-1,12)))</f>
        <v>0.0992046911926154</v>
      </c>
      <c r="AA88" s="86" t="n">
        <f aca="true">IF((24-'Assumption Setting'!$H$71)&lt;1,0,OFFSET($A$87,0,2+13*INT(((24-'Assumption Setting'!$H$71)-1)/12)+MOD((24-'Assumption Setting'!$H$71)-1,12)))</f>
        <v>0.0992046911926154</v>
      </c>
      <c r="AB88" s="80" t="n">
        <f aca="false">SUM(AC88:AN88)</f>
        <v>1.70434779571708</v>
      </c>
      <c r="AC88" s="86" t="n">
        <f aca="true">IF((25-'Assumption Setting'!$H$71)&lt;1,0,OFFSET($A$87,0,2+13*INT(((25-'Assumption Setting'!$H$71)-1)/12)+MOD((25-'Assumption Setting'!$H$71)-1,12)))</f>
        <v>0.0992046911926154</v>
      </c>
      <c r="AD88" s="86" t="n">
        <f aca="true">IF((26-'Assumption Setting'!$H$71)&lt;1,0,OFFSET($A$87,0,2+13*INT(((26-'Assumption Setting'!$H$71)-1)/12)+MOD((26-'Assumption Setting'!$H$71)-1,12)))</f>
        <v>0.0992046911926154</v>
      </c>
      <c r="AE88" s="86" t="n">
        <f aca="true">IF((27-'Assumption Setting'!$H$71)&lt;1,0,OFFSET($A$87,0,2+13*INT(((27-'Assumption Setting'!$H$71)-1)/12)+MOD((27-'Assumption Setting'!$H$71)-1,12)))</f>
        <v>0.0992046911926154</v>
      </c>
      <c r="AF88" s="86" t="n">
        <f aca="true">IF((28-'Assumption Setting'!$H$71)&lt;1,0,OFFSET($A$87,0,2+13*INT(((28-'Assumption Setting'!$H$71)-1)/12)+MOD((28-'Assumption Setting'!$H$71)-1,12)))</f>
        <v>0.108223299482853</v>
      </c>
      <c r="AG88" s="86" t="n">
        <f aca="true">IF((29-'Assumption Setting'!$H$71)&lt;1,0,OFFSET($A$87,0,2+13*INT(((29-'Assumption Setting'!$H$71)-1)/12)+MOD((29-'Assumption Setting'!$H$71)-1,12)))</f>
        <v>0.162313802832048</v>
      </c>
      <c r="AH88" s="86" t="n">
        <f aca="true">IF((30-'Assumption Setting'!$H$71)&lt;1,0,OFFSET($A$87,0,2+13*INT(((30-'Assumption Setting'!$H$71)-1)/12)+MOD((30-'Assumption Setting'!$H$71)-1,12)))</f>
        <v>0.162313802832048</v>
      </c>
      <c r="AI88" s="86" t="n">
        <f aca="true">IF((31-'Assumption Setting'!$H$71)&lt;1,0,OFFSET($A$87,0,2+13*INT(((31-'Assumption Setting'!$H$71)-1)/12)+MOD((31-'Assumption Setting'!$H$71)-1,12)))</f>
        <v>0.162313802832048</v>
      </c>
      <c r="AJ88" s="86" t="n">
        <f aca="true">IF((32-'Assumption Setting'!$H$71)&lt;1,0,OFFSET($A$87,0,2+13*INT(((32-'Assumption Setting'!$H$71)-1)/12)+MOD((32-'Assumption Setting'!$H$71)-1,12)))</f>
        <v>0.162313802832048</v>
      </c>
      <c r="AK88" s="86" t="n">
        <f aca="true">IF((33-'Assumption Setting'!$H$71)&lt;1,0,OFFSET($A$87,0,2+13*INT(((33-'Assumption Setting'!$H$71)-1)/12)+MOD((33-'Assumption Setting'!$H$71)-1,12)))</f>
        <v>0.162313802832048</v>
      </c>
      <c r="AL88" s="86" t="n">
        <f aca="true">IF((34-'Assumption Setting'!$H$71)&lt;1,0,OFFSET($A$87,0,2+13*INT(((34-'Assumption Setting'!$H$71)-1)/12)+MOD((34-'Assumption Setting'!$H$71)-1,12)))</f>
        <v>0.162313802832048</v>
      </c>
      <c r="AM88" s="86" t="n">
        <f aca="true">IF((35-'Assumption Setting'!$H$71)&lt;1,0,OFFSET($A$87,0,2+13*INT(((35-'Assumption Setting'!$H$71)-1)/12)+MOD((35-'Assumption Setting'!$H$71)-1,12)))</f>
        <v>0.162313802832048</v>
      </c>
      <c r="AN88" s="86" t="n">
        <f aca="true">IF((36-'Assumption Setting'!$H$71)&lt;1,0,OFFSET($A$87,0,2+13*INT(((36-'Assumption Setting'!$H$71)-1)/12)+MOD((36-'Assumption Setting'!$H$71)-1,12)))</f>
        <v>0.162313802832048</v>
      </c>
      <c r="AO88" s="80" t="n">
        <f aca="false">SUM(AP88:BA88)</f>
        <v>2.41020583358865</v>
      </c>
      <c r="AP88" s="86" t="n">
        <f aca="true">IF((37-'Assumption Setting'!$H$71)&lt;1,0,OFFSET($A$87,0,2+13*INT(((37-'Assumption Setting'!$H$71)-1)/12)+MOD((37-'Assumption Setting'!$H$71)-1,12)))</f>
        <v>0.162313802832048</v>
      </c>
      <c r="AQ88" s="86" t="n">
        <f aca="true">IF((38-'Assumption Setting'!$H$71)&lt;1,0,OFFSET($A$87,0,2+13*INT(((38-'Assumption Setting'!$H$71)-1)/12)+MOD((38-'Assumption Setting'!$H$71)-1,12)))</f>
        <v>0.162313802832048</v>
      </c>
      <c r="AR88" s="86" t="n">
        <f aca="true">IF((39-'Assumption Setting'!$H$71)&lt;1,0,OFFSET($A$87,0,2+13*INT(((39-'Assumption Setting'!$H$71)-1)/12)+MOD((39-'Assumption Setting'!$H$71)-1,12)))</f>
        <v>0.162313802832048</v>
      </c>
      <c r="AS88" s="86" t="n">
        <f aca="true">IF((40-'Assumption Setting'!$H$71)&lt;1,0,OFFSET($A$87,0,2+13*INT(((40-'Assumption Setting'!$H$71)-1)/12)+MOD((40-'Assumption Setting'!$H$71)-1,12)))</f>
        <v>0.16907687795005</v>
      </c>
      <c r="AT88" s="86" t="n">
        <f aca="true">IF((41-'Assumption Setting'!$H$71)&lt;1,0,OFFSET($A$87,0,2+13*INT(((41-'Assumption Setting'!$H$71)-1)/12)+MOD((41-'Assumption Setting'!$H$71)-1,12)))</f>
        <v>0.219273443392807</v>
      </c>
      <c r="AU88" s="86" t="n">
        <f aca="true">IF((42-'Assumption Setting'!$H$71)&lt;1,0,OFFSET($A$87,0,2+13*INT(((42-'Assumption Setting'!$H$71)-1)/12)+MOD((42-'Assumption Setting'!$H$71)-1,12)))</f>
        <v>0.219273443392807</v>
      </c>
      <c r="AV88" s="86" t="n">
        <f aca="true">IF((43-'Assumption Setting'!$H$71)&lt;1,0,OFFSET($A$87,0,2+13*INT(((43-'Assumption Setting'!$H$71)-1)/12)+MOD((43-'Assumption Setting'!$H$71)-1,12)))</f>
        <v>0.219273443392807</v>
      </c>
      <c r="AW88" s="86" t="n">
        <f aca="true">IF((44-'Assumption Setting'!$H$71)&lt;1,0,OFFSET($A$87,0,2+13*INT(((44-'Assumption Setting'!$H$71)-1)/12)+MOD((44-'Assumption Setting'!$H$71)-1,12)))</f>
        <v>0.219273443392807</v>
      </c>
      <c r="AX88" s="86" t="n">
        <f aca="true">IF((45-'Assumption Setting'!$H$71)&lt;1,0,OFFSET($A$87,0,2+13*INT(((45-'Assumption Setting'!$H$71)-1)/12)+MOD((45-'Assumption Setting'!$H$71)-1,12)))</f>
        <v>0.219273443392807</v>
      </c>
      <c r="AY88" s="86" t="n">
        <f aca="true">IF((46-'Assumption Setting'!$H$71)&lt;1,0,OFFSET($A$87,0,2+13*INT(((46-'Assumption Setting'!$H$71)-1)/12)+MOD((46-'Assumption Setting'!$H$71)-1,12)))</f>
        <v>0.219273443392807</v>
      </c>
      <c r="AZ88" s="86" t="n">
        <f aca="true">IF((47-'Assumption Setting'!$H$71)&lt;1,0,OFFSET($A$87,0,2+13*INT(((47-'Assumption Setting'!$H$71)-1)/12)+MOD((47-'Assumption Setting'!$H$71)-1,12)))</f>
        <v>0.219273443392807</v>
      </c>
      <c r="BA88" s="86" t="n">
        <f aca="true">IF((48-'Assumption Setting'!$H$71)&lt;1,0,OFFSET($A$87,0,2+13*INT(((48-'Assumption Setting'!$H$71)-1)/12)+MOD((48-'Assumption Setting'!$H$71)-1,12)))</f>
        <v>0.219273443392807</v>
      </c>
      <c r="BB88" s="80" t="n">
        <f aca="false">SUM(BC88:BN88)</f>
        <v>3.12708576347027</v>
      </c>
      <c r="BC88" s="86" t="n">
        <f aca="true">IF((49-'Assumption Setting'!$H$71)&lt;1,0,OFFSET($A$87,0,2+13*INT(((49-'Assumption Setting'!$H$71)-1)/12)+MOD((49-'Assumption Setting'!$H$71)-1,12)))</f>
        <v>0.219273443392807</v>
      </c>
      <c r="BD88" s="86" t="n">
        <f aca="true">IF((50-'Assumption Setting'!$H$71)&lt;1,0,OFFSET($A$87,0,2+13*INT(((50-'Assumption Setting'!$H$71)-1)/12)+MOD((50-'Assumption Setting'!$H$71)-1,12)))</f>
        <v>0.219273443392807</v>
      </c>
      <c r="BE88" s="86" t="n">
        <f aca="true">IF((51-'Assumption Setting'!$H$71)&lt;1,0,OFFSET($A$87,0,2+13*INT(((51-'Assumption Setting'!$H$71)-1)/12)+MOD((51-'Assumption Setting'!$H$71)-1,12)))</f>
        <v>0.219273443392807</v>
      </c>
      <c r="BF88" s="86" t="n">
        <f aca="true">IF((52-'Assumption Setting'!$H$71)&lt;1,0,OFFSET($A$87,0,2+13*INT(((52-'Assumption Setting'!$H$71)-1)/12)+MOD((52-'Assumption Setting'!$H$71)-1,12)))</f>
        <v>0.22804438112852</v>
      </c>
      <c r="BG88" s="86" t="n">
        <f aca="true">IF((53-'Assumption Setting'!$H$71)&lt;1,0,OFFSET($A$87,0,2+13*INT(((53-'Assumption Setting'!$H$71)-1)/12)+MOD((53-'Assumption Setting'!$H$71)-1,12)))</f>
        <v>0.280152631520416</v>
      </c>
      <c r="BH88" s="86" t="n">
        <f aca="true">IF((54-'Assumption Setting'!$H$71)&lt;1,0,OFFSET($A$87,0,2+13*INT(((54-'Assumption Setting'!$H$71)-1)/12)+MOD((54-'Assumption Setting'!$H$71)-1,12)))</f>
        <v>0.280152631520416</v>
      </c>
      <c r="BI88" s="86" t="n">
        <f aca="true">IF((55-'Assumption Setting'!$H$71)&lt;1,0,OFFSET($A$87,0,2+13*INT(((55-'Assumption Setting'!$H$71)-1)/12)+MOD((55-'Assumption Setting'!$H$71)-1,12)))</f>
        <v>0.280152631520416</v>
      </c>
      <c r="BJ88" s="86" t="n">
        <f aca="true">IF((56-'Assumption Setting'!$H$71)&lt;1,0,OFFSET($A$87,0,2+13*INT(((56-'Assumption Setting'!$H$71)-1)/12)+MOD((56-'Assumption Setting'!$H$71)-1,12)))</f>
        <v>0.280152631520416</v>
      </c>
      <c r="BK88" s="86" t="n">
        <f aca="true">IF((57-'Assumption Setting'!$H$71)&lt;1,0,OFFSET($A$87,0,2+13*INT(((57-'Assumption Setting'!$H$71)-1)/12)+MOD((57-'Assumption Setting'!$H$71)-1,12)))</f>
        <v>0.280152631520416</v>
      </c>
      <c r="BL88" s="86" t="n">
        <f aca="true">IF((58-'Assumption Setting'!$H$71)&lt;1,0,OFFSET($A$87,0,2+13*INT(((58-'Assumption Setting'!$H$71)-1)/12)+MOD((58-'Assumption Setting'!$H$71)-1,12)))</f>
        <v>0.280152631520416</v>
      </c>
      <c r="BM88" s="86" t="n">
        <f aca="true">IF((59-'Assumption Setting'!$H$71)&lt;1,0,OFFSET($A$87,0,2+13*INT(((59-'Assumption Setting'!$H$71)-1)/12)+MOD((59-'Assumption Setting'!$H$71)-1,12)))</f>
        <v>0.280152631520416</v>
      </c>
      <c r="BN88" s="86" t="n">
        <f aca="true">IF((60-'Assumption Setting'!$H$71)&lt;1,0,OFFSET($A$87,0,2+13*INT(((60-'Assumption Setting'!$H$71)-1)/12)+MOD((60-'Assumption Setting'!$H$71)-1,12)))</f>
        <v>0.280152631520416</v>
      </c>
    </row>
    <row r="89" customFormat="false" ht="15" hidden="false" customHeight="false" outlineLevel="0" collapsed="false">
      <c r="A89" s="18" t="s">
        <v>285</v>
      </c>
      <c r="B89" s="80" t="n">
        <f aca="false">SUM(C89:N89)</f>
        <v>39.1439170902697</v>
      </c>
      <c r="C89" s="83" t="n">
        <f aca="false">C68*'Assumption Setting'!$C$72</f>
        <v>3.26199309085581</v>
      </c>
      <c r="D89" s="83" t="n">
        <f aca="false">D68*'Assumption Setting'!$C$72</f>
        <v>3.26199309085581</v>
      </c>
      <c r="E89" s="83" t="n">
        <f aca="false">E68*'Assumption Setting'!$C$72</f>
        <v>3.26199309085581</v>
      </c>
      <c r="F89" s="83" t="n">
        <f aca="false">F68*'Assumption Setting'!$C$72</f>
        <v>3.26199309085581</v>
      </c>
      <c r="G89" s="83" t="n">
        <f aca="false">G68*'Assumption Setting'!$C$72</f>
        <v>3.26199309085581</v>
      </c>
      <c r="H89" s="83" t="n">
        <f aca="false">H68*'Assumption Setting'!$C$72</f>
        <v>3.26199309085581</v>
      </c>
      <c r="I89" s="83" t="n">
        <f aca="false">I68*'Assumption Setting'!$C$72</f>
        <v>3.26199309085581</v>
      </c>
      <c r="J89" s="83" t="n">
        <f aca="false">J68*'Assumption Setting'!$C$72</f>
        <v>3.26199309085581</v>
      </c>
      <c r="K89" s="83" t="n">
        <f aca="false">K68*'Assumption Setting'!$C$72</f>
        <v>3.26199309085581</v>
      </c>
      <c r="L89" s="83" t="n">
        <f aca="false">L68*'Assumption Setting'!$C$72</f>
        <v>3.26199309085581</v>
      </c>
      <c r="M89" s="83" t="n">
        <f aca="false">M68*'Assumption Setting'!$C$72</f>
        <v>3.26199309085581</v>
      </c>
      <c r="N89" s="83" t="n">
        <f aca="false">N68*'Assumption Setting'!$C$72</f>
        <v>3.26199309085581</v>
      </c>
      <c r="O89" s="80" t="n">
        <f aca="false">SUM(P89:AA89)</f>
        <v>60.1240552682517</v>
      </c>
      <c r="P89" s="83" t="n">
        <f aca="false">P68*'Assumption Setting'!$C$72</f>
        <v>5.01033793902098</v>
      </c>
      <c r="Q89" s="83" t="n">
        <f aca="false">Q68*'Assumption Setting'!$C$72</f>
        <v>5.01033793902098</v>
      </c>
      <c r="R89" s="83" t="n">
        <f aca="false">R68*'Assumption Setting'!$C$72</f>
        <v>5.01033793902098</v>
      </c>
      <c r="S89" s="83" t="n">
        <f aca="false">S68*'Assumption Setting'!$C$72</f>
        <v>5.01033793902098</v>
      </c>
      <c r="T89" s="83" t="n">
        <f aca="false">T68*'Assumption Setting'!$C$72</f>
        <v>5.01033793902098</v>
      </c>
      <c r="U89" s="83" t="n">
        <f aca="false">U68*'Assumption Setting'!$C$72</f>
        <v>5.01033793902098</v>
      </c>
      <c r="V89" s="83" t="n">
        <f aca="false">V68*'Assumption Setting'!$C$72</f>
        <v>5.01033793902098</v>
      </c>
      <c r="W89" s="83" t="n">
        <f aca="false">W68*'Assumption Setting'!$C$72</f>
        <v>5.01033793902098</v>
      </c>
      <c r="X89" s="83" t="n">
        <f aca="false">X68*'Assumption Setting'!$C$72</f>
        <v>5.01033793902098</v>
      </c>
      <c r="Y89" s="83" t="n">
        <f aca="false">Y68*'Assumption Setting'!$C$72</f>
        <v>5.01033793902098</v>
      </c>
      <c r="Z89" s="83" t="n">
        <f aca="false">Z68*'Assumption Setting'!$C$72</f>
        <v>5.01033793902098</v>
      </c>
      <c r="AA89" s="83" t="n">
        <f aca="false">AA68*'Assumption Setting'!$C$72</f>
        <v>5.01033793902098</v>
      </c>
      <c r="AB89" s="80" t="n">
        <f aca="false">SUM(AC89:AN89)</f>
        <v>90.1743349066933</v>
      </c>
      <c r="AC89" s="83" t="n">
        <f aca="false">AC68*'Assumption Setting'!$C$72</f>
        <v>7.51452790889111</v>
      </c>
      <c r="AD89" s="83" t="n">
        <f aca="false">AD68*'Assumption Setting'!$C$72</f>
        <v>7.51452790889111</v>
      </c>
      <c r="AE89" s="83" t="n">
        <f aca="false">AE68*'Assumption Setting'!$C$72</f>
        <v>7.51452790889111</v>
      </c>
      <c r="AF89" s="83" t="n">
        <f aca="false">AF68*'Assumption Setting'!$C$72</f>
        <v>7.51452790889111</v>
      </c>
      <c r="AG89" s="83" t="n">
        <f aca="false">AG68*'Assumption Setting'!$C$72</f>
        <v>7.51452790889111</v>
      </c>
      <c r="AH89" s="83" t="n">
        <f aca="false">AH68*'Assumption Setting'!$C$72</f>
        <v>7.51452790889111</v>
      </c>
      <c r="AI89" s="83" t="n">
        <f aca="false">AI68*'Assumption Setting'!$C$72</f>
        <v>7.51452790889111</v>
      </c>
      <c r="AJ89" s="83" t="n">
        <f aca="false">AJ68*'Assumption Setting'!$C$72</f>
        <v>7.51452790889111</v>
      </c>
      <c r="AK89" s="83" t="n">
        <f aca="false">AK68*'Assumption Setting'!$C$72</f>
        <v>7.51452790889111</v>
      </c>
      <c r="AL89" s="83" t="n">
        <f aca="false">AL68*'Assumption Setting'!$C$72</f>
        <v>7.51452790889111</v>
      </c>
      <c r="AM89" s="83" t="n">
        <f aca="false">AM68*'Assumption Setting'!$C$72</f>
        <v>7.51452790889111</v>
      </c>
      <c r="AN89" s="83" t="n">
        <f aca="false">AN68*'Assumption Setting'!$C$72</f>
        <v>7.51452790889111</v>
      </c>
      <c r="AO89" s="80" t="n">
        <f aca="false">SUM(AP89:BA89)</f>
        <v>116.945836476164</v>
      </c>
      <c r="AP89" s="83" t="n">
        <f aca="false">AP68*'Assumption Setting'!$C$72</f>
        <v>9.74548637301366</v>
      </c>
      <c r="AQ89" s="83" t="n">
        <f aca="false">AQ68*'Assumption Setting'!$C$72</f>
        <v>9.74548637301366</v>
      </c>
      <c r="AR89" s="83" t="n">
        <f aca="false">AR68*'Assumption Setting'!$C$72</f>
        <v>9.74548637301366</v>
      </c>
      <c r="AS89" s="83" t="n">
        <f aca="false">AS68*'Assumption Setting'!$C$72</f>
        <v>9.74548637301366</v>
      </c>
      <c r="AT89" s="83" t="n">
        <f aca="false">AT68*'Assumption Setting'!$C$72</f>
        <v>9.74548637301366</v>
      </c>
      <c r="AU89" s="83" t="n">
        <f aca="false">AU68*'Assumption Setting'!$C$72</f>
        <v>9.74548637301366</v>
      </c>
      <c r="AV89" s="83" t="n">
        <f aca="false">AV68*'Assumption Setting'!$C$72</f>
        <v>9.74548637301366</v>
      </c>
      <c r="AW89" s="83" t="n">
        <f aca="false">AW68*'Assumption Setting'!$C$72</f>
        <v>9.74548637301366</v>
      </c>
      <c r="AX89" s="83" t="n">
        <f aca="false">AX68*'Assumption Setting'!$C$72</f>
        <v>9.74548637301366</v>
      </c>
      <c r="AY89" s="83" t="n">
        <f aca="false">AY68*'Assumption Setting'!$C$72</f>
        <v>9.74548637301366</v>
      </c>
      <c r="AZ89" s="83" t="n">
        <f aca="false">AZ68*'Assumption Setting'!$C$72</f>
        <v>9.74548637301366</v>
      </c>
      <c r="BA89" s="83" t="n">
        <f aca="false">BA68*'Assumption Setting'!$C$72</f>
        <v>9.74548637301366</v>
      </c>
      <c r="BB89" s="80" t="n">
        <f aca="false">SUM(BC89:BN89)</f>
        <v>143.668016164316</v>
      </c>
      <c r="BC89" s="83" t="n">
        <f aca="false">BC68*'Assumption Setting'!$C$72</f>
        <v>11.9723346803596</v>
      </c>
      <c r="BD89" s="83" t="n">
        <f aca="false">BD68*'Assumption Setting'!$C$72</f>
        <v>11.9723346803596</v>
      </c>
      <c r="BE89" s="83" t="n">
        <f aca="false">BE68*'Assumption Setting'!$C$72</f>
        <v>11.9723346803596</v>
      </c>
      <c r="BF89" s="83" t="n">
        <f aca="false">BF68*'Assumption Setting'!$C$72</f>
        <v>11.9723346803596</v>
      </c>
      <c r="BG89" s="83" t="n">
        <f aca="false">BG68*'Assumption Setting'!$C$72</f>
        <v>11.9723346803596</v>
      </c>
      <c r="BH89" s="83" t="n">
        <f aca="false">BH68*'Assumption Setting'!$C$72</f>
        <v>11.9723346803596</v>
      </c>
      <c r="BI89" s="83" t="n">
        <f aca="false">BI68*'Assumption Setting'!$C$72</f>
        <v>11.9723346803596</v>
      </c>
      <c r="BJ89" s="83" t="n">
        <f aca="false">BJ68*'Assumption Setting'!$C$72</f>
        <v>11.9723346803596</v>
      </c>
      <c r="BK89" s="83" t="n">
        <f aca="false">BK68*'Assumption Setting'!$C$72</f>
        <v>11.9723346803596</v>
      </c>
      <c r="BL89" s="83" t="n">
        <f aca="false">BL68*'Assumption Setting'!$C$72</f>
        <v>11.9723346803596</v>
      </c>
      <c r="BM89" s="83" t="n">
        <f aca="false">BM68*'Assumption Setting'!$C$72</f>
        <v>11.9723346803596</v>
      </c>
      <c r="BN89" s="83" t="n">
        <f aca="false">BN68*'Assumption Setting'!$C$72</f>
        <v>11.9723346803596</v>
      </c>
    </row>
    <row r="90" customFormat="false" ht="15" hidden="false" customHeight="false" outlineLevel="0" collapsed="false">
      <c r="A90" s="12" t="s">
        <v>616</v>
      </c>
      <c r="B90" s="80" t="n">
        <f aca="false">SUM(C90:N90)</f>
        <v>11.7431751270809</v>
      </c>
      <c r="C90" s="81" t="n">
        <f aca="false">C89*'Assumption Setting'!$D$72</f>
        <v>0.978597927256743</v>
      </c>
      <c r="D90" s="81" t="n">
        <f aca="false">D89*'Assumption Setting'!$D$72</f>
        <v>0.978597927256743</v>
      </c>
      <c r="E90" s="81" t="n">
        <f aca="false">E89*'Assumption Setting'!$D$72</f>
        <v>0.978597927256743</v>
      </c>
      <c r="F90" s="81" t="n">
        <f aca="false">F89*'Assumption Setting'!$D$72</f>
        <v>0.978597927256743</v>
      </c>
      <c r="G90" s="81" t="n">
        <f aca="false">G89*'Assumption Setting'!$D$72</f>
        <v>0.978597927256743</v>
      </c>
      <c r="H90" s="81" t="n">
        <f aca="false">H89*'Assumption Setting'!$D$72</f>
        <v>0.978597927256743</v>
      </c>
      <c r="I90" s="81" t="n">
        <f aca="false">I89*'Assumption Setting'!$D$72</f>
        <v>0.978597927256743</v>
      </c>
      <c r="J90" s="81" t="n">
        <f aca="false">J89*'Assumption Setting'!$D$72</f>
        <v>0.978597927256743</v>
      </c>
      <c r="K90" s="81" t="n">
        <f aca="false">K89*'Assumption Setting'!$D$72</f>
        <v>0.978597927256743</v>
      </c>
      <c r="L90" s="81" t="n">
        <f aca="false">L89*'Assumption Setting'!$D$72</f>
        <v>0.978597927256743</v>
      </c>
      <c r="M90" s="81" t="n">
        <f aca="false">M89*'Assumption Setting'!$D$72</f>
        <v>0.978597927256743</v>
      </c>
      <c r="N90" s="81" t="n">
        <f aca="false">N89*'Assumption Setting'!$D$72</f>
        <v>0.978597927256743</v>
      </c>
      <c r="O90" s="80" t="n">
        <f aca="false">SUM(P90:AA90)</f>
        <v>18.0372165804755</v>
      </c>
      <c r="P90" s="81" t="n">
        <f aca="false">P89*'Assumption Setting'!$D$72</f>
        <v>1.50310138170629</v>
      </c>
      <c r="Q90" s="81" t="n">
        <f aca="false">Q89*'Assumption Setting'!$D$72</f>
        <v>1.50310138170629</v>
      </c>
      <c r="R90" s="81" t="n">
        <f aca="false">R89*'Assumption Setting'!$D$72</f>
        <v>1.50310138170629</v>
      </c>
      <c r="S90" s="81" t="n">
        <f aca="false">S89*'Assumption Setting'!$D$72</f>
        <v>1.50310138170629</v>
      </c>
      <c r="T90" s="81" t="n">
        <f aca="false">T89*'Assumption Setting'!$D$72</f>
        <v>1.50310138170629</v>
      </c>
      <c r="U90" s="81" t="n">
        <f aca="false">U89*'Assumption Setting'!$D$72</f>
        <v>1.50310138170629</v>
      </c>
      <c r="V90" s="81" t="n">
        <f aca="false">V89*'Assumption Setting'!$D$72</f>
        <v>1.50310138170629</v>
      </c>
      <c r="W90" s="81" t="n">
        <f aca="false">W89*'Assumption Setting'!$D$72</f>
        <v>1.50310138170629</v>
      </c>
      <c r="X90" s="81" t="n">
        <f aca="false">X89*'Assumption Setting'!$D$72</f>
        <v>1.50310138170629</v>
      </c>
      <c r="Y90" s="81" t="n">
        <f aca="false">Y89*'Assumption Setting'!$D$72</f>
        <v>1.50310138170629</v>
      </c>
      <c r="Z90" s="81" t="n">
        <f aca="false">Z89*'Assumption Setting'!$D$72</f>
        <v>1.50310138170629</v>
      </c>
      <c r="AA90" s="81" t="n">
        <f aca="false">AA89*'Assumption Setting'!$D$72</f>
        <v>1.50310138170629</v>
      </c>
      <c r="AB90" s="80" t="n">
        <f aca="false">SUM(AC90:AN90)</f>
        <v>27.052300472008</v>
      </c>
      <c r="AC90" s="81" t="n">
        <f aca="false">AC89*'Assumption Setting'!$D$72</f>
        <v>2.25435837266733</v>
      </c>
      <c r="AD90" s="81" t="n">
        <f aca="false">AD89*'Assumption Setting'!$D$72</f>
        <v>2.25435837266733</v>
      </c>
      <c r="AE90" s="81" t="n">
        <f aca="false">AE89*'Assumption Setting'!$D$72</f>
        <v>2.25435837266733</v>
      </c>
      <c r="AF90" s="81" t="n">
        <f aca="false">AF89*'Assumption Setting'!$D$72</f>
        <v>2.25435837266733</v>
      </c>
      <c r="AG90" s="81" t="n">
        <f aca="false">AG89*'Assumption Setting'!$D$72</f>
        <v>2.25435837266733</v>
      </c>
      <c r="AH90" s="81" t="n">
        <f aca="false">AH89*'Assumption Setting'!$D$72</f>
        <v>2.25435837266733</v>
      </c>
      <c r="AI90" s="81" t="n">
        <f aca="false">AI89*'Assumption Setting'!$D$72</f>
        <v>2.25435837266733</v>
      </c>
      <c r="AJ90" s="81" t="n">
        <f aca="false">AJ89*'Assumption Setting'!$D$72</f>
        <v>2.25435837266733</v>
      </c>
      <c r="AK90" s="81" t="n">
        <f aca="false">AK89*'Assumption Setting'!$D$72</f>
        <v>2.25435837266733</v>
      </c>
      <c r="AL90" s="81" t="n">
        <f aca="false">AL89*'Assumption Setting'!$D$72</f>
        <v>2.25435837266733</v>
      </c>
      <c r="AM90" s="81" t="n">
        <f aca="false">AM89*'Assumption Setting'!$D$72</f>
        <v>2.25435837266733</v>
      </c>
      <c r="AN90" s="81" t="n">
        <f aca="false">AN89*'Assumption Setting'!$D$72</f>
        <v>2.25435837266733</v>
      </c>
      <c r="AO90" s="80" t="n">
        <f aca="false">SUM(AP90:BA90)</f>
        <v>35.0837509428492</v>
      </c>
      <c r="AP90" s="81" t="n">
        <f aca="false">AP89*'Assumption Setting'!$D$72</f>
        <v>2.9236459119041</v>
      </c>
      <c r="AQ90" s="81" t="n">
        <f aca="false">AQ89*'Assumption Setting'!$D$72</f>
        <v>2.9236459119041</v>
      </c>
      <c r="AR90" s="81" t="n">
        <f aca="false">AR89*'Assumption Setting'!$D$72</f>
        <v>2.9236459119041</v>
      </c>
      <c r="AS90" s="81" t="n">
        <f aca="false">AS89*'Assumption Setting'!$D$72</f>
        <v>2.9236459119041</v>
      </c>
      <c r="AT90" s="81" t="n">
        <f aca="false">AT89*'Assumption Setting'!$D$72</f>
        <v>2.9236459119041</v>
      </c>
      <c r="AU90" s="81" t="n">
        <f aca="false">AU89*'Assumption Setting'!$D$72</f>
        <v>2.9236459119041</v>
      </c>
      <c r="AV90" s="81" t="n">
        <f aca="false">AV89*'Assumption Setting'!$D$72</f>
        <v>2.9236459119041</v>
      </c>
      <c r="AW90" s="81" t="n">
        <f aca="false">AW89*'Assumption Setting'!$D$72</f>
        <v>2.9236459119041</v>
      </c>
      <c r="AX90" s="81" t="n">
        <f aca="false">AX89*'Assumption Setting'!$D$72</f>
        <v>2.9236459119041</v>
      </c>
      <c r="AY90" s="81" t="n">
        <f aca="false">AY89*'Assumption Setting'!$D$72</f>
        <v>2.9236459119041</v>
      </c>
      <c r="AZ90" s="81" t="n">
        <f aca="false">AZ89*'Assumption Setting'!$D$72</f>
        <v>2.9236459119041</v>
      </c>
      <c r="BA90" s="81" t="n">
        <f aca="false">BA89*'Assumption Setting'!$D$72</f>
        <v>2.9236459119041</v>
      </c>
      <c r="BB90" s="80" t="n">
        <f aca="false">SUM(BC90:BN90)</f>
        <v>43.1004048492947</v>
      </c>
      <c r="BC90" s="81" t="n">
        <f aca="false">BC89*'Assumption Setting'!$D$72</f>
        <v>3.59170040410789</v>
      </c>
      <c r="BD90" s="81" t="n">
        <f aca="false">BD89*'Assumption Setting'!$D$72</f>
        <v>3.59170040410789</v>
      </c>
      <c r="BE90" s="81" t="n">
        <f aca="false">BE89*'Assumption Setting'!$D$72</f>
        <v>3.59170040410789</v>
      </c>
      <c r="BF90" s="81" t="n">
        <f aca="false">BF89*'Assumption Setting'!$D$72</f>
        <v>3.59170040410789</v>
      </c>
      <c r="BG90" s="81" t="n">
        <f aca="false">BG89*'Assumption Setting'!$D$72</f>
        <v>3.59170040410789</v>
      </c>
      <c r="BH90" s="81" t="n">
        <f aca="false">BH89*'Assumption Setting'!$D$72</f>
        <v>3.59170040410789</v>
      </c>
      <c r="BI90" s="81" t="n">
        <f aca="false">BI89*'Assumption Setting'!$D$72</f>
        <v>3.59170040410789</v>
      </c>
      <c r="BJ90" s="81" t="n">
        <f aca="false">BJ89*'Assumption Setting'!$D$72</f>
        <v>3.59170040410789</v>
      </c>
      <c r="BK90" s="81" t="n">
        <f aca="false">BK89*'Assumption Setting'!$D$72</f>
        <v>3.59170040410789</v>
      </c>
      <c r="BL90" s="81" t="n">
        <f aca="false">BL89*'Assumption Setting'!$D$72</f>
        <v>3.59170040410789</v>
      </c>
      <c r="BM90" s="81" t="n">
        <f aca="false">BM89*'Assumption Setting'!$D$72</f>
        <v>3.59170040410789</v>
      </c>
      <c r="BN90" s="81" t="n">
        <f aca="false">BN89*'Assumption Setting'!$D$72</f>
        <v>3.59170040410789</v>
      </c>
    </row>
    <row r="91" customFormat="false" ht="15" hidden="false" customHeight="false" outlineLevel="0" collapsed="false">
      <c r="A91" s="12" t="s">
        <v>617</v>
      </c>
      <c r="B91" s="80" t="n">
        <f aca="false">SUM(C91:N91)</f>
        <v>4.11011129447832</v>
      </c>
      <c r="C91" s="81" t="n">
        <f aca="false">C90*'Assumption Setting'!$E$72</f>
        <v>0.34250927453986</v>
      </c>
      <c r="D91" s="81" t="n">
        <f aca="false">D90*'Assumption Setting'!$E$72</f>
        <v>0.34250927453986</v>
      </c>
      <c r="E91" s="81" t="n">
        <f aca="false">E90*'Assumption Setting'!$E$72</f>
        <v>0.34250927453986</v>
      </c>
      <c r="F91" s="81" t="n">
        <f aca="false">F90*'Assumption Setting'!$E$72</f>
        <v>0.34250927453986</v>
      </c>
      <c r="G91" s="81" t="n">
        <f aca="false">G90*'Assumption Setting'!$E$72</f>
        <v>0.34250927453986</v>
      </c>
      <c r="H91" s="81" t="n">
        <f aca="false">H90*'Assumption Setting'!$E$72</f>
        <v>0.34250927453986</v>
      </c>
      <c r="I91" s="81" t="n">
        <f aca="false">I90*'Assumption Setting'!$E$72</f>
        <v>0.34250927453986</v>
      </c>
      <c r="J91" s="81" t="n">
        <f aca="false">J90*'Assumption Setting'!$E$72</f>
        <v>0.34250927453986</v>
      </c>
      <c r="K91" s="81" t="n">
        <f aca="false">K90*'Assumption Setting'!$E$72</f>
        <v>0.34250927453986</v>
      </c>
      <c r="L91" s="81" t="n">
        <f aca="false">L90*'Assumption Setting'!$E$72</f>
        <v>0.34250927453986</v>
      </c>
      <c r="M91" s="81" t="n">
        <f aca="false">M90*'Assumption Setting'!$E$72</f>
        <v>0.34250927453986</v>
      </c>
      <c r="N91" s="81" t="n">
        <f aca="false">N90*'Assumption Setting'!$E$72</f>
        <v>0.34250927453986</v>
      </c>
      <c r="O91" s="80" t="n">
        <f aca="false">SUM(P91:AA91)</f>
        <v>6.31302580316643</v>
      </c>
      <c r="P91" s="81" t="n">
        <f aca="false">P90*'Assumption Setting'!$E$72</f>
        <v>0.526085483597203</v>
      </c>
      <c r="Q91" s="81" t="n">
        <f aca="false">Q90*'Assumption Setting'!$E$72</f>
        <v>0.526085483597203</v>
      </c>
      <c r="R91" s="81" t="n">
        <f aca="false">R90*'Assumption Setting'!$E$72</f>
        <v>0.526085483597203</v>
      </c>
      <c r="S91" s="81" t="n">
        <f aca="false">S90*'Assumption Setting'!$E$72</f>
        <v>0.526085483597203</v>
      </c>
      <c r="T91" s="81" t="n">
        <f aca="false">T90*'Assumption Setting'!$E$72</f>
        <v>0.526085483597203</v>
      </c>
      <c r="U91" s="81" t="n">
        <f aca="false">U90*'Assumption Setting'!$E$72</f>
        <v>0.526085483597203</v>
      </c>
      <c r="V91" s="81" t="n">
        <f aca="false">V90*'Assumption Setting'!$E$72</f>
        <v>0.526085483597203</v>
      </c>
      <c r="W91" s="81" t="n">
        <f aca="false">W90*'Assumption Setting'!$E$72</f>
        <v>0.526085483597203</v>
      </c>
      <c r="X91" s="81" t="n">
        <f aca="false">X90*'Assumption Setting'!$E$72</f>
        <v>0.526085483597203</v>
      </c>
      <c r="Y91" s="81" t="n">
        <f aca="false">Y90*'Assumption Setting'!$E$72</f>
        <v>0.526085483597203</v>
      </c>
      <c r="Z91" s="81" t="n">
        <f aca="false">Z90*'Assumption Setting'!$E$72</f>
        <v>0.526085483597203</v>
      </c>
      <c r="AA91" s="81" t="n">
        <f aca="false">AA90*'Assumption Setting'!$E$72</f>
        <v>0.526085483597203</v>
      </c>
      <c r="AB91" s="80" t="n">
        <f aca="false">SUM(AC91:AN91)</f>
        <v>9.4683051652028</v>
      </c>
      <c r="AC91" s="81" t="n">
        <f aca="false">AC90*'Assumption Setting'!$E$72</f>
        <v>0.789025430433566</v>
      </c>
      <c r="AD91" s="81" t="n">
        <f aca="false">AD90*'Assumption Setting'!$E$72</f>
        <v>0.789025430433566</v>
      </c>
      <c r="AE91" s="81" t="n">
        <f aca="false">AE90*'Assumption Setting'!$E$72</f>
        <v>0.789025430433566</v>
      </c>
      <c r="AF91" s="81" t="n">
        <f aca="false">AF90*'Assumption Setting'!$E$72</f>
        <v>0.789025430433566</v>
      </c>
      <c r="AG91" s="81" t="n">
        <f aca="false">AG90*'Assumption Setting'!$E$72</f>
        <v>0.789025430433566</v>
      </c>
      <c r="AH91" s="81" t="n">
        <f aca="false">AH90*'Assumption Setting'!$E$72</f>
        <v>0.789025430433566</v>
      </c>
      <c r="AI91" s="81" t="n">
        <f aca="false">AI90*'Assumption Setting'!$E$72</f>
        <v>0.789025430433566</v>
      </c>
      <c r="AJ91" s="81" t="n">
        <f aca="false">AJ90*'Assumption Setting'!$E$72</f>
        <v>0.789025430433566</v>
      </c>
      <c r="AK91" s="81" t="n">
        <f aca="false">AK90*'Assumption Setting'!$E$72</f>
        <v>0.789025430433566</v>
      </c>
      <c r="AL91" s="81" t="n">
        <f aca="false">AL90*'Assumption Setting'!$E$72</f>
        <v>0.789025430433566</v>
      </c>
      <c r="AM91" s="81" t="n">
        <f aca="false">AM90*'Assumption Setting'!$E$72</f>
        <v>0.789025430433566</v>
      </c>
      <c r="AN91" s="81" t="n">
        <f aca="false">AN90*'Assumption Setting'!$E$72</f>
        <v>0.789025430433566</v>
      </c>
      <c r="AO91" s="80" t="n">
        <f aca="false">SUM(AP91:BA91)</f>
        <v>12.2793128299972</v>
      </c>
      <c r="AP91" s="81" t="n">
        <f aca="false">AP90*'Assumption Setting'!$E$72</f>
        <v>1.02327606916643</v>
      </c>
      <c r="AQ91" s="81" t="n">
        <f aca="false">AQ90*'Assumption Setting'!$E$72</f>
        <v>1.02327606916643</v>
      </c>
      <c r="AR91" s="81" t="n">
        <f aca="false">AR90*'Assumption Setting'!$E$72</f>
        <v>1.02327606916643</v>
      </c>
      <c r="AS91" s="81" t="n">
        <f aca="false">AS90*'Assumption Setting'!$E$72</f>
        <v>1.02327606916643</v>
      </c>
      <c r="AT91" s="81" t="n">
        <f aca="false">AT90*'Assumption Setting'!$E$72</f>
        <v>1.02327606916643</v>
      </c>
      <c r="AU91" s="81" t="n">
        <f aca="false">AU90*'Assumption Setting'!$E$72</f>
        <v>1.02327606916643</v>
      </c>
      <c r="AV91" s="81" t="n">
        <f aca="false">AV90*'Assumption Setting'!$E$72</f>
        <v>1.02327606916643</v>
      </c>
      <c r="AW91" s="81" t="n">
        <f aca="false">AW90*'Assumption Setting'!$E$72</f>
        <v>1.02327606916643</v>
      </c>
      <c r="AX91" s="81" t="n">
        <f aca="false">AX90*'Assumption Setting'!$E$72</f>
        <v>1.02327606916643</v>
      </c>
      <c r="AY91" s="81" t="n">
        <f aca="false">AY90*'Assumption Setting'!$E$72</f>
        <v>1.02327606916643</v>
      </c>
      <c r="AZ91" s="81" t="n">
        <f aca="false">AZ90*'Assumption Setting'!$E$72</f>
        <v>1.02327606916643</v>
      </c>
      <c r="BA91" s="81" t="n">
        <f aca="false">BA90*'Assumption Setting'!$E$72</f>
        <v>1.02327606916643</v>
      </c>
      <c r="BB91" s="80" t="n">
        <f aca="false">SUM(BC91:BN91)</f>
        <v>15.0851416972531</v>
      </c>
      <c r="BC91" s="81" t="n">
        <f aca="false">BC90*'Assumption Setting'!$E$72</f>
        <v>1.25709514143776</v>
      </c>
      <c r="BD91" s="81" t="n">
        <f aca="false">BD90*'Assumption Setting'!$E$72</f>
        <v>1.25709514143776</v>
      </c>
      <c r="BE91" s="81" t="n">
        <f aca="false">BE90*'Assumption Setting'!$E$72</f>
        <v>1.25709514143776</v>
      </c>
      <c r="BF91" s="81" t="n">
        <f aca="false">BF90*'Assumption Setting'!$E$72</f>
        <v>1.25709514143776</v>
      </c>
      <c r="BG91" s="81" t="n">
        <f aca="false">BG90*'Assumption Setting'!$E$72</f>
        <v>1.25709514143776</v>
      </c>
      <c r="BH91" s="81" t="n">
        <f aca="false">BH90*'Assumption Setting'!$E$72</f>
        <v>1.25709514143776</v>
      </c>
      <c r="BI91" s="81" t="n">
        <f aca="false">BI90*'Assumption Setting'!$E$72</f>
        <v>1.25709514143776</v>
      </c>
      <c r="BJ91" s="81" t="n">
        <f aca="false">BJ90*'Assumption Setting'!$E$72</f>
        <v>1.25709514143776</v>
      </c>
      <c r="BK91" s="81" t="n">
        <f aca="false">BK90*'Assumption Setting'!$E$72</f>
        <v>1.25709514143776</v>
      </c>
      <c r="BL91" s="81" t="n">
        <f aca="false">BL90*'Assumption Setting'!$E$72</f>
        <v>1.25709514143776</v>
      </c>
      <c r="BM91" s="81" t="n">
        <f aca="false">BM90*'Assumption Setting'!$E$72</f>
        <v>1.25709514143776</v>
      </c>
      <c r="BN91" s="81" t="n">
        <f aca="false">BN90*'Assumption Setting'!$E$72</f>
        <v>1.25709514143776</v>
      </c>
    </row>
    <row r="92" customFormat="false" ht="15" hidden="false" customHeight="false" outlineLevel="0" collapsed="false">
      <c r="A92" s="18" t="s">
        <v>618</v>
      </c>
      <c r="B92" s="80" t="n">
        <f aca="false">SUM(C92:N92)</f>
        <v>0.828872444386462</v>
      </c>
      <c r="C92" s="83" t="n">
        <f aca="true">IF((1-'Assumption Setting'!$G$72)&lt;1,0,OFFSET($A$91,0,2+13*INT(((1-'Assumption Setting'!$G$72)-1)/12)+MOD((1-'Assumption Setting'!$G$72)-1,12)))*'Assumption Setting'!$F$72*'Assumption Setting'!$C$77</f>
        <v>0</v>
      </c>
      <c r="D92" s="83" t="n">
        <f aca="true">IF((2-'Assumption Setting'!$G$72)&lt;1,0,OFFSET($A$91,0,2+13*INT(((2-'Assumption Setting'!$G$72)-1)/12)+MOD((2-'Assumption Setting'!$G$72)-1,12)))*'Assumption Setting'!$F$72*'Assumption Setting'!$C$77</f>
        <v>0.0753520403987692</v>
      </c>
      <c r="E92" s="83" t="n">
        <f aca="true">IF((3-'Assumption Setting'!$G$72)&lt;1,0,OFFSET($A$91,0,2+13*INT(((3-'Assumption Setting'!$G$72)-1)/12)+MOD((3-'Assumption Setting'!$G$72)-1,12)))*'Assumption Setting'!$F$72*'Assumption Setting'!$C$77</f>
        <v>0.0753520403987692</v>
      </c>
      <c r="F92" s="83" t="n">
        <f aca="true">IF((4-'Assumption Setting'!$G$72)&lt;1,0,OFFSET($A$91,0,2+13*INT(((4-'Assumption Setting'!$G$72)-1)/12)+MOD((4-'Assumption Setting'!$G$72)-1,12)))*'Assumption Setting'!$F$72*'Assumption Setting'!$C$77</f>
        <v>0.0753520403987692</v>
      </c>
      <c r="G92" s="83" t="n">
        <f aca="true">IF((5-'Assumption Setting'!$G$72)&lt;1,0,OFFSET($A$91,0,2+13*INT(((5-'Assumption Setting'!$G$72)-1)/12)+MOD((5-'Assumption Setting'!$G$72)-1,12)))*'Assumption Setting'!$F$72*'Assumption Setting'!$C$77</f>
        <v>0.0753520403987692</v>
      </c>
      <c r="H92" s="83" t="n">
        <f aca="true">IF((6-'Assumption Setting'!$G$72)&lt;1,0,OFFSET($A$91,0,2+13*INT(((6-'Assumption Setting'!$G$72)-1)/12)+MOD((6-'Assumption Setting'!$G$72)-1,12)))*'Assumption Setting'!$F$72*'Assumption Setting'!$C$77</f>
        <v>0.0753520403987692</v>
      </c>
      <c r="I92" s="83" t="n">
        <f aca="true">IF((7-'Assumption Setting'!$G$72)&lt;1,0,OFFSET($A$91,0,2+13*INT(((7-'Assumption Setting'!$G$72)-1)/12)+MOD((7-'Assumption Setting'!$G$72)-1,12)))*'Assumption Setting'!$F$72*'Assumption Setting'!$C$77</f>
        <v>0.0753520403987692</v>
      </c>
      <c r="J92" s="83" t="n">
        <f aca="true">IF((8-'Assumption Setting'!$G$72)&lt;1,0,OFFSET($A$91,0,2+13*INT(((8-'Assumption Setting'!$G$72)-1)/12)+MOD((8-'Assumption Setting'!$G$72)-1,12)))*'Assumption Setting'!$F$72*'Assumption Setting'!$C$77</f>
        <v>0.0753520403987692</v>
      </c>
      <c r="K92" s="83" t="n">
        <f aca="true">IF((9-'Assumption Setting'!$G$72)&lt;1,0,OFFSET($A$91,0,2+13*INT(((9-'Assumption Setting'!$G$72)-1)/12)+MOD((9-'Assumption Setting'!$G$72)-1,12)))*'Assumption Setting'!$F$72*'Assumption Setting'!$C$77</f>
        <v>0.0753520403987692</v>
      </c>
      <c r="L92" s="83" t="n">
        <f aca="true">IF((10-'Assumption Setting'!$G$72)&lt;1,0,OFFSET($A$91,0,2+13*INT(((10-'Assumption Setting'!$G$72)-1)/12)+MOD((10-'Assumption Setting'!$G$72)-1,12)))*'Assumption Setting'!$F$72*'Assumption Setting'!$C$77</f>
        <v>0.0753520403987692</v>
      </c>
      <c r="M92" s="83" t="n">
        <f aca="true">IF((11-'Assumption Setting'!$G$72)&lt;1,0,OFFSET($A$91,0,2+13*INT(((11-'Assumption Setting'!$G$72)-1)/12)+MOD((11-'Assumption Setting'!$G$72)-1,12)))*'Assumption Setting'!$F$72*'Assumption Setting'!$C$77</f>
        <v>0.0753520403987692</v>
      </c>
      <c r="N92" s="83" t="n">
        <f aca="true">IF((12-'Assumption Setting'!$G$72)&lt;1,0,OFFSET($A$91,0,2+13*INT(((12-'Assumption Setting'!$G$72)-1)/12)+MOD((12-'Assumption Setting'!$G$72)-1,12)))*'Assumption Setting'!$F$72*'Assumption Setting'!$C$77</f>
        <v>0.0753520403987692</v>
      </c>
      <c r="O92" s="80" t="n">
        <f aca="false">SUM(P92:AA92)</f>
        <v>1.4833268017744</v>
      </c>
      <c r="P92" s="83" t="n">
        <f aca="true">IF((13-'Assumption Setting'!$G$72)&lt;1,0,OFFSET($A$91,0,2+13*INT(((13-'Assumption Setting'!$G$72)-1)/12)+MOD((13-'Assumption Setting'!$G$72)-1,12)))*'Assumption Setting'!$F$72*'Assumption Setting'!$D$77</f>
        <v>0.0828872444386462</v>
      </c>
      <c r="Q92" s="83" t="n">
        <f aca="true">IF((14-'Assumption Setting'!$G$72)&lt;1,0,OFFSET($A$91,0,2+13*INT(((14-'Assumption Setting'!$G$72)-1)/12)+MOD((14-'Assumption Setting'!$G$72)-1,12)))*'Assumption Setting'!$F$72*'Assumption Setting'!$D$77</f>
        <v>0.127312687030523</v>
      </c>
      <c r="R92" s="83" t="n">
        <f aca="true">IF((15-'Assumption Setting'!$G$72)&lt;1,0,OFFSET($A$91,0,2+13*INT(((15-'Assumption Setting'!$G$72)-1)/12)+MOD((15-'Assumption Setting'!$G$72)-1,12)))*'Assumption Setting'!$F$72*'Assumption Setting'!$D$77</f>
        <v>0.127312687030523</v>
      </c>
      <c r="S92" s="83" t="n">
        <f aca="true">IF((16-'Assumption Setting'!$G$72)&lt;1,0,OFFSET($A$91,0,2+13*INT(((16-'Assumption Setting'!$G$72)-1)/12)+MOD((16-'Assumption Setting'!$G$72)-1,12)))*'Assumption Setting'!$F$72*'Assumption Setting'!$D$77</f>
        <v>0.127312687030523</v>
      </c>
      <c r="T92" s="83" t="n">
        <f aca="true">IF((17-'Assumption Setting'!$G$72)&lt;1,0,OFFSET($A$91,0,2+13*INT(((17-'Assumption Setting'!$G$72)-1)/12)+MOD((17-'Assumption Setting'!$G$72)-1,12)))*'Assumption Setting'!$F$72*'Assumption Setting'!$D$77</f>
        <v>0.127312687030523</v>
      </c>
      <c r="U92" s="83" t="n">
        <f aca="true">IF((18-'Assumption Setting'!$G$72)&lt;1,0,OFFSET($A$91,0,2+13*INT(((18-'Assumption Setting'!$G$72)-1)/12)+MOD((18-'Assumption Setting'!$G$72)-1,12)))*'Assumption Setting'!$F$72*'Assumption Setting'!$D$77</f>
        <v>0.127312687030523</v>
      </c>
      <c r="V92" s="83" t="n">
        <f aca="true">IF((19-'Assumption Setting'!$G$72)&lt;1,0,OFFSET($A$91,0,2+13*INT(((19-'Assumption Setting'!$G$72)-1)/12)+MOD((19-'Assumption Setting'!$G$72)-1,12)))*'Assumption Setting'!$F$72*'Assumption Setting'!$D$77</f>
        <v>0.127312687030523</v>
      </c>
      <c r="W92" s="83" t="n">
        <f aca="true">IF((20-'Assumption Setting'!$G$72)&lt;1,0,OFFSET($A$91,0,2+13*INT(((20-'Assumption Setting'!$G$72)-1)/12)+MOD((20-'Assumption Setting'!$G$72)-1,12)))*'Assumption Setting'!$F$72*'Assumption Setting'!$D$77</f>
        <v>0.127312687030523</v>
      </c>
      <c r="X92" s="83" t="n">
        <f aca="true">IF((21-'Assumption Setting'!$G$72)&lt;1,0,OFFSET($A$91,0,2+13*INT(((21-'Assumption Setting'!$G$72)-1)/12)+MOD((21-'Assumption Setting'!$G$72)-1,12)))*'Assumption Setting'!$F$72*'Assumption Setting'!$D$77</f>
        <v>0.127312687030523</v>
      </c>
      <c r="Y92" s="83" t="n">
        <f aca="true">IF((22-'Assumption Setting'!$G$72)&lt;1,0,OFFSET($A$91,0,2+13*INT(((22-'Assumption Setting'!$G$72)-1)/12)+MOD((22-'Assumption Setting'!$G$72)-1,12)))*'Assumption Setting'!$F$72*'Assumption Setting'!$D$77</f>
        <v>0.127312687030523</v>
      </c>
      <c r="Z92" s="83" t="n">
        <f aca="true">IF((23-'Assumption Setting'!$G$72)&lt;1,0,OFFSET($A$91,0,2+13*INT(((23-'Assumption Setting'!$G$72)-1)/12)+MOD((23-'Assumption Setting'!$G$72)-1,12)))*'Assumption Setting'!$F$72*'Assumption Setting'!$D$77</f>
        <v>0.127312687030523</v>
      </c>
      <c r="AA92" s="83" t="n">
        <f aca="true">IF((24-'Assumption Setting'!$G$72)&lt;1,0,OFFSET($A$91,0,2+13*INT(((24-'Assumption Setting'!$G$72)-1)/12)+MOD((24-'Assumption Setting'!$G$72)-1,12)))*'Assumption Setting'!$F$72*'Assumption Setting'!$D$77</f>
        <v>0.127312687030523</v>
      </c>
      <c r="AB92" s="80" t="n">
        <f aca="false">SUM(AC92:AN92)</f>
        <v>2.43021641764874</v>
      </c>
      <c r="AC92" s="83" t="n">
        <f aca="true">IF((25-'Assumption Setting'!$G$72)&lt;1,0,OFFSET($A$91,0,2+13*INT(((25-'Assumption Setting'!$G$72)-1)/12)+MOD((25-'Assumption Setting'!$G$72)-1,12)))*'Assumption Setting'!$F$72*'Assumption Setting'!$E$77</f>
        <v>0.138886567669662</v>
      </c>
      <c r="AD92" s="83" t="n">
        <f aca="true">IF((26-'Assumption Setting'!$G$72)&lt;1,0,OFFSET($A$91,0,2+13*INT(((26-'Assumption Setting'!$G$72)-1)/12)+MOD((26-'Assumption Setting'!$G$72)-1,12)))*'Assumption Setting'!$F$72*'Assumption Setting'!$E$77</f>
        <v>0.208302713634462</v>
      </c>
      <c r="AE92" s="83" t="n">
        <f aca="true">IF((27-'Assumption Setting'!$G$72)&lt;1,0,OFFSET($A$91,0,2+13*INT(((27-'Assumption Setting'!$G$72)-1)/12)+MOD((27-'Assumption Setting'!$G$72)-1,12)))*'Assumption Setting'!$F$72*'Assumption Setting'!$E$77</f>
        <v>0.208302713634462</v>
      </c>
      <c r="AF92" s="83" t="n">
        <f aca="true">IF((28-'Assumption Setting'!$G$72)&lt;1,0,OFFSET($A$91,0,2+13*INT(((28-'Assumption Setting'!$G$72)-1)/12)+MOD((28-'Assumption Setting'!$G$72)-1,12)))*'Assumption Setting'!$F$72*'Assumption Setting'!$E$77</f>
        <v>0.208302713634462</v>
      </c>
      <c r="AG92" s="83" t="n">
        <f aca="true">IF((29-'Assumption Setting'!$G$72)&lt;1,0,OFFSET($A$91,0,2+13*INT(((29-'Assumption Setting'!$G$72)-1)/12)+MOD((29-'Assumption Setting'!$G$72)-1,12)))*'Assumption Setting'!$F$72*'Assumption Setting'!$E$77</f>
        <v>0.208302713634462</v>
      </c>
      <c r="AH92" s="83" t="n">
        <f aca="true">IF((30-'Assumption Setting'!$G$72)&lt;1,0,OFFSET($A$91,0,2+13*INT(((30-'Assumption Setting'!$G$72)-1)/12)+MOD((30-'Assumption Setting'!$G$72)-1,12)))*'Assumption Setting'!$F$72*'Assumption Setting'!$E$77</f>
        <v>0.208302713634462</v>
      </c>
      <c r="AI92" s="83" t="n">
        <f aca="true">IF((31-'Assumption Setting'!$G$72)&lt;1,0,OFFSET($A$91,0,2+13*INT(((31-'Assumption Setting'!$G$72)-1)/12)+MOD((31-'Assumption Setting'!$G$72)-1,12)))*'Assumption Setting'!$F$72*'Assumption Setting'!$E$77</f>
        <v>0.208302713634462</v>
      </c>
      <c r="AJ92" s="83" t="n">
        <f aca="true">IF((32-'Assumption Setting'!$G$72)&lt;1,0,OFFSET($A$91,0,2+13*INT(((32-'Assumption Setting'!$G$72)-1)/12)+MOD((32-'Assumption Setting'!$G$72)-1,12)))*'Assumption Setting'!$F$72*'Assumption Setting'!$E$77</f>
        <v>0.208302713634462</v>
      </c>
      <c r="AK92" s="83" t="n">
        <f aca="true">IF((33-'Assumption Setting'!$G$72)&lt;1,0,OFFSET($A$91,0,2+13*INT(((33-'Assumption Setting'!$G$72)-1)/12)+MOD((33-'Assumption Setting'!$G$72)-1,12)))*'Assumption Setting'!$F$72*'Assumption Setting'!$E$77</f>
        <v>0.208302713634462</v>
      </c>
      <c r="AL92" s="83" t="n">
        <f aca="true">IF((34-'Assumption Setting'!$G$72)&lt;1,0,OFFSET($A$91,0,2+13*INT(((34-'Assumption Setting'!$G$72)-1)/12)+MOD((34-'Assumption Setting'!$G$72)-1,12)))*'Assumption Setting'!$F$72*'Assumption Setting'!$E$77</f>
        <v>0.208302713634462</v>
      </c>
      <c r="AM92" s="83" t="n">
        <f aca="true">IF((35-'Assumption Setting'!$G$72)&lt;1,0,OFFSET($A$91,0,2+13*INT(((35-'Assumption Setting'!$G$72)-1)/12)+MOD((35-'Assumption Setting'!$G$72)-1,12)))*'Assumption Setting'!$F$72*'Assumption Setting'!$E$77</f>
        <v>0.208302713634462</v>
      </c>
      <c r="AN92" s="83" t="n">
        <f aca="true">IF((36-'Assumption Setting'!$G$72)&lt;1,0,OFFSET($A$91,0,2+13*INT(((36-'Assumption Setting'!$G$72)-1)/12)+MOD((36-'Assumption Setting'!$G$72)-1,12)))*'Assumption Setting'!$F$72*'Assumption Setting'!$E$77</f>
        <v>0.208302713634462</v>
      </c>
      <c r="AO92" s="80" t="n">
        <f aca="false">SUM(AP92:BA92)</f>
        <v>3.31239210259769</v>
      </c>
      <c r="AP92" s="83" t="n">
        <f aca="true">IF((37-'Assumption Setting'!$G$72)&lt;1,0,OFFSET($A$91,0,2+13*INT(((37-'Assumption Setting'!$G$72)-1)/12)+MOD((37-'Assumption Setting'!$G$72)-1,12)))*'Assumption Setting'!$F$72*'Assumption Setting'!$F$77</f>
        <v>0.216981993369231</v>
      </c>
      <c r="AQ92" s="83" t="n">
        <f aca="true">IF((38-'Assumption Setting'!$G$72)&lt;1,0,OFFSET($A$91,0,2+13*INT(((38-'Assumption Setting'!$G$72)-1)/12)+MOD((38-'Assumption Setting'!$G$72)-1,12)))*'Assumption Setting'!$F$72*'Assumption Setting'!$F$77</f>
        <v>0.281400919020769</v>
      </c>
      <c r="AR92" s="83" t="n">
        <f aca="true">IF((39-'Assumption Setting'!$G$72)&lt;1,0,OFFSET($A$91,0,2+13*INT(((39-'Assumption Setting'!$G$72)-1)/12)+MOD((39-'Assumption Setting'!$G$72)-1,12)))*'Assumption Setting'!$F$72*'Assumption Setting'!$F$77</f>
        <v>0.281400919020769</v>
      </c>
      <c r="AS92" s="83" t="n">
        <f aca="true">IF((40-'Assumption Setting'!$G$72)&lt;1,0,OFFSET($A$91,0,2+13*INT(((40-'Assumption Setting'!$G$72)-1)/12)+MOD((40-'Assumption Setting'!$G$72)-1,12)))*'Assumption Setting'!$F$72*'Assumption Setting'!$F$77</f>
        <v>0.281400919020769</v>
      </c>
      <c r="AT92" s="83" t="n">
        <f aca="true">IF((41-'Assumption Setting'!$G$72)&lt;1,0,OFFSET($A$91,0,2+13*INT(((41-'Assumption Setting'!$G$72)-1)/12)+MOD((41-'Assumption Setting'!$G$72)-1,12)))*'Assumption Setting'!$F$72*'Assumption Setting'!$F$77</f>
        <v>0.281400919020769</v>
      </c>
      <c r="AU92" s="83" t="n">
        <f aca="true">IF((42-'Assumption Setting'!$G$72)&lt;1,0,OFFSET($A$91,0,2+13*INT(((42-'Assumption Setting'!$G$72)-1)/12)+MOD((42-'Assumption Setting'!$G$72)-1,12)))*'Assumption Setting'!$F$72*'Assumption Setting'!$F$77</f>
        <v>0.281400919020769</v>
      </c>
      <c r="AV92" s="83" t="n">
        <f aca="true">IF((43-'Assumption Setting'!$G$72)&lt;1,0,OFFSET($A$91,0,2+13*INT(((43-'Assumption Setting'!$G$72)-1)/12)+MOD((43-'Assumption Setting'!$G$72)-1,12)))*'Assumption Setting'!$F$72*'Assumption Setting'!$F$77</f>
        <v>0.281400919020769</v>
      </c>
      <c r="AW92" s="83" t="n">
        <f aca="true">IF((44-'Assumption Setting'!$G$72)&lt;1,0,OFFSET($A$91,0,2+13*INT(((44-'Assumption Setting'!$G$72)-1)/12)+MOD((44-'Assumption Setting'!$G$72)-1,12)))*'Assumption Setting'!$F$72*'Assumption Setting'!$F$77</f>
        <v>0.281400919020769</v>
      </c>
      <c r="AX92" s="83" t="n">
        <f aca="true">IF((45-'Assumption Setting'!$G$72)&lt;1,0,OFFSET($A$91,0,2+13*INT(((45-'Assumption Setting'!$G$72)-1)/12)+MOD((45-'Assumption Setting'!$G$72)-1,12)))*'Assumption Setting'!$F$72*'Assumption Setting'!$F$77</f>
        <v>0.281400919020769</v>
      </c>
      <c r="AY92" s="83" t="n">
        <f aca="true">IF((46-'Assumption Setting'!$G$72)&lt;1,0,OFFSET($A$91,0,2+13*INT(((46-'Assumption Setting'!$G$72)-1)/12)+MOD((46-'Assumption Setting'!$G$72)-1,12)))*'Assumption Setting'!$F$72*'Assumption Setting'!$F$77</f>
        <v>0.281400919020769</v>
      </c>
      <c r="AZ92" s="83" t="n">
        <f aca="true">IF((47-'Assumption Setting'!$G$72)&lt;1,0,OFFSET($A$91,0,2+13*INT(((47-'Assumption Setting'!$G$72)-1)/12)+MOD((47-'Assumption Setting'!$G$72)-1,12)))*'Assumption Setting'!$F$72*'Assumption Setting'!$F$77</f>
        <v>0.281400919020769</v>
      </c>
      <c r="BA92" s="83" t="n">
        <f aca="true">IF((48-'Assumption Setting'!$G$72)&lt;1,0,OFFSET($A$91,0,2+13*INT(((48-'Assumption Setting'!$G$72)-1)/12)+MOD((48-'Assumption Setting'!$G$72)-1,12)))*'Assumption Setting'!$F$72*'Assumption Setting'!$F$77</f>
        <v>0.281400919020769</v>
      </c>
      <c r="BB92" s="80" t="n">
        <f aca="false">SUM(BC92:BN92)</f>
        <v>4.2474782707448</v>
      </c>
      <c r="BC92" s="83" t="n">
        <f aca="true">IF((49-'Assumption Setting'!$G$72)&lt;1,0,OFFSET($A$91,0,2+13*INT(((49-'Assumption Setting'!$G$72)-1)/12)+MOD((49-'Assumption Setting'!$G$72)-1,12)))*'Assumption Setting'!$F$72*'Assumption Setting'!$G$77</f>
        <v>0.2926569557816</v>
      </c>
      <c r="BD92" s="83" t="n">
        <f aca="true">IF((50-'Assumption Setting'!$G$72)&lt;1,0,OFFSET($A$91,0,2+13*INT(((50-'Assumption Setting'!$G$72)-1)/12)+MOD((50-'Assumption Setting'!$G$72)-1,12)))*'Assumption Setting'!$F$72*'Assumption Setting'!$G$77</f>
        <v>0.3595292104512</v>
      </c>
      <c r="BE92" s="83" t="n">
        <f aca="true">IF((51-'Assumption Setting'!$G$72)&lt;1,0,OFFSET($A$91,0,2+13*INT(((51-'Assumption Setting'!$G$72)-1)/12)+MOD((51-'Assumption Setting'!$G$72)-1,12)))*'Assumption Setting'!$F$72*'Assumption Setting'!$G$77</f>
        <v>0.3595292104512</v>
      </c>
      <c r="BF92" s="83" t="n">
        <f aca="true">IF((52-'Assumption Setting'!$G$72)&lt;1,0,OFFSET($A$91,0,2+13*INT(((52-'Assumption Setting'!$G$72)-1)/12)+MOD((52-'Assumption Setting'!$G$72)-1,12)))*'Assumption Setting'!$F$72*'Assumption Setting'!$G$77</f>
        <v>0.3595292104512</v>
      </c>
      <c r="BG92" s="83" t="n">
        <f aca="true">IF((53-'Assumption Setting'!$G$72)&lt;1,0,OFFSET($A$91,0,2+13*INT(((53-'Assumption Setting'!$G$72)-1)/12)+MOD((53-'Assumption Setting'!$G$72)-1,12)))*'Assumption Setting'!$F$72*'Assumption Setting'!$G$77</f>
        <v>0.3595292104512</v>
      </c>
      <c r="BH92" s="83" t="n">
        <f aca="true">IF((54-'Assumption Setting'!$G$72)&lt;1,0,OFFSET($A$91,0,2+13*INT(((54-'Assumption Setting'!$G$72)-1)/12)+MOD((54-'Assumption Setting'!$G$72)-1,12)))*'Assumption Setting'!$F$72*'Assumption Setting'!$G$77</f>
        <v>0.3595292104512</v>
      </c>
      <c r="BI92" s="83" t="n">
        <f aca="true">IF((55-'Assumption Setting'!$G$72)&lt;1,0,OFFSET($A$91,0,2+13*INT(((55-'Assumption Setting'!$G$72)-1)/12)+MOD((55-'Assumption Setting'!$G$72)-1,12)))*'Assumption Setting'!$F$72*'Assumption Setting'!$G$77</f>
        <v>0.3595292104512</v>
      </c>
      <c r="BJ92" s="83" t="n">
        <f aca="true">IF((56-'Assumption Setting'!$G$72)&lt;1,0,OFFSET($A$91,0,2+13*INT(((56-'Assumption Setting'!$G$72)-1)/12)+MOD((56-'Assumption Setting'!$G$72)-1,12)))*'Assumption Setting'!$F$72*'Assumption Setting'!$G$77</f>
        <v>0.3595292104512</v>
      </c>
      <c r="BK92" s="83" t="n">
        <f aca="true">IF((57-'Assumption Setting'!$G$72)&lt;1,0,OFFSET($A$91,0,2+13*INT(((57-'Assumption Setting'!$G$72)-1)/12)+MOD((57-'Assumption Setting'!$G$72)-1,12)))*'Assumption Setting'!$F$72*'Assumption Setting'!$G$77</f>
        <v>0.3595292104512</v>
      </c>
      <c r="BL92" s="83" t="n">
        <f aca="true">IF((58-'Assumption Setting'!$G$72)&lt;1,0,OFFSET($A$91,0,2+13*INT(((58-'Assumption Setting'!$G$72)-1)/12)+MOD((58-'Assumption Setting'!$G$72)-1,12)))*'Assumption Setting'!$F$72*'Assumption Setting'!$G$77</f>
        <v>0.3595292104512</v>
      </c>
      <c r="BM92" s="83" t="n">
        <f aca="true">IF((59-'Assumption Setting'!$G$72)&lt;1,0,OFFSET($A$91,0,2+13*INT(((59-'Assumption Setting'!$G$72)-1)/12)+MOD((59-'Assumption Setting'!$G$72)-1,12)))*'Assumption Setting'!$F$72*'Assumption Setting'!$G$77</f>
        <v>0.3595292104512</v>
      </c>
      <c r="BN92" s="83" t="n">
        <f aca="true">IF((60-'Assumption Setting'!$G$72)&lt;1,0,OFFSET($A$91,0,2+13*INT(((60-'Assumption Setting'!$G$72)-1)/12)+MOD((60-'Assumption Setting'!$G$72)-1,12)))*'Assumption Setting'!$F$72*'Assumption Setting'!$G$77</f>
        <v>0.3595292104512</v>
      </c>
    </row>
    <row r="93" customFormat="false" ht="15" hidden="false" customHeight="false" outlineLevel="0" collapsed="false">
      <c r="A93" s="69" t="s">
        <v>619</v>
      </c>
      <c r="B93" s="80" t="n">
        <f aca="false">SUM(C93:N93)</f>
        <v>0.678168363588923</v>
      </c>
      <c r="C93" s="86" t="n">
        <f aca="true">IF((1-'Assumption Setting'!$H$72)&lt;1,0,OFFSET($A$92,0,2+13*INT(((1-'Assumption Setting'!$H$72)-1)/12)+MOD((1-'Assumption Setting'!$H$72)-1,12)))</f>
        <v>0</v>
      </c>
      <c r="D93" s="86" t="n">
        <f aca="true">IF((2-'Assumption Setting'!$H$72)&lt;1,0,OFFSET($A$92,0,2+13*INT(((2-'Assumption Setting'!$H$72)-1)/12)+MOD((2-'Assumption Setting'!$H$72)-1,12)))</f>
        <v>0</v>
      </c>
      <c r="E93" s="86" t="n">
        <f aca="true">IF((3-'Assumption Setting'!$H$72)&lt;1,0,OFFSET($A$92,0,2+13*INT(((3-'Assumption Setting'!$H$72)-1)/12)+MOD((3-'Assumption Setting'!$H$72)-1,12)))</f>
        <v>0</v>
      </c>
      <c r="F93" s="86" t="n">
        <f aca="true">IF((4-'Assumption Setting'!$H$72)&lt;1,0,OFFSET($A$92,0,2+13*INT(((4-'Assumption Setting'!$H$72)-1)/12)+MOD((4-'Assumption Setting'!$H$72)-1,12)))</f>
        <v>0.0753520403987692</v>
      </c>
      <c r="G93" s="86" t="n">
        <f aca="true">IF((5-'Assumption Setting'!$H$72)&lt;1,0,OFFSET($A$92,0,2+13*INT(((5-'Assumption Setting'!$H$72)-1)/12)+MOD((5-'Assumption Setting'!$H$72)-1,12)))</f>
        <v>0.0753520403987692</v>
      </c>
      <c r="H93" s="86" t="n">
        <f aca="true">IF((6-'Assumption Setting'!$H$72)&lt;1,0,OFFSET($A$92,0,2+13*INT(((6-'Assumption Setting'!$H$72)-1)/12)+MOD((6-'Assumption Setting'!$H$72)-1,12)))</f>
        <v>0.0753520403987692</v>
      </c>
      <c r="I93" s="86" t="n">
        <f aca="true">IF((7-'Assumption Setting'!$H$72)&lt;1,0,OFFSET($A$92,0,2+13*INT(((7-'Assumption Setting'!$H$72)-1)/12)+MOD((7-'Assumption Setting'!$H$72)-1,12)))</f>
        <v>0.0753520403987692</v>
      </c>
      <c r="J93" s="86" t="n">
        <f aca="true">IF((8-'Assumption Setting'!$H$72)&lt;1,0,OFFSET($A$92,0,2+13*INT(((8-'Assumption Setting'!$H$72)-1)/12)+MOD((8-'Assumption Setting'!$H$72)-1,12)))</f>
        <v>0.0753520403987692</v>
      </c>
      <c r="K93" s="86" t="n">
        <f aca="true">IF((9-'Assumption Setting'!$H$72)&lt;1,0,OFFSET($A$92,0,2+13*INT(((9-'Assumption Setting'!$H$72)-1)/12)+MOD((9-'Assumption Setting'!$H$72)-1,12)))</f>
        <v>0.0753520403987692</v>
      </c>
      <c r="L93" s="86" t="n">
        <f aca="true">IF((10-'Assumption Setting'!$H$72)&lt;1,0,OFFSET($A$92,0,2+13*INT(((10-'Assumption Setting'!$H$72)-1)/12)+MOD((10-'Assumption Setting'!$H$72)-1,12)))</f>
        <v>0.0753520403987692</v>
      </c>
      <c r="M93" s="86" t="n">
        <f aca="true">IF((11-'Assumption Setting'!$H$72)&lt;1,0,OFFSET($A$92,0,2+13*INT(((11-'Assumption Setting'!$H$72)-1)/12)+MOD((11-'Assumption Setting'!$H$72)-1,12)))</f>
        <v>0.0753520403987692</v>
      </c>
      <c r="N93" s="86" t="n">
        <f aca="true">IF((12-'Assumption Setting'!$H$72)&lt;1,0,OFFSET($A$92,0,2+13*INT(((12-'Assumption Setting'!$H$72)-1)/12)+MOD((12-'Assumption Setting'!$H$72)-1,12)))</f>
        <v>0.0753520403987692</v>
      </c>
      <c r="O93" s="80" t="n">
        <f aca="false">SUM(P93:AA93)</f>
        <v>1.37940550851089</v>
      </c>
      <c r="P93" s="86" t="n">
        <f aca="true">IF((13-'Assumption Setting'!$H$72)&lt;1,0,OFFSET($A$92,0,2+13*INT(((13-'Assumption Setting'!$H$72)-1)/12)+MOD((13-'Assumption Setting'!$H$72)-1,12)))</f>
        <v>0.0753520403987692</v>
      </c>
      <c r="Q93" s="86" t="n">
        <f aca="true">IF((14-'Assumption Setting'!$H$72)&lt;1,0,OFFSET($A$92,0,2+13*INT(((14-'Assumption Setting'!$H$72)-1)/12)+MOD((14-'Assumption Setting'!$H$72)-1,12)))</f>
        <v>0.0753520403987692</v>
      </c>
      <c r="R93" s="86" t="n">
        <f aca="true">IF((15-'Assumption Setting'!$H$72)&lt;1,0,OFFSET($A$92,0,2+13*INT(((15-'Assumption Setting'!$H$72)-1)/12)+MOD((15-'Assumption Setting'!$H$72)-1,12)))</f>
        <v>0.0828872444386462</v>
      </c>
      <c r="S93" s="86" t="n">
        <f aca="true">IF((16-'Assumption Setting'!$H$72)&lt;1,0,OFFSET($A$92,0,2+13*INT(((16-'Assumption Setting'!$H$72)-1)/12)+MOD((16-'Assumption Setting'!$H$72)-1,12)))</f>
        <v>0.127312687030523</v>
      </c>
      <c r="T93" s="86" t="n">
        <f aca="true">IF((17-'Assumption Setting'!$H$72)&lt;1,0,OFFSET($A$92,0,2+13*INT(((17-'Assumption Setting'!$H$72)-1)/12)+MOD((17-'Assumption Setting'!$H$72)-1,12)))</f>
        <v>0.127312687030523</v>
      </c>
      <c r="U93" s="86" t="n">
        <f aca="true">IF((18-'Assumption Setting'!$H$72)&lt;1,0,OFFSET($A$92,0,2+13*INT(((18-'Assumption Setting'!$H$72)-1)/12)+MOD((18-'Assumption Setting'!$H$72)-1,12)))</f>
        <v>0.127312687030523</v>
      </c>
      <c r="V93" s="86" t="n">
        <f aca="true">IF((19-'Assumption Setting'!$H$72)&lt;1,0,OFFSET($A$92,0,2+13*INT(((19-'Assumption Setting'!$H$72)-1)/12)+MOD((19-'Assumption Setting'!$H$72)-1,12)))</f>
        <v>0.127312687030523</v>
      </c>
      <c r="W93" s="86" t="n">
        <f aca="true">IF((20-'Assumption Setting'!$H$72)&lt;1,0,OFFSET($A$92,0,2+13*INT(((20-'Assumption Setting'!$H$72)-1)/12)+MOD((20-'Assumption Setting'!$H$72)-1,12)))</f>
        <v>0.127312687030523</v>
      </c>
      <c r="X93" s="86" t="n">
        <f aca="true">IF((21-'Assumption Setting'!$H$72)&lt;1,0,OFFSET($A$92,0,2+13*INT(((21-'Assumption Setting'!$H$72)-1)/12)+MOD((21-'Assumption Setting'!$H$72)-1,12)))</f>
        <v>0.127312687030523</v>
      </c>
      <c r="Y93" s="86" t="n">
        <f aca="true">IF((22-'Assumption Setting'!$H$72)&lt;1,0,OFFSET($A$92,0,2+13*INT(((22-'Assumption Setting'!$H$72)-1)/12)+MOD((22-'Assumption Setting'!$H$72)-1,12)))</f>
        <v>0.127312687030523</v>
      </c>
      <c r="Z93" s="86" t="n">
        <f aca="true">IF((23-'Assumption Setting'!$H$72)&lt;1,0,OFFSET($A$92,0,2+13*INT(((23-'Assumption Setting'!$H$72)-1)/12)+MOD((23-'Assumption Setting'!$H$72)-1,12)))</f>
        <v>0.127312687030523</v>
      </c>
      <c r="AA93" s="86" t="n">
        <f aca="true">IF((24-'Assumption Setting'!$H$72)&lt;1,0,OFFSET($A$92,0,2+13*INT(((24-'Assumption Setting'!$H$72)-1)/12)+MOD((24-'Assumption Setting'!$H$72)-1,12)))</f>
        <v>0.127312687030523</v>
      </c>
      <c r="AB93" s="80" t="n">
        <f aca="false">SUM(AC93:AN93)</f>
        <v>2.26823636444086</v>
      </c>
      <c r="AC93" s="86" t="n">
        <f aca="true">IF((25-'Assumption Setting'!$H$72)&lt;1,0,OFFSET($A$92,0,2+13*INT(((25-'Assumption Setting'!$H$72)-1)/12)+MOD((25-'Assumption Setting'!$H$72)-1,12)))</f>
        <v>0.127312687030523</v>
      </c>
      <c r="AD93" s="86" t="n">
        <f aca="true">IF((26-'Assumption Setting'!$H$72)&lt;1,0,OFFSET($A$92,0,2+13*INT(((26-'Assumption Setting'!$H$72)-1)/12)+MOD((26-'Assumption Setting'!$H$72)-1,12)))</f>
        <v>0.127312687030523</v>
      </c>
      <c r="AE93" s="86" t="n">
        <f aca="true">IF((27-'Assumption Setting'!$H$72)&lt;1,0,OFFSET($A$92,0,2+13*INT(((27-'Assumption Setting'!$H$72)-1)/12)+MOD((27-'Assumption Setting'!$H$72)-1,12)))</f>
        <v>0.138886567669662</v>
      </c>
      <c r="AF93" s="86" t="n">
        <f aca="true">IF((28-'Assumption Setting'!$H$72)&lt;1,0,OFFSET($A$92,0,2+13*INT(((28-'Assumption Setting'!$H$72)-1)/12)+MOD((28-'Assumption Setting'!$H$72)-1,12)))</f>
        <v>0.208302713634462</v>
      </c>
      <c r="AG93" s="86" t="n">
        <f aca="true">IF((29-'Assumption Setting'!$H$72)&lt;1,0,OFFSET($A$92,0,2+13*INT(((29-'Assumption Setting'!$H$72)-1)/12)+MOD((29-'Assumption Setting'!$H$72)-1,12)))</f>
        <v>0.208302713634462</v>
      </c>
      <c r="AH93" s="86" t="n">
        <f aca="true">IF((30-'Assumption Setting'!$H$72)&lt;1,0,OFFSET($A$92,0,2+13*INT(((30-'Assumption Setting'!$H$72)-1)/12)+MOD((30-'Assumption Setting'!$H$72)-1,12)))</f>
        <v>0.208302713634462</v>
      </c>
      <c r="AI93" s="86" t="n">
        <f aca="true">IF((31-'Assumption Setting'!$H$72)&lt;1,0,OFFSET($A$92,0,2+13*INT(((31-'Assumption Setting'!$H$72)-1)/12)+MOD((31-'Assumption Setting'!$H$72)-1,12)))</f>
        <v>0.208302713634462</v>
      </c>
      <c r="AJ93" s="86" t="n">
        <f aca="true">IF((32-'Assumption Setting'!$H$72)&lt;1,0,OFFSET($A$92,0,2+13*INT(((32-'Assumption Setting'!$H$72)-1)/12)+MOD((32-'Assumption Setting'!$H$72)-1,12)))</f>
        <v>0.208302713634462</v>
      </c>
      <c r="AK93" s="86" t="n">
        <f aca="true">IF((33-'Assumption Setting'!$H$72)&lt;1,0,OFFSET($A$92,0,2+13*INT(((33-'Assumption Setting'!$H$72)-1)/12)+MOD((33-'Assumption Setting'!$H$72)-1,12)))</f>
        <v>0.208302713634462</v>
      </c>
      <c r="AL93" s="86" t="n">
        <f aca="true">IF((34-'Assumption Setting'!$H$72)&lt;1,0,OFFSET($A$92,0,2+13*INT(((34-'Assumption Setting'!$H$72)-1)/12)+MOD((34-'Assumption Setting'!$H$72)-1,12)))</f>
        <v>0.208302713634462</v>
      </c>
      <c r="AM93" s="86" t="n">
        <f aca="true">IF((35-'Assumption Setting'!$H$72)&lt;1,0,OFFSET($A$92,0,2+13*INT(((35-'Assumption Setting'!$H$72)-1)/12)+MOD((35-'Assumption Setting'!$H$72)-1,12)))</f>
        <v>0.208302713634462</v>
      </c>
      <c r="AN93" s="86" t="n">
        <f aca="true">IF((36-'Assumption Setting'!$H$72)&lt;1,0,OFFSET($A$92,0,2+13*INT(((36-'Assumption Setting'!$H$72)-1)/12)+MOD((36-'Assumption Setting'!$H$72)-1,12)))</f>
        <v>0.208302713634462</v>
      </c>
      <c r="AO93" s="80" t="n">
        <f aca="false">SUM(AP93:BA93)</f>
        <v>3.16619569182508</v>
      </c>
      <c r="AP93" s="86" t="n">
        <f aca="true">IF((37-'Assumption Setting'!$H$72)&lt;1,0,OFFSET($A$92,0,2+13*INT(((37-'Assumption Setting'!$H$72)-1)/12)+MOD((37-'Assumption Setting'!$H$72)-1,12)))</f>
        <v>0.208302713634462</v>
      </c>
      <c r="AQ93" s="86" t="n">
        <f aca="true">IF((38-'Assumption Setting'!$H$72)&lt;1,0,OFFSET($A$92,0,2+13*INT(((38-'Assumption Setting'!$H$72)-1)/12)+MOD((38-'Assumption Setting'!$H$72)-1,12)))</f>
        <v>0.208302713634462</v>
      </c>
      <c r="AR93" s="86" t="n">
        <f aca="true">IF((39-'Assumption Setting'!$H$72)&lt;1,0,OFFSET($A$92,0,2+13*INT(((39-'Assumption Setting'!$H$72)-1)/12)+MOD((39-'Assumption Setting'!$H$72)-1,12)))</f>
        <v>0.216981993369231</v>
      </c>
      <c r="AS93" s="86" t="n">
        <f aca="true">IF((40-'Assumption Setting'!$H$72)&lt;1,0,OFFSET($A$92,0,2+13*INT(((40-'Assumption Setting'!$H$72)-1)/12)+MOD((40-'Assumption Setting'!$H$72)-1,12)))</f>
        <v>0.281400919020769</v>
      </c>
      <c r="AT93" s="86" t="n">
        <f aca="true">IF((41-'Assumption Setting'!$H$72)&lt;1,0,OFFSET($A$92,0,2+13*INT(((41-'Assumption Setting'!$H$72)-1)/12)+MOD((41-'Assumption Setting'!$H$72)-1,12)))</f>
        <v>0.281400919020769</v>
      </c>
      <c r="AU93" s="86" t="n">
        <f aca="true">IF((42-'Assumption Setting'!$H$72)&lt;1,0,OFFSET($A$92,0,2+13*INT(((42-'Assumption Setting'!$H$72)-1)/12)+MOD((42-'Assumption Setting'!$H$72)-1,12)))</f>
        <v>0.281400919020769</v>
      </c>
      <c r="AV93" s="86" t="n">
        <f aca="true">IF((43-'Assumption Setting'!$H$72)&lt;1,0,OFFSET($A$92,0,2+13*INT(((43-'Assumption Setting'!$H$72)-1)/12)+MOD((43-'Assumption Setting'!$H$72)-1,12)))</f>
        <v>0.281400919020769</v>
      </c>
      <c r="AW93" s="86" t="n">
        <f aca="true">IF((44-'Assumption Setting'!$H$72)&lt;1,0,OFFSET($A$92,0,2+13*INT(((44-'Assumption Setting'!$H$72)-1)/12)+MOD((44-'Assumption Setting'!$H$72)-1,12)))</f>
        <v>0.281400919020769</v>
      </c>
      <c r="AX93" s="86" t="n">
        <f aca="true">IF((45-'Assumption Setting'!$H$72)&lt;1,0,OFFSET($A$92,0,2+13*INT(((45-'Assumption Setting'!$H$72)-1)/12)+MOD((45-'Assumption Setting'!$H$72)-1,12)))</f>
        <v>0.281400919020769</v>
      </c>
      <c r="AY93" s="86" t="n">
        <f aca="true">IF((46-'Assumption Setting'!$H$72)&lt;1,0,OFFSET($A$92,0,2+13*INT(((46-'Assumption Setting'!$H$72)-1)/12)+MOD((46-'Assumption Setting'!$H$72)-1,12)))</f>
        <v>0.281400919020769</v>
      </c>
      <c r="AZ93" s="86" t="n">
        <f aca="true">IF((47-'Assumption Setting'!$H$72)&lt;1,0,OFFSET($A$92,0,2+13*INT(((47-'Assumption Setting'!$H$72)-1)/12)+MOD((47-'Assumption Setting'!$H$72)-1,12)))</f>
        <v>0.281400919020769</v>
      </c>
      <c r="BA93" s="86" t="n">
        <f aca="true">IF((48-'Assumption Setting'!$H$72)&lt;1,0,OFFSET($A$92,0,2+13*INT(((48-'Assumption Setting'!$H$72)-1)/12)+MOD((48-'Assumption Setting'!$H$72)-1,12)))</f>
        <v>0.281400919020769</v>
      </c>
      <c r="BB93" s="80" t="n">
        <f aca="false">SUM(BC93:BN93)</f>
        <v>4.09122168788394</v>
      </c>
      <c r="BC93" s="86" t="n">
        <f aca="true">IF((49-'Assumption Setting'!$H$72)&lt;1,0,OFFSET($A$92,0,2+13*INT(((49-'Assumption Setting'!$H$72)-1)/12)+MOD((49-'Assumption Setting'!$H$72)-1,12)))</f>
        <v>0.281400919020769</v>
      </c>
      <c r="BD93" s="86" t="n">
        <f aca="true">IF((50-'Assumption Setting'!$H$72)&lt;1,0,OFFSET($A$92,0,2+13*INT(((50-'Assumption Setting'!$H$72)-1)/12)+MOD((50-'Assumption Setting'!$H$72)-1,12)))</f>
        <v>0.281400919020769</v>
      </c>
      <c r="BE93" s="86" t="n">
        <f aca="true">IF((51-'Assumption Setting'!$H$72)&lt;1,0,OFFSET($A$92,0,2+13*INT(((51-'Assumption Setting'!$H$72)-1)/12)+MOD((51-'Assumption Setting'!$H$72)-1,12)))</f>
        <v>0.2926569557816</v>
      </c>
      <c r="BF93" s="86" t="n">
        <f aca="true">IF((52-'Assumption Setting'!$H$72)&lt;1,0,OFFSET($A$92,0,2+13*INT(((52-'Assumption Setting'!$H$72)-1)/12)+MOD((52-'Assumption Setting'!$H$72)-1,12)))</f>
        <v>0.3595292104512</v>
      </c>
      <c r="BG93" s="86" t="n">
        <f aca="true">IF((53-'Assumption Setting'!$H$72)&lt;1,0,OFFSET($A$92,0,2+13*INT(((53-'Assumption Setting'!$H$72)-1)/12)+MOD((53-'Assumption Setting'!$H$72)-1,12)))</f>
        <v>0.3595292104512</v>
      </c>
      <c r="BH93" s="86" t="n">
        <f aca="true">IF((54-'Assumption Setting'!$H$72)&lt;1,0,OFFSET($A$92,0,2+13*INT(((54-'Assumption Setting'!$H$72)-1)/12)+MOD((54-'Assumption Setting'!$H$72)-1,12)))</f>
        <v>0.3595292104512</v>
      </c>
      <c r="BI93" s="86" t="n">
        <f aca="true">IF((55-'Assumption Setting'!$H$72)&lt;1,0,OFFSET($A$92,0,2+13*INT(((55-'Assumption Setting'!$H$72)-1)/12)+MOD((55-'Assumption Setting'!$H$72)-1,12)))</f>
        <v>0.3595292104512</v>
      </c>
      <c r="BJ93" s="86" t="n">
        <f aca="true">IF((56-'Assumption Setting'!$H$72)&lt;1,0,OFFSET($A$92,0,2+13*INT(((56-'Assumption Setting'!$H$72)-1)/12)+MOD((56-'Assumption Setting'!$H$72)-1,12)))</f>
        <v>0.3595292104512</v>
      </c>
      <c r="BK93" s="86" t="n">
        <f aca="true">IF((57-'Assumption Setting'!$H$72)&lt;1,0,OFFSET($A$92,0,2+13*INT(((57-'Assumption Setting'!$H$72)-1)/12)+MOD((57-'Assumption Setting'!$H$72)-1,12)))</f>
        <v>0.3595292104512</v>
      </c>
      <c r="BL93" s="86" t="n">
        <f aca="true">IF((58-'Assumption Setting'!$H$72)&lt;1,0,OFFSET($A$92,0,2+13*INT(((58-'Assumption Setting'!$H$72)-1)/12)+MOD((58-'Assumption Setting'!$H$72)-1,12)))</f>
        <v>0.3595292104512</v>
      </c>
      <c r="BM93" s="86" t="n">
        <f aca="true">IF((59-'Assumption Setting'!$H$72)&lt;1,0,OFFSET($A$92,0,2+13*INT(((59-'Assumption Setting'!$H$72)-1)/12)+MOD((59-'Assumption Setting'!$H$72)-1,12)))</f>
        <v>0.3595292104512</v>
      </c>
      <c r="BN93" s="86" t="n">
        <f aca="true">IF((60-'Assumption Setting'!$H$72)&lt;1,0,OFFSET($A$92,0,2+13*INT(((60-'Assumption Setting'!$H$72)-1)/12)+MOD((60-'Assumption Setting'!$H$72)-1,12)))</f>
        <v>0.3595292104512</v>
      </c>
    </row>
    <row r="94" customFormat="false" ht="15" hidden="false" customHeight="false" outlineLevel="0" collapsed="false">
      <c r="A94" s="18" t="s">
        <v>287</v>
      </c>
      <c r="B94" s="80" t="n">
        <f aca="false">SUM(C94:N94)</f>
        <v>31.3151336722158</v>
      </c>
      <c r="C94" s="83" t="n">
        <f aca="false">C68*'Assumption Setting'!$C$73</f>
        <v>2.60959447268465</v>
      </c>
      <c r="D94" s="83" t="n">
        <f aca="false">D68*'Assumption Setting'!$C$73</f>
        <v>2.60959447268465</v>
      </c>
      <c r="E94" s="83" t="n">
        <f aca="false">E68*'Assumption Setting'!$C$73</f>
        <v>2.60959447268465</v>
      </c>
      <c r="F94" s="83" t="n">
        <f aca="false">F68*'Assumption Setting'!$C$73</f>
        <v>2.60959447268465</v>
      </c>
      <c r="G94" s="83" t="n">
        <f aca="false">G68*'Assumption Setting'!$C$73</f>
        <v>2.60959447268465</v>
      </c>
      <c r="H94" s="83" t="n">
        <f aca="false">H68*'Assumption Setting'!$C$73</f>
        <v>2.60959447268465</v>
      </c>
      <c r="I94" s="83" t="n">
        <f aca="false">I68*'Assumption Setting'!$C$73</f>
        <v>2.60959447268465</v>
      </c>
      <c r="J94" s="83" t="n">
        <f aca="false">J68*'Assumption Setting'!$C$73</f>
        <v>2.60959447268465</v>
      </c>
      <c r="K94" s="83" t="n">
        <f aca="false">K68*'Assumption Setting'!$C$73</f>
        <v>2.60959447268465</v>
      </c>
      <c r="L94" s="83" t="n">
        <f aca="false">L68*'Assumption Setting'!$C$73</f>
        <v>2.60959447268465</v>
      </c>
      <c r="M94" s="83" t="n">
        <f aca="false">M68*'Assumption Setting'!$C$73</f>
        <v>2.60959447268465</v>
      </c>
      <c r="N94" s="83" t="n">
        <f aca="false">N68*'Assumption Setting'!$C$73</f>
        <v>2.60959447268465</v>
      </c>
      <c r="O94" s="80" t="n">
        <f aca="false">SUM(P94:AA94)</f>
        <v>48.0992442146014</v>
      </c>
      <c r="P94" s="83" t="n">
        <f aca="false">P68*'Assumption Setting'!$C$73</f>
        <v>4.00827035121678</v>
      </c>
      <c r="Q94" s="83" t="n">
        <f aca="false">Q68*'Assumption Setting'!$C$73</f>
        <v>4.00827035121678</v>
      </c>
      <c r="R94" s="83" t="n">
        <f aca="false">R68*'Assumption Setting'!$C$73</f>
        <v>4.00827035121678</v>
      </c>
      <c r="S94" s="83" t="n">
        <f aca="false">S68*'Assumption Setting'!$C$73</f>
        <v>4.00827035121678</v>
      </c>
      <c r="T94" s="83" t="n">
        <f aca="false">T68*'Assumption Setting'!$C$73</f>
        <v>4.00827035121678</v>
      </c>
      <c r="U94" s="83" t="n">
        <f aca="false">U68*'Assumption Setting'!$C$73</f>
        <v>4.00827035121678</v>
      </c>
      <c r="V94" s="83" t="n">
        <f aca="false">V68*'Assumption Setting'!$C$73</f>
        <v>4.00827035121678</v>
      </c>
      <c r="W94" s="83" t="n">
        <f aca="false">W68*'Assumption Setting'!$C$73</f>
        <v>4.00827035121678</v>
      </c>
      <c r="X94" s="83" t="n">
        <f aca="false">X68*'Assumption Setting'!$C$73</f>
        <v>4.00827035121678</v>
      </c>
      <c r="Y94" s="83" t="n">
        <f aca="false">Y68*'Assumption Setting'!$C$73</f>
        <v>4.00827035121678</v>
      </c>
      <c r="Z94" s="83" t="n">
        <f aca="false">Z68*'Assumption Setting'!$C$73</f>
        <v>4.00827035121678</v>
      </c>
      <c r="AA94" s="83" t="n">
        <f aca="false">AA68*'Assumption Setting'!$C$73</f>
        <v>4.00827035121678</v>
      </c>
      <c r="AB94" s="80" t="n">
        <f aca="false">SUM(AC94:AN94)</f>
        <v>72.1394679253547</v>
      </c>
      <c r="AC94" s="83" t="n">
        <f aca="false">AC68*'Assumption Setting'!$C$73</f>
        <v>6.01162232711289</v>
      </c>
      <c r="AD94" s="83" t="n">
        <f aca="false">AD68*'Assumption Setting'!$C$73</f>
        <v>6.01162232711289</v>
      </c>
      <c r="AE94" s="83" t="n">
        <f aca="false">AE68*'Assumption Setting'!$C$73</f>
        <v>6.01162232711289</v>
      </c>
      <c r="AF94" s="83" t="n">
        <f aca="false">AF68*'Assumption Setting'!$C$73</f>
        <v>6.01162232711289</v>
      </c>
      <c r="AG94" s="83" t="n">
        <f aca="false">AG68*'Assumption Setting'!$C$73</f>
        <v>6.01162232711289</v>
      </c>
      <c r="AH94" s="83" t="n">
        <f aca="false">AH68*'Assumption Setting'!$C$73</f>
        <v>6.01162232711289</v>
      </c>
      <c r="AI94" s="83" t="n">
        <f aca="false">AI68*'Assumption Setting'!$C$73</f>
        <v>6.01162232711289</v>
      </c>
      <c r="AJ94" s="83" t="n">
        <f aca="false">AJ68*'Assumption Setting'!$C$73</f>
        <v>6.01162232711289</v>
      </c>
      <c r="AK94" s="83" t="n">
        <f aca="false">AK68*'Assumption Setting'!$C$73</f>
        <v>6.01162232711289</v>
      </c>
      <c r="AL94" s="83" t="n">
        <f aca="false">AL68*'Assumption Setting'!$C$73</f>
        <v>6.01162232711289</v>
      </c>
      <c r="AM94" s="83" t="n">
        <f aca="false">AM68*'Assumption Setting'!$C$73</f>
        <v>6.01162232711289</v>
      </c>
      <c r="AN94" s="83" t="n">
        <f aca="false">AN68*'Assumption Setting'!$C$73</f>
        <v>6.01162232711289</v>
      </c>
      <c r="AO94" s="80" t="n">
        <f aca="false">SUM(AP94:BA94)</f>
        <v>93.5566691809311</v>
      </c>
      <c r="AP94" s="83" t="n">
        <f aca="false">AP68*'Assumption Setting'!$C$73</f>
        <v>7.79638909841092</v>
      </c>
      <c r="AQ94" s="83" t="n">
        <f aca="false">AQ68*'Assumption Setting'!$C$73</f>
        <v>7.79638909841092</v>
      </c>
      <c r="AR94" s="83" t="n">
        <f aca="false">AR68*'Assumption Setting'!$C$73</f>
        <v>7.79638909841092</v>
      </c>
      <c r="AS94" s="83" t="n">
        <f aca="false">AS68*'Assumption Setting'!$C$73</f>
        <v>7.79638909841092</v>
      </c>
      <c r="AT94" s="83" t="n">
        <f aca="false">AT68*'Assumption Setting'!$C$73</f>
        <v>7.79638909841092</v>
      </c>
      <c r="AU94" s="83" t="n">
        <f aca="false">AU68*'Assumption Setting'!$C$73</f>
        <v>7.79638909841092</v>
      </c>
      <c r="AV94" s="83" t="n">
        <f aca="false">AV68*'Assumption Setting'!$C$73</f>
        <v>7.79638909841092</v>
      </c>
      <c r="AW94" s="83" t="n">
        <f aca="false">AW68*'Assumption Setting'!$C$73</f>
        <v>7.79638909841092</v>
      </c>
      <c r="AX94" s="83" t="n">
        <f aca="false">AX68*'Assumption Setting'!$C$73</f>
        <v>7.79638909841092</v>
      </c>
      <c r="AY94" s="83" t="n">
        <f aca="false">AY68*'Assumption Setting'!$C$73</f>
        <v>7.79638909841092</v>
      </c>
      <c r="AZ94" s="83" t="n">
        <f aca="false">AZ68*'Assumption Setting'!$C$73</f>
        <v>7.79638909841092</v>
      </c>
      <c r="BA94" s="83" t="n">
        <f aca="false">BA68*'Assumption Setting'!$C$73</f>
        <v>7.79638909841092</v>
      </c>
      <c r="BB94" s="80" t="n">
        <f aca="false">SUM(BC94:BN94)</f>
        <v>114.934412931453</v>
      </c>
      <c r="BC94" s="83" t="n">
        <f aca="false">BC68*'Assumption Setting'!$C$73</f>
        <v>9.57786774428771</v>
      </c>
      <c r="BD94" s="83" t="n">
        <f aca="false">BD68*'Assumption Setting'!$C$73</f>
        <v>9.57786774428771</v>
      </c>
      <c r="BE94" s="83" t="n">
        <f aca="false">BE68*'Assumption Setting'!$C$73</f>
        <v>9.57786774428771</v>
      </c>
      <c r="BF94" s="83" t="n">
        <f aca="false">BF68*'Assumption Setting'!$C$73</f>
        <v>9.57786774428771</v>
      </c>
      <c r="BG94" s="83" t="n">
        <f aca="false">BG68*'Assumption Setting'!$C$73</f>
        <v>9.57786774428771</v>
      </c>
      <c r="BH94" s="83" t="n">
        <f aca="false">BH68*'Assumption Setting'!$C$73</f>
        <v>9.57786774428771</v>
      </c>
      <c r="BI94" s="83" t="n">
        <f aca="false">BI68*'Assumption Setting'!$C$73</f>
        <v>9.57786774428771</v>
      </c>
      <c r="BJ94" s="83" t="n">
        <f aca="false">BJ68*'Assumption Setting'!$C$73</f>
        <v>9.57786774428771</v>
      </c>
      <c r="BK94" s="83" t="n">
        <f aca="false">BK68*'Assumption Setting'!$C$73</f>
        <v>9.57786774428771</v>
      </c>
      <c r="BL94" s="83" t="n">
        <f aca="false">BL68*'Assumption Setting'!$C$73</f>
        <v>9.57786774428771</v>
      </c>
      <c r="BM94" s="83" t="n">
        <f aca="false">BM68*'Assumption Setting'!$C$73</f>
        <v>9.57786774428771</v>
      </c>
      <c r="BN94" s="83" t="n">
        <f aca="false">BN68*'Assumption Setting'!$C$73</f>
        <v>9.57786774428771</v>
      </c>
    </row>
    <row r="95" customFormat="false" ht="15" hidden="false" customHeight="false" outlineLevel="0" collapsed="false">
      <c r="A95" s="12" t="s">
        <v>616</v>
      </c>
      <c r="B95" s="80" t="n">
        <f aca="false">SUM(C95:N95)</f>
        <v>14.0918101524971</v>
      </c>
      <c r="C95" s="81" t="n">
        <f aca="false">C94*'Assumption Setting'!$D$73</f>
        <v>1.17431751270809</v>
      </c>
      <c r="D95" s="81" t="n">
        <f aca="false">D94*'Assumption Setting'!$D$73</f>
        <v>1.17431751270809</v>
      </c>
      <c r="E95" s="81" t="n">
        <f aca="false">E94*'Assumption Setting'!$D$73</f>
        <v>1.17431751270809</v>
      </c>
      <c r="F95" s="81" t="n">
        <f aca="false">F94*'Assumption Setting'!$D$73</f>
        <v>1.17431751270809</v>
      </c>
      <c r="G95" s="81" t="n">
        <f aca="false">G94*'Assumption Setting'!$D$73</f>
        <v>1.17431751270809</v>
      </c>
      <c r="H95" s="81" t="n">
        <f aca="false">H94*'Assumption Setting'!$D$73</f>
        <v>1.17431751270809</v>
      </c>
      <c r="I95" s="81" t="n">
        <f aca="false">I94*'Assumption Setting'!$D$73</f>
        <v>1.17431751270809</v>
      </c>
      <c r="J95" s="81" t="n">
        <f aca="false">J94*'Assumption Setting'!$D$73</f>
        <v>1.17431751270809</v>
      </c>
      <c r="K95" s="81" t="n">
        <f aca="false">K94*'Assumption Setting'!$D$73</f>
        <v>1.17431751270809</v>
      </c>
      <c r="L95" s="81" t="n">
        <f aca="false">L94*'Assumption Setting'!$D$73</f>
        <v>1.17431751270809</v>
      </c>
      <c r="M95" s="81" t="n">
        <f aca="false">M94*'Assumption Setting'!$D$73</f>
        <v>1.17431751270809</v>
      </c>
      <c r="N95" s="81" t="n">
        <f aca="false">N94*'Assumption Setting'!$D$73</f>
        <v>1.17431751270809</v>
      </c>
      <c r="O95" s="80" t="n">
        <f aca="false">SUM(P95:AA95)</f>
        <v>21.6446598965706</v>
      </c>
      <c r="P95" s="81" t="n">
        <f aca="false">P94*'Assumption Setting'!$D$73</f>
        <v>1.80372165804755</v>
      </c>
      <c r="Q95" s="81" t="n">
        <f aca="false">Q94*'Assumption Setting'!$D$73</f>
        <v>1.80372165804755</v>
      </c>
      <c r="R95" s="81" t="n">
        <f aca="false">R94*'Assumption Setting'!$D$73</f>
        <v>1.80372165804755</v>
      </c>
      <c r="S95" s="81" t="n">
        <f aca="false">S94*'Assumption Setting'!$D$73</f>
        <v>1.80372165804755</v>
      </c>
      <c r="T95" s="81" t="n">
        <f aca="false">T94*'Assumption Setting'!$D$73</f>
        <v>1.80372165804755</v>
      </c>
      <c r="U95" s="81" t="n">
        <f aca="false">U94*'Assumption Setting'!$D$73</f>
        <v>1.80372165804755</v>
      </c>
      <c r="V95" s="81" t="n">
        <f aca="false">V94*'Assumption Setting'!$D$73</f>
        <v>1.80372165804755</v>
      </c>
      <c r="W95" s="81" t="n">
        <f aca="false">W94*'Assumption Setting'!$D$73</f>
        <v>1.80372165804755</v>
      </c>
      <c r="X95" s="81" t="n">
        <f aca="false">X94*'Assumption Setting'!$D$73</f>
        <v>1.80372165804755</v>
      </c>
      <c r="Y95" s="81" t="n">
        <f aca="false">Y94*'Assumption Setting'!$D$73</f>
        <v>1.80372165804755</v>
      </c>
      <c r="Z95" s="81" t="n">
        <f aca="false">Z94*'Assumption Setting'!$D$73</f>
        <v>1.80372165804755</v>
      </c>
      <c r="AA95" s="81" t="n">
        <f aca="false">AA94*'Assumption Setting'!$D$73</f>
        <v>1.80372165804755</v>
      </c>
      <c r="AB95" s="80" t="n">
        <f aca="false">SUM(AC95:AN95)</f>
        <v>32.4627605664096</v>
      </c>
      <c r="AC95" s="81" t="n">
        <f aca="false">AC94*'Assumption Setting'!$D$73</f>
        <v>2.7052300472008</v>
      </c>
      <c r="AD95" s="81" t="n">
        <f aca="false">AD94*'Assumption Setting'!$D$73</f>
        <v>2.7052300472008</v>
      </c>
      <c r="AE95" s="81" t="n">
        <f aca="false">AE94*'Assumption Setting'!$D$73</f>
        <v>2.7052300472008</v>
      </c>
      <c r="AF95" s="81" t="n">
        <f aca="false">AF94*'Assumption Setting'!$D$73</f>
        <v>2.7052300472008</v>
      </c>
      <c r="AG95" s="81" t="n">
        <f aca="false">AG94*'Assumption Setting'!$D$73</f>
        <v>2.7052300472008</v>
      </c>
      <c r="AH95" s="81" t="n">
        <f aca="false">AH94*'Assumption Setting'!$D$73</f>
        <v>2.7052300472008</v>
      </c>
      <c r="AI95" s="81" t="n">
        <f aca="false">AI94*'Assumption Setting'!$D$73</f>
        <v>2.7052300472008</v>
      </c>
      <c r="AJ95" s="81" t="n">
        <f aca="false">AJ94*'Assumption Setting'!$D$73</f>
        <v>2.7052300472008</v>
      </c>
      <c r="AK95" s="81" t="n">
        <f aca="false">AK94*'Assumption Setting'!$D$73</f>
        <v>2.7052300472008</v>
      </c>
      <c r="AL95" s="81" t="n">
        <f aca="false">AL94*'Assumption Setting'!$D$73</f>
        <v>2.7052300472008</v>
      </c>
      <c r="AM95" s="81" t="n">
        <f aca="false">AM94*'Assumption Setting'!$D$73</f>
        <v>2.7052300472008</v>
      </c>
      <c r="AN95" s="81" t="n">
        <f aca="false">AN94*'Assumption Setting'!$D$73</f>
        <v>2.7052300472008</v>
      </c>
      <c r="AO95" s="80" t="n">
        <f aca="false">SUM(AP95:BA95)</f>
        <v>42.100501131419</v>
      </c>
      <c r="AP95" s="81" t="n">
        <f aca="false">AP94*'Assumption Setting'!$D$73</f>
        <v>3.50837509428492</v>
      </c>
      <c r="AQ95" s="81" t="n">
        <f aca="false">AQ94*'Assumption Setting'!$D$73</f>
        <v>3.50837509428492</v>
      </c>
      <c r="AR95" s="81" t="n">
        <f aca="false">AR94*'Assumption Setting'!$D$73</f>
        <v>3.50837509428492</v>
      </c>
      <c r="AS95" s="81" t="n">
        <f aca="false">AS94*'Assumption Setting'!$D$73</f>
        <v>3.50837509428492</v>
      </c>
      <c r="AT95" s="81" t="n">
        <f aca="false">AT94*'Assumption Setting'!$D$73</f>
        <v>3.50837509428492</v>
      </c>
      <c r="AU95" s="81" t="n">
        <f aca="false">AU94*'Assumption Setting'!$D$73</f>
        <v>3.50837509428492</v>
      </c>
      <c r="AV95" s="81" t="n">
        <f aca="false">AV94*'Assumption Setting'!$D$73</f>
        <v>3.50837509428492</v>
      </c>
      <c r="AW95" s="81" t="n">
        <f aca="false">AW94*'Assumption Setting'!$D$73</f>
        <v>3.50837509428492</v>
      </c>
      <c r="AX95" s="81" t="n">
        <f aca="false">AX94*'Assumption Setting'!$D$73</f>
        <v>3.50837509428492</v>
      </c>
      <c r="AY95" s="81" t="n">
        <f aca="false">AY94*'Assumption Setting'!$D$73</f>
        <v>3.50837509428492</v>
      </c>
      <c r="AZ95" s="81" t="n">
        <f aca="false">AZ94*'Assumption Setting'!$D$73</f>
        <v>3.50837509428492</v>
      </c>
      <c r="BA95" s="81" t="n">
        <f aca="false">BA94*'Assumption Setting'!$D$73</f>
        <v>3.50837509428492</v>
      </c>
      <c r="BB95" s="80" t="n">
        <f aca="false">SUM(BC95:BN95)</f>
        <v>51.7204858191537</v>
      </c>
      <c r="BC95" s="81" t="n">
        <f aca="false">BC94*'Assumption Setting'!$D$73</f>
        <v>4.31004048492947</v>
      </c>
      <c r="BD95" s="81" t="n">
        <f aca="false">BD94*'Assumption Setting'!$D$73</f>
        <v>4.31004048492947</v>
      </c>
      <c r="BE95" s="81" t="n">
        <f aca="false">BE94*'Assumption Setting'!$D$73</f>
        <v>4.31004048492947</v>
      </c>
      <c r="BF95" s="81" t="n">
        <f aca="false">BF94*'Assumption Setting'!$D$73</f>
        <v>4.31004048492947</v>
      </c>
      <c r="BG95" s="81" t="n">
        <f aca="false">BG94*'Assumption Setting'!$D$73</f>
        <v>4.31004048492947</v>
      </c>
      <c r="BH95" s="81" t="n">
        <f aca="false">BH94*'Assumption Setting'!$D$73</f>
        <v>4.31004048492947</v>
      </c>
      <c r="BI95" s="81" t="n">
        <f aca="false">BI94*'Assumption Setting'!$D$73</f>
        <v>4.31004048492947</v>
      </c>
      <c r="BJ95" s="81" t="n">
        <f aca="false">BJ94*'Assumption Setting'!$D$73</f>
        <v>4.31004048492947</v>
      </c>
      <c r="BK95" s="81" t="n">
        <f aca="false">BK94*'Assumption Setting'!$D$73</f>
        <v>4.31004048492947</v>
      </c>
      <c r="BL95" s="81" t="n">
        <f aca="false">BL94*'Assumption Setting'!$D$73</f>
        <v>4.31004048492947</v>
      </c>
      <c r="BM95" s="81" t="n">
        <f aca="false">BM94*'Assumption Setting'!$D$73</f>
        <v>4.31004048492947</v>
      </c>
      <c r="BN95" s="81" t="n">
        <f aca="false">BN94*'Assumption Setting'!$D$73</f>
        <v>4.31004048492947</v>
      </c>
    </row>
    <row r="96" customFormat="false" ht="15" hidden="false" customHeight="false" outlineLevel="0" collapsed="false">
      <c r="A96" s="12" t="s">
        <v>617</v>
      </c>
      <c r="B96" s="80" t="n">
        <f aca="false">SUM(C96:N96)</f>
        <v>7.04590507624855</v>
      </c>
      <c r="C96" s="81" t="n">
        <f aca="false">C95*'Assumption Setting'!$E$73</f>
        <v>0.587158756354046</v>
      </c>
      <c r="D96" s="81" t="n">
        <f aca="false">D95*'Assumption Setting'!$E$73</f>
        <v>0.587158756354046</v>
      </c>
      <c r="E96" s="81" t="n">
        <f aca="false">E95*'Assumption Setting'!$E$73</f>
        <v>0.587158756354046</v>
      </c>
      <c r="F96" s="81" t="n">
        <f aca="false">F95*'Assumption Setting'!$E$73</f>
        <v>0.587158756354046</v>
      </c>
      <c r="G96" s="81" t="n">
        <f aca="false">G95*'Assumption Setting'!$E$73</f>
        <v>0.587158756354046</v>
      </c>
      <c r="H96" s="81" t="n">
        <f aca="false">H95*'Assumption Setting'!$E$73</f>
        <v>0.587158756354046</v>
      </c>
      <c r="I96" s="81" t="n">
        <f aca="false">I95*'Assumption Setting'!$E$73</f>
        <v>0.587158756354046</v>
      </c>
      <c r="J96" s="81" t="n">
        <f aca="false">J95*'Assumption Setting'!$E$73</f>
        <v>0.587158756354046</v>
      </c>
      <c r="K96" s="81" t="n">
        <f aca="false">K95*'Assumption Setting'!$E$73</f>
        <v>0.587158756354046</v>
      </c>
      <c r="L96" s="81" t="n">
        <f aca="false">L95*'Assumption Setting'!$E$73</f>
        <v>0.587158756354046</v>
      </c>
      <c r="M96" s="81" t="n">
        <f aca="false">M95*'Assumption Setting'!$E$73</f>
        <v>0.587158756354046</v>
      </c>
      <c r="N96" s="81" t="n">
        <f aca="false">N95*'Assumption Setting'!$E$73</f>
        <v>0.587158756354046</v>
      </c>
      <c r="O96" s="80" t="n">
        <f aca="false">SUM(P96:AA96)</f>
        <v>10.8223299482853</v>
      </c>
      <c r="P96" s="81" t="n">
        <f aca="false">P95*'Assumption Setting'!$E$73</f>
        <v>0.901860829023776</v>
      </c>
      <c r="Q96" s="81" t="n">
        <f aca="false">Q95*'Assumption Setting'!$E$73</f>
        <v>0.901860829023776</v>
      </c>
      <c r="R96" s="81" t="n">
        <f aca="false">R95*'Assumption Setting'!$E$73</f>
        <v>0.901860829023776</v>
      </c>
      <c r="S96" s="81" t="n">
        <f aca="false">S95*'Assumption Setting'!$E$73</f>
        <v>0.901860829023776</v>
      </c>
      <c r="T96" s="81" t="n">
        <f aca="false">T95*'Assumption Setting'!$E$73</f>
        <v>0.901860829023776</v>
      </c>
      <c r="U96" s="81" t="n">
        <f aca="false">U95*'Assumption Setting'!$E$73</f>
        <v>0.901860829023776</v>
      </c>
      <c r="V96" s="81" t="n">
        <f aca="false">V95*'Assumption Setting'!$E$73</f>
        <v>0.901860829023776</v>
      </c>
      <c r="W96" s="81" t="n">
        <f aca="false">W95*'Assumption Setting'!$E$73</f>
        <v>0.901860829023776</v>
      </c>
      <c r="X96" s="81" t="n">
        <f aca="false">X95*'Assumption Setting'!$E$73</f>
        <v>0.901860829023776</v>
      </c>
      <c r="Y96" s="81" t="n">
        <f aca="false">Y95*'Assumption Setting'!$E$73</f>
        <v>0.901860829023776</v>
      </c>
      <c r="Z96" s="81" t="n">
        <f aca="false">Z95*'Assumption Setting'!$E$73</f>
        <v>0.901860829023776</v>
      </c>
      <c r="AA96" s="81" t="n">
        <f aca="false">AA95*'Assumption Setting'!$E$73</f>
        <v>0.901860829023776</v>
      </c>
      <c r="AB96" s="80" t="n">
        <f aca="false">SUM(AC96:AN96)</f>
        <v>16.2313802832048</v>
      </c>
      <c r="AC96" s="81" t="n">
        <f aca="false">AC95*'Assumption Setting'!$E$73</f>
        <v>1.3526150236004</v>
      </c>
      <c r="AD96" s="81" t="n">
        <f aca="false">AD95*'Assumption Setting'!$E$73</f>
        <v>1.3526150236004</v>
      </c>
      <c r="AE96" s="81" t="n">
        <f aca="false">AE95*'Assumption Setting'!$E$73</f>
        <v>1.3526150236004</v>
      </c>
      <c r="AF96" s="81" t="n">
        <f aca="false">AF95*'Assumption Setting'!$E$73</f>
        <v>1.3526150236004</v>
      </c>
      <c r="AG96" s="81" t="n">
        <f aca="false">AG95*'Assumption Setting'!$E$73</f>
        <v>1.3526150236004</v>
      </c>
      <c r="AH96" s="81" t="n">
        <f aca="false">AH95*'Assumption Setting'!$E$73</f>
        <v>1.3526150236004</v>
      </c>
      <c r="AI96" s="81" t="n">
        <f aca="false">AI95*'Assumption Setting'!$E$73</f>
        <v>1.3526150236004</v>
      </c>
      <c r="AJ96" s="81" t="n">
        <f aca="false">AJ95*'Assumption Setting'!$E$73</f>
        <v>1.3526150236004</v>
      </c>
      <c r="AK96" s="81" t="n">
        <f aca="false">AK95*'Assumption Setting'!$E$73</f>
        <v>1.3526150236004</v>
      </c>
      <c r="AL96" s="81" t="n">
        <f aca="false">AL95*'Assumption Setting'!$E$73</f>
        <v>1.3526150236004</v>
      </c>
      <c r="AM96" s="81" t="n">
        <f aca="false">AM95*'Assumption Setting'!$E$73</f>
        <v>1.3526150236004</v>
      </c>
      <c r="AN96" s="81" t="n">
        <f aca="false">AN95*'Assumption Setting'!$E$73</f>
        <v>1.3526150236004</v>
      </c>
      <c r="AO96" s="80" t="n">
        <f aca="false">SUM(AP96:BA96)</f>
        <v>21.0502505657095</v>
      </c>
      <c r="AP96" s="81" t="n">
        <f aca="false">AP95*'Assumption Setting'!$E$73</f>
        <v>1.75418754714246</v>
      </c>
      <c r="AQ96" s="81" t="n">
        <f aca="false">AQ95*'Assumption Setting'!$E$73</f>
        <v>1.75418754714246</v>
      </c>
      <c r="AR96" s="81" t="n">
        <f aca="false">AR95*'Assumption Setting'!$E$73</f>
        <v>1.75418754714246</v>
      </c>
      <c r="AS96" s="81" t="n">
        <f aca="false">AS95*'Assumption Setting'!$E$73</f>
        <v>1.75418754714246</v>
      </c>
      <c r="AT96" s="81" t="n">
        <f aca="false">AT95*'Assumption Setting'!$E$73</f>
        <v>1.75418754714246</v>
      </c>
      <c r="AU96" s="81" t="n">
        <f aca="false">AU95*'Assumption Setting'!$E$73</f>
        <v>1.75418754714246</v>
      </c>
      <c r="AV96" s="81" t="n">
        <f aca="false">AV95*'Assumption Setting'!$E$73</f>
        <v>1.75418754714246</v>
      </c>
      <c r="AW96" s="81" t="n">
        <f aca="false">AW95*'Assumption Setting'!$E$73</f>
        <v>1.75418754714246</v>
      </c>
      <c r="AX96" s="81" t="n">
        <f aca="false">AX95*'Assumption Setting'!$E$73</f>
        <v>1.75418754714246</v>
      </c>
      <c r="AY96" s="81" t="n">
        <f aca="false">AY95*'Assumption Setting'!$E$73</f>
        <v>1.75418754714246</v>
      </c>
      <c r="AZ96" s="81" t="n">
        <f aca="false">AZ95*'Assumption Setting'!$E$73</f>
        <v>1.75418754714246</v>
      </c>
      <c r="BA96" s="81" t="n">
        <f aca="false">BA95*'Assumption Setting'!$E$73</f>
        <v>1.75418754714246</v>
      </c>
      <c r="BB96" s="80" t="n">
        <f aca="false">SUM(BC96:BN96)</f>
        <v>25.8602429095768</v>
      </c>
      <c r="BC96" s="81" t="n">
        <f aca="false">BC95*'Assumption Setting'!$E$73</f>
        <v>2.15502024246474</v>
      </c>
      <c r="BD96" s="81" t="n">
        <f aca="false">BD95*'Assumption Setting'!$E$73</f>
        <v>2.15502024246474</v>
      </c>
      <c r="BE96" s="81" t="n">
        <f aca="false">BE95*'Assumption Setting'!$E$73</f>
        <v>2.15502024246474</v>
      </c>
      <c r="BF96" s="81" t="n">
        <f aca="false">BF95*'Assumption Setting'!$E$73</f>
        <v>2.15502024246474</v>
      </c>
      <c r="BG96" s="81" t="n">
        <f aca="false">BG95*'Assumption Setting'!$E$73</f>
        <v>2.15502024246474</v>
      </c>
      <c r="BH96" s="81" t="n">
        <f aca="false">BH95*'Assumption Setting'!$E$73</f>
        <v>2.15502024246474</v>
      </c>
      <c r="BI96" s="81" t="n">
        <f aca="false">BI95*'Assumption Setting'!$E$73</f>
        <v>2.15502024246474</v>
      </c>
      <c r="BJ96" s="81" t="n">
        <f aca="false">BJ95*'Assumption Setting'!$E$73</f>
        <v>2.15502024246474</v>
      </c>
      <c r="BK96" s="81" t="n">
        <f aca="false">BK95*'Assumption Setting'!$E$73</f>
        <v>2.15502024246474</v>
      </c>
      <c r="BL96" s="81" t="n">
        <f aca="false">BL95*'Assumption Setting'!$E$73</f>
        <v>2.15502024246474</v>
      </c>
      <c r="BM96" s="81" t="n">
        <f aca="false">BM95*'Assumption Setting'!$E$73</f>
        <v>2.15502024246474</v>
      </c>
      <c r="BN96" s="81" t="n">
        <f aca="false">BN95*'Assumption Setting'!$E$73</f>
        <v>2.15502024246474</v>
      </c>
    </row>
    <row r="97" customFormat="false" ht="15" hidden="false" customHeight="false" outlineLevel="0" collapsed="false">
      <c r="A97" s="18" t="s">
        <v>618</v>
      </c>
      <c r="B97" s="80" t="n">
        <f aca="false">SUM(C97:N97)</f>
        <v>2.26056121196308</v>
      </c>
      <c r="C97" s="83" t="n">
        <f aca="true">IF((1-'Assumption Setting'!$G$73)&lt;1,0,OFFSET($A$96,0,2+13*INT(((1-'Assumption Setting'!$G$73)-1)/12)+MOD((1-'Assumption Setting'!$G$73)-1,12)))*'Assumption Setting'!$F$73*'Assumption Setting'!$C$77</f>
        <v>0</v>
      </c>
      <c r="D97" s="83" t="n">
        <f aca="true">IF((2-'Assumption Setting'!$G$73)&lt;1,0,OFFSET($A$96,0,2+13*INT(((2-'Assumption Setting'!$G$73)-1)/12)+MOD((2-'Assumption Setting'!$G$73)-1,12)))*'Assumption Setting'!$F$73*'Assumption Setting'!$C$77</f>
        <v>0.205505564723916</v>
      </c>
      <c r="E97" s="83" t="n">
        <f aca="true">IF((3-'Assumption Setting'!$G$73)&lt;1,0,OFFSET($A$96,0,2+13*INT(((3-'Assumption Setting'!$G$73)-1)/12)+MOD((3-'Assumption Setting'!$G$73)-1,12)))*'Assumption Setting'!$F$73*'Assumption Setting'!$C$77</f>
        <v>0.205505564723916</v>
      </c>
      <c r="F97" s="83" t="n">
        <f aca="true">IF((4-'Assumption Setting'!$G$73)&lt;1,0,OFFSET($A$96,0,2+13*INT(((4-'Assumption Setting'!$G$73)-1)/12)+MOD((4-'Assumption Setting'!$G$73)-1,12)))*'Assumption Setting'!$F$73*'Assumption Setting'!$C$77</f>
        <v>0.205505564723916</v>
      </c>
      <c r="G97" s="83" t="n">
        <f aca="true">IF((5-'Assumption Setting'!$G$73)&lt;1,0,OFFSET($A$96,0,2+13*INT(((5-'Assumption Setting'!$G$73)-1)/12)+MOD((5-'Assumption Setting'!$G$73)-1,12)))*'Assumption Setting'!$F$73*'Assumption Setting'!$C$77</f>
        <v>0.205505564723916</v>
      </c>
      <c r="H97" s="83" t="n">
        <f aca="true">IF((6-'Assumption Setting'!$G$73)&lt;1,0,OFFSET($A$96,0,2+13*INT(((6-'Assumption Setting'!$G$73)-1)/12)+MOD((6-'Assumption Setting'!$G$73)-1,12)))*'Assumption Setting'!$F$73*'Assumption Setting'!$C$77</f>
        <v>0.205505564723916</v>
      </c>
      <c r="I97" s="83" t="n">
        <f aca="true">IF((7-'Assumption Setting'!$G$73)&lt;1,0,OFFSET($A$96,0,2+13*INT(((7-'Assumption Setting'!$G$73)-1)/12)+MOD((7-'Assumption Setting'!$G$73)-1,12)))*'Assumption Setting'!$F$73*'Assumption Setting'!$C$77</f>
        <v>0.205505564723916</v>
      </c>
      <c r="J97" s="83" t="n">
        <f aca="true">IF((8-'Assumption Setting'!$G$73)&lt;1,0,OFFSET($A$96,0,2+13*INT(((8-'Assumption Setting'!$G$73)-1)/12)+MOD((8-'Assumption Setting'!$G$73)-1,12)))*'Assumption Setting'!$F$73*'Assumption Setting'!$C$77</f>
        <v>0.205505564723916</v>
      </c>
      <c r="K97" s="83" t="n">
        <f aca="true">IF((9-'Assumption Setting'!$G$73)&lt;1,0,OFFSET($A$96,0,2+13*INT(((9-'Assumption Setting'!$G$73)-1)/12)+MOD((9-'Assumption Setting'!$G$73)-1,12)))*'Assumption Setting'!$F$73*'Assumption Setting'!$C$77</f>
        <v>0.205505564723916</v>
      </c>
      <c r="L97" s="83" t="n">
        <f aca="true">IF((10-'Assumption Setting'!$G$73)&lt;1,0,OFFSET($A$96,0,2+13*INT(((10-'Assumption Setting'!$G$73)-1)/12)+MOD((10-'Assumption Setting'!$G$73)-1,12)))*'Assumption Setting'!$F$73*'Assumption Setting'!$C$77</f>
        <v>0.205505564723916</v>
      </c>
      <c r="M97" s="83" t="n">
        <f aca="true">IF((11-'Assumption Setting'!$G$73)&lt;1,0,OFFSET($A$96,0,2+13*INT(((11-'Assumption Setting'!$G$73)-1)/12)+MOD((11-'Assumption Setting'!$G$73)-1,12)))*'Assumption Setting'!$F$73*'Assumption Setting'!$C$77</f>
        <v>0.205505564723916</v>
      </c>
      <c r="N97" s="83" t="n">
        <f aca="true">IF((12-'Assumption Setting'!$G$73)&lt;1,0,OFFSET($A$96,0,2+13*INT(((12-'Assumption Setting'!$G$73)-1)/12)+MOD((12-'Assumption Setting'!$G$73)-1,12)))*'Assumption Setting'!$F$73*'Assumption Setting'!$C$77</f>
        <v>0.205505564723916</v>
      </c>
      <c r="O97" s="80" t="n">
        <f aca="false">SUM(P97:AA97)</f>
        <v>4.045436732112</v>
      </c>
      <c r="P97" s="83" t="n">
        <f aca="true">IF((13-'Assumption Setting'!$G$73)&lt;1,0,OFFSET($A$96,0,2+13*INT(((13-'Assumption Setting'!$G$73)-1)/12)+MOD((13-'Assumption Setting'!$G$73)-1,12)))*'Assumption Setting'!$F$73*'Assumption Setting'!$D$77</f>
        <v>0.226056121196308</v>
      </c>
      <c r="Q97" s="83" t="n">
        <f aca="true">IF((14-'Assumption Setting'!$G$73)&lt;1,0,OFFSET($A$96,0,2+13*INT(((14-'Assumption Setting'!$G$73)-1)/12)+MOD((14-'Assumption Setting'!$G$73)-1,12)))*'Assumption Setting'!$F$73*'Assumption Setting'!$D$77</f>
        <v>0.347216419174154</v>
      </c>
      <c r="R97" s="83" t="n">
        <f aca="true">IF((15-'Assumption Setting'!$G$73)&lt;1,0,OFFSET($A$96,0,2+13*INT(((15-'Assumption Setting'!$G$73)-1)/12)+MOD((15-'Assumption Setting'!$G$73)-1,12)))*'Assumption Setting'!$F$73*'Assumption Setting'!$D$77</f>
        <v>0.347216419174154</v>
      </c>
      <c r="S97" s="83" t="n">
        <f aca="true">IF((16-'Assumption Setting'!$G$73)&lt;1,0,OFFSET($A$96,0,2+13*INT(((16-'Assumption Setting'!$G$73)-1)/12)+MOD((16-'Assumption Setting'!$G$73)-1,12)))*'Assumption Setting'!$F$73*'Assumption Setting'!$D$77</f>
        <v>0.347216419174154</v>
      </c>
      <c r="T97" s="83" t="n">
        <f aca="true">IF((17-'Assumption Setting'!$G$73)&lt;1,0,OFFSET($A$96,0,2+13*INT(((17-'Assumption Setting'!$G$73)-1)/12)+MOD((17-'Assumption Setting'!$G$73)-1,12)))*'Assumption Setting'!$F$73*'Assumption Setting'!$D$77</f>
        <v>0.347216419174154</v>
      </c>
      <c r="U97" s="83" t="n">
        <f aca="true">IF((18-'Assumption Setting'!$G$73)&lt;1,0,OFFSET($A$96,0,2+13*INT(((18-'Assumption Setting'!$G$73)-1)/12)+MOD((18-'Assumption Setting'!$G$73)-1,12)))*'Assumption Setting'!$F$73*'Assumption Setting'!$D$77</f>
        <v>0.347216419174154</v>
      </c>
      <c r="V97" s="83" t="n">
        <f aca="true">IF((19-'Assumption Setting'!$G$73)&lt;1,0,OFFSET($A$96,0,2+13*INT(((19-'Assumption Setting'!$G$73)-1)/12)+MOD((19-'Assumption Setting'!$G$73)-1,12)))*'Assumption Setting'!$F$73*'Assumption Setting'!$D$77</f>
        <v>0.347216419174154</v>
      </c>
      <c r="W97" s="83" t="n">
        <f aca="true">IF((20-'Assumption Setting'!$G$73)&lt;1,0,OFFSET($A$96,0,2+13*INT(((20-'Assumption Setting'!$G$73)-1)/12)+MOD((20-'Assumption Setting'!$G$73)-1,12)))*'Assumption Setting'!$F$73*'Assumption Setting'!$D$77</f>
        <v>0.347216419174154</v>
      </c>
      <c r="X97" s="83" t="n">
        <f aca="true">IF((21-'Assumption Setting'!$G$73)&lt;1,0,OFFSET($A$96,0,2+13*INT(((21-'Assumption Setting'!$G$73)-1)/12)+MOD((21-'Assumption Setting'!$G$73)-1,12)))*'Assumption Setting'!$F$73*'Assumption Setting'!$D$77</f>
        <v>0.347216419174154</v>
      </c>
      <c r="Y97" s="83" t="n">
        <f aca="true">IF((22-'Assumption Setting'!$G$73)&lt;1,0,OFFSET($A$96,0,2+13*INT(((22-'Assumption Setting'!$G$73)-1)/12)+MOD((22-'Assumption Setting'!$G$73)-1,12)))*'Assumption Setting'!$F$73*'Assumption Setting'!$D$77</f>
        <v>0.347216419174154</v>
      </c>
      <c r="Z97" s="83" t="n">
        <f aca="true">IF((23-'Assumption Setting'!$G$73)&lt;1,0,OFFSET($A$96,0,2+13*INT(((23-'Assumption Setting'!$G$73)-1)/12)+MOD((23-'Assumption Setting'!$G$73)-1,12)))*'Assumption Setting'!$F$73*'Assumption Setting'!$D$77</f>
        <v>0.347216419174154</v>
      </c>
      <c r="AA97" s="83" t="n">
        <f aca="true">IF((24-'Assumption Setting'!$G$73)&lt;1,0,OFFSET($A$96,0,2+13*INT(((24-'Assumption Setting'!$G$73)-1)/12)+MOD((24-'Assumption Setting'!$G$73)-1,12)))*'Assumption Setting'!$F$73*'Assumption Setting'!$D$77</f>
        <v>0.347216419174154</v>
      </c>
      <c r="AB97" s="80" t="n">
        <f aca="false">SUM(AC97:AN97)</f>
        <v>6.62786295722383</v>
      </c>
      <c r="AC97" s="83" t="n">
        <f aca="true">IF((25-'Assumption Setting'!$G$73)&lt;1,0,OFFSET($A$96,0,2+13*INT(((25-'Assumption Setting'!$G$73)-1)/12)+MOD((25-'Assumption Setting'!$G$73)-1,12)))*'Assumption Setting'!$F$73*'Assumption Setting'!$E$77</f>
        <v>0.378781548189986</v>
      </c>
      <c r="AD97" s="83" t="n">
        <f aca="true">IF((26-'Assumption Setting'!$G$73)&lt;1,0,OFFSET($A$96,0,2+13*INT(((26-'Assumption Setting'!$G$73)-1)/12)+MOD((26-'Assumption Setting'!$G$73)-1,12)))*'Assumption Setting'!$F$73*'Assumption Setting'!$E$77</f>
        <v>0.568098309912168</v>
      </c>
      <c r="AE97" s="83" t="n">
        <f aca="true">IF((27-'Assumption Setting'!$G$73)&lt;1,0,OFFSET($A$96,0,2+13*INT(((27-'Assumption Setting'!$G$73)-1)/12)+MOD((27-'Assumption Setting'!$G$73)-1,12)))*'Assumption Setting'!$F$73*'Assumption Setting'!$E$77</f>
        <v>0.568098309912168</v>
      </c>
      <c r="AF97" s="83" t="n">
        <f aca="true">IF((28-'Assumption Setting'!$G$73)&lt;1,0,OFFSET($A$96,0,2+13*INT(((28-'Assumption Setting'!$G$73)-1)/12)+MOD((28-'Assumption Setting'!$G$73)-1,12)))*'Assumption Setting'!$F$73*'Assumption Setting'!$E$77</f>
        <v>0.568098309912168</v>
      </c>
      <c r="AG97" s="83" t="n">
        <f aca="true">IF((29-'Assumption Setting'!$G$73)&lt;1,0,OFFSET($A$96,0,2+13*INT(((29-'Assumption Setting'!$G$73)-1)/12)+MOD((29-'Assumption Setting'!$G$73)-1,12)))*'Assumption Setting'!$F$73*'Assumption Setting'!$E$77</f>
        <v>0.568098309912168</v>
      </c>
      <c r="AH97" s="83" t="n">
        <f aca="true">IF((30-'Assumption Setting'!$G$73)&lt;1,0,OFFSET($A$96,0,2+13*INT(((30-'Assumption Setting'!$G$73)-1)/12)+MOD((30-'Assumption Setting'!$G$73)-1,12)))*'Assumption Setting'!$F$73*'Assumption Setting'!$E$77</f>
        <v>0.568098309912168</v>
      </c>
      <c r="AI97" s="83" t="n">
        <f aca="true">IF((31-'Assumption Setting'!$G$73)&lt;1,0,OFFSET($A$96,0,2+13*INT(((31-'Assumption Setting'!$G$73)-1)/12)+MOD((31-'Assumption Setting'!$G$73)-1,12)))*'Assumption Setting'!$F$73*'Assumption Setting'!$E$77</f>
        <v>0.568098309912168</v>
      </c>
      <c r="AJ97" s="83" t="n">
        <f aca="true">IF((32-'Assumption Setting'!$G$73)&lt;1,0,OFFSET($A$96,0,2+13*INT(((32-'Assumption Setting'!$G$73)-1)/12)+MOD((32-'Assumption Setting'!$G$73)-1,12)))*'Assumption Setting'!$F$73*'Assumption Setting'!$E$77</f>
        <v>0.568098309912168</v>
      </c>
      <c r="AK97" s="83" t="n">
        <f aca="true">IF((33-'Assumption Setting'!$G$73)&lt;1,0,OFFSET($A$96,0,2+13*INT(((33-'Assumption Setting'!$G$73)-1)/12)+MOD((33-'Assumption Setting'!$G$73)-1,12)))*'Assumption Setting'!$F$73*'Assumption Setting'!$E$77</f>
        <v>0.568098309912168</v>
      </c>
      <c r="AL97" s="83" t="n">
        <f aca="true">IF((34-'Assumption Setting'!$G$73)&lt;1,0,OFFSET($A$96,0,2+13*INT(((34-'Assumption Setting'!$G$73)-1)/12)+MOD((34-'Assumption Setting'!$G$73)-1,12)))*'Assumption Setting'!$F$73*'Assumption Setting'!$E$77</f>
        <v>0.568098309912168</v>
      </c>
      <c r="AM97" s="83" t="n">
        <f aca="true">IF((35-'Assumption Setting'!$G$73)&lt;1,0,OFFSET($A$96,0,2+13*INT(((35-'Assumption Setting'!$G$73)-1)/12)+MOD((35-'Assumption Setting'!$G$73)-1,12)))*'Assumption Setting'!$F$73*'Assumption Setting'!$E$77</f>
        <v>0.568098309912168</v>
      </c>
      <c r="AN97" s="83" t="n">
        <f aca="true">IF((36-'Assumption Setting'!$G$73)&lt;1,0,OFFSET($A$96,0,2+13*INT(((36-'Assumption Setting'!$G$73)-1)/12)+MOD((36-'Assumption Setting'!$G$73)-1,12)))*'Assumption Setting'!$F$73*'Assumption Setting'!$E$77</f>
        <v>0.568098309912168</v>
      </c>
      <c r="AO97" s="80" t="n">
        <f aca="false">SUM(AP97:BA97)</f>
        <v>9.03379664344825</v>
      </c>
      <c r="AP97" s="83" t="n">
        <f aca="true">IF((37-'Assumption Setting'!$G$73)&lt;1,0,OFFSET($A$96,0,2+13*INT(((37-'Assumption Setting'!$G$73)-1)/12)+MOD((37-'Assumption Setting'!$G$73)-1,12)))*'Assumption Setting'!$F$73*'Assumption Setting'!$F$77</f>
        <v>0.591769072825175</v>
      </c>
      <c r="AQ97" s="83" t="n">
        <f aca="true">IF((38-'Assumption Setting'!$G$73)&lt;1,0,OFFSET($A$96,0,2+13*INT(((38-'Assumption Setting'!$G$73)-1)/12)+MOD((38-'Assumption Setting'!$G$73)-1,12)))*'Assumption Setting'!$F$73*'Assumption Setting'!$F$77</f>
        <v>0.767457051874825</v>
      </c>
      <c r="AR97" s="83" t="n">
        <f aca="true">IF((39-'Assumption Setting'!$G$73)&lt;1,0,OFFSET($A$96,0,2+13*INT(((39-'Assumption Setting'!$G$73)-1)/12)+MOD((39-'Assumption Setting'!$G$73)-1,12)))*'Assumption Setting'!$F$73*'Assumption Setting'!$F$77</f>
        <v>0.767457051874825</v>
      </c>
      <c r="AS97" s="83" t="n">
        <f aca="true">IF((40-'Assumption Setting'!$G$73)&lt;1,0,OFFSET($A$96,0,2+13*INT(((40-'Assumption Setting'!$G$73)-1)/12)+MOD((40-'Assumption Setting'!$G$73)-1,12)))*'Assumption Setting'!$F$73*'Assumption Setting'!$F$77</f>
        <v>0.767457051874825</v>
      </c>
      <c r="AT97" s="83" t="n">
        <f aca="true">IF((41-'Assumption Setting'!$G$73)&lt;1,0,OFFSET($A$96,0,2+13*INT(((41-'Assumption Setting'!$G$73)-1)/12)+MOD((41-'Assumption Setting'!$G$73)-1,12)))*'Assumption Setting'!$F$73*'Assumption Setting'!$F$77</f>
        <v>0.767457051874825</v>
      </c>
      <c r="AU97" s="83" t="n">
        <f aca="true">IF((42-'Assumption Setting'!$G$73)&lt;1,0,OFFSET($A$96,0,2+13*INT(((42-'Assumption Setting'!$G$73)-1)/12)+MOD((42-'Assumption Setting'!$G$73)-1,12)))*'Assumption Setting'!$F$73*'Assumption Setting'!$F$77</f>
        <v>0.767457051874825</v>
      </c>
      <c r="AV97" s="83" t="n">
        <f aca="true">IF((43-'Assumption Setting'!$G$73)&lt;1,0,OFFSET($A$96,0,2+13*INT(((43-'Assumption Setting'!$G$73)-1)/12)+MOD((43-'Assumption Setting'!$G$73)-1,12)))*'Assumption Setting'!$F$73*'Assumption Setting'!$F$77</f>
        <v>0.767457051874825</v>
      </c>
      <c r="AW97" s="83" t="n">
        <f aca="true">IF((44-'Assumption Setting'!$G$73)&lt;1,0,OFFSET($A$96,0,2+13*INT(((44-'Assumption Setting'!$G$73)-1)/12)+MOD((44-'Assumption Setting'!$G$73)-1,12)))*'Assumption Setting'!$F$73*'Assumption Setting'!$F$77</f>
        <v>0.767457051874825</v>
      </c>
      <c r="AX97" s="83" t="n">
        <f aca="true">IF((45-'Assumption Setting'!$G$73)&lt;1,0,OFFSET($A$96,0,2+13*INT(((45-'Assumption Setting'!$G$73)-1)/12)+MOD((45-'Assumption Setting'!$G$73)-1,12)))*'Assumption Setting'!$F$73*'Assumption Setting'!$F$77</f>
        <v>0.767457051874825</v>
      </c>
      <c r="AY97" s="83" t="n">
        <f aca="true">IF((46-'Assumption Setting'!$G$73)&lt;1,0,OFFSET($A$96,0,2+13*INT(((46-'Assumption Setting'!$G$73)-1)/12)+MOD((46-'Assumption Setting'!$G$73)-1,12)))*'Assumption Setting'!$F$73*'Assumption Setting'!$F$77</f>
        <v>0.767457051874825</v>
      </c>
      <c r="AZ97" s="83" t="n">
        <f aca="true">IF((47-'Assumption Setting'!$G$73)&lt;1,0,OFFSET($A$96,0,2+13*INT(((47-'Assumption Setting'!$G$73)-1)/12)+MOD((47-'Assumption Setting'!$G$73)-1,12)))*'Assumption Setting'!$F$73*'Assumption Setting'!$F$77</f>
        <v>0.767457051874825</v>
      </c>
      <c r="BA97" s="83" t="n">
        <f aca="true">IF((48-'Assumption Setting'!$G$73)&lt;1,0,OFFSET($A$96,0,2+13*INT(((48-'Assumption Setting'!$G$73)-1)/12)+MOD((48-'Assumption Setting'!$G$73)-1,12)))*'Assumption Setting'!$F$73*'Assumption Setting'!$F$77</f>
        <v>0.767457051874825</v>
      </c>
      <c r="BB97" s="80" t="n">
        <f aca="false">SUM(BC97:BN97)</f>
        <v>11.5840316474858</v>
      </c>
      <c r="BC97" s="83" t="n">
        <f aca="true">IF((49-'Assumption Setting'!$G$73)&lt;1,0,OFFSET($A$96,0,2+13*INT(((49-'Assumption Setting'!$G$73)-1)/12)+MOD((49-'Assumption Setting'!$G$73)-1,12)))*'Assumption Setting'!$F$73*'Assumption Setting'!$G$77</f>
        <v>0.798155333949818</v>
      </c>
      <c r="BD97" s="83" t="n">
        <f aca="true">IF((50-'Assumption Setting'!$G$73)&lt;1,0,OFFSET($A$96,0,2+13*INT(((50-'Assumption Setting'!$G$73)-1)/12)+MOD((50-'Assumption Setting'!$G$73)-1,12)))*'Assumption Setting'!$F$73*'Assumption Setting'!$G$77</f>
        <v>0.980534210321455</v>
      </c>
      <c r="BE97" s="83" t="n">
        <f aca="true">IF((51-'Assumption Setting'!$G$73)&lt;1,0,OFFSET($A$96,0,2+13*INT(((51-'Assumption Setting'!$G$73)-1)/12)+MOD((51-'Assumption Setting'!$G$73)-1,12)))*'Assumption Setting'!$F$73*'Assumption Setting'!$G$77</f>
        <v>0.980534210321455</v>
      </c>
      <c r="BF97" s="83" t="n">
        <f aca="true">IF((52-'Assumption Setting'!$G$73)&lt;1,0,OFFSET($A$96,0,2+13*INT(((52-'Assumption Setting'!$G$73)-1)/12)+MOD((52-'Assumption Setting'!$G$73)-1,12)))*'Assumption Setting'!$F$73*'Assumption Setting'!$G$77</f>
        <v>0.980534210321455</v>
      </c>
      <c r="BG97" s="83" t="n">
        <f aca="true">IF((53-'Assumption Setting'!$G$73)&lt;1,0,OFFSET($A$96,0,2+13*INT(((53-'Assumption Setting'!$G$73)-1)/12)+MOD((53-'Assumption Setting'!$G$73)-1,12)))*'Assumption Setting'!$F$73*'Assumption Setting'!$G$77</f>
        <v>0.980534210321455</v>
      </c>
      <c r="BH97" s="83" t="n">
        <f aca="true">IF((54-'Assumption Setting'!$G$73)&lt;1,0,OFFSET($A$96,0,2+13*INT(((54-'Assumption Setting'!$G$73)-1)/12)+MOD((54-'Assumption Setting'!$G$73)-1,12)))*'Assumption Setting'!$F$73*'Assumption Setting'!$G$77</f>
        <v>0.980534210321455</v>
      </c>
      <c r="BI97" s="83" t="n">
        <f aca="true">IF((55-'Assumption Setting'!$G$73)&lt;1,0,OFFSET($A$96,0,2+13*INT(((55-'Assumption Setting'!$G$73)-1)/12)+MOD((55-'Assumption Setting'!$G$73)-1,12)))*'Assumption Setting'!$F$73*'Assumption Setting'!$G$77</f>
        <v>0.980534210321455</v>
      </c>
      <c r="BJ97" s="83" t="n">
        <f aca="true">IF((56-'Assumption Setting'!$G$73)&lt;1,0,OFFSET($A$96,0,2+13*INT(((56-'Assumption Setting'!$G$73)-1)/12)+MOD((56-'Assumption Setting'!$G$73)-1,12)))*'Assumption Setting'!$F$73*'Assumption Setting'!$G$77</f>
        <v>0.980534210321455</v>
      </c>
      <c r="BK97" s="83" t="n">
        <f aca="true">IF((57-'Assumption Setting'!$G$73)&lt;1,0,OFFSET($A$96,0,2+13*INT(((57-'Assumption Setting'!$G$73)-1)/12)+MOD((57-'Assumption Setting'!$G$73)-1,12)))*'Assumption Setting'!$F$73*'Assumption Setting'!$G$77</f>
        <v>0.980534210321455</v>
      </c>
      <c r="BL97" s="83" t="n">
        <f aca="true">IF((58-'Assumption Setting'!$G$73)&lt;1,0,OFFSET($A$96,0,2+13*INT(((58-'Assumption Setting'!$G$73)-1)/12)+MOD((58-'Assumption Setting'!$G$73)-1,12)))*'Assumption Setting'!$F$73*'Assumption Setting'!$G$77</f>
        <v>0.980534210321455</v>
      </c>
      <c r="BM97" s="83" t="n">
        <f aca="true">IF((59-'Assumption Setting'!$G$73)&lt;1,0,OFFSET($A$96,0,2+13*INT(((59-'Assumption Setting'!$G$73)-1)/12)+MOD((59-'Assumption Setting'!$G$73)-1,12)))*'Assumption Setting'!$F$73*'Assumption Setting'!$G$77</f>
        <v>0.980534210321455</v>
      </c>
      <c r="BN97" s="83" t="n">
        <f aca="true">IF((60-'Assumption Setting'!$G$73)&lt;1,0,OFFSET($A$96,0,2+13*INT(((60-'Assumption Setting'!$G$73)-1)/12)+MOD((60-'Assumption Setting'!$G$73)-1,12)))*'Assumption Setting'!$F$73*'Assumption Setting'!$G$77</f>
        <v>0.980534210321455</v>
      </c>
    </row>
    <row r="98" customFormat="false" ht="15" hidden="false" customHeight="false" outlineLevel="0" collapsed="false">
      <c r="A98" s="69" t="s">
        <v>619</v>
      </c>
      <c r="B98" s="80" t="n">
        <f aca="false">SUM(C98:N98)</f>
        <v>2.05505564723916</v>
      </c>
      <c r="C98" s="86" t="n">
        <f aca="true">IF((1-'Assumption Setting'!$H$73)&lt;1,0,OFFSET($A$97,0,2+13*INT(((1-'Assumption Setting'!$H$73)-1)/12)+MOD((1-'Assumption Setting'!$H$73)-1,12)))</f>
        <v>0</v>
      </c>
      <c r="D98" s="86" t="n">
        <f aca="true">IF((2-'Assumption Setting'!$H$73)&lt;1,0,OFFSET($A$97,0,2+13*INT(((2-'Assumption Setting'!$H$73)-1)/12)+MOD((2-'Assumption Setting'!$H$73)-1,12)))</f>
        <v>0</v>
      </c>
      <c r="E98" s="86" t="n">
        <f aca="true">IF((3-'Assumption Setting'!$H$73)&lt;1,0,OFFSET($A$97,0,2+13*INT(((3-'Assumption Setting'!$H$73)-1)/12)+MOD((3-'Assumption Setting'!$H$73)-1,12)))</f>
        <v>0.205505564723916</v>
      </c>
      <c r="F98" s="86" t="n">
        <f aca="true">IF((4-'Assumption Setting'!$H$73)&lt;1,0,OFFSET($A$97,0,2+13*INT(((4-'Assumption Setting'!$H$73)-1)/12)+MOD((4-'Assumption Setting'!$H$73)-1,12)))</f>
        <v>0.205505564723916</v>
      </c>
      <c r="G98" s="86" t="n">
        <f aca="true">IF((5-'Assumption Setting'!$H$73)&lt;1,0,OFFSET($A$97,0,2+13*INT(((5-'Assumption Setting'!$H$73)-1)/12)+MOD((5-'Assumption Setting'!$H$73)-1,12)))</f>
        <v>0.205505564723916</v>
      </c>
      <c r="H98" s="86" t="n">
        <f aca="true">IF((6-'Assumption Setting'!$H$73)&lt;1,0,OFFSET($A$97,0,2+13*INT(((6-'Assumption Setting'!$H$73)-1)/12)+MOD((6-'Assumption Setting'!$H$73)-1,12)))</f>
        <v>0.205505564723916</v>
      </c>
      <c r="I98" s="86" t="n">
        <f aca="true">IF((7-'Assumption Setting'!$H$73)&lt;1,0,OFFSET($A$97,0,2+13*INT(((7-'Assumption Setting'!$H$73)-1)/12)+MOD((7-'Assumption Setting'!$H$73)-1,12)))</f>
        <v>0.205505564723916</v>
      </c>
      <c r="J98" s="86" t="n">
        <f aca="true">IF((8-'Assumption Setting'!$H$73)&lt;1,0,OFFSET($A$97,0,2+13*INT(((8-'Assumption Setting'!$H$73)-1)/12)+MOD((8-'Assumption Setting'!$H$73)-1,12)))</f>
        <v>0.205505564723916</v>
      </c>
      <c r="K98" s="86" t="n">
        <f aca="true">IF((9-'Assumption Setting'!$H$73)&lt;1,0,OFFSET($A$97,0,2+13*INT(((9-'Assumption Setting'!$H$73)-1)/12)+MOD((9-'Assumption Setting'!$H$73)-1,12)))</f>
        <v>0.205505564723916</v>
      </c>
      <c r="L98" s="86" t="n">
        <f aca="true">IF((10-'Assumption Setting'!$H$73)&lt;1,0,OFFSET($A$97,0,2+13*INT(((10-'Assumption Setting'!$H$73)-1)/12)+MOD((10-'Assumption Setting'!$H$73)-1,12)))</f>
        <v>0.205505564723916</v>
      </c>
      <c r="M98" s="86" t="n">
        <f aca="true">IF((11-'Assumption Setting'!$H$73)&lt;1,0,OFFSET($A$97,0,2+13*INT(((11-'Assumption Setting'!$H$73)-1)/12)+MOD((11-'Assumption Setting'!$H$73)-1,12)))</f>
        <v>0.205505564723916</v>
      </c>
      <c r="N98" s="86" t="n">
        <f aca="true">IF((12-'Assumption Setting'!$H$73)&lt;1,0,OFFSET($A$97,0,2+13*INT(((12-'Assumption Setting'!$H$73)-1)/12)+MOD((12-'Assumption Setting'!$H$73)-1,12)))</f>
        <v>0.205505564723916</v>
      </c>
      <c r="O98" s="80" t="n">
        <f aca="false">SUM(P98:AA98)</f>
        <v>3.90372587766176</v>
      </c>
      <c r="P98" s="86" t="n">
        <f aca="true">IF((13-'Assumption Setting'!$H$73)&lt;1,0,OFFSET($A$97,0,2+13*INT(((13-'Assumption Setting'!$H$73)-1)/12)+MOD((13-'Assumption Setting'!$H$73)-1,12)))</f>
        <v>0.205505564723916</v>
      </c>
      <c r="Q98" s="86" t="n">
        <f aca="true">IF((14-'Assumption Setting'!$H$73)&lt;1,0,OFFSET($A$97,0,2+13*INT(((14-'Assumption Setting'!$H$73)-1)/12)+MOD((14-'Assumption Setting'!$H$73)-1,12)))</f>
        <v>0.226056121196308</v>
      </c>
      <c r="R98" s="86" t="n">
        <f aca="true">IF((15-'Assumption Setting'!$H$73)&lt;1,0,OFFSET($A$97,0,2+13*INT(((15-'Assumption Setting'!$H$73)-1)/12)+MOD((15-'Assumption Setting'!$H$73)-1,12)))</f>
        <v>0.347216419174154</v>
      </c>
      <c r="S98" s="86" t="n">
        <f aca="true">IF((16-'Assumption Setting'!$H$73)&lt;1,0,OFFSET($A$97,0,2+13*INT(((16-'Assumption Setting'!$H$73)-1)/12)+MOD((16-'Assumption Setting'!$H$73)-1,12)))</f>
        <v>0.347216419174154</v>
      </c>
      <c r="T98" s="86" t="n">
        <f aca="true">IF((17-'Assumption Setting'!$H$73)&lt;1,0,OFFSET($A$97,0,2+13*INT(((17-'Assumption Setting'!$H$73)-1)/12)+MOD((17-'Assumption Setting'!$H$73)-1,12)))</f>
        <v>0.347216419174154</v>
      </c>
      <c r="U98" s="86" t="n">
        <f aca="true">IF((18-'Assumption Setting'!$H$73)&lt;1,0,OFFSET($A$97,0,2+13*INT(((18-'Assumption Setting'!$H$73)-1)/12)+MOD((18-'Assumption Setting'!$H$73)-1,12)))</f>
        <v>0.347216419174154</v>
      </c>
      <c r="V98" s="86" t="n">
        <f aca="true">IF((19-'Assumption Setting'!$H$73)&lt;1,0,OFFSET($A$97,0,2+13*INT(((19-'Assumption Setting'!$H$73)-1)/12)+MOD((19-'Assumption Setting'!$H$73)-1,12)))</f>
        <v>0.347216419174154</v>
      </c>
      <c r="W98" s="86" t="n">
        <f aca="true">IF((20-'Assumption Setting'!$H$73)&lt;1,0,OFFSET($A$97,0,2+13*INT(((20-'Assumption Setting'!$H$73)-1)/12)+MOD((20-'Assumption Setting'!$H$73)-1,12)))</f>
        <v>0.347216419174154</v>
      </c>
      <c r="X98" s="86" t="n">
        <f aca="true">IF((21-'Assumption Setting'!$H$73)&lt;1,0,OFFSET($A$97,0,2+13*INT(((21-'Assumption Setting'!$H$73)-1)/12)+MOD((21-'Assumption Setting'!$H$73)-1,12)))</f>
        <v>0.347216419174154</v>
      </c>
      <c r="Y98" s="86" t="n">
        <f aca="true">IF((22-'Assumption Setting'!$H$73)&lt;1,0,OFFSET($A$97,0,2+13*INT(((22-'Assumption Setting'!$H$73)-1)/12)+MOD((22-'Assumption Setting'!$H$73)-1,12)))</f>
        <v>0.347216419174154</v>
      </c>
      <c r="Z98" s="86" t="n">
        <f aca="true">IF((23-'Assumption Setting'!$H$73)&lt;1,0,OFFSET($A$97,0,2+13*INT(((23-'Assumption Setting'!$H$73)-1)/12)+MOD((23-'Assumption Setting'!$H$73)-1,12)))</f>
        <v>0.347216419174154</v>
      </c>
      <c r="AA98" s="86" t="n">
        <f aca="true">IF((24-'Assumption Setting'!$H$73)&lt;1,0,OFFSET($A$97,0,2+13*INT(((24-'Assumption Setting'!$H$73)-1)/12)+MOD((24-'Assumption Setting'!$H$73)-1,12)))</f>
        <v>0.347216419174154</v>
      </c>
      <c r="AB98" s="80" t="n">
        <f aca="false">SUM(AC98:AN98)</f>
        <v>6.40698106648582</v>
      </c>
      <c r="AC98" s="86" t="n">
        <f aca="true">IF((25-'Assumption Setting'!$H$73)&lt;1,0,OFFSET($A$97,0,2+13*INT(((25-'Assumption Setting'!$H$73)-1)/12)+MOD((25-'Assumption Setting'!$H$73)-1,12)))</f>
        <v>0.347216419174154</v>
      </c>
      <c r="AD98" s="86" t="n">
        <f aca="true">IF((26-'Assumption Setting'!$H$73)&lt;1,0,OFFSET($A$97,0,2+13*INT(((26-'Assumption Setting'!$H$73)-1)/12)+MOD((26-'Assumption Setting'!$H$73)-1,12)))</f>
        <v>0.378781548189986</v>
      </c>
      <c r="AE98" s="86" t="n">
        <f aca="true">IF((27-'Assumption Setting'!$H$73)&lt;1,0,OFFSET($A$97,0,2+13*INT(((27-'Assumption Setting'!$H$73)-1)/12)+MOD((27-'Assumption Setting'!$H$73)-1,12)))</f>
        <v>0.568098309912168</v>
      </c>
      <c r="AF98" s="86" t="n">
        <f aca="true">IF((28-'Assumption Setting'!$H$73)&lt;1,0,OFFSET($A$97,0,2+13*INT(((28-'Assumption Setting'!$H$73)-1)/12)+MOD((28-'Assumption Setting'!$H$73)-1,12)))</f>
        <v>0.568098309912168</v>
      </c>
      <c r="AG98" s="86" t="n">
        <f aca="true">IF((29-'Assumption Setting'!$H$73)&lt;1,0,OFFSET($A$97,0,2+13*INT(((29-'Assumption Setting'!$H$73)-1)/12)+MOD((29-'Assumption Setting'!$H$73)-1,12)))</f>
        <v>0.568098309912168</v>
      </c>
      <c r="AH98" s="86" t="n">
        <f aca="true">IF((30-'Assumption Setting'!$H$73)&lt;1,0,OFFSET($A$97,0,2+13*INT(((30-'Assumption Setting'!$H$73)-1)/12)+MOD((30-'Assumption Setting'!$H$73)-1,12)))</f>
        <v>0.568098309912168</v>
      </c>
      <c r="AI98" s="86" t="n">
        <f aca="true">IF((31-'Assumption Setting'!$H$73)&lt;1,0,OFFSET($A$97,0,2+13*INT(((31-'Assumption Setting'!$H$73)-1)/12)+MOD((31-'Assumption Setting'!$H$73)-1,12)))</f>
        <v>0.568098309912168</v>
      </c>
      <c r="AJ98" s="86" t="n">
        <f aca="true">IF((32-'Assumption Setting'!$H$73)&lt;1,0,OFFSET($A$97,0,2+13*INT(((32-'Assumption Setting'!$H$73)-1)/12)+MOD((32-'Assumption Setting'!$H$73)-1,12)))</f>
        <v>0.568098309912168</v>
      </c>
      <c r="AK98" s="86" t="n">
        <f aca="true">IF((33-'Assumption Setting'!$H$73)&lt;1,0,OFFSET($A$97,0,2+13*INT(((33-'Assumption Setting'!$H$73)-1)/12)+MOD((33-'Assumption Setting'!$H$73)-1,12)))</f>
        <v>0.568098309912168</v>
      </c>
      <c r="AL98" s="86" t="n">
        <f aca="true">IF((34-'Assumption Setting'!$H$73)&lt;1,0,OFFSET($A$97,0,2+13*INT(((34-'Assumption Setting'!$H$73)-1)/12)+MOD((34-'Assumption Setting'!$H$73)-1,12)))</f>
        <v>0.568098309912168</v>
      </c>
      <c r="AM98" s="86" t="n">
        <f aca="true">IF((35-'Assumption Setting'!$H$73)&lt;1,0,OFFSET($A$97,0,2+13*INT(((35-'Assumption Setting'!$H$73)-1)/12)+MOD((35-'Assumption Setting'!$H$73)-1,12)))</f>
        <v>0.568098309912168</v>
      </c>
      <c r="AN98" s="86" t="n">
        <f aca="true">IF((36-'Assumption Setting'!$H$73)&lt;1,0,OFFSET($A$97,0,2+13*INT(((36-'Assumption Setting'!$H$73)-1)/12)+MOD((36-'Assumption Setting'!$H$73)-1,12)))</f>
        <v>0.568098309912168</v>
      </c>
      <c r="AO98" s="80" t="n">
        <f aca="false">SUM(AP98:BA98)</f>
        <v>8.8344379014856</v>
      </c>
      <c r="AP98" s="86" t="n">
        <f aca="true">IF((37-'Assumption Setting'!$H$73)&lt;1,0,OFFSET($A$97,0,2+13*INT(((37-'Assumption Setting'!$H$73)-1)/12)+MOD((37-'Assumption Setting'!$H$73)-1,12)))</f>
        <v>0.568098309912168</v>
      </c>
      <c r="AQ98" s="86" t="n">
        <f aca="true">IF((38-'Assumption Setting'!$H$73)&lt;1,0,OFFSET($A$97,0,2+13*INT(((38-'Assumption Setting'!$H$73)-1)/12)+MOD((38-'Assumption Setting'!$H$73)-1,12)))</f>
        <v>0.591769072825175</v>
      </c>
      <c r="AR98" s="86" t="n">
        <f aca="true">IF((39-'Assumption Setting'!$H$73)&lt;1,0,OFFSET($A$97,0,2+13*INT(((39-'Assumption Setting'!$H$73)-1)/12)+MOD((39-'Assumption Setting'!$H$73)-1,12)))</f>
        <v>0.767457051874825</v>
      </c>
      <c r="AS98" s="86" t="n">
        <f aca="true">IF((40-'Assumption Setting'!$H$73)&lt;1,0,OFFSET($A$97,0,2+13*INT(((40-'Assumption Setting'!$H$73)-1)/12)+MOD((40-'Assumption Setting'!$H$73)-1,12)))</f>
        <v>0.767457051874825</v>
      </c>
      <c r="AT98" s="86" t="n">
        <f aca="true">IF((41-'Assumption Setting'!$H$73)&lt;1,0,OFFSET($A$97,0,2+13*INT(((41-'Assumption Setting'!$H$73)-1)/12)+MOD((41-'Assumption Setting'!$H$73)-1,12)))</f>
        <v>0.767457051874825</v>
      </c>
      <c r="AU98" s="86" t="n">
        <f aca="true">IF((42-'Assumption Setting'!$H$73)&lt;1,0,OFFSET($A$97,0,2+13*INT(((42-'Assumption Setting'!$H$73)-1)/12)+MOD((42-'Assumption Setting'!$H$73)-1,12)))</f>
        <v>0.767457051874825</v>
      </c>
      <c r="AV98" s="86" t="n">
        <f aca="true">IF((43-'Assumption Setting'!$H$73)&lt;1,0,OFFSET($A$97,0,2+13*INT(((43-'Assumption Setting'!$H$73)-1)/12)+MOD((43-'Assumption Setting'!$H$73)-1,12)))</f>
        <v>0.767457051874825</v>
      </c>
      <c r="AW98" s="86" t="n">
        <f aca="true">IF((44-'Assumption Setting'!$H$73)&lt;1,0,OFFSET($A$97,0,2+13*INT(((44-'Assumption Setting'!$H$73)-1)/12)+MOD((44-'Assumption Setting'!$H$73)-1,12)))</f>
        <v>0.767457051874825</v>
      </c>
      <c r="AX98" s="86" t="n">
        <f aca="true">IF((45-'Assumption Setting'!$H$73)&lt;1,0,OFFSET($A$97,0,2+13*INT(((45-'Assumption Setting'!$H$73)-1)/12)+MOD((45-'Assumption Setting'!$H$73)-1,12)))</f>
        <v>0.767457051874825</v>
      </c>
      <c r="AY98" s="86" t="n">
        <f aca="true">IF((46-'Assumption Setting'!$H$73)&lt;1,0,OFFSET($A$97,0,2+13*INT(((46-'Assumption Setting'!$H$73)-1)/12)+MOD((46-'Assumption Setting'!$H$73)-1,12)))</f>
        <v>0.767457051874825</v>
      </c>
      <c r="AZ98" s="86" t="n">
        <f aca="true">IF((47-'Assumption Setting'!$H$73)&lt;1,0,OFFSET($A$97,0,2+13*INT(((47-'Assumption Setting'!$H$73)-1)/12)+MOD((47-'Assumption Setting'!$H$73)-1,12)))</f>
        <v>0.767457051874825</v>
      </c>
      <c r="BA98" s="86" t="n">
        <f aca="true">IF((48-'Assumption Setting'!$H$73)&lt;1,0,OFFSET($A$97,0,2+13*INT(((48-'Assumption Setting'!$H$73)-1)/12)+MOD((48-'Assumption Setting'!$H$73)-1,12)))</f>
        <v>0.767457051874825</v>
      </c>
      <c r="BB98" s="80" t="n">
        <f aca="false">SUM(BC98:BN98)</f>
        <v>11.3709544890392</v>
      </c>
      <c r="BC98" s="86" t="n">
        <f aca="true">IF((49-'Assumption Setting'!$H$73)&lt;1,0,OFFSET($A$97,0,2+13*INT(((49-'Assumption Setting'!$H$73)-1)/12)+MOD((49-'Assumption Setting'!$H$73)-1,12)))</f>
        <v>0.767457051874825</v>
      </c>
      <c r="BD98" s="86" t="n">
        <f aca="true">IF((50-'Assumption Setting'!$H$73)&lt;1,0,OFFSET($A$97,0,2+13*INT(((50-'Assumption Setting'!$H$73)-1)/12)+MOD((50-'Assumption Setting'!$H$73)-1,12)))</f>
        <v>0.798155333949818</v>
      </c>
      <c r="BE98" s="86" t="n">
        <f aca="true">IF((51-'Assumption Setting'!$H$73)&lt;1,0,OFFSET($A$97,0,2+13*INT(((51-'Assumption Setting'!$H$73)-1)/12)+MOD((51-'Assumption Setting'!$H$73)-1,12)))</f>
        <v>0.980534210321455</v>
      </c>
      <c r="BF98" s="86" t="n">
        <f aca="true">IF((52-'Assumption Setting'!$H$73)&lt;1,0,OFFSET($A$97,0,2+13*INT(((52-'Assumption Setting'!$H$73)-1)/12)+MOD((52-'Assumption Setting'!$H$73)-1,12)))</f>
        <v>0.980534210321455</v>
      </c>
      <c r="BG98" s="86" t="n">
        <f aca="true">IF((53-'Assumption Setting'!$H$73)&lt;1,0,OFFSET($A$97,0,2+13*INT(((53-'Assumption Setting'!$H$73)-1)/12)+MOD((53-'Assumption Setting'!$H$73)-1,12)))</f>
        <v>0.980534210321455</v>
      </c>
      <c r="BH98" s="86" t="n">
        <f aca="true">IF((54-'Assumption Setting'!$H$73)&lt;1,0,OFFSET($A$97,0,2+13*INT(((54-'Assumption Setting'!$H$73)-1)/12)+MOD((54-'Assumption Setting'!$H$73)-1,12)))</f>
        <v>0.980534210321455</v>
      </c>
      <c r="BI98" s="86" t="n">
        <f aca="true">IF((55-'Assumption Setting'!$H$73)&lt;1,0,OFFSET($A$97,0,2+13*INT(((55-'Assumption Setting'!$H$73)-1)/12)+MOD((55-'Assumption Setting'!$H$73)-1,12)))</f>
        <v>0.980534210321455</v>
      </c>
      <c r="BJ98" s="86" t="n">
        <f aca="true">IF((56-'Assumption Setting'!$H$73)&lt;1,0,OFFSET($A$97,0,2+13*INT(((56-'Assumption Setting'!$H$73)-1)/12)+MOD((56-'Assumption Setting'!$H$73)-1,12)))</f>
        <v>0.980534210321455</v>
      </c>
      <c r="BK98" s="86" t="n">
        <f aca="true">IF((57-'Assumption Setting'!$H$73)&lt;1,0,OFFSET($A$97,0,2+13*INT(((57-'Assumption Setting'!$H$73)-1)/12)+MOD((57-'Assumption Setting'!$H$73)-1,12)))</f>
        <v>0.980534210321455</v>
      </c>
      <c r="BL98" s="86" t="n">
        <f aca="true">IF((58-'Assumption Setting'!$H$73)&lt;1,0,OFFSET($A$97,0,2+13*INT(((58-'Assumption Setting'!$H$73)-1)/12)+MOD((58-'Assumption Setting'!$H$73)-1,12)))</f>
        <v>0.980534210321455</v>
      </c>
      <c r="BM98" s="86" t="n">
        <f aca="true">IF((59-'Assumption Setting'!$H$73)&lt;1,0,OFFSET($A$97,0,2+13*INT(((59-'Assumption Setting'!$H$73)-1)/12)+MOD((59-'Assumption Setting'!$H$73)-1,12)))</f>
        <v>0.980534210321455</v>
      </c>
      <c r="BN98" s="86" t="n">
        <f aca="true">IF((60-'Assumption Setting'!$H$73)&lt;1,0,OFFSET($A$97,0,2+13*INT(((60-'Assumption Setting'!$H$73)-1)/12)+MOD((60-'Assumption Setting'!$H$73)-1,12)))</f>
        <v>0.980534210321455</v>
      </c>
    </row>
    <row r="99" customFormat="false" ht="15" hidden="false" customHeight="false" outlineLevel="0" collapsed="false">
      <c r="A99" s="66" t="s">
        <v>620</v>
      </c>
      <c r="B99" s="87" t="n">
        <f aca="false">SUM(C99:N99)</f>
        <v>14.0334204761708</v>
      </c>
      <c r="C99" s="88" t="n">
        <f aca="false">C72+C77+C82+C87+C92+C97</f>
        <v>0</v>
      </c>
      <c r="D99" s="88" t="n">
        <f aca="false">D72+D77+D82+D87+D92+D97</f>
        <v>1.27576549783371</v>
      </c>
      <c r="E99" s="88" t="n">
        <f aca="false">E72+E77+E82+E87+E92+E97</f>
        <v>1.27576549783371</v>
      </c>
      <c r="F99" s="88" t="n">
        <f aca="false">F72+F77+F82+F87+F92+F97</f>
        <v>1.27576549783371</v>
      </c>
      <c r="G99" s="88" t="n">
        <f aca="false">G72+G77+G82+G87+G92+G97</f>
        <v>1.27576549783371</v>
      </c>
      <c r="H99" s="88" t="n">
        <f aca="false">H72+H77+H82+H87+H92+H97</f>
        <v>1.27576549783371</v>
      </c>
      <c r="I99" s="88" t="n">
        <f aca="false">I72+I77+I82+I87+I92+I97</f>
        <v>1.27576549783371</v>
      </c>
      <c r="J99" s="88" t="n">
        <f aca="false">J72+J77+J82+J87+J92+J97</f>
        <v>1.27576549783371</v>
      </c>
      <c r="K99" s="88" t="n">
        <f aca="false">K72+K77+K82+K87+K92+K97</f>
        <v>1.27576549783371</v>
      </c>
      <c r="L99" s="88" t="n">
        <f aca="false">L72+L77+L82+L87+L92+L97</f>
        <v>1.27576549783371</v>
      </c>
      <c r="M99" s="88" t="n">
        <f aca="false">M72+M77+M82+M87+M92+M97</f>
        <v>1.27576549783371</v>
      </c>
      <c r="N99" s="88" t="n">
        <f aca="false">N72+N77+N82+N87+N92+N97</f>
        <v>1.27576549783371</v>
      </c>
      <c r="O99" s="87" t="n">
        <f aca="false">SUM(P99:AA99)</f>
        <v>25.1138143798255</v>
      </c>
      <c r="P99" s="88" t="n">
        <f aca="false">P72+P77+P82+P87+P92+P97</f>
        <v>1.40334204761708</v>
      </c>
      <c r="Q99" s="88" t="n">
        <f aca="false">Q72+Q77+Q82+Q87+Q92+Q97</f>
        <v>2.15549748474622</v>
      </c>
      <c r="R99" s="88" t="n">
        <f aca="false">R72+R77+R82+R87+R92+R97</f>
        <v>2.15549748474622</v>
      </c>
      <c r="S99" s="88" t="n">
        <f aca="false">S72+S77+S82+S87+S92+S97</f>
        <v>2.15549748474622</v>
      </c>
      <c r="T99" s="88" t="n">
        <f aca="false">T72+T77+T82+T87+T92+T97</f>
        <v>2.15549748474622</v>
      </c>
      <c r="U99" s="88" t="n">
        <f aca="false">U72+U77+U82+U87+U92+U97</f>
        <v>2.15549748474622</v>
      </c>
      <c r="V99" s="88" t="n">
        <f aca="false">V72+V77+V82+V87+V92+V97</f>
        <v>2.15549748474622</v>
      </c>
      <c r="W99" s="88" t="n">
        <f aca="false">W72+W77+W82+W87+W92+W97</f>
        <v>2.15549748474622</v>
      </c>
      <c r="X99" s="88" t="n">
        <f aca="false">X72+X77+X82+X87+X92+X97</f>
        <v>2.15549748474622</v>
      </c>
      <c r="Y99" s="88" t="n">
        <f aca="false">Y72+Y77+Y82+Y87+Y92+Y97</f>
        <v>2.15549748474622</v>
      </c>
      <c r="Z99" s="88" t="n">
        <f aca="false">Z72+Z77+Z82+Z87+Z92+Z97</f>
        <v>2.15549748474622</v>
      </c>
      <c r="AA99" s="88" t="n">
        <f aca="false">AA72+AA77+AA82+AA87+AA92+AA97</f>
        <v>2.15549748474622</v>
      </c>
      <c r="AB99" s="87" t="n">
        <f aca="false">SUM(AC99:AN99)</f>
        <v>41.1453524217499</v>
      </c>
      <c r="AC99" s="88" t="n">
        <f aca="false">AC72+AC77+AC82+AC87+AC92+AC97</f>
        <v>2.35145180154133</v>
      </c>
      <c r="AD99" s="88" t="n">
        <f aca="false">AD72+AD77+AD82+AD87+AD92+AD97</f>
        <v>3.52671823820078</v>
      </c>
      <c r="AE99" s="88" t="n">
        <f aca="false">AE72+AE77+AE82+AE87+AE92+AE97</f>
        <v>3.52671823820078</v>
      </c>
      <c r="AF99" s="88" t="n">
        <f aca="false">AF72+AF77+AF82+AF87+AF92+AF97</f>
        <v>3.52671823820078</v>
      </c>
      <c r="AG99" s="88" t="n">
        <f aca="false">AG72+AG77+AG82+AG87+AG92+AG97</f>
        <v>3.52671823820078</v>
      </c>
      <c r="AH99" s="88" t="n">
        <f aca="false">AH72+AH77+AH82+AH87+AH92+AH97</f>
        <v>3.52671823820078</v>
      </c>
      <c r="AI99" s="88" t="n">
        <f aca="false">AI72+AI77+AI82+AI87+AI92+AI97</f>
        <v>3.52671823820078</v>
      </c>
      <c r="AJ99" s="88" t="n">
        <f aca="false">AJ72+AJ77+AJ82+AJ87+AJ92+AJ97</f>
        <v>3.52671823820078</v>
      </c>
      <c r="AK99" s="88" t="n">
        <f aca="false">AK72+AK77+AK82+AK87+AK92+AK97</f>
        <v>3.52671823820078</v>
      </c>
      <c r="AL99" s="88" t="n">
        <f aca="false">AL72+AL77+AL82+AL87+AL92+AL97</f>
        <v>3.52671823820078</v>
      </c>
      <c r="AM99" s="88" t="n">
        <f aca="false">AM72+AM77+AM82+AM87+AM92+AM97</f>
        <v>3.52671823820078</v>
      </c>
      <c r="AN99" s="88" t="n">
        <f aca="false">AN72+AN77+AN82+AN87+AN92+AN97</f>
        <v>3.52671823820078</v>
      </c>
      <c r="AO99" s="87" t="n">
        <f aca="false">SUM(AP99:BA99)</f>
        <v>56.0812359881367</v>
      </c>
      <c r="AP99" s="88" t="n">
        <f aca="false">AP72+AP77+AP82+AP87+AP92+AP97</f>
        <v>3.67366483145914</v>
      </c>
      <c r="AQ99" s="88" t="n">
        <f aca="false">AQ72+AQ77+AQ82+AQ87+AQ92+AQ97</f>
        <v>4.76432465060705</v>
      </c>
      <c r="AR99" s="88" t="n">
        <f aca="false">AR72+AR77+AR82+AR87+AR92+AR97</f>
        <v>4.76432465060705</v>
      </c>
      <c r="AS99" s="88" t="n">
        <f aca="false">AS72+AS77+AS82+AS87+AS92+AS97</f>
        <v>4.76432465060705</v>
      </c>
      <c r="AT99" s="88" t="n">
        <f aca="false">AT72+AT77+AT82+AT87+AT92+AT97</f>
        <v>4.76432465060705</v>
      </c>
      <c r="AU99" s="88" t="n">
        <f aca="false">AU72+AU77+AU82+AU87+AU92+AU97</f>
        <v>4.76432465060705</v>
      </c>
      <c r="AV99" s="88" t="n">
        <f aca="false">AV72+AV77+AV82+AV87+AV92+AV97</f>
        <v>4.76432465060705</v>
      </c>
      <c r="AW99" s="88" t="n">
        <f aca="false">AW72+AW77+AW82+AW87+AW92+AW97</f>
        <v>4.76432465060705</v>
      </c>
      <c r="AX99" s="88" t="n">
        <f aca="false">AX72+AX77+AX82+AX87+AX92+AX97</f>
        <v>4.76432465060705</v>
      </c>
      <c r="AY99" s="88" t="n">
        <f aca="false">AY72+AY77+AY82+AY87+AY92+AY97</f>
        <v>4.76432465060705</v>
      </c>
      <c r="AZ99" s="88" t="n">
        <f aca="false">AZ72+AZ77+AZ82+AZ87+AZ92+AZ97</f>
        <v>4.76432465060705</v>
      </c>
      <c r="BA99" s="88" t="n">
        <f aca="false">BA72+BA77+BA82+BA87+BA92+BA97</f>
        <v>4.76432465060705</v>
      </c>
      <c r="BB99" s="87" t="n">
        <f aca="false">SUM(BC99:BN99)</f>
        <v>71.9129329735191</v>
      </c>
      <c r="BC99" s="88" t="n">
        <f aca="false">BC72+BC77+BC82+BC87+BC92+BC97</f>
        <v>4.95489763663133</v>
      </c>
      <c r="BD99" s="88" t="n">
        <f aca="false">BD72+BD77+BD82+BD87+BD92+BD97</f>
        <v>6.08709412153525</v>
      </c>
      <c r="BE99" s="88" t="n">
        <f aca="false">BE72+BE77+BE82+BE87+BE92+BE97</f>
        <v>6.08709412153525</v>
      </c>
      <c r="BF99" s="88" t="n">
        <f aca="false">BF72+BF77+BF82+BF87+BF92+BF97</f>
        <v>6.08709412153525</v>
      </c>
      <c r="BG99" s="88" t="n">
        <f aca="false">BG72+BG77+BG82+BG87+BG92+BG97</f>
        <v>6.08709412153525</v>
      </c>
      <c r="BH99" s="88" t="n">
        <f aca="false">BH72+BH77+BH82+BH87+BH92+BH97</f>
        <v>6.08709412153525</v>
      </c>
      <c r="BI99" s="88" t="n">
        <f aca="false">BI72+BI77+BI82+BI87+BI92+BI97</f>
        <v>6.08709412153525</v>
      </c>
      <c r="BJ99" s="88" t="n">
        <f aca="false">BJ72+BJ77+BJ82+BJ87+BJ92+BJ97</f>
        <v>6.08709412153525</v>
      </c>
      <c r="BK99" s="88" t="n">
        <f aca="false">BK72+BK77+BK82+BK87+BK92+BK97</f>
        <v>6.08709412153525</v>
      </c>
      <c r="BL99" s="88" t="n">
        <f aca="false">BL72+BL77+BL82+BL87+BL92+BL97</f>
        <v>6.08709412153525</v>
      </c>
      <c r="BM99" s="88" t="n">
        <f aca="false">BM72+BM77+BM82+BM87+BM92+BM97</f>
        <v>6.08709412153525</v>
      </c>
      <c r="BN99" s="88" t="n">
        <f aca="false">BN72+BN77+BN82+BN87+BN92+BN97</f>
        <v>6.08709412153525</v>
      </c>
    </row>
    <row r="100" customFormat="false" ht="15" hidden="false" customHeight="false" outlineLevel="0" collapsed="false">
      <c r="A100" s="66" t="s">
        <v>621</v>
      </c>
      <c r="B100" s="87" t="n">
        <f aca="false">SUM(C100:N100)</f>
        <v>11.7154481858086</v>
      </c>
      <c r="C100" s="88" t="n">
        <f aca="false">C73+C78+C83+C88+C93+C98</f>
        <v>0</v>
      </c>
      <c r="D100" s="88" t="n">
        <f aca="false">D73+D78+D83+D88+D93+D98</f>
        <v>0</v>
      </c>
      <c r="E100" s="88" t="n">
        <f aca="false">E73+E78+E83+E88+E93+E98</f>
        <v>0.388177177811841</v>
      </c>
      <c r="F100" s="88" t="n">
        <f aca="false">F73+F78+F83+F88+F93+F98</f>
        <v>1.12114702532714</v>
      </c>
      <c r="G100" s="88" t="n">
        <f aca="false">G73+G78+G83+G88+G93+G98</f>
        <v>1.27576549783371</v>
      </c>
      <c r="H100" s="88" t="n">
        <f aca="false">H73+H78+H83+H88+H93+H98</f>
        <v>1.27576549783371</v>
      </c>
      <c r="I100" s="88" t="n">
        <f aca="false">I73+I78+I83+I88+I93+I98</f>
        <v>1.27576549783371</v>
      </c>
      <c r="J100" s="88" t="n">
        <f aca="false">J73+J78+J83+J88+J93+J98</f>
        <v>1.27576549783371</v>
      </c>
      <c r="K100" s="88" t="n">
        <f aca="false">K73+K78+K83+K88+K93+K98</f>
        <v>1.27576549783371</v>
      </c>
      <c r="L100" s="88" t="n">
        <f aca="false">L73+L78+L83+L88+L93+L98</f>
        <v>1.27576549783371</v>
      </c>
      <c r="M100" s="88" t="n">
        <f aca="false">M73+M78+M83+M88+M93+M98</f>
        <v>1.27576549783371</v>
      </c>
      <c r="N100" s="88" t="n">
        <f aca="false">N73+N78+N83+N88+N93+N98</f>
        <v>1.27576549783371</v>
      </c>
      <c r="O100" s="87" t="n">
        <f aca="false">SUM(P100:AA100)</f>
        <v>23.5154059167725</v>
      </c>
      <c r="P100" s="88" t="n">
        <f aca="false">P73+P78+P83+P88+P93+P98</f>
        <v>1.27576549783371</v>
      </c>
      <c r="Q100" s="88" t="n">
        <f aca="false">Q73+Q78+Q83+Q88+Q93+Q98</f>
        <v>1.31458321561489</v>
      </c>
      <c r="R100" s="88" t="n">
        <f aca="false">R73+R78+R83+R88+R93+R98</f>
        <v>1.61673854099124</v>
      </c>
      <c r="S100" s="88" t="n">
        <f aca="false">S73+S78+S83+S88+S93+S98</f>
        <v>2.06433878436288</v>
      </c>
      <c r="T100" s="88" t="n">
        <f aca="false">T73+T78+T83+T88+T93+T98</f>
        <v>2.15549748474622</v>
      </c>
      <c r="U100" s="88" t="n">
        <f aca="false">U73+U78+U83+U88+U93+U98</f>
        <v>2.15549748474622</v>
      </c>
      <c r="V100" s="88" t="n">
        <f aca="false">V73+V78+V83+V88+V93+V98</f>
        <v>2.15549748474622</v>
      </c>
      <c r="W100" s="88" t="n">
        <f aca="false">W73+W78+W83+W88+W93+W98</f>
        <v>2.15549748474622</v>
      </c>
      <c r="X100" s="88" t="n">
        <f aca="false">X73+X78+X83+X88+X93+X98</f>
        <v>2.15549748474622</v>
      </c>
      <c r="Y100" s="88" t="n">
        <f aca="false">Y73+Y78+Y83+Y88+Y93+Y98</f>
        <v>2.15549748474622</v>
      </c>
      <c r="Z100" s="88" t="n">
        <f aca="false">Z73+Z78+Z83+Z88+Z93+Z98</f>
        <v>2.15549748474622</v>
      </c>
      <c r="AA100" s="88" t="n">
        <f aca="false">AA73+AA78+AA83+AA88+AA93+AA98</f>
        <v>2.15549748474622</v>
      </c>
      <c r="AB100" s="87" t="n">
        <f aca="false">SUM(AC100:AN100)</f>
        <v>38.6539449366954</v>
      </c>
      <c r="AC100" s="88" t="n">
        <f aca="false">AC73+AC78+AC83+AC88+AC93+AC98</f>
        <v>2.15549748474622</v>
      </c>
      <c r="AD100" s="88" t="n">
        <f aca="false">AD73+AD78+AD83+AD88+AD93+AD98</f>
        <v>2.21512050622057</v>
      </c>
      <c r="AE100" s="88" t="n">
        <f aca="false">AE73+AE78+AE83+AE88+AE93+AE98</f>
        <v>2.68530112740782</v>
      </c>
      <c r="AF100" s="88" t="n">
        <f aca="false">AF73+AF78+AF83+AF88+AF93+AF98</f>
        <v>3.38427991271456</v>
      </c>
      <c r="AG100" s="88" t="n">
        <f aca="false">AG73+AG78+AG83+AG88+AG93+AG98</f>
        <v>3.52671823820078</v>
      </c>
      <c r="AH100" s="88" t="n">
        <f aca="false">AH73+AH78+AH83+AH88+AH93+AH98</f>
        <v>3.52671823820078</v>
      </c>
      <c r="AI100" s="88" t="n">
        <f aca="false">AI73+AI78+AI83+AI88+AI93+AI98</f>
        <v>3.52671823820078</v>
      </c>
      <c r="AJ100" s="88" t="n">
        <f aca="false">AJ73+AJ78+AJ83+AJ88+AJ93+AJ98</f>
        <v>3.52671823820078</v>
      </c>
      <c r="AK100" s="88" t="n">
        <f aca="false">AK73+AK78+AK83+AK88+AK93+AK98</f>
        <v>3.52671823820078</v>
      </c>
      <c r="AL100" s="88" t="n">
        <f aca="false">AL73+AL78+AL83+AL88+AL93+AL98</f>
        <v>3.52671823820078</v>
      </c>
      <c r="AM100" s="88" t="n">
        <f aca="false">AM73+AM78+AM83+AM88+AM93+AM98</f>
        <v>3.52671823820078</v>
      </c>
      <c r="AN100" s="88" t="n">
        <f aca="false">AN73+AN78+AN83+AN88+AN93+AN98</f>
        <v>3.52671823820078</v>
      </c>
      <c r="AO100" s="87" t="n">
        <f aca="false">SUM(AP100:BA100)</f>
        <v>53.832595955777</v>
      </c>
      <c r="AP100" s="88" t="n">
        <f aca="false">AP73+AP78+AP83+AP88+AP93+AP98</f>
        <v>3.52671823820078</v>
      </c>
      <c r="AQ100" s="88" t="n">
        <f aca="false">AQ73+AQ78+AQ83+AQ88+AQ93+AQ98</f>
        <v>3.57142967925868</v>
      </c>
      <c r="AR100" s="88" t="n">
        <f aca="false">AR73+AR78+AR83+AR88+AR93+AR98</f>
        <v>3.9877104718533</v>
      </c>
      <c r="AS100" s="88" t="n">
        <f aca="false">AS73+AS78+AS83+AS88+AS93+AS98</f>
        <v>4.63214036160779</v>
      </c>
      <c r="AT100" s="88" t="n">
        <f aca="false">AT73+AT78+AT83+AT88+AT93+AT98</f>
        <v>4.76432465060705</v>
      </c>
      <c r="AU100" s="88" t="n">
        <f aca="false">AU73+AU78+AU83+AU88+AU93+AU98</f>
        <v>4.76432465060705</v>
      </c>
      <c r="AV100" s="88" t="n">
        <f aca="false">AV73+AV78+AV83+AV88+AV93+AV98</f>
        <v>4.76432465060705</v>
      </c>
      <c r="AW100" s="88" t="n">
        <f aca="false">AW73+AW78+AW83+AW88+AW93+AW98</f>
        <v>4.76432465060705</v>
      </c>
      <c r="AX100" s="88" t="n">
        <f aca="false">AX73+AX78+AX83+AX88+AX93+AX98</f>
        <v>4.76432465060705</v>
      </c>
      <c r="AY100" s="88" t="n">
        <f aca="false">AY73+AY78+AY83+AY88+AY93+AY98</f>
        <v>4.76432465060705</v>
      </c>
      <c r="AZ100" s="88" t="n">
        <f aca="false">AZ73+AZ78+AZ83+AZ88+AZ93+AZ98</f>
        <v>4.76432465060705</v>
      </c>
      <c r="BA100" s="88" t="n">
        <f aca="false">BA73+BA78+BA83+BA88+BA93+BA98</f>
        <v>4.76432465060705</v>
      </c>
      <c r="BB100" s="87" t="n">
        <f aca="false">SUM(BC100:BN100)</f>
        <v>69.5095579133259</v>
      </c>
      <c r="BC100" s="88" t="n">
        <f aca="false">BC73+BC78+BC83+BC88+BC93+BC98</f>
        <v>4.76432465060705</v>
      </c>
      <c r="BD100" s="88" t="n">
        <f aca="false">BD73+BD78+BD83+BD88+BD93+BD98</f>
        <v>4.82231029452648</v>
      </c>
      <c r="BE100" s="88" t="n">
        <f aca="false">BE73+BE78+BE83+BE88+BE93+BE98</f>
        <v>5.27629426707371</v>
      </c>
      <c r="BF100" s="88" t="n">
        <f aca="false">BF73+BF78+BF83+BF88+BF93+BF98</f>
        <v>5.94987572883659</v>
      </c>
      <c r="BG100" s="88" t="n">
        <f aca="false">BG73+BG78+BG83+BG88+BG93+BG98</f>
        <v>6.08709412153525</v>
      </c>
      <c r="BH100" s="88" t="n">
        <f aca="false">BH73+BH78+BH83+BH88+BH93+BH98</f>
        <v>6.08709412153525</v>
      </c>
      <c r="BI100" s="88" t="n">
        <f aca="false">BI73+BI78+BI83+BI88+BI93+BI98</f>
        <v>6.08709412153525</v>
      </c>
      <c r="BJ100" s="88" t="n">
        <f aca="false">BJ73+BJ78+BJ83+BJ88+BJ93+BJ98</f>
        <v>6.08709412153525</v>
      </c>
      <c r="BK100" s="88" t="n">
        <f aca="false">BK73+BK78+BK83+BK88+BK93+BK98</f>
        <v>6.08709412153525</v>
      </c>
      <c r="BL100" s="88" t="n">
        <f aca="false">BL73+BL78+BL83+BL88+BL93+BL98</f>
        <v>6.08709412153525</v>
      </c>
      <c r="BM100" s="88" t="n">
        <f aca="false">BM73+BM78+BM83+BM88+BM93+BM98</f>
        <v>6.08709412153525</v>
      </c>
      <c r="BN100" s="88" t="n">
        <f aca="false">BN73+BN78+BN83+BN88+BN93+BN98</f>
        <v>6.08709412153525</v>
      </c>
    </row>
    <row r="102" customFormat="false" ht="16.5" hidden="false" customHeight="true" outlineLevel="0" collapsed="false">
      <c r="A102" s="15" t="s">
        <v>622</v>
      </c>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row>
    <row r="103" customFormat="false" ht="15" hidden="false" customHeight="true" outlineLevel="0" collapsed="false">
      <c r="A103" s="26" t="s">
        <v>481</v>
      </c>
      <c r="B103" s="61" t="s">
        <v>81</v>
      </c>
      <c r="C103" s="62" t="s">
        <v>482</v>
      </c>
      <c r="D103" s="62" t="s">
        <v>483</v>
      </c>
      <c r="E103" s="62" t="s">
        <v>484</v>
      </c>
      <c r="F103" s="62" t="s">
        <v>485</v>
      </c>
      <c r="G103" s="62" t="s">
        <v>486</v>
      </c>
      <c r="H103" s="62" t="s">
        <v>487</v>
      </c>
      <c r="I103" s="62" t="s">
        <v>488</v>
      </c>
      <c r="J103" s="62" t="s">
        <v>489</v>
      </c>
      <c r="K103" s="62" t="s">
        <v>490</v>
      </c>
      <c r="L103" s="62" t="s">
        <v>491</v>
      </c>
      <c r="M103" s="62" t="s">
        <v>492</v>
      </c>
      <c r="N103" s="62" t="s">
        <v>493</v>
      </c>
      <c r="O103" s="61" t="s">
        <v>82</v>
      </c>
      <c r="P103" s="63" t="s">
        <v>494</v>
      </c>
      <c r="Q103" s="63" t="s">
        <v>495</v>
      </c>
      <c r="R103" s="63" t="s">
        <v>496</v>
      </c>
      <c r="S103" s="63" t="s">
        <v>497</v>
      </c>
      <c r="T103" s="63" t="s">
        <v>498</v>
      </c>
      <c r="U103" s="63" t="s">
        <v>499</v>
      </c>
      <c r="V103" s="63" t="s">
        <v>500</v>
      </c>
      <c r="W103" s="63" t="s">
        <v>501</v>
      </c>
      <c r="X103" s="63" t="s">
        <v>502</v>
      </c>
      <c r="Y103" s="63" t="s">
        <v>503</v>
      </c>
      <c r="Z103" s="63" t="s">
        <v>504</v>
      </c>
      <c r="AA103" s="63" t="s">
        <v>505</v>
      </c>
      <c r="AB103" s="61" t="s">
        <v>83</v>
      </c>
      <c r="AC103" s="62" t="s">
        <v>506</v>
      </c>
      <c r="AD103" s="62" t="s">
        <v>507</v>
      </c>
      <c r="AE103" s="62" t="s">
        <v>508</v>
      </c>
      <c r="AF103" s="62" t="s">
        <v>509</v>
      </c>
      <c r="AG103" s="62" t="s">
        <v>510</v>
      </c>
      <c r="AH103" s="62" t="s">
        <v>511</v>
      </c>
      <c r="AI103" s="62" t="s">
        <v>512</v>
      </c>
      <c r="AJ103" s="62" t="s">
        <v>513</v>
      </c>
      <c r="AK103" s="62" t="s">
        <v>514</v>
      </c>
      <c r="AL103" s="62" t="s">
        <v>515</v>
      </c>
      <c r="AM103" s="62" t="s">
        <v>516</v>
      </c>
      <c r="AN103" s="62" t="s">
        <v>517</v>
      </c>
      <c r="AO103" s="61" t="s">
        <v>84</v>
      </c>
      <c r="AP103" s="63" t="s">
        <v>518</v>
      </c>
      <c r="AQ103" s="63" t="s">
        <v>519</v>
      </c>
      <c r="AR103" s="63" t="s">
        <v>520</v>
      </c>
      <c r="AS103" s="63" t="s">
        <v>521</v>
      </c>
      <c r="AT103" s="63" t="s">
        <v>522</v>
      </c>
      <c r="AU103" s="63" t="s">
        <v>523</v>
      </c>
      <c r="AV103" s="63" t="s">
        <v>524</v>
      </c>
      <c r="AW103" s="63" t="s">
        <v>525</v>
      </c>
      <c r="AX103" s="63" t="s">
        <v>526</v>
      </c>
      <c r="AY103" s="63" t="s">
        <v>527</v>
      </c>
      <c r="AZ103" s="63" t="s">
        <v>528</v>
      </c>
      <c r="BA103" s="63" t="s">
        <v>529</v>
      </c>
      <c r="BB103" s="61" t="s">
        <v>85</v>
      </c>
      <c r="BC103" s="62" t="s">
        <v>530</v>
      </c>
      <c r="BD103" s="62" t="s">
        <v>531</v>
      </c>
      <c r="BE103" s="62" t="s">
        <v>532</v>
      </c>
      <c r="BF103" s="62" t="s">
        <v>533</v>
      </c>
      <c r="BG103" s="62" t="s">
        <v>534</v>
      </c>
      <c r="BH103" s="62" t="s">
        <v>535</v>
      </c>
      <c r="BI103" s="62" t="s">
        <v>536</v>
      </c>
      <c r="BJ103" s="62" t="s">
        <v>537</v>
      </c>
      <c r="BK103" s="62" t="s">
        <v>538</v>
      </c>
      <c r="BL103" s="62" t="s">
        <v>539</v>
      </c>
      <c r="BM103" s="62" t="s">
        <v>540</v>
      </c>
      <c r="BN103" s="62" t="s">
        <v>541</v>
      </c>
    </row>
    <row r="104" customFormat="false" ht="15" hidden="false" customHeight="false" outlineLevel="0" collapsed="false">
      <c r="A104" s="12" t="s">
        <v>623</v>
      </c>
      <c r="B104" s="89" t="n">
        <f aca="false">N104</f>
        <v>1</v>
      </c>
      <c r="C104" s="90" t="n">
        <f aca="false">IF(1&gt;='Assumption Setting'!$F$95,'Assumption Setting'!$C$95,0)+IF(1&gt;='Assumption Setting'!$F$96,'Assumption Setting'!$C$96,0)+IF(1&gt;='Assumption Setting'!$F$97,'Assumption Setting'!$C$97,0)+IF(1&gt;='Assumption Setting'!$F$98,'Assumption Setting'!$C$98,0)+IF(1&gt;='Assumption Setting'!$F$99,'Assumption Setting'!$C$99,0)+IF(1&gt;='Assumption Setting'!$F$100,'Assumption Setting'!$C$100,0)</f>
        <v>1</v>
      </c>
      <c r="D104" s="90" t="n">
        <f aca="false">IF(2&gt;='Assumption Setting'!$F$95,'Assumption Setting'!$C$95,0)+IF(2&gt;='Assumption Setting'!$F$96,'Assumption Setting'!$C$96,0)+IF(2&gt;='Assumption Setting'!$F$97,'Assumption Setting'!$C$97,0)+IF(2&gt;='Assumption Setting'!$F$98,'Assumption Setting'!$C$98,0)+IF(2&gt;='Assumption Setting'!$F$99,'Assumption Setting'!$C$99,0)+IF(2&gt;='Assumption Setting'!$F$100,'Assumption Setting'!$C$100,0)</f>
        <v>1</v>
      </c>
      <c r="E104" s="90" t="n">
        <f aca="false">IF(3&gt;='Assumption Setting'!$F$95,'Assumption Setting'!$C$95,0)+IF(3&gt;='Assumption Setting'!$F$96,'Assumption Setting'!$C$96,0)+IF(3&gt;='Assumption Setting'!$F$97,'Assumption Setting'!$C$97,0)+IF(3&gt;='Assumption Setting'!$F$98,'Assumption Setting'!$C$98,0)+IF(3&gt;='Assumption Setting'!$F$99,'Assumption Setting'!$C$99,0)+IF(3&gt;='Assumption Setting'!$F$100,'Assumption Setting'!$C$100,0)</f>
        <v>1</v>
      </c>
      <c r="F104" s="90" t="n">
        <f aca="false">IF(4&gt;='Assumption Setting'!$F$95,'Assumption Setting'!$C$95,0)+IF(4&gt;='Assumption Setting'!$F$96,'Assumption Setting'!$C$96,0)+IF(4&gt;='Assumption Setting'!$F$97,'Assumption Setting'!$C$97,0)+IF(4&gt;='Assumption Setting'!$F$98,'Assumption Setting'!$C$98,0)+IF(4&gt;='Assumption Setting'!$F$99,'Assumption Setting'!$C$99,0)+IF(4&gt;='Assumption Setting'!$F$100,'Assumption Setting'!$C$100,0)</f>
        <v>1</v>
      </c>
      <c r="G104" s="90" t="n">
        <f aca="false">IF(5&gt;='Assumption Setting'!$F$95,'Assumption Setting'!$C$95,0)+IF(5&gt;='Assumption Setting'!$F$96,'Assumption Setting'!$C$96,0)+IF(5&gt;='Assumption Setting'!$F$97,'Assumption Setting'!$C$97,0)+IF(5&gt;='Assumption Setting'!$F$98,'Assumption Setting'!$C$98,0)+IF(5&gt;='Assumption Setting'!$F$99,'Assumption Setting'!$C$99,0)+IF(5&gt;='Assumption Setting'!$F$100,'Assumption Setting'!$C$100,0)</f>
        <v>1</v>
      </c>
      <c r="H104" s="90" t="n">
        <f aca="false">IF(6&gt;='Assumption Setting'!$F$95,'Assumption Setting'!$C$95,0)+IF(6&gt;='Assumption Setting'!$F$96,'Assumption Setting'!$C$96,0)+IF(6&gt;='Assumption Setting'!$F$97,'Assumption Setting'!$C$97,0)+IF(6&gt;='Assumption Setting'!$F$98,'Assumption Setting'!$C$98,0)+IF(6&gt;='Assumption Setting'!$F$99,'Assumption Setting'!$C$99,0)+IF(6&gt;='Assumption Setting'!$F$100,'Assumption Setting'!$C$100,0)</f>
        <v>1</v>
      </c>
      <c r="I104" s="90" t="n">
        <f aca="false">IF(7&gt;='Assumption Setting'!$F$95,'Assumption Setting'!$C$95,0)+IF(7&gt;='Assumption Setting'!$F$96,'Assumption Setting'!$C$96,0)+IF(7&gt;='Assumption Setting'!$F$97,'Assumption Setting'!$C$97,0)+IF(7&gt;='Assumption Setting'!$F$98,'Assumption Setting'!$C$98,0)+IF(7&gt;='Assumption Setting'!$F$99,'Assumption Setting'!$C$99,0)+IF(7&gt;='Assumption Setting'!$F$100,'Assumption Setting'!$C$100,0)</f>
        <v>1</v>
      </c>
      <c r="J104" s="90" t="n">
        <f aca="false">IF(8&gt;='Assumption Setting'!$F$95,'Assumption Setting'!$C$95,0)+IF(8&gt;='Assumption Setting'!$F$96,'Assumption Setting'!$C$96,0)+IF(8&gt;='Assumption Setting'!$F$97,'Assumption Setting'!$C$97,0)+IF(8&gt;='Assumption Setting'!$F$98,'Assumption Setting'!$C$98,0)+IF(8&gt;='Assumption Setting'!$F$99,'Assumption Setting'!$C$99,0)+IF(8&gt;='Assumption Setting'!$F$100,'Assumption Setting'!$C$100,0)</f>
        <v>1</v>
      </c>
      <c r="K104" s="90" t="n">
        <f aca="false">IF(9&gt;='Assumption Setting'!$F$95,'Assumption Setting'!$C$95,0)+IF(9&gt;='Assumption Setting'!$F$96,'Assumption Setting'!$C$96,0)+IF(9&gt;='Assumption Setting'!$F$97,'Assumption Setting'!$C$97,0)+IF(9&gt;='Assumption Setting'!$F$98,'Assumption Setting'!$C$98,0)+IF(9&gt;='Assumption Setting'!$F$99,'Assumption Setting'!$C$99,0)+IF(9&gt;='Assumption Setting'!$F$100,'Assumption Setting'!$C$100,0)</f>
        <v>1</v>
      </c>
      <c r="L104" s="90" t="n">
        <f aca="false">IF(10&gt;='Assumption Setting'!$F$95,'Assumption Setting'!$C$95,0)+IF(10&gt;='Assumption Setting'!$F$96,'Assumption Setting'!$C$96,0)+IF(10&gt;='Assumption Setting'!$F$97,'Assumption Setting'!$C$97,0)+IF(10&gt;='Assumption Setting'!$F$98,'Assumption Setting'!$C$98,0)+IF(10&gt;='Assumption Setting'!$F$99,'Assumption Setting'!$C$99,0)+IF(10&gt;='Assumption Setting'!$F$100,'Assumption Setting'!$C$100,0)</f>
        <v>1</v>
      </c>
      <c r="M104" s="90" t="n">
        <f aca="false">IF(11&gt;='Assumption Setting'!$F$95,'Assumption Setting'!$C$95,0)+IF(11&gt;='Assumption Setting'!$F$96,'Assumption Setting'!$C$96,0)+IF(11&gt;='Assumption Setting'!$F$97,'Assumption Setting'!$C$97,0)+IF(11&gt;='Assumption Setting'!$F$98,'Assumption Setting'!$C$98,0)+IF(11&gt;='Assumption Setting'!$F$99,'Assumption Setting'!$C$99,0)+IF(11&gt;='Assumption Setting'!$F$100,'Assumption Setting'!$C$100,0)</f>
        <v>1</v>
      </c>
      <c r="N104" s="90" t="n">
        <f aca="false">IF(12&gt;='Assumption Setting'!$F$95,'Assumption Setting'!$C$95,0)+IF(12&gt;='Assumption Setting'!$F$96,'Assumption Setting'!$C$96,0)+IF(12&gt;='Assumption Setting'!$F$97,'Assumption Setting'!$C$97,0)+IF(12&gt;='Assumption Setting'!$F$98,'Assumption Setting'!$C$98,0)+IF(12&gt;='Assumption Setting'!$F$99,'Assumption Setting'!$C$99,0)+IF(12&gt;='Assumption Setting'!$F$100,'Assumption Setting'!$C$100,0)</f>
        <v>1</v>
      </c>
      <c r="O104" s="89" t="n">
        <f aca="false">AA104</f>
        <v>1</v>
      </c>
      <c r="P104" s="90" t="n">
        <f aca="false">IF(13&gt;='Assumption Setting'!$F$95,'Assumption Setting'!$C$95,0)+IF(13&gt;='Assumption Setting'!$F$96,'Assumption Setting'!$C$96,0)+IF(13&gt;='Assumption Setting'!$F$97,'Assumption Setting'!$C$97,0)+IF(13&gt;='Assumption Setting'!$F$98,'Assumption Setting'!$C$98,0)+IF(13&gt;='Assumption Setting'!$F$99,'Assumption Setting'!$C$99,0)+IF(13&gt;='Assumption Setting'!$F$100,'Assumption Setting'!$C$100,0)</f>
        <v>1</v>
      </c>
      <c r="Q104" s="90" t="n">
        <f aca="false">IF(14&gt;='Assumption Setting'!$F$95,'Assumption Setting'!$C$95,0)+IF(14&gt;='Assumption Setting'!$F$96,'Assumption Setting'!$C$96,0)+IF(14&gt;='Assumption Setting'!$F$97,'Assumption Setting'!$C$97,0)+IF(14&gt;='Assumption Setting'!$F$98,'Assumption Setting'!$C$98,0)+IF(14&gt;='Assumption Setting'!$F$99,'Assumption Setting'!$C$99,0)+IF(14&gt;='Assumption Setting'!$F$100,'Assumption Setting'!$C$100,0)</f>
        <v>1</v>
      </c>
      <c r="R104" s="90" t="n">
        <f aca="false">IF(15&gt;='Assumption Setting'!$F$95,'Assumption Setting'!$C$95,0)+IF(15&gt;='Assumption Setting'!$F$96,'Assumption Setting'!$C$96,0)+IF(15&gt;='Assumption Setting'!$F$97,'Assumption Setting'!$C$97,0)+IF(15&gt;='Assumption Setting'!$F$98,'Assumption Setting'!$C$98,0)+IF(15&gt;='Assumption Setting'!$F$99,'Assumption Setting'!$C$99,0)+IF(15&gt;='Assumption Setting'!$F$100,'Assumption Setting'!$C$100,0)</f>
        <v>1</v>
      </c>
      <c r="S104" s="90" t="n">
        <f aca="false">IF(16&gt;='Assumption Setting'!$F$95,'Assumption Setting'!$C$95,0)+IF(16&gt;='Assumption Setting'!$F$96,'Assumption Setting'!$C$96,0)+IF(16&gt;='Assumption Setting'!$F$97,'Assumption Setting'!$C$97,0)+IF(16&gt;='Assumption Setting'!$F$98,'Assumption Setting'!$C$98,0)+IF(16&gt;='Assumption Setting'!$F$99,'Assumption Setting'!$C$99,0)+IF(16&gt;='Assumption Setting'!$F$100,'Assumption Setting'!$C$100,0)</f>
        <v>1</v>
      </c>
      <c r="T104" s="90" t="n">
        <f aca="false">IF(17&gt;='Assumption Setting'!$F$95,'Assumption Setting'!$C$95,0)+IF(17&gt;='Assumption Setting'!$F$96,'Assumption Setting'!$C$96,0)+IF(17&gt;='Assumption Setting'!$F$97,'Assumption Setting'!$C$97,0)+IF(17&gt;='Assumption Setting'!$F$98,'Assumption Setting'!$C$98,0)+IF(17&gt;='Assumption Setting'!$F$99,'Assumption Setting'!$C$99,0)+IF(17&gt;='Assumption Setting'!$F$100,'Assumption Setting'!$C$100,0)</f>
        <v>1</v>
      </c>
      <c r="U104" s="90" t="n">
        <f aca="false">IF(18&gt;='Assumption Setting'!$F$95,'Assumption Setting'!$C$95,0)+IF(18&gt;='Assumption Setting'!$F$96,'Assumption Setting'!$C$96,0)+IF(18&gt;='Assumption Setting'!$F$97,'Assumption Setting'!$C$97,0)+IF(18&gt;='Assumption Setting'!$F$98,'Assumption Setting'!$C$98,0)+IF(18&gt;='Assumption Setting'!$F$99,'Assumption Setting'!$C$99,0)+IF(18&gt;='Assumption Setting'!$F$100,'Assumption Setting'!$C$100,0)</f>
        <v>1</v>
      </c>
      <c r="V104" s="90" t="n">
        <f aca="false">IF(19&gt;='Assumption Setting'!$F$95,'Assumption Setting'!$C$95,0)+IF(19&gt;='Assumption Setting'!$F$96,'Assumption Setting'!$C$96,0)+IF(19&gt;='Assumption Setting'!$F$97,'Assumption Setting'!$C$97,0)+IF(19&gt;='Assumption Setting'!$F$98,'Assumption Setting'!$C$98,0)+IF(19&gt;='Assumption Setting'!$F$99,'Assumption Setting'!$C$99,0)+IF(19&gt;='Assumption Setting'!$F$100,'Assumption Setting'!$C$100,0)</f>
        <v>1</v>
      </c>
      <c r="W104" s="90" t="n">
        <f aca="false">IF(20&gt;='Assumption Setting'!$F$95,'Assumption Setting'!$C$95,0)+IF(20&gt;='Assumption Setting'!$F$96,'Assumption Setting'!$C$96,0)+IF(20&gt;='Assumption Setting'!$F$97,'Assumption Setting'!$C$97,0)+IF(20&gt;='Assumption Setting'!$F$98,'Assumption Setting'!$C$98,0)+IF(20&gt;='Assumption Setting'!$F$99,'Assumption Setting'!$C$99,0)+IF(20&gt;='Assumption Setting'!$F$100,'Assumption Setting'!$C$100,0)</f>
        <v>1</v>
      </c>
      <c r="X104" s="90" t="n">
        <f aca="false">IF(21&gt;='Assumption Setting'!$F$95,'Assumption Setting'!$C$95,0)+IF(21&gt;='Assumption Setting'!$F$96,'Assumption Setting'!$C$96,0)+IF(21&gt;='Assumption Setting'!$F$97,'Assumption Setting'!$C$97,0)+IF(21&gt;='Assumption Setting'!$F$98,'Assumption Setting'!$C$98,0)+IF(21&gt;='Assumption Setting'!$F$99,'Assumption Setting'!$C$99,0)+IF(21&gt;='Assumption Setting'!$F$100,'Assumption Setting'!$C$100,0)</f>
        <v>1</v>
      </c>
      <c r="Y104" s="90" t="n">
        <f aca="false">IF(22&gt;='Assumption Setting'!$F$95,'Assumption Setting'!$C$95,0)+IF(22&gt;='Assumption Setting'!$F$96,'Assumption Setting'!$C$96,0)+IF(22&gt;='Assumption Setting'!$F$97,'Assumption Setting'!$C$97,0)+IF(22&gt;='Assumption Setting'!$F$98,'Assumption Setting'!$C$98,0)+IF(22&gt;='Assumption Setting'!$F$99,'Assumption Setting'!$C$99,0)+IF(22&gt;='Assumption Setting'!$F$100,'Assumption Setting'!$C$100,0)</f>
        <v>1</v>
      </c>
      <c r="Z104" s="90" t="n">
        <f aca="false">IF(23&gt;='Assumption Setting'!$F$95,'Assumption Setting'!$C$95,0)+IF(23&gt;='Assumption Setting'!$F$96,'Assumption Setting'!$C$96,0)+IF(23&gt;='Assumption Setting'!$F$97,'Assumption Setting'!$C$97,0)+IF(23&gt;='Assumption Setting'!$F$98,'Assumption Setting'!$C$98,0)+IF(23&gt;='Assumption Setting'!$F$99,'Assumption Setting'!$C$99,0)+IF(23&gt;='Assumption Setting'!$F$100,'Assumption Setting'!$C$100,0)</f>
        <v>1</v>
      </c>
      <c r="AA104" s="90" t="n">
        <f aca="false">IF(24&gt;='Assumption Setting'!$F$95,'Assumption Setting'!$C$95,0)+IF(24&gt;='Assumption Setting'!$F$96,'Assumption Setting'!$C$96,0)+IF(24&gt;='Assumption Setting'!$F$97,'Assumption Setting'!$C$97,0)+IF(24&gt;='Assumption Setting'!$F$98,'Assumption Setting'!$C$98,0)+IF(24&gt;='Assumption Setting'!$F$99,'Assumption Setting'!$C$99,0)+IF(24&gt;='Assumption Setting'!$F$100,'Assumption Setting'!$C$100,0)</f>
        <v>1</v>
      </c>
      <c r="AB104" s="89" t="n">
        <f aca="false">AN104</f>
        <v>1</v>
      </c>
      <c r="AC104" s="90" t="n">
        <f aca="false">IF(25&gt;='Assumption Setting'!$F$95,'Assumption Setting'!$C$95,0)+IF(25&gt;='Assumption Setting'!$F$96,'Assumption Setting'!$C$96,0)+IF(25&gt;='Assumption Setting'!$F$97,'Assumption Setting'!$C$97,0)+IF(25&gt;='Assumption Setting'!$F$98,'Assumption Setting'!$C$98,0)+IF(25&gt;='Assumption Setting'!$F$99,'Assumption Setting'!$C$99,0)+IF(25&gt;='Assumption Setting'!$F$100,'Assumption Setting'!$C$100,0)</f>
        <v>1</v>
      </c>
      <c r="AD104" s="90" t="n">
        <f aca="false">IF(26&gt;='Assumption Setting'!$F$95,'Assumption Setting'!$C$95,0)+IF(26&gt;='Assumption Setting'!$F$96,'Assumption Setting'!$C$96,0)+IF(26&gt;='Assumption Setting'!$F$97,'Assumption Setting'!$C$97,0)+IF(26&gt;='Assumption Setting'!$F$98,'Assumption Setting'!$C$98,0)+IF(26&gt;='Assumption Setting'!$F$99,'Assumption Setting'!$C$99,0)+IF(26&gt;='Assumption Setting'!$F$100,'Assumption Setting'!$C$100,0)</f>
        <v>1</v>
      </c>
      <c r="AE104" s="90" t="n">
        <f aca="false">IF(27&gt;='Assumption Setting'!$F$95,'Assumption Setting'!$C$95,0)+IF(27&gt;='Assumption Setting'!$F$96,'Assumption Setting'!$C$96,0)+IF(27&gt;='Assumption Setting'!$F$97,'Assumption Setting'!$C$97,0)+IF(27&gt;='Assumption Setting'!$F$98,'Assumption Setting'!$C$98,0)+IF(27&gt;='Assumption Setting'!$F$99,'Assumption Setting'!$C$99,0)+IF(27&gt;='Assumption Setting'!$F$100,'Assumption Setting'!$C$100,0)</f>
        <v>1</v>
      </c>
      <c r="AF104" s="90" t="n">
        <f aca="false">IF(28&gt;='Assumption Setting'!$F$95,'Assumption Setting'!$C$95,0)+IF(28&gt;='Assumption Setting'!$F$96,'Assumption Setting'!$C$96,0)+IF(28&gt;='Assumption Setting'!$F$97,'Assumption Setting'!$C$97,0)+IF(28&gt;='Assumption Setting'!$F$98,'Assumption Setting'!$C$98,0)+IF(28&gt;='Assumption Setting'!$F$99,'Assumption Setting'!$C$99,0)+IF(28&gt;='Assumption Setting'!$F$100,'Assumption Setting'!$C$100,0)</f>
        <v>1</v>
      </c>
      <c r="AG104" s="90" t="n">
        <f aca="false">IF(29&gt;='Assumption Setting'!$F$95,'Assumption Setting'!$C$95,0)+IF(29&gt;='Assumption Setting'!$F$96,'Assumption Setting'!$C$96,0)+IF(29&gt;='Assumption Setting'!$F$97,'Assumption Setting'!$C$97,0)+IF(29&gt;='Assumption Setting'!$F$98,'Assumption Setting'!$C$98,0)+IF(29&gt;='Assumption Setting'!$F$99,'Assumption Setting'!$C$99,0)+IF(29&gt;='Assumption Setting'!$F$100,'Assumption Setting'!$C$100,0)</f>
        <v>1</v>
      </c>
      <c r="AH104" s="90" t="n">
        <f aca="false">IF(30&gt;='Assumption Setting'!$F$95,'Assumption Setting'!$C$95,0)+IF(30&gt;='Assumption Setting'!$F$96,'Assumption Setting'!$C$96,0)+IF(30&gt;='Assumption Setting'!$F$97,'Assumption Setting'!$C$97,0)+IF(30&gt;='Assumption Setting'!$F$98,'Assumption Setting'!$C$98,0)+IF(30&gt;='Assumption Setting'!$F$99,'Assumption Setting'!$C$99,0)+IF(30&gt;='Assumption Setting'!$F$100,'Assumption Setting'!$C$100,0)</f>
        <v>1</v>
      </c>
      <c r="AI104" s="90" t="n">
        <f aca="false">IF(31&gt;='Assumption Setting'!$F$95,'Assumption Setting'!$C$95,0)+IF(31&gt;='Assumption Setting'!$F$96,'Assumption Setting'!$C$96,0)+IF(31&gt;='Assumption Setting'!$F$97,'Assumption Setting'!$C$97,0)+IF(31&gt;='Assumption Setting'!$F$98,'Assumption Setting'!$C$98,0)+IF(31&gt;='Assumption Setting'!$F$99,'Assumption Setting'!$C$99,0)+IF(31&gt;='Assumption Setting'!$F$100,'Assumption Setting'!$C$100,0)</f>
        <v>1</v>
      </c>
      <c r="AJ104" s="90" t="n">
        <f aca="false">IF(32&gt;='Assumption Setting'!$F$95,'Assumption Setting'!$C$95,0)+IF(32&gt;='Assumption Setting'!$F$96,'Assumption Setting'!$C$96,0)+IF(32&gt;='Assumption Setting'!$F$97,'Assumption Setting'!$C$97,0)+IF(32&gt;='Assumption Setting'!$F$98,'Assumption Setting'!$C$98,0)+IF(32&gt;='Assumption Setting'!$F$99,'Assumption Setting'!$C$99,0)+IF(32&gt;='Assumption Setting'!$F$100,'Assumption Setting'!$C$100,0)</f>
        <v>1</v>
      </c>
      <c r="AK104" s="90" t="n">
        <f aca="false">IF(33&gt;='Assumption Setting'!$F$95,'Assumption Setting'!$C$95,0)+IF(33&gt;='Assumption Setting'!$F$96,'Assumption Setting'!$C$96,0)+IF(33&gt;='Assumption Setting'!$F$97,'Assumption Setting'!$C$97,0)+IF(33&gt;='Assumption Setting'!$F$98,'Assumption Setting'!$C$98,0)+IF(33&gt;='Assumption Setting'!$F$99,'Assumption Setting'!$C$99,0)+IF(33&gt;='Assumption Setting'!$F$100,'Assumption Setting'!$C$100,0)</f>
        <v>1</v>
      </c>
      <c r="AL104" s="90" t="n">
        <f aca="false">IF(34&gt;='Assumption Setting'!$F$95,'Assumption Setting'!$C$95,0)+IF(34&gt;='Assumption Setting'!$F$96,'Assumption Setting'!$C$96,0)+IF(34&gt;='Assumption Setting'!$F$97,'Assumption Setting'!$C$97,0)+IF(34&gt;='Assumption Setting'!$F$98,'Assumption Setting'!$C$98,0)+IF(34&gt;='Assumption Setting'!$F$99,'Assumption Setting'!$C$99,0)+IF(34&gt;='Assumption Setting'!$F$100,'Assumption Setting'!$C$100,0)</f>
        <v>1</v>
      </c>
      <c r="AM104" s="90" t="n">
        <f aca="false">IF(35&gt;='Assumption Setting'!$F$95,'Assumption Setting'!$C$95,0)+IF(35&gt;='Assumption Setting'!$F$96,'Assumption Setting'!$C$96,0)+IF(35&gt;='Assumption Setting'!$F$97,'Assumption Setting'!$C$97,0)+IF(35&gt;='Assumption Setting'!$F$98,'Assumption Setting'!$C$98,0)+IF(35&gt;='Assumption Setting'!$F$99,'Assumption Setting'!$C$99,0)+IF(35&gt;='Assumption Setting'!$F$100,'Assumption Setting'!$C$100,0)</f>
        <v>1</v>
      </c>
      <c r="AN104" s="90" t="n">
        <f aca="false">IF(36&gt;='Assumption Setting'!$F$95,'Assumption Setting'!$C$95,0)+IF(36&gt;='Assumption Setting'!$F$96,'Assumption Setting'!$C$96,0)+IF(36&gt;='Assumption Setting'!$F$97,'Assumption Setting'!$C$97,0)+IF(36&gt;='Assumption Setting'!$F$98,'Assumption Setting'!$C$98,0)+IF(36&gt;='Assumption Setting'!$F$99,'Assumption Setting'!$C$99,0)+IF(36&gt;='Assumption Setting'!$F$100,'Assumption Setting'!$C$100,0)</f>
        <v>1</v>
      </c>
      <c r="AO104" s="89" t="n">
        <f aca="false">BA104</f>
        <v>1</v>
      </c>
      <c r="AP104" s="90" t="n">
        <f aca="false">IF(37&gt;='Assumption Setting'!$F$95,'Assumption Setting'!$C$95,0)+IF(37&gt;='Assumption Setting'!$F$96,'Assumption Setting'!$C$96,0)+IF(37&gt;='Assumption Setting'!$F$97,'Assumption Setting'!$C$97,0)+IF(37&gt;='Assumption Setting'!$F$98,'Assumption Setting'!$C$98,0)+IF(37&gt;='Assumption Setting'!$F$99,'Assumption Setting'!$C$99,0)+IF(37&gt;='Assumption Setting'!$F$100,'Assumption Setting'!$C$100,0)</f>
        <v>1</v>
      </c>
      <c r="AQ104" s="90" t="n">
        <f aca="false">IF(38&gt;='Assumption Setting'!$F$95,'Assumption Setting'!$C$95,0)+IF(38&gt;='Assumption Setting'!$F$96,'Assumption Setting'!$C$96,0)+IF(38&gt;='Assumption Setting'!$F$97,'Assumption Setting'!$C$97,0)+IF(38&gt;='Assumption Setting'!$F$98,'Assumption Setting'!$C$98,0)+IF(38&gt;='Assumption Setting'!$F$99,'Assumption Setting'!$C$99,0)+IF(38&gt;='Assumption Setting'!$F$100,'Assumption Setting'!$C$100,0)</f>
        <v>1</v>
      </c>
      <c r="AR104" s="90" t="n">
        <f aca="false">IF(39&gt;='Assumption Setting'!$F$95,'Assumption Setting'!$C$95,0)+IF(39&gt;='Assumption Setting'!$F$96,'Assumption Setting'!$C$96,0)+IF(39&gt;='Assumption Setting'!$F$97,'Assumption Setting'!$C$97,0)+IF(39&gt;='Assumption Setting'!$F$98,'Assumption Setting'!$C$98,0)+IF(39&gt;='Assumption Setting'!$F$99,'Assumption Setting'!$C$99,0)+IF(39&gt;='Assumption Setting'!$F$100,'Assumption Setting'!$C$100,0)</f>
        <v>1</v>
      </c>
      <c r="AS104" s="90" t="n">
        <f aca="false">IF(40&gt;='Assumption Setting'!$F$95,'Assumption Setting'!$C$95,0)+IF(40&gt;='Assumption Setting'!$F$96,'Assumption Setting'!$C$96,0)+IF(40&gt;='Assumption Setting'!$F$97,'Assumption Setting'!$C$97,0)+IF(40&gt;='Assumption Setting'!$F$98,'Assumption Setting'!$C$98,0)+IF(40&gt;='Assumption Setting'!$F$99,'Assumption Setting'!$C$99,0)+IF(40&gt;='Assumption Setting'!$F$100,'Assumption Setting'!$C$100,0)</f>
        <v>1</v>
      </c>
      <c r="AT104" s="90" t="n">
        <f aca="false">IF(41&gt;='Assumption Setting'!$F$95,'Assumption Setting'!$C$95,0)+IF(41&gt;='Assumption Setting'!$F$96,'Assumption Setting'!$C$96,0)+IF(41&gt;='Assumption Setting'!$F$97,'Assumption Setting'!$C$97,0)+IF(41&gt;='Assumption Setting'!$F$98,'Assumption Setting'!$C$98,0)+IF(41&gt;='Assumption Setting'!$F$99,'Assumption Setting'!$C$99,0)+IF(41&gt;='Assumption Setting'!$F$100,'Assumption Setting'!$C$100,0)</f>
        <v>1</v>
      </c>
      <c r="AU104" s="90" t="n">
        <f aca="false">IF(42&gt;='Assumption Setting'!$F$95,'Assumption Setting'!$C$95,0)+IF(42&gt;='Assumption Setting'!$F$96,'Assumption Setting'!$C$96,0)+IF(42&gt;='Assumption Setting'!$F$97,'Assumption Setting'!$C$97,0)+IF(42&gt;='Assumption Setting'!$F$98,'Assumption Setting'!$C$98,0)+IF(42&gt;='Assumption Setting'!$F$99,'Assumption Setting'!$C$99,0)+IF(42&gt;='Assumption Setting'!$F$100,'Assumption Setting'!$C$100,0)</f>
        <v>1</v>
      </c>
      <c r="AV104" s="90" t="n">
        <f aca="false">IF(43&gt;='Assumption Setting'!$F$95,'Assumption Setting'!$C$95,0)+IF(43&gt;='Assumption Setting'!$F$96,'Assumption Setting'!$C$96,0)+IF(43&gt;='Assumption Setting'!$F$97,'Assumption Setting'!$C$97,0)+IF(43&gt;='Assumption Setting'!$F$98,'Assumption Setting'!$C$98,0)+IF(43&gt;='Assumption Setting'!$F$99,'Assumption Setting'!$C$99,0)+IF(43&gt;='Assumption Setting'!$F$100,'Assumption Setting'!$C$100,0)</f>
        <v>1</v>
      </c>
      <c r="AW104" s="90" t="n">
        <f aca="false">IF(44&gt;='Assumption Setting'!$F$95,'Assumption Setting'!$C$95,0)+IF(44&gt;='Assumption Setting'!$F$96,'Assumption Setting'!$C$96,0)+IF(44&gt;='Assumption Setting'!$F$97,'Assumption Setting'!$C$97,0)+IF(44&gt;='Assumption Setting'!$F$98,'Assumption Setting'!$C$98,0)+IF(44&gt;='Assumption Setting'!$F$99,'Assumption Setting'!$C$99,0)+IF(44&gt;='Assumption Setting'!$F$100,'Assumption Setting'!$C$100,0)</f>
        <v>1</v>
      </c>
      <c r="AX104" s="90" t="n">
        <f aca="false">IF(45&gt;='Assumption Setting'!$F$95,'Assumption Setting'!$C$95,0)+IF(45&gt;='Assumption Setting'!$F$96,'Assumption Setting'!$C$96,0)+IF(45&gt;='Assumption Setting'!$F$97,'Assumption Setting'!$C$97,0)+IF(45&gt;='Assumption Setting'!$F$98,'Assumption Setting'!$C$98,0)+IF(45&gt;='Assumption Setting'!$F$99,'Assumption Setting'!$C$99,0)+IF(45&gt;='Assumption Setting'!$F$100,'Assumption Setting'!$C$100,0)</f>
        <v>1</v>
      </c>
      <c r="AY104" s="90" t="n">
        <f aca="false">IF(46&gt;='Assumption Setting'!$F$95,'Assumption Setting'!$C$95,0)+IF(46&gt;='Assumption Setting'!$F$96,'Assumption Setting'!$C$96,0)+IF(46&gt;='Assumption Setting'!$F$97,'Assumption Setting'!$C$97,0)+IF(46&gt;='Assumption Setting'!$F$98,'Assumption Setting'!$C$98,0)+IF(46&gt;='Assumption Setting'!$F$99,'Assumption Setting'!$C$99,0)+IF(46&gt;='Assumption Setting'!$F$100,'Assumption Setting'!$C$100,0)</f>
        <v>1</v>
      </c>
      <c r="AZ104" s="90" t="n">
        <f aca="false">IF(47&gt;='Assumption Setting'!$F$95,'Assumption Setting'!$C$95,0)+IF(47&gt;='Assumption Setting'!$F$96,'Assumption Setting'!$C$96,0)+IF(47&gt;='Assumption Setting'!$F$97,'Assumption Setting'!$C$97,0)+IF(47&gt;='Assumption Setting'!$F$98,'Assumption Setting'!$C$98,0)+IF(47&gt;='Assumption Setting'!$F$99,'Assumption Setting'!$C$99,0)+IF(47&gt;='Assumption Setting'!$F$100,'Assumption Setting'!$C$100,0)</f>
        <v>1</v>
      </c>
      <c r="BA104" s="90" t="n">
        <f aca="false">IF(48&gt;='Assumption Setting'!$F$95,'Assumption Setting'!$C$95,0)+IF(48&gt;='Assumption Setting'!$F$96,'Assumption Setting'!$C$96,0)+IF(48&gt;='Assumption Setting'!$F$97,'Assumption Setting'!$C$97,0)+IF(48&gt;='Assumption Setting'!$F$98,'Assumption Setting'!$C$98,0)+IF(48&gt;='Assumption Setting'!$F$99,'Assumption Setting'!$C$99,0)+IF(48&gt;='Assumption Setting'!$F$100,'Assumption Setting'!$C$100,0)</f>
        <v>1</v>
      </c>
      <c r="BB104" s="89" t="n">
        <f aca="false">BN104</f>
        <v>1</v>
      </c>
      <c r="BC104" s="90" t="n">
        <f aca="false">IF(49&gt;='Assumption Setting'!$F$95,'Assumption Setting'!$C$95,0)+IF(49&gt;='Assumption Setting'!$F$96,'Assumption Setting'!$C$96,0)+IF(49&gt;='Assumption Setting'!$F$97,'Assumption Setting'!$C$97,0)+IF(49&gt;='Assumption Setting'!$F$98,'Assumption Setting'!$C$98,0)+IF(49&gt;='Assumption Setting'!$F$99,'Assumption Setting'!$C$99,0)+IF(49&gt;='Assumption Setting'!$F$100,'Assumption Setting'!$C$100,0)</f>
        <v>1</v>
      </c>
      <c r="BD104" s="90" t="n">
        <f aca="false">IF(50&gt;='Assumption Setting'!$F$95,'Assumption Setting'!$C$95,0)+IF(50&gt;='Assumption Setting'!$F$96,'Assumption Setting'!$C$96,0)+IF(50&gt;='Assumption Setting'!$F$97,'Assumption Setting'!$C$97,0)+IF(50&gt;='Assumption Setting'!$F$98,'Assumption Setting'!$C$98,0)+IF(50&gt;='Assumption Setting'!$F$99,'Assumption Setting'!$C$99,0)+IF(50&gt;='Assumption Setting'!$F$100,'Assumption Setting'!$C$100,0)</f>
        <v>1</v>
      </c>
      <c r="BE104" s="90" t="n">
        <f aca="false">IF(51&gt;='Assumption Setting'!$F$95,'Assumption Setting'!$C$95,0)+IF(51&gt;='Assumption Setting'!$F$96,'Assumption Setting'!$C$96,0)+IF(51&gt;='Assumption Setting'!$F$97,'Assumption Setting'!$C$97,0)+IF(51&gt;='Assumption Setting'!$F$98,'Assumption Setting'!$C$98,0)+IF(51&gt;='Assumption Setting'!$F$99,'Assumption Setting'!$C$99,0)+IF(51&gt;='Assumption Setting'!$F$100,'Assumption Setting'!$C$100,0)</f>
        <v>1</v>
      </c>
      <c r="BF104" s="90" t="n">
        <f aca="false">IF(52&gt;='Assumption Setting'!$F$95,'Assumption Setting'!$C$95,0)+IF(52&gt;='Assumption Setting'!$F$96,'Assumption Setting'!$C$96,0)+IF(52&gt;='Assumption Setting'!$F$97,'Assumption Setting'!$C$97,0)+IF(52&gt;='Assumption Setting'!$F$98,'Assumption Setting'!$C$98,0)+IF(52&gt;='Assumption Setting'!$F$99,'Assumption Setting'!$C$99,0)+IF(52&gt;='Assumption Setting'!$F$100,'Assumption Setting'!$C$100,0)</f>
        <v>1</v>
      </c>
      <c r="BG104" s="90" t="n">
        <f aca="false">IF(53&gt;='Assumption Setting'!$F$95,'Assumption Setting'!$C$95,0)+IF(53&gt;='Assumption Setting'!$F$96,'Assumption Setting'!$C$96,0)+IF(53&gt;='Assumption Setting'!$F$97,'Assumption Setting'!$C$97,0)+IF(53&gt;='Assumption Setting'!$F$98,'Assumption Setting'!$C$98,0)+IF(53&gt;='Assumption Setting'!$F$99,'Assumption Setting'!$C$99,0)+IF(53&gt;='Assumption Setting'!$F$100,'Assumption Setting'!$C$100,0)</f>
        <v>1</v>
      </c>
      <c r="BH104" s="90" t="n">
        <f aca="false">IF(54&gt;='Assumption Setting'!$F$95,'Assumption Setting'!$C$95,0)+IF(54&gt;='Assumption Setting'!$F$96,'Assumption Setting'!$C$96,0)+IF(54&gt;='Assumption Setting'!$F$97,'Assumption Setting'!$C$97,0)+IF(54&gt;='Assumption Setting'!$F$98,'Assumption Setting'!$C$98,0)+IF(54&gt;='Assumption Setting'!$F$99,'Assumption Setting'!$C$99,0)+IF(54&gt;='Assumption Setting'!$F$100,'Assumption Setting'!$C$100,0)</f>
        <v>1</v>
      </c>
      <c r="BI104" s="90" t="n">
        <f aca="false">IF(55&gt;='Assumption Setting'!$F$95,'Assumption Setting'!$C$95,0)+IF(55&gt;='Assumption Setting'!$F$96,'Assumption Setting'!$C$96,0)+IF(55&gt;='Assumption Setting'!$F$97,'Assumption Setting'!$C$97,0)+IF(55&gt;='Assumption Setting'!$F$98,'Assumption Setting'!$C$98,0)+IF(55&gt;='Assumption Setting'!$F$99,'Assumption Setting'!$C$99,0)+IF(55&gt;='Assumption Setting'!$F$100,'Assumption Setting'!$C$100,0)</f>
        <v>1</v>
      </c>
      <c r="BJ104" s="90" t="n">
        <f aca="false">IF(56&gt;='Assumption Setting'!$F$95,'Assumption Setting'!$C$95,0)+IF(56&gt;='Assumption Setting'!$F$96,'Assumption Setting'!$C$96,0)+IF(56&gt;='Assumption Setting'!$F$97,'Assumption Setting'!$C$97,0)+IF(56&gt;='Assumption Setting'!$F$98,'Assumption Setting'!$C$98,0)+IF(56&gt;='Assumption Setting'!$F$99,'Assumption Setting'!$C$99,0)+IF(56&gt;='Assumption Setting'!$F$100,'Assumption Setting'!$C$100,0)</f>
        <v>1</v>
      </c>
      <c r="BK104" s="90" t="n">
        <f aca="false">IF(57&gt;='Assumption Setting'!$F$95,'Assumption Setting'!$C$95,0)+IF(57&gt;='Assumption Setting'!$F$96,'Assumption Setting'!$C$96,0)+IF(57&gt;='Assumption Setting'!$F$97,'Assumption Setting'!$C$97,0)+IF(57&gt;='Assumption Setting'!$F$98,'Assumption Setting'!$C$98,0)+IF(57&gt;='Assumption Setting'!$F$99,'Assumption Setting'!$C$99,0)+IF(57&gt;='Assumption Setting'!$F$100,'Assumption Setting'!$C$100,0)</f>
        <v>1</v>
      </c>
      <c r="BL104" s="90" t="n">
        <f aca="false">IF(58&gt;='Assumption Setting'!$F$95,'Assumption Setting'!$C$95,0)+IF(58&gt;='Assumption Setting'!$F$96,'Assumption Setting'!$C$96,0)+IF(58&gt;='Assumption Setting'!$F$97,'Assumption Setting'!$C$97,0)+IF(58&gt;='Assumption Setting'!$F$98,'Assumption Setting'!$C$98,0)+IF(58&gt;='Assumption Setting'!$F$99,'Assumption Setting'!$C$99,0)+IF(58&gt;='Assumption Setting'!$F$100,'Assumption Setting'!$C$100,0)</f>
        <v>1</v>
      </c>
      <c r="BM104" s="90" t="n">
        <f aca="false">IF(59&gt;='Assumption Setting'!$F$95,'Assumption Setting'!$C$95,0)+IF(59&gt;='Assumption Setting'!$F$96,'Assumption Setting'!$C$96,0)+IF(59&gt;='Assumption Setting'!$F$97,'Assumption Setting'!$C$97,0)+IF(59&gt;='Assumption Setting'!$F$98,'Assumption Setting'!$C$98,0)+IF(59&gt;='Assumption Setting'!$F$99,'Assumption Setting'!$C$99,0)+IF(59&gt;='Assumption Setting'!$F$100,'Assumption Setting'!$C$100,0)</f>
        <v>1</v>
      </c>
      <c r="BN104" s="90" t="n">
        <f aca="false">IF(60&gt;='Assumption Setting'!$F$95,'Assumption Setting'!$C$95,0)+IF(60&gt;='Assumption Setting'!$F$96,'Assumption Setting'!$C$96,0)+IF(60&gt;='Assumption Setting'!$F$97,'Assumption Setting'!$C$97,0)+IF(60&gt;='Assumption Setting'!$F$98,'Assumption Setting'!$C$98,0)+IF(60&gt;='Assumption Setting'!$F$99,'Assumption Setting'!$C$99,0)+IF(60&gt;='Assumption Setting'!$F$100,'Assumption Setting'!$C$100,0)</f>
        <v>1</v>
      </c>
    </row>
    <row r="105" customFormat="false" ht="15" hidden="false" customHeight="false" outlineLevel="0" collapsed="false">
      <c r="A105" s="12" t="s">
        <v>624</v>
      </c>
      <c r="B105" s="89" t="n">
        <f aca="false">N105</f>
        <v>1</v>
      </c>
      <c r="C105" s="90" t="n">
        <f aca="false">IF(1&gt;='Assumption Setting'!$F$104,'Assumption Setting'!$C$104,0)+IF(1&gt;='Assumption Setting'!$F$105,'Assumption Setting'!$C$105,0)</f>
        <v>1</v>
      </c>
      <c r="D105" s="90" t="n">
        <f aca="false">IF(2&gt;='Assumption Setting'!$F$104,'Assumption Setting'!$C$104,0)+IF(2&gt;='Assumption Setting'!$F$105,'Assumption Setting'!$C$105,0)</f>
        <v>1</v>
      </c>
      <c r="E105" s="90" t="n">
        <f aca="false">IF(3&gt;='Assumption Setting'!$F$104,'Assumption Setting'!$C$104,0)+IF(3&gt;='Assumption Setting'!$F$105,'Assumption Setting'!$C$105,0)</f>
        <v>1</v>
      </c>
      <c r="F105" s="90" t="n">
        <f aca="false">IF(4&gt;='Assumption Setting'!$F$104,'Assumption Setting'!$C$104,0)+IF(4&gt;='Assumption Setting'!$F$105,'Assumption Setting'!$C$105,0)</f>
        <v>1</v>
      </c>
      <c r="G105" s="90" t="n">
        <f aca="false">IF(5&gt;='Assumption Setting'!$F$104,'Assumption Setting'!$C$104,0)+IF(5&gt;='Assumption Setting'!$F$105,'Assumption Setting'!$C$105,0)</f>
        <v>1</v>
      </c>
      <c r="H105" s="90" t="n">
        <f aca="false">IF(6&gt;='Assumption Setting'!$F$104,'Assumption Setting'!$C$104,0)+IF(6&gt;='Assumption Setting'!$F$105,'Assumption Setting'!$C$105,0)</f>
        <v>1</v>
      </c>
      <c r="I105" s="90" t="n">
        <f aca="false">IF(7&gt;='Assumption Setting'!$F$104,'Assumption Setting'!$C$104,0)+IF(7&gt;='Assumption Setting'!$F$105,'Assumption Setting'!$C$105,0)</f>
        <v>1</v>
      </c>
      <c r="J105" s="90" t="n">
        <f aca="false">IF(8&gt;='Assumption Setting'!$F$104,'Assumption Setting'!$C$104,0)+IF(8&gt;='Assumption Setting'!$F$105,'Assumption Setting'!$C$105,0)</f>
        <v>1</v>
      </c>
      <c r="K105" s="90" t="n">
        <f aca="false">IF(9&gt;='Assumption Setting'!$F$104,'Assumption Setting'!$C$104,0)+IF(9&gt;='Assumption Setting'!$F$105,'Assumption Setting'!$C$105,0)</f>
        <v>1</v>
      </c>
      <c r="L105" s="90" t="n">
        <f aca="false">IF(10&gt;='Assumption Setting'!$F$104,'Assumption Setting'!$C$104,0)+IF(10&gt;='Assumption Setting'!$F$105,'Assumption Setting'!$C$105,0)</f>
        <v>1</v>
      </c>
      <c r="M105" s="90" t="n">
        <f aca="false">IF(11&gt;='Assumption Setting'!$F$104,'Assumption Setting'!$C$104,0)+IF(11&gt;='Assumption Setting'!$F$105,'Assumption Setting'!$C$105,0)</f>
        <v>1</v>
      </c>
      <c r="N105" s="90" t="n">
        <f aca="false">IF(12&gt;='Assumption Setting'!$F$104,'Assumption Setting'!$C$104,0)+IF(12&gt;='Assumption Setting'!$F$105,'Assumption Setting'!$C$105,0)</f>
        <v>1</v>
      </c>
      <c r="O105" s="89" t="n">
        <f aca="false">AA105</f>
        <v>1</v>
      </c>
      <c r="P105" s="90" t="n">
        <f aca="false">IF(13&gt;='Assumption Setting'!$F$104,'Assumption Setting'!$C$104,0)+IF(13&gt;='Assumption Setting'!$F$105,'Assumption Setting'!$C$105,0)</f>
        <v>1</v>
      </c>
      <c r="Q105" s="90" t="n">
        <f aca="false">IF(14&gt;='Assumption Setting'!$F$104,'Assumption Setting'!$C$104,0)+IF(14&gt;='Assumption Setting'!$F$105,'Assumption Setting'!$C$105,0)</f>
        <v>1</v>
      </c>
      <c r="R105" s="90" t="n">
        <f aca="false">IF(15&gt;='Assumption Setting'!$F$104,'Assumption Setting'!$C$104,0)+IF(15&gt;='Assumption Setting'!$F$105,'Assumption Setting'!$C$105,0)</f>
        <v>1</v>
      </c>
      <c r="S105" s="90" t="n">
        <f aca="false">IF(16&gt;='Assumption Setting'!$F$104,'Assumption Setting'!$C$104,0)+IF(16&gt;='Assumption Setting'!$F$105,'Assumption Setting'!$C$105,0)</f>
        <v>1</v>
      </c>
      <c r="T105" s="90" t="n">
        <f aca="false">IF(17&gt;='Assumption Setting'!$F$104,'Assumption Setting'!$C$104,0)+IF(17&gt;='Assumption Setting'!$F$105,'Assumption Setting'!$C$105,0)</f>
        <v>1</v>
      </c>
      <c r="U105" s="90" t="n">
        <f aca="false">IF(18&gt;='Assumption Setting'!$F$104,'Assumption Setting'!$C$104,0)+IF(18&gt;='Assumption Setting'!$F$105,'Assumption Setting'!$C$105,0)</f>
        <v>1</v>
      </c>
      <c r="V105" s="90" t="n">
        <f aca="false">IF(19&gt;='Assumption Setting'!$F$104,'Assumption Setting'!$C$104,0)+IF(19&gt;='Assumption Setting'!$F$105,'Assumption Setting'!$C$105,0)</f>
        <v>1</v>
      </c>
      <c r="W105" s="90" t="n">
        <f aca="false">IF(20&gt;='Assumption Setting'!$F$104,'Assumption Setting'!$C$104,0)+IF(20&gt;='Assumption Setting'!$F$105,'Assumption Setting'!$C$105,0)</f>
        <v>1</v>
      </c>
      <c r="X105" s="90" t="n">
        <f aca="false">IF(21&gt;='Assumption Setting'!$F$104,'Assumption Setting'!$C$104,0)+IF(21&gt;='Assumption Setting'!$F$105,'Assumption Setting'!$C$105,0)</f>
        <v>1</v>
      </c>
      <c r="Y105" s="90" t="n">
        <f aca="false">IF(22&gt;='Assumption Setting'!$F$104,'Assumption Setting'!$C$104,0)+IF(22&gt;='Assumption Setting'!$F$105,'Assumption Setting'!$C$105,0)</f>
        <v>1</v>
      </c>
      <c r="Z105" s="90" t="n">
        <f aca="false">IF(23&gt;='Assumption Setting'!$F$104,'Assumption Setting'!$C$104,0)+IF(23&gt;='Assumption Setting'!$F$105,'Assumption Setting'!$C$105,0)</f>
        <v>1</v>
      </c>
      <c r="AA105" s="90" t="n">
        <f aca="false">IF(24&gt;='Assumption Setting'!$F$104,'Assumption Setting'!$C$104,0)+IF(24&gt;='Assumption Setting'!$F$105,'Assumption Setting'!$C$105,0)</f>
        <v>1</v>
      </c>
      <c r="AB105" s="89" t="n">
        <f aca="false">AN105</f>
        <v>1</v>
      </c>
      <c r="AC105" s="90" t="n">
        <f aca="false">IF(25&gt;='Assumption Setting'!$F$104,'Assumption Setting'!$C$104,0)+IF(25&gt;='Assumption Setting'!$F$105,'Assumption Setting'!$C$105,0)</f>
        <v>1</v>
      </c>
      <c r="AD105" s="90" t="n">
        <f aca="false">IF(26&gt;='Assumption Setting'!$F$104,'Assumption Setting'!$C$104,0)+IF(26&gt;='Assumption Setting'!$F$105,'Assumption Setting'!$C$105,0)</f>
        <v>1</v>
      </c>
      <c r="AE105" s="90" t="n">
        <f aca="false">IF(27&gt;='Assumption Setting'!$F$104,'Assumption Setting'!$C$104,0)+IF(27&gt;='Assumption Setting'!$F$105,'Assumption Setting'!$C$105,0)</f>
        <v>1</v>
      </c>
      <c r="AF105" s="90" t="n">
        <f aca="false">IF(28&gt;='Assumption Setting'!$F$104,'Assumption Setting'!$C$104,0)+IF(28&gt;='Assumption Setting'!$F$105,'Assumption Setting'!$C$105,0)</f>
        <v>1</v>
      </c>
      <c r="AG105" s="90" t="n">
        <f aca="false">IF(29&gt;='Assumption Setting'!$F$104,'Assumption Setting'!$C$104,0)+IF(29&gt;='Assumption Setting'!$F$105,'Assumption Setting'!$C$105,0)</f>
        <v>1</v>
      </c>
      <c r="AH105" s="90" t="n">
        <f aca="false">IF(30&gt;='Assumption Setting'!$F$104,'Assumption Setting'!$C$104,0)+IF(30&gt;='Assumption Setting'!$F$105,'Assumption Setting'!$C$105,0)</f>
        <v>1</v>
      </c>
      <c r="AI105" s="90" t="n">
        <f aca="false">IF(31&gt;='Assumption Setting'!$F$104,'Assumption Setting'!$C$104,0)+IF(31&gt;='Assumption Setting'!$F$105,'Assumption Setting'!$C$105,0)</f>
        <v>1</v>
      </c>
      <c r="AJ105" s="90" t="n">
        <f aca="false">IF(32&gt;='Assumption Setting'!$F$104,'Assumption Setting'!$C$104,0)+IF(32&gt;='Assumption Setting'!$F$105,'Assumption Setting'!$C$105,0)</f>
        <v>1</v>
      </c>
      <c r="AK105" s="90" t="n">
        <f aca="false">IF(33&gt;='Assumption Setting'!$F$104,'Assumption Setting'!$C$104,0)+IF(33&gt;='Assumption Setting'!$F$105,'Assumption Setting'!$C$105,0)</f>
        <v>1</v>
      </c>
      <c r="AL105" s="90" t="n">
        <f aca="false">IF(34&gt;='Assumption Setting'!$F$104,'Assumption Setting'!$C$104,0)+IF(34&gt;='Assumption Setting'!$F$105,'Assumption Setting'!$C$105,0)</f>
        <v>1</v>
      </c>
      <c r="AM105" s="90" t="n">
        <f aca="false">IF(35&gt;='Assumption Setting'!$F$104,'Assumption Setting'!$C$104,0)+IF(35&gt;='Assumption Setting'!$F$105,'Assumption Setting'!$C$105,0)</f>
        <v>1</v>
      </c>
      <c r="AN105" s="90" t="n">
        <f aca="false">IF(36&gt;='Assumption Setting'!$F$104,'Assumption Setting'!$C$104,0)+IF(36&gt;='Assumption Setting'!$F$105,'Assumption Setting'!$C$105,0)</f>
        <v>1</v>
      </c>
      <c r="AO105" s="89" t="n">
        <f aca="false">BA105</f>
        <v>1</v>
      </c>
      <c r="AP105" s="90" t="n">
        <f aca="false">IF(37&gt;='Assumption Setting'!$F$104,'Assumption Setting'!$C$104,0)+IF(37&gt;='Assumption Setting'!$F$105,'Assumption Setting'!$C$105,0)</f>
        <v>1</v>
      </c>
      <c r="AQ105" s="90" t="n">
        <f aca="false">IF(38&gt;='Assumption Setting'!$F$104,'Assumption Setting'!$C$104,0)+IF(38&gt;='Assumption Setting'!$F$105,'Assumption Setting'!$C$105,0)</f>
        <v>1</v>
      </c>
      <c r="AR105" s="90" t="n">
        <f aca="false">IF(39&gt;='Assumption Setting'!$F$104,'Assumption Setting'!$C$104,0)+IF(39&gt;='Assumption Setting'!$F$105,'Assumption Setting'!$C$105,0)</f>
        <v>1</v>
      </c>
      <c r="AS105" s="90" t="n">
        <f aca="false">IF(40&gt;='Assumption Setting'!$F$104,'Assumption Setting'!$C$104,0)+IF(40&gt;='Assumption Setting'!$F$105,'Assumption Setting'!$C$105,0)</f>
        <v>1</v>
      </c>
      <c r="AT105" s="90" t="n">
        <f aca="false">IF(41&gt;='Assumption Setting'!$F$104,'Assumption Setting'!$C$104,0)+IF(41&gt;='Assumption Setting'!$F$105,'Assumption Setting'!$C$105,0)</f>
        <v>1</v>
      </c>
      <c r="AU105" s="90" t="n">
        <f aca="false">IF(42&gt;='Assumption Setting'!$F$104,'Assumption Setting'!$C$104,0)+IF(42&gt;='Assumption Setting'!$F$105,'Assumption Setting'!$C$105,0)</f>
        <v>1</v>
      </c>
      <c r="AV105" s="90" t="n">
        <f aca="false">IF(43&gt;='Assumption Setting'!$F$104,'Assumption Setting'!$C$104,0)+IF(43&gt;='Assumption Setting'!$F$105,'Assumption Setting'!$C$105,0)</f>
        <v>1</v>
      </c>
      <c r="AW105" s="90" t="n">
        <f aca="false">IF(44&gt;='Assumption Setting'!$F$104,'Assumption Setting'!$C$104,0)+IF(44&gt;='Assumption Setting'!$F$105,'Assumption Setting'!$C$105,0)</f>
        <v>1</v>
      </c>
      <c r="AX105" s="90" t="n">
        <f aca="false">IF(45&gt;='Assumption Setting'!$F$104,'Assumption Setting'!$C$104,0)+IF(45&gt;='Assumption Setting'!$F$105,'Assumption Setting'!$C$105,0)</f>
        <v>1</v>
      </c>
      <c r="AY105" s="90" t="n">
        <f aca="false">IF(46&gt;='Assumption Setting'!$F$104,'Assumption Setting'!$C$104,0)+IF(46&gt;='Assumption Setting'!$F$105,'Assumption Setting'!$C$105,0)</f>
        <v>1</v>
      </c>
      <c r="AZ105" s="90" t="n">
        <f aca="false">IF(47&gt;='Assumption Setting'!$F$104,'Assumption Setting'!$C$104,0)+IF(47&gt;='Assumption Setting'!$F$105,'Assumption Setting'!$C$105,0)</f>
        <v>1</v>
      </c>
      <c r="BA105" s="90" t="n">
        <f aca="false">IF(48&gt;='Assumption Setting'!$F$104,'Assumption Setting'!$C$104,0)+IF(48&gt;='Assumption Setting'!$F$105,'Assumption Setting'!$C$105,0)</f>
        <v>1</v>
      </c>
      <c r="BB105" s="89" t="n">
        <f aca="false">BN105</f>
        <v>1</v>
      </c>
      <c r="BC105" s="90" t="n">
        <f aca="false">IF(49&gt;='Assumption Setting'!$F$104,'Assumption Setting'!$C$104,0)+IF(49&gt;='Assumption Setting'!$F$105,'Assumption Setting'!$C$105,0)</f>
        <v>1</v>
      </c>
      <c r="BD105" s="90" t="n">
        <f aca="false">IF(50&gt;='Assumption Setting'!$F$104,'Assumption Setting'!$C$104,0)+IF(50&gt;='Assumption Setting'!$F$105,'Assumption Setting'!$C$105,0)</f>
        <v>1</v>
      </c>
      <c r="BE105" s="90" t="n">
        <f aca="false">IF(51&gt;='Assumption Setting'!$F$104,'Assumption Setting'!$C$104,0)+IF(51&gt;='Assumption Setting'!$F$105,'Assumption Setting'!$C$105,0)</f>
        <v>1</v>
      </c>
      <c r="BF105" s="90" t="n">
        <f aca="false">IF(52&gt;='Assumption Setting'!$F$104,'Assumption Setting'!$C$104,0)+IF(52&gt;='Assumption Setting'!$F$105,'Assumption Setting'!$C$105,0)</f>
        <v>1</v>
      </c>
      <c r="BG105" s="90" t="n">
        <f aca="false">IF(53&gt;='Assumption Setting'!$F$104,'Assumption Setting'!$C$104,0)+IF(53&gt;='Assumption Setting'!$F$105,'Assumption Setting'!$C$105,0)</f>
        <v>1</v>
      </c>
      <c r="BH105" s="90" t="n">
        <f aca="false">IF(54&gt;='Assumption Setting'!$F$104,'Assumption Setting'!$C$104,0)+IF(54&gt;='Assumption Setting'!$F$105,'Assumption Setting'!$C$105,0)</f>
        <v>1</v>
      </c>
      <c r="BI105" s="90" t="n">
        <f aca="false">IF(55&gt;='Assumption Setting'!$F$104,'Assumption Setting'!$C$104,0)+IF(55&gt;='Assumption Setting'!$F$105,'Assumption Setting'!$C$105,0)</f>
        <v>1</v>
      </c>
      <c r="BJ105" s="90" t="n">
        <f aca="false">IF(56&gt;='Assumption Setting'!$F$104,'Assumption Setting'!$C$104,0)+IF(56&gt;='Assumption Setting'!$F$105,'Assumption Setting'!$C$105,0)</f>
        <v>1</v>
      </c>
      <c r="BK105" s="90" t="n">
        <f aca="false">IF(57&gt;='Assumption Setting'!$F$104,'Assumption Setting'!$C$104,0)+IF(57&gt;='Assumption Setting'!$F$105,'Assumption Setting'!$C$105,0)</f>
        <v>1</v>
      </c>
      <c r="BL105" s="90" t="n">
        <f aca="false">IF(58&gt;='Assumption Setting'!$F$104,'Assumption Setting'!$C$104,0)+IF(58&gt;='Assumption Setting'!$F$105,'Assumption Setting'!$C$105,0)</f>
        <v>1</v>
      </c>
      <c r="BM105" s="90" t="n">
        <f aca="false">IF(59&gt;='Assumption Setting'!$F$104,'Assumption Setting'!$C$104,0)+IF(59&gt;='Assumption Setting'!$F$105,'Assumption Setting'!$C$105,0)</f>
        <v>1</v>
      </c>
      <c r="BN105" s="90" t="n">
        <f aca="false">IF(60&gt;='Assumption Setting'!$F$104,'Assumption Setting'!$C$104,0)+IF(60&gt;='Assumption Setting'!$F$105,'Assumption Setting'!$C$105,0)</f>
        <v>1</v>
      </c>
    </row>
    <row r="106" customFormat="false" ht="15" hidden="false" customHeight="false" outlineLevel="0" collapsed="false">
      <c r="A106" s="12" t="s">
        <v>625</v>
      </c>
      <c r="B106" s="89" t="n">
        <f aca="false">N106</f>
        <v>1</v>
      </c>
      <c r="C106" s="90" t="n">
        <f aca="false">IF(1&gt;='Assumption Setting'!$F$103,'Assumption Setting'!$C$103,0)</f>
        <v>1</v>
      </c>
      <c r="D106" s="90" t="n">
        <f aca="false">IF(2&gt;='Assumption Setting'!$F$103,'Assumption Setting'!$C$103,0)</f>
        <v>1</v>
      </c>
      <c r="E106" s="90" t="n">
        <f aca="false">IF(3&gt;='Assumption Setting'!$F$103,'Assumption Setting'!$C$103,0)</f>
        <v>1</v>
      </c>
      <c r="F106" s="90" t="n">
        <f aca="false">IF(4&gt;='Assumption Setting'!$F$103,'Assumption Setting'!$C$103,0)</f>
        <v>1</v>
      </c>
      <c r="G106" s="90" t="n">
        <f aca="false">IF(5&gt;='Assumption Setting'!$F$103,'Assumption Setting'!$C$103,0)</f>
        <v>1</v>
      </c>
      <c r="H106" s="90" t="n">
        <f aca="false">IF(6&gt;='Assumption Setting'!$F$103,'Assumption Setting'!$C$103,0)</f>
        <v>1</v>
      </c>
      <c r="I106" s="90" t="n">
        <f aca="false">IF(7&gt;='Assumption Setting'!$F$103,'Assumption Setting'!$C$103,0)</f>
        <v>1</v>
      </c>
      <c r="J106" s="90" t="n">
        <f aca="false">IF(8&gt;='Assumption Setting'!$F$103,'Assumption Setting'!$C$103,0)</f>
        <v>1</v>
      </c>
      <c r="K106" s="90" t="n">
        <f aca="false">IF(9&gt;='Assumption Setting'!$F$103,'Assumption Setting'!$C$103,0)</f>
        <v>1</v>
      </c>
      <c r="L106" s="90" t="n">
        <f aca="false">IF(10&gt;='Assumption Setting'!$F$103,'Assumption Setting'!$C$103,0)</f>
        <v>1</v>
      </c>
      <c r="M106" s="90" t="n">
        <f aca="false">IF(11&gt;='Assumption Setting'!$F$103,'Assumption Setting'!$C$103,0)</f>
        <v>1</v>
      </c>
      <c r="N106" s="90" t="n">
        <f aca="false">IF(12&gt;='Assumption Setting'!$F$103,'Assumption Setting'!$C$103,0)</f>
        <v>1</v>
      </c>
      <c r="O106" s="89" t="n">
        <f aca="false">AA106</f>
        <v>1</v>
      </c>
      <c r="P106" s="90" t="n">
        <f aca="false">IF(13&gt;='Assumption Setting'!$F$103,'Assumption Setting'!$C$103,0)</f>
        <v>1</v>
      </c>
      <c r="Q106" s="90" t="n">
        <f aca="false">IF(14&gt;='Assumption Setting'!$F$103,'Assumption Setting'!$C$103,0)</f>
        <v>1</v>
      </c>
      <c r="R106" s="90" t="n">
        <f aca="false">IF(15&gt;='Assumption Setting'!$F$103,'Assumption Setting'!$C$103,0)</f>
        <v>1</v>
      </c>
      <c r="S106" s="90" t="n">
        <f aca="false">IF(16&gt;='Assumption Setting'!$F$103,'Assumption Setting'!$C$103,0)</f>
        <v>1</v>
      </c>
      <c r="T106" s="90" t="n">
        <f aca="false">IF(17&gt;='Assumption Setting'!$F$103,'Assumption Setting'!$C$103,0)</f>
        <v>1</v>
      </c>
      <c r="U106" s="90" t="n">
        <f aca="false">IF(18&gt;='Assumption Setting'!$F$103,'Assumption Setting'!$C$103,0)</f>
        <v>1</v>
      </c>
      <c r="V106" s="90" t="n">
        <f aca="false">IF(19&gt;='Assumption Setting'!$F$103,'Assumption Setting'!$C$103,0)</f>
        <v>1</v>
      </c>
      <c r="W106" s="90" t="n">
        <f aca="false">IF(20&gt;='Assumption Setting'!$F$103,'Assumption Setting'!$C$103,0)</f>
        <v>1</v>
      </c>
      <c r="X106" s="90" t="n">
        <f aca="false">IF(21&gt;='Assumption Setting'!$F$103,'Assumption Setting'!$C$103,0)</f>
        <v>1</v>
      </c>
      <c r="Y106" s="90" t="n">
        <f aca="false">IF(22&gt;='Assumption Setting'!$F$103,'Assumption Setting'!$C$103,0)</f>
        <v>1</v>
      </c>
      <c r="Z106" s="90" t="n">
        <f aca="false">IF(23&gt;='Assumption Setting'!$F$103,'Assumption Setting'!$C$103,0)</f>
        <v>1</v>
      </c>
      <c r="AA106" s="90" t="n">
        <f aca="false">IF(24&gt;='Assumption Setting'!$F$103,'Assumption Setting'!$C$103,0)</f>
        <v>1</v>
      </c>
      <c r="AB106" s="89" t="n">
        <f aca="false">AN106</f>
        <v>1</v>
      </c>
      <c r="AC106" s="90" t="n">
        <f aca="false">IF(25&gt;='Assumption Setting'!$F$103,'Assumption Setting'!$C$103,0)</f>
        <v>1</v>
      </c>
      <c r="AD106" s="90" t="n">
        <f aca="false">IF(26&gt;='Assumption Setting'!$F$103,'Assumption Setting'!$C$103,0)</f>
        <v>1</v>
      </c>
      <c r="AE106" s="90" t="n">
        <f aca="false">IF(27&gt;='Assumption Setting'!$F$103,'Assumption Setting'!$C$103,0)</f>
        <v>1</v>
      </c>
      <c r="AF106" s="90" t="n">
        <f aca="false">IF(28&gt;='Assumption Setting'!$F$103,'Assumption Setting'!$C$103,0)</f>
        <v>1</v>
      </c>
      <c r="AG106" s="90" t="n">
        <f aca="false">IF(29&gt;='Assumption Setting'!$F$103,'Assumption Setting'!$C$103,0)</f>
        <v>1</v>
      </c>
      <c r="AH106" s="90" t="n">
        <f aca="false">IF(30&gt;='Assumption Setting'!$F$103,'Assumption Setting'!$C$103,0)</f>
        <v>1</v>
      </c>
      <c r="AI106" s="90" t="n">
        <f aca="false">IF(31&gt;='Assumption Setting'!$F$103,'Assumption Setting'!$C$103,0)</f>
        <v>1</v>
      </c>
      <c r="AJ106" s="90" t="n">
        <f aca="false">IF(32&gt;='Assumption Setting'!$F$103,'Assumption Setting'!$C$103,0)</f>
        <v>1</v>
      </c>
      <c r="AK106" s="90" t="n">
        <f aca="false">IF(33&gt;='Assumption Setting'!$F$103,'Assumption Setting'!$C$103,0)</f>
        <v>1</v>
      </c>
      <c r="AL106" s="90" t="n">
        <f aca="false">IF(34&gt;='Assumption Setting'!$F$103,'Assumption Setting'!$C$103,0)</f>
        <v>1</v>
      </c>
      <c r="AM106" s="90" t="n">
        <f aca="false">IF(35&gt;='Assumption Setting'!$F$103,'Assumption Setting'!$C$103,0)</f>
        <v>1</v>
      </c>
      <c r="AN106" s="90" t="n">
        <f aca="false">IF(36&gt;='Assumption Setting'!$F$103,'Assumption Setting'!$C$103,0)</f>
        <v>1</v>
      </c>
      <c r="AO106" s="89" t="n">
        <f aca="false">BA106</f>
        <v>1</v>
      </c>
      <c r="AP106" s="90" t="n">
        <f aca="false">IF(37&gt;='Assumption Setting'!$F$103,'Assumption Setting'!$C$103,0)</f>
        <v>1</v>
      </c>
      <c r="AQ106" s="90" t="n">
        <f aca="false">IF(38&gt;='Assumption Setting'!$F$103,'Assumption Setting'!$C$103,0)</f>
        <v>1</v>
      </c>
      <c r="AR106" s="90" t="n">
        <f aca="false">IF(39&gt;='Assumption Setting'!$F$103,'Assumption Setting'!$C$103,0)</f>
        <v>1</v>
      </c>
      <c r="AS106" s="90" t="n">
        <f aca="false">IF(40&gt;='Assumption Setting'!$F$103,'Assumption Setting'!$C$103,0)</f>
        <v>1</v>
      </c>
      <c r="AT106" s="90" t="n">
        <f aca="false">IF(41&gt;='Assumption Setting'!$F$103,'Assumption Setting'!$C$103,0)</f>
        <v>1</v>
      </c>
      <c r="AU106" s="90" t="n">
        <f aca="false">IF(42&gt;='Assumption Setting'!$F$103,'Assumption Setting'!$C$103,0)</f>
        <v>1</v>
      </c>
      <c r="AV106" s="90" t="n">
        <f aca="false">IF(43&gt;='Assumption Setting'!$F$103,'Assumption Setting'!$C$103,0)</f>
        <v>1</v>
      </c>
      <c r="AW106" s="90" t="n">
        <f aca="false">IF(44&gt;='Assumption Setting'!$F$103,'Assumption Setting'!$C$103,0)</f>
        <v>1</v>
      </c>
      <c r="AX106" s="90" t="n">
        <f aca="false">IF(45&gt;='Assumption Setting'!$F$103,'Assumption Setting'!$C$103,0)</f>
        <v>1</v>
      </c>
      <c r="AY106" s="90" t="n">
        <f aca="false">IF(46&gt;='Assumption Setting'!$F$103,'Assumption Setting'!$C$103,0)</f>
        <v>1</v>
      </c>
      <c r="AZ106" s="90" t="n">
        <f aca="false">IF(47&gt;='Assumption Setting'!$F$103,'Assumption Setting'!$C$103,0)</f>
        <v>1</v>
      </c>
      <c r="BA106" s="90" t="n">
        <f aca="false">IF(48&gt;='Assumption Setting'!$F$103,'Assumption Setting'!$C$103,0)</f>
        <v>1</v>
      </c>
      <c r="BB106" s="89" t="n">
        <f aca="false">BN106</f>
        <v>1</v>
      </c>
      <c r="BC106" s="90" t="n">
        <f aca="false">IF(49&gt;='Assumption Setting'!$F$103,'Assumption Setting'!$C$103,0)</f>
        <v>1</v>
      </c>
      <c r="BD106" s="90" t="n">
        <f aca="false">IF(50&gt;='Assumption Setting'!$F$103,'Assumption Setting'!$C$103,0)</f>
        <v>1</v>
      </c>
      <c r="BE106" s="90" t="n">
        <f aca="false">IF(51&gt;='Assumption Setting'!$F$103,'Assumption Setting'!$C$103,0)</f>
        <v>1</v>
      </c>
      <c r="BF106" s="90" t="n">
        <f aca="false">IF(52&gt;='Assumption Setting'!$F$103,'Assumption Setting'!$C$103,0)</f>
        <v>1</v>
      </c>
      <c r="BG106" s="90" t="n">
        <f aca="false">IF(53&gt;='Assumption Setting'!$F$103,'Assumption Setting'!$C$103,0)</f>
        <v>1</v>
      </c>
      <c r="BH106" s="90" t="n">
        <f aca="false">IF(54&gt;='Assumption Setting'!$F$103,'Assumption Setting'!$C$103,0)</f>
        <v>1</v>
      </c>
      <c r="BI106" s="90" t="n">
        <f aca="false">IF(55&gt;='Assumption Setting'!$F$103,'Assumption Setting'!$C$103,0)</f>
        <v>1</v>
      </c>
      <c r="BJ106" s="90" t="n">
        <f aca="false">IF(56&gt;='Assumption Setting'!$F$103,'Assumption Setting'!$C$103,0)</f>
        <v>1</v>
      </c>
      <c r="BK106" s="90" t="n">
        <f aca="false">IF(57&gt;='Assumption Setting'!$F$103,'Assumption Setting'!$C$103,0)</f>
        <v>1</v>
      </c>
      <c r="BL106" s="90" t="n">
        <f aca="false">IF(58&gt;='Assumption Setting'!$F$103,'Assumption Setting'!$C$103,0)</f>
        <v>1</v>
      </c>
      <c r="BM106" s="90" t="n">
        <f aca="false">IF(59&gt;='Assumption Setting'!$F$103,'Assumption Setting'!$C$103,0)</f>
        <v>1</v>
      </c>
      <c r="BN106" s="90" t="n">
        <f aca="false">IF(60&gt;='Assumption Setting'!$F$103,'Assumption Setting'!$C$103,0)</f>
        <v>1</v>
      </c>
    </row>
    <row r="107" customFormat="false" ht="15" hidden="false" customHeight="false" outlineLevel="0" collapsed="false">
      <c r="A107" s="12" t="s">
        <v>626</v>
      </c>
      <c r="B107" s="89" t="n">
        <f aca="false">N107</f>
        <v>1</v>
      </c>
      <c r="C107" s="90" t="n">
        <f aca="false">IF(1&gt;='Assumption Setting'!$F$101,'Assumption Setting'!$C$101,0)+IF(1&gt;='Assumption Setting'!$F$102,'Assumption Setting'!$C$102,0)</f>
        <v>1</v>
      </c>
      <c r="D107" s="90" t="n">
        <f aca="false">IF(2&gt;='Assumption Setting'!$F$101,'Assumption Setting'!$C$101,0)+IF(2&gt;='Assumption Setting'!$F$102,'Assumption Setting'!$C$102,0)</f>
        <v>1</v>
      </c>
      <c r="E107" s="90" t="n">
        <f aca="false">IF(3&gt;='Assumption Setting'!$F$101,'Assumption Setting'!$C$101,0)+IF(3&gt;='Assumption Setting'!$F$102,'Assumption Setting'!$C$102,0)</f>
        <v>1</v>
      </c>
      <c r="F107" s="90" t="n">
        <f aca="false">IF(4&gt;='Assumption Setting'!$F$101,'Assumption Setting'!$C$101,0)+IF(4&gt;='Assumption Setting'!$F$102,'Assumption Setting'!$C$102,0)</f>
        <v>1</v>
      </c>
      <c r="G107" s="90" t="n">
        <f aca="false">IF(5&gt;='Assumption Setting'!$F$101,'Assumption Setting'!$C$101,0)+IF(5&gt;='Assumption Setting'!$F$102,'Assumption Setting'!$C$102,0)</f>
        <v>1</v>
      </c>
      <c r="H107" s="90" t="n">
        <f aca="false">IF(6&gt;='Assumption Setting'!$F$101,'Assumption Setting'!$C$101,0)+IF(6&gt;='Assumption Setting'!$F$102,'Assumption Setting'!$C$102,0)</f>
        <v>1</v>
      </c>
      <c r="I107" s="90" t="n">
        <f aca="false">IF(7&gt;='Assumption Setting'!$F$101,'Assumption Setting'!$C$101,0)+IF(7&gt;='Assumption Setting'!$F$102,'Assumption Setting'!$C$102,0)</f>
        <v>1</v>
      </c>
      <c r="J107" s="90" t="n">
        <f aca="false">IF(8&gt;='Assumption Setting'!$F$101,'Assumption Setting'!$C$101,0)+IF(8&gt;='Assumption Setting'!$F$102,'Assumption Setting'!$C$102,0)</f>
        <v>1</v>
      </c>
      <c r="K107" s="90" t="n">
        <f aca="false">IF(9&gt;='Assumption Setting'!$F$101,'Assumption Setting'!$C$101,0)+IF(9&gt;='Assumption Setting'!$F$102,'Assumption Setting'!$C$102,0)</f>
        <v>1</v>
      </c>
      <c r="L107" s="90" t="n">
        <f aca="false">IF(10&gt;='Assumption Setting'!$F$101,'Assumption Setting'!$C$101,0)+IF(10&gt;='Assumption Setting'!$F$102,'Assumption Setting'!$C$102,0)</f>
        <v>1</v>
      </c>
      <c r="M107" s="90" t="n">
        <f aca="false">IF(11&gt;='Assumption Setting'!$F$101,'Assumption Setting'!$C$101,0)+IF(11&gt;='Assumption Setting'!$F$102,'Assumption Setting'!$C$102,0)</f>
        <v>1</v>
      </c>
      <c r="N107" s="90" t="n">
        <f aca="false">IF(12&gt;='Assumption Setting'!$F$101,'Assumption Setting'!$C$101,0)+IF(12&gt;='Assumption Setting'!$F$102,'Assumption Setting'!$C$102,0)</f>
        <v>1</v>
      </c>
      <c r="O107" s="89" t="n">
        <f aca="false">AA107</f>
        <v>1</v>
      </c>
      <c r="P107" s="90" t="n">
        <f aca="false">IF(13&gt;='Assumption Setting'!$F$101,'Assumption Setting'!$C$101,0)+IF(13&gt;='Assumption Setting'!$F$102,'Assumption Setting'!$C$102,0)</f>
        <v>1</v>
      </c>
      <c r="Q107" s="90" t="n">
        <f aca="false">IF(14&gt;='Assumption Setting'!$F$101,'Assumption Setting'!$C$101,0)+IF(14&gt;='Assumption Setting'!$F$102,'Assumption Setting'!$C$102,0)</f>
        <v>1</v>
      </c>
      <c r="R107" s="90" t="n">
        <f aca="false">IF(15&gt;='Assumption Setting'!$F$101,'Assumption Setting'!$C$101,0)+IF(15&gt;='Assumption Setting'!$F$102,'Assumption Setting'!$C$102,0)</f>
        <v>1</v>
      </c>
      <c r="S107" s="90" t="n">
        <f aca="false">IF(16&gt;='Assumption Setting'!$F$101,'Assumption Setting'!$C$101,0)+IF(16&gt;='Assumption Setting'!$F$102,'Assumption Setting'!$C$102,0)</f>
        <v>1</v>
      </c>
      <c r="T107" s="90" t="n">
        <f aca="false">IF(17&gt;='Assumption Setting'!$F$101,'Assumption Setting'!$C$101,0)+IF(17&gt;='Assumption Setting'!$F$102,'Assumption Setting'!$C$102,0)</f>
        <v>1</v>
      </c>
      <c r="U107" s="90" t="n">
        <f aca="false">IF(18&gt;='Assumption Setting'!$F$101,'Assumption Setting'!$C$101,0)+IF(18&gt;='Assumption Setting'!$F$102,'Assumption Setting'!$C$102,0)</f>
        <v>1</v>
      </c>
      <c r="V107" s="90" t="n">
        <f aca="false">IF(19&gt;='Assumption Setting'!$F$101,'Assumption Setting'!$C$101,0)+IF(19&gt;='Assumption Setting'!$F$102,'Assumption Setting'!$C$102,0)</f>
        <v>1</v>
      </c>
      <c r="W107" s="90" t="n">
        <f aca="false">IF(20&gt;='Assumption Setting'!$F$101,'Assumption Setting'!$C$101,0)+IF(20&gt;='Assumption Setting'!$F$102,'Assumption Setting'!$C$102,0)</f>
        <v>1</v>
      </c>
      <c r="X107" s="90" t="n">
        <f aca="false">IF(21&gt;='Assumption Setting'!$F$101,'Assumption Setting'!$C$101,0)+IF(21&gt;='Assumption Setting'!$F$102,'Assumption Setting'!$C$102,0)</f>
        <v>1</v>
      </c>
      <c r="Y107" s="90" t="n">
        <f aca="false">IF(22&gt;='Assumption Setting'!$F$101,'Assumption Setting'!$C$101,0)+IF(22&gt;='Assumption Setting'!$F$102,'Assumption Setting'!$C$102,0)</f>
        <v>1</v>
      </c>
      <c r="Z107" s="90" t="n">
        <f aca="false">IF(23&gt;='Assumption Setting'!$F$101,'Assumption Setting'!$C$101,0)+IF(23&gt;='Assumption Setting'!$F$102,'Assumption Setting'!$C$102,0)</f>
        <v>1</v>
      </c>
      <c r="AA107" s="90" t="n">
        <f aca="false">IF(24&gt;='Assumption Setting'!$F$101,'Assumption Setting'!$C$101,0)+IF(24&gt;='Assumption Setting'!$F$102,'Assumption Setting'!$C$102,0)</f>
        <v>1</v>
      </c>
      <c r="AB107" s="89" t="n">
        <f aca="false">AN107</f>
        <v>1</v>
      </c>
      <c r="AC107" s="90" t="n">
        <f aca="false">IF(25&gt;='Assumption Setting'!$F$101,'Assumption Setting'!$C$101,0)+IF(25&gt;='Assumption Setting'!$F$102,'Assumption Setting'!$C$102,0)</f>
        <v>1</v>
      </c>
      <c r="AD107" s="90" t="n">
        <f aca="false">IF(26&gt;='Assumption Setting'!$F$101,'Assumption Setting'!$C$101,0)+IF(26&gt;='Assumption Setting'!$F$102,'Assumption Setting'!$C$102,0)</f>
        <v>1</v>
      </c>
      <c r="AE107" s="90" t="n">
        <f aca="false">IF(27&gt;='Assumption Setting'!$F$101,'Assumption Setting'!$C$101,0)+IF(27&gt;='Assumption Setting'!$F$102,'Assumption Setting'!$C$102,0)</f>
        <v>1</v>
      </c>
      <c r="AF107" s="90" t="n">
        <f aca="false">IF(28&gt;='Assumption Setting'!$F$101,'Assumption Setting'!$C$101,0)+IF(28&gt;='Assumption Setting'!$F$102,'Assumption Setting'!$C$102,0)</f>
        <v>1</v>
      </c>
      <c r="AG107" s="90" t="n">
        <f aca="false">IF(29&gt;='Assumption Setting'!$F$101,'Assumption Setting'!$C$101,0)+IF(29&gt;='Assumption Setting'!$F$102,'Assumption Setting'!$C$102,0)</f>
        <v>1</v>
      </c>
      <c r="AH107" s="90" t="n">
        <f aca="false">IF(30&gt;='Assumption Setting'!$F$101,'Assumption Setting'!$C$101,0)+IF(30&gt;='Assumption Setting'!$F$102,'Assumption Setting'!$C$102,0)</f>
        <v>1</v>
      </c>
      <c r="AI107" s="90" t="n">
        <f aca="false">IF(31&gt;='Assumption Setting'!$F$101,'Assumption Setting'!$C$101,0)+IF(31&gt;='Assumption Setting'!$F$102,'Assumption Setting'!$C$102,0)</f>
        <v>1</v>
      </c>
      <c r="AJ107" s="90" t="n">
        <f aca="false">IF(32&gt;='Assumption Setting'!$F$101,'Assumption Setting'!$C$101,0)+IF(32&gt;='Assumption Setting'!$F$102,'Assumption Setting'!$C$102,0)</f>
        <v>1</v>
      </c>
      <c r="AK107" s="90" t="n">
        <f aca="false">IF(33&gt;='Assumption Setting'!$F$101,'Assumption Setting'!$C$101,0)+IF(33&gt;='Assumption Setting'!$F$102,'Assumption Setting'!$C$102,0)</f>
        <v>1</v>
      </c>
      <c r="AL107" s="90" t="n">
        <f aca="false">IF(34&gt;='Assumption Setting'!$F$101,'Assumption Setting'!$C$101,0)+IF(34&gt;='Assumption Setting'!$F$102,'Assumption Setting'!$C$102,0)</f>
        <v>1</v>
      </c>
      <c r="AM107" s="90" t="n">
        <f aca="false">IF(35&gt;='Assumption Setting'!$F$101,'Assumption Setting'!$C$101,0)+IF(35&gt;='Assumption Setting'!$F$102,'Assumption Setting'!$C$102,0)</f>
        <v>1</v>
      </c>
      <c r="AN107" s="90" t="n">
        <f aca="false">IF(36&gt;='Assumption Setting'!$F$101,'Assumption Setting'!$C$101,0)+IF(36&gt;='Assumption Setting'!$F$102,'Assumption Setting'!$C$102,0)</f>
        <v>1</v>
      </c>
      <c r="AO107" s="89" t="n">
        <f aca="false">BA107</f>
        <v>1</v>
      </c>
      <c r="AP107" s="90" t="n">
        <f aca="false">IF(37&gt;='Assumption Setting'!$F$101,'Assumption Setting'!$C$101,0)+IF(37&gt;='Assumption Setting'!$F$102,'Assumption Setting'!$C$102,0)</f>
        <v>1</v>
      </c>
      <c r="AQ107" s="90" t="n">
        <f aca="false">IF(38&gt;='Assumption Setting'!$F$101,'Assumption Setting'!$C$101,0)+IF(38&gt;='Assumption Setting'!$F$102,'Assumption Setting'!$C$102,0)</f>
        <v>1</v>
      </c>
      <c r="AR107" s="90" t="n">
        <f aca="false">IF(39&gt;='Assumption Setting'!$F$101,'Assumption Setting'!$C$101,0)+IF(39&gt;='Assumption Setting'!$F$102,'Assumption Setting'!$C$102,0)</f>
        <v>1</v>
      </c>
      <c r="AS107" s="90" t="n">
        <f aca="false">IF(40&gt;='Assumption Setting'!$F$101,'Assumption Setting'!$C$101,0)+IF(40&gt;='Assumption Setting'!$F$102,'Assumption Setting'!$C$102,0)</f>
        <v>1</v>
      </c>
      <c r="AT107" s="90" t="n">
        <f aca="false">IF(41&gt;='Assumption Setting'!$F$101,'Assumption Setting'!$C$101,0)+IF(41&gt;='Assumption Setting'!$F$102,'Assumption Setting'!$C$102,0)</f>
        <v>1</v>
      </c>
      <c r="AU107" s="90" t="n">
        <f aca="false">IF(42&gt;='Assumption Setting'!$F$101,'Assumption Setting'!$C$101,0)+IF(42&gt;='Assumption Setting'!$F$102,'Assumption Setting'!$C$102,0)</f>
        <v>1</v>
      </c>
      <c r="AV107" s="90" t="n">
        <f aca="false">IF(43&gt;='Assumption Setting'!$F$101,'Assumption Setting'!$C$101,0)+IF(43&gt;='Assumption Setting'!$F$102,'Assumption Setting'!$C$102,0)</f>
        <v>1</v>
      </c>
      <c r="AW107" s="90" t="n">
        <f aca="false">IF(44&gt;='Assumption Setting'!$F$101,'Assumption Setting'!$C$101,0)+IF(44&gt;='Assumption Setting'!$F$102,'Assumption Setting'!$C$102,0)</f>
        <v>1</v>
      </c>
      <c r="AX107" s="90" t="n">
        <f aca="false">IF(45&gt;='Assumption Setting'!$F$101,'Assumption Setting'!$C$101,0)+IF(45&gt;='Assumption Setting'!$F$102,'Assumption Setting'!$C$102,0)</f>
        <v>1</v>
      </c>
      <c r="AY107" s="90" t="n">
        <f aca="false">IF(46&gt;='Assumption Setting'!$F$101,'Assumption Setting'!$C$101,0)+IF(46&gt;='Assumption Setting'!$F$102,'Assumption Setting'!$C$102,0)</f>
        <v>1</v>
      </c>
      <c r="AZ107" s="90" t="n">
        <f aca="false">IF(47&gt;='Assumption Setting'!$F$101,'Assumption Setting'!$C$101,0)+IF(47&gt;='Assumption Setting'!$F$102,'Assumption Setting'!$C$102,0)</f>
        <v>1</v>
      </c>
      <c r="BA107" s="90" t="n">
        <f aca="false">IF(48&gt;='Assumption Setting'!$F$101,'Assumption Setting'!$C$101,0)+IF(48&gt;='Assumption Setting'!$F$102,'Assumption Setting'!$C$102,0)</f>
        <v>1</v>
      </c>
      <c r="BB107" s="89" t="n">
        <f aca="false">BN107</f>
        <v>1</v>
      </c>
      <c r="BC107" s="90" t="n">
        <f aca="false">IF(49&gt;='Assumption Setting'!$F$101,'Assumption Setting'!$C$101,0)+IF(49&gt;='Assumption Setting'!$F$102,'Assumption Setting'!$C$102,0)</f>
        <v>1</v>
      </c>
      <c r="BD107" s="90" t="n">
        <f aca="false">IF(50&gt;='Assumption Setting'!$F$101,'Assumption Setting'!$C$101,0)+IF(50&gt;='Assumption Setting'!$F$102,'Assumption Setting'!$C$102,0)</f>
        <v>1</v>
      </c>
      <c r="BE107" s="90" t="n">
        <f aca="false">IF(51&gt;='Assumption Setting'!$F$101,'Assumption Setting'!$C$101,0)+IF(51&gt;='Assumption Setting'!$F$102,'Assumption Setting'!$C$102,0)</f>
        <v>1</v>
      </c>
      <c r="BF107" s="90" t="n">
        <f aca="false">IF(52&gt;='Assumption Setting'!$F$101,'Assumption Setting'!$C$101,0)+IF(52&gt;='Assumption Setting'!$F$102,'Assumption Setting'!$C$102,0)</f>
        <v>1</v>
      </c>
      <c r="BG107" s="90" t="n">
        <f aca="false">IF(53&gt;='Assumption Setting'!$F$101,'Assumption Setting'!$C$101,0)+IF(53&gt;='Assumption Setting'!$F$102,'Assumption Setting'!$C$102,0)</f>
        <v>1</v>
      </c>
      <c r="BH107" s="90" t="n">
        <f aca="false">IF(54&gt;='Assumption Setting'!$F$101,'Assumption Setting'!$C$101,0)+IF(54&gt;='Assumption Setting'!$F$102,'Assumption Setting'!$C$102,0)</f>
        <v>1</v>
      </c>
      <c r="BI107" s="90" t="n">
        <f aca="false">IF(55&gt;='Assumption Setting'!$F$101,'Assumption Setting'!$C$101,0)+IF(55&gt;='Assumption Setting'!$F$102,'Assumption Setting'!$C$102,0)</f>
        <v>1</v>
      </c>
      <c r="BJ107" s="90" t="n">
        <f aca="false">IF(56&gt;='Assumption Setting'!$F$101,'Assumption Setting'!$C$101,0)+IF(56&gt;='Assumption Setting'!$F$102,'Assumption Setting'!$C$102,0)</f>
        <v>1</v>
      </c>
      <c r="BK107" s="90" t="n">
        <f aca="false">IF(57&gt;='Assumption Setting'!$F$101,'Assumption Setting'!$C$101,0)+IF(57&gt;='Assumption Setting'!$F$102,'Assumption Setting'!$C$102,0)</f>
        <v>1</v>
      </c>
      <c r="BL107" s="90" t="n">
        <f aca="false">IF(58&gt;='Assumption Setting'!$F$101,'Assumption Setting'!$C$101,0)+IF(58&gt;='Assumption Setting'!$F$102,'Assumption Setting'!$C$102,0)</f>
        <v>1</v>
      </c>
      <c r="BM107" s="90" t="n">
        <f aca="false">IF(59&gt;='Assumption Setting'!$F$101,'Assumption Setting'!$C$101,0)+IF(59&gt;='Assumption Setting'!$F$102,'Assumption Setting'!$C$102,0)</f>
        <v>1</v>
      </c>
      <c r="BN107" s="90" t="n">
        <f aca="false">IF(60&gt;='Assumption Setting'!$F$101,'Assumption Setting'!$C$101,0)+IF(60&gt;='Assumption Setting'!$F$102,'Assumption Setting'!$C$102,0)</f>
        <v>1</v>
      </c>
    </row>
    <row r="108" customFormat="false" ht="15" hidden="false" customHeight="false" outlineLevel="0" collapsed="false">
      <c r="A108" s="12" t="s">
        <v>627</v>
      </c>
      <c r="B108" s="89" t="n">
        <f aca="false">N108</f>
        <v>1</v>
      </c>
      <c r="C108" s="90" t="n">
        <f aca="false">IF(1&gt;='Assumption Setting'!$F$106,'Assumption Setting'!$C$106,0)</f>
        <v>1</v>
      </c>
      <c r="D108" s="90" t="n">
        <f aca="false">IF(2&gt;='Assumption Setting'!$F$106,'Assumption Setting'!$C$106,0)</f>
        <v>1</v>
      </c>
      <c r="E108" s="90" t="n">
        <f aca="false">IF(3&gt;='Assumption Setting'!$F$106,'Assumption Setting'!$C$106,0)</f>
        <v>1</v>
      </c>
      <c r="F108" s="90" t="n">
        <f aca="false">IF(4&gt;='Assumption Setting'!$F$106,'Assumption Setting'!$C$106,0)</f>
        <v>1</v>
      </c>
      <c r="G108" s="90" t="n">
        <f aca="false">IF(5&gt;='Assumption Setting'!$F$106,'Assumption Setting'!$C$106,0)</f>
        <v>1</v>
      </c>
      <c r="H108" s="90" t="n">
        <f aca="false">IF(6&gt;='Assumption Setting'!$F$106,'Assumption Setting'!$C$106,0)</f>
        <v>1</v>
      </c>
      <c r="I108" s="90" t="n">
        <f aca="false">IF(7&gt;='Assumption Setting'!$F$106,'Assumption Setting'!$C$106,0)</f>
        <v>1</v>
      </c>
      <c r="J108" s="90" t="n">
        <f aca="false">IF(8&gt;='Assumption Setting'!$F$106,'Assumption Setting'!$C$106,0)</f>
        <v>1</v>
      </c>
      <c r="K108" s="90" t="n">
        <f aca="false">IF(9&gt;='Assumption Setting'!$F$106,'Assumption Setting'!$C$106,0)</f>
        <v>1</v>
      </c>
      <c r="L108" s="90" t="n">
        <f aca="false">IF(10&gt;='Assumption Setting'!$F$106,'Assumption Setting'!$C$106,0)</f>
        <v>1</v>
      </c>
      <c r="M108" s="90" t="n">
        <f aca="false">IF(11&gt;='Assumption Setting'!$F$106,'Assumption Setting'!$C$106,0)</f>
        <v>1</v>
      </c>
      <c r="N108" s="90" t="n">
        <f aca="false">IF(12&gt;='Assumption Setting'!$F$106,'Assumption Setting'!$C$106,0)</f>
        <v>1</v>
      </c>
      <c r="O108" s="89" t="n">
        <f aca="false">AA108</f>
        <v>1</v>
      </c>
      <c r="P108" s="90" t="n">
        <f aca="false">IF(13&gt;='Assumption Setting'!$F$106,'Assumption Setting'!$C$106,0)</f>
        <v>1</v>
      </c>
      <c r="Q108" s="90" t="n">
        <f aca="false">IF(14&gt;='Assumption Setting'!$F$106,'Assumption Setting'!$C$106,0)</f>
        <v>1</v>
      </c>
      <c r="R108" s="90" t="n">
        <f aca="false">IF(15&gt;='Assumption Setting'!$F$106,'Assumption Setting'!$C$106,0)</f>
        <v>1</v>
      </c>
      <c r="S108" s="90" t="n">
        <f aca="false">IF(16&gt;='Assumption Setting'!$F$106,'Assumption Setting'!$C$106,0)</f>
        <v>1</v>
      </c>
      <c r="T108" s="90" t="n">
        <f aca="false">IF(17&gt;='Assumption Setting'!$F$106,'Assumption Setting'!$C$106,0)</f>
        <v>1</v>
      </c>
      <c r="U108" s="90" t="n">
        <f aca="false">IF(18&gt;='Assumption Setting'!$F$106,'Assumption Setting'!$C$106,0)</f>
        <v>1</v>
      </c>
      <c r="V108" s="90" t="n">
        <f aca="false">IF(19&gt;='Assumption Setting'!$F$106,'Assumption Setting'!$C$106,0)</f>
        <v>1</v>
      </c>
      <c r="W108" s="90" t="n">
        <f aca="false">IF(20&gt;='Assumption Setting'!$F$106,'Assumption Setting'!$C$106,0)</f>
        <v>1</v>
      </c>
      <c r="X108" s="90" t="n">
        <f aca="false">IF(21&gt;='Assumption Setting'!$F$106,'Assumption Setting'!$C$106,0)</f>
        <v>1</v>
      </c>
      <c r="Y108" s="90" t="n">
        <f aca="false">IF(22&gt;='Assumption Setting'!$F$106,'Assumption Setting'!$C$106,0)</f>
        <v>1</v>
      </c>
      <c r="Z108" s="90" t="n">
        <f aca="false">IF(23&gt;='Assumption Setting'!$F$106,'Assumption Setting'!$C$106,0)</f>
        <v>1</v>
      </c>
      <c r="AA108" s="90" t="n">
        <f aca="false">IF(24&gt;='Assumption Setting'!$F$106,'Assumption Setting'!$C$106,0)</f>
        <v>1</v>
      </c>
      <c r="AB108" s="89" t="n">
        <f aca="false">AN108</f>
        <v>1</v>
      </c>
      <c r="AC108" s="90" t="n">
        <f aca="false">IF(25&gt;='Assumption Setting'!$F$106,'Assumption Setting'!$C$106,0)</f>
        <v>1</v>
      </c>
      <c r="AD108" s="90" t="n">
        <f aca="false">IF(26&gt;='Assumption Setting'!$F$106,'Assumption Setting'!$C$106,0)</f>
        <v>1</v>
      </c>
      <c r="AE108" s="90" t="n">
        <f aca="false">IF(27&gt;='Assumption Setting'!$F$106,'Assumption Setting'!$C$106,0)</f>
        <v>1</v>
      </c>
      <c r="AF108" s="90" t="n">
        <f aca="false">IF(28&gt;='Assumption Setting'!$F$106,'Assumption Setting'!$C$106,0)</f>
        <v>1</v>
      </c>
      <c r="AG108" s="90" t="n">
        <f aca="false">IF(29&gt;='Assumption Setting'!$F$106,'Assumption Setting'!$C$106,0)</f>
        <v>1</v>
      </c>
      <c r="AH108" s="90" t="n">
        <f aca="false">IF(30&gt;='Assumption Setting'!$F$106,'Assumption Setting'!$C$106,0)</f>
        <v>1</v>
      </c>
      <c r="AI108" s="90" t="n">
        <f aca="false">IF(31&gt;='Assumption Setting'!$F$106,'Assumption Setting'!$C$106,0)</f>
        <v>1</v>
      </c>
      <c r="AJ108" s="90" t="n">
        <f aca="false">IF(32&gt;='Assumption Setting'!$F$106,'Assumption Setting'!$C$106,0)</f>
        <v>1</v>
      </c>
      <c r="AK108" s="90" t="n">
        <f aca="false">IF(33&gt;='Assumption Setting'!$F$106,'Assumption Setting'!$C$106,0)</f>
        <v>1</v>
      </c>
      <c r="AL108" s="90" t="n">
        <f aca="false">IF(34&gt;='Assumption Setting'!$F$106,'Assumption Setting'!$C$106,0)</f>
        <v>1</v>
      </c>
      <c r="AM108" s="90" t="n">
        <f aca="false">IF(35&gt;='Assumption Setting'!$F$106,'Assumption Setting'!$C$106,0)</f>
        <v>1</v>
      </c>
      <c r="AN108" s="90" t="n">
        <f aca="false">IF(36&gt;='Assumption Setting'!$F$106,'Assumption Setting'!$C$106,0)</f>
        <v>1</v>
      </c>
      <c r="AO108" s="89" t="n">
        <f aca="false">BA108</f>
        <v>1</v>
      </c>
      <c r="AP108" s="90" t="n">
        <f aca="false">IF(37&gt;='Assumption Setting'!$F$106,'Assumption Setting'!$C$106,0)</f>
        <v>1</v>
      </c>
      <c r="AQ108" s="90" t="n">
        <f aca="false">IF(38&gt;='Assumption Setting'!$F$106,'Assumption Setting'!$C$106,0)</f>
        <v>1</v>
      </c>
      <c r="AR108" s="90" t="n">
        <f aca="false">IF(39&gt;='Assumption Setting'!$F$106,'Assumption Setting'!$C$106,0)</f>
        <v>1</v>
      </c>
      <c r="AS108" s="90" t="n">
        <f aca="false">IF(40&gt;='Assumption Setting'!$F$106,'Assumption Setting'!$C$106,0)</f>
        <v>1</v>
      </c>
      <c r="AT108" s="90" t="n">
        <f aca="false">IF(41&gt;='Assumption Setting'!$F$106,'Assumption Setting'!$C$106,0)</f>
        <v>1</v>
      </c>
      <c r="AU108" s="90" t="n">
        <f aca="false">IF(42&gt;='Assumption Setting'!$F$106,'Assumption Setting'!$C$106,0)</f>
        <v>1</v>
      </c>
      <c r="AV108" s="90" t="n">
        <f aca="false">IF(43&gt;='Assumption Setting'!$F$106,'Assumption Setting'!$C$106,0)</f>
        <v>1</v>
      </c>
      <c r="AW108" s="90" t="n">
        <f aca="false">IF(44&gt;='Assumption Setting'!$F$106,'Assumption Setting'!$C$106,0)</f>
        <v>1</v>
      </c>
      <c r="AX108" s="90" t="n">
        <f aca="false">IF(45&gt;='Assumption Setting'!$F$106,'Assumption Setting'!$C$106,0)</f>
        <v>1</v>
      </c>
      <c r="AY108" s="90" t="n">
        <f aca="false">IF(46&gt;='Assumption Setting'!$F$106,'Assumption Setting'!$C$106,0)</f>
        <v>1</v>
      </c>
      <c r="AZ108" s="90" t="n">
        <f aca="false">IF(47&gt;='Assumption Setting'!$F$106,'Assumption Setting'!$C$106,0)</f>
        <v>1</v>
      </c>
      <c r="BA108" s="90" t="n">
        <f aca="false">IF(48&gt;='Assumption Setting'!$F$106,'Assumption Setting'!$C$106,0)</f>
        <v>1</v>
      </c>
      <c r="BB108" s="89" t="n">
        <f aca="false">BN108</f>
        <v>1</v>
      </c>
      <c r="BC108" s="90" t="n">
        <f aca="false">IF(49&gt;='Assumption Setting'!$F$106,'Assumption Setting'!$C$106,0)</f>
        <v>1</v>
      </c>
      <c r="BD108" s="90" t="n">
        <f aca="false">IF(50&gt;='Assumption Setting'!$F$106,'Assumption Setting'!$C$106,0)</f>
        <v>1</v>
      </c>
      <c r="BE108" s="90" t="n">
        <f aca="false">IF(51&gt;='Assumption Setting'!$F$106,'Assumption Setting'!$C$106,0)</f>
        <v>1</v>
      </c>
      <c r="BF108" s="90" t="n">
        <f aca="false">IF(52&gt;='Assumption Setting'!$F$106,'Assumption Setting'!$C$106,0)</f>
        <v>1</v>
      </c>
      <c r="BG108" s="90" t="n">
        <f aca="false">IF(53&gt;='Assumption Setting'!$F$106,'Assumption Setting'!$C$106,0)</f>
        <v>1</v>
      </c>
      <c r="BH108" s="90" t="n">
        <f aca="false">IF(54&gt;='Assumption Setting'!$F$106,'Assumption Setting'!$C$106,0)</f>
        <v>1</v>
      </c>
      <c r="BI108" s="90" t="n">
        <f aca="false">IF(55&gt;='Assumption Setting'!$F$106,'Assumption Setting'!$C$106,0)</f>
        <v>1</v>
      </c>
      <c r="BJ108" s="90" t="n">
        <f aca="false">IF(56&gt;='Assumption Setting'!$F$106,'Assumption Setting'!$C$106,0)</f>
        <v>1</v>
      </c>
      <c r="BK108" s="90" t="n">
        <f aca="false">IF(57&gt;='Assumption Setting'!$F$106,'Assumption Setting'!$C$106,0)</f>
        <v>1</v>
      </c>
      <c r="BL108" s="90" t="n">
        <f aca="false">IF(58&gt;='Assumption Setting'!$F$106,'Assumption Setting'!$C$106,0)</f>
        <v>1</v>
      </c>
      <c r="BM108" s="90" t="n">
        <f aca="false">IF(59&gt;='Assumption Setting'!$F$106,'Assumption Setting'!$C$106,0)</f>
        <v>1</v>
      </c>
      <c r="BN108" s="90" t="n">
        <f aca="false">IF(60&gt;='Assumption Setting'!$F$106,'Assumption Setting'!$C$106,0)</f>
        <v>1</v>
      </c>
    </row>
    <row r="109" customFormat="false" ht="15" hidden="false" customHeight="false" outlineLevel="0" collapsed="false">
      <c r="A109" s="12" t="s">
        <v>628</v>
      </c>
      <c r="B109" s="89" t="n">
        <f aca="false">N109</f>
        <v>1</v>
      </c>
      <c r="C109" s="90" t="n">
        <f aca="false">IF(1&gt;='Assumption Setting'!$F$107,'Assumption Setting'!$C$107,0)</f>
        <v>1</v>
      </c>
      <c r="D109" s="90" t="n">
        <f aca="false">IF(2&gt;='Assumption Setting'!$F$107,'Assumption Setting'!$C$107,0)</f>
        <v>1</v>
      </c>
      <c r="E109" s="90" t="n">
        <f aca="false">IF(3&gt;='Assumption Setting'!$F$107,'Assumption Setting'!$C$107,0)</f>
        <v>1</v>
      </c>
      <c r="F109" s="90" t="n">
        <f aca="false">IF(4&gt;='Assumption Setting'!$F$107,'Assumption Setting'!$C$107,0)</f>
        <v>1</v>
      </c>
      <c r="G109" s="90" t="n">
        <f aca="false">IF(5&gt;='Assumption Setting'!$F$107,'Assumption Setting'!$C$107,0)</f>
        <v>1</v>
      </c>
      <c r="H109" s="90" t="n">
        <f aca="false">IF(6&gt;='Assumption Setting'!$F$107,'Assumption Setting'!$C$107,0)</f>
        <v>1</v>
      </c>
      <c r="I109" s="90" t="n">
        <f aca="false">IF(7&gt;='Assumption Setting'!$F$107,'Assumption Setting'!$C$107,0)</f>
        <v>1</v>
      </c>
      <c r="J109" s="90" t="n">
        <f aca="false">IF(8&gt;='Assumption Setting'!$F$107,'Assumption Setting'!$C$107,0)</f>
        <v>1</v>
      </c>
      <c r="K109" s="90" t="n">
        <f aca="false">IF(9&gt;='Assumption Setting'!$F$107,'Assumption Setting'!$C$107,0)</f>
        <v>1</v>
      </c>
      <c r="L109" s="90" t="n">
        <f aca="false">IF(10&gt;='Assumption Setting'!$F$107,'Assumption Setting'!$C$107,0)</f>
        <v>1</v>
      </c>
      <c r="M109" s="90" t="n">
        <f aca="false">IF(11&gt;='Assumption Setting'!$F$107,'Assumption Setting'!$C$107,0)</f>
        <v>1</v>
      </c>
      <c r="N109" s="90" t="n">
        <f aca="false">IF(12&gt;='Assumption Setting'!$F$107,'Assumption Setting'!$C$107,0)</f>
        <v>1</v>
      </c>
      <c r="O109" s="89" t="n">
        <f aca="false">AA109</f>
        <v>1</v>
      </c>
      <c r="P109" s="90" t="n">
        <f aca="false">IF(13&gt;='Assumption Setting'!$F$107,'Assumption Setting'!$C$107,0)</f>
        <v>1</v>
      </c>
      <c r="Q109" s="90" t="n">
        <f aca="false">IF(14&gt;='Assumption Setting'!$F$107,'Assumption Setting'!$C$107,0)</f>
        <v>1</v>
      </c>
      <c r="R109" s="90" t="n">
        <f aca="false">IF(15&gt;='Assumption Setting'!$F$107,'Assumption Setting'!$C$107,0)</f>
        <v>1</v>
      </c>
      <c r="S109" s="90" t="n">
        <f aca="false">IF(16&gt;='Assumption Setting'!$F$107,'Assumption Setting'!$C$107,0)</f>
        <v>1</v>
      </c>
      <c r="T109" s="90" t="n">
        <f aca="false">IF(17&gt;='Assumption Setting'!$F$107,'Assumption Setting'!$C$107,0)</f>
        <v>1</v>
      </c>
      <c r="U109" s="90" t="n">
        <f aca="false">IF(18&gt;='Assumption Setting'!$F$107,'Assumption Setting'!$C$107,0)</f>
        <v>1</v>
      </c>
      <c r="V109" s="90" t="n">
        <f aca="false">IF(19&gt;='Assumption Setting'!$F$107,'Assumption Setting'!$C$107,0)</f>
        <v>1</v>
      </c>
      <c r="W109" s="90" t="n">
        <f aca="false">IF(20&gt;='Assumption Setting'!$F$107,'Assumption Setting'!$C$107,0)</f>
        <v>1</v>
      </c>
      <c r="X109" s="90" t="n">
        <f aca="false">IF(21&gt;='Assumption Setting'!$F$107,'Assumption Setting'!$C$107,0)</f>
        <v>1</v>
      </c>
      <c r="Y109" s="90" t="n">
        <f aca="false">IF(22&gt;='Assumption Setting'!$F$107,'Assumption Setting'!$C$107,0)</f>
        <v>1</v>
      </c>
      <c r="Z109" s="90" t="n">
        <f aca="false">IF(23&gt;='Assumption Setting'!$F$107,'Assumption Setting'!$C$107,0)</f>
        <v>1</v>
      </c>
      <c r="AA109" s="90" t="n">
        <f aca="false">IF(24&gt;='Assumption Setting'!$F$107,'Assumption Setting'!$C$107,0)</f>
        <v>1</v>
      </c>
      <c r="AB109" s="89" t="n">
        <f aca="false">AN109</f>
        <v>1</v>
      </c>
      <c r="AC109" s="90" t="n">
        <f aca="false">IF(25&gt;='Assumption Setting'!$F$107,'Assumption Setting'!$C$107,0)</f>
        <v>1</v>
      </c>
      <c r="AD109" s="90" t="n">
        <f aca="false">IF(26&gt;='Assumption Setting'!$F$107,'Assumption Setting'!$C$107,0)</f>
        <v>1</v>
      </c>
      <c r="AE109" s="90" t="n">
        <f aca="false">IF(27&gt;='Assumption Setting'!$F$107,'Assumption Setting'!$C$107,0)</f>
        <v>1</v>
      </c>
      <c r="AF109" s="90" t="n">
        <f aca="false">IF(28&gt;='Assumption Setting'!$F$107,'Assumption Setting'!$C$107,0)</f>
        <v>1</v>
      </c>
      <c r="AG109" s="90" t="n">
        <f aca="false">IF(29&gt;='Assumption Setting'!$F$107,'Assumption Setting'!$C$107,0)</f>
        <v>1</v>
      </c>
      <c r="AH109" s="90" t="n">
        <f aca="false">IF(30&gt;='Assumption Setting'!$F$107,'Assumption Setting'!$C$107,0)</f>
        <v>1</v>
      </c>
      <c r="AI109" s="90" t="n">
        <f aca="false">IF(31&gt;='Assumption Setting'!$F$107,'Assumption Setting'!$C$107,0)</f>
        <v>1</v>
      </c>
      <c r="AJ109" s="90" t="n">
        <f aca="false">IF(32&gt;='Assumption Setting'!$F$107,'Assumption Setting'!$C$107,0)</f>
        <v>1</v>
      </c>
      <c r="AK109" s="90" t="n">
        <f aca="false">IF(33&gt;='Assumption Setting'!$F$107,'Assumption Setting'!$C$107,0)</f>
        <v>1</v>
      </c>
      <c r="AL109" s="90" t="n">
        <f aca="false">IF(34&gt;='Assumption Setting'!$F$107,'Assumption Setting'!$C$107,0)</f>
        <v>1</v>
      </c>
      <c r="AM109" s="90" t="n">
        <f aca="false">IF(35&gt;='Assumption Setting'!$F$107,'Assumption Setting'!$C$107,0)</f>
        <v>1</v>
      </c>
      <c r="AN109" s="90" t="n">
        <f aca="false">IF(36&gt;='Assumption Setting'!$F$107,'Assumption Setting'!$C$107,0)</f>
        <v>1</v>
      </c>
      <c r="AO109" s="89" t="n">
        <f aca="false">BA109</f>
        <v>1</v>
      </c>
      <c r="AP109" s="90" t="n">
        <f aca="false">IF(37&gt;='Assumption Setting'!$F$107,'Assumption Setting'!$C$107,0)</f>
        <v>1</v>
      </c>
      <c r="AQ109" s="90" t="n">
        <f aca="false">IF(38&gt;='Assumption Setting'!$F$107,'Assumption Setting'!$C$107,0)</f>
        <v>1</v>
      </c>
      <c r="AR109" s="90" t="n">
        <f aca="false">IF(39&gt;='Assumption Setting'!$F$107,'Assumption Setting'!$C$107,0)</f>
        <v>1</v>
      </c>
      <c r="AS109" s="90" t="n">
        <f aca="false">IF(40&gt;='Assumption Setting'!$F$107,'Assumption Setting'!$C$107,0)</f>
        <v>1</v>
      </c>
      <c r="AT109" s="90" t="n">
        <f aca="false">IF(41&gt;='Assumption Setting'!$F$107,'Assumption Setting'!$C$107,0)</f>
        <v>1</v>
      </c>
      <c r="AU109" s="90" t="n">
        <f aca="false">IF(42&gt;='Assumption Setting'!$F$107,'Assumption Setting'!$C$107,0)</f>
        <v>1</v>
      </c>
      <c r="AV109" s="90" t="n">
        <f aca="false">IF(43&gt;='Assumption Setting'!$F$107,'Assumption Setting'!$C$107,0)</f>
        <v>1</v>
      </c>
      <c r="AW109" s="90" t="n">
        <f aca="false">IF(44&gt;='Assumption Setting'!$F$107,'Assumption Setting'!$C$107,0)</f>
        <v>1</v>
      </c>
      <c r="AX109" s="90" t="n">
        <f aca="false">IF(45&gt;='Assumption Setting'!$F$107,'Assumption Setting'!$C$107,0)</f>
        <v>1</v>
      </c>
      <c r="AY109" s="90" t="n">
        <f aca="false">IF(46&gt;='Assumption Setting'!$F$107,'Assumption Setting'!$C$107,0)</f>
        <v>1</v>
      </c>
      <c r="AZ109" s="90" t="n">
        <f aca="false">IF(47&gt;='Assumption Setting'!$F$107,'Assumption Setting'!$C$107,0)</f>
        <v>1</v>
      </c>
      <c r="BA109" s="90" t="n">
        <f aca="false">IF(48&gt;='Assumption Setting'!$F$107,'Assumption Setting'!$C$107,0)</f>
        <v>1</v>
      </c>
      <c r="BB109" s="89" t="n">
        <f aca="false">BN109</f>
        <v>1</v>
      </c>
      <c r="BC109" s="90" t="n">
        <f aca="false">IF(49&gt;='Assumption Setting'!$F$107,'Assumption Setting'!$C$107,0)</f>
        <v>1</v>
      </c>
      <c r="BD109" s="90" t="n">
        <f aca="false">IF(50&gt;='Assumption Setting'!$F$107,'Assumption Setting'!$C$107,0)</f>
        <v>1</v>
      </c>
      <c r="BE109" s="90" t="n">
        <f aca="false">IF(51&gt;='Assumption Setting'!$F$107,'Assumption Setting'!$C$107,0)</f>
        <v>1</v>
      </c>
      <c r="BF109" s="90" t="n">
        <f aca="false">IF(52&gt;='Assumption Setting'!$F$107,'Assumption Setting'!$C$107,0)</f>
        <v>1</v>
      </c>
      <c r="BG109" s="90" t="n">
        <f aca="false">IF(53&gt;='Assumption Setting'!$F$107,'Assumption Setting'!$C$107,0)</f>
        <v>1</v>
      </c>
      <c r="BH109" s="90" t="n">
        <f aca="false">IF(54&gt;='Assumption Setting'!$F$107,'Assumption Setting'!$C$107,0)</f>
        <v>1</v>
      </c>
      <c r="BI109" s="90" t="n">
        <f aca="false">IF(55&gt;='Assumption Setting'!$F$107,'Assumption Setting'!$C$107,0)</f>
        <v>1</v>
      </c>
      <c r="BJ109" s="90" t="n">
        <f aca="false">IF(56&gt;='Assumption Setting'!$F$107,'Assumption Setting'!$C$107,0)</f>
        <v>1</v>
      </c>
      <c r="BK109" s="90" t="n">
        <f aca="false">IF(57&gt;='Assumption Setting'!$F$107,'Assumption Setting'!$C$107,0)</f>
        <v>1</v>
      </c>
      <c r="BL109" s="90" t="n">
        <f aca="false">IF(58&gt;='Assumption Setting'!$F$107,'Assumption Setting'!$C$107,0)</f>
        <v>1</v>
      </c>
      <c r="BM109" s="90" t="n">
        <f aca="false">IF(59&gt;='Assumption Setting'!$F$107,'Assumption Setting'!$C$107,0)</f>
        <v>1</v>
      </c>
      <c r="BN109" s="90" t="n">
        <f aca="false">IF(60&gt;='Assumption Setting'!$F$107,'Assumption Setting'!$C$107,0)</f>
        <v>1</v>
      </c>
    </row>
    <row r="110" customFormat="false" ht="15" hidden="false" customHeight="false" outlineLevel="0" collapsed="false">
      <c r="A110" s="71" t="s">
        <v>629</v>
      </c>
    </row>
    <row r="112" customFormat="false" ht="15" hidden="false" customHeight="false" outlineLevel="0" collapsed="false">
      <c r="A112" s="12" t="s">
        <v>630</v>
      </c>
      <c r="B112" s="91" t="n">
        <f aca="false">SUM(C112:N112)</f>
        <v>7.95928013202439</v>
      </c>
      <c r="C112" s="92" t="n">
        <f aca="false">IF(1&lt;'Assumption Setting'!$F$95,0,IFERROR(C73*'Assumption Setting'!$C$95/C104,0))+'Assumption Setting'!$C$32*'Assumption Setting'!$C$34</f>
        <v>2.5</v>
      </c>
      <c r="D112" s="92" t="n">
        <f aca="false">IF(2&lt;'Assumption Setting'!$F$95,0,IFERROR(D73*'Assumption Setting'!$C$95/D104,0))+'Assumption Setting'!$C$32*'Assumption Setting'!$C$35</f>
        <v>1.5</v>
      </c>
      <c r="E112" s="92" t="n">
        <f aca="false">IF(3&lt;'Assumption Setting'!$F$95,0,IFERROR(E73*'Assumption Setting'!$C$95/E104,0))+'Assumption Setting'!$C$32*'Assumption Setting'!$C$36</f>
        <v>1</v>
      </c>
      <c r="F112" s="92" t="n">
        <f aca="false">IF(4&lt;'Assumption Setting'!$F$95,0,IFERROR(F73*'Assumption Setting'!$C$95/F104,0))</f>
        <v>0.328808903558266</v>
      </c>
      <c r="G112" s="92" t="n">
        <f aca="false">IF(5&lt;'Assumption Setting'!$F$95,0,IFERROR(G73*'Assumption Setting'!$C$95/G104,0))</f>
        <v>0.328808903558266</v>
      </c>
      <c r="H112" s="92" t="n">
        <f aca="false">IF(6&lt;'Assumption Setting'!$F$95,0,IFERROR(H73*'Assumption Setting'!$C$95/H104,0))</f>
        <v>0.328808903558266</v>
      </c>
      <c r="I112" s="92" t="n">
        <f aca="false">IF(7&lt;'Assumption Setting'!$F$95,0,IFERROR(I73*'Assumption Setting'!$C$95/I104,0))</f>
        <v>0.328808903558266</v>
      </c>
      <c r="J112" s="92" t="n">
        <f aca="false">IF(8&lt;'Assumption Setting'!$F$95,0,IFERROR(J73*'Assumption Setting'!$C$95/J104,0))</f>
        <v>0.328808903558266</v>
      </c>
      <c r="K112" s="92" t="n">
        <f aca="false">IF(9&lt;'Assumption Setting'!$F$95,0,IFERROR(K73*'Assumption Setting'!$C$95/K104,0))</f>
        <v>0.328808903558266</v>
      </c>
      <c r="L112" s="92" t="n">
        <f aca="false">IF(10&lt;'Assumption Setting'!$F$95,0,IFERROR(L73*'Assumption Setting'!$C$95/L104,0))</f>
        <v>0.328808903558266</v>
      </c>
      <c r="M112" s="92" t="n">
        <f aca="false">IF(11&lt;'Assumption Setting'!$F$95,0,IFERROR(M73*'Assumption Setting'!$C$95/M104,0))</f>
        <v>0.328808903558266</v>
      </c>
      <c r="N112" s="92" t="n">
        <f aca="false">IF(12&lt;'Assumption Setting'!$F$95,0,IFERROR(N73*'Assumption Setting'!$C$95/N104,0))</f>
        <v>0.328808903558266</v>
      </c>
      <c r="O112" s="91" t="n">
        <f aca="false">SUM(P112:AA112)</f>
        <v>6.01922403713844</v>
      </c>
      <c r="P112" s="92" t="n">
        <f aca="false">IF(13&lt;'Assumption Setting'!$F$95,0,IFERROR(P73*'Assumption Setting'!$C$95/P104,0))</f>
        <v>0.328808903558266</v>
      </c>
      <c r="Q112" s="92" t="n">
        <f aca="false">IF(14&lt;'Assumption Setting'!$F$95,0,IFERROR(Q73*'Assumption Setting'!$C$95/Q104,0))</f>
        <v>0.328808903558266</v>
      </c>
      <c r="R112" s="92" t="n">
        <f aca="false">IF(15&lt;'Assumption Setting'!$F$95,0,IFERROR(R73*'Assumption Setting'!$C$95/R104,0))</f>
        <v>0.361689793914093</v>
      </c>
      <c r="S112" s="92" t="n">
        <f aca="false">IF(16&lt;'Assumption Setting'!$F$95,0,IFERROR(S73*'Assumption Setting'!$C$95/S104,0))</f>
        <v>0.555546270678646</v>
      </c>
      <c r="T112" s="92" t="n">
        <f aca="false">IF(17&lt;'Assumption Setting'!$F$95,0,IFERROR(T73*'Assumption Setting'!$C$95/T104,0))</f>
        <v>0.555546270678646</v>
      </c>
      <c r="U112" s="92" t="n">
        <f aca="false">IF(18&lt;'Assumption Setting'!$F$95,0,IFERROR(U73*'Assumption Setting'!$C$95/U104,0))</f>
        <v>0.555546270678646</v>
      </c>
      <c r="V112" s="92" t="n">
        <f aca="false">IF(19&lt;'Assumption Setting'!$F$95,0,IFERROR(V73*'Assumption Setting'!$C$95/V104,0))</f>
        <v>0.555546270678646</v>
      </c>
      <c r="W112" s="92" t="n">
        <f aca="false">IF(20&lt;'Assumption Setting'!$F$95,0,IFERROR(W73*'Assumption Setting'!$C$95/W104,0))</f>
        <v>0.555546270678646</v>
      </c>
      <c r="X112" s="92" t="n">
        <f aca="false">IF(21&lt;'Assumption Setting'!$F$95,0,IFERROR(X73*'Assumption Setting'!$C$95/X104,0))</f>
        <v>0.555546270678646</v>
      </c>
      <c r="Y112" s="92" t="n">
        <f aca="false">IF(22&lt;'Assumption Setting'!$F$95,0,IFERROR(Y73*'Assumption Setting'!$C$95/Y104,0))</f>
        <v>0.555546270678646</v>
      </c>
      <c r="Z112" s="92" t="n">
        <f aca="false">IF(23&lt;'Assumption Setting'!$F$95,0,IFERROR(Z73*'Assumption Setting'!$C$95/Z104,0))</f>
        <v>0.555546270678646</v>
      </c>
      <c r="AA112" s="92" t="n">
        <f aca="false">IF(24&lt;'Assumption Setting'!$F$95,0,IFERROR(AA73*'Assumption Setting'!$C$95/AA104,0))</f>
        <v>0.555546270678646</v>
      </c>
      <c r="AB112" s="91" t="n">
        <f aca="false">SUM(AC112:AN112)</f>
        <v>9.89775868119649</v>
      </c>
      <c r="AC112" s="92" t="n">
        <f aca="false">IF(25&lt;'Assumption Setting'!$F$95,0,IFERROR(AC73*'Assumption Setting'!$C$95/AC104,0))</f>
        <v>0.555546270678646</v>
      </c>
      <c r="AD112" s="92" t="n">
        <f aca="false">IF(26&lt;'Assumption Setting'!$F$95,0,IFERROR(AD73*'Assumption Setting'!$C$95/AD104,0))</f>
        <v>0.555546270678646</v>
      </c>
      <c r="AE112" s="92" t="n">
        <f aca="false">IF(27&lt;'Assumption Setting'!$F$95,0,IFERROR(AE73*'Assumption Setting'!$C$95/AE104,0))</f>
        <v>0.606050477103978</v>
      </c>
      <c r="AF112" s="92" t="n">
        <f aca="false">IF(28&lt;'Assumption Setting'!$F$95,0,IFERROR(AF73*'Assumption Setting'!$C$95/AF104,0))</f>
        <v>0.908957295859469</v>
      </c>
      <c r="AG112" s="92" t="n">
        <f aca="false">IF(29&lt;'Assumption Setting'!$F$95,0,IFERROR(AG73*'Assumption Setting'!$C$95/AG104,0))</f>
        <v>0.908957295859469</v>
      </c>
      <c r="AH112" s="92" t="n">
        <f aca="false">IF(30&lt;'Assumption Setting'!$F$95,0,IFERROR(AH73*'Assumption Setting'!$C$95/AH104,0))</f>
        <v>0.908957295859469</v>
      </c>
      <c r="AI112" s="92" t="n">
        <f aca="false">IF(31&lt;'Assumption Setting'!$F$95,0,IFERROR(AI73*'Assumption Setting'!$C$95/AI104,0))</f>
        <v>0.908957295859469</v>
      </c>
      <c r="AJ112" s="92" t="n">
        <f aca="false">IF(32&lt;'Assumption Setting'!$F$95,0,IFERROR(AJ73*'Assumption Setting'!$C$95/AJ104,0))</f>
        <v>0.908957295859469</v>
      </c>
      <c r="AK112" s="92" t="n">
        <f aca="false">IF(33&lt;'Assumption Setting'!$F$95,0,IFERROR(AK73*'Assumption Setting'!$C$95/AK104,0))</f>
        <v>0.908957295859469</v>
      </c>
      <c r="AL112" s="92" t="n">
        <f aca="false">IF(34&lt;'Assumption Setting'!$F$95,0,IFERROR(AL73*'Assumption Setting'!$C$95/AL104,0))</f>
        <v>0.908957295859469</v>
      </c>
      <c r="AM112" s="92" t="n">
        <f aca="false">IF(35&lt;'Assumption Setting'!$F$95,0,IFERROR(AM73*'Assumption Setting'!$C$95/AM104,0))</f>
        <v>0.908957295859469</v>
      </c>
      <c r="AN112" s="92" t="n">
        <f aca="false">IF(36&lt;'Assumption Setting'!$F$95,0,IFERROR(AN73*'Assumption Setting'!$C$95/AN104,0))</f>
        <v>0.908957295859469</v>
      </c>
      <c r="AO112" s="91" t="n">
        <f aca="false">SUM(AP112:BA112)</f>
        <v>13.8161266552367</v>
      </c>
      <c r="AP112" s="92" t="n">
        <f aca="false">IF(37&lt;'Assumption Setting'!$F$95,0,IFERROR(AP73*'Assumption Setting'!$C$95/AP104,0))</f>
        <v>0.908957295859469</v>
      </c>
      <c r="AQ112" s="92" t="n">
        <f aca="false">IF(38&lt;'Assumption Setting'!$F$95,0,IFERROR(AQ73*'Assumption Setting'!$C$95/AQ104,0))</f>
        <v>0.908957295859469</v>
      </c>
      <c r="AR112" s="92" t="n">
        <f aca="false">IF(39&lt;'Assumption Setting'!$F$95,0,IFERROR(AR73*'Assumption Setting'!$C$95/AR104,0))</f>
        <v>0.94683051652028</v>
      </c>
      <c r="AS112" s="92" t="n">
        <f aca="false">IF(40&lt;'Assumption Setting'!$F$95,0,IFERROR(AS73*'Assumption Setting'!$C$95/AS104,0))</f>
        <v>1.22793128299972</v>
      </c>
      <c r="AT112" s="92" t="n">
        <f aca="false">IF(41&lt;'Assumption Setting'!$F$95,0,IFERROR(AT73*'Assumption Setting'!$C$95/AT104,0))</f>
        <v>1.22793128299972</v>
      </c>
      <c r="AU112" s="92" t="n">
        <f aca="false">IF(42&lt;'Assumption Setting'!$F$95,0,IFERROR(AU73*'Assumption Setting'!$C$95/AU104,0))</f>
        <v>1.22793128299972</v>
      </c>
      <c r="AV112" s="92" t="n">
        <f aca="false">IF(43&lt;'Assumption Setting'!$F$95,0,IFERROR(AV73*'Assumption Setting'!$C$95/AV104,0))</f>
        <v>1.22793128299972</v>
      </c>
      <c r="AW112" s="92" t="n">
        <f aca="false">IF(44&lt;'Assumption Setting'!$F$95,0,IFERROR(AW73*'Assumption Setting'!$C$95/AW104,0))</f>
        <v>1.22793128299972</v>
      </c>
      <c r="AX112" s="92" t="n">
        <f aca="false">IF(45&lt;'Assumption Setting'!$F$95,0,IFERROR(AX73*'Assumption Setting'!$C$95/AX104,0))</f>
        <v>1.22793128299972</v>
      </c>
      <c r="AY112" s="92" t="n">
        <f aca="false">IF(46&lt;'Assumption Setting'!$F$95,0,IFERROR(AY73*'Assumption Setting'!$C$95/AY104,0))</f>
        <v>1.22793128299972</v>
      </c>
      <c r="AZ112" s="92" t="n">
        <f aca="false">IF(47&lt;'Assumption Setting'!$F$95,0,IFERROR(AZ73*'Assumption Setting'!$C$95/AZ104,0))</f>
        <v>1.22793128299972</v>
      </c>
      <c r="BA112" s="92" t="n">
        <f aca="false">IF(48&lt;'Assumption Setting'!$F$95,0,IFERROR(BA73*'Assumption Setting'!$C$95/BA104,0))</f>
        <v>1.22793128299972</v>
      </c>
      <c r="BB112" s="91" t="n">
        <f aca="false">SUM(BC112:BN112)</f>
        <v>17.8526037289481</v>
      </c>
      <c r="BC112" s="92" t="n">
        <f aca="false">IF(49&lt;'Assumption Setting'!$F$95,0,IFERROR(BC73*'Assumption Setting'!$C$95/BC104,0))</f>
        <v>1.22793128299972</v>
      </c>
      <c r="BD112" s="92" t="n">
        <f aca="false">IF(50&lt;'Assumption Setting'!$F$95,0,IFERROR(BD73*'Assumption Setting'!$C$95/BD104,0))</f>
        <v>1.22793128299972</v>
      </c>
      <c r="BE112" s="92" t="n">
        <f aca="false">IF(51&lt;'Assumption Setting'!$F$95,0,IFERROR(BE73*'Assumption Setting'!$C$95/BE104,0))</f>
        <v>1.27704853431971</v>
      </c>
      <c r="BF112" s="92" t="n">
        <f aca="false">IF(52&lt;'Assumption Setting'!$F$95,0,IFERROR(BF73*'Assumption Setting'!$C$95/BF104,0))</f>
        <v>1.56885473651433</v>
      </c>
      <c r="BG112" s="92" t="n">
        <f aca="false">IF(53&lt;'Assumption Setting'!$F$95,0,IFERROR(BG73*'Assumption Setting'!$C$95/BG104,0))</f>
        <v>1.56885473651433</v>
      </c>
      <c r="BH112" s="92" t="n">
        <f aca="false">IF(54&lt;'Assumption Setting'!$F$95,0,IFERROR(BH73*'Assumption Setting'!$C$95/BH104,0))</f>
        <v>1.56885473651433</v>
      </c>
      <c r="BI112" s="92" t="n">
        <f aca="false">IF(55&lt;'Assumption Setting'!$F$95,0,IFERROR(BI73*'Assumption Setting'!$C$95/BI104,0))</f>
        <v>1.56885473651433</v>
      </c>
      <c r="BJ112" s="92" t="n">
        <f aca="false">IF(56&lt;'Assumption Setting'!$F$95,0,IFERROR(BJ73*'Assumption Setting'!$C$95/BJ104,0))</f>
        <v>1.56885473651433</v>
      </c>
      <c r="BK112" s="92" t="n">
        <f aca="false">IF(57&lt;'Assumption Setting'!$F$95,0,IFERROR(BK73*'Assumption Setting'!$C$95/BK104,0))</f>
        <v>1.56885473651433</v>
      </c>
      <c r="BL112" s="92" t="n">
        <f aca="false">IF(58&lt;'Assumption Setting'!$F$95,0,IFERROR(BL73*'Assumption Setting'!$C$95/BL104,0))</f>
        <v>1.56885473651433</v>
      </c>
      <c r="BM112" s="92" t="n">
        <f aca="false">IF(59&lt;'Assumption Setting'!$F$95,0,IFERROR(BM73*'Assumption Setting'!$C$95/BM104,0))</f>
        <v>1.56885473651433</v>
      </c>
      <c r="BN112" s="92" t="n">
        <f aca="false">IF(60&lt;'Assumption Setting'!$F$95,0,IFERROR(BN73*'Assumption Setting'!$C$95/BN104,0))</f>
        <v>1.56885473651433</v>
      </c>
    </row>
    <row r="113" customFormat="false" ht="15" hidden="false" customHeight="false" outlineLevel="0" collapsed="false">
      <c r="A113" s="69" t="s">
        <v>631</v>
      </c>
      <c r="B113" s="91" t="n">
        <f aca="false">N113</f>
        <v>7.95928013202439</v>
      </c>
      <c r="C113" s="93" t="n">
        <f aca="false">C112</f>
        <v>2.5</v>
      </c>
      <c r="D113" s="93" t="n">
        <f aca="true">C113+D112-IF((2-'Assumption Setting'!$E$95)&lt;1,0,OFFSET($A$112,0,2+13*INT(((2-'Assumption Setting'!$E$95)-1)/12)+MOD((2-'Assumption Setting'!$E$95)-1,12)))</f>
        <v>4</v>
      </c>
      <c r="E113" s="93" t="n">
        <f aca="true">D113+E112-IF((3-'Assumption Setting'!$E$95)&lt;1,0,OFFSET($A$112,0,2+13*INT(((3-'Assumption Setting'!$E$95)-1)/12)+MOD((3-'Assumption Setting'!$E$95)-1,12)))</f>
        <v>5</v>
      </c>
      <c r="F113" s="93" t="n">
        <f aca="true">E113+F112-IF((4-'Assumption Setting'!$E$95)&lt;1,0,OFFSET($A$112,0,2+13*INT(((4-'Assumption Setting'!$E$95)-1)/12)+MOD((4-'Assumption Setting'!$E$95)-1,12)))</f>
        <v>5.32880890355827</v>
      </c>
      <c r="G113" s="93" t="n">
        <f aca="true">F113+G112-IF((5-'Assumption Setting'!$E$95)&lt;1,0,OFFSET($A$112,0,2+13*INT(((5-'Assumption Setting'!$E$95)-1)/12)+MOD((5-'Assumption Setting'!$E$95)-1,12)))</f>
        <v>5.65761780711653</v>
      </c>
      <c r="H113" s="93" t="n">
        <f aca="true">G113+H112-IF((6-'Assumption Setting'!$E$95)&lt;1,0,OFFSET($A$112,0,2+13*INT(((6-'Assumption Setting'!$E$95)-1)/12)+MOD((6-'Assumption Setting'!$E$95)-1,12)))</f>
        <v>5.9864267106748</v>
      </c>
      <c r="I113" s="93" t="n">
        <f aca="true">H113+I112-IF((7-'Assumption Setting'!$E$95)&lt;1,0,OFFSET($A$112,0,2+13*INT(((7-'Assumption Setting'!$E$95)-1)/12)+MOD((7-'Assumption Setting'!$E$95)-1,12)))</f>
        <v>6.31523561423306</v>
      </c>
      <c r="J113" s="93" t="n">
        <f aca="true">I113+J112-IF((8-'Assumption Setting'!$E$95)&lt;1,0,OFFSET($A$112,0,2+13*INT(((8-'Assumption Setting'!$E$95)-1)/12)+MOD((8-'Assumption Setting'!$E$95)-1,12)))</f>
        <v>6.64404451779133</v>
      </c>
      <c r="K113" s="93" t="n">
        <f aca="true">J113+K112-IF((9-'Assumption Setting'!$E$95)&lt;1,0,OFFSET($A$112,0,2+13*INT(((9-'Assumption Setting'!$E$95)-1)/12)+MOD((9-'Assumption Setting'!$E$95)-1,12)))</f>
        <v>6.9728534213496</v>
      </c>
      <c r="L113" s="93" t="n">
        <f aca="true">K113+L112-IF((10-'Assumption Setting'!$E$95)&lt;1,0,OFFSET($A$112,0,2+13*INT(((10-'Assumption Setting'!$E$95)-1)/12)+MOD((10-'Assumption Setting'!$E$95)-1,12)))</f>
        <v>7.30166232490786</v>
      </c>
      <c r="M113" s="93" t="n">
        <f aca="true">L113+M112-IF((11-'Assumption Setting'!$E$95)&lt;1,0,OFFSET($A$112,0,2+13*INT(((11-'Assumption Setting'!$E$95)-1)/12)+MOD((11-'Assumption Setting'!$E$95)-1,12)))</f>
        <v>7.63047122846613</v>
      </c>
      <c r="N113" s="93" t="n">
        <f aca="true">M113+N112-IF((12-'Assumption Setting'!$E$95)&lt;1,0,OFFSET($A$112,0,2+13*INT(((12-'Assumption Setting'!$E$95)-1)/12)+MOD((12-'Assumption Setting'!$E$95)-1,12)))</f>
        <v>7.95928013202439</v>
      </c>
      <c r="O113" s="91" t="n">
        <f aca="false">AA113</f>
        <v>6.01922403713844</v>
      </c>
      <c r="P113" s="93" t="n">
        <f aca="true">N113+P112-IF((13-'Assumption Setting'!$E$95)&lt;1,0,OFFSET($A$112,0,2+13*INT(((13-'Assumption Setting'!$E$95)-1)/12)+MOD((13-'Assumption Setting'!$E$95)-1,12)))</f>
        <v>5.78808903558266</v>
      </c>
      <c r="Q113" s="93" t="n">
        <f aca="true">P113+Q112-IF((14-'Assumption Setting'!$E$95)&lt;1,0,OFFSET($A$112,0,2+13*INT(((14-'Assumption Setting'!$E$95)-1)/12)+MOD((14-'Assumption Setting'!$E$95)-1,12)))</f>
        <v>4.61689793914093</v>
      </c>
      <c r="R113" s="93" t="n">
        <f aca="true">Q113+R112-IF((15-'Assumption Setting'!$E$95)&lt;1,0,OFFSET($A$112,0,2+13*INT(((15-'Assumption Setting'!$E$95)-1)/12)+MOD((15-'Assumption Setting'!$E$95)-1,12)))</f>
        <v>3.97858773305502</v>
      </c>
      <c r="S113" s="93" t="n">
        <f aca="true">R113+S112-IF((16-'Assumption Setting'!$E$95)&lt;1,0,OFFSET($A$112,0,2+13*INT(((16-'Assumption Setting'!$E$95)-1)/12)+MOD((16-'Assumption Setting'!$E$95)-1,12)))</f>
        <v>4.2053251001754</v>
      </c>
      <c r="T113" s="93" t="n">
        <f aca="true">S113+T112-IF((17-'Assumption Setting'!$E$95)&lt;1,0,OFFSET($A$112,0,2+13*INT(((17-'Assumption Setting'!$E$95)-1)/12)+MOD((17-'Assumption Setting'!$E$95)-1,12)))</f>
        <v>4.43206246729578</v>
      </c>
      <c r="U113" s="93" t="n">
        <f aca="true">T113+U112-IF((18-'Assumption Setting'!$E$95)&lt;1,0,OFFSET($A$112,0,2+13*INT(((18-'Assumption Setting'!$E$95)-1)/12)+MOD((18-'Assumption Setting'!$E$95)-1,12)))</f>
        <v>4.65879983441616</v>
      </c>
      <c r="V113" s="93" t="n">
        <f aca="true">U113+V112-IF((19-'Assumption Setting'!$E$95)&lt;1,0,OFFSET($A$112,0,2+13*INT(((19-'Assumption Setting'!$E$95)-1)/12)+MOD((19-'Assumption Setting'!$E$95)-1,12)))</f>
        <v>4.88553720153654</v>
      </c>
      <c r="W113" s="93" t="n">
        <f aca="true">V113+W112-IF((20-'Assumption Setting'!$E$95)&lt;1,0,OFFSET($A$112,0,2+13*INT(((20-'Assumption Setting'!$E$95)-1)/12)+MOD((20-'Assumption Setting'!$E$95)-1,12)))</f>
        <v>5.11227456865692</v>
      </c>
      <c r="X113" s="93" t="n">
        <f aca="true">W113+X112-IF((21-'Assumption Setting'!$E$95)&lt;1,0,OFFSET($A$112,0,2+13*INT(((21-'Assumption Setting'!$E$95)-1)/12)+MOD((21-'Assumption Setting'!$E$95)-1,12)))</f>
        <v>5.3390119357773</v>
      </c>
      <c r="Y113" s="93" t="n">
        <f aca="true">X113+Y112-IF((22-'Assumption Setting'!$E$95)&lt;1,0,OFFSET($A$112,0,2+13*INT(((22-'Assumption Setting'!$E$95)-1)/12)+MOD((22-'Assumption Setting'!$E$95)-1,12)))</f>
        <v>5.56574930289768</v>
      </c>
      <c r="Z113" s="93" t="n">
        <f aca="true">Y113+Z112-IF((23-'Assumption Setting'!$E$95)&lt;1,0,OFFSET($A$112,0,2+13*INT(((23-'Assumption Setting'!$E$95)-1)/12)+MOD((23-'Assumption Setting'!$E$95)-1,12)))</f>
        <v>5.79248667001806</v>
      </c>
      <c r="AA113" s="93" t="n">
        <f aca="true">Z113+AA112-IF((24-'Assumption Setting'!$E$95)&lt;1,0,OFFSET($A$112,0,2+13*INT(((24-'Assumption Setting'!$E$95)-1)/12)+MOD((24-'Assumption Setting'!$E$95)-1,12)))</f>
        <v>6.01922403713844</v>
      </c>
      <c r="AB113" s="91" t="n">
        <f aca="false">AN113</f>
        <v>9.89775868119649</v>
      </c>
      <c r="AC113" s="93" t="n">
        <f aca="true">AA113+AC112-IF((25-'Assumption Setting'!$E$95)&lt;1,0,OFFSET($A$112,0,2+13*INT(((25-'Assumption Setting'!$E$95)-1)/12)+MOD((25-'Assumption Setting'!$E$95)-1,12)))</f>
        <v>6.24596140425882</v>
      </c>
      <c r="AD113" s="93" t="n">
        <f aca="true">AC113+AD112-IF((26-'Assumption Setting'!$E$95)&lt;1,0,OFFSET($A$112,0,2+13*INT(((26-'Assumption Setting'!$E$95)-1)/12)+MOD((26-'Assumption Setting'!$E$95)-1,12)))</f>
        <v>6.4726987713792</v>
      </c>
      <c r="AE113" s="93" t="n">
        <f aca="true">AD113+AE112-IF((27-'Assumption Setting'!$E$95)&lt;1,0,OFFSET($A$112,0,2+13*INT(((27-'Assumption Setting'!$E$95)-1)/12)+MOD((27-'Assumption Setting'!$E$95)-1,12)))</f>
        <v>6.71705945456909</v>
      </c>
      <c r="AF113" s="93" t="n">
        <f aca="true">AE113+AF112-IF((28-'Assumption Setting'!$E$95)&lt;1,0,OFFSET($A$112,0,2+13*INT(((28-'Assumption Setting'!$E$95)-1)/12)+MOD((28-'Assumption Setting'!$E$95)-1,12)))</f>
        <v>7.07047047974991</v>
      </c>
      <c r="AG113" s="93" t="n">
        <f aca="true">AF113+AG112-IF((29-'Assumption Setting'!$E$95)&lt;1,0,OFFSET($A$112,0,2+13*INT(((29-'Assumption Setting'!$E$95)-1)/12)+MOD((29-'Assumption Setting'!$E$95)-1,12)))</f>
        <v>7.42388150493073</v>
      </c>
      <c r="AH113" s="93" t="n">
        <f aca="true">AG113+AH112-IF((30-'Assumption Setting'!$E$95)&lt;1,0,OFFSET($A$112,0,2+13*INT(((30-'Assumption Setting'!$E$95)-1)/12)+MOD((30-'Assumption Setting'!$E$95)-1,12)))</f>
        <v>7.77729253011155</v>
      </c>
      <c r="AI113" s="93" t="n">
        <f aca="true">AH113+AI112-IF((31-'Assumption Setting'!$E$95)&lt;1,0,OFFSET($A$112,0,2+13*INT(((31-'Assumption Setting'!$E$95)-1)/12)+MOD((31-'Assumption Setting'!$E$95)-1,12)))</f>
        <v>8.13070355529237</v>
      </c>
      <c r="AJ113" s="93" t="n">
        <f aca="true">AI113+AJ112-IF((32-'Assumption Setting'!$E$95)&lt;1,0,OFFSET($A$112,0,2+13*INT(((32-'Assumption Setting'!$E$95)-1)/12)+MOD((32-'Assumption Setting'!$E$95)-1,12)))</f>
        <v>8.4841145804732</v>
      </c>
      <c r="AK113" s="93" t="n">
        <f aca="true">AJ113+AK112-IF((33-'Assumption Setting'!$E$95)&lt;1,0,OFFSET($A$112,0,2+13*INT(((33-'Assumption Setting'!$E$95)-1)/12)+MOD((33-'Assumption Setting'!$E$95)-1,12)))</f>
        <v>8.83752560565402</v>
      </c>
      <c r="AL113" s="93" t="n">
        <f aca="true">AK113+AL112-IF((34-'Assumption Setting'!$E$95)&lt;1,0,OFFSET($A$112,0,2+13*INT(((34-'Assumption Setting'!$E$95)-1)/12)+MOD((34-'Assumption Setting'!$E$95)-1,12)))</f>
        <v>9.19093663083484</v>
      </c>
      <c r="AM113" s="93" t="n">
        <f aca="true">AL113+AM112-IF((35-'Assumption Setting'!$E$95)&lt;1,0,OFFSET($A$112,0,2+13*INT(((35-'Assumption Setting'!$E$95)-1)/12)+MOD((35-'Assumption Setting'!$E$95)-1,12)))</f>
        <v>9.54434765601566</v>
      </c>
      <c r="AN113" s="93" t="n">
        <f aca="true">AM113+AN112-IF((36-'Assumption Setting'!$E$95)&lt;1,0,OFFSET($A$112,0,2+13*INT(((36-'Assumption Setting'!$E$95)-1)/12)+MOD((36-'Assumption Setting'!$E$95)-1,12)))</f>
        <v>9.89775868119649</v>
      </c>
      <c r="AO113" s="91" t="n">
        <f aca="false">BA113</f>
        <v>13.8161266552367</v>
      </c>
      <c r="AP113" s="93" t="n">
        <f aca="true">AN113+AP112-IF((37-'Assumption Setting'!$E$95)&lt;1,0,OFFSET($A$112,0,2+13*INT(((37-'Assumption Setting'!$E$95)-1)/12)+MOD((37-'Assumption Setting'!$E$95)-1,12)))</f>
        <v>10.2511697063773</v>
      </c>
      <c r="AQ113" s="93" t="n">
        <f aca="true">AP113+AQ112-IF((38-'Assumption Setting'!$E$95)&lt;1,0,OFFSET($A$112,0,2+13*INT(((38-'Assumption Setting'!$E$95)-1)/12)+MOD((38-'Assumption Setting'!$E$95)-1,12)))</f>
        <v>10.6045807315581</v>
      </c>
      <c r="AR113" s="93" t="n">
        <f aca="true">AQ113+AR112-IF((39-'Assumption Setting'!$E$95)&lt;1,0,OFFSET($A$112,0,2+13*INT(((39-'Assumption Setting'!$E$95)-1)/12)+MOD((39-'Assumption Setting'!$E$95)-1,12)))</f>
        <v>10.9453607709744</v>
      </c>
      <c r="AS113" s="93" t="n">
        <f aca="true">AR113+AS112-IF((40-'Assumption Setting'!$E$95)&lt;1,0,OFFSET($A$112,0,2+13*INT(((40-'Assumption Setting'!$E$95)-1)/12)+MOD((40-'Assumption Setting'!$E$95)-1,12)))</f>
        <v>11.2643347581147</v>
      </c>
      <c r="AT113" s="93" t="n">
        <f aca="true">AS113+AT112-IF((41-'Assumption Setting'!$E$95)&lt;1,0,OFFSET($A$112,0,2+13*INT(((41-'Assumption Setting'!$E$95)-1)/12)+MOD((41-'Assumption Setting'!$E$95)-1,12)))</f>
        <v>11.5833087452549</v>
      </c>
      <c r="AU113" s="93" t="n">
        <f aca="true">AT113+AU112-IF((42-'Assumption Setting'!$E$95)&lt;1,0,OFFSET($A$112,0,2+13*INT(((42-'Assumption Setting'!$E$95)-1)/12)+MOD((42-'Assumption Setting'!$E$95)-1,12)))</f>
        <v>11.9022827323952</v>
      </c>
      <c r="AV113" s="93" t="n">
        <f aca="true">AU113+AV112-IF((43-'Assumption Setting'!$E$95)&lt;1,0,OFFSET($A$112,0,2+13*INT(((43-'Assumption Setting'!$E$95)-1)/12)+MOD((43-'Assumption Setting'!$E$95)-1,12)))</f>
        <v>12.2212567195354</v>
      </c>
      <c r="AW113" s="93" t="n">
        <f aca="true">AV113+AW112-IF((44-'Assumption Setting'!$E$95)&lt;1,0,OFFSET($A$112,0,2+13*INT(((44-'Assumption Setting'!$E$95)-1)/12)+MOD((44-'Assumption Setting'!$E$95)-1,12)))</f>
        <v>12.5402307066757</v>
      </c>
      <c r="AX113" s="93" t="n">
        <f aca="true">AW113+AX112-IF((45-'Assumption Setting'!$E$95)&lt;1,0,OFFSET($A$112,0,2+13*INT(((45-'Assumption Setting'!$E$95)-1)/12)+MOD((45-'Assumption Setting'!$E$95)-1,12)))</f>
        <v>12.8592046938159</v>
      </c>
      <c r="AY113" s="93" t="n">
        <f aca="true">AX113+AY112-IF((46-'Assumption Setting'!$E$95)&lt;1,0,OFFSET($A$112,0,2+13*INT(((46-'Assumption Setting'!$E$95)-1)/12)+MOD((46-'Assumption Setting'!$E$95)-1,12)))</f>
        <v>13.1781786809562</v>
      </c>
      <c r="AZ113" s="93" t="n">
        <f aca="true">AY113+AZ112-IF((47-'Assumption Setting'!$E$95)&lt;1,0,OFFSET($A$112,0,2+13*INT(((47-'Assumption Setting'!$E$95)-1)/12)+MOD((47-'Assumption Setting'!$E$95)-1,12)))</f>
        <v>13.4971526680964</v>
      </c>
      <c r="BA113" s="93" t="n">
        <f aca="true">AZ113+BA112-IF((48-'Assumption Setting'!$E$95)&lt;1,0,OFFSET($A$112,0,2+13*INT(((48-'Assumption Setting'!$E$95)-1)/12)+MOD((48-'Assumption Setting'!$E$95)-1,12)))</f>
        <v>13.8161266552367</v>
      </c>
      <c r="BB113" s="91" t="n">
        <f aca="false">BN113</f>
        <v>17.8526037289481</v>
      </c>
      <c r="BC113" s="93" t="n">
        <f aca="true">BA113+BC112-IF((49-'Assumption Setting'!$E$95)&lt;1,0,OFFSET($A$112,0,2+13*INT(((49-'Assumption Setting'!$E$95)-1)/12)+MOD((49-'Assumption Setting'!$E$95)-1,12)))</f>
        <v>14.135100642377</v>
      </c>
      <c r="BD113" s="93" t="n">
        <f aca="true">BC113+BD112-IF((50-'Assumption Setting'!$E$95)&lt;1,0,OFFSET($A$112,0,2+13*INT(((50-'Assumption Setting'!$E$95)-1)/12)+MOD((50-'Assumption Setting'!$E$95)-1,12)))</f>
        <v>14.4540746295172</v>
      </c>
      <c r="BE113" s="93" t="n">
        <f aca="true">BD113+BE112-IF((51-'Assumption Setting'!$E$95)&lt;1,0,OFFSET($A$112,0,2+13*INT(((51-'Assumption Setting'!$E$95)-1)/12)+MOD((51-'Assumption Setting'!$E$95)-1,12)))</f>
        <v>14.7842926473166</v>
      </c>
      <c r="BF113" s="93" t="n">
        <f aca="true">BE113+BF112-IF((52-'Assumption Setting'!$E$95)&lt;1,0,OFFSET($A$112,0,2+13*INT(((52-'Assumption Setting'!$E$95)-1)/12)+MOD((52-'Assumption Setting'!$E$95)-1,12)))</f>
        <v>15.1252161008312</v>
      </c>
      <c r="BG113" s="93" t="n">
        <f aca="true">BF113+BG112-IF((53-'Assumption Setting'!$E$95)&lt;1,0,OFFSET($A$112,0,2+13*INT(((53-'Assumption Setting'!$E$95)-1)/12)+MOD((53-'Assumption Setting'!$E$95)-1,12)))</f>
        <v>15.4661395543458</v>
      </c>
      <c r="BH113" s="93" t="n">
        <f aca="true">BG113+BH112-IF((54-'Assumption Setting'!$E$95)&lt;1,0,OFFSET($A$112,0,2+13*INT(((54-'Assumption Setting'!$E$95)-1)/12)+MOD((54-'Assumption Setting'!$E$95)-1,12)))</f>
        <v>15.8070630078605</v>
      </c>
      <c r="BI113" s="93" t="n">
        <f aca="true">BH113+BI112-IF((55-'Assumption Setting'!$E$95)&lt;1,0,OFFSET($A$112,0,2+13*INT(((55-'Assumption Setting'!$E$95)-1)/12)+MOD((55-'Assumption Setting'!$E$95)-1,12)))</f>
        <v>16.1479864613751</v>
      </c>
      <c r="BJ113" s="93" t="n">
        <f aca="true">BI113+BJ112-IF((56-'Assumption Setting'!$E$95)&lt;1,0,OFFSET($A$112,0,2+13*INT(((56-'Assumption Setting'!$E$95)-1)/12)+MOD((56-'Assumption Setting'!$E$95)-1,12)))</f>
        <v>16.4889099148897</v>
      </c>
      <c r="BK113" s="93" t="n">
        <f aca="true">BJ113+BK112-IF((57-'Assumption Setting'!$E$95)&lt;1,0,OFFSET($A$112,0,2+13*INT(((57-'Assumption Setting'!$E$95)-1)/12)+MOD((57-'Assumption Setting'!$E$95)-1,12)))</f>
        <v>16.8298333684043</v>
      </c>
      <c r="BL113" s="93" t="n">
        <f aca="true">BK113+BL112-IF((58-'Assumption Setting'!$E$95)&lt;1,0,OFFSET($A$112,0,2+13*INT(((58-'Assumption Setting'!$E$95)-1)/12)+MOD((58-'Assumption Setting'!$E$95)-1,12)))</f>
        <v>17.1707568219189</v>
      </c>
      <c r="BM113" s="93" t="n">
        <f aca="true">BL113+BM112-IF((59-'Assumption Setting'!$E$95)&lt;1,0,OFFSET($A$112,0,2+13*INT(((59-'Assumption Setting'!$E$95)-1)/12)+MOD((59-'Assumption Setting'!$E$95)-1,12)))</f>
        <v>17.5116802754335</v>
      </c>
      <c r="BN113" s="93" t="n">
        <f aca="true">BM113+BN112-IF((60-'Assumption Setting'!$E$95)&lt;1,0,OFFSET($A$112,0,2+13*INT(((60-'Assumption Setting'!$E$95)-1)/12)+MOD((60-'Assumption Setting'!$E$95)-1,12)))</f>
        <v>17.8526037289481</v>
      </c>
    </row>
    <row r="114" customFormat="false" ht="15" hidden="false" customHeight="false" outlineLevel="0" collapsed="false">
      <c r="A114" s="12" t="s">
        <v>632</v>
      </c>
      <c r="B114" s="91" t="n">
        <f aca="false">SUM(C114:N114)</f>
        <v>0.710227231685854</v>
      </c>
      <c r="C114" s="92" t="n">
        <f aca="false">IF(1&lt;'Assumption Setting'!$F$96,0,IFERROR(C73*'Assumption Setting'!$C$96/C104,0))</f>
        <v>0</v>
      </c>
      <c r="D114" s="92" t="n">
        <f aca="false">IF(2&lt;'Assumption Setting'!$F$96,0,IFERROR(D73*'Assumption Setting'!$C$96/D104,0))</f>
        <v>0</v>
      </c>
      <c r="E114" s="92" t="n">
        <f aca="false">IF(3&lt;'Assumption Setting'!$F$96,0,IFERROR(E73*'Assumption Setting'!$C$96/E104,0))</f>
        <v>0</v>
      </c>
      <c r="F114" s="92" t="n">
        <f aca="false">IF(4&lt;'Assumption Setting'!$F$96,0,IFERROR(F73*'Assumption Setting'!$C$96/F104,0))</f>
        <v>0.0789141368539838</v>
      </c>
      <c r="G114" s="92" t="n">
        <f aca="false">IF(5&lt;'Assumption Setting'!$F$96,0,IFERROR(G73*'Assumption Setting'!$C$96/G104,0))</f>
        <v>0.0789141368539838</v>
      </c>
      <c r="H114" s="92" t="n">
        <f aca="false">IF(6&lt;'Assumption Setting'!$F$96,0,IFERROR(H73*'Assumption Setting'!$C$96/H104,0))</f>
        <v>0.0789141368539838</v>
      </c>
      <c r="I114" s="92" t="n">
        <f aca="false">IF(7&lt;'Assumption Setting'!$F$96,0,IFERROR(I73*'Assumption Setting'!$C$96/I104,0))</f>
        <v>0.0789141368539838</v>
      </c>
      <c r="J114" s="92" t="n">
        <f aca="false">IF(8&lt;'Assumption Setting'!$F$96,0,IFERROR(J73*'Assumption Setting'!$C$96/J104,0))</f>
        <v>0.0789141368539838</v>
      </c>
      <c r="K114" s="92" t="n">
        <f aca="false">IF(9&lt;'Assumption Setting'!$F$96,0,IFERROR(K73*'Assumption Setting'!$C$96/K104,0))</f>
        <v>0.0789141368539838</v>
      </c>
      <c r="L114" s="92" t="n">
        <f aca="false">IF(10&lt;'Assumption Setting'!$F$96,0,IFERROR(L73*'Assumption Setting'!$C$96/L104,0))</f>
        <v>0.0789141368539838</v>
      </c>
      <c r="M114" s="92" t="n">
        <f aca="false">IF(11&lt;'Assumption Setting'!$F$96,0,IFERROR(M73*'Assumption Setting'!$C$96/M104,0))</f>
        <v>0.0789141368539838</v>
      </c>
      <c r="N114" s="92" t="n">
        <f aca="false">IF(12&lt;'Assumption Setting'!$F$96,0,IFERROR(N73*'Assumption Setting'!$C$96/N104,0))</f>
        <v>0.0789141368539838</v>
      </c>
      <c r="O114" s="91" t="n">
        <f aca="false">SUM(P114:AA114)</f>
        <v>1.44461376891323</v>
      </c>
      <c r="P114" s="92" t="n">
        <f aca="false">IF(13&lt;'Assumption Setting'!$F$96,0,IFERROR(P73*'Assumption Setting'!$C$96/P104,0))</f>
        <v>0.0789141368539838</v>
      </c>
      <c r="Q114" s="92" t="n">
        <f aca="false">IF(14&lt;'Assumption Setting'!$F$96,0,IFERROR(Q73*'Assumption Setting'!$C$96/Q104,0))</f>
        <v>0.0789141368539838</v>
      </c>
      <c r="R114" s="92" t="n">
        <f aca="false">IF(15&lt;'Assumption Setting'!$F$96,0,IFERROR(R73*'Assumption Setting'!$C$96/R104,0))</f>
        <v>0.0868055505393822</v>
      </c>
      <c r="S114" s="92" t="n">
        <f aca="false">IF(16&lt;'Assumption Setting'!$F$96,0,IFERROR(S73*'Assumption Setting'!$C$96/S104,0))</f>
        <v>0.133331104962875</v>
      </c>
      <c r="T114" s="92" t="n">
        <f aca="false">IF(17&lt;'Assumption Setting'!$F$96,0,IFERROR(T73*'Assumption Setting'!$C$96/T104,0))</f>
        <v>0.133331104962875</v>
      </c>
      <c r="U114" s="92" t="n">
        <f aca="false">IF(18&lt;'Assumption Setting'!$F$96,0,IFERROR(U73*'Assumption Setting'!$C$96/U104,0))</f>
        <v>0.133331104962875</v>
      </c>
      <c r="V114" s="92" t="n">
        <f aca="false">IF(19&lt;'Assumption Setting'!$F$96,0,IFERROR(V73*'Assumption Setting'!$C$96/V104,0))</f>
        <v>0.133331104962875</v>
      </c>
      <c r="W114" s="92" t="n">
        <f aca="false">IF(20&lt;'Assumption Setting'!$F$96,0,IFERROR(W73*'Assumption Setting'!$C$96/W104,0))</f>
        <v>0.133331104962875</v>
      </c>
      <c r="X114" s="92" t="n">
        <f aca="false">IF(21&lt;'Assumption Setting'!$F$96,0,IFERROR(X73*'Assumption Setting'!$C$96/X104,0))</f>
        <v>0.133331104962875</v>
      </c>
      <c r="Y114" s="92" t="n">
        <f aca="false">IF(22&lt;'Assumption Setting'!$F$96,0,IFERROR(Y73*'Assumption Setting'!$C$96/Y104,0))</f>
        <v>0.133331104962875</v>
      </c>
      <c r="Z114" s="92" t="n">
        <f aca="false">IF(23&lt;'Assumption Setting'!$F$96,0,IFERROR(Z73*'Assumption Setting'!$C$96/Z104,0))</f>
        <v>0.133331104962875</v>
      </c>
      <c r="AA114" s="92" t="n">
        <f aca="false">IF(24&lt;'Assumption Setting'!$F$96,0,IFERROR(AA73*'Assumption Setting'!$C$96/AA104,0))</f>
        <v>0.133331104962875</v>
      </c>
      <c r="AB114" s="91" t="n">
        <f aca="false">SUM(AC114:AN114)</f>
        <v>2.37546208348716</v>
      </c>
      <c r="AC114" s="92" t="n">
        <f aca="false">IF(25&lt;'Assumption Setting'!$F$96,0,IFERROR(AC73*'Assumption Setting'!$C$96/AC104,0))</f>
        <v>0.133331104962875</v>
      </c>
      <c r="AD114" s="92" t="n">
        <f aca="false">IF(26&lt;'Assumption Setting'!$F$96,0,IFERROR(AD73*'Assumption Setting'!$C$96/AD104,0))</f>
        <v>0.133331104962875</v>
      </c>
      <c r="AE114" s="92" t="n">
        <f aca="false">IF(27&lt;'Assumption Setting'!$F$96,0,IFERROR(AE73*'Assumption Setting'!$C$96/AE104,0))</f>
        <v>0.145452114504955</v>
      </c>
      <c r="AF114" s="92" t="n">
        <f aca="false">IF(28&lt;'Assumption Setting'!$F$96,0,IFERROR(AF73*'Assumption Setting'!$C$96/AF104,0))</f>
        <v>0.218149751006273</v>
      </c>
      <c r="AG114" s="92" t="n">
        <f aca="false">IF(29&lt;'Assumption Setting'!$F$96,0,IFERROR(AG73*'Assumption Setting'!$C$96/AG104,0))</f>
        <v>0.218149751006273</v>
      </c>
      <c r="AH114" s="92" t="n">
        <f aca="false">IF(30&lt;'Assumption Setting'!$F$96,0,IFERROR(AH73*'Assumption Setting'!$C$96/AH104,0))</f>
        <v>0.218149751006273</v>
      </c>
      <c r="AI114" s="92" t="n">
        <f aca="false">IF(31&lt;'Assumption Setting'!$F$96,0,IFERROR(AI73*'Assumption Setting'!$C$96/AI104,0))</f>
        <v>0.218149751006273</v>
      </c>
      <c r="AJ114" s="92" t="n">
        <f aca="false">IF(32&lt;'Assumption Setting'!$F$96,0,IFERROR(AJ73*'Assumption Setting'!$C$96/AJ104,0))</f>
        <v>0.218149751006273</v>
      </c>
      <c r="AK114" s="92" t="n">
        <f aca="false">IF(33&lt;'Assumption Setting'!$F$96,0,IFERROR(AK73*'Assumption Setting'!$C$96/AK104,0))</f>
        <v>0.218149751006273</v>
      </c>
      <c r="AL114" s="92" t="n">
        <f aca="false">IF(34&lt;'Assumption Setting'!$F$96,0,IFERROR(AL73*'Assumption Setting'!$C$96/AL104,0))</f>
        <v>0.218149751006273</v>
      </c>
      <c r="AM114" s="92" t="n">
        <f aca="false">IF(35&lt;'Assumption Setting'!$F$96,0,IFERROR(AM73*'Assumption Setting'!$C$96/AM104,0))</f>
        <v>0.218149751006273</v>
      </c>
      <c r="AN114" s="92" t="n">
        <f aca="false">IF(36&lt;'Assumption Setting'!$F$96,0,IFERROR(AN73*'Assumption Setting'!$C$96/AN104,0))</f>
        <v>0.218149751006273</v>
      </c>
      <c r="AO114" s="91" t="n">
        <f aca="false">SUM(AP114:BA114)</f>
        <v>3.31587039725681</v>
      </c>
      <c r="AP114" s="92" t="n">
        <f aca="false">IF(37&lt;'Assumption Setting'!$F$96,0,IFERROR(AP73*'Assumption Setting'!$C$96/AP104,0))</f>
        <v>0.218149751006273</v>
      </c>
      <c r="AQ114" s="92" t="n">
        <f aca="false">IF(38&lt;'Assumption Setting'!$F$96,0,IFERROR(AQ73*'Assumption Setting'!$C$96/AQ104,0))</f>
        <v>0.218149751006273</v>
      </c>
      <c r="AR114" s="92" t="n">
        <f aca="false">IF(39&lt;'Assumption Setting'!$F$96,0,IFERROR(AR73*'Assumption Setting'!$C$96/AR104,0))</f>
        <v>0.227239323964867</v>
      </c>
      <c r="AS114" s="92" t="n">
        <f aca="false">IF(40&lt;'Assumption Setting'!$F$96,0,IFERROR(AS73*'Assumption Setting'!$C$96/AS104,0))</f>
        <v>0.294703507919933</v>
      </c>
      <c r="AT114" s="92" t="n">
        <f aca="false">IF(41&lt;'Assumption Setting'!$F$96,0,IFERROR(AT73*'Assumption Setting'!$C$96/AT104,0))</f>
        <v>0.294703507919933</v>
      </c>
      <c r="AU114" s="92" t="n">
        <f aca="false">IF(42&lt;'Assumption Setting'!$F$96,0,IFERROR(AU73*'Assumption Setting'!$C$96/AU104,0))</f>
        <v>0.294703507919933</v>
      </c>
      <c r="AV114" s="92" t="n">
        <f aca="false">IF(43&lt;'Assumption Setting'!$F$96,0,IFERROR(AV73*'Assumption Setting'!$C$96/AV104,0))</f>
        <v>0.294703507919933</v>
      </c>
      <c r="AW114" s="92" t="n">
        <f aca="false">IF(44&lt;'Assumption Setting'!$F$96,0,IFERROR(AW73*'Assumption Setting'!$C$96/AW104,0))</f>
        <v>0.294703507919933</v>
      </c>
      <c r="AX114" s="92" t="n">
        <f aca="false">IF(45&lt;'Assumption Setting'!$F$96,0,IFERROR(AX73*'Assumption Setting'!$C$96/AX104,0))</f>
        <v>0.294703507919933</v>
      </c>
      <c r="AY114" s="92" t="n">
        <f aca="false">IF(46&lt;'Assumption Setting'!$F$96,0,IFERROR(AY73*'Assumption Setting'!$C$96/AY104,0))</f>
        <v>0.294703507919933</v>
      </c>
      <c r="AZ114" s="92" t="n">
        <f aca="false">IF(47&lt;'Assumption Setting'!$F$96,0,IFERROR(AZ73*'Assumption Setting'!$C$96/AZ104,0))</f>
        <v>0.294703507919933</v>
      </c>
      <c r="BA114" s="92" t="n">
        <f aca="false">IF(48&lt;'Assumption Setting'!$F$96,0,IFERROR(BA73*'Assumption Setting'!$C$96/BA104,0))</f>
        <v>0.294703507919933</v>
      </c>
      <c r="BB114" s="91" t="n">
        <f aca="false">SUM(BC114:BN114)</f>
        <v>4.28462489494754</v>
      </c>
      <c r="BC114" s="92" t="n">
        <f aca="false">IF(49&lt;'Assumption Setting'!$F$96,0,IFERROR(BC73*'Assumption Setting'!$C$96/BC104,0))</f>
        <v>0.294703507919933</v>
      </c>
      <c r="BD114" s="92" t="n">
        <f aca="false">IF(50&lt;'Assumption Setting'!$F$96,0,IFERROR(BD73*'Assumption Setting'!$C$96/BD104,0))</f>
        <v>0.294703507919933</v>
      </c>
      <c r="BE114" s="92" t="n">
        <f aca="false">IF(51&lt;'Assumption Setting'!$F$96,0,IFERROR(BE73*'Assumption Setting'!$C$96/BE104,0))</f>
        <v>0.30649164823673</v>
      </c>
      <c r="BF114" s="92" t="n">
        <f aca="false">IF(52&lt;'Assumption Setting'!$F$96,0,IFERROR(BF73*'Assumption Setting'!$C$96/BF104,0))</f>
        <v>0.376525136763439</v>
      </c>
      <c r="BG114" s="92" t="n">
        <f aca="false">IF(53&lt;'Assumption Setting'!$F$96,0,IFERROR(BG73*'Assumption Setting'!$C$96/BG104,0))</f>
        <v>0.376525136763439</v>
      </c>
      <c r="BH114" s="92" t="n">
        <f aca="false">IF(54&lt;'Assumption Setting'!$F$96,0,IFERROR(BH73*'Assumption Setting'!$C$96/BH104,0))</f>
        <v>0.376525136763439</v>
      </c>
      <c r="BI114" s="92" t="n">
        <f aca="false">IF(55&lt;'Assumption Setting'!$F$96,0,IFERROR(BI73*'Assumption Setting'!$C$96/BI104,0))</f>
        <v>0.376525136763439</v>
      </c>
      <c r="BJ114" s="92" t="n">
        <f aca="false">IF(56&lt;'Assumption Setting'!$F$96,0,IFERROR(BJ73*'Assumption Setting'!$C$96/BJ104,0))</f>
        <v>0.376525136763439</v>
      </c>
      <c r="BK114" s="92" t="n">
        <f aca="false">IF(57&lt;'Assumption Setting'!$F$96,0,IFERROR(BK73*'Assumption Setting'!$C$96/BK104,0))</f>
        <v>0.376525136763439</v>
      </c>
      <c r="BL114" s="92" t="n">
        <f aca="false">IF(58&lt;'Assumption Setting'!$F$96,0,IFERROR(BL73*'Assumption Setting'!$C$96/BL104,0))</f>
        <v>0.376525136763439</v>
      </c>
      <c r="BM114" s="92" t="n">
        <f aca="false">IF(59&lt;'Assumption Setting'!$F$96,0,IFERROR(BM73*'Assumption Setting'!$C$96/BM104,0))</f>
        <v>0.376525136763439</v>
      </c>
      <c r="BN114" s="92" t="n">
        <f aca="false">IF(60&lt;'Assumption Setting'!$F$96,0,IFERROR(BN73*'Assumption Setting'!$C$96/BN104,0))</f>
        <v>0.376525136763439</v>
      </c>
    </row>
    <row r="115" customFormat="false" ht="15" hidden="false" customHeight="false" outlineLevel="0" collapsed="false">
      <c r="A115" s="69" t="s">
        <v>633</v>
      </c>
      <c r="B115" s="91" t="n">
        <f aca="false">N115</f>
        <v>0.710227231685854</v>
      </c>
      <c r="C115" s="93" t="n">
        <f aca="false">C114</f>
        <v>0</v>
      </c>
      <c r="D115" s="93" t="n">
        <f aca="true">C115+D114-IF((2-'Assumption Setting'!$E$96)&lt;1,0,OFFSET($A$114,0,2+13*INT(((2-'Assumption Setting'!$E$96)-1)/12)+MOD((2-'Assumption Setting'!$E$96)-1,12)))</f>
        <v>0</v>
      </c>
      <c r="E115" s="93" t="n">
        <f aca="true">D115+E114-IF((3-'Assumption Setting'!$E$96)&lt;1,0,OFFSET($A$114,0,2+13*INT(((3-'Assumption Setting'!$E$96)-1)/12)+MOD((3-'Assumption Setting'!$E$96)-1,12)))</f>
        <v>0</v>
      </c>
      <c r="F115" s="93" t="n">
        <f aca="true">E115+F114-IF((4-'Assumption Setting'!$E$96)&lt;1,0,OFFSET($A$114,0,2+13*INT(((4-'Assumption Setting'!$E$96)-1)/12)+MOD((4-'Assumption Setting'!$E$96)-1,12)))</f>
        <v>0.0789141368539838</v>
      </c>
      <c r="G115" s="93" t="n">
        <f aca="true">F115+G114-IF((5-'Assumption Setting'!$E$96)&lt;1,0,OFFSET($A$114,0,2+13*INT(((5-'Assumption Setting'!$E$96)-1)/12)+MOD((5-'Assumption Setting'!$E$96)-1,12)))</f>
        <v>0.157828273707968</v>
      </c>
      <c r="H115" s="93" t="n">
        <f aca="true">G115+H114-IF((6-'Assumption Setting'!$E$96)&lt;1,0,OFFSET($A$114,0,2+13*INT(((6-'Assumption Setting'!$E$96)-1)/12)+MOD((6-'Assumption Setting'!$E$96)-1,12)))</f>
        <v>0.236742410561951</v>
      </c>
      <c r="I115" s="93" t="n">
        <f aca="true">H115+I114-IF((7-'Assumption Setting'!$E$96)&lt;1,0,OFFSET($A$114,0,2+13*INT(((7-'Assumption Setting'!$E$96)-1)/12)+MOD((7-'Assumption Setting'!$E$96)-1,12)))</f>
        <v>0.315656547415935</v>
      </c>
      <c r="J115" s="93" t="n">
        <f aca="true">I115+J114-IF((8-'Assumption Setting'!$E$96)&lt;1,0,OFFSET($A$114,0,2+13*INT(((8-'Assumption Setting'!$E$96)-1)/12)+MOD((8-'Assumption Setting'!$E$96)-1,12)))</f>
        <v>0.394570684269919</v>
      </c>
      <c r="K115" s="93" t="n">
        <f aca="true">J115+K114-IF((9-'Assumption Setting'!$E$96)&lt;1,0,OFFSET($A$114,0,2+13*INT(((9-'Assumption Setting'!$E$96)-1)/12)+MOD((9-'Assumption Setting'!$E$96)-1,12)))</f>
        <v>0.473484821123903</v>
      </c>
      <c r="L115" s="93" t="n">
        <f aca="true">K115+L114-IF((10-'Assumption Setting'!$E$96)&lt;1,0,OFFSET($A$114,0,2+13*INT(((10-'Assumption Setting'!$E$96)-1)/12)+MOD((10-'Assumption Setting'!$E$96)-1,12)))</f>
        <v>0.552398957977887</v>
      </c>
      <c r="M115" s="93" t="n">
        <f aca="true">L115+M114-IF((11-'Assumption Setting'!$E$96)&lt;1,0,OFFSET($A$114,0,2+13*INT(((11-'Assumption Setting'!$E$96)-1)/12)+MOD((11-'Assumption Setting'!$E$96)-1,12)))</f>
        <v>0.631313094831871</v>
      </c>
      <c r="N115" s="93" t="n">
        <f aca="true">M115+N114-IF((12-'Assumption Setting'!$E$96)&lt;1,0,OFFSET($A$114,0,2+13*INT(((12-'Assumption Setting'!$E$96)-1)/12)+MOD((12-'Assumption Setting'!$E$96)-1,12)))</f>
        <v>0.710227231685854</v>
      </c>
      <c r="O115" s="91" t="n">
        <f aca="false">AA115</f>
        <v>1.44461376891323</v>
      </c>
      <c r="P115" s="93" t="n">
        <f aca="true">N115+P114-IF((13-'Assumption Setting'!$E$96)&lt;1,0,OFFSET($A$114,0,2+13*INT(((13-'Assumption Setting'!$E$96)-1)/12)+MOD((13-'Assumption Setting'!$E$96)-1,12)))</f>
        <v>0.789141368539838</v>
      </c>
      <c r="Q115" s="93" t="n">
        <f aca="true">P115+Q114-IF((14-'Assumption Setting'!$E$96)&lt;1,0,OFFSET($A$114,0,2+13*INT(((14-'Assumption Setting'!$E$96)-1)/12)+MOD((14-'Assumption Setting'!$E$96)-1,12)))</f>
        <v>0.868055505393822</v>
      </c>
      <c r="R115" s="93" t="n">
        <f aca="true">Q115+R114-IF((15-'Assumption Setting'!$E$96)&lt;1,0,OFFSET($A$114,0,2+13*INT(((15-'Assumption Setting'!$E$96)-1)/12)+MOD((15-'Assumption Setting'!$E$96)-1,12)))</f>
        <v>0.954861055933204</v>
      </c>
      <c r="S115" s="93" t="n">
        <f aca="true">R115+S114-IF((16-'Assumption Setting'!$E$96)&lt;1,0,OFFSET($A$114,0,2+13*INT(((16-'Assumption Setting'!$E$96)-1)/12)+MOD((16-'Assumption Setting'!$E$96)-1,12)))</f>
        <v>1.0092780240421</v>
      </c>
      <c r="T115" s="93" t="n">
        <f aca="true">S115+T114-IF((17-'Assumption Setting'!$E$96)&lt;1,0,OFFSET($A$114,0,2+13*INT(((17-'Assumption Setting'!$E$96)-1)/12)+MOD((17-'Assumption Setting'!$E$96)-1,12)))</f>
        <v>1.06369499215099</v>
      </c>
      <c r="U115" s="93" t="n">
        <f aca="true">T115+U114-IF((18-'Assumption Setting'!$E$96)&lt;1,0,OFFSET($A$114,0,2+13*INT(((18-'Assumption Setting'!$E$96)-1)/12)+MOD((18-'Assumption Setting'!$E$96)-1,12)))</f>
        <v>1.11811196025988</v>
      </c>
      <c r="V115" s="93" t="n">
        <f aca="true">U115+V114-IF((19-'Assumption Setting'!$E$96)&lt;1,0,OFFSET($A$114,0,2+13*INT(((19-'Assumption Setting'!$E$96)-1)/12)+MOD((19-'Assumption Setting'!$E$96)-1,12)))</f>
        <v>1.17252892836877</v>
      </c>
      <c r="W115" s="93" t="n">
        <f aca="true">V115+W114-IF((20-'Assumption Setting'!$E$96)&lt;1,0,OFFSET($A$114,0,2+13*INT(((20-'Assumption Setting'!$E$96)-1)/12)+MOD((20-'Assumption Setting'!$E$96)-1,12)))</f>
        <v>1.22694589647766</v>
      </c>
      <c r="X115" s="93" t="n">
        <f aca="true">W115+X114-IF((21-'Assumption Setting'!$E$96)&lt;1,0,OFFSET($A$114,0,2+13*INT(((21-'Assumption Setting'!$E$96)-1)/12)+MOD((21-'Assumption Setting'!$E$96)-1,12)))</f>
        <v>1.28136286458655</v>
      </c>
      <c r="Y115" s="93" t="n">
        <f aca="true">X115+Y114-IF((22-'Assumption Setting'!$E$96)&lt;1,0,OFFSET($A$114,0,2+13*INT(((22-'Assumption Setting'!$E$96)-1)/12)+MOD((22-'Assumption Setting'!$E$96)-1,12)))</f>
        <v>1.33577983269544</v>
      </c>
      <c r="Z115" s="93" t="n">
        <f aca="true">Y115+Z114-IF((23-'Assumption Setting'!$E$96)&lt;1,0,OFFSET($A$114,0,2+13*INT(((23-'Assumption Setting'!$E$96)-1)/12)+MOD((23-'Assumption Setting'!$E$96)-1,12)))</f>
        <v>1.39019680080433</v>
      </c>
      <c r="AA115" s="93" t="n">
        <f aca="true">Z115+AA114-IF((24-'Assumption Setting'!$E$96)&lt;1,0,OFFSET($A$114,0,2+13*INT(((24-'Assumption Setting'!$E$96)-1)/12)+MOD((24-'Assumption Setting'!$E$96)-1,12)))</f>
        <v>1.44461376891323</v>
      </c>
      <c r="AB115" s="91" t="n">
        <f aca="false">AN115</f>
        <v>2.37546208348716</v>
      </c>
      <c r="AC115" s="93" t="n">
        <f aca="true">AA115+AC114-IF((25-'Assumption Setting'!$E$96)&lt;1,0,OFFSET($A$114,0,2+13*INT(((25-'Assumption Setting'!$E$96)-1)/12)+MOD((25-'Assumption Setting'!$E$96)-1,12)))</f>
        <v>1.49903073702212</v>
      </c>
      <c r="AD115" s="93" t="n">
        <f aca="true">AC115+AD114-IF((26-'Assumption Setting'!$E$96)&lt;1,0,OFFSET($A$114,0,2+13*INT(((26-'Assumption Setting'!$E$96)-1)/12)+MOD((26-'Assumption Setting'!$E$96)-1,12)))</f>
        <v>1.55344770513101</v>
      </c>
      <c r="AE115" s="93" t="n">
        <f aca="true">AD115+AE114-IF((27-'Assumption Setting'!$E$96)&lt;1,0,OFFSET($A$114,0,2+13*INT(((27-'Assumption Setting'!$E$96)-1)/12)+MOD((27-'Assumption Setting'!$E$96)-1,12)))</f>
        <v>1.61209426909658</v>
      </c>
      <c r="AF115" s="93" t="n">
        <f aca="true">AE115+AF114-IF((28-'Assumption Setting'!$E$96)&lt;1,0,OFFSET($A$114,0,2+13*INT(((28-'Assumption Setting'!$E$96)-1)/12)+MOD((28-'Assumption Setting'!$E$96)-1,12)))</f>
        <v>1.69691291513998</v>
      </c>
      <c r="AG115" s="93" t="n">
        <f aca="true">AF115+AG114-IF((29-'Assumption Setting'!$E$96)&lt;1,0,OFFSET($A$114,0,2+13*INT(((29-'Assumption Setting'!$E$96)-1)/12)+MOD((29-'Assumption Setting'!$E$96)-1,12)))</f>
        <v>1.78173156118338</v>
      </c>
      <c r="AH115" s="93" t="n">
        <f aca="true">AG115+AH114-IF((30-'Assumption Setting'!$E$96)&lt;1,0,OFFSET($A$114,0,2+13*INT(((30-'Assumption Setting'!$E$96)-1)/12)+MOD((30-'Assumption Setting'!$E$96)-1,12)))</f>
        <v>1.86655020722677</v>
      </c>
      <c r="AI115" s="93" t="n">
        <f aca="true">AH115+AI114-IF((31-'Assumption Setting'!$E$96)&lt;1,0,OFFSET($A$114,0,2+13*INT(((31-'Assumption Setting'!$E$96)-1)/12)+MOD((31-'Assumption Setting'!$E$96)-1,12)))</f>
        <v>1.95136885327017</v>
      </c>
      <c r="AJ115" s="93" t="n">
        <f aca="true">AI115+AJ114-IF((32-'Assumption Setting'!$E$96)&lt;1,0,OFFSET($A$114,0,2+13*INT(((32-'Assumption Setting'!$E$96)-1)/12)+MOD((32-'Assumption Setting'!$E$96)-1,12)))</f>
        <v>2.03618749931357</v>
      </c>
      <c r="AK115" s="93" t="n">
        <f aca="true">AJ115+AK114-IF((33-'Assumption Setting'!$E$96)&lt;1,0,OFFSET($A$114,0,2+13*INT(((33-'Assumption Setting'!$E$96)-1)/12)+MOD((33-'Assumption Setting'!$E$96)-1,12)))</f>
        <v>2.12100614535697</v>
      </c>
      <c r="AL115" s="93" t="n">
        <f aca="true">AK115+AL114-IF((34-'Assumption Setting'!$E$96)&lt;1,0,OFFSET($A$114,0,2+13*INT(((34-'Assumption Setting'!$E$96)-1)/12)+MOD((34-'Assumption Setting'!$E$96)-1,12)))</f>
        <v>2.20582479140036</v>
      </c>
      <c r="AM115" s="93" t="n">
        <f aca="true">AL115+AM114-IF((35-'Assumption Setting'!$E$96)&lt;1,0,OFFSET($A$114,0,2+13*INT(((35-'Assumption Setting'!$E$96)-1)/12)+MOD((35-'Assumption Setting'!$E$96)-1,12)))</f>
        <v>2.29064343744376</v>
      </c>
      <c r="AN115" s="93" t="n">
        <f aca="true">AM115+AN114-IF((36-'Assumption Setting'!$E$96)&lt;1,0,OFFSET($A$114,0,2+13*INT(((36-'Assumption Setting'!$E$96)-1)/12)+MOD((36-'Assumption Setting'!$E$96)-1,12)))</f>
        <v>2.37546208348716</v>
      </c>
      <c r="AO115" s="91" t="n">
        <f aca="false">BA115</f>
        <v>3.31587039725681</v>
      </c>
      <c r="AP115" s="93" t="n">
        <f aca="true">AN115+AP114-IF((37-'Assumption Setting'!$E$96)&lt;1,0,OFFSET($A$114,0,2+13*INT(((37-'Assumption Setting'!$E$96)-1)/12)+MOD((37-'Assumption Setting'!$E$96)-1,12)))</f>
        <v>2.46028072953056</v>
      </c>
      <c r="AQ115" s="93" t="n">
        <f aca="true">AP115+AQ114-IF((38-'Assumption Setting'!$E$96)&lt;1,0,OFFSET($A$114,0,2+13*INT(((38-'Assumption Setting'!$E$96)-1)/12)+MOD((38-'Assumption Setting'!$E$96)-1,12)))</f>
        <v>2.54509937557395</v>
      </c>
      <c r="AR115" s="93" t="n">
        <f aca="true">AQ115+AR114-IF((39-'Assumption Setting'!$E$96)&lt;1,0,OFFSET($A$114,0,2+13*INT(((39-'Assumption Setting'!$E$96)-1)/12)+MOD((39-'Assumption Setting'!$E$96)-1,12)))</f>
        <v>2.62688658503387</v>
      </c>
      <c r="AS115" s="93" t="n">
        <f aca="true">AR115+AS114-IF((40-'Assumption Setting'!$E$96)&lt;1,0,OFFSET($A$114,0,2+13*INT(((40-'Assumption Setting'!$E$96)-1)/12)+MOD((40-'Assumption Setting'!$E$96)-1,12)))</f>
        <v>2.70344034194753</v>
      </c>
      <c r="AT115" s="93" t="n">
        <f aca="true">AS115+AT114-IF((41-'Assumption Setting'!$E$96)&lt;1,0,OFFSET($A$114,0,2+13*INT(((41-'Assumption Setting'!$E$96)-1)/12)+MOD((41-'Assumption Setting'!$E$96)-1,12)))</f>
        <v>2.77999409886119</v>
      </c>
      <c r="AU115" s="93" t="n">
        <f aca="true">AT115+AU114-IF((42-'Assumption Setting'!$E$96)&lt;1,0,OFFSET($A$114,0,2+13*INT(((42-'Assumption Setting'!$E$96)-1)/12)+MOD((42-'Assumption Setting'!$E$96)-1,12)))</f>
        <v>2.85654785577485</v>
      </c>
      <c r="AV115" s="93" t="n">
        <f aca="true">AU115+AV114-IF((43-'Assumption Setting'!$E$96)&lt;1,0,OFFSET($A$114,0,2+13*INT(((43-'Assumption Setting'!$E$96)-1)/12)+MOD((43-'Assumption Setting'!$E$96)-1,12)))</f>
        <v>2.93310161268851</v>
      </c>
      <c r="AW115" s="93" t="n">
        <f aca="true">AV115+AW114-IF((44-'Assumption Setting'!$E$96)&lt;1,0,OFFSET($A$114,0,2+13*INT(((44-'Assumption Setting'!$E$96)-1)/12)+MOD((44-'Assumption Setting'!$E$96)-1,12)))</f>
        <v>3.00965536960217</v>
      </c>
      <c r="AX115" s="93" t="n">
        <f aca="true">AW115+AX114-IF((45-'Assumption Setting'!$E$96)&lt;1,0,OFFSET($A$114,0,2+13*INT(((45-'Assumption Setting'!$E$96)-1)/12)+MOD((45-'Assumption Setting'!$E$96)-1,12)))</f>
        <v>3.08620912651583</v>
      </c>
      <c r="AY115" s="93" t="n">
        <f aca="true">AX115+AY114-IF((46-'Assumption Setting'!$E$96)&lt;1,0,OFFSET($A$114,0,2+13*INT(((46-'Assumption Setting'!$E$96)-1)/12)+MOD((46-'Assumption Setting'!$E$96)-1,12)))</f>
        <v>3.16276288342949</v>
      </c>
      <c r="AZ115" s="93" t="n">
        <f aca="true">AY115+AZ114-IF((47-'Assumption Setting'!$E$96)&lt;1,0,OFFSET($A$114,0,2+13*INT(((47-'Assumption Setting'!$E$96)-1)/12)+MOD((47-'Assumption Setting'!$E$96)-1,12)))</f>
        <v>3.23931664034315</v>
      </c>
      <c r="BA115" s="93" t="n">
        <f aca="true">AZ115+BA114-IF((48-'Assumption Setting'!$E$96)&lt;1,0,OFFSET($A$114,0,2+13*INT(((48-'Assumption Setting'!$E$96)-1)/12)+MOD((48-'Assumption Setting'!$E$96)-1,12)))</f>
        <v>3.31587039725681</v>
      </c>
      <c r="BB115" s="91" t="n">
        <f aca="false">BN115</f>
        <v>4.28462489494755</v>
      </c>
      <c r="BC115" s="93" t="n">
        <f aca="true">BA115+BC114-IF((49-'Assumption Setting'!$E$96)&lt;1,0,OFFSET($A$114,0,2+13*INT(((49-'Assumption Setting'!$E$96)-1)/12)+MOD((49-'Assumption Setting'!$E$96)-1,12)))</f>
        <v>3.39242415417047</v>
      </c>
      <c r="BD115" s="93" t="n">
        <f aca="true">BC115+BD114-IF((50-'Assumption Setting'!$E$96)&lt;1,0,OFFSET($A$114,0,2+13*INT(((50-'Assumption Setting'!$E$96)-1)/12)+MOD((50-'Assumption Setting'!$E$96)-1,12)))</f>
        <v>3.46897791108413</v>
      </c>
      <c r="BE115" s="93" t="n">
        <f aca="true">BD115+BE114-IF((51-'Assumption Setting'!$E$96)&lt;1,0,OFFSET($A$114,0,2+13*INT(((51-'Assumption Setting'!$E$96)-1)/12)+MOD((51-'Assumption Setting'!$E$96)-1,12)))</f>
        <v>3.54823023535599</v>
      </c>
      <c r="BF115" s="93" t="n">
        <f aca="true">BE115+BF114-IF((52-'Assumption Setting'!$E$96)&lt;1,0,OFFSET($A$114,0,2+13*INT(((52-'Assumption Setting'!$E$96)-1)/12)+MOD((52-'Assumption Setting'!$E$96)-1,12)))</f>
        <v>3.6300518641995</v>
      </c>
      <c r="BG115" s="93" t="n">
        <f aca="true">BF115+BG114-IF((53-'Assumption Setting'!$E$96)&lt;1,0,OFFSET($A$114,0,2+13*INT(((53-'Assumption Setting'!$E$96)-1)/12)+MOD((53-'Assumption Setting'!$E$96)-1,12)))</f>
        <v>3.711873493043</v>
      </c>
      <c r="BH115" s="93" t="n">
        <f aca="true">BG115+BH114-IF((54-'Assumption Setting'!$E$96)&lt;1,0,OFFSET($A$114,0,2+13*INT(((54-'Assumption Setting'!$E$96)-1)/12)+MOD((54-'Assumption Setting'!$E$96)-1,12)))</f>
        <v>3.79369512188651</v>
      </c>
      <c r="BI115" s="93" t="n">
        <f aca="true">BH115+BI114-IF((55-'Assumption Setting'!$E$96)&lt;1,0,OFFSET($A$114,0,2+13*INT(((55-'Assumption Setting'!$E$96)-1)/12)+MOD((55-'Assumption Setting'!$E$96)-1,12)))</f>
        <v>3.87551675073002</v>
      </c>
      <c r="BJ115" s="93" t="n">
        <f aca="true">BI115+BJ114-IF((56-'Assumption Setting'!$E$96)&lt;1,0,OFFSET($A$114,0,2+13*INT(((56-'Assumption Setting'!$E$96)-1)/12)+MOD((56-'Assumption Setting'!$E$96)-1,12)))</f>
        <v>3.95733837957352</v>
      </c>
      <c r="BK115" s="93" t="n">
        <f aca="true">BJ115+BK114-IF((57-'Assumption Setting'!$E$96)&lt;1,0,OFFSET($A$114,0,2+13*INT(((57-'Assumption Setting'!$E$96)-1)/12)+MOD((57-'Assumption Setting'!$E$96)-1,12)))</f>
        <v>4.03916000841703</v>
      </c>
      <c r="BL115" s="93" t="n">
        <f aca="true">BK115+BL114-IF((58-'Assumption Setting'!$E$96)&lt;1,0,OFFSET($A$114,0,2+13*INT(((58-'Assumption Setting'!$E$96)-1)/12)+MOD((58-'Assumption Setting'!$E$96)-1,12)))</f>
        <v>4.12098163726053</v>
      </c>
      <c r="BM115" s="93" t="n">
        <f aca="true">BL115+BM114-IF((59-'Assumption Setting'!$E$96)&lt;1,0,OFFSET($A$114,0,2+13*INT(((59-'Assumption Setting'!$E$96)-1)/12)+MOD((59-'Assumption Setting'!$E$96)-1,12)))</f>
        <v>4.20280326610404</v>
      </c>
      <c r="BN115" s="93" t="n">
        <f aca="true">BM115+BN114-IF((60-'Assumption Setting'!$E$96)&lt;1,0,OFFSET($A$114,0,2+13*INT(((60-'Assumption Setting'!$E$96)-1)/12)+MOD((60-'Assumption Setting'!$E$96)-1,12)))</f>
        <v>4.28462489494755</v>
      </c>
    </row>
    <row r="116" customFormat="false" ht="15" hidden="false" customHeight="false" outlineLevel="0" collapsed="false">
      <c r="A116" s="12" t="s">
        <v>634</v>
      </c>
      <c r="B116" s="91" t="n">
        <f aca="false">SUM(C116:N116)</f>
        <v>0.473484821123903</v>
      </c>
      <c r="C116" s="92" t="n">
        <f aca="false">IF(1&lt;'Assumption Setting'!$F$97,0,IFERROR(C73*'Assumption Setting'!$C$97/C104,0))</f>
        <v>0</v>
      </c>
      <c r="D116" s="92" t="n">
        <f aca="false">IF(2&lt;'Assumption Setting'!$F$97,0,IFERROR(D73*'Assumption Setting'!$C$97/D104,0))</f>
        <v>0</v>
      </c>
      <c r="E116" s="92" t="n">
        <f aca="false">IF(3&lt;'Assumption Setting'!$F$97,0,IFERROR(E73*'Assumption Setting'!$C$97/E104,0))</f>
        <v>0</v>
      </c>
      <c r="F116" s="92" t="n">
        <f aca="false">IF(4&lt;'Assumption Setting'!$F$97,0,IFERROR(F73*'Assumption Setting'!$C$97/F104,0))</f>
        <v>0.0526094245693225</v>
      </c>
      <c r="G116" s="92" t="n">
        <f aca="false">IF(5&lt;'Assumption Setting'!$F$97,0,IFERROR(G73*'Assumption Setting'!$C$97/G104,0))</f>
        <v>0.0526094245693225</v>
      </c>
      <c r="H116" s="92" t="n">
        <f aca="false">IF(6&lt;'Assumption Setting'!$F$97,0,IFERROR(H73*'Assumption Setting'!$C$97/H104,0))</f>
        <v>0.0526094245693225</v>
      </c>
      <c r="I116" s="92" t="n">
        <f aca="false">IF(7&lt;'Assumption Setting'!$F$97,0,IFERROR(I73*'Assumption Setting'!$C$97/I104,0))</f>
        <v>0.0526094245693225</v>
      </c>
      <c r="J116" s="92" t="n">
        <f aca="false">IF(8&lt;'Assumption Setting'!$F$97,0,IFERROR(J73*'Assumption Setting'!$C$97/J104,0))</f>
        <v>0.0526094245693225</v>
      </c>
      <c r="K116" s="92" t="n">
        <f aca="false">IF(9&lt;'Assumption Setting'!$F$97,0,IFERROR(K73*'Assumption Setting'!$C$97/K104,0))</f>
        <v>0.0526094245693225</v>
      </c>
      <c r="L116" s="92" t="n">
        <f aca="false">IF(10&lt;'Assumption Setting'!$F$97,0,IFERROR(L73*'Assumption Setting'!$C$97/L104,0))</f>
        <v>0.0526094245693225</v>
      </c>
      <c r="M116" s="92" t="n">
        <f aca="false">IF(11&lt;'Assumption Setting'!$F$97,0,IFERROR(M73*'Assumption Setting'!$C$97/M104,0))</f>
        <v>0.0526094245693225</v>
      </c>
      <c r="N116" s="92" t="n">
        <f aca="false">IF(12&lt;'Assumption Setting'!$F$97,0,IFERROR(N73*'Assumption Setting'!$C$97/N104,0))</f>
        <v>0.0526094245693225</v>
      </c>
      <c r="O116" s="91" t="n">
        <f aca="false">SUM(P116:AA116)</f>
        <v>0.963075845942151</v>
      </c>
      <c r="P116" s="92" t="n">
        <f aca="false">IF(13&lt;'Assumption Setting'!$F$97,0,IFERROR(P73*'Assumption Setting'!$C$97/P104,0))</f>
        <v>0.0526094245693225</v>
      </c>
      <c r="Q116" s="92" t="n">
        <f aca="false">IF(14&lt;'Assumption Setting'!$F$97,0,IFERROR(Q73*'Assumption Setting'!$C$97/Q104,0))</f>
        <v>0.0526094245693225</v>
      </c>
      <c r="R116" s="92" t="n">
        <f aca="false">IF(15&lt;'Assumption Setting'!$F$97,0,IFERROR(R73*'Assumption Setting'!$C$97/R104,0))</f>
        <v>0.0578703670262548</v>
      </c>
      <c r="S116" s="92" t="n">
        <f aca="false">IF(16&lt;'Assumption Setting'!$F$97,0,IFERROR(S73*'Assumption Setting'!$C$97/S104,0))</f>
        <v>0.0888874033085834</v>
      </c>
      <c r="T116" s="92" t="n">
        <f aca="false">IF(17&lt;'Assumption Setting'!$F$97,0,IFERROR(T73*'Assumption Setting'!$C$97/T104,0))</f>
        <v>0.0888874033085834</v>
      </c>
      <c r="U116" s="92" t="n">
        <f aca="false">IF(18&lt;'Assumption Setting'!$F$97,0,IFERROR(U73*'Assumption Setting'!$C$97/U104,0))</f>
        <v>0.0888874033085834</v>
      </c>
      <c r="V116" s="92" t="n">
        <f aca="false">IF(19&lt;'Assumption Setting'!$F$97,0,IFERROR(V73*'Assumption Setting'!$C$97/V104,0))</f>
        <v>0.0888874033085834</v>
      </c>
      <c r="W116" s="92" t="n">
        <f aca="false">IF(20&lt;'Assumption Setting'!$F$97,0,IFERROR(W73*'Assumption Setting'!$C$97/W104,0))</f>
        <v>0.0888874033085834</v>
      </c>
      <c r="X116" s="92" t="n">
        <f aca="false">IF(21&lt;'Assumption Setting'!$F$97,0,IFERROR(X73*'Assumption Setting'!$C$97/X104,0))</f>
        <v>0.0888874033085834</v>
      </c>
      <c r="Y116" s="92" t="n">
        <f aca="false">IF(22&lt;'Assumption Setting'!$F$97,0,IFERROR(Y73*'Assumption Setting'!$C$97/Y104,0))</f>
        <v>0.0888874033085834</v>
      </c>
      <c r="Z116" s="92" t="n">
        <f aca="false">IF(23&lt;'Assumption Setting'!$F$97,0,IFERROR(Z73*'Assumption Setting'!$C$97/Z104,0))</f>
        <v>0.0888874033085834</v>
      </c>
      <c r="AA116" s="92" t="n">
        <f aca="false">IF(24&lt;'Assumption Setting'!$F$97,0,IFERROR(AA73*'Assumption Setting'!$C$97/AA104,0))</f>
        <v>0.0888874033085834</v>
      </c>
      <c r="AB116" s="91" t="n">
        <f aca="false">SUM(AC116:AN116)</f>
        <v>1.58364138899144</v>
      </c>
      <c r="AC116" s="92" t="n">
        <f aca="false">IF(25&lt;'Assumption Setting'!$F$97,0,IFERROR(AC73*'Assumption Setting'!$C$97/AC104,0))</f>
        <v>0.0888874033085834</v>
      </c>
      <c r="AD116" s="92" t="n">
        <f aca="false">IF(26&lt;'Assumption Setting'!$F$97,0,IFERROR(AD73*'Assumption Setting'!$C$97/AD104,0))</f>
        <v>0.0888874033085834</v>
      </c>
      <c r="AE116" s="92" t="n">
        <f aca="false">IF(27&lt;'Assumption Setting'!$F$97,0,IFERROR(AE73*'Assumption Setting'!$C$97/AE104,0))</f>
        <v>0.0969680763366364</v>
      </c>
      <c r="AF116" s="92" t="n">
        <f aca="false">IF(28&lt;'Assumption Setting'!$F$97,0,IFERROR(AF73*'Assumption Setting'!$C$97/AF104,0))</f>
        <v>0.145433167337515</v>
      </c>
      <c r="AG116" s="92" t="n">
        <f aca="false">IF(29&lt;'Assumption Setting'!$F$97,0,IFERROR(AG73*'Assumption Setting'!$C$97/AG104,0))</f>
        <v>0.145433167337515</v>
      </c>
      <c r="AH116" s="92" t="n">
        <f aca="false">IF(30&lt;'Assumption Setting'!$F$97,0,IFERROR(AH73*'Assumption Setting'!$C$97/AH104,0))</f>
        <v>0.145433167337515</v>
      </c>
      <c r="AI116" s="92" t="n">
        <f aca="false">IF(31&lt;'Assumption Setting'!$F$97,0,IFERROR(AI73*'Assumption Setting'!$C$97/AI104,0))</f>
        <v>0.145433167337515</v>
      </c>
      <c r="AJ116" s="92" t="n">
        <f aca="false">IF(32&lt;'Assumption Setting'!$F$97,0,IFERROR(AJ73*'Assumption Setting'!$C$97/AJ104,0))</f>
        <v>0.145433167337515</v>
      </c>
      <c r="AK116" s="92" t="n">
        <f aca="false">IF(33&lt;'Assumption Setting'!$F$97,0,IFERROR(AK73*'Assumption Setting'!$C$97/AK104,0))</f>
        <v>0.145433167337515</v>
      </c>
      <c r="AL116" s="92" t="n">
        <f aca="false">IF(34&lt;'Assumption Setting'!$F$97,0,IFERROR(AL73*'Assumption Setting'!$C$97/AL104,0))</f>
        <v>0.145433167337515</v>
      </c>
      <c r="AM116" s="92" t="n">
        <f aca="false">IF(35&lt;'Assumption Setting'!$F$97,0,IFERROR(AM73*'Assumption Setting'!$C$97/AM104,0))</f>
        <v>0.145433167337515</v>
      </c>
      <c r="AN116" s="92" t="n">
        <f aca="false">IF(36&lt;'Assumption Setting'!$F$97,0,IFERROR(AN73*'Assumption Setting'!$C$97/AN104,0))</f>
        <v>0.145433167337515</v>
      </c>
      <c r="AO116" s="91" t="n">
        <f aca="false">SUM(AP116:BA116)</f>
        <v>2.21058026483787</v>
      </c>
      <c r="AP116" s="92" t="n">
        <f aca="false">IF(37&lt;'Assumption Setting'!$F$97,0,IFERROR(AP73*'Assumption Setting'!$C$97/AP104,0))</f>
        <v>0.145433167337515</v>
      </c>
      <c r="AQ116" s="92" t="n">
        <f aca="false">IF(38&lt;'Assumption Setting'!$F$97,0,IFERROR(AQ73*'Assumption Setting'!$C$97/AQ104,0))</f>
        <v>0.145433167337515</v>
      </c>
      <c r="AR116" s="92" t="n">
        <f aca="false">IF(39&lt;'Assumption Setting'!$F$97,0,IFERROR(AR73*'Assumption Setting'!$C$97/AR104,0))</f>
        <v>0.151492882643245</v>
      </c>
      <c r="AS116" s="92" t="n">
        <f aca="false">IF(40&lt;'Assumption Setting'!$F$97,0,IFERROR(AS73*'Assumption Setting'!$C$97/AS104,0))</f>
        <v>0.196469005279955</v>
      </c>
      <c r="AT116" s="92" t="n">
        <f aca="false">IF(41&lt;'Assumption Setting'!$F$97,0,IFERROR(AT73*'Assumption Setting'!$C$97/AT104,0))</f>
        <v>0.196469005279955</v>
      </c>
      <c r="AU116" s="92" t="n">
        <f aca="false">IF(42&lt;'Assumption Setting'!$F$97,0,IFERROR(AU73*'Assumption Setting'!$C$97/AU104,0))</f>
        <v>0.196469005279955</v>
      </c>
      <c r="AV116" s="92" t="n">
        <f aca="false">IF(43&lt;'Assumption Setting'!$F$97,0,IFERROR(AV73*'Assumption Setting'!$C$97/AV104,0))</f>
        <v>0.196469005279955</v>
      </c>
      <c r="AW116" s="92" t="n">
        <f aca="false">IF(44&lt;'Assumption Setting'!$F$97,0,IFERROR(AW73*'Assumption Setting'!$C$97/AW104,0))</f>
        <v>0.196469005279955</v>
      </c>
      <c r="AX116" s="92" t="n">
        <f aca="false">IF(45&lt;'Assumption Setting'!$F$97,0,IFERROR(AX73*'Assumption Setting'!$C$97/AX104,0))</f>
        <v>0.196469005279955</v>
      </c>
      <c r="AY116" s="92" t="n">
        <f aca="false">IF(46&lt;'Assumption Setting'!$F$97,0,IFERROR(AY73*'Assumption Setting'!$C$97/AY104,0))</f>
        <v>0.196469005279955</v>
      </c>
      <c r="AZ116" s="92" t="n">
        <f aca="false">IF(47&lt;'Assumption Setting'!$F$97,0,IFERROR(AZ73*'Assumption Setting'!$C$97/AZ104,0))</f>
        <v>0.196469005279955</v>
      </c>
      <c r="BA116" s="92" t="n">
        <f aca="false">IF(48&lt;'Assumption Setting'!$F$97,0,IFERROR(BA73*'Assumption Setting'!$C$97/BA104,0))</f>
        <v>0.196469005279955</v>
      </c>
      <c r="BB116" s="91" t="n">
        <f aca="false">SUM(BC116:BN116)</f>
        <v>2.8564165966317</v>
      </c>
      <c r="BC116" s="92" t="n">
        <f aca="false">IF(49&lt;'Assumption Setting'!$F$97,0,IFERROR(BC73*'Assumption Setting'!$C$97/BC104,0))</f>
        <v>0.196469005279955</v>
      </c>
      <c r="BD116" s="92" t="n">
        <f aca="false">IF(50&lt;'Assumption Setting'!$F$97,0,IFERROR(BD73*'Assumption Setting'!$C$97/BD104,0))</f>
        <v>0.196469005279955</v>
      </c>
      <c r="BE116" s="92" t="n">
        <f aca="false">IF(51&lt;'Assumption Setting'!$F$97,0,IFERROR(BE73*'Assumption Setting'!$C$97/BE104,0))</f>
        <v>0.204327765491154</v>
      </c>
      <c r="BF116" s="92" t="n">
        <f aca="false">IF(52&lt;'Assumption Setting'!$F$97,0,IFERROR(BF73*'Assumption Setting'!$C$97/BF104,0))</f>
        <v>0.251016757842292</v>
      </c>
      <c r="BG116" s="92" t="n">
        <f aca="false">IF(53&lt;'Assumption Setting'!$F$97,0,IFERROR(BG73*'Assumption Setting'!$C$97/BG104,0))</f>
        <v>0.251016757842292</v>
      </c>
      <c r="BH116" s="92" t="n">
        <f aca="false">IF(54&lt;'Assumption Setting'!$F$97,0,IFERROR(BH73*'Assumption Setting'!$C$97/BH104,0))</f>
        <v>0.251016757842292</v>
      </c>
      <c r="BI116" s="92" t="n">
        <f aca="false">IF(55&lt;'Assumption Setting'!$F$97,0,IFERROR(BI73*'Assumption Setting'!$C$97/BI104,0))</f>
        <v>0.251016757842292</v>
      </c>
      <c r="BJ116" s="92" t="n">
        <f aca="false">IF(56&lt;'Assumption Setting'!$F$97,0,IFERROR(BJ73*'Assumption Setting'!$C$97/BJ104,0))</f>
        <v>0.251016757842292</v>
      </c>
      <c r="BK116" s="92" t="n">
        <f aca="false">IF(57&lt;'Assumption Setting'!$F$97,0,IFERROR(BK73*'Assumption Setting'!$C$97/BK104,0))</f>
        <v>0.251016757842292</v>
      </c>
      <c r="BL116" s="92" t="n">
        <f aca="false">IF(58&lt;'Assumption Setting'!$F$97,0,IFERROR(BL73*'Assumption Setting'!$C$97/BL104,0))</f>
        <v>0.251016757842292</v>
      </c>
      <c r="BM116" s="92" t="n">
        <f aca="false">IF(59&lt;'Assumption Setting'!$F$97,0,IFERROR(BM73*'Assumption Setting'!$C$97/BM104,0))</f>
        <v>0.251016757842292</v>
      </c>
      <c r="BN116" s="92" t="n">
        <f aca="false">IF(60&lt;'Assumption Setting'!$F$97,0,IFERROR(BN73*'Assumption Setting'!$C$97/BN104,0))</f>
        <v>0.251016757842292</v>
      </c>
    </row>
    <row r="117" customFormat="false" ht="15" hidden="false" customHeight="false" outlineLevel="0" collapsed="false">
      <c r="A117" s="69" t="s">
        <v>635</v>
      </c>
      <c r="B117" s="91" t="n">
        <f aca="false">N117</f>
        <v>0.473484821123903</v>
      </c>
      <c r="C117" s="93" t="n">
        <f aca="false">C116</f>
        <v>0</v>
      </c>
      <c r="D117" s="93" t="n">
        <f aca="true">C117+D116-IF((2-'Assumption Setting'!$E$97)&lt;1,0,OFFSET($A$116,0,2+13*INT(((2-'Assumption Setting'!$E$97)-1)/12)+MOD((2-'Assumption Setting'!$E$97)-1,12)))</f>
        <v>0</v>
      </c>
      <c r="E117" s="93" t="n">
        <f aca="true">D117+E116-IF((3-'Assumption Setting'!$E$97)&lt;1,0,OFFSET($A$116,0,2+13*INT(((3-'Assumption Setting'!$E$97)-1)/12)+MOD((3-'Assumption Setting'!$E$97)-1,12)))</f>
        <v>0</v>
      </c>
      <c r="F117" s="93" t="n">
        <f aca="true">E117+F116-IF((4-'Assumption Setting'!$E$97)&lt;1,0,OFFSET($A$116,0,2+13*INT(((4-'Assumption Setting'!$E$97)-1)/12)+MOD((4-'Assumption Setting'!$E$97)-1,12)))</f>
        <v>0.0526094245693225</v>
      </c>
      <c r="G117" s="93" t="n">
        <f aca="true">F117+G116-IF((5-'Assumption Setting'!$E$97)&lt;1,0,OFFSET($A$116,0,2+13*INT(((5-'Assumption Setting'!$E$97)-1)/12)+MOD((5-'Assumption Setting'!$E$97)-1,12)))</f>
        <v>0.105218849138645</v>
      </c>
      <c r="H117" s="93" t="n">
        <f aca="true">G117+H116-IF((6-'Assumption Setting'!$E$97)&lt;1,0,OFFSET($A$116,0,2+13*INT(((6-'Assumption Setting'!$E$97)-1)/12)+MOD((6-'Assumption Setting'!$E$97)-1,12)))</f>
        <v>0.157828273707968</v>
      </c>
      <c r="I117" s="93" t="n">
        <f aca="true">H117+I116-IF((7-'Assumption Setting'!$E$97)&lt;1,0,OFFSET($A$116,0,2+13*INT(((7-'Assumption Setting'!$E$97)-1)/12)+MOD((7-'Assumption Setting'!$E$97)-1,12)))</f>
        <v>0.21043769827729</v>
      </c>
      <c r="J117" s="93" t="n">
        <f aca="true">I117+J116-IF((8-'Assumption Setting'!$E$97)&lt;1,0,OFFSET($A$116,0,2+13*INT(((8-'Assumption Setting'!$E$97)-1)/12)+MOD((8-'Assumption Setting'!$E$97)-1,12)))</f>
        <v>0.263047122846613</v>
      </c>
      <c r="K117" s="93" t="n">
        <f aca="true">J117+K116-IF((9-'Assumption Setting'!$E$97)&lt;1,0,OFFSET($A$116,0,2+13*INT(((9-'Assumption Setting'!$E$97)-1)/12)+MOD((9-'Assumption Setting'!$E$97)-1,12)))</f>
        <v>0.315656547415935</v>
      </c>
      <c r="L117" s="93" t="n">
        <f aca="true">K117+L116-IF((10-'Assumption Setting'!$E$97)&lt;1,0,OFFSET($A$116,0,2+13*INT(((10-'Assumption Setting'!$E$97)-1)/12)+MOD((10-'Assumption Setting'!$E$97)-1,12)))</f>
        <v>0.368265971985258</v>
      </c>
      <c r="M117" s="93" t="n">
        <f aca="true">L117+M116-IF((11-'Assumption Setting'!$E$97)&lt;1,0,OFFSET($A$116,0,2+13*INT(((11-'Assumption Setting'!$E$97)-1)/12)+MOD((11-'Assumption Setting'!$E$97)-1,12)))</f>
        <v>0.42087539655458</v>
      </c>
      <c r="N117" s="93" t="n">
        <f aca="true">M117+N116-IF((12-'Assumption Setting'!$E$97)&lt;1,0,OFFSET($A$116,0,2+13*INT(((12-'Assumption Setting'!$E$97)-1)/12)+MOD((12-'Assumption Setting'!$E$97)-1,12)))</f>
        <v>0.473484821123903</v>
      </c>
      <c r="O117" s="91" t="n">
        <f aca="false">AA117</f>
        <v>0.963075845942151</v>
      </c>
      <c r="P117" s="93" t="n">
        <f aca="true">N117+P116-IF((13-'Assumption Setting'!$E$97)&lt;1,0,OFFSET($A$116,0,2+13*INT(((13-'Assumption Setting'!$E$97)-1)/12)+MOD((13-'Assumption Setting'!$E$97)-1,12)))</f>
        <v>0.526094245693225</v>
      </c>
      <c r="Q117" s="93" t="n">
        <f aca="true">P117+Q116-IF((14-'Assumption Setting'!$E$97)&lt;1,0,OFFSET($A$116,0,2+13*INT(((14-'Assumption Setting'!$E$97)-1)/12)+MOD((14-'Assumption Setting'!$E$97)-1,12)))</f>
        <v>0.578703670262548</v>
      </c>
      <c r="R117" s="93" t="n">
        <f aca="true">Q117+R116-IF((15-'Assumption Setting'!$E$97)&lt;1,0,OFFSET($A$116,0,2+13*INT(((15-'Assumption Setting'!$E$97)-1)/12)+MOD((15-'Assumption Setting'!$E$97)-1,12)))</f>
        <v>0.636574037288803</v>
      </c>
      <c r="S117" s="93" t="n">
        <f aca="true">R117+S116-IF((16-'Assumption Setting'!$E$97)&lt;1,0,OFFSET($A$116,0,2+13*INT(((16-'Assumption Setting'!$E$97)-1)/12)+MOD((16-'Assumption Setting'!$E$97)-1,12)))</f>
        <v>0.672852016028064</v>
      </c>
      <c r="T117" s="93" t="n">
        <f aca="true">S117+T116-IF((17-'Assumption Setting'!$E$97)&lt;1,0,OFFSET($A$116,0,2+13*INT(((17-'Assumption Setting'!$E$97)-1)/12)+MOD((17-'Assumption Setting'!$E$97)-1,12)))</f>
        <v>0.709129994767324</v>
      </c>
      <c r="U117" s="93" t="n">
        <f aca="true">T117+U116-IF((18-'Assumption Setting'!$E$97)&lt;1,0,OFFSET($A$116,0,2+13*INT(((18-'Assumption Setting'!$E$97)-1)/12)+MOD((18-'Assumption Setting'!$E$97)-1,12)))</f>
        <v>0.745407973506585</v>
      </c>
      <c r="V117" s="93" t="n">
        <f aca="true">U117+V116-IF((19-'Assumption Setting'!$E$97)&lt;1,0,OFFSET($A$116,0,2+13*INT(((19-'Assumption Setting'!$E$97)-1)/12)+MOD((19-'Assumption Setting'!$E$97)-1,12)))</f>
        <v>0.781685952245846</v>
      </c>
      <c r="W117" s="93" t="n">
        <f aca="true">V117+W116-IF((20-'Assumption Setting'!$E$97)&lt;1,0,OFFSET($A$116,0,2+13*INT(((20-'Assumption Setting'!$E$97)-1)/12)+MOD((20-'Assumption Setting'!$E$97)-1,12)))</f>
        <v>0.817963930985107</v>
      </c>
      <c r="X117" s="93" t="n">
        <f aca="true">W117+X116-IF((21-'Assumption Setting'!$E$97)&lt;1,0,OFFSET($A$116,0,2+13*INT(((21-'Assumption Setting'!$E$97)-1)/12)+MOD((21-'Assumption Setting'!$E$97)-1,12)))</f>
        <v>0.854241909724368</v>
      </c>
      <c r="Y117" s="93" t="n">
        <f aca="true">X117+Y116-IF((22-'Assumption Setting'!$E$97)&lt;1,0,OFFSET($A$116,0,2+13*INT(((22-'Assumption Setting'!$E$97)-1)/12)+MOD((22-'Assumption Setting'!$E$97)-1,12)))</f>
        <v>0.890519888463629</v>
      </c>
      <c r="Z117" s="93" t="n">
        <f aca="true">Y117+Z116-IF((23-'Assumption Setting'!$E$97)&lt;1,0,OFFSET($A$116,0,2+13*INT(((23-'Assumption Setting'!$E$97)-1)/12)+MOD((23-'Assumption Setting'!$E$97)-1,12)))</f>
        <v>0.92679786720289</v>
      </c>
      <c r="AA117" s="93" t="n">
        <f aca="true">Z117+AA116-IF((24-'Assumption Setting'!$E$97)&lt;1,0,OFFSET($A$116,0,2+13*INT(((24-'Assumption Setting'!$E$97)-1)/12)+MOD((24-'Assumption Setting'!$E$97)-1,12)))</f>
        <v>0.963075845942151</v>
      </c>
      <c r="AB117" s="91" t="n">
        <f aca="false">AN117</f>
        <v>1.58364138899144</v>
      </c>
      <c r="AC117" s="93" t="n">
        <f aca="true">AA117+AC116-IF((25-'Assumption Setting'!$E$97)&lt;1,0,OFFSET($A$116,0,2+13*INT(((25-'Assumption Setting'!$E$97)-1)/12)+MOD((25-'Assumption Setting'!$E$97)-1,12)))</f>
        <v>0.999353824681411</v>
      </c>
      <c r="AD117" s="93" t="n">
        <f aca="true">AC117+AD116-IF((26-'Assumption Setting'!$E$97)&lt;1,0,OFFSET($A$116,0,2+13*INT(((26-'Assumption Setting'!$E$97)-1)/12)+MOD((26-'Assumption Setting'!$E$97)-1,12)))</f>
        <v>1.03563180342067</v>
      </c>
      <c r="AE117" s="93" t="n">
        <f aca="true">AD117+AE116-IF((27-'Assumption Setting'!$E$97)&lt;1,0,OFFSET($A$116,0,2+13*INT(((27-'Assumption Setting'!$E$97)-1)/12)+MOD((27-'Assumption Setting'!$E$97)-1,12)))</f>
        <v>1.07472951273105</v>
      </c>
      <c r="AF117" s="93" t="n">
        <f aca="true">AE117+AF116-IF((28-'Assumption Setting'!$E$97)&lt;1,0,OFFSET($A$116,0,2+13*INT(((28-'Assumption Setting'!$E$97)-1)/12)+MOD((28-'Assumption Setting'!$E$97)-1,12)))</f>
        <v>1.13127527675999</v>
      </c>
      <c r="AG117" s="93" t="n">
        <f aca="true">AF117+AG116-IF((29-'Assumption Setting'!$E$97)&lt;1,0,OFFSET($A$116,0,2+13*INT(((29-'Assumption Setting'!$E$97)-1)/12)+MOD((29-'Assumption Setting'!$E$97)-1,12)))</f>
        <v>1.18782104078892</v>
      </c>
      <c r="AH117" s="93" t="n">
        <f aca="true">AG117+AH116-IF((30-'Assumption Setting'!$E$97)&lt;1,0,OFFSET($A$116,0,2+13*INT(((30-'Assumption Setting'!$E$97)-1)/12)+MOD((30-'Assumption Setting'!$E$97)-1,12)))</f>
        <v>1.24436680481785</v>
      </c>
      <c r="AI117" s="93" t="n">
        <f aca="true">AH117+AI116-IF((31-'Assumption Setting'!$E$97)&lt;1,0,OFFSET($A$116,0,2+13*INT(((31-'Assumption Setting'!$E$97)-1)/12)+MOD((31-'Assumption Setting'!$E$97)-1,12)))</f>
        <v>1.30091256884678</v>
      </c>
      <c r="AJ117" s="93" t="n">
        <f aca="true">AI117+AJ116-IF((32-'Assumption Setting'!$E$97)&lt;1,0,OFFSET($A$116,0,2+13*INT(((32-'Assumption Setting'!$E$97)-1)/12)+MOD((32-'Assumption Setting'!$E$97)-1,12)))</f>
        <v>1.35745833287571</v>
      </c>
      <c r="AK117" s="93" t="n">
        <f aca="true">AJ117+AK116-IF((33-'Assumption Setting'!$E$97)&lt;1,0,OFFSET($A$116,0,2+13*INT(((33-'Assumption Setting'!$E$97)-1)/12)+MOD((33-'Assumption Setting'!$E$97)-1,12)))</f>
        <v>1.41400409690464</v>
      </c>
      <c r="AL117" s="93" t="n">
        <f aca="true">AK117+AL116-IF((34-'Assumption Setting'!$E$97)&lt;1,0,OFFSET($A$116,0,2+13*INT(((34-'Assumption Setting'!$E$97)-1)/12)+MOD((34-'Assumption Setting'!$E$97)-1,12)))</f>
        <v>1.47054986093358</v>
      </c>
      <c r="AM117" s="93" t="n">
        <f aca="true">AL117+AM116-IF((35-'Assumption Setting'!$E$97)&lt;1,0,OFFSET($A$116,0,2+13*INT(((35-'Assumption Setting'!$E$97)-1)/12)+MOD((35-'Assumption Setting'!$E$97)-1,12)))</f>
        <v>1.52709562496251</v>
      </c>
      <c r="AN117" s="93" t="n">
        <f aca="true">AM117+AN116-IF((36-'Assumption Setting'!$E$97)&lt;1,0,OFFSET($A$116,0,2+13*INT(((36-'Assumption Setting'!$E$97)-1)/12)+MOD((36-'Assumption Setting'!$E$97)-1,12)))</f>
        <v>1.58364138899144</v>
      </c>
      <c r="AO117" s="91" t="n">
        <f aca="false">BA117</f>
        <v>2.21058026483787</v>
      </c>
      <c r="AP117" s="93" t="n">
        <f aca="true">AN117+AP116-IF((37-'Assumption Setting'!$E$97)&lt;1,0,OFFSET($A$116,0,2+13*INT(((37-'Assumption Setting'!$E$97)-1)/12)+MOD((37-'Assumption Setting'!$E$97)-1,12)))</f>
        <v>1.64018715302037</v>
      </c>
      <c r="AQ117" s="93" t="n">
        <f aca="true">AP117+AQ116-IF((38-'Assumption Setting'!$E$97)&lt;1,0,OFFSET($A$116,0,2+13*INT(((38-'Assumption Setting'!$E$97)-1)/12)+MOD((38-'Assumption Setting'!$E$97)-1,12)))</f>
        <v>1.6967329170493</v>
      </c>
      <c r="AR117" s="93" t="n">
        <f aca="true">AQ117+AR116-IF((39-'Assumption Setting'!$E$97)&lt;1,0,OFFSET($A$116,0,2+13*INT(((39-'Assumption Setting'!$E$97)-1)/12)+MOD((39-'Assumption Setting'!$E$97)-1,12)))</f>
        <v>1.75125772335591</v>
      </c>
      <c r="AS117" s="93" t="n">
        <f aca="true">AR117+AS116-IF((40-'Assumption Setting'!$E$97)&lt;1,0,OFFSET($A$116,0,2+13*INT(((40-'Assumption Setting'!$E$97)-1)/12)+MOD((40-'Assumption Setting'!$E$97)-1,12)))</f>
        <v>1.80229356129835</v>
      </c>
      <c r="AT117" s="93" t="n">
        <f aca="true">AS117+AT116-IF((41-'Assumption Setting'!$E$97)&lt;1,0,OFFSET($A$116,0,2+13*INT(((41-'Assumption Setting'!$E$97)-1)/12)+MOD((41-'Assumption Setting'!$E$97)-1,12)))</f>
        <v>1.85332939924079</v>
      </c>
      <c r="AU117" s="93" t="n">
        <f aca="true">AT117+AU116-IF((42-'Assumption Setting'!$E$97)&lt;1,0,OFFSET($A$116,0,2+13*INT(((42-'Assumption Setting'!$E$97)-1)/12)+MOD((42-'Assumption Setting'!$E$97)-1,12)))</f>
        <v>1.90436523718323</v>
      </c>
      <c r="AV117" s="93" t="n">
        <f aca="true">AU117+AV116-IF((43-'Assumption Setting'!$E$97)&lt;1,0,OFFSET($A$116,0,2+13*INT(((43-'Assumption Setting'!$E$97)-1)/12)+MOD((43-'Assumption Setting'!$E$97)-1,12)))</f>
        <v>1.95540107512567</v>
      </c>
      <c r="AW117" s="93" t="n">
        <f aca="true">AV117+AW116-IF((44-'Assumption Setting'!$E$97)&lt;1,0,OFFSET($A$116,0,2+13*INT(((44-'Assumption Setting'!$E$97)-1)/12)+MOD((44-'Assumption Setting'!$E$97)-1,12)))</f>
        <v>2.00643691306811</v>
      </c>
      <c r="AX117" s="93" t="n">
        <f aca="true">AW117+AX116-IF((45-'Assumption Setting'!$E$97)&lt;1,0,OFFSET($A$116,0,2+13*INT(((45-'Assumption Setting'!$E$97)-1)/12)+MOD((45-'Assumption Setting'!$E$97)-1,12)))</f>
        <v>2.05747275101055</v>
      </c>
      <c r="AY117" s="93" t="n">
        <f aca="true">AX117+AY116-IF((46-'Assumption Setting'!$E$97)&lt;1,0,OFFSET($A$116,0,2+13*INT(((46-'Assumption Setting'!$E$97)-1)/12)+MOD((46-'Assumption Setting'!$E$97)-1,12)))</f>
        <v>2.10850858895299</v>
      </c>
      <c r="AZ117" s="93" t="n">
        <f aca="true">AY117+AZ116-IF((47-'Assumption Setting'!$E$97)&lt;1,0,OFFSET($A$116,0,2+13*INT(((47-'Assumption Setting'!$E$97)-1)/12)+MOD((47-'Assumption Setting'!$E$97)-1,12)))</f>
        <v>2.15954442689543</v>
      </c>
      <c r="BA117" s="93" t="n">
        <f aca="true">AZ117+BA116-IF((48-'Assumption Setting'!$E$97)&lt;1,0,OFFSET($A$116,0,2+13*INT(((48-'Assumption Setting'!$E$97)-1)/12)+MOD((48-'Assumption Setting'!$E$97)-1,12)))</f>
        <v>2.21058026483787</v>
      </c>
      <c r="BB117" s="91" t="n">
        <f aca="false">BN117</f>
        <v>2.8564165966317</v>
      </c>
      <c r="BC117" s="93" t="n">
        <f aca="true">BA117+BC116-IF((49-'Assumption Setting'!$E$97)&lt;1,0,OFFSET($A$116,0,2+13*INT(((49-'Assumption Setting'!$E$97)-1)/12)+MOD((49-'Assumption Setting'!$E$97)-1,12)))</f>
        <v>2.26161610278031</v>
      </c>
      <c r="BD117" s="93" t="n">
        <f aca="true">BC117+BD116-IF((50-'Assumption Setting'!$E$97)&lt;1,0,OFFSET($A$116,0,2+13*INT(((50-'Assumption Setting'!$E$97)-1)/12)+MOD((50-'Assumption Setting'!$E$97)-1,12)))</f>
        <v>2.31265194072275</v>
      </c>
      <c r="BE117" s="93" t="n">
        <f aca="true">BD117+BE116-IF((51-'Assumption Setting'!$E$97)&lt;1,0,OFFSET($A$116,0,2+13*INT(((51-'Assumption Setting'!$E$97)-1)/12)+MOD((51-'Assumption Setting'!$E$97)-1,12)))</f>
        <v>2.36548682357066</v>
      </c>
      <c r="BF117" s="93" t="n">
        <f aca="true">BE117+BF116-IF((52-'Assumption Setting'!$E$97)&lt;1,0,OFFSET($A$116,0,2+13*INT(((52-'Assumption Setting'!$E$97)-1)/12)+MOD((52-'Assumption Setting'!$E$97)-1,12)))</f>
        <v>2.420034576133</v>
      </c>
      <c r="BG117" s="93" t="n">
        <f aca="true">BF117+BG116-IF((53-'Assumption Setting'!$E$97)&lt;1,0,OFFSET($A$116,0,2+13*INT(((53-'Assumption Setting'!$E$97)-1)/12)+MOD((53-'Assumption Setting'!$E$97)-1,12)))</f>
        <v>2.47458232869534</v>
      </c>
      <c r="BH117" s="93" t="n">
        <f aca="true">BG117+BH116-IF((54-'Assumption Setting'!$E$97)&lt;1,0,OFFSET($A$116,0,2+13*INT(((54-'Assumption Setting'!$E$97)-1)/12)+MOD((54-'Assumption Setting'!$E$97)-1,12)))</f>
        <v>2.52913008125767</v>
      </c>
      <c r="BI117" s="93" t="n">
        <f aca="true">BH117+BI116-IF((55-'Assumption Setting'!$E$97)&lt;1,0,OFFSET($A$116,0,2+13*INT(((55-'Assumption Setting'!$E$97)-1)/12)+MOD((55-'Assumption Setting'!$E$97)-1,12)))</f>
        <v>2.58367783382001</v>
      </c>
      <c r="BJ117" s="93" t="n">
        <f aca="true">BI117+BJ116-IF((56-'Assumption Setting'!$E$97)&lt;1,0,OFFSET($A$116,0,2+13*INT(((56-'Assumption Setting'!$E$97)-1)/12)+MOD((56-'Assumption Setting'!$E$97)-1,12)))</f>
        <v>2.63822558638235</v>
      </c>
      <c r="BK117" s="93" t="n">
        <f aca="true">BJ117+BK116-IF((57-'Assumption Setting'!$E$97)&lt;1,0,OFFSET($A$116,0,2+13*INT(((57-'Assumption Setting'!$E$97)-1)/12)+MOD((57-'Assumption Setting'!$E$97)-1,12)))</f>
        <v>2.69277333894468</v>
      </c>
      <c r="BL117" s="93" t="n">
        <f aca="true">BK117+BL116-IF((58-'Assumption Setting'!$E$97)&lt;1,0,OFFSET($A$116,0,2+13*INT(((58-'Assumption Setting'!$E$97)-1)/12)+MOD((58-'Assumption Setting'!$E$97)-1,12)))</f>
        <v>2.74732109150702</v>
      </c>
      <c r="BM117" s="93" t="n">
        <f aca="true">BL117+BM116-IF((59-'Assumption Setting'!$E$97)&lt;1,0,OFFSET($A$116,0,2+13*INT(((59-'Assumption Setting'!$E$97)-1)/12)+MOD((59-'Assumption Setting'!$E$97)-1,12)))</f>
        <v>2.80186884406936</v>
      </c>
      <c r="BN117" s="93" t="n">
        <f aca="true">BM117+BN116-IF((60-'Assumption Setting'!$E$97)&lt;1,0,OFFSET($A$116,0,2+13*INT(((60-'Assumption Setting'!$E$97)-1)/12)+MOD((60-'Assumption Setting'!$E$97)-1,12)))</f>
        <v>2.8564165966317</v>
      </c>
    </row>
    <row r="118" customFormat="false" ht="15" hidden="false" customHeight="false" outlineLevel="0" collapsed="false">
      <c r="A118" s="12" t="s">
        <v>636</v>
      </c>
      <c r="B118" s="91" t="n">
        <f aca="false">SUM(C118:N118)</f>
        <v>1.18371205280976</v>
      </c>
      <c r="C118" s="92" t="n">
        <f aca="false">IF(1&lt;'Assumption Setting'!$F$98,0,IFERROR(C73*'Assumption Setting'!$C$98/C104,0))</f>
        <v>0</v>
      </c>
      <c r="D118" s="92" t="n">
        <f aca="false">IF(2&lt;'Assumption Setting'!$F$98,0,IFERROR(D73*'Assumption Setting'!$C$98/D104,0))</f>
        <v>0</v>
      </c>
      <c r="E118" s="92" t="n">
        <f aca="false">IF(3&lt;'Assumption Setting'!$F$98,0,IFERROR(E73*'Assumption Setting'!$C$98/E104,0))</f>
        <v>0</v>
      </c>
      <c r="F118" s="92" t="n">
        <f aca="false">IF(4&lt;'Assumption Setting'!$F$98,0,IFERROR(F73*'Assumption Setting'!$C$98/F104,0))</f>
        <v>0.131523561423306</v>
      </c>
      <c r="G118" s="92" t="n">
        <f aca="false">IF(5&lt;'Assumption Setting'!$F$98,0,IFERROR(G73*'Assumption Setting'!$C$98/G104,0))</f>
        <v>0.131523561423306</v>
      </c>
      <c r="H118" s="92" t="n">
        <f aca="false">IF(6&lt;'Assumption Setting'!$F$98,0,IFERROR(H73*'Assumption Setting'!$C$98/H104,0))</f>
        <v>0.131523561423306</v>
      </c>
      <c r="I118" s="92" t="n">
        <f aca="false">IF(7&lt;'Assumption Setting'!$F$98,0,IFERROR(I73*'Assumption Setting'!$C$98/I104,0))</f>
        <v>0.131523561423306</v>
      </c>
      <c r="J118" s="92" t="n">
        <f aca="false">IF(8&lt;'Assumption Setting'!$F$98,0,IFERROR(J73*'Assumption Setting'!$C$98/J104,0))</f>
        <v>0.131523561423306</v>
      </c>
      <c r="K118" s="92" t="n">
        <f aca="false">IF(9&lt;'Assumption Setting'!$F$98,0,IFERROR(K73*'Assumption Setting'!$C$98/K104,0))</f>
        <v>0.131523561423306</v>
      </c>
      <c r="L118" s="92" t="n">
        <f aca="false">IF(10&lt;'Assumption Setting'!$F$98,0,IFERROR(L73*'Assumption Setting'!$C$98/L104,0))</f>
        <v>0.131523561423306</v>
      </c>
      <c r="M118" s="92" t="n">
        <f aca="false">IF(11&lt;'Assumption Setting'!$F$98,0,IFERROR(M73*'Assumption Setting'!$C$98/M104,0))</f>
        <v>0.131523561423306</v>
      </c>
      <c r="N118" s="92" t="n">
        <f aca="false">IF(12&lt;'Assumption Setting'!$F$98,0,IFERROR(N73*'Assumption Setting'!$C$98/N104,0))</f>
        <v>0.131523561423306</v>
      </c>
      <c r="O118" s="91" t="n">
        <f aca="false">SUM(P118:AA118)</f>
        <v>2.40768961485538</v>
      </c>
      <c r="P118" s="92" t="n">
        <f aca="false">IF(13&lt;'Assumption Setting'!$F$98,0,IFERROR(P73*'Assumption Setting'!$C$98/P104,0))</f>
        <v>0.131523561423306</v>
      </c>
      <c r="Q118" s="92" t="n">
        <f aca="false">IF(14&lt;'Assumption Setting'!$F$98,0,IFERROR(Q73*'Assumption Setting'!$C$98/Q104,0))</f>
        <v>0.131523561423306</v>
      </c>
      <c r="R118" s="92" t="n">
        <f aca="false">IF(15&lt;'Assumption Setting'!$F$98,0,IFERROR(R73*'Assumption Setting'!$C$98/R104,0))</f>
        <v>0.144675917565637</v>
      </c>
      <c r="S118" s="92" t="n">
        <f aca="false">IF(16&lt;'Assumption Setting'!$F$98,0,IFERROR(S73*'Assumption Setting'!$C$98/S104,0))</f>
        <v>0.222218508271459</v>
      </c>
      <c r="T118" s="92" t="n">
        <f aca="false">IF(17&lt;'Assumption Setting'!$F$98,0,IFERROR(T73*'Assumption Setting'!$C$98/T104,0))</f>
        <v>0.222218508271459</v>
      </c>
      <c r="U118" s="92" t="n">
        <f aca="false">IF(18&lt;'Assumption Setting'!$F$98,0,IFERROR(U73*'Assumption Setting'!$C$98/U104,0))</f>
        <v>0.222218508271459</v>
      </c>
      <c r="V118" s="92" t="n">
        <f aca="false">IF(19&lt;'Assumption Setting'!$F$98,0,IFERROR(V73*'Assumption Setting'!$C$98/V104,0))</f>
        <v>0.222218508271459</v>
      </c>
      <c r="W118" s="92" t="n">
        <f aca="false">IF(20&lt;'Assumption Setting'!$F$98,0,IFERROR(W73*'Assumption Setting'!$C$98/W104,0))</f>
        <v>0.222218508271459</v>
      </c>
      <c r="X118" s="92" t="n">
        <f aca="false">IF(21&lt;'Assumption Setting'!$F$98,0,IFERROR(X73*'Assumption Setting'!$C$98/X104,0))</f>
        <v>0.222218508271459</v>
      </c>
      <c r="Y118" s="92" t="n">
        <f aca="false">IF(22&lt;'Assumption Setting'!$F$98,0,IFERROR(Y73*'Assumption Setting'!$C$98/Y104,0))</f>
        <v>0.222218508271459</v>
      </c>
      <c r="Z118" s="92" t="n">
        <f aca="false">IF(23&lt;'Assumption Setting'!$F$98,0,IFERROR(Z73*'Assumption Setting'!$C$98/Z104,0))</f>
        <v>0.222218508271459</v>
      </c>
      <c r="AA118" s="92" t="n">
        <f aca="false">IF(24&lt;'Assumption Setting'!$F$98,0,IFERROR(AA73*'Assumption Setting'!$C$98/AA104,0))</f>
        <v>0.222218508271459</v>
      </c>
      <c r="AB118" s="91" t="n">
        <f aca="false">SUM(AC118:AN118)</f>
        <v>3.9591034724786</v>
      </c>
      <c r="AC118" s="92" t="n">
        <f aca="false">IF(25&lt;'Assumption Setting'!$F$98,0,IFERROR(AC73*'Assumption Setting'!$C$98/AC104,0))</f>
        <v>0.222218508271459</v>
      </c>
      <c r="AD118" s="92" t="n">
        <f aca="false">IF(26&lt;'Assumption Setting'!$F$98,0,IFERROR(AD73*'Assumption Setting'!$C$98/AD104,0))</f>
        <v>0.222218508271459</v>
      </c>
      <c r="AE118" s="92" t="n">
        <f aca="false">IF(27&lt;'Assumption Setting'!$F$98,0,IFERROR(AE73*'Assumption Setting'!$C$98/AE104,0))</f>
        <v>0.242420190841591</v>
      </c>
      <c r="AF118" s="92" t="n">
        <f aca="false">IF(28&lt;'Assumption Setting'!$F$98,0,IFERROR(AF73*'Assumption Setting'!$C$98/AF104,0))</f>
        <v>0.363582918343788</v>
      </c>
      <c r="AG118" s="92" t="n">
        <f aca="false">IF(29&lt;'Assumption Setting'!$F$98,0,IFERROR(AG73*'Assumption Setting'!$C$98/AG104,0))</f>
        <v>0.363582918343788</v>
      </c>
      <c r="AH118" s="92" t="n">
        <f aca="false">IF(30&lt;'Assumption Setting'!$F$98,0,IFERROR(AH73*'Assumption Setting'!$C$98/AH104,0))</f>
        <v>0.363582918343788</v>
      </c>
      <c r="AI118" s="92" t="n">
        <f aca="false">IF(31&lt;'Assumption Setting'!$F$98,0,IFERROR(AI73*'Assumption Setting'!$C$98/AI104,0))</f>
        <v>0.363582918343788</v>
      </c>
      <c r="AJ118" s="92" t="n">
        <f aca="false">IF(32&lt;'Assumption Setting'!$F$98,0,IFERROR(AJ73*'Assumption Setting'!$C$98/AJ104,0))</f>
        <v>0.363582918343788</v>
      </c>
      <c r="AK118" s="92" t="n">
        <f aca="false">IF(33&lt;'Assumption Setting'!$F$98,0,IFERROR(AK73*'Assumption Setting'!$C$98/AK104,0))</f>
        <v>0.363582918343788</v>
      </c>
      <c r="AL118" s="92" t="n">
        <f aca="false">IF(34&lt;'Assumption Setting'!$F$98,0,IFERROR(AL73*'Assumption Setting'!$C$98/AL104,0))</f>
        <v>0.363582918343788</v>
      </c>
      <c r="AM118" s="92" t="n">
        <f aca="false">IF(35&lt;'Assumption Setting'!$F$98,0,IFERROR(AM73*'Assumption Setting'!$C$98/AM104,0))</f>
        <v>0.363582918343788</v>
      </c>
      <c r="AN118" s="92" t="n">
        <f aca="false">IF(36&lt;'Assumption Setting'!$F$98,0,IFERROR(AN73*'Assumption Setting'!$C$98/AN104,0))</f>
        <v>0.363582918343788</v>
      </c>
      <c r="AO118" s="91" t="n">
        <f aca="false">SUM(AP118:BA118)</f>
        <v>5.52645066209468</v>
      </c>
      <c r="AP118" s="92" t="n">
        <f aca="false">IF(37&lt;'Assumption Setting'!$F$98,0,IFERROR(AP73*'Assumption Setting'!$C$98/AP104,0))</f>
        <v>0.363582918343788</v>
      </c>
      <c r="AQ118" s="92" t="n">
        <f aca="false">IF(38&lt;'Assumption Setting'!$F$98,0,IFERROR(AQ73*'Assumption Setting'!$C$98/AQ104,0))</f>
        <v>0.363582918343788</v>
      </c>
      <c r="AR118" s="92" t="n">
        <f aca="false">IF(39&lt;'Assumption Setting'!$F$98,0,IFERROR(AR73*'Assumption Setting'!$C$98/AR104,0))</f>
        <v>0.378732206608112</v>
      </c>
      <c r="AS118" s="92" t="n">
        <f aca="false">IF(40&lt;'Assumption Setting'!$F$98,0,IFERROR(AS73*'Assumption Setting'!$C$98/AS104,0))</f>
        <v>0.491172513199888</v>
      </c>
      <c r="AT118" s="92" t="n">
        <f aca="false">IF(41&lt;'Assumption Setting'!$F$98,0,IFERROR(AT73*'Assumption Setting'!$C$98/AT104,0))</f>
        <v>0.491172513199888</v>
      </c>
      <c r="AU118" s="92" t="n">
        <f aca="false">IF(42&lt;'Assumption Setting'!$F$98,0,IFERROR(AU73*'Assumption Setting'!$C$98/AU104,0))</f>
        <v>0.491172513199888</v>
      </c>
      <c r="AV118" s="92" t="n">
        <f aca="false">IF(43&lt;'Assumption Setting'!$F$98,0,IFERROR(AV73*'Assumption Setting'!$C$98/AV104,0))</f>
        <v>0.491172513199888</v>
      </c>
      <c r="AW118" s="92" t="n">
        <f aca="false">IF(44&lt;'Assumption Setting'!$F$98,0,IFERROR(AW73*'Assumption Setting'!$C$98/AW104,0))</f>
        <v>0.491172513199888</v>
      </c>
      <c r="AX118" s="92" t="n">
        <f aca="false">IF(45&lt;'Assumption Setting'!$F$98,0,IFERROR(AX73*'Assumption Setting'!$C$98/AX104,0))</f>
        <v>0.491172513199888</v>
      </c>
      <c r="AY118" s="92" t="n">
        <f aca="false">IF(46&lt;'Assumption Setting'!$F$98,0,IFERROR(AY73*'Assumption Setting'!$C$98/AY104,0))</f>
        <v>0.491172513199888</v>
      </c>
      <c r="AZ118" s="92" t="n">
        <f aca="false">IF(47&lt;'Assumption Setting'!$F$98,0,IFERROR(AZ73*'Assumption Setting'!$C$98/AZ104,0))</f>
        <v>0.491172513199888</v>
      </c>
      <c r="BA118" s="92" t="n">
        <f aca="false">IF(48&lt;'Assumption Setting'!$F$98,0,IFERROR(BA73*'Assumption Setting'!$C$98/BA104,0))</f>
        <v>0.491172513199888</v>
      </c>
      <c r="BB118" s="91" t="n">
        <f aca="false">SUM(BC118:BN118)</f>
        <v>7.14104149157924</v>
      </c>
      <c r="BC118" s="92" t="n">
        <f aca="false">IF(49&lt;'Assumption Setting'!$F$98,0,IFERROR(BC73*'Assumption Setting'!$C$98/BC104,0))</f>
        <v>0.491172513199888</v>
      </c>
      <c r="BD118" s="92" t="n">
        <f aca="false">IF(50&lt;'Assumption Setting'!$F$98,0,IFERROR(BD73*'Assumption Setting'!$C$98/BD104,0))</f>
        <v>0.491172513199888</v>
      </c>
      <c r="BE118" s="92" t="n">
        <f aca="false">IF(51&lt;'Assumption Setting'!$F$98,0,IFERROR(BE73*'Assumption Setting'!$C$98/BE104,0))</f>
        <v>0.510819413727884</v>
      </c>
      <c r="BF118" s="92" t="n">
        <f aca="false">IF(52&lt;'Assumption Setting'!$F$98,0,IFERROR(BF73*'Assumption Setting'!$C$98/BF104,0))</f>
        <v>0.627541894605731</v>
      </c>
      <c r="BG118" s="92" t="n">
        <f aca="false">IF(53&lt;'Assumption Setting'!$F$98,0,IFERROR(BG73*'Assumption Setting'!$C$98/BG104,0))</f>
        <v>0.627541894605731</v>
      </c>
      <c r="BH118" s="92" t="n">
        <f aca="false">IF(54&lt;'Assumption Setting'!$F$98,0,IFERROR(BH73*'Assumption Setting'!$C$98/BH104,0))</f>
        <v>0.627541894605731</v>
      </c>
      <c r="BI118" s="92" t="n">
        <f aca="false">IF(55&lt;'Assumption Setting'!$F$98,0,IFERROR(BI73*'Assumption Setting'!$C$98/BI104,0))</f>
        <v>0.627541894605731</v>
      </c>
      <c r="BJ118" s="92" t="n">
        <f aca="false">IF(56&lt;'Assumption Setting'!$F$98,0,IFERROR(BJ73*'Assumption Setting'!$C$98/BJ104,0))</f>
        <v>0.627541894605731</v>
      </c>
      <c r="BK118" s="92" t="n">
        <f aca="false">IF(57&lt;'Assumption Setting'!$F$98,0,IFERROR(BK73*'Assumption Setting'!$C$98/BK104,0))</f>
        <v>0.627541894605731</v>
      </c>
      <c r="BL118" s="92" t="n">
        <f aca="false">IF(58&lt;'Assumption Setting'!$F$98,0,IFERROR(BL73*'Assumption Setting'!$C$98/BL104,0))</f>
        <v>0.627541894605731</v>
      </c>
      <c r="BM118" s="92" t="n">
        <f aca="false">IF(59&lt;'Assumption Setting'!$F$98,0,IFERROR(BM73*'Assumption Setting'!$C$98/BM104,0))</f>
        <v>0.627541894605731</v>
      </c>
      <c r="BN118" s="92" t="n">
        <f aca="false">IF(60&lt;'Assumption Setting'!$F$98,0,IFERROR(BN73*'Assumption Setting'!$C$98/BN104,0))</f>
        <v>0.627541894605731</v>
      </c>
    </row>
    <row r="119" customFormat="false" ht="15" hidden="false" customHeight="false" outlineLevel="0" collapsed="false">
      <c r="A119" s="69" t="s">
        <v>637</v>
      </c>
      <c r="B119" s="91" t="n">
        <f aca="false">N119</f>
        <v>1.18371205280976</v>
      </c>
      <c r="C119" s="93" t="n">
        <f aca="false">C118</f>
        <v>0</v>
      </c>
      <c r="D119" s="93" t="n">
        <f aca="true">C119+D118-IF((2-'Assumption Setting'!$E$98)&lt;1,0,OFFSET($A$118,0,2+13*INT(((2-'Assumption Setting'!$E$98)-1)/12)+MOD((2-'Assumption Setting'!$E$98)-1,12)))</f>
        <v>0</v>
      </c>
      <c r="E119" s="93" t="n">
        <f aca="true">D119+E118-IF((3-'Assumption Setting'!$E$98)&lt;1,0,OFFSET($A$118,0,2+13*INT(((3-'Assumption Setting'!$E$98)-1)/12)+MOD((3-'Assumption Setting'!$E$98)-1,12)))</f>
        <v>0</v>
      </c>
      <c r="F119" s="93" t="n">
        <f aca="true">E119+F118-IF((4-'Assumption Setting'!$E$98)&lt;1,0,OFFSET($A$118,0,2+13*INT(((4-'Assumption Setting'!$E$98)-1)/12)+MOD((4-'Assumption Setting'!$E$98)-1,12)))</f>
        <v>0.131523561423306</v>
      </c>
      <c r="G119" s="93" t="n">
        <f aca="true">F119+G118-IF((5-'Assumption Setting'!$E$98)&lt;1,0,OFFSET($A$118,0,2+13*INT(((5-'Assumption Setting'!$E$98)-1)/12)+MOD((5-'Assumption Setting'!$E$98)-1,12)))</f>
        <v>0.263047122846613</v>
      </c>
      <c r="H119" s="93" t="n">
        <f aca="true">G119+H118-IF((6-'Assumption Setting'!$E$98)&lt;1,0,OFFSET($A$118,0,2+13*INT(((6-'Assumption Setting'!$E$98)-1)/12)+MOD((6-'Assumption Setting'!$E$98)-1,12)))</f>
        <v>0.394570684269919</v>
      </c>
      <c r="I119" s="93" t="n">
        <f aca="true">H119+I118-IF((7-'Assumption Setting'!$E$98)&lt;1,0,OFFSET($A$118,0,2+13*INT(((7-'Assumption Setting'!$E$98)-1)/12)+MOD((7-'Assumption Setting'!$E$98)-1,12)))</f>
        <v>0.526094245693225</v>
      </c>
      <c r="J119" s="93" t="n">
        <f aca="true">I119+J118-IF((8-'Assumption Setting'!$E$98)&lt;1,0,OFFSET($A$118,0,2+13*INT(((8-'Assumption Setting'!$E$98)-1)/12)+MOD((8-'Assumption Setting'!$E$98)-1,12)))</f>
        <v>0.657617807116532</v>
      </c>
      <c r="K119" s="93" t="n">
        <f aca="true">J119+K118-IF((9-'Assumption Setting'!$E$98)&lt;1,0,OFFSET($A$118,0,2+13*INT(((9-'Assumption Setting'!$E$98)-1)/12)+MOD((9-'Assumption Setting'!$E$98)-1,12)))</f>
        <v>0.789141368539838</v>
      </c>
      <c r="L119" s="93" t="n">
        <f aca="true">K119+L118-IF((10-'Assumption Setting'!$E$98)&lt;1,0,OFFSET($A$118,0,2+13*INT(((10-'Assumption Setting'!$E$98)-1)/12)+MOD((10-'Assumption Setting'!$E$98)-1,12)))</f>
        <v>0.920664929963144</v>
      </c>
      <c r="M119" s="93" t="n">
        <f aca="true">L119+M118-IF((11-'Assumption Setting'!$E$98)&lt;1,0,OFFSET($A$118,0,2+13*INT(((11-'Assumption Setting'!$E$98)-1)/12)+MOD((11-'Assumption Setting'!$E$98)-1,12)))</f>
        <v>1.05218849138645</v>
      </c>
      <c r="N119" s="93" t="n">
        <f aca="true">M119+N118-IF((12-'Assumption Setting'!$E$98)&lt;1,0,OFFSET($A$118,0,2+13*INT(((12-'Assumption Setting'!$E$98)-1)/12)+MOD((12-'Assumption Setting'!$E$98)-1,12)))</f>
        <v>1.18371205280976</v>
      </c>
      <c r="O119" s="91" t="n">
        <f aca="false">AA119</f>
        <v>2.40768961485538</v>
      </c>
      <c r="P119" s="93" t="n">
        <f aca="true">N119+P118-IF((13-'Assumption Setting'!$E$98)&lt;1,0,OFFSET($A$118,0,2+13*INT(((13-'Assumption Setting'!$E$98)-1)/12)+MOD((13-'Assumption Setting'!$E$98)-1,12)))</f>
        <v>1.31523561423306</v>
      </c>
      <c r="Q119" s="93" t="n">
        <f aca="true">P119+Q118-IF((14-'Assumption Setting'!$E$98)&lt;1,0,OFFSET($A$118,0,2+13*INT(((14-'Assumption Setting'!$E$98)-1)/12)+MOD((14-'Assumption Setting'!$E$98)-1,12)))</f>
        <v>1.44675917565637</v>
      </c>
      <c r="R119" s="93" t="n">
        <f aca="true">Q119+R118-IF((15-'Assumption Setting'!$E$98)&lt;1,0,OFFSET($A$118,0,2+13*INT(((15-'Assumption Setting'!$E$98)-1)/12)+MOD((15-'Assumption Setting'!$E$98)-1,12)))</f>
        <v>1.59143509322201</v>
      </c>
      <c r="S119" s="93" t="n">
        <f aca="true">R119+S118-IF((16-'Assumption Setting'!$E$98)&lt;1,0,OFFSET($A$118,0,2+13*INT(((16-'Assumption Setting'!$E$98)-1)/12)+MOD((16-'Assumption Setting'!$E$98)-1,12)))</f>
        <v>1.68213004007016</v>
      </c>
      <c r="T119" s="93" t="n">
        <f aca="true">S119+T118-IF((17-'Assumption Setting'!$E$98)&lt;1,0,OFFSET($A$118,0,2+13*INT(((17-'Assumption Setting'!$E$98)-1)/12)+MOD((17-'Assumption Setting'!$E$98)-1,12)))</f>
        <v>1.77282498691831</v>
      </c>
      <c r="U119" s="93" t="n">
        <f aca="true">T119+U118-IF((18-'Assumption Setting'!$E$98)&lt;1,0,OFFSET($A$118,0,2+13*INT(((18-'Assumption Setting'!$E$98)-1)/12)+MOD((18-'Assumption Setting'!$E$98)-1,12)))</f>
        <v>1.86351993376646</v>
      </c>
      <c r="V119" s="93" t="n">
        <f aca="true">U119+V118-IF((19-'Assumption Setting'!$E$98)&lt;1,0,OFFSET($A$118,0,2+13*INT(((19-'Assumption Setting'!$E$98)-1)/12)+MOD((19-'Assumption Setting'!$E$98)-1,12)))</f>
        <v>1.95421488061462</v>
      </c>
      <c r="W119" s="93" t="n">
        <f aca="true">V119+W118-IF((20-'Assumption Setting'!$E$98)&lt;1,0,OFFSET($A$118,0,2+13*INT(((20-'Assumption Setting'!$E$98)-1)/12)+MOD((20-'Assumption Setting'!$E$98)-1,12)))</f>
        <v>2.04490982746277</v>
      </c>
      <c r="X119" s="93" t="n">
        <f aca="true">W119+X118-IF((21-'Assumption Setting'!$E$98)&lt;1,0,OFFSET($A$118,0,2+13*INT(((21-'Assumption Setting'!$E$98)-1)/12)+MOD((21-'Assumption Setting'!$E$98)-1,12)))</f>
        <v>2.13560477431092</v>
      </c>
      <c r="Y119" s="93" t="n">
        <f aca="true">X119+Y118-IF((22-'Assumption Setting'!$E$98)&lt;1,0,OFFSET($A$118,0,2+13*INT(((22-'Assumption Setting'!$E$98)-1)/12)+MOD((22-'Assumption Setting'!$E$98)-1,12)))</f>
        <v>2.22629972115907</v>
      </c>
      <c r="Z119" s="93" t="n">
        <f aca="true">Y119+Z118-IF((23-'Assumption Setting'!$E$98)&lt;1,0,OFFSET($A$118,0,2+13*INT(((23-'Assumption Setting'!$E$98)-1)/12)+MOD((23-'Assumption Setting'!$E$98)-1,12)))</f>
        <v>2.31699466800722</v>
      </c>
      <c r="AA119" s="93" t="n">
        <f aca="true">Z119+AA118-IF((24-'Assumption Setting'!$E$98)&lt;1,0,OFFSET($A$118,0,2+13*INT(((24-'Assumption Setting'!$E$98)-1)/12)+MOD((24-'Assumption Setting'!$E$98)-1,12)))</f>
        <v>2.40768961485538</v>
      </c>
      <c r="AB119" s="91" t="n">
        <f aca="false">AN119</f>
        <v>3.9591034724786</v>
      </c>
      <c r="AC119" s="93" t="n">
        <f aca="true">AA119+AC118-IF((25-'Assumption Setting'!$E$98)&lt;1,0,OFFSET($A$118,0,2+13*INT(((25-'Assumption Setting'!$E$98)-1)/12)+MOD((25-'Assumption Setting'!$E$98)-1,12)))</f>
        <v>2.49838456170353</v>
      </c>
      <c r="AD119" s="93" t="n">
        <f aca="true">AC119+AD118-IF((26-'Assumption Setting'!$E$98)&lt;1,0,OFFSET($A$118,0,2+13*INT(((26-'Assumption Setting'!$E$98)-1)/12)+MOD((26-'Assumption Setting'!$E$98)-1,12)))</f>
        <v>2.58907950855168</v>
      </c>
      <c r="AE119" s="93" t="n">
        <f aca="true">AD119+AE118-IF((27-'Assumption Setting'!$E$98)&lt;1,0,OFFSET($A$118,0,2+13*INT(((27-'Assumption Setting'!$E$98)-1)/12)+MOD((27-'Assumption Setting'!$E$98)-1,12)))</f>
        <v>2.68682378182763</v>
      </c>
      <c r="AF119" s="93" t="n">
        <f aca="true">AE119+AF118-IF((28-'Assumption Setting'!$E$98)&lt;1,0,OFFSET($A$118,0,2+13*INT(((28-'Assumption Setting'!$E$98)-1)/12)+MOD((28-'Assumption Setting'!$E$98)-1,12)))</f>
        <v>2.82818819189996</v>
      </c>
      <c r="AG119" s="93" t="n">
        <f aca="true">AF119+AG118-IF((29-'Assumption Setting'!$E$98)&lt;1,0,OFFSET($A$118,0,2+13*INT(((29-'Assumption Setting'!$E$98)-1)/12)+MOD((29-'Assumption Setting'!$E$98)-1,12)))</f>
        <v>2.96955260197229</v>
      </c>
      <c r="AH119" s="93" t="n">
        <f aca="true">AG119+AH118-IF((30-'Assumption Setting'!$E$98)&lt;1,0,OFFSET($A$118,0,2+13*INT(((30-'Assumption Setting'!$E$98)-1)/12)+MOD((30-'Assumption Setting'!$E$98)-1,12)))</f>
        <v>3.11091701204462</v>
      </c>
      <c r="AI119" s="93" t="n">
        <f aca="true">AH119+AI118-IF((31-'Assumption Setting'!$E$98)&lt;1,0,OFFSET($A$118,0,2+13*INT(((31-'Assumption Setting'!$E$98)-1)/12)+MOD((31-'Assumption Setting'!$E$98)-1,12)))</f>
        <v>3.25228142211695</v>
      </c>
      <c r="AJ119" s="93" t="n">
        <f aca="true">AI119+AJ118-IF((32-'Assumption Setting'!$E$98)&lt;1,0,OFFSET($A$118,0,2+13*INT(((32-'Assumption Setting'!$E$98)-1)/12)+MOD((32-'Assumption Setting'!$E$98)-1,12)))</f>
        <v>3.39364583218928</v>
      </c>
      <c r="AK119" s="93" t="n">
        <f aca="true">AJ119+AK118-IF((33-'Assumption Setting'!$E$98)&lt;1,0,OFFSET($A$118,0,2+13*INT(((33-'Assumption Setting'!$E$98)-1)/12)+MOD((33-'Assumption Setting'!$E$98)-1,12)))</f>
        <v>3.53501024226161</v>
      </c>
      <c r="AL119" s="93" t="n">
        <f aca="true">AK119+AL118-IF((34-'Assumption Setting'!$E$98)&lt;1,0,OFFSET($A$118,0,2+13*INT(((34-'Assumption Setting'!$E$98)-1)/12)+MOD((34-'Assumption Setting'!$E$98)-1,12)))</f>
        <v>3.67637465233394</v>
      </c>
      <c r="AM119" s="93" t="n">
        <f aca="true">AL119+AM118-IF((35-'Assumption Setting'!$E$98)&lt;1,0,OFFSET($A$118,0,2+13*INT(((35-'Assumption Setting'!$E$98)-1)/12)+MOD((35-'Assumption Setting'!$E$98)-1,12)))</f>
        <v>3.81773906240627</v>
      </c>
      <c r="AN119" s="93" t="n">
        <f aca="true">AM119+AN118-IF((36-'Assumption Setting'!$E$98)&lt;1,0,OFFSET($A$118,0,2+13*INT(((36-'Assumption Setting'!$E$98)-1)/12)+MOD((36-'Assumption Setting'!$E$98)-1,12)))</f>
        <v>3.9591034724786</v>
      </c>
      <c r="AO119" s="91" t="n">
        <f aca="false">BA119</f>
        <v>5.52645066209468</v>
      </c>
      <c r="AP119" s="93" t="n">
        <f aca="true">AN119+AP118-IF((37-'Assumption Setting'!$E$98)&lt;1,0,OFFSET($A$118,0,2+13*INT(((37-'Assumption Setting'!$E$98)-1)/12)+MOD((37-'Assumption Setting'!$E$98)-1,12)))</f>
        <v>4.10046788255093</v>
      </c>
      <c r="AQ119" s="93" t="n">
        <f aca="true">AP119+AQ118-IF((38-'Assumption Setting'!$E$98)&lt;1,0,OFFSET($A$118,0,2+13*INT(((38-'Assumption Setting'!$E$98)-1)/12)+MOD((38-'Assumption Setting'!$E$98)-1,12)))</f>
        <v>4.24183229262325</v>
      </c>
      <c r="AR119" s="93" t="n">
        <f aca="true">AQ119+AR118-IF((39-'Assumption Setting'!$E$98)&lt;1,0,OFFSET($A$118,0,2+13*INT(((39-'Assumption Setting'!$E$98)-1)/12)+MOD((39-'Assumption Setting'!$E$98)-1,12)))</f>
        <v>4.37814430838978</v>
      </c>
      <c r="AS119" s="93" t="n">
        <f aca="true">AR119+AS118-IF((40-'Assumption Setting'!$E$98)&lt;1,0,OFFSET($A$118,0,2+13*INT(((40-'Assumption Setting'!$E$98)-1)/12)+MOD((40-'Assumption Setting'!$E$98)-1,12)))</f>
        <v>4.50573390324588</v>
      </c>
      <c r="AT119" s="93" t="n">
        <f aca="true">AS119+AT118-IF((41-'Assumption Setting'!$E$98)&lt;1,0,OFFSET($A$118,0,2+13*INT(((41-'Assumption Setting'!$E$98)-1)/12)+MOD((41-'Assumption Setting'!$E$98)-1,12)))</f>
        <v>4.63332349810198</v>
      </c>
      <c r="AU119" s="93" t="n">
        <f aca="true">AT119+AU118-IF((42-'Assumption Setting'!$E$98)&lt;1,0,OFFSET($A$118,0,2+13*INT(((42-'Assumption Setting'!$E$98)-1)/12)+MOD((42-'Assumption Setting'!$E$98)-1,12)))</f>
        <v>4.76091309295808</v>
      </c>
      <c r="AV119" s="93" t="n">
        <f aca="true">AU119+AV118-IF((43-'Assumption Setting'!$E$98)&lt;1,0,OFFSET($A$118,0,2+13*INT(((43-'Assumption Setting'!$E$98)-1)/12)+MOD((43-'Assumption Setting'!$E$98)-1,12)))</f>
        <v>4.88850268781418</v>
      </c>
      <c r="AW119" s="93" t="n">
        <f aca="true">AV119+AW118-IF((44-'Assumption Setting'!$E$98)&lt;1,0,OFFSET($A$118,0,2+13*INT(((44-'Assumption Setting'!$E$98)-1)/12)+MOD((44-'Assumption Setting'!$E$98)-1,12)))</f>
        <v>5.01609228267028</v>
      </c>
      <c r="AX119" s="93" t="n">
        <f aca="true">AW119+AX118-IF((45-'Assumption Setting'!$E$98)&lt;1,0,OFFSET($A$118,0,2+13*INT(((45-'Assumption Setting'!$E$98)-1)/12)+MOD((45-'Assumption Setting'!$E$98)-1,12)))</f>
        <v>5.14368187752638</v>
      </c>
      <c r="AY119" s="93" t="n">
        <f aca="true">AX119+AY118-IF((46-'Assumption Setting'!$E$98)&lt;1,0,OFFSET($A$118,0,2+13*INT(((46-'Assumption Setting'!$E$98)-1)/12)+MOD((46-'Assumption Setting'!$E$98)-1,12)))</f>
        <v>5.27127147238248</v>
      </c>
      <c r="AZ119" s="93" t="n">
        <f aca="true">AY119+AZ118-IF((47-'Assumption Setting'!$E$98)&lt;1,0,OFFSET($A$118,0,2+13*INT(((47-'Assumption Setting'!$E$98)-1)/12)+MOD((47-'Assumption Setting'!$E$98)-1,12)))</f>
        <v>5.39886106723858</v>
      </c>
      <c r="BA119" s="93" t="n">
        <f aca="true">AZ119+BA118-IF((48-'Assumption Setting'!$E$98)&lt;1,0,OFFSET($A$118,0,2+13*INT(((48-'Assumption Setting'!$E$98)-1)/12)+MOD((48-'Assumption Setting'!$E$98)-1,12)))</f>
        <v>5.52645066209468</v>
      </c>
      <c r="BB119" s="91" t="n">
        <f aca="false">BN119</f>
        <v>7.14104149157924</v>
      </c>
      <c r="BC119" s="93" t="n">
        <f aca="true">BA119+BC118-IF((49-'Assumption Setting'!$E$98)&lt;1,0,OFFSET($A$118,0,2+13*INT(((49-'Assumption Setting'!$E$98)-1)/12)+MOD((49-'Assumption Setting'!$E$98)-1,12)))</f>
        <v>5.65404025695078</v>
      </c>
      <c r="BD119" s="93" t="n">
        <f aca="true">BC119+BD118-IF((50-'Assumption Setting'!$E$98)&lt;1,0,OFFSET($A$118,0,2+13*INT(((50-'Assumption Setting'!$E$98)-1)/12)+MOD((50-'Assumption Setting'!$E$98)-1,12)))</f>
        <v>5.78162985180688</v>
      </c>
      <c r="BE119" s="93" t="n">
        <f aca="true">BD119+BE118-IF((51-'Assumption Setting'!$E$98)&lt;1,0,OFFSET($A$118,0,2+13*INT(((51-'Assumption Setting'!$E$98)-1)/12)+MOD((51-'Assumption Setting'!$E$98)-1,12)))</f>
        <v>5.91371705892666</v>
      </c>
      <c r="BF119" s="93" t="n">
        <f aca="true">BE119+BF118-IF((52-'Assumption Setting'!$E$98)&lt;1,0,OFFSET($A$118,0,2+13*INT(((52-'Assumption Setting'!$E$98)-1)/12)+MOD((52-'Assumption Setting'!$E$98)-1,12)))</f>
        <v>6.0500864403325</v>
      </c>
      <c r="BG119" s="93" t="n">
        <f aca="true">BF119+BG118-IF((53-'Assumption Setting'!$E$98)&lt;1,0,OFFSET($A$118,0,2+13*INT(((53-'Assumption Setting'!$E$98)-1)/12)+MOD((53-'Assumption Setting'!$E$98)-1,12)))</f>
        <v>6.18645582173834</v>
      </c>
      <c r="BH119" s="93" t="n">
        <f aca="true">BG119+BH118-IF((54-'Assumption Setting'!$E$98)&lt;1,0,OFFSET($A$118,0,2+13*INT(((54-'Assumption Setting'!$E$98)-1)/12)+MOD((54-'Assumption Setting'!$E$98)-1,12)))</f>
        <v>6.32282520314418</v>
      </c>
      <c r="BI119" s="93" t="n">
        <f aca="true">BH119+BI118-IF((55-'Assumption Setting'!$E$98)&lt;1,0,OFFSET($A$118,0,2+13*INT(((55-'Assumption Setting'!$E$98)-1)/12)+MOD((55-'Assumption Setting'!$E$98)-1,12)))</f>
        <v>6.45919458455002</v>
      </c>
      <c r="BJ119" s="93" t="n">
        <f aca="true">BI119+BJ118-IF((56-'Assumption Setting'!$E$98)&lt;1,0,OFFSET($A$118,0,2+13*INT(((56-'Assumption Setting'!$E$98)-1)/12)+MOD((56-'Assumption Setting'!$E$98)-1,12)))</f>
        <v>6.59556396595587</v>
      </c>
      <c r="BK119" s="93" t="n">
        <f aca="true">BJ119+BK118-IF((57-'Assumption Setting'!$E$98)&lt;1,0,OFFSET($A$118,0,2+13*INT(((57-'Assumption Setting'!$E$98)-1)/12)+MOD((57-'Assumption Setting'!$E$98)-1,12)))</f>
        <v>6.73193334736171</v>
      </c>
      <c r="BL119" s="93" t="n">
        <f aca="true">BK119+BL118-IF((58-'Assumption Setting'!$E$98)&lt;1,0,OFFSET($A$118,0,2+13*INT(((58-'Assumption Setting'!$E$98)-1)/12)+MOD((58-'Assumption Setting'!$E$98)-1,12)))</f>
        <v>6.86830272876755</v>
      </c>
      <c r="BM119" s="93" t="n">
        <f aca="true">BL119+BM118-IF((59-'Assumption Setting'!$E$98)&lt;1,0,OFFSET($A$118,0,2+13*INT(((59-'Assumption Setting'!$E$98)-1)/12)+MOD((59-'Assumption Setting'!$E$98)-1,12)))</f>
        <v>7.00467211017339</v>
      </c>
      <c r="BN119" s="93" t="n">
        <f aca="true">BM119+BN118-IF((60-'Assumption Setting'!$E$98)&lt;1,0,OFFSET($A$118,0,2+13*INT(((60-'Assumption Setting'!$E$98)-1)/12)+MOD((60-'Assumption Setting'!$E$98)-1,12)))</f>
        <v>7.14104149157924</v>
      </c>
    </row>
    <row r="120" customFormat="false" ht="15" hidden="false" customHeight="false" outlineLevel="0" collapsed="false">
      <c r="A120" s="12" t="s">
        <v>638</v>
      </c>
      <c r="B120" s="91" t="n">
        <f aca="false">SUM(C120:N120)</f>
        <v>0.236742410561951</v>
      </c>
      <c r="C120" s="92" t="n">
        <f aca="false">IF(1&lt;'Assumption Setting'!$F$99,0,IFERROR(C73*'Assumption Setting'!$C$99/C104,0))</f>
        <v>0</v>
      </c>
      <c r="D120" s="92" t="n">
        <f aca="false">IF(2&lt;'Assumption Setting'!$F$99,0,IFERROR(D73*'Assumption Setting'!$C$99/D104,0))</f>
        <v>0</v>
      </c>
      <c r="E120" s="92" t="n">
        <f aca="false">IF(3&lt;'Assumption Setting'!$F$99,0,IFERROR(E73*'Assumption Setting'!$C$99/E104,0))</f>
        <v>0</v>
      </c>
      <c r="F120" s="92" t="n">
        <f aca="false">IF(4&lt;'Assumption Setting'!$F$99,0,IFERROR(F73*'Assumption Setting'!$C$99/F104,0))</f>
        <v>0.0263047122846613</v>
      </c>
      <c r="G120" s="92" t="n">
        <f aca="false">IF(5&lt;'Assumption Setting'!$F$99,0,IFERROR(G73*'Assumption Setting'!$C$99/G104,0))</f>
        <v>0.0263047122846613</v>
      </c>
      <c r="H120" s="92" t="n">
        <f aca="false">IF(6&lt;'Assumption Setting'!$F$99,0,IFERROR(H73*'Assumption Setting'!$C$99/H104,0))</f>
        <v>0.0263047122846613</v>
      </c>
      <c r="I120" s="92" t="n">
        <f aca="false">IF(7&lt;'Assumption Setting'!$F$99,0,IFERROR(I73*'Assumption Setting'!$C$99/I104,0))</f>
        <v>0.0263047122846613</v>
      </c>
      <c r="J120" s="92" t="n">
        <f aca="false">IF(8&lt;'Assumption Setting'!$F$99,0,IFERROR(J73*'Assumption Setting'!$C$99/J104,0))</f>
        <v>0.0263047122846613</v>
      </c>
      <c r="K120" s="92" t="n">
        <f aca="false">IF(9&lt;'Assumption Setting'!$F$99,0,IFERROR(K73*'Assumption Setting'!$C$99/K104,0))</f>
        <v>0.0263047122846613</v>
      </c>
      <c r="L120" s="92" t="n">
        <f aca="false">IF(10&lt;'Assumption Setting'!$F$99,0,IFERROR(L73*'Assumption Setting'!$C$99/L104,0))</f>
        <v>0.0263047122846613</v>
      </c>
      <c r="M120" s="92" t="n">
        <f aca="false">IF(11&lt;'Assumption Setting'!$F$99,0,IFERROR(M73*'Assumption Setting'!$C$99/M104,0))</f>
        <v>0.0263047122846613</v>
      </c>
      <c r="N120" s="92" t="n">
        <f aca="false">IF(12&lt;'Assumption Setting'!$F$99,0,IFERROR(N73*'Assumption Setting'!$C$99/N104,0))</f>
        <v>0.0263047122846613</v>
      </c>
      <c r="O120" s="91" t="n">
        <f aca="false">SUM(P120:AA120)</f>
        <v>0.481537922971075</v>
      </c>
      <c r="P120" s="92" t="n">
        <f aca="false">IF(13&lt;'Assumption Setting'!$F$99,0,IFERROR(P73*'Assumption Setting'!$C$99/P104,0))</f>
        <v>0.0263047122846613</v>
      </c>
      <c r="Q120" s="92" t="n">
        <f aca="false">IF(14&lt;'Assumption Setting'!$F$99,0,IFERROR(Q73*'Assumption Setting'!$C$99/Q104,0))</f>
        <v>0.0263047122846613</v>
      </c>
      <c r="R120" s="92" t="n">
        <f aca="false">IF(15&lt;'Assumption Setting'!$F$99,0,IFERROR(R73*'Assumption Setting'!$C$99/R104,0))</f>
        <v>0.0289351835131274</v>
      </c>
      <c r="S120" s="92" t="n">
        <f aca="false">IF(16&lt;'Assumption Setting'!$F$99,0,IFERROR(S73*'Assumption Setting'!$C$99/S104,0))</f>
        <v>0.0444437016542917</v>
      </c>
      <c r="T120" s="92" t="n">
        <f aca="false">IF(17&lt;'Assumption Setting'!$F$99,0,IFERROR(T73*'Assumption Setting'!$C$99/T104,0))</f>
        <v>0.0444437016542917</v>
      </c>
      <c r="U120" s="92" t="n">
        <f aca="false">IF(18&lt;'Assumption Setting'!$F$99,0,IFERROR(U73*'Assumption Setting'!$C$99/U104,0))</f>
        <v>0.0444437016542917</v>
      </c>
      <c r="V120" s="92" t="n">
        <f aca="false">IF(19&lt;'Assumption Setting'!$F$99,0,IFERROR(V73*'Assumption Setting'!$C$99/V104,0))</f>
        <v>0.0444437016542917</v>
      </c>
      <c r="W120" s="92" t="n">
        <f aca="false">IF(20&lt;'Assumption Setting'!$F$99,0,IFERROR(W73*'Assumption Setting'!$C$99/W104,0))</f>
        <v>0.0444437016542917</v>
      </c>
      <c r="X120" s="92" t="n">
        <f aca="false">IF(21&lt;'Assumption Setting'!$F$99,0,IFERROR(X73*'Assumption Setting'!$C$99/X104,0))</f>
        <v>0.0444437016542917</v>
      </c>
      <c r="Y120" s="92" t="n">
        <f aca="false">IF(22&lt;'Assumption Setting'!$F$99,0,IFERROR(Y73*'Assumption Setting'!$C$99/Y104,0))</f>
        <v>0.0444437016542917</v>
      </c>
      <c r="Z120" s="92" t="n">
        <f aca="false">IF(23&lt;'Assumption Setting'!$F$99,0,IFERROR(Z73*'Assumption Setting'!$C$99/Z104,0))</f>
        <v>0.0444437016542917</v>
      </c>
      <c r="AA120" s="92" t="n">
        <f aca="false">IF(24&lt;'Assumption Setting'!$F$99,0,IFERROR(AA73*'Assumption Setting'!$C$99/AA104,0))</f>
        <v>0.0444437016542917</v>
      </c>
      <c r="AB120" s="91" t="n">
        <f aca="false">SUM(AC120:AN120)</f>
        <v>0.791820694495719</v>
      </c>
      <c r="AC120" s="92" t="n">
        <f aca="false">IF(25&lt;'Assumption Setting'!$F$99,0,IFERROR(AC73*'Assumption Setting'!$C$99/AC104,0))</f>
        <v>0.0444437016542917</v>
      </c>
      <c r="AD120" s="92" t="n">
        <f aca="false">IF(26&lt;'Assumption Setting'!$F$99,0,IFERROR(AD73*'Assumption Setting'!$C$99/AD104,0))</f>
        <v>0.0444437016542917</v>
      </c>
      <c r="AE120" s="92" t="n">
        <f aca="false">IF(27&lt;'Assumption Setting'!$F$99,0,IFERROR(AE73*'Assumption Setting'!$C$99/AE104,0))</f>
        <v>0.0484840381683182</v>
      </c>
      <c r="AF120" s="92" t="n">
        <f aca="false">IF(28&lt;'Assumption Setting'!$F$99,0,IFERROR(AF73*'Assumption Setting'!$C$99/AF104,0))</f>
        <v>0.0727165836687575</v>
      </c>
      <c r="AG120" s="92" t="n">
        <f aca="false">IF(29&lt;'Assumption Setting'!$F$99,0,IFERROR(AG73*'Assumption Setting'!$C$99/AG104,0))</f>
        <v>0.0727165836687575</v>
      </c>
      <c r="AH120" s="92" t="n">
        <f aca="false">IF(30&lt;'Assumption Setting'!$F$99,0,IFERROR(AH73*'Assumption Setting'!$C$99/AH104,0))</f>
        <v>0.0727165836687575</v>
      </c>
      <c r="AI120" s="92" t="n">
        <f aca="false">IF(31&lt;'Assumption Setting'!$F$99,0,IFERROR(AI73*'Assumption Setting'!$C$99/AI104,0))</f>
        <v>0.0727165836687575</v>
      </c>
      <c r="AJ120" s="92" t="n">
        <f aca="false">IF(32&lt;'Assumption Setting'!$F$99,0,IFERROR(AJ73*'Assumption Setting'!$C$99/AJ104,0))</f>
        <v>0.0727165836687575</v>
      </c>
      <c r="AK120" s="92" t="n">
        <f aca="false">IF(33&lt;'Assumption Setting'!$F$99,0,IFERROR(AK73*'Assumption Setting'!$C$99/AK104,0))</f>
        <v>0.0727165836687575</v>
      </c>
      <c r="AL120" s="92" t="n">
        <f aca="false">IF(34&lt;'Assumption Setting'!$F$99,0,IFERROR(AL73*'Assumption Setting'!$C$99/AL104,0))</f>
        <v>0.0727165836687575</v>
      </c>
      <c r="AM120" s="92" t="n">
        <f aca="false">IF(35&lt;'Assumption Setting'!$F$99,0,IFERROR(AM73*'Assumption Setting'!$C$99/AM104,0))</f>
        <v>0.0727165836687575</v>
      </c>
      <c r="AN120" s="92" t="n">
        <f aca="false">IF(36&lt;'Assumption Setting'!$F$99,0,IFERROR(AN73*'Assumption Setting'!$C$99/AN104,0))</f>
        <v>0.0727165836687575</v>
      </c>
      <c r="AO120" s="91" t="n">
        <f aca="false">SUM(AP120:BA120)</f>
        <v>1.10529013241894</v>
      </c>
      <c r="AP120" s="92" t="n">
        <f aca="false">IF(37&lt;'Assumption Setting'!$F$99,0,IFERROR(AP73*'Assumption Setting'!$C$99/AP104,0))</f>
        <v>0.0727165836687575</v>
      </c>
      <c r="AQ120" s="92" t="n">
        <f aca="false">IF(38&lt;'Assumption Setting'!$F$99,0,IFERROR(AQ73*'Assumption Setting'!$C$99/AQ104,0))</f>
        <v>0.0727165836687575</v>
      </c>
      <c r="AR120" s="92" t="n">
        <f aca="false">IF(39&lt;'Assumption Setting'!$F$99,0,IFERROR(AR73*'Assumption Setting'!$C$99/AR104,0))</f>
        <v>0.0757464413216224</v>
      </c>
      <c r="AS120" s="92" t="n">
        <f aca="false">IF(40&lt;'Assumption Setting'!$F$99,0,IFERROR(AS73*'Assumption Setting'!$C$99/AS104,0))</f>
        <v>0.0982345026399777</v>
      </c>
      <c r="AT120" s="92" t="n">
        <f aca="false">IF(41&lt;'Assumption Setting'!$F$99,0,IFERROR(AT73*'Assumption Setting'!$C$99/AT104,0))</f>
        <v>0.0982345026399777</v>
      </c>
      <c r="AU120" s="92" t="n">
        <f aca="false">IF(42&lt;'Assumption Setting'!$F$99,0,IFERROR(AU73*'Assumption Setting'!$C$99/AU104,0))</f>
        <v>0.0982345026399777</v>
      </c>
      <c r="AV120" s="92" t="n">
        <f aca="false">IF(43&lt;'Assumption Setting'!$F$99,0,IFERROR(AV73*'Assumption Setting'!$C$99/AV104,0))</f>
        <v>0.0982345026399777</v>
      </c>
      <c r="AW120" s="92" t="n">
        <f aca="false">IF(44&lt;'Assumption Setting'!$F$99,0,IFERROR(AW73*'Assumption Setting'!$C$99/AW104,0))</f>
        <v>0.0982345026399777</v>
      </c>
      <c r="AX120" s="92" t="n">
        <f aca="false">IF(45&lt;'Assumption Setting'!$F$99,0,IFERROR(AX73*'Assumption Setting'!$C$99/AX104,0))</f>
        <v>0.0982345026399777</v>
      </c>
      <c r="AY120" s="92" t="n">
        <f aca="false">IF(46&lt;'Assumption Setting'!$F$99,0,IFERROR(AY73*'Assumption Setting'!$C$99/AY104,0))</f>
        <v>0.0982345026399777</v>
      </c>
      <c r="AZ120" s="92" t="n">
        <f aca="false">IF(47&lt;'Assumption Setting'!$F$99,0,IFERROR(AZ73*'Assumption Setting'!$C$99/AZ104,0))</f>
        <v>0.0982345026399777</v>
      </c>
      <c r="BA120" s="92" t="n">
        <f aca="false">IF(48&lt;'Assumption Setting'!$F$99,0,IFERROR(BA73*'Assumption Setting'!$C$99/BA104,0))</f>
        <v>0.0982345026399777</v>
      </c>
      <c r="BB120" s="91" t="n">
        <f aca="false">SUM(BC120:BN120)</f>
        <v>1.42820829831585</v>
      </c>
      <c r="BC120" s="92" t="n">
        <f aca="false">IF(49&lt;'Assumption Setting'!$F$99,0,IFERROR(BC73*'Assumption Setting'!$C$99/BC104,0))</f>
        <v>0.0982345026399777</v>
      </c>
      <c r="BD120" s="92" t="n">
        <f aca="false">IF(50&lt;'Assumption Setting'!$F$99,0,IFERROR(BD73*'Assumption Setting'!$C$99/BD104,0))</f>
        <v>0.0982345026399777</v>
      </c>
      <c r="BE120" s="92" t="n">
        <f aca="false">IF(51&lt;'Assumption Setting'!$F$99,0,IFERROR(BE73*'Assumption Setting'!$C$99/BE104,0))</f>
        <v>0.102163882745577</v>
      </c>
      <c r="BF120" s="92" t="n">
        <f aca="false">IF(52&lt;'Assumption Setting'!$F$99,0,IFERROR(BF73*'Assumption Setting'!$C$99/BF104,0))</f>
        <v>0.125508378921146</v>
      </c>
      <c r="BG120" s="92" t="n">
        <f aca="false">IF(53&lt;'Assumption Setting'!$F$99,0,IFERROR(BG73*'Assumption Setting'!$C$99/BG104,0))</f>
        <v>0.125508378921146</v>
      </c>
      <c r="BH120" s="92" t="n">
        <f aca="false">IF(54&lt;'Assumption Setting'!$F$99,0,IFERROR(BH73*'Assumption Setting'!$C$99/BH104,0))</f>
        <v>0.125508378921146</v>
      </c>
      <c r="BI120" s="92" t="n">
        <f aca="false">IF(55&lt;'Assumption Setting'!$F$99,0,IFERROR(BI73*'Assumption Setting'!$C$99/BI104,0))</f>
        <v>0.125508378921146</v>
      </c>
      <c r="BJ120" s="92" t="n">
        <f aca="false">IF(56&lt;'Assumption Setting'!$F$99,0,IFERROR(BJ73*'Assumption Setting'!$C$99/BJ104,0))</f>
        <v>0.125508378921146</v>
      </c>
      <c r="BK120" s="92" t="n">
        <f aca="false">IF(57&lt;'Assumption Setting'!$F$99,0,IFERROR(BK73*'Assumption Setting'!$C$99/BK104,0))</f>
        <v>0.125508378921146</v>
      </c>
      <c r="BL120" s="92" t="n">
        <f aca="false">IF(58&lt;'Assumption Setting'!$F$99,0,IFERROR(BL73*'Assumption Setting'!$C$99/BL104,0))</f>
        <v>0.125508378921146</v>
      </c>
      <c r="BM120" s="92" t="n">
        <f aca="false">IF(59&lt;'Assumption Setting'!$F$99,0,IFERROR(BM73*'Assumption Setting'!$C$99/BM104,0))</f>
        <v>0.125508378921146</v>
      </c>
      <c r="BN120" s="92" t="n">
        <f aca="false">IF(60&lt;'Assumption Setting'!$F$99,0,IFERROR(BN73*'Assumption Setting'!$C$99/BN104,0))</f>
        <v>0.125508378921146</v>
      </c>
    </row>
    <row r="121" customFormat="false" ht="15" hidden="false" customHeight="false" outlineLevel="0" collapsed="false">
      <c r="A121" s="69" t="s">
        <v>639</v>
      </c>
      <c r="B121" s="91" t="n">
        <f aca="false">N121</f>
        <v>0.236742410561951</v>
      </c>
      <c r="C121" s="93" t="n">
        <f aca="false">C120</f>
        <v>0</v>
      </c>
      <c r="D121" s="93" t="n">
        <f aca="true">C121+D120-IF((2-'Assumption Setting'!$E$99)&lt;1,0,OFFSET($A$120,0,2+13*INT(((2-'Assumption Setting'!$E$99)-1)/12)+MOD((2-'Assumption Setting'!$E$99)-1,12)))</f>
        <v>0</v>
      </c>
      <c r="E121" s="93" t="n">
        <f aca="true">D121+E120-IF((3-'Assumption Setting'!$E$99)&lt;1,0,OFFSET($A$120,0,2+13*INT(((3-'Assumption Setting'!$E$99)-1)/12)+MOD((3-'Assumption Setting'!$E$99)-1,12)))</f>
        <v>0</v>
      </c>
      <c r="F121" s="93" t="n">
        <f aca="true">E121+F120-IF((4-'Assumption Setting'!$E$99)&lt;1,0,OFFSET($A$120,0,2+13*INT(((4-'Assumption Setting'!$E$99)-1)/12)+MOD((4-'Assumption Setting'!$E$99)-1,12)))</f>
        <v>0.0263047122846613</v>
      </c>
      <c r="G121" s="93" t="n">
        <f aca="true">F121+G120-IF((5-'Assumption Setting'!$E$99)&lt;1,0,OFFSET($A$120,0,2+13*INT(((5-'Assumption Setting'!$E$99)-1)/12)+MOD((5-'Assumption Setting'!$E$99)-1,12)))</f>
        <v>0.0526094245693225</v>
      </c>
      <c r="H121" s="93" t="n">
        <f aca="true">G121+H120-IF((6-'Assumption Setting'!$E$99)&lt;1,0,OFFSET($A$120,0,2+13*INT(((6-'Assumption Setting'!$E$99)-1)/12)+MOD((6-'Assumption Setting'!$E$99)-1,12)))</f>
        <v>0.0789141368539838</v>
      </c>
      <c r="I121" s="93" t="n">
        <f aca="true">H121+I120-IF((7-'Assumption Setting'!$E$99)&lt;1,0,OFFSET($A$120,0,2+13*INT(((7-'Assumption Setting'!$E$99)-1)/12)+MOD((7-'Assumption Setting'!$E$99)-1,12)))</f>
        <v>0.105218849138645</v>
      </c>
      <c r="J121" s="93" t="n">
        <f aca="true">I121+J120-IF((8-'Assumption Setting'!$E$99)&lt;1,0,OFFSET($A$120,0,2+13*INT(((8-'Assumption Setting'!$E$99)-1)/12)+MOD((8-'Assumption Setting'!$E$99)-1,12)))</f>
        <v>0.131523561423306</v>
      </c>
      <c r="K121" s="93" t="n">
        <f aca="true">J121+K120-IF((9-'Assumption Setting'!$E$99)&lt;1,0,OFFSET($A$120,0,2+13*INT(((9-'Assumption Setting'!$E$99)-1)/12)+MOD((9-'Assumption Setting'!$E$99)-1,12)))</f>
        <v>0.157828273707968</v>
      </c>
      <c r="L121" s="93" t="n">
        <f aca="true">K121+L120-IF((10-'Assumption Setting'!$E$99)&lt;1,0,OFFSET($A$120,0,2+13*INT(((10-'Assumption Setting'!$E$99)-1)/12)+MOD((10-'Assumption Setting'!$E$99)-1,12)))</f>
        <v>0.184132985992629</v>
      </c>
      <c r="M121" s="93" t="n">
        <f aca="true">L121+M120-IF((11-'Assumption Setting'!$E$99)&lt;1,0,OFFSET($A$120,0,2+13*INT(((11-'Assumption Setting'!$E$99)-1)/12)+MOD((11-'Assumption Setting'!$E$99)-1,12)))</f>
        <v>0.21043769827729</v>
      </c>
      <c r="N121" s="93" t="n">
        <f aca="true">M121+N120-IF((12-'Assumption Setting'!$E$99)&lt;1,0,OFFSET($A$120,0,2+13*INT(((12-'Assumption Setting'!$E$99)-1)/12)+MOD((12-'Assumption Setting'!$E$99)-1,12)))</f>
        <v>0.236742410561951</v>
      </c>
      <c r="O121" s="91" t="n">
        <f aca="false">AA121</f>
        <v>0.481537922971075</v>
      </c>
      <c r="P121" s="93" t="n">
        <f aca="true">N121+P120-IF((13-'Assumption Setting'!$E$99)&lt;1,0,OFFSET($A$120,0,2+13*INT(((13-'Assumption Setting'!$E$99)-1)/12)+MOD((13-'Assumption Setting'!$E$99)-1,12)))</f>
        <v>0.263047122846613</v>
      </c>
      <c r="Q121" s="93" t="n">
        <f aca="true">P121+Q120-IF((14-'Assumption Setting'!$E$99)&lt;1,0,OFFSET($A$120,0,2+13*INT(((14-'Assumption Setting'!$E$99)-1)/12)+MOD((14-'Assumption Setting'!$E$99)-1,12)))</f>
        <v>0.289351835131274</v>
      </c>
      <c r="R121" s="93" t="n">
        <f aca="true">Q121+R120-IF((15-'Assumption Setting'!$E$99)&lt;1,0,OFFSET($A$120,0,2+13*INT(((15-'Assumption Setting'!$E$99)-1)/12)+MOD((15-'Assumption Setting'!$E$99)-1,12)))</f>
        <v>0.318287018644401</v>
      </c>
      <c r="S121" s="93" t="n">
        <f aca="true">R121+S120-IF((16-'Assumption Setting'!$E$99)&lt;1,0,OFFSET($A$120,0,2+13*INT(((16-'Assumption Setting'!$E$99)-1)/12)+MOD((16-'Assumption Setting'!$E$99)-1,12)))</f>
        <v>0.336426008014032</v>
      </c>
      <c r="T121" s="93" t="n">
        <f aca="true">S121+T120-IF((17-'Assumption Setting'!$E$99)&lt;1,0,OFFSET($A$120,0,2+13*INT(((17-'Assumption Setting'!$E$99)-1)/12)+MOD((17-'Assumption Setting'!$E$99)-1,12)))</f>
        <v>0.354564997383662</v>
      </c>
      <c r="U121" s="93" t="n">
        <f aca="true">T121+U120-IF((18-'Assumption Setting'!$E$99)&lt;1,0,OFFSET($A$120,0,2+13*INT(((18-'Assumption Setting'!$E$99)-1)/12)+MOD((18-'Assumption Setting'!$E$99)-1,12)))</f>
        <v>0.372703986753293</v>
      </c>
      <c r="V121" s="93" t="n">
        <f aca="true">U121+V120-IF((19-'Assumption Setting'!$E$99)&lt;1,0,OFFSET($A$120,0,2+13*INT(((19-'Assumption Setting'!$E$99)-1)/12)+MOD((19-'Assumption Setting'!$E$99)-1,12)))</f>
        <v>0.390842976122923</v>
      </c>
      <c r="W121" s="93" t="n">
        <f aca="true">V121+W120-IF((20-'Assumption Setting'!$E$99)&lt;1,0,OFFSET($A$120,0,2+13*INT(((20-'Assumption Setting'!$E$99)-1)/12)+MOD((20-'Assumption Setting'!$E$99)-1,12)))</f>
        <v>0.408981965492554</v>
      </c>
      <c r="X121" s="93" t="n">
        <f aca="true">W121+X120-IF((21-'Assumption Setting'!$E$99)&lt;1,0,OFFSET($A$120,0,2+13*INT(((21-'Assumption Setting'!$E$99)-1)/12)+MOD((21-'Assumption Setting'!$E$99)-1,12)))</f>
        <v>0.427120954862184</v>
      </c>
      <c r="Y121" s="93" t="n">
        <f aca="true">X121+Y120-IF((22-'Assumption Setting'!$E$99)&lt;1,0,OFFSET($A$120,0,2+13*INT(((22-'Assumption Setting'!$E$99)-1)/12)+MOD((22-'Assumption Setting'!$E$99)-1,12)))</f>
        <v>0.445259944231814</v>
      </c>
      <c r="Z121" s="93" t="n">
        <f aca="true">Y121+Z120-IF((23-'Assumption Setting'!$E$99)&lt;1,0,OFFSET($A$120,0,2+13*INT(((23-'Assumption Setting'!$E$99)-1)/12)+MOD((23-'Assumption Setting'!$E$99)-1,12)))</f>
        <v>0.463398933601445</v>
      </c>
      <c r="AA121" s="93" t="n">
        <f aca="true">Z121+AA120-IF((24-'Assumption Setting'!$E$99)&lt;1,0,OFFSET($A$120,0,2+13*INT(((24-'Assumption Setting'!$E$99)-1)/12)+MOD((24-'Assumption Setting'!$E$99)-1,12)))</f>
        <v>0.481537922971075</v>
      </c>
      <c r="AB121" s="91" t="n">
        <f aca="false">AN121</f>
        <v>0.79182069449572</v>
      </c>
      <c r="AC121" s="93" t="n">
        <f aca="true">AA121+AC120-IF((25-'Assumption Setting'!$E$99)&lt;1,0,OFFSET($A$120,0,2+13*INT(((25-'Assumption Setting'!$E$99)-1)/12)+MOD((25-'Assumption Setting'!$E$99)-1,12)))</f>
        <v>0.499676912340706</v>
      </c>
      <c r="AD121" s="93" t="n">
        <f aca="true">AC121+AD120-IF((26-'Assumption Setting'!$E$99)&lt;1,0,OFFSET($A$120,0,2+13*INT(((26-'Assumption Setting'!$E$99)-1)/12)+MOD((26-'Assumption Setting'!$E$99)-1,12)))</f>
        <v>0.517815901710336</v>
      </c>
      <c r="AE121" s="93" t="n">
        <f aca="true">AD121+AE120-IF((27-'Assumption Setting'!$E$99)&lt;1,0,OFFSET($A$120,0,2+13*INT(((27-'Assumption Setting'!$E$99)-1)/12)+MOD((27-'Assumption Setting'!$E$99)-1,12)))</f>
        <v>0.537364756365527</v>
      </c>
      <c r="AF121" s="93" t="n">
        <f aca="true">AE121+AF120-IF((28-'Assumption Setting'!$E$99)&lt;1,0,OFFSET($A$120,0,2+13*INT(((28-'Assumption Setting'!$E$99)-1)/12)+MOD((28-'Assumption Setting'!$E$99)-1,12)))</f>
        <v>0.565637638379993</v>
      </c>
      <c r="AG121" s="93" t="n">
        <f aca="true">AF121+AG120-IF((29-'Assumption Setting'!$E$99)&lt;1,0,OFFSET($A$120,0,2+13*INT(((29-'Assumption Setting'!$E$99)-1)/12)+MOD((29-'Assumption Setting'!$E$99)-1,12)))</f>
        <v>0.593910520394459</v>
      </c>
      <c r="AH121" s="93" t="n">
        <f aca="true">AG121+AH120-IF((30-'Assumption Setting'!$E$99)&lt;1,0,OFFSET($A$120,0,2+13*INT(((30-'Assumption Setting'!$E$99)-1)/12)+MOD((30-'Assumption Setting'!$E$99)-1,12)))</f>
        <v>0.622183402408925</v>
      </c>
      <c r="AI121" s="93" t="n">
        <f aca="true">AH121+AI120-IF((31-'Assumption Setting'!$E$99)&lt;1,0,OFFSET($A$120,0,2+13*INT(((31-'Assumption Setting'!$E$99)-1)/12)+MOD((31-'Assumption Setting'!$E$99)-1,12)))</f>
        <v>0.65045628442339</v>
      </c>
      <c r="AJ121" s="93" t="n">
        <f aca="true">AI121+AJ120-IF((32-'Assumption Setting'!$E$99)&lt;1,0,OFFSET($A$120,0,2+13*INT(((32-'Assumption Setting'!$E$99)-1)/12)+MOD((32-'Assumption Setting'!$E$99)-1,12)))</f>
        <v>0.678729166437856</v>
      </c>
      <c r="AK121" s="93" t="n">
        <f aca="true">AJ121+AK120-IF((33-'Assumption Setting'!$E$99)&lt;1,0,OFFSET($A$120,0,2+13*INT(((33-'Assumption Setting'!$E$99)-1)/12)+MOD((33-'Assumption Setting'!$E$99)-1,12)))</f>
        <v>0.707002048452322</v>
      </c>
      <c r="AL121" s="93" t="n">
        <f aca="true">AK121+AL120-IF((34-'Assumption Setting'!$E$99)&lt;1,0,OFFSET($A$120,0,2+13*INT(((34-'Assumption Setting'!$E$99)-1)/12)+MOD((34-'Assumption Setting'!$E$99)-1,12)))</f>
        <v>0.735274930466788</v>
      </c>
      <c r="AM121" s="93" t="n">
        <f aca="true">AL121+AM120-IF((35-'Assumption Setting'!$E$99)&lt;1,0,OFFSET($A$120,0,2+13*INT(((35-'Assumption Setting'!$E$99)-1)/12)+MOD((35-'Assumption Setting'!$E$99)-1,12)))</f>
        <v>0.763547812481254</v>
      </c>
      <c r="AN121" s="93" t="n">
        <f aca="true">AM121+AN120-IF((36-'Assumption Setting'!$E$99)&lt;1,0,OFFSET($A$120,0,2+13*INT(((36-'Assumption Setting'!$E$99)-1)/12)+MOD((36-'Assumption Setting'!$E$99)-1,12)))</f>
        <v>0.79182069449572</v>
      </c>
      <c r="AO121" s="91" t="n">
        <f aca="false">BA121</f>
        <v>1.10529013241894</v>
      </c>
      <c r="AP121" s="93" t="n">
        <f aca="true">AN121+AP120-IF((37-'Assumption Setting'!$E$99)&lt;1,0,OFFSET($A$120,0,2+13*INT(((37-'Assumption Setting'!$E$99)-1)/12)+MOD((37-'Assumption Setting'!$E$99)-1,12)))</f>
        <v>0.820093576510186</v>
      </c>
      <c r="AQ121" s="93" t="n">
        <f aca="true">AP121+AQ120-IF((38-'Assumption Setting'!$E$99)&lt;1,0,OFFSET($A$120,0,2+13*INT(((38-'Assumption Setting'!$E$99)-1)/12)+MOD((38-'Assumption Setting'!$E$99)-1,12)))</f>
        <v>0.848366458524652</v>
      </c>
      <c r="AR121" s="93" t="n">
        <f aca="true">AQ121+AR120-IF((39-'Assumption Setting'!$E$99)&lt;1,0,OFFSET($A$120,0,2+13*INT(((39-'Assumption Setting'!$E$99)-1)/12)+MOD((39-'Assumption Setting'!$E$99)-1,12)))</f>
        <v>0.875628861677956</v>
      </c>
      <c r="AS121" s="93" t="n">
        <f aca="true">AR121+AS120-IF((40-'Assumption Setting'!$E$99)&lt;1,0,OFFSET($A$120,0,2+13*INT(((40-'Assumption Setting'!$E$99)-1)/12)+MOD((40-'Assumption Setting'!$E$99)-1,12)))</f>
        <v>0.901146780649176</v>
      </c>
      <c r="AT121" s="93" t="n">
        <f aca="true">AS121+AT120-IF((41-'Assumption Setting'!$E$99)&lt;1,0,OFFSET($A$120,0,2+13*INT(((41-'Assumption Setting'!$E$99)-1)/12)+MOD((41-'Assumption Setting'!$E$99)-1,12)))</f>
        <v>0.926664699620396</v>
      </c>
      <c r="AU121" s="93" t="n">
        <f aca="true">AT121+AU120-IF((42-'Assumption Setting'!$E$99)&lt;1,0,OFFSET($A$120,0,2+13*INT(((42-'Assumption Setting'!$E$99)-1)/12)+MOD((42-'Assumption Setting'!$E$99)-1,12)))</f>
        <v>0.952182618591616</v>
      </c>
      <c r="AV121" s="93" t="n">
        <f aca="true">AU121+AV120-IF((43-'Assumption Setting'!$E$99)&lt;1,0,OFFSET($A$120,0,2+13*INT(((43-'Assumption Setting'!$E$99)-1)/12)+MOD((43-'Assumption Setting'!$E$99)-1,12)))</f>
        <v>0.977700537562836</v>
      </c>
      <c r="AW121" s="93" t="n">
        <f aca="true">AV121+AW120-IF((44-'Assumption Setting'!$E$99)&lt;1,0,OFFSET($A$120,0,2+13*INT(((44-'Assumption Setting'!$E$99)-1)/12)+MOD((44-'Assumption Setting'!$E$99)-1,12)))</f>
        <v>1.00321845653406</v>
      </c>
      <c r="AX121" s="93" t="n">
        <f aca="true">AW121+AX120-IF((45-'Assumption Setting'!$E$99)&lt;1,0,OFFSET($A$120,0,2+13*INT(((45-'Assumption Setting'!$E$99)-1)/12)+MOD((45-'Assumption Setting'!$E$99)-1,12)))</f>
        <v>1.02873637550528</v>
      </c>
      <c r="AY121" s="93" t="n">
        <f aca="true">AX121+AY120-IF((46-'Assumption Setting'!$E$99)&lt;1,0,OFFSET($A$120,0,2+13*INT(((46-'Assumption Setting'!$E$99)-1)/12)+MOD((46-'Assumption Setting'!$E$99)-1,12)))</f>
        <v>1.0542542944765</v>
      </c>
      <c r="AZ121" s="93" t="n">
        <f aca="true">AY121+AZ120-IF((47-'Assumption Setting'!$E$99)&lt;1,0,OFFSET($A$120,0,2+13*INT(((47-'Assumption Setting'!$E$99)-1)/12)+MOD((47-'Assumption Setting'!$E$99)-1,12)))</f>
        <v>1.07977221344772</v>
      </c>
      <c r="BA121" s="93" t="n">
        <f aca="true">AZ121+BA120-IF((48-'Assumption Setting'!$E$99)&lt;1,0,OFFSET($A$120,0,2+13*INT(((48-'Assumption Setting'!$E$99)-1)/12)+MOD((48-'Assumption Setting'!$E$99)-1,12)))</f>
        <v>1.10529013241894</v>
      </c>
      <c r="BB121" s="91" t="n">
        <f aca="false">BN121</f>
        <v>1.42820829831585</v>
      </c>
      <c r="BC121" s="93" t="n">
        <f aca="true">BA121+BC120-IF((49-'Assumption Setting'!$E$99)&lt;1,0,OFFSET($A$120,0,2+13*INT(((49-'Assumption Setting'!$E$99)-1)/12)+MOD((49-'Assumption Setting'!$E$99)-1,12)))</f>
        <v>1.13080805139016</v>
      </c>
      <c r="BD121" s="93" t="n">
        <f aca="true">BC121+BD120-IF((50-'Assumption Setting'!$E$99)&lt;1,0,OFFSET($A$120,0,2+13*INT(((50-'Assumption Setting'!$E$99)-1)/12)+MOD((50-'Assumption Setting'!$E$99)-1,12)))</f>
        <v>1.15632597036138</v>
      </c>
      <c r="BE121" s="93" t="n">
        <f aca="true">BD121+BE120-IF((51-'Assumption Setting'!$E$99)&lt;1,0,OFFSET($A$120,0,2+13*INT(((51-'Assumption Setting'!$E$99)-1)/12)+MOD((51-'Assumption Setting'!$E$99)-1,12)))</f>
        <v>1.18274341178533</v>
      </c>
      <c r="BF121" s="93" t="n">
        <f aca="true">BE121+BF120-IF((52-'Assumption Setting'!$E$99)&lt;1,0,OFFSET($A$120,0,2+13*INT(((52-'Assumption Setting'!$E$99)-1)/12)+MOD((52-'Assumption Setting'!$E$99)-1,12)))</f>
        <v>1.2100172880665</v>
      </c>
      <c r="BG121" s="93" t="n">
        <f aca="true">BF121+BG120-IF((53-'Assumption Setting'!$E$99)&lt;1,0,OFFSET($A$120,0,2+13*INT(((53-'Assumption Setting'!$E$99)-1)/12)+MOD((53-'Assumption Setting'!$E$99)-1,12)))</f>
        <v>1.23729116434767</v>
      </c>
      <c r="BH121" s="93" t="n">
        <f aca="true">BG121+BH120-IF((54-'Assumption Setting'!$E$99)&lt;1,0,OFFSET($A$120,0,2+13*INT(((54-'Assumption Setting'!$E$99)-1)/12)+MOD((54-'Assumption Setting'!$E$99)-1,12)))</f>
        <v>1.26456504062884</v>
      </c>
      <c r="BI121" s="93" t="n">
        <f aca="true">BH121+BI120-IF((55-'Assumption Setting'!$E$99)&lt;1,0,OFFSET($A$120,0,2+13*INT(((55-'Assumption Setting'!$E$99)-1)/12)+MOD((55-'Assumption Setting'!$E$99)-1,12)))</f>
        <v>1.29183891691001</v>
      </c>
      <c r="BJ121" s="93" t="n">
        <f aca="true">BI121+BJ120-IF((56-'Assumption Setting'!$E$99)&lt;1,0,OFFSET($A$120,0,2+13*INT(((56-'Assumption Setting'!$E$99)-1)/12)+MOD((56-'Assumption Setting'!$E$99)-1,12)))</f>
        <v>1.31911279319117</v>
      </c>
      <c r="BK121" s="93" t="n">
        <f aca="true">BJ121+BK120-IF((57-'Assumption Setting'!$E$99)&lt;1,0,OFFSET($A$120,0,2+13*INT(((57-'Assumption Setting'!$E$99)-1)/12)+MOD((57-'Assumption Setting'!$E$99)-1,12)))</f>
        <v>1.34638666947234</v>
      </c>
      <c r="BL121" s="93" t="n">
        <f aca="true">BK121+BL120-IF((58-'Assumption Setting'!$E$99)&lt;1,0,OFFSET($A$120,0,2+13*INT(((58-'Assumption Setting'!$E$99)-1)/12)+MOD((58-'Assumption Setting'!$E$99)-1,12)))</f>
        <v>1.37366054575351</v>
      </c>
      <c r="BM121" s="93" t="n">
        <f aca="true">BL121+BM120-IF((59-'Assumption Setting'!$E$99)&lt;1,0,OFFSET($A$120,0,2+13*INT(((59-'Assumption Setting'!$E$99)-1)/12)+MOD((59-'Assumption Setting'!$E$99)-1,12)))</f>
        <v>1.40093442203468</v>
      </c>
      <c r="BN121" s="93" t="n">
        <f aca="true">BM121+BN120-IF((60-'Assumption Setting'!$E$99)&lt;1,0,OFFSET($A$120,0,2+13*INT(((60-'Assumption Setting'!$E$99)-1)/12)+MOD((60-'Assumption Setting'!$E$99)-1,12)))</f>
        <v>1.42820829831585</v>
      </c>
    </row>
    <row r="122" customFormat="false" ht="15" hidden="false" customHeight="false" outlineLevel="0" collapsed="false">
      <c r="A122" s="12" t="s">
        <v>640</v>
      </c>
      <c r="B122" s="91" t="n">
        <f aca="false">SUM(C122:N122)</f>
        <v>0.355113615842927</v>
      </c>
      <c r="C122" s="92" t="n">
        <f aca="false">IF(1&lt;'Assumption Setting'!$F$100,0,IFERROR(C73*'Assumption Setting'!$C$100/C104,0))</f>
        <v>0</v>
      </c>
      <c r="D122" s="92" t="n">
        <f aca="false">IF(2&lt;'Assumption Setting'!$F$100,0,IFERROR(D73*'Assumption Setting'!$C$100/D104,0))</f>
        <v>0</v>
      </c>
      <c r="E122" s="92" t="n">
        <f aca="false">IF(3&lt;'Assumption Setting'!$F$100,0,IFERROR(E73*'Assumption Setting'!$C$100/E104,0))</f>
        <v>0</v>
      </c>
      <c r="F122" s="92" t="n">
        <f aca="false">IF(4&lt;'Assumption Setting'!$F$100,0,IFERROR(F73*'Assumption Setting'!$C$100/F104,0))</f>
        <v>0.0394570684269919</v>
      </c>
      <c r="G122" s="92" t="n">
        <f aca="false">IF(5&lt;'Assumption Setting'!$F$100,0,IFERROR(G73*'Assumption Setting'!$C$100/G104,0))</f>
        <v>0.0394570684269919</v>
      </c>
      <c r="H122" s="92" t="n">
        <f aca="false">IF(6&lt;'Assumption Setting'!$F$100,0,IFERROR(H73*'Assumption Setting'!$C$100/H104,0))</f>
        <v>0.0394570684269919</v>
      </c>
      <c r="I122" s="92" t="n">
        <f aca="false">IF(7&lt;'Assumption Setting'!$F$100,0,IFERROR(I73*'Assumption Setting'!$C$100/I104,0))</f>
        <v>0.0394570684269919</v>
      </c>
      <c r="J122" s="92" t="n">
        <f aca="false">IF(8&lt;'Assumption Setting'!$F$100,0,IFERROR(J73*'Assumption Setting'!$C$100/J104,0))</f>
        <v>0.0394570684269919</v>
      </c>
      <c r="K122" s="92" t="n">
        <f aca="false">IF(9&lt;'Assumption Setting'!$F$100,0,IFERROR(K73*'Assumption Setting'!$C$100/K104,0))</f>
        <v>0.0394570684269919</v>
      </c>
      <c r="L122" s="92" t="n">
        <f aca="false">IF(10&lt;'Assumption Setting'!$F$100,0,IFERROR(L73*'Assumption Setting'!$C$100/L104,0))</f>
        <v>0.0394570684269919</v>
      </c>
      <c r="M122" s="92" t="n">
        <f aca="false">IF(11&lt;'Assumption Setting'!$F$100,0,IFERROR(M73*'Assumption Setting'!$C$100/M104,0))</f>
        <v>0.0394570684269919</v>
      </c>
      <c r="N122" s="92" t="n">
        <f aca="false">IF(12&lt;'Assumption Setting'!$F$100,0,IFERROR(N73*'Assumption Setting'!$C$100/N104,0))</f>
        <v>0.0394570684269919</v>
      </c>
      <c r="O122" s="91" t="n">
        <f aca="false">SUM(P122:AA122)</f>
        <v>0.722306884456613</v>
      </c>
      <c r="P122" s="92" t="n">
        <f aca="false">IF(13&lt;'Assumption Setting'!$F$100,0,IFERROR(P73*'Assumption Setting'!$C$100/P104,0))</f>
        <v>0.0394570684269919</v>
      </c>
      <c r="Q122" s="92" t="n">
        <f aca="false">IF(14&lt;'Assumption Setting'!$F$100,0,IFERROR(Q73*'Assumption Setting'!$C$100/Q104,0))</f>
        <v>0.0394570684269919</v>
      </c>
      <c r="R122" s="92" t="n">
        <f aca="false">IF(15&lt;'Assumption Setting'!$F$100,0,IFERROR(R73*'Assumption Setting'!$C$100/R104,0))</f>
        <v>0.0434027752696911</v>
      </c>
      <c r="S122" s="92" t="n">
        <f aca="false">IF(16&lt;'Assumption Setting'!$F$100,0,IFERROR(S73*'Assumption Setting'!$C$100/S104,0))</f>
        <v>0.0666655524814376</v>
      </c>
      <c r="T122" s="92" t="n">
        <f aca="false">IF(17&lt;'Assumption Setting'!$F$100,0,IFERROR(T73*'Assumption Setting'!$C$100/T104,0))</f>
        <v>0.0666655524814376</v>
      </c>
      <c r="U122" s="92" t="n">
        <f aca="false">IF(18&lt;'Assumption Setting'!$F$100,0,IFERROR(U73*'Assumption Setting'!$C$100/U104,0))</f>
        <v>0.0666655524814376</v>
      </c>
      <c r="V122" s="92" t="n">
        <f aca="false">IF(19&lt;'Assumption Setting'!$F$100,0,IFERROR(V73*'Assumption Setting'!$C$100/V104,0))</f>
        <v>0.0666655524814376</v>
      </c>
      <c r="W122" s="92" t="n">
        <f aca="false">IF(20&lt;'Assumption Setting'!$F$100,0,IFERROR(W73*'Assumption Setting'!$C$100/W104,0))</f>
        <v>0.0666655524814376</v>
      </c>
      <c r="X122" s="92" t="n">
        <f aca="false">IF(21&lt;'Assumption Setting'!$F$100,0,IFERROR(X73*'Assumption Setting'!$C$100/X104,0))</f>
        <v>0.0666655524814376</v>
      </c>
      <c r="Y122" s="92" t="n">
        <f aca="false">IF(22&lt;'Assumption Setting'!$F$100,0,IFERROR(Y73*'Assumption Setting'!$C$100/Y104,0))</f>
        <v>0.0666655524814376</v>
      </c>
      <c r="Z122" s="92" t="n">
        <f aca="false">IF(23&lt;'Assumption Setting'!$F$100,0,IFERROR(Z73*'Assumption Setting'!$C$100/Z104,0))</f>
        <v>0.0666655524814376</v>
      </c>
      <c r="AA122" s="92" t="n">
        <f aca="false">IF(24&lt;'Assumption Setting'!$F$100,0,IFERROR(AA73*'Assumption Setting'!$C$100/AA104,0))</f>
        <v>0.0666655524814376</v>
      </c>
      <c r="AB122" s="91" t="n">
        <f aca="false">SUM(AC122:AN122)</f>
        <v>1.18773104174358</v>
      </c>
      <c r="AC122" s="92" t="n">
        <f aca="false">IF(25&lt;'Assumption Setting'!$F$100,0,IFERROR(AC73*'Assumption Setting'!$C$100/AC104,0))</f>
        <v>0.0666655524814376</v>
      </c>
      <c r="AD122" s="92" t="n">
        <f aca="false">IF(26&lt;'Assumption Setting'!$F$100,0,IFERROR(AD73*'Assumption Setting'!$C$100/AD104,0))</f>
        <v>0.0666655524814376</v>
      </c>
      <c r="AE122" s="92" t="n">
        <f aca="false">IF(27&lt;'Assumption Setting'!$F$100,0,IFERROR(AE73*'Assumption Setting'!$C$100/AE104,0))</f>
        <v>0.0727260572524773</v>
      </c>
      <c r="AF122" s="92" t="n">
        <f aca="false">IF(28&lt;'Assumption Setting'!$F$100,0,IFERROR(AF73*'Assumption Setting'!$C$100/AF104,0))</f>
        <v>0.109074875503136</v>
      </c>
      <c r="AG122" s="92" t="n">
        <f aca="false">IF(29&lt;'Assumption Setting'!$F$100,0,IFERROR(AG73*'Assumption Setting'!$C$100/AG104,0))</f>
        <v>0.109074875503136</v>
      </c>
      <c r="AH122" s="92" t="n">
        <f aca="false">IF(30&lt;'Assumption Setting'!$F$100,0,IFERROR(AH73*'Assumption Setting'!$C$100/AH104,0))</f>
        <v>0.109074875503136</v>
      </c>
      <c r="AI122" s="92" t="n">
        <f aca="false">IF(31&lt;'Assumption Setting'!$F$100,0,IFERROR(AI73*'Assumption Setting'!$C$100/AI104,0))</f>
        <v>0.109074875503136</v>
      </c>
      <c r="AJ122" s="92" t="n">
        <f aca="false">IF(32&lt;'Assumption Setting'!$F$100,0,IFERROR(AJ73*'Assumption Setting'!$C$100/AJ104,0))</f>
        <v>0.109074875503136</v>
      </c>
      <c r="AK122" s="92" t="n">
        <f aca="false">IF(33&lt;'Assumption Setting'!$F$100,0,IFERROR(AK73*'Assumption Setting'!$C$100/AK104,0))</f>
        <v>0.109074875503136</v>
      </c>
      <c r="AL122" s="92" t="n">
        <f aca="false">IF(34&lt;'Assumption Setting'!$F$100,0,IFERROR(AL73*'Assumption Setting'!$C$100/AL104,0))</f>
        <v>0.109074875503136</v>
      </c>
      <c r="AM122" s="92" t="n">
        <f aca="false">IF(35&lt;'Assumption Setting'!$F$100,0,IFERROR(AM73*'Assumption Setting'!$C$100/AM104,0))</f>
        <v>0.109074875503136</v>
      </c>
      <c r="AN122" s="92" t="n">
        <f aca="false">IF(36&lt;'Assumption Setting'!$F$100,0,IFERROR(AN73*'Assumption Setting'!$C$100/AN104,0))</f>
        <v>0.109074875503136</v>
      </c>
      <c r="AO122" s="91" t="n">
        <f aca="false">SUM(AP122:BA122)</f>
        <v>1.6579351986284</v>
      </c>
      <c r="AP122" s="92" t="n">
        <f aca="false">IF(37&lt;'Assumption Setting'!$F$100,0,IFERROR(AP73*'Assumption Setting'!$C$100/AP104,0))</f>
        <v>0.109074875503136</v>
      </c>
      <c r="AQ122" s="92" t="n">
        <f aca="false">IF(38&lt;'Assumption Setting'!$F$100,0,IFERROR(AQ73*'Assumption Setting'!$C$100/AQ104,0))</f>
        <v>0.109074875503136</v>
      </c>
      <c r="AR122" s="92" t="n">
        <f aca="false">IF(39&lt;'Assumption Setting'!$F$100,0,IFERROR(AR73*'Assumption Setting'!$C$100/AR104,0))</f>
        <v>0.113619661982434</v>
      </c>
      <c r="AS122" s="92" t="n">
        <f aca="false">IF(40&lt;'Assumption Setting'!$F$100,0,IFERROR(AS73*'Assumption Setting'!$C$100/AS104,0))</f>
        <v>0.147351753959966</v>
      </c>
      <c r="AT122" s="92" t="n">
        <f aca="false">IF(41&lt;'Assumption Setting'!$F$100,0,IFERROR(AT73*'Assumption Setting'!$C$100/AT104,0))</f>
        <v>0.147351753959966</v>
      </c>
      <c r="AU122" s="92" t="n">
        <f aca="false">IF(42&lt;'Assumption Setting'!$F$100,0,IFERROR(AU73*'Assumption Setting'!$C$100/AU104,0))</f>
        <v>0.147351753959966</v>
      </c>
      <c r="AV122" s="92" t="n">
        <f aca="false">IF(43&lt;'Assumption Setting'!$F$100,0,IFERROR(AV73*'Assumption Setting'!$C$100/AV104,0))</f>
        <v>0.147351753959966</v>
      </c>
      <c r="AW122" s="92" t="n">
        <f aca="false">IF(44&lt;'Assumption Setting'!$F$100,0,IFERROR(AW73*'Assumption Setting'!$C$100/AW104,0))</f>
        <v>0.147351753959966</v>
      </c>
      <c r="AX122" s="92" t="n">
        <f aca="false">IF(45&lt;'Assumption Setting'!$F$100,0,IFERROR(AX73*'Assumption Setting'!$C$100/AX104,0))</f>
        <v>0.147351753959966</v>
      </c>
      <c r="AY122" s="92" t="n">
        <f aca="false">IF(46&lt;'Assumption Setting'!$F$100,0,IFERROR(AY73*'Assumption Setting'!$C$100/AY104,0))</f>
        <v>0.147351753959966</v>
      </c>
      <c r="AZ122" s="92" t="n">
        <f aca="false">IF(47&lt;'Assumption Setting'!$F$100,0,IFERROR(AZ73*'Assumption Setting'!$C$100/AZ104,0))</f>
        <v>0.147351753959966</v>
      </c>
      <c r="BA122" s="92" t="n">
        <f aca="false">IF(48&lt;'Assumption Setting'!$F$100,0,IFERROR(BA73*'Assumption Setting'!$C$100/BA104,0))</f>
        <v>0.147351753959966</v>
      </c>
      <c r="BB122" s="91" t="n">
        <f aca="false">SUM(BC122:BN122)</f>
        <v>2.14231244747377</v>
      </c>
      <c r="BC122" s="92" t="n">
        <f aca="false">IF(49&lt;'Assumption Setting'!$F$100,0,IFERROR(BC73*'Assumption Setting'!$C$100/BC104,0))</f>
        <v>0.147351753959966</v>
      </c>
      <c r="BD122" s="92" t="n">
        <f aca="false">IF(50&lt;'Assumption Setting'!$F$100,0,IFERROR(BD73*'Assumption Setting'!$C$100/BD104,0))</f>
        <v>0.147351753959966</v>
      </c>
      <c r="BE122" s="92" t="n">
        <f aca="false">IF(51&lt;'Assumption Setting'!$F$100,0,IFERROR(BE73*'Assumption Setting'!$C$100/BE104,0))</f>
        <v>0.153245824118365</v>
      </c>
      <c r="BF122" s="92" t="n">
        <f aca="false">IF(52&lt;'Assumption Setting'!$F$100,0,IFERROR(BF73*'Assumption Setting'!$C$100/BF104,0))</f>
        <v>0.188262568381719</v>
      </c>
      <c r="BG122" s="92" t="n">
        <f aca="false">IF(53&lt;'Assumption Setting'!$F$100,0,IFERROR(BG73*'Assumption Setting'!$C$100/BG104,0))</f>
        <v>0.188262568381719</v>
      </c>
      <c r="BH122" s="92" t="n">
        <f aca="false">IF(54&lt;'Assumption Setting'!$F$100,0,IFERROR(BH73*'Assumption Setting'!$C$100/BH104,0))</f>
        <v>0.188262568381719</v>
      </c>
      <c r="BI122" s="92" t="n">
        <f aca="false">IF(55&lt;'Assumption Setting'!$F$100,0,IFERROR(BI73*'Assumption Setting'!$C$100/BI104,0))</f>
        <v>0.188262568381719</v>
      </c>
      <c r="BJ122" s="92" t="n">
        <f aca="false">IF(56&lt;'Assumption Setting'!$F$100,0,IFERROR(BJ73*'Assumption Setting'!$C$100/BJ104,0))</f>
        <v>0.188262568381719</v>
      </c>
      <c r="BK122" s="92" t="n">
        <f aca="false">IF(57&lt;'Assumption Setting'!$F$100,0,IFERROR(BK73*'Assumption Setting'!$C$100/BK104,0))</f>
        <v>0.188262568381719</v>
      </c>
      <c r="BL122" s="92" t="n">
        <f aca="false">IF(58&lt;'Assumption Setting'!$F$100,0,IFERROR(BL73*'Assumption Setting'!$C$100/BL104,0))</f>
        <v>0.188262568381719</v>
      </c>
      <c r="BM122" s="92" t="n">
        <f aca="false">IF(59&lt;'Assumption Setting'!$F$100,0,IFERROR(BM73*'Assumption Setting'!$C$100/BM104,0))</f>
        <v>0.188262568381719</v>
      </c>
      <c r="BN122" s="92" t="n">
        <f aca="false">IF(60&lt;'Assumption Setting'!$F$100,0,IFERROR(BN73*'Assumption Setting'!$C$100/BN104,0))</f>
        <v>0.188262568381719</v>
      </c>
    </row>
    <row r="123" customFormat="false" ht="15" hidden="false" customHeight="false" outlineLevel="0" collapsed="false">
      <c r="A123" s="69" t="s">
        <v>641</v>
      </c>
      <c r="B123" s="91" t="n">
        <f aca="false">N123</f>
        <v>0.355113615842927</v>
      </c>
      <c r="C123" s="93" t="n">
        <f aca="false">C122</f>
        <v>0</v>
      </c>
      <c r="D123" s="93" t="n">
        <f aca="true">C123+D122-IF((2-'Assumption Setting'!$E$100)&lt;1,0,OFFSET($A$122,0,2+13*INT(((2-'Assumption Setting'!$E$100)-1)/12)+MOD((2-'Assumption Setting'!$E$100)-1,12)))</f>
        <v>0</v>
      </c>
      <c r="E123" s="93" t="n">
        <f aca="true">D123+E122-IF((3-'Assumption Setting'!$E$100)&lt;1,0,OFFSET($A$122,0,2+13*INT(((3-'Assumption Setting'!$E$100)-1)/12)+MOD((3-'Assumption Setting'!$E$100)-1,12)))</f>
        <v>0</v>
      </c>
      <c r="F123" s="93" t="n">
        <f aca="true">E123+F122-IF((4-'Assumption Setting'!$E$100)&lt;1,0,OFFSET($A$122,0,2+13*INT(((4-'Assumption Setting'!$E$100)-1)/12)+MOD((4-'Assumption Setting'!$E$100)-1,12)))</f>
        <v>0.0394570684269919</v>
      </c>
      <c r="G123" s="93" t="n">
        <f aca="true">F123+G122-IF((5-'Assumption Setting'!$E$100)&lt;1,0,OFFSET($A$122,0,2+13*INT(((5-'Assumption Setting'!$E$100)-1)/12)+MOD((5-'Assumption Setting'!$E$100)-1,12)))</f>
        <v>0.0789141368539838</v>
      </c>
      <c r="H123" s="93" t="n">
        <f aca="true">G123+H122-IF((6-'Assumption Setting'!$E$100)&lt;1,0,OFFSET($A$122,0,2+13*INT(((6-'Assumption Setting'!$E$100)-1)/12)+MOD((6-'Assumption Setting'!$E$100)-1,12)))</f>
        <v>0.118371205280976</v>
      </c>
      <c r="I123" s="93" t="n">
        <f aca="true">H123+I122-IF((7-'Assumption Setting'!$E$100)&lt;1,0,OFFSET($A$122,0,2+13*INT(((7-'Assumption Setting'!$E$100)-1)/12)+MOD((7-'Assumption Setting'!$E$100)-1,12)))</f>
        <v>0.157828273707968</v>
      </c>
      <c r="J123" s="93" t="n">
        <f aca="true">I123+J122-IF((8-'Assumption Setting'!$E$100)&lt;1,0,OFFSET($A$122,0,2+13*INT(((8-'Assumption Setting'!$E$100)-1)/12)+MOD((8-'Assumption Setting'!$E$100)-1,12)))</f>
        <v>0.19728534213496</v>
      </c>
      <c r="K123" s="93" t="n">
        <f aca="true">J123+K122-IF((9-'Assumption Setting'!$E$100)&lt;1,0,OFFSET($A$122,0,2+13*INT(((9-'Assumption Setting'!$E$100)-1)/12)+MOD((9-'Assumption Setting'!$E$100)-1,12)))</f>
        <v>0.236742410561951</v>
      </c>
      <c r="L123" s="93" t="n">
        <f aca="true">K123+L122-IF((10-'Assumption Setting'!$E$100)&lt;1,0,OFFSET($A$122,0,2+13*INT(((10-'Assumption Setting'!$E$100)-1)/12)+MOD((10-'Assumption Setting'!$E$100)-1,12)))</f>
        <v>0.276199478988943</v>
      </c>
      <c r="M123" s="93" t="n">
        <f aca="true">L123+M122-IF((11-'Assumption Setting'!$E$100)&lt;1,0,OFFSET($A$122,0,2+13*INT(((11-'Assumption Setting'!$E$100)-1)/12)+MOD((11-'Assumption Setting'!$E$100)-1,12)))</f>
        <v>0.315656547415935</v>
      </c>
      <c r="N123" s="93" t="n">
        <f aca="true">M123+N122-IF((12-'Assumption Setting'!$E$100)&lt;1,0,OFFSET($A$122,0,2+13*INT(((12-'Assumption Setting'!$E$100)-1)/12)+MOD((12-'Assumption Setting'!$E$100)-1,12)))</f>
        <v>0.355113615842927</v>
      </c>
      <c r="O123" s="91" t="n">
        <f aca="false">AA123</f>
        <v>0.722306884456613</v>
      </c>
      <c r="P123" s="93" t="n">
        <f aca="true">N123+P122-IF((13-'Assumption Setting'!$E$100)&lt;1,0,OFFSET($A$122,0,2+13*INT(((13-'Assumption Setting'!$E$100)-1)/12)+MOD((13-'Assumption Setting'!$E$100)-1,12)))</f>
        <v>0.394570684269919</v>
      </c>
      <c r="Q123" s="93" t="n">
        <f aca="true">P123+Q122-IF((14-'Assumption Setting'!$E$100)&lt;1,0,OFFSET($A$122,0,2+13*INT(((14-'Assumption Setting'!$E$100)-1)/12)+MOD((14-'Assumption Setting'!$E$100)-1,12)))</f>
        <v>0.434027752696911</v>
      </c>
      <c r="R123" s="93" t="n">
        <f aca="true">Q123+R122-IF((15-'Assumption Setting'!$E$100)&lt;1,0,OFFSET($A$122,0,2+13*INT(((15-'Assumption Setting'!$E$100)-1)/12)+MOD((15-'Assumption Setting'!$E$100)-1,12)))</f>
        <v>0.477430527966602</v>
      </c>
      <c r="S123" s="93" t="n">
        <f aca="true">R123+S122-IF((16-'Assumption Setting'!$E$100)&lt;1,0,OFFSET($A$122,0,2+13*INT(((16-'Assumption Setting'!$E$100)-1)/12)+MOD((16-'Assumption Setting'!$E$100)-1,12)))</f>
        <v>0.504639012021048</v>
      </c>
      <c r="T123" s="93" t="n">
        <f aca="true">S123+T122-IF((17-'Assumption Setting'!$E$100)&lt;1,0,OFFSET($A$122,0,2+13*INT(((17-'Assumption Setting'!$E$100)-1)/12)+MOD((17-'Assumption Setting'!$E$100)-1,12)))</f>
        <v>0.531847496075493</v>
      </c>
      <c r="U123" s="93" t="n">
        <f aca="true">T123+U122-IF((18-'Assumption Setting'!$E$100)&lt;1,0,OFFSET($A$122,0,2+13*INT(((18-'Assumption Setting'!$E$100)-1)/12)+MOD((18-'Assumption Setting'!$E$100)-1,12)))</f>
        <v>0.559055980129939</v>
      </c>
      <c r="V123" s="93" t="n">
        <f aca="true">U123+V122-IF((19-'Assumption Setting'!$E$100)&lt;1,0,OFFSET($A$122,0,2+13*INT(((19-'Assumption Setting'!$E$100)-1)/12)+MOD((19-'Assumption Setting'!$E$100)-1,12)))</f>
        <v>0.586264464184385</v>
      </c>
      <c r="W123" s="93" t="n">
        <f aca="true">V123+W122-IF((20-'Assumption Setting'!$E$100)&lt;1,0,OFFSET($A$122,0,2+13*INT(((20-'Assumption Setting'!$E$100)-1)/12)+MOD((20-'Assumption Setting'!$E$100)-1,12)))</f>
        <v>0.61347294823883</v>
      </c>
      <c r="X123" s="93" t="n">
        <f aca="true">W123+X122-IF((21-'Assumption Setting'!$E$100)&lt;1,0,OFFSET($A$122,0,2+13*INT(((21-'Assumption Setting'!$E$100)-1)/12)+MOD((21-'Assumption Setting'!$E$100)-1,12)))</f>
        <v>0.640681432293276</v>
      </c>
      <c r="Y123" s="93" t="n">
        <f aca="true">X123+Y122-IF((22-'Assumption Setting'!$E$100)&lt;1,0,OFFSET($A$122,0,2+13*INT(((22-'Assumption Setting'!$E$100)-1)/12)+MOD((22-'Assumption Setting'!$E$100)-1,12)))</f>
        <v>0.667889916347722</v>
      </c>
      <c r="Z123" s="93" t="n">
        <f aca="true">Y123+Z122-IF((23-'Assumption Setting'!$E$100)&lt;1,0,OFFSET($A$122,0,2+13*INT(((23-'Assumption Setting'!$E$100)-1)/12)+MOD((23-'Assumption Setting'!$E$100)-1,12)))</f>
        <v>0.695098400402167</v>
      </c>
      <c r="AA123" s="93" t="n">
        <f aca="true">Z123+AA122-IF((24-'Assumption Setting'!$E$100)&lt;1,0,OFFSET($A$122,0,2+13*INT(((24-'Assumption Setting'!$E$100)-1)/12)+MOD((24-'Assumption Setting'!$E$100)-1,12)))</f>
        <v>0.722306884456613</v>
      </c>
      <c r="AB123" s="91" t="n">
        <f aca="false">AN123</f>
        <v>1.18773104174358</v>
      </c>
      <c r="AC123" s="93" t="n">
        <f aca="true">AA123+AC122-IF((25-'Assumption Setting'!$E$100)&lt;1,0,OFFSET($A$122,0,2+13*INT(((25-'Assumption Setting'!$E$100)-1)/12)+MOD((25-'Assumption Setting'!$E$100)-1,12)))</f>
        <v>0.749515368511059</v>
      </c>
      <c r="AD123" s="93" t="n">
        <f aca="true">AC123+AD122-IF((26-'Assumption Setting'!$E$100)&lt;1,0,OFFSET($A$122,0,2+13*INT(((26-'Assumption Setting'!$E$100)-1)/12)+MOD((26-'Assumption Setting'!$E$100)-1,12)))</f>
        <v>0.776723852565504</v>
      </c>
      <c r="AE123" s="93" t="n">
        <f aca="true">AD123+AE122-IF((27-'Assumption Setting'!$E$100)&lt;1,0,OFFSET($A$122,0,2+13*INT(((27-'Assumption Setting'!$E$100)-1)/12)+MOD((27-'Assumption Setting'!$E$100)-1,12)))</f>
        <v>0.806047134548291</v>
      </c>
      <c r="AF123" s="93" t="n">
        <f aca="true">AE123+AF122-IF((28-'Assumption Setting'!$E$100)&lt;1,0,OFFSET($A$122,0,2+13*INT(((28-'Assumption Setting'!$E$100)-1)/12)+MOD((28-'Assumption Setting'!$E$100)-1,12)))</f>
        <v>0.848456457569989</v>
      </c>
      <c r="AG123" s="93" t="n">
        <f aca="true">AF123+AG122-IF((29-'Assumption Setting'!$E$100)&lt;1,0,OFFSET($A$122,0,2+13*INT(((29-'Assumption Setting'!$E$100)-1)/12)+MOD((29-'Assumption Setting'!$E$100)-1,12)))</f>
        <v>0.890865780591688</v>
      </c>
      <c r="AH123" s="93" t="n">
        <f aca="true">AG123+AH122-IF((30-'Assumption Setting'!$E$100)&lt;1,0,OFFSET($A$122,0,2+13*INT(((30-'Assumption Setting'!$E$100)-1)/12)+MOD((30-'Assumption Setting'!$E$100)-1,12)))</f>
        <v>0.933275103613386</v>
      </c>
      <c r="AI123" s="93" t="n">
        <f aca="true">AH123+AI122-IF((31-'Assumption Setting'!$E$100)&lt;1,0,OFFSET($A$122,0,2+13*INT(((31-'Assumption Setting'!$E$100)-1)/12)+MOD((31-'Assumption Setting'!$E$100)-1,12)))</f>
        <v>0.975684426635085</v>
      </c>
      <c r="AJ123" s="93" t="n">
        <f aca="true">AI123+AJ122-IF((32-'Assumption Setting'!$E$100)&lt;1,0,OFFSET($A$122,0,2+13*INT(((32-'Assumption Setting'!$E$100)-1)/12)+MOD((32-'Assumption Setting'!$E$100)-1,12)))</f>
        <v>1.01809374965678</v>
      </c>
      <c r="AK123" s="93" t="n">
        <f aca="true">AJ123+AK122-IF((33-'Assumption Setting'!$E$100)&lt;1,0,OFFSET($A$122,0,2+13*INT(((33-'Assumption Setting'!$E$100)-1)/12)+MOD((33-'Assumption Setting'!$E$100)-1,12)))</f>
        <v>1.06050307267848</v>
      </c>
      <c r="AL123" s="93" t="n">
        <f aca="true">AK123+AL122-IF((34-'Assumption Setting'!$E$100)&lt;1,0,OFFSET($A$122,0,2+13*INT(((34-'Assumption Setting'!$E$100)-1)/12)+MOD((34-'Assumption Setting'!$E$100)-1,12)))</f>
        <v>1.10291239570018</v>
      </c>
      <c r="AM123" s="93" t="n">
        <f aca="true">AL123+AM122-IF((35-'Assumption Setting'!$E$100)&lt;1,0,OFFSET($A$122,0,2+13*INT(((35-'Assumption Setting'!$E$100)-1)/12)+MOD((35-'Assumption Setting'!$E$100)-1,12)))</f>
        <v>1.14532171872188</v>
      </c>
      <c r="AN123" s="93" t="n">
        <f aca="true">AM123+AN122-IF((36-'Assumption Setting'!$E$100)&lt;1,0,OFFSET($A$122,0,2+13*INT(((36-'Assumption Setting'!$E$100)-1)/12)+MOD((36-'Assumption Setting'!$E$100)-1,12)))</f>
        <v>1.18773104174358</v>
      </c>
      <c r="AO123" s="91" t="n">
        <f aca="false">BA123</f>
        <v>1.6579351986284</v>
      </c>
      <c r="AP123" s="93" t="n">
        <f aca="true">AN123+AP122-IF((37-'Assumption Setting'!$E$100)&lt;1,0,OFFSET($A$122,0,2+13*INT(((37-'Assumption Setting'!$E$100)-1)/12)+MOD((37-'Assumption Setting'!$E$100)-1,12)))</f>
        <v>1.23014036476528</v>
      </c>
      <c r="AQ123" s="93" t="n">
        <f aca="true">AP123+AQ122-IF((38-'Assumption Setting'!$E$100)&lt;1,0,OFFSET($A$122,0,2+13*INT(((38-'Assumption Setting'!$E$100)-1)/12)+MOD((38-'Assumption Setting'!$E$100)-1,12)))</f>
        <v>1.27254968778698</v>
      </c>
      <c r="AR123" s="93" t="n">
        <f aca="true">AQ123+AR122-IF((39-'Assumption Setting'!$E$100)&lt;1,0,OFFSET($A$122,0,2+13*INT(((39-'Assumption Setting'!$E$100)-1)/12)+MOD((39-'Assumption Setting'!$E$100)-1,12)))</f>
        <v>1.31344329251693</v>
      </c>
      <c r="AS123" s="93" t="n">
        <f aca="true">AR123+AS122-IF((40-'Assumption Setting'!$E$100)&lt;1,0,OFFSET($A$122,0,2+13*INT(((40-'Assumption Setting'!$E$100)-1)/12)+MOD((40-'Assumption Setting'!$E$100)-1,12)))</f>
        <v>1.35172017097376</v>
      </c>
      <c r="AT123" s="93" t="n">
        <f aca="true">AS123+AT122-IF((41-'Assumption Setting'!$E$100)&lt;1,0,OFFSET($A$122,0,2+13*INT(((41-'Assumption Setting'!$E$100)-1)/12)+MOD((41-'Assumption Setting'!$E$100)-1,12)))</f>
        <v>1.38999704943059</v>
      </c>
      <c r="AU123" s="93" t="n">
        <f aca="true">AT123+AU122-IF((42-'Assumption Setting'!$E$100)&lt;1,0,OFFSET($A$122,0,2+13*INT(((42-'Assumption Setting'!$E$100)-1)/12)+MOD((42-'Assumption Setting'!$E$100)-1,12)))</f>
        <v>1.42827392788742</v>
      </c>
      <c r="AV123" s="93" t="n">
        <f aca="true">AU123+AV122-IF((43-'Assumption Setting'!$E$100)&lt;1,0,OFFSET($A$122,0,2+13*INT(((43-'Assumption Setting'!$E$100)-1)/12)+MOD((43-'Assumption Setting'!$E$100)-1,12)))</f>
        <v>1.46655080634425</v>
      </c>
      <c r="AW123" s="93" t="n">
        <f aca="true">AV123+AW122-IF((44-'Assumption Setting'!$E$100)&lt;1,0,OFFSET($A$122,0,2+13*INT(((44-'Assumption Setting'!$E$100)-1)/12)+MOD((44-'Assumption Setting'!$E$100)-1,12)))</f>
        <v>1.50482768480108</v>
      </c>
      <c r="AX123" s="93" t="n">
        <f aca="true">AW123+AX122-IF((45-'Assumption Setting'!$E$100)&lt;1,0,OFFSET($A$122,0,2+13*INT(((45-'Assumption Setting'!$E$100)-1)/12)+MOD((45-'Assumption Setting'!$E$100)-1,12)))</f>
        <v>1.54310456325791</v>
      </c>
      <c r="AY123" s="93" t="n">
        <f aca="true">AX123+AY122-IF((46-'Assumption Setting'!$E$100)&lt;1,0,OFFSET($A$122,0,2+13*INT(((46-'Assumption Setting'!$E$100)-1)/12)+MOD((46-'Assumption Setting'!$E$100)-1,12)))</f>
        <v>1.58138144171474</v>
      </c>
      <c r="AZ123" s="93" t="n">
        <f aca="true">AY123+AZ122-IF((47-'Assumption Setting'!$E$100)&lt;1,0,OFFSET($A$122,0,2+13*INT(((47-'Assumption Setting'!$E$100)-1)/12)+MOD((47-'Assumption Setting'!$E$100)-1,12)))</f>
        <v>1.61965832017157</v>
      </c>
      <c r="BA123" s="93" t="n">
        <f aca="true">AZ123+BA122-IF((48-'Assumption Setting'!$E$100)&lt;1,0,OFFSET($A$122,0,2+13*INT(((48-'Assumption Setting'!$E$100)-1)/12)+MOD((48-'Assumption Setting'!$E$100)-1,12)))</f>
        <v>1.6579351986284</v>
      </c>
      <c r="BB123" s="91" t="n">
        <f aca="false">BN123</f>
        <v>2.14231244747377</v>
      </c>
      <c r="BC123" s="93" t="n">
        <f aca="true">BA123+BC122-IF((49-'Assumption Setting'!$E$100)&lt;1,0,OFFSET($A$122,0,2+13*INT(((49-'Assumption Setting'!$E$100)-1)/12)+MOD((49-'Assumption Setting'!$E$100)-1,12)))</f>
        <v>1.69621207708524</v>
      </c>
      <c r="BD123" s="93" t="n">
        <f aca="true">BC123+BD122-IF((50-'Assumption Setting'!$E$100)&lt;1,0,OFFSET($A$122,0,2+13*INT(((50-'Assumption Setting'!$E$100)-1)/12)+MOD((50-'Assumption Setting'!$E$100)-1,12)))</f>
        <v>1.73448895554207</v>
      </c>
      <c r="BE123" s="93" t="n">
        <f aca="true">BD123+BE122-IF((51-'Assumption Setting'!$E$100)&lt;1,0,OFFSET($A$122,0,2+13*INT(((51-'Assumption Setting'!$E$100)-1)/12)+MOD((51-'Assumption Setting'!$E$100)-1,12)))</f>
        <v>1.774115117678</v>
      </c>
      <c r="BF123" s="93" t="n">
        <f aca="true">BE123+BF122-IF((52-'Assumption Setting'!$E$100)&lt;1,0,OFFSET($A$122,0,2+13*INT(((52-'Assumption Setting'!$E$100)-1)/12)+MOD((52-'Assumption Setting'!$E$100)-1,12)))</f>
        <v>1.81502593209975</v>
      </c>
      <c r="BG123" s="93" t="n">
        <f aca="true">BF123+BG122-IF((53-'Assumption Setting'!$E$100)&lt;1,0,OFFSET($A$122,0,2+13*INT(((53-'Assumption Setting'!$E$100)-1)/12)+MOD((53-'Assumption Setting'!$E$100)-1,12)))</f>
        <v>1.8559367465215</v>
      </c>
      <c r="BH123" s="93" t="n">
        <f aca="true">BG123+BH122-IF((54-'Assumption Setting'!$E$100)&lt;1,0,OFFSET($A$122,0,2+13*INT(((54-'Assumption Setting'!$E$100)-1)/12)+MOD((54-'Assumption Setting'!$E$100)-1,12)))</f>
        <v>1.89684756094326</v>
      </c>
      <c r="BI123" s="93" t="n">
        <f aca="true">BH123+BI122-IF((55-'Assumption Setting'!$E$100)&lt;1,0,OFFSET($A$122,0,2+13*INT(((55-'Assumption Setting'!$E$100)-1)/12)+MOD((55-'Assumption Setting'!$E$100)-1,12)))</f>
        <v>1.93775837536501</v>
      </c>
      <c r="BJ123" s="93" t="n">
        <f aca="true">BI123+BJ122-IF((56-'Assumption Setting'!$E$100)&lt;1,0,OFFSET($A$122,0,2+13*INT(((56-'Assumption Setting'!$E$100)-1)/12)+MOD((56-'Assumption Setting'!$E$100)-1,12)))</f>
        <v>1.97866918978676</v>
      </c>
      <c r="BK123" s="93" t="n">
        <f aca="true">BJ123+BK122-IF((57-'Assumption Setting'!$E$100)&lt;1,0,OFFSET($A$122,0,2+13*INT(((57-'Assumption Setting'!$E$100)-1)/12)+MOD((57-'Assumption Setting'!$E$100)-1,12)))</f>
        <v>2.01958000420851</v>
      </c>
      <c r="BL123" s="93" t="n">
        <f aca="true">BK123+BL122-IF((58-'Assumption Setting'!$E$100)&lt;1,0,OFFSET($A$122,0,2+13*INT(((58-'Assumption Setting'!$E$100)-1)/12)+MOD((58-'Assumption Setting'!$E$100)-1,12)))</f>
        <v>2.06049081863027</v>
      </c>
      <c r="BM123" s="93" t="n">
        <f aca="true">BL123+BM122-IF((59-'Assumption Setting'!$E$100)&lt;1,0,OFFSET($A$122,0,2+13*INT(((59-'Assumption Setting'!$E$100)-1)/12)+MOD((59-'Assumption Setting'!$E$100)-1,12)))</f>
        <v>2.10140163305202</v>
      </c>
      <c r="BN123" s="93" t="n">
        <f aca="true">BM123+BN122-IF((60-'Assumption Setting'!$E$100)&lt;1,0,OFFSET($A$122,0,2+13*INT(((60-'Assumption Setting'!$E$100)-1)/12)+MOD((60-'Assumption Setting'!$E$100)-1,12)))</f>
        <v>2.14231244747377</v>
      </c>
    </row>
    <row r="124" customFormat="false" ht="15" hidden="false" customHeight="false" outlineLevel="0" collapsed="false">
      <c r="A124" s="12" t="s">
        <v>642</v>
      </c>
      <c r="B124" s="91" t="n">
        <f aca="false">SUM(C124:N124)</f>
        <v>0.328808903558266</v>
      </c>
      <c r="C124" s="92" t="n">
        <f aca="false">IF(1&lt;'Assumption Setting'!$F$101,0,IFERROR(C88*'Assumption Setting'!$C$101/C107,0))</f>
        <v>0</v>
      </c>
      <c r="D124" s="92" t="n">
        <f aca="false">IF(2&lt;'Assumption Setting'!$F$101,0,IFERROR(D88*'Assumption Setting'!$C$101/D107,0))</f>
        <v>0</v>
      </c>
      <c r="E124" s="92" t="n">
        <f aca="false">IF(3&lt;'Assumption Setting'!$F$101,0,IFERROR(E88*'Assumption Setting'!$C$101/E107,0))</f>
        <v>0</v>
      </c>
      <c r="F124" s="92" t="n">
        <f aca="false">IF(4&lt;'Assumption Setting'!$F$101,0,IFERROR(F88*'Assumption Setting'!$C$101/F107,0))</f>
        <v>0</v>
      </c>
      <c r="G124" s="92" t="n">
        <f aca="false">IF(5&lt;'Assumption Setting'!$F$101,0,IFERROR(G88*'Assumption Setting'!$C$101/G107,0))</f>
        <v>0.0411011129447832</v>
      </c>
      <c r="H124" s="92" t="n">
        <f aca="false">IF(6&lt;'Assumption Setting'!$F$101,0,IFERROR(H88*'Assumption Setting'!$C$101/H107,0))</f>
        <v>0.0411011129447832</v>
      </c>
      <c r="I124" s="92" t="n">
        <f aca="false">IF(7&lt;'Assumption Setting'!$F$101,0,IFERROR(I88*'Assumption Setting'!$C$101/I107,0))</f>
        <v>0.0411011129447832</v>
      </c>
      <c r="J124" s="92" t="n">
        <f aca="false">IF(8&lt;'Assumption Setting'!$F$101,0,IFERROR(J88*'Assumption Setting'!$C$101/J107,0))</f>
        <v>0.0411011129447832</v>
      </c>
      <c r="K124" s="92" t="n">
        <f aca="false">IF(9&lt;'Assumption Setting'!$F$101,0,IFERROR(K88*'Assumption Setting'!$C$101/K107,0))</f>
        <v>0.0411011129447832</v>
      </c>
      <c r="L124" s="92" t="n">
        <f aca="false">IF(10&lt;'Assumption Setting'!$F$101,0,IFERROR(L88*'Assumption Setting'!$C$101/L107,0))</f>
        <v>0.0411011129447832</v>
      </c>
      <c r="M124" s="92" t="n">
        <f aca="false">IF(11&lt;'Assumption Setting'!$F$101,0,IFERROR(M88*'Assumption Setting'!$C$101/M107,0))</f>
        <v>0.0411011129447832</v>
      </c>
      <c r="N124" s="92" t="n">
        <f aca="false">IF(12&lt;'Assumption Setting'!$F$101,0,IFERROR(N88*'Assumption Setting'!$C$101/N107,0))</f>
        <v>0.0411011129447832</v>
      </c>
      <c r="O124" s="91" t="n">
        <f aca="false">SUM(P124:AA124)</f>
        <v>0.724060833752257</v>
      </c>
      <c r="P124" s="92" t="n">
        <f aca="false">IF(13&lt;'Assumption Setting'!$F$101,0,IFERROR(P88*'Assumption Setting'!$C$101/P107,0))</f>
        <v>0.0411011129447832</v>
      </c>
      <c r="Q124" s="92" t="n">
        <f aca="false">IF(14&lt;'Assumption Setting'!$F$101,0,IFERROR(Q88*'Assumption Setting'!$C$101/Q107,0))</f>
        <v>0.0411011129447832</v>
      </c>
      <c r="R124" s="92" t="n">
        <f aca="false">IF(15&lt;'Assumption Setting'!$F$101,0,IFERROR(R88*'Assumption Setting'!$C$101/R107,0))</f>
        <v>0.0411011129447832</v>
      </c>
      <c r="S124" s="92" t="n">
        <f aca="false">IF(16&lt;'Assumption Setting'!$F$101,0,IFERROR(S88*'Assumption Setting'!$C$101/S107,0))</f>
        <v>0.0452112242392615</v>
      </c>
      <c r="T124" s="92" t="n">
        <f aca="false">IF(17&lt;'Assumption Setting'!$F$101,0,IFERROR(T88*'Assumption Setting'!$C$101/T107,0))</f>
        <v>0.0694432838348308</v>
      </c>
      <c r="U124" s="92" t="n">
        <f aca="false">IF(18&lt;'Assumption Setting'!$F$101,0,IFERROR(U88*'Assumption Setting'!$C$101/U107,0))</f>
        <v>0.0694432838348308</v>
      </c>
      <c r="V124" s="92" t="n">
        <f aca="false">IF(19&lt;'Assumption Setting'!$F$101,0,IFERROR(V88*'Assumption Setting'!$C$101/V107,0))</f>
        <v>0.0694432838348308</v>
      </c>
      <c r="W124" s="92" t="n">
        <f aca="false">IF(20&lt;'Assumption Setting'!$F$101,0,IFERROR(W88*'Assumption Setting'!$C$101/W107,0))</f>
        <v>0.0694432838348308</v>
      </c>
      <c r="X124" s="92" t="n">
        <f aca="false">IF(21&lt;'Assumption Setting'!$F$101,0,IFERROR(X88*'Assumption Setting'!$C$101/X107,0))</f>
        <v>0.0694432838348308</v>
      </c>
      <c r="Y124" s="92" t="n">
        <f aca="false">IF(22&lt;'Assumption Setting'!$F$101,0,IFERROR(Y88*'Assumption Setting'!$C$101/Y107,0))</f>
        <v>0.0694432838348308</v>
      </c>
      <c r="Z124" s="92" t="n">
        <f aca="false">IF(23&lt;'Assumption Setting'!$F$101,0,IFERROR(Z88*'Assumption Setting'!$C$101/Z107,0))</f>
        <v>0.0694432838348308</v>
      </c>
      <c r="AA124" s="92" t="n">
        <f aca="false">IF(24&lt;'Assumption Setting'!$F$101,0,IFERROR(AA88*'Assumption Setting'!$C$101/AA107,0))</f>
        <v>0.0694432838348308</v>
      </c>
      <c r="AB124" s="91" t="n">
        <f aca="false">SUM(AC124:AN124)</f>
        <v>1.19304345700196</v>
      </c>
      <c r="AC124" s="92" t="n">
        <f aca="false">IF(25&lt;'Assumption Setting'!$F$101,0,IFERROR(AC88*'Assumption Setting'!$C$101/AC107,0))</f>
        <v>0.0694432838348308</v>
      </c>
      <c r="AD124" s="92" t="n">
        <f aca="false">IF(26&lt;'Assumption Setting'!$F$101,0,IFERROR(AD88*'Assumption Setting'!$C$101/AD107,0))</f>
        <v>0.0694432838348308</v>
      </c>
      <c r="AE124" s="92" t="n">
        <f aca="false">IF(27&lt;'Assumption Setting'!$F$101,0,IFERROR(AE88*'Assumption Setting'!$C$101/AE107,0))</f>
        <v>0.0694432838348308</v>
      </c>
      <c r="AF124" s="92" t="n">
        <f aca="false">IF(28&lt;'Assumption Setting'!$F$101,0,IFERROR(AF88*'Assumption Setting'!$C$101/AF107,0))</f>
        <v>0.0757563096379972</v>
      </c>
      <c r="AG124" s="92" t="n">
        <f aca="false">IF(29&lt;'Assumption Setting'!$F$101,0,IFERROR(AG88*'Assumption Setting'!$C$101/AG107,0))</f>
        <v>0.113619661982434</v>
      </c>
      <c r="AH124" s="92" t="n">
        <f aca="false">IF(30&lt;'Assumption Setting'!$F$101,0,IFERROR(AH88*'Assumption Setting'!$C$101/AH107,0))</f>
        <v>0.113619661982434</v>
      </c>
      <c r="AI124" s="92" t="n">
        <f aca="false">IF(31&lt;'Assumption Setting'!$F$101,0,IFERROR(AI88*'Assumption Setting'!$C$101/AI107,0))</f>
        <v>0.113619661982434</v>
      </c>
      <c r="AJ124" s="92" t="n">
        <f aca="false">IF(32&lt;'Assumption Setting'!$F$101,0,IFERROR(AJ88*'Assumption Setting'!$C$101/AJ107,0))</f>
        <v>0.113619661982434</v>
      </c>
      <c r="AK124" s="92" t="n">
        <f aca="false">IF(33&lt;'Assumption Setting'!$F$101,0,IFERROR(AK88*'Assumption Setting'!$C$101/AK107,0))</f>
        <v>0.113619661982434</v>
      </c>
      <c r="AL124" s="92" t="n">
        <f aca="false">IF(34&lt;'Assumption Setting'!$F$101,0,IFERROR(AL88*'Assumption Setting'!$C$101/AL107,0))</f>
        <v>0.113619661982434</v>
      </c>
      <c r="AM124" s="92" t="n">
        <f aca="false">IF(35&lt;'Assumption Setting'!$F$101,0,IFERROR(AM88*'Assumption Setting'!$C$101/AM107,0))</f>
        <v>0.113619661982434</v>
      </c>
      <c r="AN124" s="92" t="n">
        <f aca="false">IF(36&lt;'Assumption Setting'!$F$101,0,IFERROR(AN88*'Assumption Setting'!$C$101/AN107,0))</f>
        <v>0.113619661982434</v>
      </c>
      <c r="AO124" s="91" t="n">
        <f aca="false">SUM(AP124:BA124)</f>
        <v>1.68714408351206</v>
      </c>
      <c r="AP124" s="92" t="n">
        <f aca="false">IF(37&lt;'Assumption Setting'!$F$101,0,IFERROR(AP88*'Assumption Setting'!$C$101/AP107,0))</f>
        <v>0.113619661982434</v>
      </c>
      <c r="AQ124" s="92" t="n">
        <f aca="false">IF(38&lt;'Assumption Setting'!$F$101,0,IFERROR(AQ88*'Assumption Setting'!$C$101/AQ107,0))</f>
        <v>0.113619661982434</v>
      </c>
      <c r="AR124" s="92" t="n">
        <f aca="false">IF(39&lt;'Assumption Setting'!$F$101,0,IFERROR(AR88*'Assumption Setting'!$C$101/AR107,0))</f>
        <v>0.113619661982434</v>
      </c>
      <c r="AS124" s="92" t="n">
        <f aca="false">IF(40&lt;'Assumption Setting'!$F$101,0,IFERROR(AS88*'Assumption Setting'!$C$101/AS107,0))</f>
        <v>0.118353814565035</v>
      </c>
      <c r="AT124" s="92" t="n">
        <f aca="false">IF(41&lt;'Assumption Setting'!$F$101,0,IFERROR(AT88*'Assumption Setting'!$C$101/AT107,0))</f>
        <v>0.153491410374965</v>
      </c>
      <c r="AU124" s="92" t="n">
        <f aca="false">IF(42&lt;'Assumption Setting'!$F$101,0,IFERROR(AU88*'Assumption Setting'!$C$101/AU107,0))</f>
        <v>0.153491410374965</v>
      </c>
      <c r="AV124" s="92" t="n">
        <f aca="false">IF(43&lt;'Assumption Setting'!$F$101,0,IFERROR(AV88*'Assumption Setting'!$C$101/AV107,0))</f>
        <v>0.153491410374965</v>
      </c>
      <c r="AW124" s="92" t="n">
        <f aca="false">IF(44&lt;'Assumption Setting'!$F$101,0,IFERROR(AW88*'Assumption Setting'!$C$101/AW107,0))</f>
        <v>0.153491410374965</v>
      </c>
      <c r="AX124" s="92" t="n">
        <f aca="false">IF(45&lt;'Assumption Setting'!$F$101,0,IFERROR(AX88*'Assumption Setting'!$C$101/AX107,0))</f>
        <v>0.153491410374965</v>
      </c>
      <c r="AY124" s="92" t="n">
        <f aca="false">IF(46&lt;'Assumption Setting'!$F$101,0,IFERROR(AY88*'Assumption Setting'!$C$101/AY107,0))</f>
        <v>0.153491410374965</v>
      </c>
      <c r="AZ124" s="92" t="n">
        <f aca="false">IF(47&lt;'Assumption Setting'!$F$101,0,IFERROR(AZ88*'Assumption Setting'!$C$101/AZ107,0))</f>
        <v>0.153491410374965</v>
      </c>
      <c r="BA124" s="92" t="n">
        <f aca="false">IF(48&lt;'Assumption Setting'!$F$101,0,IFERROR(BA88*'Assumption Setting'!$C$101/BA107,0))</f>
        <v>0.153491410374965</v>
      </c>
      <c r="BB124" s="91" t="n">
        <f aca="false">SUM(BC124:BN124)</f>
        <v>2.18896003442919</v>
      </c>
      <c r="BC124" s="92" t="n">
        <f aca="false">IF(49&lt;'Assumption Setting'!$F$101,0,IFERROR(BC88*'Assumption Setting'!$C$101/BC107,0))</f>
        <v>0.153491410374965</v>
      </c>
      <c r="BD124" s="92" t="n">
        <f aca="false">IF(50&lt;'Assumption Setting'!$F$101,0,IFERROR(BD88*'Assumption Setting'!$C$101/BD107,0))</f>
        <v>0.153491410374965</v>
      </c>
      <c r="BE124" s="92" t="n">
        <f aca="false">IF(51&lt;'Assumption Setting'!$F$101,0,IFERROR(BE88*'Assumption Setting'!$C$101/BE107,0))</f>
        <v>0.153491410374965</v>
      </c>
      <c r="BF124" s="92" t="n">
        <f aca="false">IF(52&lt;'Assumption Setting'!$F$101,0,IFERROR(BF88*'Assumption Setting'!$C$101/BF107,0))</f>
        <v>0.159631066789964</v>
      </c>
      <c r="BG124" s="92" t="n">
        <f aca="false">IF(53&lt;'Assumption Setting'!$F$101,0,IFERROR(BG88*'Assumption Setting'!$C$101/BG107,0))</f>
        <v>0.196106842064291</v>
      </c>
      <c r="BH124" s="92" t="n">
        <f aca="false">IF(54&lt;'Assumption Setting'!$F$101,0,IFERROR(BH88*'Assumption Setting'!$C$101/BH107,0))</f>
        <v>0.196106842064291</v>
      </c>
      <c r="BI124" s="92" t="n">
        <f aca="false">IF(55&lt;'Assumption Setting'!$F$101,0,IFERROR(BI88*'Assumption Setting'!$C$101/BI107,0))</f>
        <v>0.196106842064291</v>
      </c>
      <c r="BJ124" s="92" t="n">
        <f aca="false">IF(56&lt;'Assumption Setting'!$F$101,0,IFERROR(BJ88*'Assumption Setting'!$C$101/BJ107,0))</f>
        <v>0.196106842064291</v>
      </c>
      <c r="BK124" s="92" t="n">
        <f aca="false">IF(57&lt;'Assumption Setting'!$F$101,0,IFERROR(BK88*'Assumption Setting'!$C$101/BK107,0))</f>
        <v>0.196106842064291</v>
      </c>
      <c r="BL124" s="92" t="n">
        <f aca="false">IF(58&lt;'Assumption Setting'!$F$101,0,IFERROR(BL88*'Assumption Setting'!$C$101/BL107,0))</f>
        <v>0.196106842064291</v>
      </c>
      <c r="BM124" s="92" t="n">
        <f aca="false">IF(59&lt;'Assumption Setting'!$F$101,0,IFERROR(BM88*'Assumption Setting'!$C$101/BM107,0))</f>
        <v>0.196106842064291</v>
      </c>
      <c r="BN124" s="92" t="n">
        <f aca="false">IF(60&lt;'Assumption Setting'!$F$101,0,IFERROR(BN88*'Assumption Setting'!$C$101/BN107,0))</f>
        <v>0.196106842064291</v>
      </c>
    </row>
    <row r="125" customFormat="false" ht="15" hidden="false" customHeight="false" outlineLevel="0" collapsed="false">
      <c r="A125" s="69" t="s">
        <v>643</v>
      </c>
      <c r="B125" s="91" t="n">
        <f aca="false">N125</f>
        <v>0.328808903558266</v>
      </c>
      <c r="C125" s="93" t="n">
        <f aca="false">C124</f>
        <v>0</v>
      </c>
      <c r="D125" s="93" t="n">
        <f aca="true">C125+D124-IF((2-'Assumption Setting'!$E$101)&lt;1,0,OFFSET($A$124,0,2+13*INT(((2-'Assumption Setting'!$E$101)-1)/12)+MOD((2-'Assumption Setting'!$E$101)-1,12)))</f>
        <v>0</v>
      </c>
      <c r="E125" s="93" t="n">
        <f aca="true">D125+E124-IF((3-'Assumption Setting'!$E$101)&lt;1,0,OFFSET($A$124,0,2+13*INT(((3-'Assumption Setting'!$E$101)-1)/12)+MOD((3-'Assumption Setting'!$E$101)-1,12)))</f>
        <v>0</v>
      </c>
      <c r="F125" s="93" t="n">
        <f aca="true">E125+F124-IF((4-'Assumption Setting'!$E$101)&lt;1,0,OFFSET($A$124,0,2+13*INT(((4-'Assumption Setting'!$E$101)-1)/12)+MOD((4-'Assumption Setting'!$E$101)-1,12)))</f>
        <v>0</v>
      </c>
      <c r="G125" s="93" t="n">
        <f aca="true">F125+G124-IF((5-'Assumption Setting'!$E$101)&lt;1,0,OFFSET($A$124,0,2+13*INT(((5-'Assumption Setting'!$E$101)-1)/12)+MOD((5-'Assumption Setting'!$E$101)-1,12)))</f>
        <v>0.0411011129447832</v>
      </c>
      <c r="H125" s="93" t="n">
        <f aca="true">G125+H124-IF((6-'Assumption Setting'!$E$101)&lt;1,0,OFFSET($A$124,0,2+13*INT(((6-'Assumption Setting'!$E$101)-1)/12)+MOD((6-'Assumption Setting'!$E$101)-1,12)))</f>
        <v>0.0822022258895664</v>
      </c>
      <c r="I125" s="93" t="n">
        <f aca="true">H125+I124-IF((7-'Assumption Setting'!$E$101)&lt;1,0,OFFSET($A$124,0,2+13*INT(((7-'Assumption Setting'!$E$101)-1)/12)+MOD((7-'Assumption Setting'!$E$101)-1,12)))</f>
        <v>0.12330333883435</v>
      </c>
      <c r="J125" s="93" t="n">
        <f aca="true">I125+J124-IF((8-'Assumption Setting'!$E$101)&lt;1,0,OFFSET($A$124,0,2+13*INT(((8-'Assumption Setting'!$E$101)-1)/12)+MOD((8-'Assumption Setting'!$E$101)-1,12)))</f>
        <v>0.164404451779133</v>
      </c>
      <c r="K125" s="93" t="n">
        <f aca="true">J125+K124-IF((9-'Assumption Setting'!$E$101)&lt;1,0,OFFSET($A$124,0,2+13*INT(((9-'Assumption Setting'!$E$101)-1)/12)+MOD((9-'Assumption Setting'!$E$101)-1,12)))</f>
        <v>0.205505564723916</v>
      </c>
      <c r="L125" s="93" t="n">
        <f aca="true">K125+L124-IF((10-'Assumption Setting'!$E$101)&lt;1,0,OFFSET($A$124,0,2+13*INT(((10-'Assumption Setting'!$E$101)-1)/12)+MOD((10-'Assumption Setting'!$E$101)-1,12)))</f>
        <v>0.246606677668699</v>
      </c>
      <c r="M125" s="93" t="n">
        <f aca="true">L125+M124-IF((11-'Assumption Setting'!$E$101)&lt;1,0,OFFSET($A$124,0,2+13*INT(((11-'Assumption Setting'!$E$101)-1)/12)+MOD((11-'Assumption Setting'!$E$101)-1,12)))</f>
        <v>0.287707790613483</v>
      </c>
      <c r="N125" s="93" t="n">
        <f aca="true">M125+N124-IF((12-'Assumption Setting'!$E$101)&lt;1,0,OFFSET($A$124,0,2+13*INT(((12-'Assumption Setting'!$E$101)-1)/12)+MOD((12-'Assumption Setting'!$E$101)-1,12)))</f>
        <v>0.328808903558266</v>
      </c>
      <c r="O125" s="91" t="n">
        <f aca="false">AA125</f>
        <v>0.724060833752257</v>
      </c>
      <c r="P125" s="93" t="n">
        <f aca="true">N125+P124-IF((13-'Assumption Setting'!$E$101)&lt;1,0,OFFSET($A$124,0,2+13*INT(((13-'Assumption Setting'!$E$101)-1)/12)+MOD((13-'Assumption Setting'!$E$101)-1,12)))</f>
        <v>0.369910016503049</v>
      </c>
      <c r="Q125" s="93" t="n">
        <f aca="true">P125+Q124-IF((14-'Assumption Setting'!$E$101)&lt;1,0,OFFSET($A$124,0,2+13*INT(((14-'Assumption Setting'!$E$101)-1)/12)+MOD((14-'Assumption Setting'!$E$101)-1,12)))</f>
        <v>0.411011129447832</v>
      </c>
      <c r="R125" s="93" t="n">
        <f aca="true">Q125+R124-IF((15-'Assumption Setting'!$E$101)&lt;1,0,OFFSET($A$124,0,2+13*INT(((15-'Assumption Setting'!$E$101)-1)/12)+MOD((15-'Assumption Setting'!$E$101)-1,12)))</f>
        <v>0.452112242392616</v>
      </c>
      <c r="S125" s="93" t="n">
        <f aca="true">R125+S124-IF((16-'Assumption Setting'!$E$101)&lt;1,0,OFFSET($A$124,0,2+13*INT(((16-'Assumption Setting'!$E$101)-1)/12)+MOD((16-'Assumption Setting'!$E$101)-1,12)))</f>
        <v>0.497323466631877</v>
      </c>
      <c r="T125" s="93" t="n">
        <f aca="true">S125+T124-IF((17-'Assumption Setting'!$E$101)&lt;1,0,OFFSET($A$124,0,2+13*INT(((17-'Assumption Setting'!$E$101)-1)/12)+MOD((17-'Assumption Setting'!$E$101)-1,12)))</f>
        <v>0.525665637521925</v>
      </c>
      <c r="U125" s="93" t="n">
        <f aca="true">T125+U124-IF((18-'Assumption Setting'!$E$101)&lt;1,0,OFFSET($A$124,0,2+13*INT(((18-'Assumption Setting'!$E$101)-1)/12)+MOD((18-'Assumption Setting'!$E$101)-1,12)))</f>
        <v>0.554007808411972</v>
      </c>
      <c r="V125" s="93" t="n">
        <f aca="true">U125+V124-IF((19-'Assumption Setting'!$E$101)&lt;1,0,OFFSET($A$124,0,2+13*INT(((19-'Assumption Setting'!$E$101)-1)/12)+MOD((19-'Assumption Setting'!$E$101)-1,12)))</f>
        <v>0.58234997930202</v>
      </c>
      <c r="W125" s="93" t="n">
        <f aca="true">V125+W124-IF((20-'Assumption Setting'!$E$101)&lt;1,0,OFFSET($A$124,0,2+13*INT(((20-'Assumption Setting'!$E$101)-1)/12)+MOD((20-'Assumption Setting'!$E$101)-1,12)))</f>
        <v>0.610692150192067</v>
      </c>
      <c r="X125" s="93" t="n">
        <f aca="true">W125+X124-IF((21-'Assumption Setting'!$E$101)&lt;1,0,OFFSET($A$124,0,2+13*INT(((21-'Assumption Setting'!$E$101)-1)/12)+MOD((21-'Assumption Setting'!$E$101)-1,12)))</f>
        <v>0.639034321082115</v>
      </c>
      <c r="Y125" s="93" t="n">
        <f aca="true">X125+Y124-IF((22-'Assumption Setting'!$E$101)&lt;1,0,OFFSET($A$124,0,2+13*INT(((22-'Assumption Setting'!$E$101)-1)/12)+MOD((22-'Assumption Setting'!$E$101)-1,12)))</f>
        <v>0.667376491972162</v>
      </c>
      <c r="Z125" s="93" t="n">
        <f aca="true">Y125+Z124-IF((23-'Assumption Setting'!$E$101)&lt;1,0,OFFSET($A$124,0,2+13*INT(((23-'Assumption Setting'!$E$101)-1)/12)+MOD((23-'Assumption Setting'!$E$101)-1,12)))</f>
        <v>0.69571866286221</v>
      </c>
      <c r="AA125" s="93" t="n">
        <f aca="true">Z125+AA124-IF((24-'Assumption Setting'!$E$101)&lt;1,0,OFFSET($A$124,0,2+13*INT(((24-'Assumption Setting'!$E$101)-1)/12)+MOD((24-'Assumption Setting'!$E$101)-1,12)))</f>
        <v>0.724060833752257</v>
      </c>
      <c r="AB125" s="91" t="n">
        <f aca="false">AN125</f>
        <v>1.19304345700196</v>
      </c>
      <c r="AC125" s="93" t="n">
        <f aca="true">AA125+AC124-IF((25-'Assumption Setting'!$E$101)&lt;1,0,OFFSET($A$124,0,2+13*INT(((25-'Assumption Setting'!$E$101)-1)/12)+MOD((25-'Assumption Setting'!$E$101)-1,12)))</f>
        <v>0.752403004642305</v>
      </c>
      <c r="AD125" s="93" t="n">
        <f aca="true">AC125+AD124-IF((26-'Assumption Setting'!$E$101)&lt;1,0,OFFSET($A$124,0,2+13*INT(((26-'Assumption Setting'!$E$101)-1)/12)+MOD((26-'Assumption Setting'!$E$101)-1,12)))</f>
        <v>0.780745175532352</v>
      </c>
      <c r="AE125" s="93" t="n">
        <f aca="true">AD125+AE124-IF((27-'Assumption Setting'!$E$101)&lt;1,0,OFFSET($A$124,0,2+13*INT(((27-'Assumption Setting'!$E$101)-1)/12)+MOD((27-'Assumption Setting'!$E$101)-1,12)))</f>
        <v>0.8090873464224</v>
      </c>
      <c r="AF125" s="93" t="n">
        <f aca="true">AE125+AF124-IF((28-'Assumption Setting'!$E$101)&lt;1,0,OFFSET($A$124,0,2+13*INT(((28-'Assumption Setting'!$E$101)-1)/12)+MOD((28-'Assumption Setting'!$E$101)-1,12)))</f>
        <v>0.839632431821136</v>
      </c>
      <c r="AG125" s="93" t="n">
        <f aca="true">AF125+AG124-IF((29-'Assumption Setting'!$E$101)&lt;1,0,OFFSET($A$124,0,2+13*INT(((29-'Assumption Setting'!$E$101)-1)/12)+MOD((29-'Assumption Setting'!$E$101)-1,12)))</f>
        <v>0.883808809968738</v>
      </c>
      <c r="AH125" s="93" t="n">
        <f aca="true">AG125+AH124-IF((30-'Assumption Setting'!$E$101)&lt;1,0,OFFSET($A$124,0,2+13*INT(((30-'Assumption Setting'!$E$101)-1)/12)+MOD((30-'Assumption Setting'!$E$101)-1,12)))</f>
        <v>0.927985188116341</v>
      </c>
      <c r="AI125" s="93" t="n">
        <f aca="true">AH125+AI124-IF((31-'Assumption Setting'!$E$101)&lt;1,0,OFFSET($A$124,0,2+13*INT(((31-'Assumption Setting'!$E$101)-1)/12)+MOD((31-'Assumption Setting'!$E$101)-1,12)))</f>
        <v>0.972161566263944</v>
      </c>
      <c r="AJ125" s="93" t="n">
        <f aca="true">AI125+AJ124-IF((32-'Assumption Setting'!$E$101)&lt;1,0,OFFSET($A$124,0,2+13*INT(((32-'Assumption Setting'!$E$101)-1)/12)+MOD((32-'Assumption Setting'!$E$101)-1,12)))</f>
        <v>1.01633794441155</v>
      </c>
      <c r="AK125" s="93" t="n">
        <f aca="true">AJ125+AK124-IF((33-'Assumption Setting'!$E$101)&lt;1,0,OFFSET($A$124,0,2+13*INT(((33-'Assumption Setting'!$E$101)-1)/12)+MOD((33-'Assumption Setting'!$E$101)-1,12)))</f>
        <v>1.06051432255915</v>
      </c>
      <c r="AL125" s="93" t="n">
        <f aca="true">AK125+AL124-IF((34-'Assumption Setting'!$E$101)&lt;1,0,OFFSET($A$124,0,2+13*INT(((34-'Assumption Setting'!$E$101)-1)/12)+MOD((34-'Assumption Setting'!$E$101)-1,12)))</f>
        <v>1.10469070070675</v>
      </c>
      <c r="AM125" s="93" t="n">
        <f aca="true">AL125+AM124-IF((35-'Assumption Setting'!$E$101)&lt;1,0,OFFSET($A$124,0,2+13*INT(((35-'Assumption Setting'!$E$101)-1)/12)+MOD((35-'Assumption Setting'!$E$101)-1,12)))</f>
        <v>1.14886707885436</v>
      </c>
      <c r="AN125" s="93" t="n">
        <f aca="true">AM125+AN124-IF((36-'Assumption Setting'!$E$101)&lt;1,0,OFFSET($A$124,0,2+13*INT(((36-'Assumption Setting'!$E$101)-1)/12)+MOD((36-'Assumption Setting'!$E$101)-1,12)))</f>
        <v>1.19304345700196</v>
      </c>
      <c r="AO125" s="91" t="n">
        <f aca="false">BA125</f>
        <v>1.68714408351205</v>
      </c>
      <c r="AP125" s="93" t="n">
        <f aca="true">AN125+AP124-IF((37-'Assumption Setting'!$E$101)&lt;1,0,OFFSET($A$124,0,2+13*INT(((37-'Assumption Setting'!$E$101)-1)/12)+MOD((37-'Assumption Setting'!$E$101)-1,12)))</f>
        <v>1.23721983514956</v>
      </c>
      <c r="AQ125" s="93" t="n">
        <f aca="true">AP125+AQ124-IF((38-'Assumption Setting'!$E$101)&lt;1,0,OFFSET($A$124,0,2+13*INT(((38-'Assumption Setting'!$E$101)-1)/12)+MOD((38-'Assumption Setting'!$E$101)-1,12)))</f>
        <v>1.28139621329716</v>
      </c>
      <c r="AR125" s="93" t="n">
        <f aca="true">AQ125+AR124-IF((39-'Assumption Setting'!$E$101)&lt;1,0,OFFSET($A$124,0,2+13*INT(((39-'Assumption Setting'!$E$101)-1)/12)+MOD((39-'Assumption Setting'!$E$101)-1,12)))</f>
        <v>1.32557259144477</v>
      </c>
      <c r="AS125" s="93" t="n">
        <f aca="true">AR125+AS124-IF((40-'Assumption Setting'!$E$101)&lt;1,0,OFFSET($A$124,0,2+13*INT(((40-'Assumption Setting'!$E$101)-1)/12)+MOD((40-'Assumption Setting'!$E$101)-1,12)))</f>
        <v>1.3681700963718</v>
      </c>
      <c r="AT125" s="93" t="n">
        <f aca="true">AS125+AT124-IF((41-'Assumption Setting'!$E$101)&lt;1,0,OFFSET($A$124,0,2+13*INT(((41-'Assumption Setting'!$E$101)-1)/12)+MOD((41-'Assumption Setting'!$E$101)-1,12)))</f>
        <v>1.40804184476434</v>
      </c>
      <c r="AU125" s="93" t="n">
        <f aca="true">AT125+AU124-IF((42-'Assumption Setting'!$E$101)&lt;1,0,OFFSET($A$124,0,2+13*INT(((42-'Assumption Setting'!$E$101)-1)/12)+MOD((42-'Assumption Setting'!$E$101)-1,12)))</f>
        <v>1.44791359315687</v>
      </c>
      <c r="AV125" s="93" t="n">
        <f aca="true">AU125+AV124-IF((43-'Assumption Setting'!$E$101)&lt;1,0,OFFSET($A$124,0,2+13*INT(((43-'Assumption Setting'!$E$101)-1)/12)+MOD((43-'Assumption Setting'!$E$101)-1,12)))</f>
        <v>1.4877853415494</v>
      </c>
      <c r="AW125" s="93" t="n">
        <f aca="true">AV125+AW124-IF((44-'Assumption Setting'!$E$101)&lt;1,0,OFFSET($A$124,0,2+13*INT(((44-'Assumption Setting'!$E$101)-1)/12)+MOD((44-'Assumption Setting'!$E$101)-1,12)))</f>
        <v>1.52765708994193</v>
      </c>
      <c r="AX125" s="93" t="n">
        <f aca="true">AW125+AX124-IF((45-'Assumption Setting'!$E$101)&lt;1,0,OFFSET($A$124,0,2+13*INT(((45-'Assumption Setting'!$E$101)-1)/12)+MOD((45-'Assumption Setting'!$E$101)-1,12)))</f>
        <v>1.56752883833446</v>
      </c>
      <c r="AY125" s="93" t="n">
        <f aca="true">AX125+AY124-IF((46-'Assumption Setting'!$E$101)&lt;1,0,OFFSET($A$124,0,2+13*INT(((46-'Assumption Setting'!$E$101)-1)/12)+MOD((46-'Assumption Setting'!$E$101)-1,12)))</f>
        <v>1.60740058672699</v>
      </c>
      <c r="AZ125" s="93" t="n">
        <f aca="true">AY125+AZ124-IF((47-'Assumption Setting'!$E$101)&lt;1,0,OFFSET($A$124,0,2+13*INT(((47-'Assumption Setting'!$E$101)-1)/12)+MOD((47-'Assumption Setting'!$E$101)-1,12)))</f>
        <v>1.64727233511952</v>
      </c>
      <c r="BA125" s="93" t="n">
        <f aca="true">AZ125+BA124-IF((48-'Assumption Setting'!$E$101)&lt;1,0,OFFSET($A$124,0,2+13*INT(((48-'Assumption Setting'!$E$101)-1)/12)+MOD((48-'Assumption Setting'!$E$101)-1,12)))</f>
        <v>1.68714408351205</v>
      </c>
      <c r="BB125" s="91" t="n">
        <f aca="false">BN125</f>
        <v>2.18896003442918</v>
      </c>
      <c r="BC125" s="93" t="n">
        <f aca="true">BA125+BC124-IF((49-'Assumption Setting'!$E$101)&lt;1,0,OFFSET($A$124,0,2+13*INT(((49-'Assumption Setting'!$E$101)-1)/12)+MOD((49-'Assumption Setting'!$E$101)-1,12)))</f>
        <v>1.72701583190459</v>
      </c>
      <c r="BD125" s="93" t="n">
        <f aca="true">BC125+BD124-IF((50-'Assumption Setting'!$E$101)&lt;1,0,OFFSET($A$124,0,2+13*INT(((50-'Assumption Setting'!$E$101)-1)/12)+MOD((50-'Assumption Setting'!$E$101)-1,12)))</f>
        <v>1.76688758029712</v>
      </c>
      <c r="BE125" s="93" t="n">
        <f aca="true">BD125+BE124-IF((51-'Assumption Setting'!$E$101)&lt;1,0,OFFSET($A$124,0,2+13*INT(((51-'Assumption Setting'!$E$101)-1)/12)+MOD((51-'Assumption Setting'!$E$101)-1,12)))</f>
        <v>1.80675932868965</v>
      </c>
      <c r="BF125" s="93" t="n">
        <f aca="true">BE125+BF124-IF((52-'Assumption Setting'!$E$101)&lt;1,0,OFFSET($A$124,0,2+13*INT(((52-'Assumption Setting'!$E$101)-1)/12)+MOD((52-'Assumption Setting'!$E$101)-1,12)))</f>
        <v>1.84803658091458</v>
      </c>
      <c r="BG125" s="93" t="n">
        <f aca="true">BF125+BG124-IF((53-'Assumption Setting'!$E$101)&lt;1,0,OFFSET($A$124,0,2+13*INT(((53-'Assumption Setting'!$E$101)-1)/12)+MOD((53-'Assumption Setting'!$E$101)-1,12)))</f>
        <v>1.8906520126039</v>
      </c>
      <c r="BH125" s="93" t="n">
        <f aca="true">BG125+BH124-IF((54-'Assumption Setting'!$E$101)&lt;1,0,OFFSET($A$124,0,2+13*INT(((54-'Assumption Setting'!$E$101)-1)/12)+MOD((54-'Assumption Setting'!$E$101)-1,12)))</f>
        <v>1.93326744429323</v>
      </c>
      <c r="BI125" s="93" t="n">
        <f aca="true">BH125+BI124-IF((55-'Assumption Setting'!$E$101)&lt;1,0,OFFSET($A$124,0,2+13*INT(((55-'Assumption Setting'!$E$101)-1)/12)+MOD((55-'Assumption Setting'!$E$101)-1,12)))</f>
        <v>1.97588287598255</v>
      </c>
      <c r="BJ125" s="93" t="n">
        <f aca="true">BI125+BJ124-IF((56-'Assumption Setting'!$E$101)&lt;1,0,OFFSET($A$124,0,2+13*INT(((56-'Assumption Setting'!$E$101)-1)/12)+MOD((56-'Assumption Setting'!$E$101)-1,12)))</f>
        <v>2.01849830767188</v>
      </c>
      <c r="BK125" s="93" t="n">
        <f aca="true">BJ125+BK124-IF((57-'Assumption Setting'!$E$101)&lt;1,0,OFFSET($A$124,0,2+13*INT(((57-'Assumption Setting'!$E$101)-1)/12)+MOD((57-'Assumption Setting'!$E$101)-1,12)))</f>
        <v>2.06111373936121</v>
      </c>
      <c r="BL125" s="93" t="n">
        <f aca="true">BK125+BL124-IF((58-'Assumption Setting'!$E$101)&lt;1,0,OFFSET($A$124,0,2+13*INT(((58-'Assumption Setting'!$E$101)-1)/12)+MOD((58-'Assumption Setting'!$E$101)-1,12)))</f>
        <v>2.10372917105053</v>
      </c>
      <c r="BM125" s="93" t="n">
        <f aca="true">BL125+BM124-IF((59-'Assumption Setting'!$E$101)&lt;1,0,OFFSET($A$124,0,2+13*INT(((59-'Assumption Setting'!$E$101)-1)/12)+MOD((59-'Assumption Setting'!$E$101)-1,12)))</f>
        <v>2.14634460273986</v>
      </c>
      <c r="BN125" s="93" t="n">
        <f aca="true">BM125+BN124-IF((60-'Assumption Setting'!$E$101)&lt;1,0,OFFSET($A$124,0,2+13*INT(((60-'Assumption Setting'!$E$101)-1)/12)+MOD((60-'Assumption Setting'!$E$101)-1,12)))</f>
        <v>2.18896003442918</v>
      </c>
    </row>
    <row r="126" customFormat="false" ht="15" hidden="false" customHeight="false" outlineLevel="0" collapsed="false">
      <c r="A126" s="12" t="s">
        <v>644</v>
      </c>
      <c r="B126" s="91" t="n">
        <f aca="false">SUM(C126:N126)</f>
        <v>0.140918101524971</v>
      </c>
      <c r="C126" s="92" t="n">
        <f aca="false">IF(1&lt;'Assumption Setting'!$F$102,0,IFERROR(C88*'Assumption Setting'!$C$102/C107,0))</f>
        <v>0</v>
      </c>
      <c r="D126" s="92" t="n">
        <f aca="false">IF(2&lt;'Assumption Setting'!$F$102,0,IFERROR(D88*'Assumption Setting'!$C$102/D107,0))</f>
        <v>0</v>
      </c>
      <c r="E126" s="92" t="n">
        <f aca="false">IF(3&lt;'Assumption Setting'!$F$102,0,IFERROR(E88*'Assumption Setting'!$C$102/E107,0))</f>
        <v>0</v>
      </c>
      <c r="F126" s="92" t="n">
        <f aca="false">IF(4&lt;'Assumption Setting'!$F$102,0,IFERROR(F88*'Assumption Setting'!$C$102/F107,0))</f>
        <v>0</v>
      </c>
      <c r="G126" s="92" t="n">
        <f aca="false">IF(5&lt;'Assumption Setting'!$F$102,0,IFERROR(G88*'Assumption Setting'!$C$102/G107,0))</f>
        <v>0.0176147626906214</v>
      </c>
      <c r="H126" s="92" t="n">
        <f aca="false">IF(6&lt;'Assumption Setting'!$F$102,0,IFERROR(H88*'Assumption Setting'!$C$102/H107,0))</f>
        <v>0.0176147626906214</v>
      </c>
      <c r="I126" s="92" t="n">
        <f aca="false">IF(7&lt;'Assumption Setting'!$F$102,0,IFERROR(I88*'Assumption Setting'!$C$102/I107,0))</f>
        <v>0.0176147626906214</v>
      </c>
      <c r="J126" s="92" t="n">
        <f aca="false">IF(8&lt;'Assumption Setting'!$F$102,0,IFERROR(J88*'Assumption Setting'!$C$102/J107,0))</f>
        <v>0.0176147626906214</v>
      </c>
      <c r="K126" s="92" t="n">
        <f aca="false">IF(9&lt;'Assumption Setting'!$F$102,0,IFERROR(K88*'Assumption Setting'!$C$102/K107,0))</f>
        <v>0.0176147626906214</v>
      </c>
      <c r="L126" s="92" t="n">
        <f aca="false">IF(10&lt;'Assumption Setting'!$F$102,0,IFERROR(L88*'Assumption Setting'!$C$102/L107,0))</f>
        <v>0.0176147626906214</v>
      </c>
      <c r="M126" s="92" t="n">
        <f aca="false">IF(11&lt;'Assumption Setting'!$F$102,0,IFERROR(M88*'Assumption Setting'!$C$102/M107,0))</f>
        <v>0.0176147626906214</v>
      </c>
      <c r="N126" s="92" t="n">
        <f aca="false">IF(12&lt;'Assumption Setting'!$F$102,0,IFERROR(N88*'Assumption Setting'!$C$102/N107,0))</f>
        <v>0.0176147626906214</v>
      </c>
      <c r="O126" s="91" t="n">
        <f aca="false">SUM(P126:AA126)</f>
        <v>0.310311785893825</v>
      </c>
      <c r="P126" s="92" t="n">
        <f aca="false">IF(13&lt;'Assumption Setting'!$F$102,0,IFERROR(P88*'Assumption Setting'!$C$102/P107,0))</f>
        <v>0.0176147626906214</v>
      </c>
      <c r="Q126" s="92" t="n">
        <f aca="false">IF(14&lt;'Assumption Setting'!$F$102,0,IFERROR(Q88*'Assumption Setting'!$C$102/Q107,0))</f>
        <v>0.0176147626906214</v>
      </c>
      <c r="R126" s="92" t="n">
        <f aca="false">IF(15&lt;'Assumption Setting'!$F$102,0,IFERROR(R88*'Assumption Setting'!$C$102/R107,0))</f>
        <v>0.0176147626906214</v>
      </c>
      <c r="S126" s="92" t="n">
        <f aca="false">IF(16&lt;'Assumption Setting'!$F$102,0,IFERROR(S88*'Assumption Setting'!$C$102/S107,0))</f>
        <v>0.0193762389596835</v>
      </c>
      <c r="T126" s="92" t="n">
        <f aca="false">IF(17&lt;'Assumption Setting'!$F$102,0,IFERROR(T88*'Assumption Setting'!$C$102/T107,0))</f>
        <v>0.0297614073577846</v>
      </c>
      <c r="U126" s="92" t="n">
        <f aca="false">IF(18&lt;'Assumption Setting'!$F$102,0,IFERROR(U88*'Assumption Setting'!$C$102/U107,0))</f>
        <v>0.0297614073577846</v>
      </c>
      <c r="V126" s="92" t="n">
        <f aca="false">IF(19&lt;'Assumption Setting'!$F$102,0,IFERROR(V88*'Assumption Setting'!$C$102/V107,0))</f>
        <v>0.0297614073577846</v>
      </c>
      <c r="W126" s="92" t="n">
        <f aca="false">IF(20&lt;'Assumption Setting'!$F$102,0,IFERROR(W88*'Assumption Setting'!$C$102/W107,0))</f>
        <v>0.0297614073577846</v>
      </c>
      <c r="X126" s="92" t="n">
        <f aca="false">IF(21&lt;'Assumption Setting'!$F$102,0,IFERROR(X88*'Assumption Setting'!$C$102/X107,0))</f>
        <v>0.0297614073577846</v>
      </c>
      <c r="Y126" s="92" t="n">
        <f aca="false">IF(22&lt;'Assumption Setting'!$F$102,0,IFERROR(Y88*'Assumption Setting'!$C$102/Y107,0))</f>
        <v>0.0297614073577846</v>
      </c>
      <c r="Z126" s="92" t="n">
        <f aca="false">IF(23&lt;'Assumption Setting'!$F$102,0,IFERROR(Z88*'Assumption Setting'!$C$102/Z107,0))</f>
        <v>0.0297614073577846</v>
      </c>
      <c r="AA126" s="92" t="n">
        <f aca="false">IF(24&lt;'Assumption Setting'!$F$102,0,IFERROR(AA88*'Assumption Setting'!$C$102/AA107,0))</f>
        <v>0.0297614073577846</v>
      </c>
      <c r="AB126" s="91" t="n">
        <f aca="false">SUM(AC126:AN126)</f>
        <v>0.511304338715125</v>
      </c>
      <c r="AC126" s="92" t="n">
        <f aca="false">IF(25&lt;'Assumption Setting'!$F$102,0,IFERROR(AC88*'Assumption Setting'!$C$102/AC107,0))</f>
        <v>0.0297614073577846</v>
      </c>
      <c r="AD126" s="92" t="n">
        <f aca="false">IF(26&lt;'Assumption Setting'!$F$102,0,IFERROR(AD88*'Assumption Setting'!$C$102/AD107,0))</f>
        <v>0.0297614073577846</v>
      </c>
      <c r="AE126" s="92" t="n">
        <f aca="false">IF(27&lt;'Assumption Setting'!$F$102,0,IFERROR(AE88*'Assumption Setting'!$C$102/AE107,0))</f>
        <v>0.0297614073577846</v>
      </c>
      <c r="AF126" s="92" t="n">
        <f aca="false">IF(28&lt;'Assumption Setting'!$F$102,0,IFERROR(AF88*'Assumption Setting'!$C$102/AF107,0))</f>
        <v>0.0324669898448559</v>
      </c>
      <c r="AG126" s="92" t="n">
        <f aca="false">IF(29&lt;'Assumption Setting'!$F$102,0,IFERROR(AG88*'Assumption Setting'!$C$102/AG107,0))</f>
        <v>0.0486941408496144</v>
      </c>
      <c r="AH126" s="92" t="n">
        <f aca="false">IF(30&lt;'Assumption Setting'!$F$102,0,IFERROR(AH88*'Assumption Setting'!$C$102/AH107,0))</f>
        <v>0.0486941408496144</v>
      </c>
      <c r="AI126" s="92" t="n">
        <f aca="false">IF(31&lt;'Assumption Setting'!$F$102,0,IFERROR(AI88*'Assumption Setting'!$C$102/AI107,0))</f>
        <v>0.0486941408496144</v>
      </c>
      <c r="AJ126" s="92" t="n">
        <f aca="false">IF(32&lt;'Assumption Setting'!$F$102,0,IFERROR(AJ88*'Assumption Setting'!$C$102/AJ107,0))</f>
        <v>0.0486941408496144</v>
      </c>
      <c r="AK126" s="92" t="n">
        <f aca="false">IF(33&lt;'Assumption Setting'!$F$102,0,IFERROR(AK88*'Assumption Setting'!$C$102/AK107,0))</f>
        <v>0.0486941408496144</v>
      </c>
      <c r="AL126" s="92" t="n">
        <f aca="false">IF(34&lt;'Assumption Setting'!$F$102,0,IFERROR(AL88*'Assumption Setting'!$C$102/AL107,0))</f>
        <v>0.0486941408496144</v>
      </c>
      <c r="AM126" s="92" t="n">
        <f aca="false">IF(35&lt;'Assumption Setting'!$F$102,0,IFERROR(AM88*'Assumption Setting'!$C$102/AM107,0))</f>
        <v>0.0486941408496144</v>
      </c>
      <c r="AN126" s="92" t="n">
        <f aca="false">IF(36&lt;'Assumption Setting'!$F$102,0,IFERROR(AN88*'Assumption Setting'!$C$102/AN107,0))</f>
        <v>0.0486941408496144</v>
      </c>
      <c r="AO126" s="91" t="n">
        <f aca="false">SUM(AP126:BA126)</f>
        <v>0.723061750076595</v>
      </c>
      <c r="AP126" s="92" t="n">
        <f aca="false">IF(37&lt;'Assumption Setting'!$F$102,0,IFERROR(AP88*'Assumption Setting'!$C$102/AP107,0))</f>
        <v>0.0486941408496144</v>
      </c>
      <c r="AQ126" s="92" t="n">
        <f aca="false">IF(38&lt;'Assumption Setting'!$F$102,0,IFERROR(AQ88*'Assumption Setting'!$C$102/AQ107,0))</f>
        <v>0.0486941408496144</v>
      </c>
      <c r="AR126" s="92" t="n">
        <f aca="false">IF(39&lt;'Assumption Setting'!$F$102,0,IFERROR(AR88*'Assumption Setting'!$C$102/AR107,0))</f>
        <v>0.0486941408496144</v>
      </c>
      <c r="AS126" s="92" t="n">
        <f aca="false">IF(40&lt;'Assumption Setting'!$F$102,0,IFERROR(AS88*'Assumption Setting'!$C$102/AS107,0))</f>
        <v>0.050723063385015</v>
      </c>
      <c r="AT126" s="92" t="n">
        <f aca="false">IF(41&lt;'Assumption Setting'!$F$102,0,IFERROR(AT88*'Assumption Setting'!$C$102/AT107,0))</f>
        <v>0.0657820330178422</v>
      </c>
      <c r="AU126" s="92" t="n">
        <f aca="false">IF(42&lt;'Assumption Setting'!$F$102,0,IFERROR(AU88*'Assumption Setting'!$C$102/AU107,0))</f>
        <v>0.0657820330178422</v>
      </c>
      <c r="AV126" s="92" t="n">
        <f aca="false">IF(43&lt;'Assumption Setting'!$F$102,0,IFERROR(AV88*'Assumption Setting'!$C$102/AV107,0))</f>
        <v>0.0657820330178422</v>
      </c>
      <c r="AW126" s="92" t="n">
        <f aca="false">IF(44&lt;'Assumption Setting'!$F$102,0,IFERROR(AW88*'Assumption Setting'!$C$102/AW107,0))</f>
        <v>0.0657820330178422</v>
      </c>
      <c r="AX126" s="92" t="n">
        <f aca="false">IF(45&lt;'Assumption Setting'!$F$102,0,IFERROR(AX88*'Assumption Setting'!$C$102/AX107,0))</f>
        <v>0.0657820330178422</v>
      </c>
      <c r="AY126" s="92" t="n">
        <f aca="false">IF(46&lt;'Assumption Setting'!$F$102,0,IFERROR(AY88*'Assumption Setting'!$C$102/AY107,0))</f>
        <v>0.0657820330178422</v>
      </c>
      <c r="AZ126" s="92" t="n">
        <f aca="false">IF(47&lt;'Assumption Setting'!$F$102,0,IFERROR(AZ88*'Assumption Setting'!$C$102/AZ107,0))</f>
        <v>0.0657820330178422</v>
      </c>
      <c r="BA126" s="92" t="n">
        <f aca="false">IF(48&lt;'Assumption Setting'!$F$102,0,IFERROR(BA88*'Assumption Setting'!$C$102/BA107,0))</f>
        <v>0.0657820330178422</v>
      </c>
      <c r="BB126" s="91" t="n">
        <f aca="false">SUM(BC126:BN126)</f>
        <v>0.93812572904108</v>
      </c>
      <c r="BC126" s="92" t="n">
        <f aca="false">IF(49&lt;'Assumption Setting'!$F$102,0,IFERROR(BC88*'Assumption Setting'!$C$102/BC107,0))</f>
        <v>0.0657820330178422</v>
      </c>
      <c r="BD126" s="92" t="n">
        <f aca="false">IF(50&lt;'Assumption Setting'!$F$102,0,IFERROR(BD88*'Assumption Setting'!$C$102/BD107,0))</f>
        <v>0.0657820330178422</v>
      </c>
      <c r="BE126" s="92" t="n">
        <f aca="false">IF(51&lt;'Assumption Setting'!$F$102,0,IFERROR(BE88*'Assumption Setting'!$C$102/BE107,0))</f>
        <v>0.0657820330178422</v>
      </c>
      <c r="BF126" s="92" t="n">
        <f aca="false">IF(52&lt;'Assumption Setting'!$F$102,0,IFERROR(BF88*'Assumption Setting'!$C$102/BF107,0))</f>
        <v>0.0684133143385558</v>
      </c>
      <c r="BG126" s="92" t="n">
        <f aca="false">IF(53&lt;'Assumption Setting'!$F$102,0,IFERROR(BG88*'Assumption Setting'!$C$102/BG107,0))</f>
        <v>0.0840457894561247</v>
      </c>
      <c r="BH126" s="92" t="n">
        <f aca="false">IF(54&lt;'Assumption Setting'!$F$102,0,IFERROR(BH88*'Assumption Setting'!$C$102/BH107,0))</f>
        <v>0.0840457894561247</v>
      </c>
      <c r="BI126" s="92" t="n">
        <f aca="false">IF(55&lt;'Assumption Setting'!$F$102,0,IFERROR(BI88*'Assumption Setting'!$C$102/BI107,0))</f>
        <v>0.0840457894561247</v>
      </c>
      <c r="BJ126" s="92" t="n">
        <f aca="false">IF(56&lt;'Assumption Setting'!$F$102,0,IFERROR(BJ88*'Assumption Setting'!$C$102/BJ107,0))</f>
        <v>0.0840457894561247</v>
      </c>
      <c r="BK126" s="92" t="n">
        <f aca="false">IF(57&lt;'Assumption Setting'!$F$102,0,IFERROR(BK88*'Assumption Setting'!$C$102/BK107,0))</f>
        <v>0.0840457894561247</v>
      </c>
      <c r="BL126" s="92" t="n">
        <f aca="false">IF(58&lt;'Assumption Setting'!$F$102,0,IFERROR(BL88*'Assumption Setting'!$C$102/BL107,0))</f>
        <v>0.0840457894561247</v>
      </c>
      <c r="BM126" s="92" t="n">
        <f aca="false">IF(59&lt;'Assumption Setting'!$F$102,0,IFERROR(BM88*'Assumption Setting'!$C$102/BM107,0))</f>
        <v>0.0840457894561247</v>
      </c>
      <c r="BN126" s="92" t="n">
        <f aca="false">IF(60&lt;'Assumption Setting'!$F$102,0,IFERROR(BN88*'Assumption Setting'!$C$102/BN107,0))</f>
        <v>0.0840457894561247</v>
      </c>
    </row>
    <row r="127" customFormat="false" ht="15" hidden="false" customHeight="false" outlineLevel="0" collapsed="false">
      <c r="A127" s="69" t="s">
        <v>645</v>
      </c>
      <c r="B127" s="91" t="n">
        <f aca="false">N127</f>
        <v>0.140918101524971</v>
      </c>
      <c r="C127" s="93" t="n">
        <f aca="false">C126</f>
        <v>0</v>
      </c>
      <c r="D127" s="93" t="n">
        <f aca="true">C127+D126-IF((2-'Assumption Setting'!$E$102)&lt;1,0,OFFSET($A$126,0,2+13*INT(((2-'Assumption Setting'!$E$102)-1)/12)+MOD((2-'Assumption Setting'!$E$102)-1,12)))</f>
        <v>0</v>
      </c>
      <c r="E127" s="93" t="n">
        <f aca="true">D127+E126-IF((3-'Assumption Setting'!$E$102)&lt;1,0,OFFSET($A$126,0,2+13*INT(((3-'Assumption Setting'!$E$102)-1)/12)+MOD((3-'Assumption Setting'!$E$102)-1,12)))</f>
        <v>0</v>
      </c>
      <c r="F127" s="93" t="n">
        <f aca="true">E127+F126-IF((4-'Assumption Setting'!$E$102)&lt;1,0,OFFSET($A$126,0,2+13*INT(((4-'Assumption Setting'!$E$102)-1)/12)+MOD((4-'Assumption Setting'!$E$102)-1,12)))</f>
        <v>0</v>
      </c>
      <c r="G127" s="93" t="n">
        <f aca="true">F127+G126-IF((5-'Assumption Setting'!$E$102)&lt;1,0,OFFSET($A$126,0,2+13*INT(((5-'Assumption Setting'!$E$102)-1)/12)+MOD((5-'Assumption Setting'!$E$102)-1,12)))</f>
        <v>0.0176147626906214</v>
      </c>
      <c r="H127" s="93" t="n">
        <f aca="true">G127+H126-IF((6-'Assumption Setting'!$E$102)&lt;1,0,OFFSET($A$126,0,2+13*INT(((6-'Assumption Setting'!$E$102)-1)/12)+MOD((6-'Assumption Setting'!$E$102)-1,12)))</f>
        <v>0.0352295253812428</v>
      </c>
      <c r="I127" s="93" t="n">
        <f aca="true">H127+I126-IF((7-'Assumption Setting'!$E$102)&lt;1,0,OFFSET($A$126,0,2+13*INT(((7-'Assumption Setting'!$E$102)-1)/12)+MOD((7-'Assumption Setting'!$E$102)-1,12)))</f>
        <v>0.0528442880718641</v>
      </c>
      <c r="J127" s="93" t="n">
        <f aca="true">I127+J126-IF((8-'Assumption Setting'!$E$102)&lt;1,0,OFFSET($A$126,0,2+13*INT(((8-'Assumption Setting'!$E$102)-1)/12)+MOD((8-'Assumption Setting'!$E$102)-1,12)))</f>
        <v>0.0704590507624855</v>
      </c>
      <c r="K127" s="93" t="n">
        <f aca="true">J127+K126-IF((9-'Assumption Setting'!$E$102)&lt;1,0,OFFSET($A$126,0,2+13*INT(((9-'Assumption Setting'!$E$102)-1)/12)+MOD((9-'Assumption Setting'!$E$102)-1,12)))</f>
        <v>0.0880738134531069</v>
      </c>
      <c r="L127" s="93" t="n">
        <f aca="true">K127+L126-IF((10-'Assumption Setting'!$E$102)&lt;1,0,OFFSET($A$126,0,2+13*INT(((10-'Assumption Setting'!$E$102)-1)/12)+MOD((10-'Assumption Setting'!$E$102)-1,12)))</f>
        <v>0.105688576143728</v>
      </c>
      <c r="M127" s="93" t="n">
        <f aca="true">L127+M126-IF((11-'Assumption Setting'!$E$102)&lt;1,0,OFFSET($A$126,0,2+13*INT(((11-'Assumption Setting'!$E$102)-1)/12)+MOD((11-'Assumption Setting'!$E$102)-1,12)))</f>
        <v>0.12330333883435</v>
      </c>
      <c r="N127" s="93" t="n">
        <f aca="true">M127+N126-IF((12-'Assumption Setting'!$E$102)&lt;1,0,OFFSET($A$126,0,2+13*INT(((12-'Assumption Setting'!$E$102)-1)/12)+MOD((12-'Assumption Setting'!$E$102)-1,12)))</f>
        <v>0.140918101524971</v>
      </c>
      <c r="O127" s="91" t="n">
        <f aca="false">AA127</f>
        <v>0.310311785893824</v>
      </c>
      <c r="P127" s="93" t="n">
        <f aca="true">N127+P126-IF((13-'Assumption Setting'!$E$102)&lt;1,0,OFFSET($A$126,0,2+13*INT(((13-'Assumption Setting'!$E$102)-1)/12)+MOD((13-'Assumption Setting'!$E$102)-1,12)))</f>
        <v>0.158532864215592</v>
      </c>
      <c r="Q127" s="93" t="n">
        <f aca="true">P127+Q126-IF((14-'Assumption Setting'!$E$102)&lt;1,0,OFFSET($A$126,0,2+13*INT(((14-'Assumption Setting'!$E$102)-1)/12)+MOD((14-'Assumption Setting'!$E$102)-1,12)))</f>
        <v>0.176147626906214</v>
      </c>
      <c r="R127" s="93" t="n">
        <f aca="true">Q127+R126-IF((15-'Assumption Setting'!$E$102)&lt;1,0,OFFSET($A$126,0,2+13*INT(((15-'Assumption Setting'!$E$102)-1)/12)+MOD((15-'Assumption Setting'!$E$102)-1,12)))</f>
        <v>0.193762389596835</v>
      </c>
      <c r="S127" s="93" t="n">
        <f aca="true">R127+S126-IF((16-'Assumption Setting'!$E$102)&lt;1,0,OFFSET($A$126,0,2+13*INT(((16-'Assumption Setting'!$E$102)-1)/12)+MOD((16-'Assumption Setting'!$E$102)-1,12)))</f>
        <v>0.213138628556519</v>
      </c>
      <c r="T127" s="93" t="n">
        <f aca="true">S127+T126-IF((17-'Assumption Setting'!$E$102)&lt;1,0,OFFSET($A$126,0,2+13*INT(((17-'Assumption Setting'!$E$102)-1)/12)+MOD((17-'Assumption Setting'!$E$102)-1,12)))</f>
        <v>0.225285273223682</v>
      </c>
      <c r="U127" s="93" t="n">
        <f aca="true">T127+U126-IF((18-'Assumption Setting'!$E$102)&lt;1,0,OFFSET($A$126,0,2+13*INT(((18-'Assumption Setting'!$E$102)-1)/12)+MOD((18-'Assumption Setting'!$E$102)-1,12)))</f>
        <v>0.237431917890845</v>
      </c>
      <c r="V127" s="93" t="n">
        <f aca="true">U127+V126-IF((19-'Assumption Setting'!$E$102)&lt;1,0,OFFSET($A$126,0,2+13*INT(((19-'Assumption Setting'!$E$102)-1)/12)+MOD((19-'Assumption Setting'!$E$102)-1,12)))</f>
        <v>0.249578562558008</v>
      </c>
      <c r="W127" s="93" t="n">
        <f aca="true">V127+W126-IF((20-'Assumption Setting'!$E$102)&lt;1,0,OFFSET($A$126,0,2+13*INT(((20-'Assumption Setting'!$E$102)-1)/12)+MOD((20-'Assumption Setting'!$E$102)-1,12)))</f>
        <v>0.261725207225172</v>
      </c>
      <c r="X127" s="93" t="n">
        <f aca="true">W127+X126-IF((21-'Assumption Setting'!$E$102)&lt;1,0,OFFSET($A$126,0,2+13*INT(((21-'Assumption Setting'!$E$102)-1)/12)+MOD((21-'Assumption Setting'!$E$102)-1,12)))</f>
        <v>0.273871851892335</v>
      </c>
      <c r="Y127" s="93" t="n">
        <f aca="true">X127+Y126-IF((22-'Assumption Setting'!$E$102)&lt;1,0,OFFSET($A$126,0,2+13*INT(((22-'Assumption Setting'!$E$102)-1)/12)+MOD((22-'Assumption Setting'!$E$102)-1,12)))</f>
        <v>0.286018496559498</v>
      </c>
      <c r="Z127" s="93" t="n">
        <f aca="true">Y127+Z126-IF((23-'Assumption Setting'!$E$102)&lt;1,0,OFFSET($A$126,0,2+13*INT(((23-'Assumption Setting'!$E$102)-1)/12)+MOD((23-'Assumption Setting'!$E$102)-1,12)))</f>
        <v>0.298165141226661</v>
      </c>
      <c r="AA127" s="93" t="n">
        <f aca="true">Z127+AA126-IF((24-'Assumption Setting'!$E$102)&lt;1,0,OFFSET($A$126,0,2+13*INT(((24-'Assumption Setting'!$E$102)-1)/12)+MOD((24-'Assumption Setting'!$E$102)-1,12)))</f>
        <v>0.310311785893824</v>
      </c>
      <c r="AB127" s="91" t="n">
        <f aca="false">AN127</f>
        <v>0.511304338715125</v>
      </c>
      <c r="AC127" s="93" t="n">
        <f aca="true">AA127+AC126-IF((25-'Assumption Setting'!$E$102)&lt;1,0,OFFSET($A$126,0,2+13*INT(((25-'Assumption Setting'!$E$102)-1)/12)+MOD((25-'Assumption Setting'!$E$102)-1,12)))</f>
        <v>0.322458430560988</v>
      </c>
      <c r="AD127" s="93" t="n">
        <f aca="true">AC127+AD126-IF((26-'Assumption Setting'!$E$102)&lt;1,0,OFFSET($A$126,0,2+13*INT(((26-'Assumption Setting'!$E$102)-1)/12)+MOD((26-'Assumption Setting'!$E$102)-1,12)))</f>
        <v>0.334605075228151</v>
      </c>
      <c r="AE127" s="93" t="n">
        <f aca="true">AD127+AE126-IF((27-'Assumption Setting'!$E$102)&lt;1,0,OFFSET($A$126,0,2+13*INT(((27-'Assumption Setting'!$E$102)-1)/12)+MOD((27-'Assumption Setting'!$E$102)-1,12)))</f>
        <v>0.346751719895314</v>
      </c>
      <c r="AF127" s="93" t="n">
        <f aca="true">AE127+AF126-IF((28-'Assumption Setting'!$E$102)&lt;1,0,OFFSET($A$126,0,2+13*INT(((28-'Assumption Setting'!$E$102)-1)/12)+MOD((28-'Assumption Setting'!$E$102)-1,12)))</f>
        <v>0.359842470780487</v>
      </c>
      <c r="AG127" s="93" t="n">
        <f aca="true">AF127+AG126-IF((29-'Assumption Setting'!$E$102)&lt;1,0,OFFSET($A$126,0,2+13*INT(((29-'Assumption Setting'!$E$102)-1)/12)+MOD((29-'Assumption Setting'!$E$102)-1,12)))</f>
        <v>0.378775204272316</v>
      </c>
      <c r="AH127" s="93" t="n">
        <f aca="true">AG127+AH126-IF((30-'Assumption Setting'!$E$102)&lt;1,0,OFFSET($A$126,0,2+13*INT(((30-'Assumption Setting'!$E$102)-1)/12)+MOD((30-'Assumption Setting'!$E$102)-1,12)))</f>
        <v>0.397707937764146</v>
      </c>
      <c r="AI127" s="93" t="n">
        <f aca="true">AH127+AI126-IF((31-'Assumption Setting'!$E$102)&lt;1,0,OFFSET($A$126,0,2+13*INT(((31-'Assumption Setting'!$E$102)-1)/12)+MOD((31-'Assumption Setting'!$E$102)-1,12)))</f>
        <v>0.416640671255976</v>
      </c>
      <c r="AJ127" s="93" t="n">
        <f aca="true">AI127+AJ126-IF((32-'Assumption Setting'!$E$102)&lt;1,0,OFFSET($A$126,0,2+13*INT(((32-'Assumption Setting'!$E$102)-1)/12)+MOD((32-'Assumption Setting'!$E$102)-1,12)))</f>
        <v>0.435573404747806</v>
      </c>
      <c r="AK127" s="93" t="n">
        <f aca="true">AJ127+AK126-IF((33-'Assumption Setting'!$E$102)&lt;1,0,OFFSET($A$126,0,2+13*INT(((33-'Assumption Setting'!$E$102)-1)/12)+MOD((33-'Assumption Setting'!$E$102)-1,12)))</f>
        <v>0.454506138239635</v>
      </c>
      <c r="AL127" s="93" t="n">
        <f aca="true">AK127+AL126-IF((34-'Assumption Setting'!$E$102)&lt;1,0,OFFSET($A$126,0,2+13*INT(((34-'Assumption Setting'!$E$102)-1)/12)+MOD((34-'Assumption Setting'!$E$102)-1,12)))</f>
        <v>0.473438871731465</v>
      </c>
      <c r="AM127" s="93" t="n">
        <f aca="true">AL127+AM126-IF((35-'Assumption Setting'!$E$102)&lt;1,0,OFFSET($A$126,0,2+13*INT(((35-'Assumption Setting'!$E$102)-1)/12)+MOD((35-'Assumption Setting'!$E$102)-1,12)))</f>
        <v>0.492371605223295</v>
      </c>
      <c r="AN127" s="93" t="n">
        <f aca="true">AM127+AN126-IF((36-'Assumption Setting'!$E$102)&lt;1,0,OFFSET($A$126,0,2+13*INT(((36-'Assumption Setting'!$E$102)-1)/12)+MOD((36-'Assumption Setting'!$E$102)-1,12)))</f>
        <v>0.511304338715125</v>
      </c>
      <c r="AO127" s="91" t="n">
        <f aca="false">BA127</f>
        <v>0.723061750076595</v>
      </c>
      <c r="AP127" s="93" t="n">
        <f aca="true">AN127+AP126-IF((37-'Assumption Setting'!$E$102)&lt;1,0,OFFSET($A$126,0,2+13*INT(((37-'Assumption Setting'!$E$102)-1)/12)+MOD((37-'Assumption Setting'!$E$102)-1,12)))</f>
        <v>0.530237072206955</v>
      </c>
      <c r="AQ127" s="93" t="n">
        <f aca="true">AP127+AQ126-IF((38-'Assumption Setting'!$E$102)&lt;1,0,OFFSET($A$126,0,2+13*INT(((38-'Assumption Setting'!$E$102)-1)/12)+MOD((38-'Assumption Setting'!$E$102)-1,12)))</f>
        <v>0.549169805698784</v>
      </c>
      <c r="AR127" s="93" t="n">
        <f aca="true">AQ127+AR126-IF((39-'Assumption Setting'!$E$102)&lt;1,0,OFFSET($A$126,0,2+13*INT(((39-'Assumption Setting'!$E$102)-1)/12)+MOD((39-'Assumption Setting'!$E$102)-1,12)))</f>
        <v>0.568102539190614</v>
      </c>
      <c r="AS127" s="93" t="n">
        <f aca="true">AR127+AS126-IF((40-'Assumption Setting'!$E$102)&lt;1,0,OFFSET($A$126,0,2+13*INT(((40-'Assumption Setting'!$E$102)-1)/12)+MOD((40-'Assumption Setting'!$E$102)-1,12)))</f>
        <v>0.586358612730773</v>
      </c>
      <c r="AT127" s="93" t="n">
        <f aca="true">AS127+AT126-IF((41-'Assumption Setting'!$E$102)&lt;1,0,OFFSET($A$126,0,2+13*INT(((41-'Assumption Setting'!$E$102)-1)/12)+MOD((41-'Assumption Setting'!$E$102)-1,12)))</f>
        <v>0.603446504899001</v>
      </c>
      <c r="AU127" s="93" t="n">
        <f aca="true">AT127+AU126-IF((42-'Assumption Setting'!$E$102)&lt;1,0,OFFSET($A$126,0,2+13*INT(((42-'Assumption Setting'!$E$102)-1)/12)+MOD((42-'Assumption Setting'!$E$102)-1,12)))</f>
        <v>0.620534397067229</v>
      </c>
      <c r="AV127" s="93" t="n">
        <f aca="true">AU127+AV126-IF((43-'Assumption Setting'!$E$102)&lt;1,0,OFFSET($A$126,0,2+13*INT(((43-'Assumption Setting'!$E$102)-1)/12)+MOD((43-'Assumption Setting'!$E$102)-1,12)))</f>
        <v>0.637622289235456</v>
      </c>
      <c r="AW127" s="93" t="n">
        <f aca="true">AV127+AW126-IF((44-'Assumption Setting'!$E$102)&lt;1,0,OFFSET($A$126,0,2+13*INT(((44-'Assumption Setting'!$E$102)-1)/12)+MOD((44-'Assumption Setting'!$E$102)-1,12)))</f>
        <v>0.654710181403684</v>
      </c>
      <c r="AX127" s="93" t="n">
        <f aca="true">AW127+AX126-IF((45-'Assumption Setting'!$E$102)&lt;1,0,OFFSET($A$126,0,2+13*INT(((45-'Assumption Setting'!$E$102)-1)/12)+MOD((45-'Assumption Setting'!$E$102)-1,12)))</f>
        <v>0.671798073571912</v>
      </c>
      <c r="AY127" s="93" t="n">
        <f aca="true">AX127+AY126-IF((46-'Assumption Setting'!$E$102)&lt;1,0,OFFSET($A$126,0,2+13*INT(((46-'Assumption Setting'!$E$102)-1)/12)+MOD((46-'Assumption Setting'!$E$102)-1,12)))</f>
        <v>0.688885965740139</v>
      </c>
      <c r="AZ127" s="93" t="n">
        <f aca="true">AY127+AZ126-IF((47-'Assumption Setting'!$E$102)&lt;1,0,OFFSET($A$126,0,2+13*INT(((47-'Assumption Setting'!$E$102)-1)/12)+MOD((47-'Assumption Setting'!$E$102)-1,12)))</f>
        <v>0.705973857908367</v>
      </c>
      <c r="BA127" s="93" t="n">
        <f aca="true">AZ127+BA126-IF((48-'Assumption Setting'!$E$102)&lt;1,0,OFFSET($A$126,0,2+13*INT(((48-'Assumption Setting'!$E$102)-1)/12)+MOD((48-'Assumption Setting'!$E$102)-1,12)))</f>
        <v>0.723061750076595</v>
      </c>
      <c r="BB127" s="91" t="n">
        <f aca="false">BN127</f>
        <v>0.938125729041079</v>
      </c>
      <c r="BC127" s="93" t="n">
        <f aca="true">BA127+BC126-IF((49-'Assumption Setting'!$E$102)&lt;1,0,OFFSET($A$126,0,2+13*INT(((49-'Assumption Setting'!$E$102)-1)/12)+MOD((49-'Assumption Setting'!$E$102)-1,12)))</f>
        <v>0.740149642244822</v>
      </c>
      <c r="BD127" s="93" t="n">
        <f aca="true">BC127+BD126-IF((50-'Assumption Setting'!$E$102)&lt;1,0,OFFSET($A$126,0,2+13*INT(((50-'Assumption Setting'!$E$102)-1)/12)+MOD((50-'Assumption Setting'!$E$102)-1,12)))</f>
        <v>0.75723753441305</v>
      </c>
      <c r="BE127" s="93" t="n">
        <f aca="true">BD127+BE126-IF((51-'Assumption Setting'!$E$102)&lt;1,0,OFFSET($A$126,0,2+13*INT(((51-'Assumption Setting'!$E$102)-1)/12)+MOD((51-'Assumption Setting'!$E$102)-1,12)))</f>
        <v>0.774325426581278</v>
      </c>
      <c r="BF127" s="93" t="n">
        <f aca="true">BE127+BF126-IF((52-'Assumption Setting'!$E$102)&lt;1,0,OFFSET($A$126,0,2+13*INT(((52-'Assumption Setting'!$E$102)-1)/12)+MOD((52-'Assumption Setting'!$E$102)-1,12)))</f>
        <v>0.792015677534819</v>
      </c>
      <c r="BG127" s="93" t="n">
        <f aca="true">BF127+BG126-IF((53-'Assumption Setting'!$E$102)&lt;1,0,OFFSET($A$126,0,2+13*INT(((53-'Assumption Setting'!$E$102)-1)/12)+MOD((53-'Assumption Setting'!$E$102)-1,12)))</f>
        <v>0.810279433973101</v>
      </c>
      <c r="BH127" s="93" t="n">
        <f aca="true">BG127+BH126-IF((54-'Assumption Setting'!$E$102)&lt;1,0,OFFSET($A$126,0,2+13*INT(((54-'Assumption Setting'!$E$102)-1)/12)+MOD((54-'Assumption Setting'!$E$102)-1,12)))</f>
        <v>0.828543190411384</v>
      </c>
      <c r="BI127" s="93" t="n">
        <f aca="true">BH127+BI126-IF((55-'Assumption Setting'!$E$102)&lt;1,0,OFFSET($A$126,0,2+13*INT(((55-'Assumption Setting'!$E$102)-1)/12)+MOD((55-'Assumption Setting'!$E$102)-1,12)))</f>
        <v>0.846806946849666</v>
      </c>
      <c r="BJ127" s="93" t="n">
        <f aca="true">BI127+BJ126-IF((56-'Assumption Setting'!$E$102)&lt;1,0,OFFSET($A$126,0,2+13*INT(((56-'Assumption Setting'!$E$102)-1)/12)+MOD((56-'Assumption Setting'!$E$102)-1,12)))</f>
        <v>0.865070703287949</v>
      </c>
      <c r="BK127" s="93" t="n">
        <f aca="true">BJ127+BK126-IF((57-'Assumption Setting'!$E$102)&lt;1,0,OFFSET($A$126,0,2+13*INT(((57-'Assumption Setting'!$E$102)-1)/12)+MOD((57-'Assumption Setting'!$E$102)-1,12)))</f>
        <v>0.883334459726231</v>
      </c>
      <c r="BL127" s="93" t="n">
        <f aca="true">BK127+BL126-IF((58-'Assumption Setting'!$E$102)&lt;1,0,OFFSET($A$126,0,2+13*INT(((58-'Assumption Setting'!$E$102)-1)/12)+MOD((58-'Assumption Setting'!$E$102)-1,12)))</f>
        <v>0.901598216164514</v>
      </c>
      <c r="BM127" s="93" t="n">
        <f aca="true">BL127+BM126-IF((59-'Assumption Setting'!$E$102)&lt;1,0,OFFSET($A$126,0,2+13*INT(((59-'Assumption Setting'!$E$102)-1)/12)+MOD((59-'Assumption Setting'!$E$102)-1,12)))</f>
        <v>0.919861972602796</v>
      </c>
      <c r="BN127" s="93" t="n">
        <f aca="true">BM127+BN126-IF((60-'Assumption Setting'!$E$102)&lt;1,0,OFFSET($A$126,0,2+13*INT(((60-'Assumption Setting'!$E$102)-1)/12)+MOD((60-'Assumption Setting'!$E$102)-1,12)))</f>
        <v>0.938125729041079</v>
      </c>
    </row>
    <row r="128" customFormat="false" ht="15" hidden="false" customHeight="false" outlineLevel="0" collapsed="false">
      <c r="A128" s="12" t="s">
        <v>646</v>
      </c>
      <c r="B128" s="91" t="n">
        <f aca="false">SUM(C128:N128)</f>
        <v>0.767220774969287</v>
      </c>
      <c r="C128" s="92" t="n">
        <f aca="false">IF(1&lt;'Assumption Setting'!$F$103,0,IFERROR(C83*'Assumption Setting'!$C$103/C106,0))</f>
        <v>0</v>
      </c>
      <c r="D128" s="92" t="n">
        <f aca="false">IF(2&lt;'Assumption Setting'!$F$103,0,IFERROR(D83*'Assumption Setting'!$C$103/D106,0))</f>
        <v>0</v>
      </c>
      <c r="E128" s="92" t="n">
        <f aca="false">IF(3&lt;'Assumption Setting'!$F$103,0,IFERROR(E83*'Assumption Setting'!$C$103/E106,0))</f>
        <v>0</v>
      </c>
      <c r="F128" s="92" t="n">
        <f aca="false">IF(4&lt;'Assumption Setting'!$F$103,0,IFERROR(F83*'Assumption Setting'!$C$103/F106,0))</f>
        <v>0</v>
      </c>
      <c r="G128" s="92" t="n">
        <f aca="false">IF(5&lt;'Assumption Setting'!$F$103,0,IFERROR(G83*'Assumption Setting'!$C$103/G106,0))</f>
        <v>0.0959025968711609</v>
      </c>
      <c r="H128" s="92" t="n">
        <f aca="false">IF(6&lt;'Assumption Setting'!$F$103,0,IFERROR(H83*'Assumption Setting'!$C$103/H106,0))</f>
        <v>0.0959025968711609</v>
      </c>
      <c r="I128" s="92" t="n">
        <f aca="false">IF(7&lt;'Assumption Setting'!$F$103,0,IFERROR(I83*'Assumption Setting'!$C$103/I106,0))</f>
        <v>0.0959025968711609</v>
      </c>
      <c r="J128" s="92" t="n">
        <f aca="false">IF(8&lt;'Assumption Setting'!$F$103,0,IFERROR(J83*'Assumption Setting'!$C$103/J106,0))</f>
        <v>0.0959025968711609</v>
      </c>
      <c r="K128" s="92" t="n">
        <f aca="false">IF(9&lt;'Assumption Setting'!$F$103,0,IFERROR(K83*'Assumption Setting'!$C$103/K106,0))</f>
        <v>0.0959025968711609</v>
      </c>
      <c r="L128" s="92" t="n">
        <f aca="false">IF(10&lt;'Assumption Setting'!$F$103,0,IFERROR(L83*'Assumption Setting'!$C$103/L106,0))</f>
        <v>0.0959025968711609</v>
      </c>
      <c r="M128" s="92" t="n">
        <f aca="false">IF(11&lt;'Assumption Setting'!$F$103,0,IFERROR(M83*'Assumption Setting'!$C$103/M106,0))</f>
        <v>0.0959025968711609</v>
      </c>
      <c r="N128" s="92" t="n">
        <f aca="false">IF(12&lt;'Assumption Setting'!$F$103,0,IFERROR(N83*'Assumption Setting'!$C$103/N106,0))</f>
        <v>0.0959025968711609</v>
      </c>
      <c r="O128" s="91" t="n">
        <f aca="false">SUM(P128:AA128)</f>
        <v>1.68947527875527</v>
      </c>
      <c r="P128" s="92" t="n">
        <f aca="false">IF(13&lt;'Assumption Setting'!$F$103,0,IFERROR(P83*'Assumption Setting'!$C$103/P106,0))</f>
        <v>0.0959025968711609</v>
      </c>
      <c r="Q128" s="92" t="n">
        <f aca="false">IF(14&lt;'Assumption Setting'!$F$103,0,IFERROR(Q83*'Assumption Setting'!$C$103/Q106,0))</f>
        <v>0.0959025968711609</v>
      </c>
      <c r="R128" s="92" t="n">
        <f aca="false">IF(15&lt;'Assumption Setting'!$F$103,0,IFERROR(R83*'Assumption Setting'!$C$103/R106,0))</f>
        <v>0.0959025968711609</v>
      </c>
      <c r="S128" s="92" t="n">
        <f aca="false">IF(16&lt;'Assumption Setting'!$F$103,0,IFERROR(S83*'Assumption Setting'!$C$103/S106,0))</f>
        <v>0.105492856558277</v>
      </c>
      <c r="T128" s="92" t="n">
        <f aca="false">IF(17&lt;'Assumption Setting'!$F$103,0,IFERROR(T83*'Assumption Setting'!$C$103/T106,0))</f>
        <v>0.162034328947938</v>
      </c>
      <c r="U128" s="92" t="n">
        <f aca="false">IF(18&lt;'Assumption Setting'!$F$103,0,IFERROR(U83*'Assumption Setting'!$C$103/U106,0))</f>
        <v>0.162034328947938</v>
      </c>
      <c r="V128" s="92" t="n">
        <f aca="false">IF(19&lt;'Assumption Setting'!$F$103,0,IFERROR(V83*'Assumption Setting'!$C$103/V106,0))</f>
        <v>0.162034328947938</v>
      </c>
      <c r="W128" s="92" t="n">
        <f aca="false">IF(20&lt;'Assumption Setting'!$F$103,0,IFERROR(W83*'Assumption Setting'!$C$103/W106,0))</f>
        <v>0.162034328947938</v>
      </c>
      <c r="X128" s="92" t="n">
        <f aca="false">IF(21&lt;'Assumption Setting'!$F$103,0,IFERROR(X83*'Assumption Setting'!$C$103/X106,0))</f>
        <v>0.162034328947938</v>
      </c>
      <c r="Y128" s="92" t="n">
        <f aca="false">IF(22&lt;'Assumption Setting'!$F$103,0,IFERROR(Y83*'Assumption Setting'!$C$103/Y106,0))</f>
        <v>0.162034328947938</v>
      </c>
      <c r="Z128" s="92" t="n">
        <f aca="false">IF(23&lt;'Assumption Setting'!$F$103,0,IFERROR(Z83*'Assumption Setting'!$C$103/Z106,0))</f>
        <v>0.162034328947938</v>
      </c>
      <c r="AA128" s="92" t="n">
        <f aca="false">IF(24&lt;'Assumption Setting'!$F$103,0,IFERROR(AA83*'Assumption Setting'!$C$103/AA106,0))</f>
        <v>0.162034328947938</v>
      </c>
      <c r="AB128" s="91" t="n">
        <f aca="false">SUM(AC128:AN128)</f>
        <v>2.7837680663379</v>
      </c>
      <c r="AC128" s="92" t="n">
        <f aca="false">IF(25&lt;'Assumption Setting'!$F$103,0,IFERROR(AC83*'Assumption Setting'!$C$103/AC106,0))</f>
        <v>0.162034328947938</v>
      </c>
      <c r="AD128" s="92" t="n">
        <f aca="false">IF(26&lt;'Assumption Setting'!$F$103,0,IFERROR(AD83*'Assumption Setting'!$C$103/AD106,0))</f>
        <v>0.162034328947938</v>
      </c>
      <c r="AE128" s="92" t="n">
        <f aca="false">IF(27&lt;'Assumption Setting'!$F$103,0,IFERROR(AE83*'Assumption Setting'!$C$103/AE106,0))</f>
        <v>0.162034328947938</v>
      </c>
      <c r="AF128" s="92" t="n">
        <f aca="false">IF(28&lt;'Assumption Setting'!$F$103,0,IFERROR(AF83*'Assumption Setting'!$C$103/AF106,0))</f>
        <v>0.17676472248866</v>
      </c>
      <c r="AG128" s="92" t="n">
        <f aca="false">IF(29&lt;'Assumption Setting'!$F$103,0,IFERROR(AG83*'Assumption Setting'!$C$103/AG106,0))</f>
        <v>0.265112544625678</v>
      </c>
      <c r="AH128" s="92" t="n">
        <f aca="false">IF(30&lt;'Assumption Setting'!$F$103,0,IFERROR(AH83*'Assumption Setting'!$C$103/AH106,0))</f>
        <v>0.265112544625678</v>
      </c>
      <c r="AI128" s="92" t="n">
        <f aca="false">IF(31&lt;'Assumption Setting'!$F$103,0,IFERROR(AI83*'Assumption Setting'!$C$103/AI106,0))</f>
        <v>0.265112544625678</v>
      </c>
      <c r="AJ128" s="92" t="n">
        <f aca="false">IF(32&lt;'Assumption Setting'!$F$103,0,IFERROR(AJ83*'Assumption Setting'!$C$103/AJ106,0))</f>
        <v>0.265112544625678</v>
      </c>
      <c r="AK128" s="92" t="n">
        <f aca="false">IF(33&lt;'Assumption Setting'!$F$103,0,IFERROR(AK83*'Assumption Setting'!$C$103/AK106,0))</f>
        <v>0.265112544625678</v>
      </c>
      <c r="AL128" s="92" t="n">
        <f aca="false">IF(34&lt;'Assumption Setting'!$F$103,0,IFERROR(AL83*'Assumption Setting'!$C$103/AL106,0))</f>
        <v>0.265112544625678</v>
      </c>
      <c r="AM128" s="92" t="n">
        <f aca="false">IF(35&lt;'Assumption Setting'!$F$103,0,IFERROR(AM83*'Assumption Setting'!$C$103/AM106,0))</f>
        <v>0.265112544625678</v>
      </c>
      <c r="AN128" s="92" t="n">
        <f aca="false">IF(36&lt;'Assumption Setting'!$F$103,0,IFERROR(AN83*'Assumption Setting'!$C$103/AN106,0))</f>
        <v>0.265112544625678</v>
      </c>
      <c r="AO128" s="91" t="n">
        <f aca="false">SUM(AP128:BA128)</f>
        <v>3.9366695281948</v>
      </c>
      <c r="AP128" s="92" t="n">
        <f aca="false">IF(37&lt;'Assumption Setting'!$F$103,0,IFERROR(AP83*'Assumption Setting'!$C$103/AP106,0))</f>
        <v>0.265112544625678</v>
      </c>
      <c r="AQ128" s="92" t="n">
        <f aca="false">IF(38&lt;'Assumption Setting'!$F$103,0,IFERROR(AQ83*'Assumption Setting'!$C$103/AQ106,0))</f>
        <v>0.265112544625678</v>
      </c>
      <c r="AR128" s="92" t="n">
        <f aca="false">IF(39&lt;'Assumption Setting'!$F$103,0,IFERROR(AR83*'Assumption Setting'!$C$103/AR106,0))</f>
        <v>0.265112544625678</v>
      </c>
      <c r="AS128" s="92" t="n">
        <f aca="false">IF(40&lt;'Assumption Setting'!$F$103,0,IFERROR(AS83*'Assumption Setting'!$C$103/AS106,0))</f>
        <v>0.276158900651748</v>
      </c>
      <c r="AT128" s="92" t="n">
        <f aca="false">IF(41&lt;'Assumption Setting'!$F$103,0,IFERROR(AT83*'Assumption Setting'!$C$103/AT106,0))</f>
        <v>0.358146624208252</v>
      </c>
      <c r="AU128" s="92" t="n">
        <f aca="false">IF(42&lt;'Assumption Setting'!$F$103,0,IFERROR(AU83*'Assumption Setting'!$C$103/AU106,0))</f>
        <v>0.358146624208252</v>
      </c>
      <c r="AV128" s="92" t="n">
        <f aca="false">IF(43&lt;'Assumption Setting'!$F$103,0,IFERROR(AV83*'Assumption Setting'!$C$103/AV106,0))</f>
        <v>0.358146624208252</v>
      </c>
      <c r="AW128" s="92" t="n">
        <f aca="false">IF(44&lt;'Assumption Setting'!$F$103,0,IFERROR(AW83*'Assumption Setting'!$C$103/AW106,0))</f>
        <v>0.358146624208252</v>
      </c>
      <c r="AX128" s="92" t="n">
        <f aca="false">IF(45&lt;'Assumption Setting'!$F$103,0,IFERROR(AX83*'Assumption Setting'!$C$103/AX106,0))</f>
        <v>0.358146624208252</v>
      </c>
      <c r="AY128" s="92" t="n">
        <f aca="false">IF(46&lt;'Assumption Setting'!$F$103,0,IFERROR(AY83*'Assumption Setting'!$C$103/AY106,0))</f>
        <v>0.358146624208252</v>
      </c>
      <c r="AZ128" s="92" t="n">
        <f aca="false">IF(47&lt;'Assumption Setting'!$F$103,0,IFERROR(AZ83*'Assumption Setting'!$C$103/AZ106,0))</f>
        <v>0.358146624208252</v>
      </c>
      <c r="BA128" s="92" t="n">
        <f aca="false">IF(48&lt;'Assumption Setting'!$F$103,0,IFERROR(BA83*'Assumption Setting'!$C$103/BA106,0))</f>
        <v>0.358146624208252</v>
      </c>
      <c r="BB128" s="91" t="n">
        <f aca="false">SUM(BC128:BN128)</f>
        <v>5.1075734136681</v>
      </c>
      <c r="BC128" s="92" t="n">
        <f aca="false">IF(49&lt;'Assumption Setting'!$F$103,0,IFERROR(BC83*'Assumption Setting'!$C$103/BC106,0))</f>
        <v>0.358146624208252</v>
      </c>
      <c r="BD128" s="92" t="n">
        <f aca="false">IF(50&lt;'Assumption Setting'!$F$103,0,IFERROR(BD83*'Assumption Setting'!$C$103/BD106,0))</f>
        <v>0.358146624208252</v>
      </c>
      <c r="BE128" s="92" t="n">
        <f aca="false">IF(51&lt;'Assumption Setting'!$F$103,0,IFERROR(BE83*'Assumption Setting'!$C$103/BE106,0))</f>
        <v>0.358146624208252</v>
      </c>
      <c r="BF128" s="92" t="n">
        <f aca="false">IF(52&lt;'Assumption Setting'!$F$103,0,IFERROR(BF83*'Assumption Setting'!$C$103/BF106,0))</f>
        <v>0.372472489176582</v>
      </c>
      <c r="BG128" s="92" t="n">
        <f aca="false">IF(53&lt;'Assumption Setting'!$F$103,0,IFERROR(BG83*'Assumption Setting'!$C$103/BG106,0))</f>
        <v>0.457582631483346</v>
      </c>
      <c r="BH128" s="92" t="n">
        <f aca="false">IF(54&lt;'Assumption Setting'!$F$103,0,IFERROR(BH83*'Assumption Setting'!$C$103/BH106,0))</f>
        <v>0.457582631483346</v>
      </c>
      <c r="BI128" s="92" t="n">
        <f aca="false">IF(55&lt;'Assumption Setting'!$F$103,0,IFERROR(BI83*'Assumption Setting'!$C$103/BI106,0))</f>
        <v>0.457582631483346</v>
      </c>
      <c r="BJ128" s="92" t="n">
        <f aca="false">IF(56&lt;'Assumption Setting'!$F$103,0,IFERROR(BJ83*'Assumption Setting'!$C$103/BJ106,0))</f>
        <v>0.457582631483346</v>
      </c>
      <c r="BK128" s="92" t="n">
        <f aca="false">IF(57&lt;'Assumption Setting'!$F$103,0,IFERROR(BK83*'Assumption Setting'!$C$103/BK106,0))</f>
        <v>0.457582631483346</v>
      </c>
      <c r="BL128" s="92" t="n">
        <f aca="false">IF(58&lt;'Assumption Setting'!$F$103,0,IFERROR(BL83*'Assumption Setting'!$C$103/BL106,0))</f>
        <v>0.457582631483346</v>
      </c>
      <c r="BM128" s="92" t="n">
        <f aca="false">IF(59&lt;'Assumption Setting'!$F$103,0,IFERROR(BM83*'Assumption Setting'!$C$103/BM106,0))</f>
        <v>0.457582631483346</v>
      </c>
      <c r="BN128" s="92" t="n">
        <f aca="false">IF(60&lt;'Assumption Setting'!$F$103,0,IFERROR(BN83*'Assumption Setting'!$C$103/BN106,0))</f>
        <v>0.457582631483346</v>
      </c>
    </row>
    <row r="129" customFormat="false" ht="15" hidden="false" customHeight="false" outlineLevel="0" collapsed="false">
      <c r="A129" s="69" t="s">
        <v>647</v>
      </c>
      <c r="B129" s="91" t="n">
        <f aca="false">N129</f>
        <v>0.767220774969287</v>
      </c>
      <c r="C129" s="93" t="n">
        <f aca="false">C128</f>
        <v>0</v>
      </c>
      <c r="D129" s="93" t="n">
        <f aca="true">C129+D128-IF((2-'Assumption Setting'!$E$103)&lt;1,0,OFFSET($A$128,0,2+13*INT(((2-'Assumption Setting'!$E$103)-1)/12)+MOD((2-'Assumption Setting'!$E$103)-1,12)))</f>
        <v>0</v>
      </c>
      <c r="E129" s="93" t="n">
        <f aca="true">D129+E128-IF((3-'Assumption Setting'!$E$103)&lt;1,0,OFFSET($A$128,0,2+13*INT(((3-'Assumption Setting'!$E$103)-1)/12)+MOD((3-'Assumption Setting'!$E$103)-1,12)))</f>
        <v>0</v>
      </c>
      <c r="F129" s="93" t="n">
        <f aca="true">E129+F128-IF((4-'Assumption Setting'!$E$103)&lt;1,0,OFFSET($A$128,0,2+13*INT(((4-'Assumption Setting'!$E$103)-1)/12)+MOD((4-'Assumption Setting'!$E$103)-1,12)))</f>
        <v>0</v>
      </c>
      <c r="G129" s="93" t="n">
        <f aca="true">F129+G128-IF((5-'Assumption Setting'!$E$103)&lt;1,0,OFFSET($A$128,0,2+13*INT(((5-'Assumption Setting'!$E$103)-1)/12)+MOD((5-'Assumption Setting'!$E$103)-1,12)))</f>
        <v>0.0959025968711609</v>
      </c>
      <c r="H129" s="93" t="n">
        <f aca="true">G129+H128-IF((6-'Assumption Setting'!$E$103)&lt;1,0,OFFSET($A$128,0,2+13*INT(((6-'Assumption Setting'!$E$103)-1)/12)+MOD((6-'Assumption Setting'!$E$103)-1,12)))</f>
        <v>0.191805193742322</v>
      </c>
      <c r="I129" s="93" t="n">
        <f aca="true">H129+I128-IF((7-'Assumption Setting'!$E$103)&lt;1,0,OFFSET($A$128,0,2+13*INT(((7-'Assumption Setting'!$E$103)-1)/12)+MOD((7-'Assumption Setting'!$E$103)-1,12)))</f>
        <v>0.287707790613483</v>
      </c>
      <c r="J129" s="93" t="n">
        <f aca="true">I129+J128-IF((8-'Assumption Setting'!$E$103)&lt;1,0,OFFSET($A$128,0,2+13*INT(((8-'Assumption Setting'!$E$103)-1)/12)+MOD((8-'Assumption Setting'!$E$103)-1,12)))</f>
        <v>0.383610387484643</v>
      </c>
      <c r="K129" s="93" t="n">
        <f aca="true">J129+K128-IF((9-'Assumption Setting'!$E$103)&lt;1,0,OFFSET($A$128,0,2+13*INT(((9-'Assumption Setting'!$E$103)-1)/12)+MOD((9-'Assumption Setting'!$E$103)-1,12)))</f>
        <v>0.479512984355804</v>
      </c>
      <c r="L129" s="93" t="n">
        <f aca="true">K129+L128-IF((10-'Assumption Setting'!$E$103)&lt;1,0,OFFSET($A$128,0,2+13*INT(((10-'Assumption Setting'!$E$103)-1)/12)+MOD((10-'Assumption Setting'!$E$103)-1,12)))</f>
        <v>0.575415581226965</v>
      </c>
      <c r="M129" s="93" t="n">
        <f aca="true">L129+M128-IF((11-'Assumption Setting'!$E$103)&lt;1,0,OFFSET($A$128,0,2+13*INT(((11-'Assumption Setting'!$E$103)-1)/12)+MOD((11-'Assumption Setting'!$E$103)-1,12)))</f>
        <v>0.671318178098126</v>
      </c>
      <c r="N129" s="93" t="n">
        <f aca="true">M129+N128-IF((12-'Assumption Setting'!$E$103)&lt;1,0,OFFSET($A$128,0,2+13*INT(((12-'Assumption Setting'!$E$103)-1)/12)+MOD((12-'Assumption Setting'!$E$103)-1,12)))</f>
        <v>0.767220774969287</v>
      </c>
      <c r="O129" s="91" t="n">
        <f aca="false">AA129</f>
        <v>1.68947527875527</v>
      </c>
      <c r="P129" s="93" t="n">
        <f aca="true">N129+P128-IF((13-'Assumption Setting'!$E$103)&lt;1,0,OFFSET($A$128,0,2+13*INT(((13-'Assumption Setting'!$E$103)-1)/12)+MOD((13-'Assumption Setting'!$E$103)-1,12)))</f>
        <v>0.863123371840448</v>
      </c>
      <c r="Q129" s="93" t="n">
        <f aca="true">P129+Q128-IF((14-'Assumption Setting'!$E$103)&lt;1,0,OFFSET($A$128,0,2+13*INT(((14-'Assumption Setting'!$E$103)-1)/12)+MOD((14-'Assumption Setting'!$E$103)-1,12)))</f>
        <v>0.959025968711609</v>
      </c>
      <c r="R129" s="93" t="n">
        <f aca="true">Q129+R128-IF((15-'Assumption Setting'!$E$103)&lt;1,0,OFFSET($A$128,0,2+13*INT(((15-'Assumption Setting'!$E$103)-1)/12)+MOD((15-'Assumption Setting'!$E$103)-1,12)))</f>
        <v>1.05492856558277</v>
      </c>
      <c r="S129" s="93" t="n">
        <f aca="true">R129+S128-IF((16-'Assumption Setting'!$E$103)&lt;1,0,OFFSET($A$128,0,2+13*INT(((16-'Assumption Setting'!$E$103)-1)/12)+MOD((16-'Assumption Setting'!$E$103)-1,12)))</f>
        <v>1.16042142214105</v>
      </c>
      <c r="T129" s="93" t="n">
        <f aca="true">S129+T128-IF((17-'Assumption Setting'!$E$103)&lt;1,0,OFFSET($A$128,0,2+13*INT(((17-'Assumption Setting'!$E$103)-1)/12)+MOD((17-'Assumption Setting'!$E$103)-1,12)))</f>
        <v>1.22655315421782</v>
      </c>
      <c r="U129" s="93" t="n">
        <f aca="true">T129+U128-IF((18-'Assumption Setting'!$E$103)&lt;1,0,OFFSET($A$128,0,2+13*INT(((18-'Assumption Setting'!$E$103)-1)/12)+MOD((18-'Assumption Setting'!$E$103)-1,12)))</f>
        <v>1.2926848862946</v>
      </c>
      <c r="V129" s="93" t="n">
        <f aca="true">U129+V128-IF((19-'Assumption Setting'!$E$103)&lt;1,0,OFFSET($A$128,0,2+13*INT(((19-'Assumption Setting'!$E$103)-1)/12)+MOD((19-'Assumption Setting'!$E$103)-1,12)))</f>
        <v>1.35881661837138</v>
      </c>
      <c r="W129" s="93" t="n">
        <f aca="true">V129+W128-IF((20-'Assumption Setting'!$E$103)&lt;1,0,OFFSET($A$128,0,2+13*INT(((20-'Assumption Setting'!$E$103)-1)/12)+MOD((20-'Assumption Setting'!$E$103)-1,12)))</f>
        <v>1.42494835044816</v>
      </c>
      <c r="X129" s="93" t="n">
        <f aca="true">W129+X128-IF((21-'Assumption Setting'!$E$103)&lt;1,0,OFFSET($A$128,0,2+13*INT(((21-'Assumption Setting'!$E$103)-1)/12)+MOD((21-'Assumption Setting'!$E$103)-1,12)))</f>
        <v>1.49108008252493</v>
      </c>
      <c r="Y129" s="93" t="n">
        <f aca="true">X129+Y128-IF((22-'Assumption Setting'!$E$103)&lt;1,0,OFFSET($A$128,0,2+13*INT(((22-'Assumption Setting'!$E$103)-1)/12)+MOD((22-'Assumption Setting'!$E$103)-1,12)))</f>
        <v>1.55721181460171</v>
      </c>
      <c r="Z129" s="93" t="n">
        <f aca="true">Y129+Z128-IF((23-'Assumption Setting'!$E$103)&lt;1,0,OFFSET($A$128,0,2+13*INT(((23-'Assumption Setting'!$E$103)-1)/12)+MOD((23-'Assumption Setting'!$E$103)-1,12)))</f>
        <v>1.62334354667849</v>
      </c>
      <c r="AA129" s="93" t="n">
        <f aca="true">Z129+AA128-IF((24-'Assumption Setting'!$E$103)&lt;1,0,OFFSET($A$128,0,2+13*INT(((24-'Assumption Setting'!$E$103)-1)/12)+MOD((24-'Assumption Setting'!$E$103)-1,12)))</f>
        <v>1.68947527875527</v>
      </c>
      <c r="AB129" s="91" t="n">
        <f aca="false">AN129</f>
        <v>2.7837680663379</v>
      </c>
      <c r="AC129" s="93" t="n">
        <f aca="true">AA129+AC128-IF((25-'Assumption Setting'!$E$103)&lt;1,0,OFFSET($A$128,0,2+13*INT(((25-'Assumption Setting'!$E$103)-1)/12)+MOD((25-'Assumption Setting'!$E$103)-1,12)))</f>
        <v>1.75560701083204</v>
      </c>
      <c r="AD129" s="93" t="n">
        <f aca="true">AC129+AD128-IF((26-'Assumption Setting'!$E$103)&lt;1,0,OFFSET($A$128,0,2+13*INT(((26-'Assumption Setting'!$E$103)-1)/12)+MOD((26-'Assumption Setting'!$E$103)-1,12)))</f>
        <v>1.82173874290882</v>
      </c>
      <c r="AE129" s="93" t="n">
        <f aca="true">AD129+AE128-IF((27-'Assumption Setting'!$E$103)&lt;1,0,OFFSET($A$128,0,2+13*INT(((27-'Assumption Setting'!$E$103)-1)/12)+MOD((27-'Assumption Setting'!$E$103)-1,12)))</f>
        <v>1.8878704749856</v>
      </c>
      <c r="AF129" s="93" t="n">
        <f aca="true">AE129+AF128-IF((28-'Assumption Setting'!$E$103)&lt;1,0,OFFSET($A$128,0,2+13*INT(((28-'Assumption Setting'!$E$103)-1)/12)+MOD((28-'Assumption Setting'!$E$103)-1,12)))</f>
        <v>1.95914234091598</v>
      </c>
      <c r="AG129" s="93" t="n">
        <f aca="true">AF129+AG128-IF((29-'Assumption Setting'!$E$103)&lt;1,0,OFFSET($A$128,0,2+13*INT(((29-'Assumption Setting'!$E$103)-1)/12)+MOD((29-'Assumption Setting'!$E$103)-1,12)))</f>
        <v>2.06222055659372</v>
      </c>
      <c r="AH129" s="93" t="n">
        <f aca="true">AG129+AH128-IF((30-'Assumption Setting'!$E$103)&lt;1,0,OFFSET($A$128,0,2+13*INT(((30-'Assumption Setting'!$E$103)-1)/12)+MOD((30-'Assumption Setting'!$E$103)-1,12)))</f>
        <v>2.16529877227146</v>
      </c>
      <c r="AI129" s="93" t="n">
        <f aca="true">AH129+AI128-IF((31-'Assumption Setting'!$E$103)&lt;1,0,OFFSET($A$128,0,2+13*INT(((31-'Assumption Setting'!$E$103)-1)/12)+MOD((31-'Assumption Setting'!$E$103)-1,12)))</f>
        <v>2.2683769879492</v>
      </c>
      <c r="AJ129" s="93" t="n">
        <f aca="true">AI129+AJ128-IF((32-'Assumption Setting'!$E$103)&lt;1,0,OFFSET($A$128,0,2+13*INT(((32-'Assumption Setting'!$E$103)-1)/12)+MOD((32-'Assumption Setting'!$E$103)-1,12)))</f>
        <v>2.37145520362694</v>
      </c>
      <c r="AK129" s="93" t="n">
        <f aca="true">AJ129+AK128-IF((33-'Assumption Setting'!$E$103)&lt;1,0,OFFSET($A$128,0,2+13*INT(((33-'Assumption Setting'!$E$103)-1)/12)+MOD((33-'Assumption Setting'!$E$103)-1,12)))</f>
        <v>2.47453341930468</v>
      </c>
      <c r="AL129" s="93" t="n">
        <f aca="true">AK129+AL128-IF((34-'Assumption Setting'!$E$103)&lt;1,0,OFFSET($A$128,0,2+13*INT(((34-'Assumption Setting'!$E$103)-1)/12)+MOD((34-'Assumption Setting'!$E$103)-1,12)))</f>
        <v>2.57761163498242</v>
      </c>
      <c r="AM129" s="93" t="n">
        <f aca="true">AL129+AM128-IF((35-'Assumption Setting'!$E$103)&lt;1,0,OFFSET($A$128,0,2+13*INT(((35-'Assumption Setting'!$E$103)-1)/12)+MOD((35-'Assumption Setting'!$E$103)-1,12)))</f>
        <v>2.68068985066016</v>
      </c>
      <c r="AN129" s="93" t="n">
        <f aca="true">AM129+AN128-IF((36-'Assumption Setting'!$E$103)&lt;1,0,OFFSET($A$128,0,2+13*INT(((36-'Assumption Setting'!$E$103)-1)/12)+MOD((36-'Assumption Setting'!$E$103)-1,12)))</f>
        <v>2.7837680663379</v>
      </c>
      <c r="AO129" s="91" t="n">
        <f aca="false">BA129</f>
        <v>3.9366695281948</v>
      </c>
      <c r="AP129" s="93" t="n">
        <f aca="true">AN129+AP128-IF((37-'Assumption Setting'!$E$103)&lt;1,0,OFFSET($A$128,0,2+13*INT(((37-'Assumption Setting'!$E$103)-1)/12)+MOD((37-'Assumption Setting'!$E$103)-1,12)))</f>
        <v>2.88684628201564</v>
      </c>
      <c r="AQ129" s="93" t="n">
        <f aca="true">AP129+AQ128-IF((38-'Assumption Setting'!$E$103)&lt;1,0,OFFSET($A$128,0,2+13*INT(((38-'Assumption Setting'!$E$103)-1)/12)+MOD((38-'Assumption Setting'!$E$103)-1,12)))</f>
        <v>2.98992449769338</v>
      </c>
      <c r="AR129" s="93" t="n">
        <f aca="true">AQ129+AR128-IF((39-'Assumption Setting'!$E$103)&lt;1,0,OFFSET($A$128,0,2+13*INT(((39-'Assumption Setting'!$E$103)-1)/12)+MOD((39-'Assumption Setting'!$E$103)-1,12)))</f>
        <v>3.09300271337112</v>
      </c>
      <c r="AS129" s="93" t="n">
        <f aca="true">AR129+AS128-IF((40-'Assumption Setting'!$E$103)&lt;1,0,OFFSET($A$128,0,2+13*INT(((40-'Assumption Setting'!$E$103)-1)/12)+MOD((40-'Assumption Setting'!$E$103)-1,12)))</f>
        <v>3.19239689153421</v>
      </c>
      <c r="AT129" s="93" t="n">
        <f aca="true">AS129+AT128-IF((41-'Assumption Setting'!$E$103)&lt;1,0,OFFSET($A$128,0,2+13*INT(((41-'Assumption Setting'!$E$103)-1)/12)+MOD((41-'Assumption Setting'!$E$103)-1,12)))</f>
        <v>3.28543097111678</v>
      </c>
      <c r="AU129" s="93" t="n">
        <f aca="true">AT129+AU128-IF((42-'Assumption Setting'!$E$103)&lt;1,0,OFFSET($A$128,0,2+13*INT(((42-'Assumption Setting'!$E$103)-1)/12)+MOD((42-'Assumption Setting'!$E$103)-1,12)))</f>
        <v>3.37846505069936</v>
      </c>
      <c r="AV129" s="93" t="n">
        <f aca="true">AU129+AV128-IF((43-'Assumption Setting'!$E$103)&lt;1,0,OFFSET($A$128,0,2+13*INT(((43-'Assumption Setting'!$E$103)-1)/12)+MOD((43-'Assumption Setting'!$E$103)-1,12)))</f>
        <v>3.47149913028193</v>
      </c>
      <c r="AW129" s="93" t="n">
        <f aca="true">AV129+AW128-IF((44-'Assumption Setting'!$E$103)&lt;1,0,OFFSET($A$128,0,2+13*INT(((44-'Assumption Setting'!$E$103)-1)/12)+MOD((44-'Assumption Setting'!$E$103)-1,12)))</f>
        <v>3.5645332098645</v>
      </c>
      <c r="AX129" s="93" t="n">
        <f aca="true">AW129+AX128-IF((45-'Assumption Setting'!$E$103)&lt;1,0,OFFSET($A$128,0,2+13*INT(((45-'Assumption Setting'!$E$103)-1)/12)+MOD((45-'Assumption Setting'!$E$103)-1,12)))</f>
        <v>3.65756728944708</v>
      </c>
      <c r="AY129" s="93" t="n">
        <f aca="true">AX129+AY128-IF((46-'Assumption Setting'!$E$103)&lt;1,0,OFFSET($A$128,0,2+13*INT(((46-'Assumption Setting'!$E$103)-1)/12)+MOD((46-'Assumption Setting'!$E$103)-1,12)))</f>
        <v>3.75060136902965</v>
      </c>
      <c r="AZ129" s="93" t="n">
        <f aca="true">AY129+AZ128-IF((47-'Assumption Setting'!$E$103)&lt;1,0,OFFSET($A$128,0,2+13*INT(((47-'Assumption Setting'!$E$103)-1)/12)+MOD((47-'Assumption Setting'!$E$103)-1,12)))</f>
        <v>3.84363544861222</v>
      </c>
      <c r="BA129" s="93" t="n">
        <f aca="true">AZ129+BA128-IF((48-'Assumption Setting'!$E$103)&lt;1,0,OFFSET($A$128,0,2+13*INT(((48-'Assumption Setting'!$E$103)-1)/12)+MOD((48-'Assumption Setting'!$E$103)-1,12)))</f>
        <v>3.9366695281948</v>
      </c>
      <c r="BB129" s="91" t="n">
        <f aca="false">BN129</f>
        <v>5.1075734136681</v>
      </c>
      <c r="BC129" s="93" t="n">
        <f aca="true">BA129+BC128-IF((49-'Assumption Setting'!$E$103)&lt;1,0,OFFSET($A$128,0,2+13*INT(((49-'Assumption Setting'!$E$103)-1)/12)+MOD((49-'Assumption Setting'!$E$103)-1,12)))</f>
        <v>4.02970360777737</v>
      </c>
      <c r="BD129" s="93" t="n">
        <f aca="true">BC129+BD128-IF((50-'Assumption Setting'!$E$103)&lt;1,0,OFFSET($A$128,0,2+13*INT(((50-'Assumption Setting'!$E$103)-1)/12)+MOD((50-'Assumption Setting'!$E$103)-1,12)))</f>
        <v>4.12273768735995</v>
      </c>
      <c r="BE129" s="93" t="n">
        <f aca="true">BD129+BE128-IF((51-'Assumption Setting'!$E$103)&lt;1,0,OFFSET($A$128,0,2+13*INT(((51-'Assumption Setting'!$E$103)-1)/12)+MOD((51-'Assumption Setting'!$E$103)-1,12)))</f>
        <v>4.21577176694252</v>
      </c>
      <c r="BF129" s="93" t="n">
        <f aca="true">BE129+BF128-IF((52-'Assumption Setting'!$E$103)&lt;1,0,OFFSET($A$128,0,2+13*INT(((52-'Assumption Setting'!$E$103)-1)/12)+MOD((52-'Assumption Setting'!$E$103)-1,12)))</f>
        <v>4.31208535546735</v>
      </c>
      <c r="BG129" s="93" t="n">
        <f aca="true">BF129+BG128-IF((53-'Assumption Setting'!$E$103)&lt;1,0,OFFSET($A$128,0,2+13*INT(((53-'Assumption Setting'!$E$103)-1)/12)+MOD((53-'Assumption Setting'!$E$103)-1,12)))</f>
        <v>4.41152136274245</v>
      </c>
      <c r="BH129" s="93" t="n">
        <f aca="true">BG129+BH128-IF((54-'Assumption Setting'!$E$103)&lt;1,0,OFFSET($A$128,0,2+13*INT(((54-'Assumption Setting'!$E$103)-1)/12)+MOD((54-'Assumption Setting'!$E$103)-1,12)))</f>
        <v>4.51095737001754</v>
      </c>
      <c r="BI129" s="93" t="n">
        <f aca="true">BH129+BI128-IF((55-'Assumption Setting'!$E$103)&lt;1,0,OFFSET($A$128,0,2+13*INT(((55-'Assumption Setting'!$E$103)-1)/12)+MOD((55-'Assumption Setting'!$E$103)-1,12)))</f>
        <v>4.61039337729263</v>
      </c>
      <c r="BJ129" s="93" t="n">
        <f aca="true">BI129+BJ128-IF((56-'Assumption Setting'!$E$103)&lt;1,0,OFFSET($A$128,0,2+13*INT(((56-'Assumption Setting'!$E$103)-1)/12)+MOD((56-'Assumption Setting'!$E$103)-1,12)))</f>
        <v>4.70982938456773</v>
      </c>
      <c r="BK129" s="93" t="n">
        <f aca="true">BJ129+BK128-IF((57-'Assumption Setting'!$E$103)&lt;1,0,OFFSET($A$128,0,2+13*INT(((57-'Assumption Setting'!$E$103)-1)/12)+MOD((57-'Assumption Setting'!$E$103)-1,12)))</f>
        <v>4.80926539184282</v>
      </c>
      <c r="BL129" s="93" t="n">
        <f aca="true">BK129+BL128-IF((58-'Assumption Setting'!$E$103)&lt;1,0,OFFSET($A$128,0,2+13*INT(((58-'Assumption Setting'!$E$103)-1)/12)+MOD((58-'Assumption Setting'!$E$103)-1,12)))</f>
        <v>4.90870139911791</v>
      </c>
      <c r="BM129" s="93" t="n">
        <f aca="true">BL129+BM128-IF((59-'Assumption Setting'!$E$103)&lt;1,0,OFFSET($A$128,0,2+13*INT(((59-'Assumption Setting'!$E$103)-1)/12)+MOD((59-'Assumption Setting'!$E$103)-1,12)))</f>
        <v>5.00813740639301</v>
      </c>
      <c r="BN129" s="93" t="n">
        <f aca="true">BM129+BN128-IF((60-'Assumption Setting'!$E$103)&lt;1,0,OFFSET($A$128,0,2+13*INT(((60-'Assumption Setting'!$E$103)-1)/12)+MOD((60-'Assumption Setting'!$E$103)-1,12)))</f>
        <v>5.1075734136681</v>
      </c>
    </row>
    <row r="130" customFormat="false" ht="15" hidden="false" customHeight="false" outlineLevel="0" collapsed="false">
      <c r="A130" s="12" t="s">
        <v>648</v>
      </c>
      <c r="B130" s="91" t="n">
        <f aca="false">SUM(C130:N130)</f>
        <v>1.18736548507152</v>
      </c>
      <c r="C130" s="92" t="n">
        <f aca="false">IF(1&lt;'Assumption Setting'!$F$104,0,IFERROR(C78*'Assumption Setting'!$C$104/C105,0))</f>
        <v>0</v>
      </c>
      <c r="D130" s="92" t="n">
        <f aca="false">IF(2&lt;'Assumption Setting'!$F$104,0,IFERROR(D78*'Assumption Setting'!$C$104/D105,0))</f>
        <v>0</v>
      </c>
      <c r="E130" s="92" t="n">
        <f aca="false">IF(3&lt;'Assumption Setting'!$F$104,0,IFERROR(E78*'Assumption Setting'!$C$104/E105,0))</f>
        <v>0.118736548507152</v>
      </c>
      <c r="F130" s="92" t="n">
        <f aca="false">IF(4&lt;'Assumption Setting'!$F$104,0,IFERROR(F78*'Assumption Setting'!$C$104/F105,0))</f>
        <v>0.118736548507152</v>
      </c>
      <c r="G130" s="92" t="n">
        <f aca="false">IF(5&lt;'Assumption Setting'!$F$104,0,IFERROR(G78*'Assumption Setting'!$C$104/G105,0))</f>
        <v>0.118736548507152</v>
      </c>
      <c r="H130" s="92" t="n">
        <f aca="false">IF(6&lt;'Assumption Setting'!$F$104,0,IFERROR(H78*'Assumption Setting'!$C$104/H105,0))</f>
        <v>0.118736548507152</v>
      </c>
      <c r="I130" s="92" t="n">
        <f aca="false">IF(7&lt;'Assumption Setting'!$F$104,0,IFERROR(I78*'Assumption Setting'!$C$104/I105,0))</f>
        <v>0.118736548507152</v>
      </c>
      <c r="J130" s="92" t="n">
        <f aca="false">IF(8&lt;'Assumption Setting'!$F$104,0,IFERROR(J78*'Assumption Setting'!$C$104/J105,0))</f>
        <v>0.118736548507152</v>
      </c>
      <c r="K130" s="92" t="n">
        <f aca="false">IF(9&lt;'Assumption Setting'!$F$104,0,IFERROR(K78*'Assumption Setting'!$C$104/K105,0))</f>
        <v>0.118736548507152</v>
      </c>
      <c r="L130" s="92" t="n">
        <f aca="false">IF(10&lt;'Assumption Setting'!$F$104,0,IFERROR(L78*'Assumption Setting'!$C$104/L105,0))</f>
        <v>0.118736548507152</v>
      </c>
      <c r="M130" s="92" t="n">
        <f aca="false">IF(11&lt;'Assumption Setting'!$F$104,0,IFERROR(M78*'Assumption Setting'!$C$104/M105,0))</f>
        <v>0.118736548507152</v>
      </c>
      <c r="N130" s="92" t="n">
        <f aca="false">IF(12&lt;'Assumption Setting'!$F$104,0,IFERROR(N78*'Assumption Setting'!$C$104/N105,0))</f>
        <v>0.118736548507152</v>
      </c>
      <c r="O130" s="91" t="n">
        <f aca="false">SUM(P130:AA130)</f>
        <v>2.25548606264902</v>
      </c>
      <c r="P130" s="92" t="n">
        <f aca="false">IF(13&lt;'Assumption Setting'!$F$104,0,IFERROR(P78*'Assumption Setting'!$C$104/P105,0))</f>
        <v>0.118736548507152</v>
      </c>
      <c r="Q130" s="92" t="n">
        <f aca="false">IF(14&lt;'Assumption Setting'!$F$104,0,IFERROR(Q78*'Assumption Setting'!$C$104/Q105,0))</f>
        <v>0.130610203357867</v>
      </c>
      <c r="R130" s="92" t="n">
        <f aca="false">IF(15&lt;'Assumption Setting'!$F$104,0,IFERROR(R78*'Assumption Setting'!$C$104/R105,0))</f>
        <v>0.2006139310784</v>
      </c>
      <c r="S130" s="92" t="n">
        <f aca="false">IF(16&lt;'Assumption Setting'!$F$104,0,IFERROR(S78*'Assumption Setting'!$C$104/S105,0))</f>
        <v>0.2006139310784</v>
      </c>
      <c r="T130" s="92" t="n">
        <f aca="false">IF(17&lt;'Assumption Setting'!$F$104,0,IFERROR(T78*'Assumption Setting'!$C$104/T105,0))</f>
        <v>0.2006139310784</v>
      </c>
      <c r="U130" s="92" t="n">
        <f aca="false">IF(18&lt;'Assumption Setting'!$F$104,0,IFERROR(U78*'Assumption Setting'!$C$104/U105,0))</f>
        <v>0.2006139310784</v>
      </c>
      <c r="V130" s="92" t="n">
        <f aca="false">IF(19&lt;'Assumption Setting'!$F$104,0,IFERROR(V78*'Assumption Setting'!$C$104/V105,0))</f>
        <v>0.2006139310784</v>
      </c>
      <c r="W130" s="92" t="n">
        <f aca="false">IF(20&lt;'Assumption Setting'!$F$104,0,IFERROR(W78*'Assumption Setting'!$C$104/W105,0))</f>
        <v>0.2006139310784</v>
      </c>
      <c r="X130" s="92" t="n">
        <f aca="false">IF(21&lt;'Assumption Setting'!$F$104,0,IFERROR(X78*'Assumption Setting'!$C$104/X105,0))</f>
        <v>0.2006139310784</v>
      </c>
      <c r="Y130" s="92" t="n">
        <f aca="false">IF(22&lt;'Assumption Setting'!$F$104,0,IFERROR(Y78*'Assumption Setting'!$C$104/Y105,0))</f>
        <v>0.2006139310784</v>
      </c>
      <c r="Z130" s="92" t="n">
        <f aca="false">IF(23&lt;'Assumption Setting'!$F$104,0,IFERROR(Z78*'Assumption Setting'!$C$104/Z105,0))</f>
        <v>0.2006139310784</v>
      </c>
      <c r="AA130" s="92" t="n">
        <f aca="false">IF(24&lt;'Assumption Setting'!$F$104,0,IFERROR(AA78*'Assumption Setting'!$C$104/AA105,0))</f>
        <v>0.2006139310784</v>
      </c>
      <c r="AB130" s="91" t="n">
        <f aca="false">SUM(AC130:AN130)</f>
        <v>3.70181128285847</v>
      </c>
      <c r="AC130" s="92" t="n">
        <f aca="false">IF(25&lt;'Assumption Setting'!$F$104,0,IFERROR(AC78*'Assumption Setting'!$C$104/AC105,0))</f>
        <v>0.2006139310784</v>
      </c>
      <c r="AD130" s="92" t="n">
        <f aca="false">IF(26&lt;'Assumption Setting'!$F$104,0,IFERROR(AD78*'Assumption Setting'!$C$104/AD105,0))</f>
        <v>0.218851561176436</v>
      </c>
      <c r="AE130" s="92" t="n">
        <f aca="false">IF(27&lt;'Assumption Setting'!$F$104,0,IFERROR(AE78*'Assumption Setting'!$C$104/AE105,0))</f>
        <v>0.328234579060364</v>
      </c>
      <c r="AF130" s="92" t="n">
        <f aca="false">IF(28&lt;'Assumption Setting'!$F$104,0,IFERROR(AF78*'Assumption Setting'!$C$104/AF105,0))</f>
        <v>0.328234579060364</v>
      </c>
      <c r="AG130" s="92" t="n">
        <f aca="false">IF(29&lt;'Assumption Setting'!$F$104,0,IFERROR(AG78*'Assumption Setting'!$C$104/AG105,0))</f>
        <v>0.328234579060364</v>
      </c>
      <c r="AH130" s="92" t="n">
        <f aca="false">IF(30&lt;'Assumption Setting'!$F$104,0,IFERROR(AH78*'Assumption Setting'!$C$104/AH105,0))</f>
        <v>0.328234579060364</v>
      </c>
      <c r="AI130" s="92" t="n">
        <f aca="false">IF(31&lt;'Assumption Setting'!$F$104,0,IFERROR(AI78*'Assumption Setting'!$C$104/AI105,0))</f>
        <v>0.328234579060364</v>
      </c>
      <c r="AJ130" s="92" t="n">
        <f aca="false">IF(32&lt;'Assumption Setting'!$F$104,0,IFERROR(AJ78*'Assumption Setting'!$C$104/AJ105,0))</f>
        <v>0.328234579060364</v>
      </c>
      <c r="AK130" s="92" t="n">
        <f aca="false">IF(33&lt;'Assumption Setting'!$F$104,0,IFERROR(AK78*'Assumption Setting'!$C$104/AK105,0))</f>
        <v>0.328234579060364</v>
      </c>
      <c r="AL130" s="92" t="n">
        <f aca="false">IF(34&lt;'Assumption Setting'!$F$104,0,IFERROR(AL78*'Assumption Setting'!$C$104/AL105,0))</f>
        <v>0.328234579060364</v>
      </c>
      <c r="AM130" s="92" t="n">
        <f aca="false">IF(35&lt;'Assumption Setting'!$F$104,0,IFERROR(AM78*'Assumption Setting'!$C$104/AM105,0))</f>
        <v>0.328234579060364</v>
      </c>
      <c r="AN130" s="92" t="n">
        <f aca="false">IF(36&lt;'Assumption Setting'!$F$104,0,IFERROR(AN78*'Assumption Setting'!$C$104/AN105,0))</f>
        <v>0.328234579060364</v>
      </c>
      <c r="AO130" s="91" t="n">
        <f aca="false">SUM(AP130:BA130)</f>
        <v>5.10434189863612</v>
      </c>
      <c r="AP130" s="92" t="n">
        <f aca="false">IF(37&lt;'Assumption Setting'!$F$104,0,IFERROR(AP78*'Assumption Setting'!$C$104/AP105,0))</f>
        <v>0.328234579060364</v>
      </c>
      <c r="AQ130" s="92" t="n">
        <f aca="false">IF(38&lt;'Assumption Setting'!$F$104,0,IFERROR(AQ78*'Assumption Setting'!$C$104/AQ105,0))</f>
        <v>0.341911019854546</v>
      </c>
      <c r="AR130" s="92" t="n">
        <f aca="false">IF(39&lt;'Assumption Setting'!$F$104,0,IFERROR(AR78*'Assumption Setting'!$C$104/AR105,0))</f>
        <v>0.443419629972121</v>
      </c>
      <c r="AS130" s="92" t="n">
        <f aca="false">IF(40&lt;'Assumption Setting'!$F$104,0,IFERROR(AS78*'Assumption Setting'!$C$104/AS105,0))</f>
        <v>0.443419629972121</v>
      </c>
      <c r="AT130" s="92" t="n">
        <f aca="false">IF(41&lt;'Assumption Setting'!$F$104,0,IFERROR(AT78*'Assumption Setting'!$C$104/AT105,0))</f>
        <v>0.443419629972121</v>
      </c>
      <c r="AU130" s="92" t="n">
        <f aca="false">IF(42&lt;'Assumption Setting'!$F$104,0,IFERROR(AU78*'Assumption Setting'!$C$104/AU105,0))</f>
        <v>0.443419629972121</v>
      </c>
      <c r="AV130" s="92" t="n">
        <f aca="false">IF(43&lt;'Assumption Setting'!$F$104,0,IFERROR(AV78*'Assumption Setting'!$C$104/AV105,0))</f>
        <v>0.443419629972121</v>
      </c>
      <c r="AW130" s="92" t="n">
        <f aca="false">IF(44&lt;'Assumption Setting'!$F$104,0,IFERROR(AW78*'Assumption Setting'!$C$104/AW105,0))</f>
        <v>0.443419629972121</v>
      </c>
      <c r="AX130" s="92" t="n">
        <f aca="false">IF(45&lt;'Assumption Setting'!$F$104,0,IFERROR(AX78*'Assumption Setting'!$C$104/AX105,0))</f>
        <v>0.443419629972121</v>
      </c>
      <c r="AY130" s="92" t="n">
        <f aca="false">IF(46&lt;'Assumption Setting'!$F$104,0,IFERROR(AY78*'Assumption Setting'!$C$104/AY105,0))</f>
        <v>0.443419629972121</v>
      </c>
      <c r="AZ130" s="92" t="n">
        <f aca="false">IF(47&lt;'Assumption Setting'!$F$104,0,IFERROR(AZ78*'Assumption Setting'!$C$104/AZ105,0))</f>
        <v>0.443419629972121</v>
      </c>
      <c r="BA130" s="92" t="n">
        <f aca="false">IF(48&lt;'Assumption Setting'!$F$104,0,IFERROR(BA78*'Assumption Setting'!$C$104/BA105,0))</f>
        <v>0.443419629972121</v>
      </c>
      <c r="BB130" s="91" t="n">
        <f aca="false">SUM(BC130:BN130)</f>
        <v>6.56988481588931</v>
      </c>
      <c r="BC130" s="92" t="n">
        <f aca="false">IF(49&lt;'Assumption Setting'!$F$104,0,IFERROR(BC78*'Assumption Setting'!$C$104/BC105,0))</f>
        <v>0.443419629972121</v>
      </c>
      <c r="BD130" s="92" t="n">
        <f aca="false">IF(50&lt;'Assumption Setting'!$F$104,0,IFERROR(BD78*'Assumption Setting'!$C$104/BD105,0))</f>
        <v>0.461156415171006</v>
      </c>
      <c r="BE130" s="92" t="n">
        <f aca="false">IF(51&lt;'Assumption Setting'!$F$104,0,IFERROR(BE78*'Assumption Setting'!$C$104/BE105,0))</f>
        <v>0.566530877074618</v>
      </c>
      <c r="BF130" s="92" t="n">
        <f aca="false">IF(52&lt;'Assumption Setting'!$F$104,0,IFERROR(BF78*'Assumption Setting'!$C$104/BF105,0))</f>
        <v>0.566530877074618</v>
      </c>
      <c r="BG130" s="92" t="n">
        <f aca="false">IF(53&lt;'Assumption Setting'!$F$104,0,IFERROR(BG78*'Assumption Setting'!$C$104/BG105,0))</f>
        <v>0.566530877074618</v>
      </c>
      <c r="BH130" s="92" t="n">
        <f aca="false">IF(54&lt;'Assumption Setting'!$F$104,0,IFERROR(BH78*'Assumption Setting'!$C$104/BH105,0))</f>
        <v>0.566530877074618</v>
      </c>
      <c r="BI130" s="92" t="n">
        <f aca="false">IF(55&lt;'Assumption Setting'!$F$104,0,IFERROR(BI78*'Assumption Setting'!$C$104/BI105,0))</f>
        <v>0.566530877074618</v>
      </c>
      <c r="BJ130" s="92" t="n">
        <f aca="false">IF(56&lt;'Assumption Setting'!$F$104,0,IFERROR(BJ78*'Assumption Setting'!$C$104/BJ105,0))</f>
        <v>0.566530877074618</v>
      </c>
      <c r="BK130" s="92" t="n">
        <f aca="false">IF(57&lt;'Assumption Setting'!$F$104,0,IFERROR(BK78*'Assumption Setting'!$C$104/BK105,0))</f>
        <v>0.566530877074618</v>
      </c>
      <c r="BL130" s="92" t="n">
        <f aca="false">IF(58&lt;'Assumption Setting'!$F$104,0,IFERROR(BL78*'Assumption Setting'!$C$104/BL105,0))</f>
        <v>0.566530877074618</v>
      </c>
      <c r="BM130" s="92" t="n">
        <f aca="false">IF(59&lt;'Assumption Setting'!$F$104,0,IFERROR(BM78*'Assumption Setting'!$C$104/BM105,0))</f>
        <v>0.566530877074618</v>
      </c>
      <c r="BN130" s="92" t="n">
        <f aca="false">IF(60&lt;'Assumption Setting'!$F$104,0,IFERROR(BN78*'Assumption Setting'!$C$104/BN105,0))</f>
        <v>0.566530877074618</v>
      </c>
    </row>
    <row r="131" customFormat="false" ht="15" hidden="false" customHeight="false" outlineLevel="0" collapsed="false">
      <c r="A131" s="69" t="s">
        <v>649</v>
      </c>
      <c r="B131" s="91" t="n">
        <f aca="false">N131</f>
        <v>1.18736548507152</v>
      </c>
      <c r="C131" s="93" t="n">
        <f aca="false">C130</f>
        <v>0</v>
      </c>
      <c r="D131" s="93" t="n">
        <f aca="true">C131+D130-IF((2-'Assumption Setting'!$E$104)&lt;1,0,OFFSET($A$130,0,2+13*INT(((2-'Assumption Setting'!$E$104)-1)/12)+MOD((2-'Assumption Setting'!$E$104)-1,12)))</f>
        <v>0</v>
      </c>
      <c r="E131" s="93" t="n">
        <f aca="true">D131+E130-IF((3-'Assumption Setting'!$E$104)&lt;1,0,OFFSET($A$130,0,2+13*INT(((3-'Assumption Setting'!$E$104)-1)/12)+MOD((3-'Assumption Setting'!$E$104)-1,12)))</f>
        <v>0.118736548507152</v>
      </c>
      <c r="F131" s="93" t="n">
        <f aca="true">E131+F130-IF((4-'Assumption Setting'!$E$104)&lt;1,0,OFFSET($A$130,0,2+13*INT(((4-'Assumption Setting'!$E$104)-1)/12)+MOD((4-'Assumption Setting'!$E$104)-1,12)))</f>
        <v>0.237473097014303</v>
      </c>
      <c r="G131" s="93" t="n">
        <f aca="true">F131+G130-IF((5-'Assumption Setting'!$E$104)&lt;1,0,OFFSET($A$130,0,2+13*INT(((5-'Assumption Setting'!$E$104)-1)/12)+MOD((5-'Assumption Setting'!$E$104)-1,12)))</f>
        <v>0.356209645521455</v>
      </c>
      <c r="H131" s="93" t="n">
        <f aca="true">G131+H130-IF((6-'Assumption Setting'!$E$104)&lt;1,0,OFFSET($A$130,0,2+13*INT(((6-'Assumption Setting'!$E$104)-1)/12)+MOD((6-'Assumption Setting'!$E$104)-1,12)))</f>
        <v>0.474946194028606</v>
      </c>
      <c r="I131" s="93" t="n">
        <f aca="true">H131+I130-IF((7-'Assumption Setting'!$E$104)&lt;1,0,OFFSET($A$130,0,2+13*INT(((7-'Assumption Setting'!$E$104)-1)/12)+MOD((7-'Assumption Setting'!$E$104)-1,12)))</f>
        <v>0.593682742535758</v>
      </c>
      <c r="J131" s="93" t="n">
        <f aca="true">I131+J130-IF((8-'Assumption Setting'!$E$104)&lt;1,0,OFFSET($A$130,0,2+13*INT(((8-'Assumption Setting'!$E$104)-1)/12)+MOD((8-'Assumption Setting'!$E$104)-1,12)))</f>
        <v>0.712419291042909</v>
      </c>
      <c r="K131" s="93" t="n">
        <f aca="true">J131+K130-IF((9-'Assumption Setting'!$E$104)&lt;1,0,OFFSET($A$130,0,2+13*INT(((9-'Assumption Setting'!$E$104)-1)/12)+MOD((9-'Assumption Setting'!$E$104)-1,12)))</f>
        <v>0.831155839550061</v>
      </c>
      <c r="L131" s="93" t="n">
        <f aca="true">K131+L130-IF((10-'Assumption Setting'!$E$104)&lt;1,0,OFFSET($A$130,0,2+13*INT(((10-'Assumption Setting'!$E$104)-1)/12)+MOD((10-'Assumption Setting'!$E$104)-1,12)))</f>
        <v>0.949892388057212</v>
      </c>
      <c r="M131" s="93" t="n">
        <f aca="true">L131+M130-IF((11-'Assumption Setting'!$E$104)&lt;1,0,OFFSET($A$130,0,2+13*INT(((11-'Assumption Setting'!$E$104)-1)/12)+MOD((11-'Assumption Setting'!$E$104)-1,12)))</f>
        <v>1.06862893656436</v>
      </c>
      <c r="N131" s="93" t="n">
        <f aca="true">M131+N130-IF((12-'Assumption Setting'!$E$104)&lt;1,0,OFFSET($A$130,0,2+13*INT(((12-'Assumption Setting'!$E$104)-1)/12)+MOD((12-'Assumption Setting'!$E$104)-1,12)))</f>
        <v>1.18736548507152</v>
      </c>
      <c r="O131" s="91" t="n">
        <f aca="false">AA131</f>
        <v>2.25548606264902</v>
      </c>
      <c r="P131" s="93" t="n">
        <f aca="true">N131+P130-IF((13-'Assumption Setting'!$E$104)&lt;1,0,OFFSET($A$130,0,2+13*INT(((13-'Assumption Setting'!$E$104)-1)/12)+MOD((13-'Assumption Setting'!$E$104)-1,12)))</f>
        <v>1.30610203357867</v>
      </c>
      <c r="Q131" s="93" t="n">
        <f aca="true">P131+Q130-IF((14-'Assumption Setting'!$E$104)&lt;1,0,OFFSET($A$130,0,2+13*INT(((14-'Assumption Setting'!$E$104)-1)/12)+MOD((14-'Assumption Setting'!$E$104)-1,12)))</f>
        <v>1.43671223693653</v>
      </c>
      <c r="R131" s="93" t="n">
        <f aca="true">Q131+R130-IF((15-'Assumption Setting'!$E$104)&lt;1,0,OFFSET($A$130,0,2+13*INT(((15-'Assumption Setting'!$E$104)-1)/12)+MOD((15-'Assumption Setting'!$E$104)-1,12)))</f>
        <v>1.51858961950778</v>
      </c>
      <c r="S131" s="93" t="n">
        <f aca="true">R131+S130-IF((16-'Assumption Setting'!$E$104)&lt;1,0,OFFSET($A$130,0,2+13*INT(((16-'Assumption Setting'!$E$104)-1)/12)+MOD((16-'Assumption Setting'!$E$104)-1,12)))</f>
        <v>1.60046700207903</v>
      </c>
      <c r="T131" s="93" t="n">
        <f aca="true">S131+T130-IF((17-'Assumption Setting'!$E$104)&lt;1,0,OFFSET($A$130,0,2+13*INT(((17-'Assumption Setting'!$E$104)-1)/12)+MOD((17-'Assumption Setting'!$E$104)-1,12)))</f>
        <v>1.68234438465028</v>
      </c>
      <c r="U131" s="93" t="n">
        <f aca="true">T131+U130-IF((18-'Assumption Setting'!$E$104)&lt;1,0,OFFSET($A$130,0,2+13*INT(((18-'Assumption Setting'!$E$104)-1)/12)+MOD((18-'Assumption Setting'!$E$104)-1,12)))</f>
        <v>1.76422176722153</v>
      </c>
      <c r="V131" s="93" t="n">
        <f aca="true">U131+V130-IF((19-'Assumption Setting'!$E$104)&lt;1,0,OFFSET($A$130,0,2+13*INT(((19-'Assumption Setting'!$E$104)-1)/12)+MOD((19-'Assumption Setting'!$E$104)-1,12)))</f>
        <v>1.84609914979278</v>
      </c>
      <c r="W131" s="93" t="n">
        <f aca="true">V131+W130-IF((20-'Assumption Setting'!$E$104)&lt;1,0,OFFSET($A$130,0,2+13*INT(((20-'Assumption Setting'!$E$104)-1)/12)+MOD((20-'Assumption Setting'!$E$104)-1,12)))</f>
        <v>1.92797653236403</v>
      </c>
      <c r="X131" s="93" t="n">
        <f aca="true">W131+X130-IF((21-'Assumption Setting'!$E$104)&lt;1,0,OFFSET($A$130,0,2+13*INT(((21-'Assumption Setting'!$E$104)-1)/12)+MOD((21-'Assumption Setting'!$E$104)-1,12)))</f>
        <v>2.00985391493527</v>
      </c>
      <c r="Y131" s="93" t="n">
        <f aca="true">X131+Y130-IF((22-'Assumption Setting'!$E$104)&lt;1,0,OFFSET($A$130,0,2+13*INT(((22-'Assumption Setting'!$E$104)-1)/12)+MOD((22-'Assumption Setting'!$E$104)-1,12)))</f>
        <v>2.09173129750652</v>
      </c>
      <c r="Z131" s="93" t="n">
        <f aca="true">Y131+Z130-IF((23-'Assumption Setting'!$E$104)&lt;1,0,OFFSET($A$130,0,2+13*INT(((23-'Assumption Setting'!$E$104)-1)/12)+MOD((23-'Assumption Setting'!$E$104)-1,12)))</f>
        <v>2.17360868007777</v>
      </c>
      <c r="AA131" s="93" t="n">
        <f aca="true">Z131+AA130-IF((24-'Assumption Setting'!$E$104)&lt;1,0,OFFSET($A$130,0,2+13*INT(((24-'Assumption Setting'!$E$104)-1)/12)+MOD((24-'Assumption Setting'!$E$104)-1,12)))</f>
        <v>2.25548606264902</v>
      </c>
      <c r="AB131" s="91" t="n">
        <f aca="false">AN131</f>
        <v>3.70181128285848</v>
      </c>
      <c r="AC131" s="93" t="n">
        <f aca="true">AA131+AC130-IF((25-'Assumption Setting'!$E$104)&lt;1,0,OFFSET($A$130,0,2+13*INT(((25-'Assumption Setting'!$E$104)-1)/12)+MOD((25-'Assumption Setting'!$E$104)-1,12)))</f>
        <v>2.33736344522027</v>
      </c>
      <c r="AD131" s="93" t="n">
        <f aca="true">AC131+AD130-IF((26-'Assumption Setting'!$E$104)&lt;1,0,OFFSET($A$130,0,2+13*INT(((26-'Assumption Setting'!$E$104)-1)/12)+MOD((26-'Assumption Setting'!$E$104)-1,12)))</f>
        <v>2.42560480303884</v>
      </c>
      <c r="AE131" s="93" t="n">
        <f aca="true">AD131+AE130-IF((27-'Assumption Setting'!$E$104)&lt;1,0,OFFSET($A$130,0,2+13*INT(((27-'Assumption Setting'!$E$104)-1)/12)+MOD((27-'Assumption Setting'!$E$104)-1,12)))</f>
        <v>2.5532254510208</v>
      </c>
      <c r="AF131" s="93" t="n">
        <f aca="true">AE131+AF130-IF((28-'Assumption Setting'!$E$104)&lt;1,0,OFFSET($A$130,0,2+13*INT(((28-'Assumption Setting'!$E$104)-1)/12)+MOD((28-'Assumption Setting'!$E$104)-1,12)))</f>
        <v>2.68084609900277</v>
      </c>
      <c r="AG131" s="93" t="n">
        <f aca="true">AF131+AG130-IF((29-'Assumption Setting'!$E$104)&lt;1,0,OFFSET($A$130,0,2+13*INT(((29-'Assumption Setting'!$E$104)-1)/12)+MOD((29-'Assumption Setting'!$E$104)-1,12)))</f>
        <v>2.80846674698473</v>
      </c>
      <c r="AH131" s="93" t="n">
        <f aca="true">AG131+AH130-IF((30-'Assumption Setting'!$E$104)&lt;1,0,OFFSET($A$130,0,2+13*INT(((30-'Assumption Setting'!$E$104)-1)/12)+MOD((30-'Assumption Setting'!$E$104)-1,12)))</f>
        <v>2.93608739496669</v>
      </c>
      <c r="AI131" s="93" t="n">
        <f aca="true">AH131+AI130-IF((31-'Assumption Setting'!$E$104)&lt;1,0,OFFSET($A$130,0,2+13*INT(((31-'Assumption Setting'!$E$104)-1)/12)+MOD((31-'Assumption Setting'!$E$104)-1,12)))</f>
        <v>3.06370804294866</v>
      </c>
      <c r="AJ131" s="93" t="n">
        <f aca="true">AI131+AJ130-IF((32-'Assumption Setting'!$E$104)&lt;1,0,OFFSET($A$130,0,2+13*INT(((32-'Assumption Setting'!$E$104)-1)/12)+MOD((32-'Assumption Setting'!$E$104)-1,12)))</f>
        <v>3.19132869093062</v>
      </c>
      <c r="AK131" s="93" t="n">
        <f aca="true">AJ131+AK130-IF((33-'Assumption Setting'!$E$104)&lt;1,0,OFFSET($A$130,0,2+13*INT(((33-'Assumption Setting'!$E$104)-1)/12)+MOD((33-'Assumption Setting'!$E$104)-1,12)))</f>
        <v>3.31894933891258</v>
      </c>
      <c r="AL131" s="93" t="n">
        <f aca="true">AK131+AL130-IF((34-'Assumption Setting'!$E$104)&lt;1,0,OFFSET($A$130,0,2+13*INT(((34-'Assumption Setting'!$E$104)-1)/12)+MOD((34-'Assumption Setting'!$E$104)-1,12)))</f>
        <v>3.44656998689455</v>
      </c>
      <c r="AM131" s="93" t="n">
        <f aca="true">AL131+AM130-IF((35-'Assumption Setting'!$E$104)&lt;1,0,OFFSET($A$130,0,2+13*INT(((35-'Assumption Setting'!$E$104)-1)/12)+MOD((35-'Assumption Setting'!$E$104)-1,12)))</f>
        <v>3.57419063487651</v>
      </c>
      <c r="AN131" s="93" t="n">
        <f aca="true">AM131+AN130-IF((36-'Assumption Setting'!$E$104)&lt;1,0,OFFSET($A$130,0,2+13*INT(((36-'Assumption Setting'!$E$104)-1)/12)+MOD((36-'Assumption Setting'!$E$104)-1,12)))</f>
        <v>3.70181128285848</v>
      </c>
      <c r="AO131" s="91" t="n">
        <f aca="false">BA131</f>
        <v>5.10434189863613</v>
      </c>
      <c r="AP131" s="93" t="n">
        <f aca="true">AN131+AP130-IF((37-'Assumption Setting'!$E$104)&lt;1,0,OFFSET($A$130,0,2+13*INT(((37-'Assumption Setting'!$E$104)-1)/12)+MOD((37-'Assumption Setting'!$E$104)-1,12)))</f>
        <v>3.82943193084044</v>
      </c>
      <c r="AQ131" s="93" t="n">
        <f aca="true">AP131+AQ130-IF((38-'Assumption Setting'!$E$104)&lt;1,0,OFFSET($A$130,0,2+13*INT(((38-'Assumption Setting'!$E$104)-1)/12)+MOD((38-'Assumption Setting'!$E$104)-1,12)))</f>
        <v>3.95249138951855</v>
      </c>
      <c r="AR131" s="93" t="n">
        <f aca="true">AQ131+AR130-IF((39-'Assumption Setting'!$E$104)&lt;1,0,OFFSET($A$130,0,2+13*INT(((39-'Assumption Setting'!$E$104)-1)/12)+MOD((39-'Assumption Setting'!$E$104)-1,12)))</f>
        <v>4.06767644043031</v>
      </c>
      <c r="AS131" s="93" t="n">
        <f aca="true">AR131+AS130-IF((40-'Assumption Setting'!$E$104)&lt;1,0,OFFSET($A$130,0,2+13*INT(((40-'Assumption Setting'!$E$104)-1)/12)+MOD((40-'Assumption Setting'!$E$104)-1,12)))</f>
        <v>4.18286149134207</v>
      </c>
      <c r="AT131" s="93" t="n">
        <f aca="true">AS131+AT130-IF((41-'Assumption Setting'!$E$104)&lt;1,0,OFFSET($A$130,0,2+13*INT(((41-'Assumption Setting'!$E$104)-1)/12)+MOD((41-'Assumption Setting'!$E$104)-1,12)))</f>
        <v>4.29804654225382</v>
      </c>
      <c r="AU131" s="93" t="n">
        <f aca="true">AT131+AU130-IF((42-'Assumption Setting'!$E$104)&lt;1,0,OFFSET($A$130,0,2+13*INT(((42-'Assumption Setting'!$E$104)-1)/12)+MOD((42-'Assumption Setting'!$E$104)-1,12)))</f>
        <v>4.41323159316558</v>
      </c>
      <c r="AV131" s="93" t="n">
        <f aca="true">AU131+AV130-IF((43-'Assumption Setting'!$E$104)&lt;1,0,OFFSET($A$130,0,2+13*INT(((43-'Assumption Setting'!$E$104)-1)/12)+MOD((43-'Assumption Setting'!$E$104)-1,12)))</f>
        <v>4.52841664407734</v>
      </c>
      <c r="AW131" s="93" t="n">
        <f aca="true">AV131+AW130-IF((44-'Assumption Setting'!$E$104)&lt;1,0,OFFSET($A$130,0,2+13*INT(((44-'Assumption Setting'!$E$104)-1)/12)+MOD((44-'Assumption Setting'!$E$104)-1,12)))</f>
        <v>4.6436016949891</v>
      </c>
      <c r="AX131" s="93" t="n">
        <f aca="true">AW131+AX130-IF((45-'Assumption Setting'!$E$104)&lt;1,0,OFFSET($A$130,0,2+13*INT(((45-'Assumption Setting'!$E$104)-1)/12)+MOD((45-'Assumption Setting'!$E$104)-1,12)))</f>
        <v>4.75878674590085</v>
      </c>
      <c r="AY131" s="93" t="n">
        <f aca="true">AX131+AY130-IF((46-'Assumption Setting'!$E$104)&lt;1,0,OFFSET($A$130,0,2+13*INT(((46-'Assumption Setting'!$E$104)-1)/12)+MOD((46-'Assumption Setting'!$E$104)-1,12)))</f>
        <v>4.87397179681261</v>
      </c>
      <c r="AZ131" s="93" t="n">
        <f aca="true">AY131+AZ130-IF((47-'Assumption Setting'!$E$104)&lt;1,0,OFFSET($A$130,0,2+13*INT(((47-'Assumption Setting'!$E$104)-1)/12)+MOD((47-'Assumption Setting'!$E$104)-1,12)))</f>
        <v>4.98915684772437</v>
      </c>
      <c r="BA131" s="93" t="n">
        <f aca="true">AZ131+BA130-IF((48-'Assumption Setting'!$E$104)&lt;1,0,OFFSET($A$130,0,2+13*INT(((48-'Assumption Setting'!$E$104)-1)/12)+MOD((48-'Assumption Setting'!$E$104)-1,12)))</f>
        <v>5.10434189863613</v>
      </c>
      <c r="BB131" s="91" t="n">
        <f aca="false">BN131</f>
        <v>6.56988481588932</v>
      </c>
      <c r="BC131" s="93" t="n">
        <f aca="true">BA131+BC130-IF((49-'Assumption Setting'!$E$104)&lt;1,0,OFFSET($A$130,0,2+13*INT(((49-'Assumption Setting'!$E$104)-1)/12)+MOD((49-'Assumption Setting'!$E$104)-1,12)))</f>
        <v>5.21952694954789</v>
      </c>
      <c r="BD131" s="93" t="n">
        <f aca="true">BC131+BD130-IF((50-'Assumption Setting'!$E$104)&lt;1,0,OFFSET($A$130,0,2+13*INT(((50-'Assumption Setting'!$E$104)-1)/12)+MOD((50-'Assumption Setting'!$E$104)-1,12)))</f>
        <v>5.33877234486435</v>
      </c>
      <c r="BE131" s="93" t="n">
        <f aca="true">BD131+BE130-IF((51-'Assumption Setting'!$E$104)&lt;1,0,OFFSET($A$130,0,2+13*INT(((51-'Assumption Setting'!$E$104)-1)/12)+MOD((51-'Assumption Setting'!$E$104)-1,12)))</f>
        <v>5.46188359196684</v>
      </c>
      <c r="BF131" s="93" t="n">
        <f aca="true">BE131+BF130-IF((52-'Assumption Setting'!$E$104)&lt;1,0,OFFSET($A$130,0,2+13*INT(((52-'Assumption Setting'!$E$104)-1)/12)+MOD((52-'Assumption Setting'!$E$104)-1,12)))</f>
        <v>5.58499483906934</v>
      </c>
      <c r="BG131" s="93" t="n">
        <f aca="true">BF131+BG130-IF((53-'Assumption Setting'!$E$104)&lt;1,0,OFFSET($A$130,0,2+13*INT(((53-'Assumption Setting'!$E$104)-1)/12)+MOD((53-'Assumption Setting'!$E$104)-1,12)))</f>
        <v>5.70810608617184</v>
      </c>
      <c r="BH131" s="93" t="n">
        <f aca="true">BG131+BH130-IF((54-'Assumption Setting'!$E$104)&lt;1,0,OFFSET($A$130,0,2+13*INT(((54-'Assumption Setting'!$E$104)-1)/12)+MOD((54-'Assumption Setting'!$E$104)-1,12)))</f>
        <v>5.83121733327434</v>
      </c>
      <c r="BI131" s="93" t="n">
        <f aca="true">BH131+BI130-IF((55-'Assumption Setting'!$E$104)&lt;1,0,OFFSET($A$130,0,2+13*INT(((55-'Assumption Setting'!$E$104)-1)/12)+MOD((55-'Assumption Setting'!$E$104)-1,12)))</f>
        <v>5.95432858037683</v>
      </c>
      <c r="BJ131" s="93" t="n">
        <f aca="true">BI131+BJ130-IF((56-'Assumption Setting'!$E$104)&lt;1,0,OFFSET($A$130,0,2+13*INT(((56-'Assumption Setting'!$E$104)-1)/12)+MOD((56-'Assumption Setting'!$E$104)-1,12)))</f>
        <v>6.07743982747933</v>
      </c>
      <c r="BK131" s="93" t="n">
        <f aca="true">BJ131+BK130-IF((57-'Assumption Setting'!$E$104)&lt;1,0,OFFSET($A$130,0,2+13*INT(((57-'Assumption Setting'!$E$104)-1)/12)+MOD((57-'Assumption Setting'!$E$104)-1,12)))</f>
        <v>6.20055107458183</v>
      </c>
      <c r="BL131" s="93" t="n">
        <f aca="true">BK131+BL130-IF((58-'Assumption Setting'!$E$104)&lt;1,0,OFFSET($A$130,0,2+13*INT(((58-'Assumption Setting'!$E$104)-1)/12)+MOD((58-'Assumption Setting'!$E$104)-1,12)))</f>
        <v>6.32366232168432</v>
      </c>
      <c r="BM131" s="93" t="n">
        <f aca="true">BL131+BM130-IF((59-'Assumption Setting'!$E$104)&lt;1,0,OFFSET($A$130,0,2+13*INT(((59-'Assumption Setting'!$E$104)-1)/12)+MOD((59-'Assumption Setting'!$E$104)-1,12)))</f>
        <v>6.44677356878682</v>
      </c>
      <c r="BN131" s="93" t="n">
        <f aca="true">BM131+BN130-IF((60-'Assumption Setting'!$E$104)&lt;1,0,OFFSET($A$130,0,2+13*INT(((60-'Assumption Setting'!$E$104)-1)/12)+MOD((60-'Assumption Setting'!$E$104)-1,12)))</f>
        <v>6.56988481588932</v>
      </c>
    </row>
    <row r="132" customFormat="false" ht="15" hidden="false" customHeight="false" outlineLevel="0" collapsed="false">
      <c r="A132" s="12" t="s">
        <v>650</v>
      </c>
      <c r="B132" s="91" t="n">
        <f aca="false">SUM(C132:N132)</f>
        <v>0.639350645807739</v>
      </c>
      <c r="C132" s="92" t="n">
        <f aca="false">IF(1&lt;'Assumption Setting'!$F$105,0,IFERROR(C78*'Assumption Setting'!$C$105/C105,0))</f>
        <v>0</v>
      </c>
      <c r="D132" s="92" t="n">
        <f aca="false">IF(2&lt;'Assumption Setting'!$F$105,0,IFERROR(D78*'Assumption Setting'!$C$105/D105,0))</f>
        <v>0</v>
      </c>
      <c r="E132" s="92" t="n">
        <f aca="false">IF(3&lt;'Assumption Setting'!$F$105,0,IFERROR(E78*'Assumption Setting'!$C$105/E105,0))</f>
        <v>0.0639350645807739</v>
      </c>
      <c r="F132" s="92" t="n">
        <f aca="false">IF(4&lt;'Assumption Setting'!$F$105,0,IFERROR(F78*'Assumption Setting'!$C$105/F105,0))</f>
        <v>0.0639350645807739</v>
      </c>
      <c r="G132" s="92" t="n">
        <f aca="false">IF(5&lt;'Assumption Setting'!$F$105,0,IFERROR(G78*'Assumption Setting'!$C$105/G105,0))</f>
        <v>0.0639350645807739</v>
      </c>
      <c r="H132" s="92" t="n">
        <f aca="false">IF(6&lt;'Assumption Setting'!$F$105,0,IFERROR(H78*'Assumption Setting'!$C$105/H105,0))</f>
        <v>0.0639350645807739</v>
      </c>
      <c r="I132" s="92" t="n">
        <f aca="false">IF(7&lt;'Assumption Setting'!$F$105,0,IFERROR(I78*'Assumption Setting'!$C$105/I105,0))</f>
        <v>0.0639350645807739</v>
      </c>
      <c r="J132" s="92" t="n">
        <f aca="false">IF(8&lt;'Assumption Setting'!$F$105,0,IFERROR(J78*'Assumption Setting'!$C$105/J105,0))</f>
        <v>0.0639350645807739</v>
      </c>
      <c r="K132" s="92" t="n">
        <f aca="false">IF(9&lt;'Assumption Setting'!$F$105,0,IFERROR(K78*'Assumption Setting'!$C$105/K105,0))</f>
        <v>0.0639350645807739</v>
      </c>
      <c r="L132" s="92" t="n">
        <f aca="false">IF(10&lt;'Assumption Setting'!$F$105,0,IFERROR(L78*'Assumption Setting'!$C$105/L105,0))</f>
        <v>0.0639350645807739</v>
      </c>
      <c r="M132" s="92" t="n">
        <f aca="false">IF(11&lt;'Assumption Setting'!$F$105,0,IFERROR(M78*'Assumption Setting'!$C$105/M105,0))</f>
        <v>0.0639350645807739</v>
      </c>
      <c r="N132" s="92" t="n">
        <f aca="false">IF(12&lt;'Assumption Setting'!$F$105,0,IFERROR(N78*'Assumption Setting'!$C$105/N105,0))</f>
        <v>0.0639350645807739</v>
      </c>
      <c r="O132" s="91" t="n">
        <f aca="false">SUM(P132:AA132)</f>
        <v>1.21449249527255</v>
      </c>
      <c r="P132" s="92" t="n">
        <f aca="false">IF(13&lt;'Assumption Setting'!$F$105,0,IFERROR(P78*'Assumption Setting'!$C$105/P105,0))</f>
        <v>0.0639350645807739</v>
      </c>
      <c r="Q132" s="92" t="n">
        <f aca="false">IF(14&lt;'Assumption Setting'!$F$105,0,IFERROR(Q78*'Assumption Setting'!$C$105/Q105,0))</f>
        <v>0.0703285710388513</v>
      </c>
      <c r="R132" s="92" t="n">
        <f aca="false">IF(15&lt;'Assumption Setting'!$F$105,0,IFERROR(R78*'Assumption Setting'!$C$105/R105,0))</f>
        <v>0.108022885965292</v>
      </c>
      <c r="S132" s="92" t="n">
        <f aca="false">IF(16&lt;'Assumption Setting'!$F$105,0,IFERROR(S78*'Assumption Setting'!$C$105/S105,0))</f>
        <v>0.108022885965292</v>
      </c>
      <c r="T132" s="92" t="n">
        <f aca="false">IF(17&lt;'Assumption Setting'!$F$105,0,IFERROR(T78*'Assumption Setting'!$C$105/T105,0))</f>
        <v>0.108022885965292</v>
      </c>
      <c r="U132" s="92" t="n">
        <f aca="false">IF(18&lt;'Assumption Setting'!$F$105,0,IFERROR(U78*'Assumption Setting'!$C$105/U105,0))</f>
        <v>0.108022885965292</v>
      </c>
      <c r="V132" s="92" t="n">
        <f aca="false">IF(19&lt;'Assumption Setting'!$F$105,0,IFERROR(V78*'Assumption Setting'!$C$105/V105,0))</f>
        <v>0.108022885965292</v>
      </c>
      <c r="W132" s="92" t="n">
        <f aca="false">IF(20&lt;'Assumption Setting'!$F$105,0,IFERROR(W78*'Assumption Setting'!$C$105/W105,0))</f>
        <v>0.108022885965292</v>
      </c>
      <c r="X132" s="92" t="n">
        <f aca="false">IF(21&lt;'Assumption Setting'!$F$105,0,IFERROR(X78*'Assumption Setting'!$C$105/X105,0))</f>
        <v>0.108022885965292</v>
      </c>
      <c r="Y132" s="92" t="n">
        <f aca="false">IF(22&lt;'Assumption Setting'!$F$105,0,IFERROR(Y78*'Assumption Setting'!$C$105/Y105,0))</f>
        <v>0.108022885965292</v>
      </c>
      <c r="Z132" s="92" t="n">
        <f aca="false">IF(23&lt;'Assumption Setting'!$F$105,0,IFERROR(Z78*'Assumption Setting'!$C$105/Z105,0))</f>
        <v>0.108022885965292</v>
      </c>
      <c r="AA132" s="92" t="n">
        <f aca="false">IF(24&lt;'Assumption Setting'!$F$105,0,IFERROR(AA78*'Assumption Setting'!$C$105/AA105,0))</f>
        <v>0.108022885965292</v>
      </c>
      <c r="AB132" s="91" t="n">
        <f aca="false">SUM(AC132:AN132)</f>
        <v>1.99328299846225</v>
      </c>
      <c r="AC132" s="92" t="n">
        <f aca="false">IF(25&lt;'Assumption Setting'!$F$105,0,IFERROR(AC78*'Assumption Setting'!$C$105/AC105,0))</f>
        <v>0.108022885965292</v>
      </c>
      <c r="AD132" s="92" t="n">
        <f aca="false">IF(26&lt;'Assumption Setting'!$F$105,0,IFERROR(AD78*'Assumption Setting'!$C$105/AD105,0))</f>
        <v>0.117843148325773</v>
      </c>
      <c r="AE132" s="92" t="n">
        <f aca="false">IF(27&lt;'Assumption Setting'!$F$105,0,IFERROR(AE78*'Assumption Setting'!$C$105/AE105,0))</f>
        <v>0.176741696417119</v>
      </c>
      <c r="AF132" s="92" t="n">
        <f aca="false">IF(28&lt;'Assumption Setting'!$F$105,0,IFERROR(AF78*'Assumption Setting'!$C$105/AF105,0))</f>
        <v>0.176741696417119</v>
      </c>
      <c r="AG132" s="92" t="n">
        <f aca="false">IF(29&lt;'Assumption Setting'!$F$105,0,IFERROR(AG78*'Assumption Setting'!$C$105/AG105,0))</f>
        <v>0.176741696417119</v>
      </c>
      <c r="AH132" s="92" t="n">
        <f aca="false">IF(30&lt;'Assumption Setting'!$F$105,0,IFERROR(AH78*'Assumption Setting'!$C$105/AH105,0))</f>
        <v>0.176741696417119</v>
      </c>
      <c r="AI132" s="92" t="n">
        <f aca="false">IF(31&lt;'Assumption Setting'!$F$105,0,IFERROR(AI78*'Assumption Setting'!$C$105/AI105,0))</f>
        <v>0.176741696417119</v>
      </c>
      <c r="AJ132" s="92" t="n">
        <f aca="false">IF(32&lt;'Assumption Setting'!$F$105,0,IFERROR(AJ78*'Assumption Setting'!$C$105/AJ105,0))</f>
        <v>0.176741696417119</v>
      </c>
      <c r="AK132" s="92" t="n">
        <f aca="false">IF(33&lt;'Assumption Setting'!$F$105,0,IFERROR(AK78*'Assumption Setting'!$C$105/AK105,0))</f>
        <v>0.176741696417119</v>
      </c>
      <c r="AL132" s="92" t="n">
        <f aca="false">IF(34&lt;'Assumption Setting'!$F$105,0,IFERROR(AL78*'Assumption Setting'!$C$105/AL105,0))</f>
        <v>0.176741696417119</v>
      </c>
      <c r="AM132" s="92" t="n">
        <f aca="false">IF(35&lt;'Assumption Setting'!$F$105,0,IFERROR(AM78*'Assumption Setting'!$C$105/AM105,0))</f>
        <v>0.176741696417119</v>
      </c>
      <c r="AN132" s="92" t="n">
        <f aca="false">IF(36&lt;'Assumption Setting'!$F$105,0,IFERROR(AN78*'Assumption Setting'!$C$105/AN105,0))</f>
        <v>0.176741696417119</v>
      </c>
      <c r="AO132" s="91" t="n">
        <f aca="false">SUM(AP132:BA132)</f>
        <v>2.7484917915733</v>
      </c>
      <c r="AP132" s="92" t="n">
        <f aca="false">IF(37&lt;'Assumption Setting'!$F$105,0,IFERROR(AP78*'Assumption Setting'!$C$105/AP105,0))</f>
        <v>0.176741696417119</v>
      </c>
      <c r="AQ132" s="92" t="n">
        <f aca="false">IF(38&lt;'Assumption Setting'!$F$105,0,IFERROR(AQ78*'Assumption Setting'!$C$105/AQ105,0))</f>
        <v>0.184105933767832</v>
      </c>
      <c r="AR132" s="92" t="n">
        <f aca="false">IF(39&lt;'Assumption Setting'!$F$105,0,IFERROR(AR78*'Assumption Setting'!$C$105/AR105,0))</f>
        <v>0.238764416138834</v>
      </c>
      <c r="AS132" s="92" t="n">
        <f aca="false">IF(40&lt;'Assumption Setting'!$F$105,0,IFERROR(AS78*'Assumption Setting'!$C$105/AS105,0))</f>
        <v>0.238764416138834</v>
      </c>
      <c r="AT132" s="92" t="n">
        <f aca="false">IF(41&lt;'Assumption Setting'!$F$105,0,IFERROR(AT78*'Assumption Setting'!$C$105/AT105,0))</f>
        <v>0.238764416138834</v>
      </c>
      <c r="AU132" s="92" t="n">
        <f aca="false">IF(42&lt;'Assumption Setting'!$F$105,0,IFERROR(AU78*'Assumption Setting'!$C$105/AU105,0))</f>
        <v>0.238764416138834</v>
      </c>
      <c r="AV132" s="92" t="n">
        <f aca="false">IF(43&lt;'Assumption Setting'!$F$105,0,IFERROR(AV78*'Assumption Setting'!$C$105/AV105,0))</f>
        <v>0.238764416138834</v>
      </c>
      <c r="AW132" s="92" t="n">
        <f aca="false">IF(44&lt;'Assumption Setting'!$F$105,0,IFERROR(AW78*'Assumption Setting'!$C$105/AW105,0))</f>
        <v>0.238764416138834</v>
      </c>
      <c r="AX132" s="92" t="n">
        <f aca="false">IF(45&lt;'Assumption Setting'!$F$105,0,IFERROR(AX78*'Assumption Setting'!$C$105/AX105,0))</f>
        <v>0.238764416138834</v>
      </c>
      <c r="AY132" s="92" t="n">
        <f aca="false">IF(46&lt;'Assumption Setting'!$F$105,0,IFERROR(AY78*'Assumption Setting'!$C$105/AY105,0))</f>
        <v>0.238764416138834</v>
      </c>
      <c r="AZ132" s="92" t="n">
        <f aca="false">IF(47&lt;'Assumption Setting'!$F$105,0,IFERROR(AZ78*'Assumption Setting'!$C$105/AZ105,0))</f>
        <v>0.238764416138834</v>
      </c>
      <c r="BA132" s="92" t="n">
        <f aca="false">IF(48&lt;'Assumption Setting'!$F$105,0,IFERROR(BA78*'Assumption Setting'!$C$105/BA105,0))</f>
        <v>0.238764416138834</v>
      </c>
      <c r="BB132" s="91" t="n">
        <f aca="false">SUM(BC132:BN132)</f>
        <v>3.53763028547886</v>
      </c>
      <c r="BC132" s="92" t="n">
        <f aca="false">IF(49&lt;'Assumption Setting'!$F$105,0,IFERROR(BC78*'Assumption Setting'!$C$105/BC105,0))</f>
        <v>0.238764416138834</v>
      </c>
      <c r="BD132" s="92" t="n">
        <f aca="false">IF(50&lt;'Assumption Setting'!$F$105,0,IFERROR(BD78*'Assumption Setting'!$C$105/BD105,0))</f>
        <v>0.248314992784388</v>
      </c>
      <c r="BE132" s="92" t="n">
        <f aca="false">IF(51&lt;'Assumption Setting'!$F$105,0,IFERROR(BE78*'Assumption Setting'!$C$105/BE105,0))</f>
        <v>0.305055087655564</v>
      </c>
      <c r="BF132" s="92" t="n">
        <f aca="false">IF(52&lt;'Assumption Setting'!$F$105,0,IFERROR(BF78*'Assumption Setting'!$C$105/BF105,0))</f>
        <v>0.305055087655564</v>
      </c>
      <c r="BG132" s="92" t="n">
        <f aca="false">IF(53&lt;'Assumption Setting'!$F$105,0,IFERROR(BG78*'Assumption Setting'!$C$105/BG105,0))</f>
        <v>0.305055087655564</v>
      </c>
      <c r="BH132" s="92" t="n">
        <f aca="false">IF(54&lt;'Assumption Setting'!$F$105,0,IFERROR(BH78*'Assumption Setting'!$C$105/BH105,0))</f>
        <v>0.305055087655564</v>
      </c>
      <c r="BI132" s="92" t="n">
        <f aca="false">IF(55&lt;'Assumption Setting'!$F$105,0,IFERROR(BI78*'Assumption Setting'!$C$105/BI105,0))</f>
        <v>0.305055087655564</v>
      </c>
      <c r="BJ132" s="92" t="n">
        <f aca="false">IF(56&lt;'Assumption Setting'!$F$105,0,IFERROR(BJ78*'Assumption Setting'!$C$105/BJ105,0))</f>
        <v>0.305055087655564</v>
      </c>
      <c r="BK132" s="92" t="n">
        <f aca="false">IF(57&lt;'Assumption Setting'!$F$105,0,IFERROR(BK78*'Assumption Setting'!$C$105/BK105,0))</f>
        <v>0.305055087655564</v>
      </c>
      <c r="BL132" s="92" t="n">
        <f aca="false">IF(58&lt;'Assumption Setting'!$F$105,0,IFERROR(BL78*'Assumption Setting'!$C$105/BL105,0))</f>
        <v>0.305055087655564</v>
      </c>
      <c r="BM132" s="92" t="n">
        <f aca="false">IF(59&lt;'Assumption Setting'!$F$105,0,IFERROR(BM78*'Assumption Setting'!$C$105/BM105,0))</f>
        <v>0.305055087655564</v>
      </c>
      <c r="BN132" s="92" t="n">
        <f aca="false">IF(60&lt;'Assumption Setting'!$F$105,0,IFERROR(BN78*'Assumption Setting'!$C$105/BN105,0))</f>
        <v>0.305055087655564</v>
      </c>
    </row>
    <row r="133" customFormat="false" ht="15" hidden="false" customHeight="false" outlineLevel="0" collapsed="false">
      <c r="A133" s="69" t="s">
        <v>651</v>
      </c>
      <c r="B133" s="91" t="n">
        <f aca="false">N133</f>
        <v>0.639350645807739</v>
      </c>
      <c r="C133" s="93" t="n">
        <f aca="false">C132</f>
        <v>0</v>
      </c>
      <c r="D133" s="93" t="n">
        <f aca="true">C133+D132-IF((2-'Assumption Setting'!$E$105)&lt;1,0,OFFSET($A$132,0,2+13*INT(((2-'Assumption Setting'!$E$105)-1)/12)+MOD((2-'Assumption Setting'!$E$105)-1,12)))</f>
        <v>0</v>
      </c>
      <c r="E133" s="93" t="n">
        <f aca="true">D133+E132-IF((3-'Assumption Setting'!$E$105)&lt;1,0,OFFSET($A$132,0,2+13*INT(((3-'Assumption Setting'!$E$105)-1)/12)+MOD((3-'Assumption Setting'!$E$105)-1,12)))</f>
        <v>0.0639350645807739</v>
      </c>
      <c r="F133" s="93" t="n">
        <f aca="true">E133+F132-IF((4-'Assumption Setting'!$E$105)&lt;1,0,OFFSET($A$132,0,2+13*INT(((4-'Assumption Setting'!$E$105)-1)/12)+MOD((4-'Assumption Setting'!$E$105)-1,12)))</f>
        <v>0.127870129161548</v>
      </c>
      <c r="G133" s="93" t="n">
        <f aca="true">F133+G132-IF((5-'Assumption Setting'!$E$105)&lt;1,0,OFFSET($A$132,0,2+13*INT(((5-'Assumption Setting'!$E$105)-1)/12)+MOD((5-'Assumption Setting'!$E$105)-1,12)))</f>
        <v>0.191805193742322</v>
      </c>
      <c r="H133" s="93" t="n">
        <f aca="true">G133+H132-IF((6-'Assumption Setting'!$E$105)&lt;1,0,OFFSET($A$132,0,2+13*INT(((6-'Assumption Setting'!$E$105)-1)/12)+MOD((6-'Assumption Setting'!$E$105)-1,12)))</f>
        <v>0.255740258323096</v>
      </c>
      <c r="I133" s="93" t="n">
        <f aca="true">H133+I132-IF((7-'Assumption Setting'!$E$105)&lt;1,0,OFFSET($A$132,0,2+13*INT(((7-'Assumption Setting'!$E$105)-1)/12)+MOD((7-'Assumption Setting'!$E$105)-1,12)))</f>
        <v>0.319675322903869</v>
      </c>
      <c r="J133" s="93" t="n">
        <f aca="true">I133+J132-IF((8-'Assumption Setting'!$E$105)&lt;1,0,OFFSET($A$132,0,2+13*INT(((8-'Assumption Setting'!$E$105)-1)/12)+MOD((8-'Assumption Setting'!$E$105)-1,12)))</f>
        <v>0.383610387484643</v>
      </c>
      <c r="K133" s="93" t="n">
        <f aca="true">J133+K132-IF((9-'Assumption Setting'!$E$105)&lt;1,0,OFFSET($A$132,0,2+13*INT(((9-'Assumption Setting'!$E$105)-1)/12)+MOD((9-'Assumption Setting'!$E$105)-1,12)))</f>
        <v>0.447545452065417</v>
      </c>
      <c r="L133" s="93" t="n">
        <f aca="true">K133+L132-IF((10-'Assumption Setting'!$E$105)&lt;1,0,OFFSET($A$132,0,2+13*INT(((10-'Assumption Setting'!$E$105)-1)/12)+MOD((10-'Assumption Setting'!$E$105)-1,12)))</f>
        <v>0.511480516646191</v>
      </c>
      <c r="M133" s="93" t="n">
        <f aca="true">L133+M132-IF((11-'Assumption Setting'!$E$105)&lt;1,0,OFFSET($A$132,0,2+13*INT(((11-'Assumption Setting'!$E$105)-1)/12)+MOD((11-'Assumption Setting'!$E$105)-1,12)))</f>
        <v>0.575415581226965</v>
      </c>
      <c r="N133" s="93" t="n">
        <f aca="true">M133+N132-IF((12-'Assumption Setting'!$E$105)&lt;1,0,OFFSET($A$132,0,2+13*INT(((12-'Assumption Setting'!$E$105)-1)/12)+MOD((12-'Assumption Setting'!$E$105)-1,12)))</f>
        <v>0.639350645807739</v>
      </c>
      <c r="O133" s="91" t="n">
        <f aca="false">AA133</f>
        <v>1.21449249527255</v>
      </c>
      <c r="P133" s="93" t="n">
        <f aca="true">N133+P132-IF((13-'Assumption Setting'!$E$105)&lt;1,0,OFFSET($A$132,0,2+13*INT(((13-'Assumption Setting'!$E$105)-1)/12)+MOD((13-'Assumption Setting'!$E$105)-1,12)))</f>
        <v>0.703285710388513</v>
      </c>
      <c r="Q133" s="93" t="n">
        <f aca="true">P133+Q132-IF((14-'Assumption Setting'!$E$105)&lt;1,0,OFFSET($A$132,0,2+13*INT(((14-'Assumption Setting'!$E$105)-1)/12)+MOD((14-'Assumption Setting'!$E$105)-1,12)))</f>
        <v>0.773614281427364</v>
      </c>
      <c r="R133" s="93" t="n">
        <f aca="true">Q133+R132-IF((15-'Assumption Setting'!$E$105)&lt;1,0,OFFSET($A$132,0,2+13*INT(((15-'Assumption Setting'!$E$105)-1)/12)+MOD((15-'Assumption Setting'!$E$105)-1,12)))</f>
        <v>0.817702102811883</v>
      </c>
      <c r="S133" s="93" t="n">
        <f aca="true">R133+S132-IF((16-'Assumption Setting'!$E$105)&lt;1,0,OFFSET($A$132,0,2+13*INT(((16-'Assumption Setting'!$E$105)-1)/12)+MOD((16-'Assumption Setting'!$E$105)-1,12)))</f>
        <v>0.861789924196401</v>
      </c>
      <c r="T133" s="93" t="n">
        <f aca="true">S133+T132-IF((17-'Assumption Setting'!$E$105)&lt;1,0,OFFSET($A$132,0,2+13*INT(((17-'Assumption Setting'!$E$105)-1)/12)+MOD((17-'Assumption Setting'!$E$105)-1,12)))</f>
        <v>0.905877745580919</v>
      </c>
      <c r="U133" s="93" t="n">
        <f aca="true">T133+U132-IF((18-'Assumption Setting'!$E$105)&lt;1,0,OFFSET($A$132,0,2+13*INT(((18-'Assumption Setting'!$E$105)-1)/12)+MOD((18-'Assumption Setting'!$E$105)-1,12)))</f>
        <v>0.949965566965438</v>
      </c>
      <c r="V133" s="93" t="n">
        <f aca="true">U133+V132-IF((19-'Assumption Setting'!$E$105)&lt;1,0,OFFSET($A$132,0,2+13*INT(((19-'Assumption Setting'!$E$105)-1)/12)+MOD((19-'Assumption Setting'!$E$105)-1,12)))</f>
        <v>0.994053388349956</v>
      </c>
      <c r="W133" s="93" t="n">
        <f aca="true">V133+W132-IF((20-'Assumption Setting'!$E$105)&lt;1,0,OFFSET($A$132,0,2+13*INT(((20-'Assumption Setting'!$E$105)-1)/12)+MOD((20-'Assumption Setting'!$E$105)-1,12)))</f>
        <v>1.03814120973447</v>
      </c>
      <c r="X133" s="93" t="n">
        <f aca="true">W133+X132-IF((21-'Assumption Setting'!$E$105)&lt;1,0,OFFSET($A$132,0,2+13*INT(((21-'Assumption Setting'!$E$105)-1)/12)+MOD((21-'Assumption Setting'!$E$105)-1,12)))</f>
        <v>1.08222903111899</v>
      </c>
      <c r="Y133" s="93" t="n">
        <f aca="true">X133+Y132-IF((22-'Assumption Setting'!$E$105)&lt;1,0,OFFSET($A$132,0,2+13*INT(((22-'Assumption Setting'!$E$105)-1)/12)+MOD((22-'Assumption Setting'!$E$105)-1,12)))</f>
        <v>1.12631685250351</v>
      </c>
      <c r="Z133" s="93" t="n">
        <f aca="true">Y133+Z132-IF((23-'Assumption Setting'!$E$105)&lt;1,0,OFFSET($A$132,0,2+13*INT(((23-'Assumption Setting'!$E$105)-1)/12)+MOD((23-'Assumption Setting'!$E$105)-1,12)))</f>
        <v>1.17040467388803</v>
      </c>
      <c r="AA133" s="93" t="n">
        <f aca="true">Z133+AA132-IF((24-'Assumption Setting'!$E$105)&lt;1,0,OFFSET($A$132,0,2+13*INT(((24-'Assumption Setting'!$E$105)-1)/12)+MOD((24-'Assumption Setting'!$E$105)-1,12)))</f>
        <v>1.21449249527255</v>
      </c>
      <c r="AB133" s="91" t="n">
        <f aca="false">AN133</f>
        <v>1.99328299846225</v>
      </c>
      <c r="AC133" s="93" t="n">
        <f aca="true">AA133+AC132-IF((25-'Assumption Setting'!$E$105)&lt;1,0,OFFSET($A$132,0,2+13*INT(((25-'Assumption Setting'!$E$105)-1)/12)+MOD((25-'Assumption Setting'!$E$105)-1,12)))</f>
        <v>1.25858031665707</v>
      </c>
      <c r="AD133" s="93" t="n">
        <f aca="true">AC133+AD132-IF((26-'Assumption Setting'!$E$105)&lt;1,0,OFFSET($A$132,0,2+13*INT(((26-'Assumption Setting'!$E$105)-1)/12)+MOD((26-'Assumption Setting'!$E$105)-1,12)))</f>
        <v>1.30609489394399</v>
      </c>
      <c r="AE133" s="93" t="n">
        <f aca="true">AD133+AE132-IF((27-'Assumption Setting'!$E$105)&lt;1,0,OFFSET($A$132,0,2+13*INT(((27-'Assumption Setting'!$E$105)-1)/12)+MOD((27-'Assumption Setting'!$E$105)-1,12)))</f>
        <v>1.37481370439582</v>
      </c>
      <c r="AF133" s="93" t="n">
        <f aca="true">AE133+AF132-IF((28-'Assumption Setting'!$E$105)&lt;1,0,OFFSET($A$132,0,2+13*INT(((28-'Assumption Setting'!$E$105)-1)/12)+MOD((28-'Assumption Setting'!$E$105)-1,12)))</f>
        <v>1.44353251484764</v>
      </c>
      <c r="AG133" s="93" t="n">
        <f aca="true">AF133+AG132-IF((29-'Assumption Setting'!$E$105)&lt;1,0,OFFSET($A$132,0,2+13*INT(((29-'Assumption Setting'!$E$105)-1)/12)+MOD((29-'Assumption Setting'!$E$105)-1,12)))</f>
        <v>1.51225132529947</v>
      </c>
      <c r="AH133" s="93" t="n">
        <f aca="true">AG133+AH132-IF((30-'Assumption Setting'!$E$105)&lt;1,0,OFFSET($A$132,0,2+13*INT(((30-'Assumption Setting'!$E$105)-1)/12)+MOD((30-'Assumption Setting'!$E$105)-1,12)))</f>
        <v>1.5809701357513</v>
      </c>
      <c r="AI133" s="93" t="n">
        <f aca="true">AH133+AI132-IF((31-'Assumption Setting'!$E$105)&lt;1,0,OFFSET($A$132,0,2+13*INT(((31-'Assumption Setting'!$E$105)-1)/12)+MOD((31-'Assumption Setting'!$E$105)-1,12)))</f>
        <v>1.64968894620312</v>
      </c>
      <c r="AJ133" s="93" t="n">
        <f aca="true">AI133+AJ132-IF((32-'Assumption Setting'!$E$105)&lt;1,0,OFFSET($A$132,0,2+13*INT(((32-'Assumption Setting'!$E$105)-1)/12)+MOD((32-'Assumption Setting'!$E$105)-1,12)))</f>
        <v>1.71840775665495</v>
      </c>
      <c r="AK133" s="93" t="n">
        <f aca="true">AJ133+AK132-IF((33-'Assumption Setting'!$E$105)&lt;1,0,OFFSET($A$132,0,2+13*INT(((33-'Assumption Setting'!$E$105)-1)/12)+MOD((33-'Assumption Setting'!$E$105)-1,12)))</f>
        <v>1.78712656710677</v>
      </c>
      <c r="AL133" s="93" t="n">
        <f aca="true">AK133+AL132-IF((34-'Assumption Setting'!$E$105)&lt;1,0,OFFSET($A$132,0,2+13*INT(((34-'Assumption Setting'!$E$105)-1)/12)+MOD((34-'Assumption Setting'!$E$105)-1,12)))</f>
        <v>1.8558453775586</v>
      </c>
      <c r="AM133" s="93" t="n">
        <f aca="true">AL133+AM132-IF((35-'Assumption Setting'!$E$105)&lt;1,0,OFFSET($A$132,0,2+13*INT(((35-'Assumption Setting'!$E$105)-1)/12)+MOD((35-'Assumption Setting'!$E$105)-1,12)))</f>
        <v>1.92456418801043</v>
      </c>
      <c r="AN133" s="93" t="n">
        <f aca="true">AM133+AN132-IF((36-'Assumption Setting'!$E$105)&lt;1,0,OFFSET($A$132,0,2+13*INT(((36-'Assumption Setting'!$E$105)-1)/12)+MOD((36-'Assumption Setting'!$E$105)-1,12)))</f>
        <v>1.99328299846225</v>
      </c>
      <c r="AO133" s="91" t="n">
        <f aca="false">BA133</f>
        <v>2.7484917915733</v>
      </c>
      <c r="AP133" s="93" t="n">
        <f aca="true">AN133+AP132-IF((37-'Assumption Setting'!$E$105)&lt;1,0,OFFSET($A$132,0,2+13*INT(((37-'Assumption Setting'!$E$105)-1)/12)+MOD((37-'Assumption Setting'!$E$105)-1,12)))</f>
        <v>2.06200180891408</v>
      </c>
      <c r="AQ133" s="93" t="n">
        <f aca="true">AP133+AQ132-IF((38-'Assumption Setting'!$E$105)&lt;1,0,OFFSET($A$132,0,2+13*INT(((38-'Assumption Setting'!$E$105)-1)/12)+MOD((38-'Assumption Setting'!$E$105)-1,12)))</f>
        <v>2.12826459435614</v>
      </c>
      <c r="AR133" s="93" t="n">
        <f aca="true">AQ133+AR132-IF((39-'Assumption Setting'!$E$105)&lt;1,0,OFFSET($A$132,0,2+13*INT(((39-'Assumption Setting'!$E$105)-1)/12)+MOD((39-'Assumption Setting'!$E$105)-1,12)))</f>
        <v>2.19028731407786</v>
      </c>
      <c r="AS133" s="93" t="n">
        <f aca="true">AR133+AS132-IF((40-'Assumption Setting'!$E$105)&lt;1,0,OFFSET($A$132,0,2+13*INT(((40-'Assumption Setting'!$E$105)-1)/12)+MOD((40-'Assumption Setting'!$E$105)-1,12)))</f>
        <v>2.25231003379957</v>
      </c>
      <c r="AT133" s="93" t="n">
        <f aca="true">AS133+AT132-IF((41-'Assumption Setting'!$E$105)&lt;1,0,OFFSET($A$132,0,2+13*INT(((41-'Assumption Setting'!$E$105)-1)/12)+MOD((41-'Assumption Setting'!$E$105)-1,12)))</f>
        <v>2.31433275352129</v>
      </c>
      <c r="AU133" s="93" t="n">
        <f aca="true">AT133+AU132-IF((42-'Assumption Setting'!$E$105)&lt;1,0,OFFSET($A$132,0,2+13*INT(((42-'Assumption Setting'!$E$105)-1)/12)+MOD((42-'Assumption Setting'!$E$105)-1,12)))</f>
        <v>2.376355473243</v>
      </c>
      <c r="AV133" s="93" t="n">
        <f aca="true">AU133+AV132-IF((43-'Assumption Setting'!$E$105)&lt;1,0,OFFSET($A$132,0,2+13*INT(((43-'Assumption Setting'!$E$105)-1)/12)+MOD((43-'Assumption Setting'!$E$105)-1,12)))</f>
        <v>2.43837819296472</v>
      </c>
      <c r="AW133" s="93" t="n">
        <f aca="true">AV133+AW132-IF((44-'Assumption Setting'!$E$105)&lt;1,0,OFFSET($A$132,0,2+13*INT(((44-'Assumption Setting'!$E$105)-1)/12)+MOD((44-'Assumption Setting'!$E$105)-1,12)))</f>
        <v>2.50040091268643</v>
      </c>
      <c r="AX133" s="93" t="n">
        <f aca="true">AW133+AX132-IF((45-'Assumption Setting'!$E$105)&lt;1,0,OFFSET($A$132,0,2+13*INT(((45-'Assumption Setting'!$E$105)-1)/12)+MOD((45-'Assumption Setting'!$E$105)-1,12)))</f>
        <v>2.56242363240815</v>
      </c>
      <c r="AY133" s="93" t="n">
        <f aca="true">AX133+AY132-IF((46-'Assumption Setting'!$E$105)&lt;1,0,OFFSET($A$132,0,2+13*INT(((46-'Assumption Setting'!$E$105)-1)/12)+MOD((46-'Assumption Setting'!$E$105)-1,12)))</f>
        <v>2.62444635212987</v>
      </c>
      <c r="AZ133" s="93" t="n">
        <f aca="true">AY133+AZ132-IF((47-'Assumption Setting'!$E$105)&lt;1,0,OFFSET($A$132,0,2+13*INT(((47-'Assumption Setting'!$E$105)-1)/12)+MOD((47-'Assumption Setting'!$E$105)-1,12)))</f>
        <v>2.68646907185158</v>
      </c>
      <c r="BA133" s="93" t="n">
        <f aca="true">AZ133+BA132-IF((48-'Assumption Setting'!$E$105)&lt;1,0,OFFSET($A$132,0,2+13*INT(((48-'Assumption Setting'!$E$105)-1)/12)+MOD((48-'Assumption Setting'!$E$105)-1,12)))</f>
        <v>2.7484917915733</v>
      </c>
      <c r="BB133" s="91" t="n">
        <f aca="false">BN133</f>
        <v>3.53763028547886</v>
      </c>
      <c r="BC133" s="93" t="n">
        <f aca="true">BA133+BC132-IF((49-'Assumption Setting'!$E$105)&lt;1,0,OFFSET($A$132,0,2+13*INT(((49-'Assumption Setting'!$E$105)-1)/12)+MOD((49-'Assumption Setting'!$E$105)-1,12)))</f>
        <v>2.81051451129501</v>
      </c>
      <c r="BD133" s="93" t="n">
        <f aca="true">BC133+BD132-IF((50-'Assumption Setting'!$E$105)&lt;1,0,OFFSET($A$132,0,2+13*INT(((50-'Assumption Setting'!$E$105)-1)/12)+MOD((50-'Assumption Setting'!$E$105)-1,12)))</f>
        <v>2.87472357031157</v>
      </c>
      <c r="BE133" s="93" t="n">
        <f aca="true">BD133+BE132-IF((51-'Assumption Setting'!$E$105)&lt;1,0,OFFSET($A$132,0,2+13*INT(((51-'Assumption Setting'!$E$105)-1)/12)+MOD((51-'Assumption Setting'!$E$105)-1,12)))</f>
        <v>2.9410142418283</v>
      </c>
      <c r="BF133" s="93" t="n">
        <f aca="true">BE133+BF132-IF((52-'Assumption Setting'!$E$105)&lt;1,0,OFFSET($A$132,0,2+13*INT(((52-'Assumption Setting'!$E$105)-1)/12)+MOD((52-'Assumption Setting'!$E$105)-1,12)))</f>
        <v>3.00730491334503</v>
      </c>
      <c r="BG133" s="93" t="n">
        <f aca="true">BF133+BG132-IF((53-'Assumption Setting'!$E$105)&lt;1,0,OFFSET($A$132,0,2+13*INT(((53-'Assumption Setting'!$E$105)-1)/12)+MOD((53-'Assumption Setting'!$E$105)-1,12)))</f>
        <v>3.07359558486176</v>
      </c>
      <c r="BH133" s="93" t="n">
        <f aca="true">BG133+BH132-IF((54-'Assumption Setting'!$E$105)&lt;1,0,OFFSET($A$132,0,2+13*INT(((54-'Assumption Setting'!$E$105)-1)/12)+MOD((54-'Assumption Setting'!$E$105)-1,12)))</f>
        <v>3.13988625637848</v>
      </c>
      <c r="BI133" s="93" t="n">
        <f aca="true">BH133+BI132-IF((55-'Assumption Setting'!$E$105)&lt;1,0,OFFSET($A$132,0,2+13*INT(((55-'Assumption Setting'!$E$105)-1)/12)+MOD((55-'Assumption Setting'!$E$105)-1,12)))</f>
        <v>3.20617692789521</v>
      </c>
      <c r="BJ133" s="93" t="n">
        <f aca="true">BI133+BJ132-IF((56-'Assumption Setting'!$E$105)&lt;1,0,OFFSET($A$132,0,2+13*INT(((56-'Assumption Setting'!$E$105)-1)/12)+MOD((56-'Assumption Setting'!$E$105)-1,12)))</f>
        <v>3.27246759941194</v>
      </c>
      <c r="BK133" s="93" t="n">
        <f aca="true">BJ133+BK132-IF((57-'Assumption Setting'!$E$105)&lt;1,0,OFFSET($A$132,0,2+13*INT(((57-'Assumption Setting'!$E$105)-1)/12)+MOD((57-'Assumption Setting'!$E$105)-1,12)))</f>
        <v>3.33875827092867</v>
      </c>
      <c r="BL133" s="93" t="n">
        <f aca="true">BK133+BL132-IF((58-'Assumption Setting'!$E$105)&lt;1,0,OFFSET($A$132,0,2+13*INT(((58-'Assumption Setting'!$E$105)-1)/12)+MOD((58-'Assumption Setting'!$E$105)-1,12)))</f>
        <v>3.4050489424454</v>
      </c>
      <c r="BM133" s="93" t="n">
        <f aca="true">BL133+BM132-IF((59-'Assumption Setting'!$E$105)&lt;1,0,OFFSET($A$132,0,2+13*INT(((59-'Assumption Setting'!$E$105)-1)/12)+MOD((59-'Assumption Setting'!$E$105)-1,12)))</f>
        <v>3.47133961396213</v>
      </c>
      <c r="BN133" s="93" t="n">
        <f aca="true">BM133+BN132-IF((60-'Assumption Setting'!$E$105)&lt;1,0,OFFSET($A$132,0,2+13*INT(((60-'Assumption Setting'!$E$105)-1)/12)+MOD((60-'Assumption Setting'!$E$105)-1,12)))</f>
        <v>3.53763028547886</v>
      </c>
    </row>
    <row r="134" customFormat="false" ht="15" hidden="false" customHeight="false" outlineLevel="0" collapsed="false">
      <c r="A134" s="12" t="s">
        <v>652</v>
      </c>
      <c r="B134" s="91" t="n">
        <f aca="false">SUM(C134:N134)</f>
        <v>0.678168363588923</v>
      </c>
      <c r="C134" s="92" t="n">
        <f aca="false">IF(1&lt;'Assumption Setting'!$F$106,0,IFERROR(C93*'Assumption Setting'!$C$106/C108,0))</f>
        <v>0</v>
      </c>
      <c r="D134" s="92" t="n">
        <f aca="false">IF(2&lt;'Assumption Setting'!$F$106,0,IFERROR(D93*'Assumption Setting'!$C$106/D108,0))</f>
        <v>0</v>
      </c>
      <c r="E134" s="92" t="n">
        <f aca="false">IF(3&lt;'Assumption Setting'!$F$106,0,IFERROR(E93*'Assumption Setting'!$C$106/E108,0))</f>
        <v>0</v>
      </c>
      <c r="F134" s="92" t="n">
        <f aca="false">IF(4&lt;'Assumption Setting'!$F$106,0,IFERROR(F93*'Assumption Setting'!$C$106/F108,0))</f>
        <v>0.0753520403987692</v>
      </c>
      <c r="G134" s="92" t="n">
        <f aca="false">IF(5&lt;'Assumption Setting'!$F$106,0,IFERROR(G93*'Assumption Setting'!$C$106/G108,0))</f>
        <v>0.0753520403987692</v>
      </c>
      <c r="H134" s="92" t="n">
        <f aca="false">IF(6&lt;'Assumption Setting'!$F$106,0,IFERROR(H93*'Assumption Setting'!$C$106/H108,0))</f>
        <v>0.0753520403987692</v>
      </c>
      <c r="I134" s="92" t="n">
        <f aca="false">IF(7&lt;'Assumption Setting'!$F$106,0,IFERROR(I93*'Assumption Setting'!$C$106/I108,0))</f>
        <v>0.0753520403987692</v>
      </c>
      <c r="J134" s="92" t="n">
        <f aca="false">IF(8&lt;'Assumption Setting'!$F$106,0,IFERROR(J93*'Assumption Setting'!$C$106/J108,0))</f>
        <v>0.0753520403987692</v>
      </c>
      <c r="K134" s="92" t="n">
        <f aca="false">IF(9&lt;'Assumption Setting'!$F$106,0,IFERROR(K93*'Assumption Setting'!$C$106/K108,0))</f>
        <v>0.0753520403987692</v>
      </c>
      <c r="L134" s="92" t="n">
        <f aca="false">IF(10&lt;'Assumption Setting'!$F$106,0,IFERROR(L93*'Assumption Setting'!$C$106/L108,0))</f>
        <v>0.0753520403987692</v>
      </c>
      <c r="M134" s="92" t="n">
        <f aca="false">IF(11&lt;'Assumption Setting'!$F$106,0,IFERROR(M93*'Assumption Setting'!$C$106/M108,0))</f>
        <v>0.0753520403987692</v>
      </c>
      <c r="N134" s="92" t="n">
        <f aca="false">IF(12&lt;'Assumption Setting'!$F$106,0,IFERROR(N93*'Assumption Setting'!$C$106/N108,0))</f>
        <v>0.0753520403987692</v>
      </c>
      <c r="O134" s="91" t="n">
        <f aca="false">SUM(P134:AA134)</f>
        <v>1.37940550851089</v>
      </c>
      <c r="P134" s="92" t="n">
        <f aca="false">IF(13&lt;'Assumption Setting'!$F$106,0,IFERROR(P93*'Assumption Setting'!$C$106/P108,0))</f>
        <v>0.0753520403987692</v>
      </c>
      <c r="Q134" s="92" t="n">
        <f aca="false">IF(14&lt;'Assumption Setting'!$F$106,0,IFERROR(Q93*'Assumption Setting'!$C$106/Q108,0))</f>
        <v>0.0753520403987692</v>
      </c>
      <c r="R134" s="92" t="n">
        <f aca="false">IF(15&lt;'Assumption Setting'!$F$106,0,IFERROR(R93*'Assumption Setting'!$C$106/R108,0))</f>
        <v>0.0828872444386462</v>
      </c>
      <c r="S134" s="92" t="n">
        <f aca="false">IF(16&lt;'Assumption Setting'!$F$106,0,IFERROR(S93*'Assumption Setting'!$C$106/S108,0))</f>
        <v>0.127312687030523</v>
      </c>
      <c r="T134" s="92" t="n">
        <f aca="false">IF(17&lt;'Assumption Setting'!$F$106,0,IFERROR(T93*'Assumption Setting'!$C$106/T108,0))</f>
        <v>0.127312687030523</v>
      </c>
      <c r="U134" s="92" t="n">
        <f aca="false">IF(18&lt;'Assumption Setting'!$F$106,0,IFERROR(U93*'Assumption Setting'!$C$106/U108,0))</f>
        <v>0.127312687030523</v>
      </c>
      <c r="V134" s="92" t="n">
        <f aca="false">IF(19&lt;'Assumption Setting'!$F$106,0,IFERROR(V93*'Assumption Setting'!$C$106/V108,0))</f>
        <v>0.127312687030523</v>
      </c>
      <c r="W134" s="92" t="n">
        <f aca="false">IF(20&lt;'Assumption Setting'!$F$106,0,IFERROR(W93*'Assumption Setting'!$C$106/W108,0))</f>
        <v>0.127312687030523</v>
      </c>
      <c r="X134" s="92" t="n">
        <f aca="false">IF(21&lt;'Assumption Setting'!$F$106,0,IFERROR(X93*'Assumption Setting'!$C$106/X108,0))</f>
        <v>0.127312687030523</v>
      </c>
      <c r="Y134" s="92" t="n">
        <f aca="false">IF(22&lt;'Assumption Setting'!$F$106,0,IFERROR(Y93*'Assumption Setting'!$C$106/Y108,0))</f>
        <v>0.127312687030523</v>
      </c>
      <c r="Z134" s="92" t="n">
        <f aca="false">IF(23&lt;'Assumption Setting'!$F$106,0,IFERROR(Z93*'Assumption Setting'!$C$106/Z108,0))</f>
        <v>0.127312687030523</v>
      </c>
      <c r="AA134" s="92" t="n">
        <f aca="false">IF(24&lt;'Assumption Setting'!$F$106,0,IFERROR(AA93*'Assumption Setting'!$C$106/AA108,0))</f>
        <v>0.127312687030523</v>
      </c>
      <c r="AB134" s="91" t="n">
        <f aca="false">SUM(AC134:AN134)</f>
        <v>2.26823636444086</v>
      </c>
      <c r="AC134" s="92" t="n">
        <f aca="false">IF(25&lt;'Assumption Setting'!$F$106,0,IFERROR(AC93*'Assumption Setting'!$C$106/AC108,0))</f>
        <v>0.127312687030523</v>
      </c>
      <c r="AD134" s="92" t="n">
        <f aca="false">IF(26&lt;'Assumption Setting'!$F$106,0,IFERROR(AD93*'Assumption Setting'!$C$106/AD108,0))</f>
        <v>0.127312687030523</v>
      </c>
      <c r="AE134" s="92" t="n">
        <f aca="false">IF(27&lt;'Assumption Setting'!$F$106,0,IFERROR(AE93*'Assumption Setting'!$C$106/AE108,0))</f>
        <v>0.138886567669662</v>
      </c>
      <c r="AF134" s="92" t="n">
        <f aca="false">IF(28&lt;'Assumption Setting'!$F$106,0,IFERROR(AF93*'Assumption Setting'!$C$106/AF108,0))</f>
        <v>0.208302713634462</v>
      </c>
      <c r="AG134" s="92" t="n">
        <f aca="false">IF(29&lt;'Assumption Setting'!$F$106,0,IFERROR(AG93*'Assumption Setting'!$C$106/AG108,0))</f>
        <v>0.208302713634462</v>
      </c>
      <c r="AH134" s="92" t="n">
        <f aca="false">IF(30&lt;'Assumption Setting'!$F$106,0,IFERROR(AH93*'Assumption Setting'!$C$106/AH108,0))</f>
        <v>0.208302713634462</v>
      </c>
      <c r="AI134" s="92" t="n">
        <f aca="false">IF(31&lt;'Assumption Setting'!$F$106,0,IFERROR(AI93*'Assumption Setting'!$C$106/AI108,0))</f>
        <v>0.208302713634462</v>
      </c>
      <c r="AJ134" s="92" t="n">
        <f aca="false">IF(32&lt;'Assumption Setting'!$F$106,0,IFERROR(AJ93*'Assumption Setting'!$C$106/AJ108,0))</f>
        <v>0.208302713634462</v>
      </c>
      <c r="AK134" s="92" t="n">
        <f aca="false">IF(33&lt;'Assumption Setting'!$F$106,0,IFERROR(AK93*'Assumption Setting'!$C$106/AK108,0))</f>
        <v>0.208302713634462</v>
      </c>
      <c r="AL134" s="92" t="n">
        <f aca="false">IF(34&lt;'Assumption Setting'!$F$106,0,IFERROR(AL93*'Assumption Setting'!$C$106/AL108,0))</f>
        <v>0.208302713634462</v>
      </c>
      <c r="AM134" s="92" t="n">
        <f aca="false">IF(35&lt;'Assumption Setting'!$F$106,0,IFERROR(AM93*'Assumption Setting'!$C$106/AM108,0))</f>
        <v>0.208302713634462</v>
      </c>
      <c r="AN134" s="92" t="n">
        <f aca="false">IF(36&lt;'Assumption Setting'!$F$106,0,IFERROR(AN93*'Assumption Setting'!$C$106/AN108,0))</f>
        <v>0.208302713634462</v>
      </c>
      <c r="AO134" s="91" t="n">
        <f aca="false">SUM(AP134:BA134)</f>
        <v>3.16619569182508</v>
      </c>
      <c r="AP134" s="92" t="n">
        <f aca="false">IF(37&lt;'Assumption Setting'!$F$106,0,IFERROR(AP93*'Assumption Setting'!$C$106/AP108,0))</f>
        <v>0.208302713634462</v>
      </c>
      <c r="AQ134" s="92" t="n">
        <f aca="false">IF(38&lt;'Assumption Setting'!$F$106,0,IFERROR(AQ93*'Assumption Setting'!$C$106/AQ108,0))</f>
        <v>0.208302713634462</v>
      </c>
      <c r="AR134" s="92" t="n">
        <f aca="false">IF(39&lt;'Assumption Setting'!$F$106,0,IFERROR(AR93*'Assumption Setting'!$C$106/AR108,0))</f>
        <v>0.216981993369231</v>
      </c>
      <c r="AS134" s="92" t="n">
        <f aca="false">IF(40&lt;'Assumption Setting'!$F$106,0,IFERROR(AS93*'Assumption Setting'!$C$106/AS108,0))</f>
        <v>0.281400919020769</v>
      </c>
      <c r="AT134" s="92" t="n">
        <f aca="false">IF(41&lt;'Assumption Setting'!$F$106,0,IFERROR(AT93*'Assumption Setting'!$C$106/AT108,0))</f>
        <v>0.281400919020769</v>
      </c>
      <c r="AU134" s="92" t="n">
        <f aca="false">IF(42&lt;'Assumption Setting'!$F$106,0,IFERROR(AU93*'Assumption Setting'!$C$106/AU108,0))</f>
        <v>0.281400919020769</v>
      </c>
      <c r="AV134" s="92" t="n">
        <f aca="false">IF(43&lt;'Assumption Setting'!$F$106,0,IFERROR(AV93*'Assumption Setting'!$C$106/AV108,0))</f>
        <v>0.281400919020769</v>
      </c>
      <c r="AW134" s="92" t="n">
        <f aca="false">IF(44&lt;'Assumption Setting'!$F$106,0,IFERROR(AW93*'Assumption Setting'!$C$106/AW108,0))</f>
        <v>0.281400919020769</v>
      </c>
      <c r="AX134" s="92" t="n">
        <f aca="false">IF(45&lt;'Assumption Setting'!$F$106,0,IFERROR(AX93*'Assumption Setting'!$C$106/AX108,0))</f>
        <v>0.281400919020769</v>
      </c>
      <c r="AY134" s="92" t="n">
        <f aca="false">IF(46&lt;'Assumption Setting'!$F$106,0,IFERROR(AY93*'Assumption Setting'!$C$106/AY108,0))</f>
        <v>0.281400919020769</v>
      </c>
      <c r="AZ134" s="92" t="n">
        <f aca="false">IF(47&lt;'Assumption Setting'!$F$106,0,IFERROR(AZ93*'Assumption Setting'!$C$106/AZ108,0))</f>
        <v>0.281400919020769</v>
      </c>
      <c r="BA134" s="92" t="n">
        <f aca="false">IF(48&lt;'Assumption Setting'!$F$106,0,IFERROR(BA93*'Assumption Setting'!$C$106/BA108,0))</f>
        <v>0.281400919020769</v>
      </c>
      <c r="BB134" s="91" t="n">
        <f aca="false">SUM(BC134:BN134)</f>
        <v>4.09122168788394</v>
      </c>
      <c r="BC134" s="92" t="n">
        <f aca="false">IF(49&lt;'Assumption Setting'!$F$106,0,IFERROR(BC93*'Assumption Setting'!$C$106/BC108,0))</f>
        <v>0.281400919020769</v>
      </c>
      <c r="BD134" s="92" t="n">
        <f aca="false">IF(50&lt;'Assumption Setting'!$F$106,0,IFERROR(BD93*'Assumption Setting'!$C$106/BD108,0))</f>
        <v>0.281400919020769</v>
      </c>
      <c r="BE134" s="92" t="n">
        <f aca="false">IF(51&lt;'Assumption Setting'!$F$106,0,IFERROR(BE93*'Assumption Setting'!$C$106/BE108,0))</f>
        <v>0.2926569557816</v>
      </c>
      <c r="BF134" s="92" t="n">
        <f aca="false">IF(52&lt;'Assumption Setting'!$F$106,0,IFERROR(BF93*'Assumption Setting'!$C$106/BF108,0))</f>
        <v>0.3595292104512</v>
      </c>
      <c r="BG134" s="92" t="n">
        <f aca="false">IF(53&lt;'Assumption Setting'!$F$106,0,IFERROR(BG93*'Assumption Setting'!$C$106/BG108,0))</f>
        <v>0.3595292104512</v>
      </c>
      <c r="BH134" s="92" t="n">
        <f aca="false">IF(54&lt;'Assumption Setting'!$F$106,0,IFERROR(BH93*'Assumption Setting'!$C$106/BH108,0))</f>
        <v>0.3595292104512</v>
      </c>
      <c r="BI134" s="92" t="n">
        <f aca="false">IF(55&lt;'Assumption Setting'!$F$106,0,IFERROR(BI93*'Assumption Setting'!$C$106/BI108,0))</f>
        <v>0.3595292104512</v>
      </c>
      <c r="BJ134" s="92" t="n">
        <f aca="false">IF(56&lt;'Assumption Setting'!$F$106,0,IFERROR(BJ93*'Assumption Setting'!$C$106/BJ108,0))</f>
        <v>0.3595292104512</v>
      </c>
      <c r="BK134" s="92" t="n">
        <f aca="false">IF(57&lt;'Assumption Setting'!$F$106,0,IFERROR(BK93*'Assumption Setting'!$C$106/BK108,0))</f>
        <v>0.3595292104512</v>
      </c>
      <c r="BL134" s="92" t="n">
        <f aca="false">IF(58&lt;'Assumption Setting'!$F$106,0,IFERROR(BL93*'Assumption Setting'!$C$106/BL108,0))</f>
        <v>0.3595292104512</v>
      </c>
      <c r="BM134" s="92" t="n">
        <f aca="false">IF(59&lt;'Assumption Setting'!$F$106,0,IFERROR(BM93*'Assumption Setting'!$C$106/BM108,0))</f>
        <v>0.3595292104512</v>
      </c>
      <c r="BN134" s="92" t="n">
        <f aca="false">IF(60&lt;'Assumption Setting'!$F$106,0,IFERROR(BN93*'Assumption Setting'!$C$106/BN108,0))</f>
        <v>0.3595292104512</v>
      </c>
    </row>
    <row r="135" customFormat="false" ht="15" hidden="false" customHeight="false" outlineLevel="0" collapsed="false">
      <c r="A135" s="69" t="s">
        <v>653</v>
      </c>
      <c r="B135" s="91" t="n">
        <f aca="false">N135</f>
        <v>0.678168363588923</v>
      </c>
      <c r="C135" s="93" t="n">
        <f aca="false">C134</f>
        <v>0</v>
      </c>
      <c r="D135" s="93" t="n">
        <f aca="true">C135+D134-IF((2-'Assumption Setting'!$E$106)&lt;1,0,OFFSET($A$134,0,2+13*INT(((2-'Assumption Setting'!$E$106)-1)/12)+MOD((2-'Assumption Setting'!$E$106)-1,12)))</f>
        <v>0</v>
      </c>
      <c r="E135" s="93" t="n">
        <f aca="true">D135+E134-IF((3-'Assumption Setting'!$E$106)&lt;1,0,OFFSET($A$134,0,2+13*INT(((3-'Assumption Setting'!$E$106)-1)/12)+MOD((3-'Assumption Setting'!$E$106)-1,12)))</f>
        <v>0</v>
      </c>
      <c r="F135" s="93" t="n">
        <f aca="true">E135+F134-IF((4-'Assumption Setting'!$E$106)&lt;1,0,OFFSET($A$134,0,2+13*INT(((4-'Assumption Setting'!$E$106)-1)/12)+MOD((4-'Assumption Setting'!$E$106)-1,12)))</f>
        <v>0.0753520403987692</v>
      </c>
      <c r="G135" s="93" t="n">
        <f aca="true">F135+G134-IF((5-'Assumption Setting'!$E$106)&lt;1,0,OFFSET($A$134,0,2+13*INT(((5-'Assumption Setting'!$E$106)-1)/12)+MOD((5-'Assumption Setting'!$E$106)-1,12)))</f>
        <v>0.150704080797538</v>
      </c>
      <c r="H135" s="93" t="n">
        <f aca="true">G135+H134-IF((6-'Assumption Setting'!$E$106)&lt;1,0,OFFSET($A$134,0,2+13*INT(((6-'Assumption Setting'!$E$106)-1)/12)+MOD((6-'Assumption Setting'!$E$106)-1,12)))</f>
        <v>0.226056121196308</v>
      </c>
      <c r="I135" s="93" t="n">
        <f aca="true">H135+I134-IF((7-'Assumption Setting'!$E$106)&lt;1,0,OFFSET($A$134,0,2+13*INT(((7-'Assumption Setting'!$E$106)-1)/12)+MOD((7-'Assumption Setting'!$E$106)-1,12)))</f>
        <v>0.301408161595077</v>
      </c>
      <c r="J135" s="93" t="n">
        <f aca="true">I135+J134-IF((8-'Assumption Setting'!$E$106)&lt;1,0,OFFSET($A$134,0,2+13*INT(((8-'Assumption Setting'!$E$106)-1)/12)+MOD((8-'Assumption Setting'!$E$106)-1,12)))</f>
        <v>0.376760201993846</v>
      </c>
      <c r="K135" s="93" t="n">
        <f aca="true">J135+K134-IF((9-'Assumption Setting'!$E$106)&lt;1,0,OFFSET($A$134,0,2+13*INT(((9-'Assumption Setting'!$E$106)-1)/12)+MOD((9-'Assumption Setting'!$E$106)-1,12)))</f>
        <v>0.452112242392615</v>
      </c>
      <c r="L135" s="93" t="n">
        <f aca="true">K135+L134-IF((10-'Assumption Setting'!$E$106)&lt;1,0,OFFSET($A$134,0,2+13*INT(((10-'Assumption Setting'!$E$106)-1)/12)+MOD((10-'Assumption Setting'!$E$106)-1,12)))</f>
        <v>0.527464282791385</v>
      </c>
      <c r="M135" s="93" t="n">
        <f aca="true">L135+M134-IF((11-'Assumption Setting'!$E$106)&lt;1,0,OFFSET($A$134,0,2+13*INT(((11-'Assumption Setting'!$E$106)-1)/12)+MOD((11-'Assumption Setting'!$E$106)-1,12)))</f>
        <v>0.602816323190154</v>
      </c>
      <c r="N135" s="93" t="n">
        <f aca="true">M135+N134-IF((12-'Assumption Setting'!$E$106)&lt;1,0,OFFSET($A$134,0,2+13*INT(((12-'Assumption Setting'!$E$106)-1)/12)+MOD((12-'Assumption Setting'!$E$106)-1,12)))</f>
        <v>0.678168363588923</v>
      </c>
      <c r="O135" s="91" t="n">
        <f aca="false">AA135</f>
        <v>1.37940550851089</v>
      </c>
      <c r="P135" s="93" t="n">
        <f aca="true">N135+P134-IF((13-'Assumption Setting'!$E$106)&lt;1,0,OFFSET($A$134,0,2+13*INT(((13-'Assumption Setting'!$E$106)-1)/12)+MOD((13-'Assumption Setting'!$E$106)-1,12)))</f>
        <v>0.753520403987692</v>
      </c>
      <c r="Q135" s="93" t="n">
        <f aca="true">P135+Q134-IF((14-'Assumption Setting'!$E$106)&lt;1,0,OFFSET($A$134,0,2+13*INT(((14-'Assumption Setting'!$E$106)-1)/12)+MOD((14-'Assumption Setting'!$E$106)-1,12)))</f>
        <v>0.828872444386462</v>
      </c>
      <c r="R135" s="93" t="n">
        <f aca="true">Q135+R134-IF((15-'Assumption Setting'!$E$106)&lt;1,0,OFFSET($A$134,0,2+13*INT(((15-'Assumption Setting'!$E$106)-1)/12)+MOD((15-'Assumption Setting'!$E$106)-1,12)))</f>
        <v>0.911759688825108</v>
      </c>
      <c r="S135" s="93" t="n">
        <f aca="true">R135+S134-IF((16-'Assumption Setting'!$E$106)&lt;1,0,OFFSET($A$134,0,2+13*INT(((16-'Assumption Setting'!$E$106)-1)/12)+MOD((16-'Assumption Setting'!$E$106)-1,12)))</f>
        <v>0.963720335456861</v>
      </c>
      <c r="T135" s="93" t="n">
        <f aca="true">S135+T134-IF((17-'Assumption Setting'!$E$106)&lt;1,0,OFFSET($A$134,0,2+13*INT(((17-'Assumption Setting'!$E$106)-1)/12)+MOD((17-'Assumption Setting'!$E$106)-1,12)))</f>
        <v>1.01568098208862</v>
      </c>
      <c r="U135" s="93" t="n">
        <f aca="true">T135+U134-IF((18-'Assumption Setting'!$E$106)&lt;1,0,OFFSET($A$134,0,2+13*INT(((18-'Assumption Setting'!$E$106)-1)/12)+MOD((18-'Assumption Setting'!$E$106)-1,12)))</f>
        <v>1.06764162872037</v>
      </c>
      <c r="V135" s="93" t="n">
        <f aca="true">U135+V134-IF((19-'Assumption Setting'!$E$106)&lt;1,0,OFFSET($A$134,0,2+13*INT(((19-'Assumption Setting'!$E$106)-1)/12)+MOD((19-'Assumption Setting'!$E$106)-1,12)))</f>
        <v>1.11960227535212</v>
      </c>
      <c r="W135" s="93" t="n">
        <f aca="true">V135+W134-IF((20-'Assumption Setting'!$E$106)&lt;1,0,OFFSET($A$134,0,2+13*INT(((20-'Assumption Setting'!$E$106)-1)/12)+MOD((20-'Assumption Setting'!$E$106)-1,12)))</f>
        <v>1.17156292198388</v>
      </c>
      <c r="X135" s="93" t="n">
        <f aca="true">W135+X134-IF((21-'Assumption Setting'!$E$106)&lt;1,0,OFFSET($A$134,0,2+13*INT(((21-'Assumption Setting'!$E$106)-1)/12)+MOD((21-'Assumption Setting'!$E$106)-1,12)))</f>
        <v>1.22352356861563</v>
      </c>
      <c r="Y135" s="93" t="n">
        <f aca="true">X135+Y134-IF((22-'Assumption Setting'!$E$106)&lt;1,0,OFFSET($A$134,0,2+13*INT(((22-'Assumption Setting'!$E$106)-1)/12)+MOD((22-'Assumption Setting'!$E$106)-1,12)))</f>
        <v>1.27548421524738</v>
      </c>
      <c r="Z135" s="93" t="n">
        <f aca="true">Y135+Z134-IF((23-'Assumption Setting'!$E$106)&lt;1,0,OFFSET($A$134,0,2+13*INT(((23-'Assumption Setting'!$E$106)-1)/12)+MOD((23-'Assumption Setting'!$E$106)-1,12)))</f>
        <v>1.32744486187914</v>
      </c>
      <c r="AA135" s="93" t="n">
        <f aca="true">Z135+AA134-IF((24-'Assumption Setting'!$E$106)&lt;1,0,OFFSET($A$134,0,2+13*INT(((24-'Assumption Setting'!$E$106)-1)/12)+MOD((24-'Assumption Setting'!$E$106)-1,12)))</f>
        <v>1.37940550851089</v>
      </c>
      <c r="AB135" s="91" t="n">
        <f aca="false">AN135</f>
        <v>2.26823636444086</v>
      </c>
      <c r="AC135" s="93" t="n">
        <f aca="true">AA135+AC134-IF((25-'Assumption Setting'!$E$106)&lt;1,0,OFFSET($A$134,0,2+13*INT(((25-'Assumption Setting'!$E$106)-1)/12)+MOD((25-'Assumption Setting'!$E$106)-1,12)))</f>
        <v>1.43136615514264</v>
      </c>
      <c r="AD135" s="93" t="n">
        <f aca="true">AC135+AD134-IF((26-'Assumption Setting'!$E$106)&lt;1,0,OFFSET($A$134,0,2+13*INT(((26-'Assumption Setting'!$E$106)-1)/12)+MOD((26-'Assumption Setting'!$E$106)-1,12)))</f>
        <v>1.4833268017744</v>
      </c>
      <c r="AE135" s="93" t="n">
        <f aca="true">AD135+AE134-IF((27-'Assumption Setting'!$E$106)&lt;1,0,OFFSET($A$134,0,2+13*INT(((27-'Assumption Setting'!$E$106)-1)/12)+MOD((27-'Assumption Setting'!$E$106)-1,12)))</f>
        <v>1.53932612500541</v>
      </c>
      <c r="AF135" s="93" t="n">
        <f aca="true">AE135+AF134-IF((28-'Assumption Setting'!$E$106)&lt;1,0,OFFSET($A$134,0,2+13*INT(((28-'Assumption Setting'!$E$106)-1)/12)+MOD((28-'Assumption Setting'!$E$106)-1,12)))</f>
        <v>1.62031615160935</v>
      </c>
      <c r="AG135" s="93" t="n">
        <f aca="true">AF135+AG134-IF((29-'Assumption Setting'!$E$106)&lt;1,0,OFFSET($A$134,0,2+13*INT(((29-'Assumption Setting'!$E$106)-1)/12)+MOD((29-'Assumption Setting'!$E$106)-1,12)))</f>
        <v>1.70130617821329</v>
      </c>
      <c r="AH135" s="93" t="n">
        <f aca="true">AG135+AH134-IF((30-'Assumption Setting'!$E$106)&lt;1,0,OFFSET($A$134,0,2+13*INT(((30-'Assumption Setting'!$E$106)-1)/12)+MOD((30-'Assumption Setting'!$E$106)-1,12)))</f>
        <v>1.78229620481723</v>
      </c>
      <c r="AI135" s="93" t="n">
        <f aca="true">AH135+AI134-IF((31-'Assumption Setting'!$E$106)&lt;1,0,OFFSET($A$134,0,2+13*INT(((31-'Assumption Setting'!$E$106)-1)/12)+MOD((31-'Assumption Setting'!$E$106)-1,12)))</f>
        <v>1.86328623142117</v>
      </c>
      <c r="AJ135" s="93" t="n">
        <f aca="true">AI135+AJ134-IF((32-'Assumption Setting'!$E$106)&lt;1,0,OFFSET($A$134,0,2+13*INT(((32-'Assumption Setting'!$E$106)-1)/12)+MOD((32-'Assumption Setting'!$E$106)-1,12)))</f>
        <v>1.94427625802511</v>
      </c>
      <c r="AK135" s="93" t="n">
        <f aca="true">AJ135+AK134-IF((33-'Assumption Setting'!$E$106)&lt;1,0,OFFSET($A$134,0,2+13*INT(((33-'Assumption Setting'!$E$106)-1)/12)+MOD((33-'Assumption Setting'!$E$106)-1,12)))</f>
        <v>2.02526628462905</v>
      </c>
      <c r="AL135" s="93" t="n">
        <f aca="true">AK135+AL134-IF((34-'Assumption Setting'!$E$106)&lt;1,0,OFFSET($A$134,0,2+13*INT(((34-'Assumption Setting'!$E$106)-1)/12)+MOD((34-'Assumption Setting'!$E$106)-1,12)))</f>
        <v>2.10625631123298</v>
      </c>
      <c r="AM135" s="93" t="n">
        <f aca="true">AL135+AM134-IF((35-'Assumption Setting'!$E$106)&lt;1,0,OFFSET($A$134,0,2+13*INT(((35-'Assumption Setting'!$E$106)-1)/12)+MOD((35-'Assumption Setting'!$E$106)-1,12)))</f>
        <v>2.18724633783692</v>
      </c>
      <c r="AN135" s="93" t="n">
        <f aca="true">AM135+AN134-IF((36-'Assumption Setting'!$E$106)&lt;1,0,OFFSET($A$134,0,2+13*INT(((36-'Assumption Setting'!$E$106)-1)/12)+MOD((36-'Assumption Setting'!$E$106)-1,12)))</f>
        <v>2.26823636444086</v>
      </c>
      <c r="AO135" s="91" t="n">
        <f aca="false">BA135</f>
        <v>3.16619569182508</v>
      </c>
      <c r="AP135" s="93" t="n">
        <f aca="true">AN135+AP134-IF((37-'Assumption Setting'!$E$106)&lt;1,0,OFFSET($A$134,0,2+13*INT(((37-'Assumption Setting'!$E$106)-1)/12)+MOD((37-'Assumption Setting'!$E$106)-1,12)))</f>
        <v>2.3492263910448</v>
      </c>
      <c r="AQ135" s="93" t="n">
        <f aca="true">AP135+AQ134-IF((38-'Assumption Setting'!$E$106)&lt;1,0,OFFSET($A$134,0,2+13*INT(((38-'Assumption Setting'!$E$106)-1)/12)+MOD((38-'Assumption Setting'!$E$106)-1,12)))</f>
        <v>2.43021641764874</v>
      </c>
      <c r="AR135" s="93" t="n">
        <f aca="true">AQ135+AR134-IF((39-'Assumption Setting'!$E$106)&lt;1,0,OFFSET($A$134,0,2+13*INT(((39-'Assumption Setting'!$E$106)-1)/12)+MOD((39-'Assumption Setting'!$E$106)-1,12)))</f>
        <v>2.50831184334831</v>
      </c>
      <c r="AS135" s="93" t="n">
        <f aca="true">AR135+AS134-IF((40-'Assumption Setting'!$E$106)&lt;1,0,OFFSET($A$134,0,2+13*INT(((40-'Assumption Setting'!$E$106)-1)/12)+MOD((40-'Assumption Setting'!$E$106)-1,12)))</f>
        <v>2.58141004873462</v>
      </c>
      <c r="AT135" s="93" t="n">
        <f aca="true">AS135+AT134-IF((41-'Assumption Setting'!$E$106)&lt;1,0,OFFSET($A$134,0,2+13*INT(((41-'Assumption Setting'!$E$106)-1)/12)+MOD((41-'Assumption Setting'!$E$106)-1,12)))</f>
        <v>2.65450825412092</v>
      </c>
      <c r="AU135" s="93" t="n">
        <f aca="true">AT135+AU134-IF((42-'Assumption Setting'!$E$106)&lt;1,0,OFFSET($A$134,0,2+13*INT(((42-'Assumption Setting'!$E$106)-1)/12)+MOD((42-'Assumption Setting'!$E$106)-1,12)))</f>
        <v>2.72760645950723</v>
      </c>
      <c r="AV135" s="93" t="n">
        <f aca="true">AU135+AV134-IF((43-'Assumption Setting'!$E$106)&lt;1,0,OFFSET($A$134,0,2+13*INT(((43-'Assumption Setting'!$E$106)-1)/12)+MOD((43-'Assumption Setting'!$E$106)-1,12)))</f>
        <v>2.80070466489354</v>
      </c>
      <c r="AW135" s="93" t="n">
        <f aca="true">AV135+AW134-IF((44-'Assumption Setting'!$E$106)&lt;1,0,OFFSET($A$134,0,2+13*INT(((44-'Assumption Setting'!$E$106)-1)/12)+MOD((44-'Assumption Setting'!$E$106)-1,12)))</f>
        <v>2.87380287027985</v>
      </c>
      <c r="AX135" s="93" t="n">
        <f aca="true">AW135+AX134-IF((45-'Assumption Setting'!$E$106)&lt;1,0,OFFSET($A$134,0,2+13*INT(((45-'Assumption Setting'!$E$106)-1)/12)+MOD((45-'Assumption Setting'!$E$106)-1,12)))</f>
        <v>2.94690107566615</v>
      </c>
      <c r="AY135" s="93" t="n">
        <f aca="true">AX135+AY134-IF((46-'Assumption Setting'!$E$106)&lt;1,0,OFFSET($A$134,0,2+13*INT(((46-'Assumption Setting'!$E$106)-1)/12)+MOD((46-'Assumption Setting'!$E$106)-1,12)))</f>
        <v>3.01999928105246</v>
      </c>
      <c r="AZ135" s="93" t="n">
        <f aca="true">AY135+AZ134-IF((47-'Assumption Setting'!$E$106)&lt;1,0,OFFSET($A$134,0,2+13*INT(((47-'Assumption Setting'!$E$106)-1)/12)+MOD((47-'Assumption Setting'!$E$106)-1,12)))</f>
        <v>3.09309748643877</v>
      </c>
      <c r="BA135" s="93" t="n">
        <f aca="true">AZ135+BA134-IF((48-'Assumption Setting'!$E$106)&lt;1,0,OFFSET($A$134,0,2+13*INT(((48-'Assumption Setting'!$E$106)-1)/12)+MOD((48-'Assumption Setting'!$E$106)-1,12)))</f>
        <v>3.16619569182508</v>
      </c>
      <c r="BB135" s="91" t="n">
        <f aca="false">BN135</f>
        <v>4.09122168788394</v>
      </c>
      <c r="BC135" s="93" t="n">
        <f aca="true">BA135+BC134-IF((49-'Assumption Setting'!$E$106)&lt;1,0,OFFSET($A$134,0,2+13*INT(((49-'Assumption Setting'!$E$106)-1)/12)+MOD((49-'Assumption Setting'!$E$106)-1,12)))</f>
        <v>3.23929389721139</v>
      </c>
      <c r="BD135" s="93" t="n">
        <f aca="true">BC135+BD134-IF((50-'Assumption Setting'!$E$106)&lt;1,0,OFFSET($A$134,0,2+13*INT(((50-'Assumption Setting'!$E$106)-1)/12)+MOD((50-'Assumption Setting'!$E$106)-1,12)))</f>
        <v>3.31239210259769</v>
      </c>
      <c r="BE135" s="93" t="n">
        <f aca="true">BD135+BE134-IF((51-'Assumption Setting'!$E$106)&lt;1,0,OFFSET($A$134,0,2+13*INT(((51-'Assumption Setting'!$E$106)-1)/12)+MOD((51-'Assumption Setting'!$E$106)-1,12)))</f>
        <v>3.38806706501006</v>
      </c>
      <c r="BF135" s="93" t="n">
        <f aca="true">BE135+BF134-IF((52-'Assumption Setting'!$E$106)&lt;1,0,OFFSET($A$134,0,2+13*INT(((52-'Assumption Setting'!$E$106)-1)/12)+MOD((52-'Assumption Setting'!$E$106)-1,12)))</f>
        <v>3.46619535644049</v>
      </c>
      <c r="BG135" s="93" t="n">
        <f aca="true">BF135+BG134-IF((53-'Assumption Setting'!$E$106)&lt;1,0,OFFSET($A$134,0,2+13*INT(((53-'Assumption Setting'!$E$106)-1)/12)+MOD((53-'Assumption Setting'!$E$106)-1,12)))</f>
        <v>3.54432364787092</v>
      </c>
      <c r="BH135" s="93" t="n">
        <f aca="true">BG135+BH134-IF((54-'Assumption Setting'!$E$106)&lt;1,0,OFFSET($A$134,0,2+13*INT(((54-'Assumption Setting'!$E$106)-1)/12)+MOD((54-'Assumption Setting'!$E$106)-1,12)))</f>
        <v>3.62245193930135</v>
      </c>
      <c r="BI135" s="93" t="n">
        <f aca="true">BH135+BI134-IF((55-'Assumption Setting'!$E$106)&lt;1,0,OFFSET($A$134,0,2+13*INT(((55-'Assumption Setting'!$E$106)-1)/12)+MOD((55-'Assumption Setting'!$E$106)-1,12)))</f>
        <v>3.70058023073178</v>
      </c>
      <c r="BJ135" s="93" t="n">
        <f aca="true">BI135+BJ134-IF((56-'Assumption Setting'!$E$106)&lt;1,0,OFFSET($A$134,0,2+13*INT(((56-'Assumption Setting'!$E$106)-1)/12)+MOD((56-'Assumption Setting'!$E$106)-1,12)))</f>
        <v>3.77870852216221</v>
      </c>
      <c r="BK135" s="93" t="n">
        <f aca="true">BJ135+BK134-IF((57-'Assumption Setting'!$E$106)&lt;1,0,OFFSET($A$134,0,2+13*INT(((57-'Assumption Setting'!$E$106)-1)/12)+MOD((57-'Assumption Setting'!$E$106)-1,12)))</f>
        <v>3.85683681359265</v>
      </c>
      <c r="BL135" s="93" t="n">
        <f aca="true">BK135+BL134-IF((58-'Assumption Setting'!$E$106)&lt;1,0,OFFSET($A$134,0,2+13*INT(((58-'Assumption Setting'!$E$106)-1)/12)+MOD((58-'Assumption Setting'!$E$106)-1,12)))</f>
        <v>3.93496510502308</v>
      </c>
      <c r="BM135" s="93" t="n">
        <f aca="true">BL135+BM134-IF((59-'Assumption Setting'!$E$106)&lt;1,0,OFFSET($A$134,0,2+13*INT(((59-'Assumption Setting'!$E$106)-1)/12)+MOD((59-'Assumption Setting'!$E$106)-1,12)))</f>
        <v>4.01309339645351</v>
      </c>
      <c r="BN135" s="93" t="n">
        <f aca="true">BM135+BN134-IF((60-'Assumption Setting'!$E$106)&lt;1,0,OFFSET($A$134,0,2+13*INT(((60-'Assumption Setting'!$E$106)-1)/12)+MOD((60-'Assumption Setting'!$E$106)-1,12)))</f>
        <v>4.09122168788394</v>
      </c>
    </row>
    <row r="136" customFormat="false" ht="15" hidden="false" customHeight="false" outlineLevel="0" collapsed="false">
      <c r="A136" s="12" t="s">
        <v>654</v>
      </c>
      <c r="B136" s="91" t="n">
        <f aca="false">SUM(C136:N136)</f>
        <v>3.05505564723916</v>
      </c>
      <c r="C136" s="92" t="n">
        <f aca="false">IF(1&lt;'Assumption Setting'!$F$107,0,IFERROR(C98*'Assumption Setting'!$C$107/C109,0))+'Assumption Setting'!$C$33*'Assumption Setting'!$C$34</f>
        <v>0.5</v>
      </c>
      <c r="D136" s="92" t="n">
        <f aca="false">IF(2&lt;'Assumption Setting'!$F$107,0,IFERROR(D98*'Assumption Setting'!$C$107/D109,0))+'Assumption Setting'!$C$33*'Assumption Setting'!$C$35</f>
        <v>0.3</v>
      </c>
      <c r="E136" s="92" t="n">
        <f aca="false">IF(3&lt;'Assumption Setting'!$F$107,0,IFERROR(E98*'Assumption Setting'!$C$107/E109,0))+'Assumption Setting'!$C$33*'Assumption Setting'!$C$36</f>
        <v>0.405505564723916</v>
      </c>
      <c r="F136" s="92" t="n">
        <f aca="false">IF(4&lt;'Assumption Setting'!$F$107,0,IFERROR(F98*'Assumption Setting'!$C$107/F109,0))</f>
        <v>0.205505564723916</v>
      </c>
      <c r="G136" s="92" t="n">
        <f aca="false">IF(5&lt;'Assumption Setting'!$F$107,0,IFERROR(G98*'Assumption Setting'!$C$107/G109,0))</f>
        <v>0.205505564723916</v>
      </c>
      <c r="H136" s="92" t="n">
        <f aca="false">IF(6&lt;'Assumption Setting'!$F$107,0,IFERROR(H98*'Assumption Setting'!$C$107/H109,0))</f>
        <v>0.205505564723916</v>
      </c>
      <c r="I136" s="92" t="n">
        <f aca="false">IF(7&lt;'Assumption Setting'!$F$107,0,IFERROR(I98*'Assumption Setting'!$C$107/I109,0))</f>
        <v>0.205505564723916</v>
      </c>
      <c r="J136" s="92" t="n">
        <f aca="false">IF(8&lt;'Assumption Setting'!$F$107,0,IFERROR(J98*'Assumption Setting'!$C$107/J109,0))</f>
        <v>0.205505564723916</v>
      </c>
      <c r="K136" s="92" t="n">
        <f aca="false">IF(9&lt;'Assumption Setting'!$F$107,0,IFERROR(K98*'Assumption Setting'!$C$107/K109,0))</f>
        <v>0.205505564723916</v>
      </c>
      <c r="L136" s="92" t="n">
        <f aca="false">IF(10&lt;'Assumption Setting'!$F$107,0,IFERROR(L98*'Assumption Setting'!$C$107/L109,0))</f>
        <v>0.205505564723916</v>
      </c>
      <c r="M136" s="92" t="n">
        <f aca="false">IF(11&lt;'Assumption Setting'!$F$107,0,IFERROR(M98*'Assumption Setting'!$C$107/M109,0))</f>
        <v>0.205505564723916</v>
      </c>
      <c r="N136" s="92" t="n">
        <f aca="false">IF(12&lt;'Assumption Setting'!$F$107,0,IFERROR(N98*'Assumption Setting'!$C$107/N109,0))</f>
        <v>0.205505564723916</v>
      </c>
      <c r="O136" s="91" t="n">
        <f aca="false">SUM(P136:AA136)</f>
        <v>3.90372587766176</v>
      </c>
      <c r="P136" s="92" t="n">
        <f aca="false">IF(13&lt;'Assumption Setting'!$F$107,0,IFERROR(P98*'Assumption Setting'!$C$107/P109,0))</f>
        <v>0.205505564723916</v>
      </c>
      <c r="Q136" s="92" t="n">
        <f aca="false">IF(14&lt;'Assumption Setting'!$F$107,0,IFERROR(Q98*'Assumption Setting'!$C$107/Q109,0))</f>
        <v>0.226056121196308</v>
      </c>
      <c r="R136" s="92" t="n">
        <f aca="false">IF(15&lt;'Assumption Setting'!$F$107,0,IFERROR(R98*'Assumption Setting'!$C$107/R109,0))</f>
        <v>0.347216419174154</v>
      </c>
      <c r="S136" s="92" t="n">
        <f aca="false">IF(16&lt;'Assumption Setting'!$F$107,0,IFERROR(S98*'Assumption Setting'!$C$107/S109,0))</f>
        <v>0.347216419174154</v>
      </c>
      <c r="T136" s="92" t="n">
        <f aca="false">IF(17&lt;'Assumption Setting'!$F$107,0,IFERROR(T98*'Assumption Setting'!$C$107/T109,0))</f>
        <v>0.347216419174154</v>
      </c>
      <c r="U136" s="92" t="n">
        <f aca="false">IF(18&lt;'Assumption Setting'!$F$107,0,IFERROR(U98*'Assumption Setting'!$C$107/U109,0))</f>
        <v>0.347216419174154</v>
      </c>
      <c r="V136" s="92" t="n">
        <f aca="false">IF(19&lt;'Assumption Setting'!$F$107,0,IFERROR(V98*'Assumption Setting'!$C$107/V109,0))</f>
        <v>0.347216419174154</v>
      </c>
      <c r="W136" s="92" t="n">
        <f aca="false">IF(20&lt;'Assumption Setting'!$F$107,0,IFERROR(W98*'Assumption Setting'!$C$107/W109,0))</f>
        <v>0.347216419174154</v>
      </c>
      <c r="X136" s="92" t="n">
        <f aca="false">IF(21&lt;'Assumption Setting'!$F$107,0,IFERROR(X98*'Assumption Setting'!$C$107/X109,0))</f>
        <v>0.347216419174154</v>
      </c>
      <c r="Y136" s="92" t="n">
        <f aca="false">IF(22&lt;'Assumption Setting'!$F$107,0,IFERROR(Y98*'Assumption Setting'!$C$107/Y109,0))</f>
        <v>0.347216419174154</v>
      </c>
      <c r="Z136" s="92" t="n">
        <f aca="false">IF(23&lt;'Assumption Setting'!$F$107,0,IFERROR(Z98*'Assumption Setting'!$C$107/Z109,0))</f>
        <v>0.347216419174154</v>
      </c>
      <c r="AA136" s="92" t="n">
        <f aca="false">IF(24&lt;'Assumption Setting'!$F$107,0,IFERROR(AA98*'Assumption Setting'!$C$107/AA109,0))</f>
        <v>0.347216419174154</v>
      </c>
      <c r="AB136" s="91" t="n">
        <f aca="false">SUM(AC136:AN136)</f>
        <v>6.40698106648582</v>
      </c>
      <c r="AC136" s="92" t="n">
        <f aca="false">IF(25&lt;'Assumption Setting'!$F$107,0,IFERROR(AC98*'Assumption Setting'!$C$107/AC109,0))</f>
        <v>0.347216419174154</v>
      </c>
      <c r="AD136" s="92" t="n">
        <f aca="false">IF(26&lt;'Assumption Setting'!$F$107,0,IFERROR(AD98*'Assumption Setting'!$C$107/AD109,0))</f>
        <v>0.378781548189986</v>
      </c>
      <c r="AE136" s="92" t="n">
        <f aca="false">IF(27&lt;'Assumption Setting'!$F$107,0,IFERROR(AE98*'Assumption Setting'!$C$107/AE109,0))</f>
        <v>0.568098309912168</v>
      </c>
      <c r="AF136" s="92" t="n">
        <f aca="false">IF(28&lt;'Assumption Setting'!$F$107,0,IFERROR(AF98*'Assumption Setting'!$C$107/AF109,0))</f>
        <v>0.568098309912168</v>
      </c>
      <c r="AG136" s="92" t="n">
        <f aca="false">IF(29&lt;'Assumption Setting'!$F$107,0,IFERROR(AG98*'Assumption Setting'!$C$107/AG109,0))</f>
        <v>0.568098309912168</v>
      </c>
      <c r="AH136" s="92" t="n">
        <f aca="false">IF(30&lt;'Assumption Setting'!$F$107,0,IFERROR(AH98*'Assumption Setting'!$C$107/AH109,0))</f>
        <v>0.568098309912168</v>
      </c>
      <c r="AI136" s="92" t="n">
        <f aca="false">IF(31&lt;'Assumption Setting'!$F$107,0,IFERROR(AI98*'Assumption Setting'!$C$107/AI109,0))</f>
        <v>0.568098309912168</v>
      </c>
      <c r="AJ136" s="92" t="n">
        <f aca="false">IF(32&lt;'Assumption Setting'!$F$107,0,IFERROR(AJ98*'Assumption Setting'!$C$107/AJ109,0))</f>
        <v>0.568098309912168</v>
      </c>
      <c r="AK136" s="92" t="n">
        <f aca="false">IF(33&lt;'Assumption Setting'!$F$107,0,IFERROR(AK98*'Assumption Setting'!$C$107/AK109,0))</f>
        <v>0.568098309912168</v>
      </c>
      <c r="AL136" s="92" t="n">
        <f aca="false">IF(34&lt;'Assumption Setting'!$F$107,0,IFERROR(AL98*'Assumption Setting'!$C$107/AL109,0))</f>
        <v>0.568098309912168</v>
      </c>
      <c r="AM136" s="92" t="n">
        <f aca="false">IF(35&lt;'Assumption Setting'!$F$107,0,IFERROR(AM98*'Assumption Setting'!$C$107/AM109,0))</f>
        <v>0.568098309912168</v>
      </c>
      <c r="AN136" s="92" t="n">
        <f aca="false">IF(36&lt;'Assumption Setting'!$F$107,0,IFERROR(AN98*'Assumption Setting'!$C$107/AN109,0))</f>
        <v>0.568098309912168</v>
      </c>
      <c r="AO136" s="91" t="n">
        <f aca="false">SUM(AP136:BA136)</f>
        <v>8.8344379014856</v>
      </c>
      <c r="AP136" s="92" t="n">
        <f aca="false">IF(37&lt;'Assumption Setting'!$F$107,0,IFERROR(AP98*'Assumption Setting'!$C$107/AP109,0))</f>
        <v>0.568098309912168</v>
      </c>
      <c r="AQ136" s="92" t="n">
        <f aca="false">IF(38&lt;'Assumption Setting'!$F$107,0,IFERROR(AQ98*'Assumption Setting'!$C$107/AQ109,0))</f>
        <v>0.591769072825175</v>
      </c>
      <c r="AR136" s="92" t="n">
        <f aca="false">IF(39&lt;'Assumption Setting'!$F$107,0,IFERROR(AR98*'Assumption Setting'!$C$107/AR109,0))</f>
        <v>0.767457051874825</v>
      </c>
      <c r="AS136" s="92" t="n">
        <f aca="false">IF(40&lt;'Assumption Setting'!$F$107,0,IFERROR(AS98*'Assumption Setting'!$C$107/AS109,0))</f>
        <v>0.767457051874825</v>
      </c>
      <c r="AT136" s="92" t="n">
        <f aca="false">IF(41&lt;'Assumption Setting'!$F$107,0,IFERROR(AT98*'Assumption Setting'!$C$107/AT109,0))</f>
        <v>0.767457051874825</v>
      </c>
      <c r="AU136" s="92" t="n">
        <f aca="false">IF(42&lt;'Assumption Setting'!$F$107,0,IFERROR(AU98*'Assumption Setting'!$C$107/AU109,0))</f>
        <v>0.767457051874825</v>
      </c>
      <c r="AV136" s="92" t="n">
        <f aca="false">IF(43&lt;'Assumption Setting'!$F$107,0,IFERROR(AV98*'Assumption Setting'!$C$107/AV109,0))</f>
        <v>0.767457051874825</v>
      </c>
      <c r="AW136" s="92" t="n">
        <f aca="false">IF(44&lt;'Assumption Setting'!$F$107,0,IFERROR(AW98*'Assumption Setting'!$C$107/AW109,0))</f>
        <v>0.767457051874825</v>
      </c>
      <c r="AX136" s="92" t="n">
        <f aca="false">IF(45&lt;'Assumption Setting'!$F$107,0,IFERROR(AX98*'Assumption Setting'!$C$107/AX109,0))</f>
        <v>0.767457051874825</v>
      </c>
      <c r="AY136" s="92" t="n">
        <f aca="false">IF(46&lt;'Assumption Setting'!$F$107,0,IFERROR(AY98*'Assumption Setting'!$C$107/AY109,0))</f>
        <v>0.767457051874825</v>
      </c>
      <c r="AZ136" s="92" t="n">
        <f aca="false">IF(47&lt;'Assumption Setting'!$F$107,0,IFERROR(AZ98*'Assumption Setting'!$C$107/AZ109,0))</f>
        <v>0.767457051874825</v>
      </c>
      <c r="BA136" s="92" t="n">
        <f aca="false">IF(48&lt;'Assumption Setting'!$F$107,0,IFERROR(BA98*'Assumption Setting'!$C$107/BA109,0))</f>
        <v>0.767457051874825</v>
      </c>
      <c r="BB136" s="91" t="n">
        <f aca="false">SUM(BC136:BN136)</f>
        <v>11.3709544890392</v>
      </c>
      <c r="BC136" s="92" t="n">
        <f aca="false">IF(49&lt;'Assumption Setting'!$F$107,0,IFERROR(BC98*'Assumption Setting'!$C$107/BC109,0))</f>
        <v>0.767457051874825</v>
      </c>
      <c r="BD136" s="92" t="n">
        <f aca="false">IF(50&lt;'Assumption Setting'!$F$107,0,IFERROR(BD98*'Assumption Setting'!$C$107/BD109,0))</f>
        <v>0.798155333949818</v>
      </c>
      <c r="BE136" s="92" t="n">
        <f aca="false">IF(51&lt;'Assumption Setting'!$F$107,0,IFERROR(BE98*'Assumption Setting'!$C$107/BE109,0))</f>
        <v>0.980534210321455</v>
      </c>
      <c r="BF136" s="92" t="n">
        <f aca="false">IF(52&lt;'Assumption Setting'!$F$107,0,IFERROR(BF98*'Assumption Setting'!$C$107/BF109,0))</f>
        <v>0.980534210321455</v>
      </c>
      <c r="BG136" s="92" t="n">
        <f aca="false">IF(53&lt;'Assumption Setting'!$F$107,0,IFERROR(BG98*'Assumption Setting'!$C$107/BG109,0))</f>
        <v>0.980534210321455</v>
      </c>
      <c r="BH136" s="92" t="n">
        <f aca="false">IF(54&lt;'Assumption Setting'!$F$107,0,IFERROR(BH98*'Assumption Setting'!$C$107/BH109,0))</f>
        <v>0.980534210321455</v>
      </c>
      <c r="BI136" s="92" t="n">
        <f aca="false">IF(55&lt;'Assumption Setting'!$F$107,0,IFERROR(BI98*'Assumption Setting'!$C$107/BI109,0))</f>
        <v>0.980534210321455</v>
      </c>
      <c r="BJ136" s="92" t="n">
        <f aca="false">IF(56&lt;'Assumption Setting'!$F$107,0,IFERROR(BJ98*'Assumption Setting'!$C$107/BJ109,0))</f>
        <v>0.980534210321455</v>
      </c>
      <c r="BK136" s="92" t="n">
        <f aca="false">IF(57&lt;'Assumption Setting'!$F$107,0,IFERROR(BK98*'Assumption Setting'!$C$107/BK109,0))</f>
        <v>0.980534210321455</v>
      </c>
      <c r="BL136" s="92" t="n">
        <f aca="false">IF(58&lt;'Assumption Setting'!$F$107,0,IFERROR(BL98*'Assumption Setting'!$C$107/BL109,0))</f>
        <v>0.980534210321455</v>
      </c>
      <c r="BM136" s="92" t="n">
        <f aca="false">IF(59&lt;'Assumption Setting'!$F$107,0,IFERROR(BM98*'Assumption Setting'!$C$107/BM109,0))</f>
        <v>0.980534210321455</v>
      </c>
      <c r="BN136" s="92" t="n">
        <f aca="false">IF(60&lt;'Assumption Setting'!$F$107,0,IFERROR(BN98*'Assumption Setting'!$C$107/BN109,0))</f>
        <v>0.980534210321455</v>
      </c>
    </row>
    <row r="137" customFormat="false" ht="15" hidden="false" customHeight="false" outlineLevel="0" collapsed="false">
      <c r="A137" s="69" t="s">
        <v>655</v>
      </c>
      <c r="B137" s="91" t="n">
        <f aca="false">N137</f>
        <v>3.05505564723916</v>
      </c>
      <c r="C137" s="93" t="n">
        <f aca="false">C136</f>
        <v>0.5</v>
      </c>
      <c r="D137" s="93" t="n">
        <f aca="true">C137+D136-IF((2-'Assumption Setting'!$E$107)&lt;1,0,OFFSET($A$136,0,2+13*INT(((2-'Assumption Setting'!$E$107)-1)/12)+MOD((2-'Assumption Setting'!$E$107)-1,12)))</f>
        <v>0.8</v>
      </c>
      <c r="E137" s="93" t="n">
        <f aca="true">D137+E136-IF((3-'Assumption Setting'!$E$107)&lt;1,0,OFFSET($A$136,0,2+13*INT(((3-'Assumption Setting'!$E$107)-1)/12)+MOD((3-'Assumption Setting'!$E$107)-1,12)))</f>
        <v>1.20550556472392</v>
      </c>
      <c r="F137" s="93" t="n">
        <f aca="true">E137+F136-IF((4-'Assumption Setting'!$E$107)&lt;1,0,OFFSET($A$136,0,2+13*INT(((4-'Assumption Setting'!$E$107)-1)/12)+MOD((4-'Assumption Setting'!$E$107)-1,12)))</f>
        <v>1.41101112944783</v>
      </c>
      <c r="G137" s="93" t="n">
        <f aca="true">F137+G136-IF((5-'Assumption Setting'!$E$107)&lt;1,0,OFFSET($A$136,0,2+13*INT(((5-'Assumption Setting'!$E$107)-1)/12)+MOD((5-'Assumption Setting'!$E$107)-1,12)))</f>
        <v>1.61651669417175</v>
      </c>
      <c r="H137" s="93" t="n">
        <f aca="true">G137+H136-IF((6-'Assumption Setting'!$E$107)&lt;1,0,OFFSET($A$136,0,2+13*INT(((6-'Assumption Setting'!$E$107)-1)/12)+MOD((6-'Assumption Setting'!$E$107)-1,12)))</f>
        <v>1.82202225889566</v>
      </c>
      <c r="I137" s="93" t="n">
        <f aca="true">H137+I136-IF((7-'Assumption Setting'!$E$107)&lt;1,0,OFFSET($A$136,0,2+13*INT(((7-'Assumption Setting'!$E$107)-1)/12)+MOD((7-'Assumption Setting'!$E$107)-1,12)))</f>
        <v>2.02752782361958</v>
      </c>
      <c r="J137" s="93" t="n">
        <f aca="true">I137+J136-IF((8-'Assumption Setting'!$E$107)&lt;1,0,OFFSET($A$136,0,2+13*INT(((8-'Assumption Setting'!$E$107)-1)/12)+MOD((8-'Assumption Setting'!$E$107)-1,12)))</f>
        <v>2.2330333883435</v>
      </c>
      <c r="K137" s="93" t="n">
        <f aca="true">J137+K136-IF((9-'Assumption Setting'!$E$107)&lt;1,0,OFFSET($A$136,0,2+13*INT(((9-'Assumption Setting'!$E$107)-1)/12)+MOD((9-'Assumption Setting'!$E$107)-1,12)))</f>
        <v>2.43853895306741</v>
      </c>
      <c r="L137" s="93" t="n">
        <f aca="true">K137+L136-IF((10-'Assumption Setting'!$E$107)&lt;1,0,OFFSET($A$136,0,2+13*INT(((10-'Assumption Setting'!$E$107)-1)/12)+MOD((10-'Assumption Setting'!$E$107)-1,12)))</f>
        <v>2.64404451779133</v>
      </c>
      <c r="M137" s="93" t="n">
        <f aca="true">L137+M136-IF((11-'Assumption Setting'!$E$107)&lt;1,0,OFFSET($A$136,0,2+13*INT(((11-'Assumption Setting'!$E$107)-1)/12)+MOD((11-'Assumption Setting'!$E$107)-1,12)))</f>
        <v>2.84955008251525</v>
      </c>
      <c r="N137" s="93" t="n">
        <f aca="true">M137+N136-IF((12-'Assumption Setting'!$E$107)&lt;1,0,OFFSET($A$136,0,2+13*INT(((12-'Assumption Setting'!$E$107)-1)/12)+MOD((12-'Assumption Setting'!$E$107)-1,12)))</f>
        <v>3.05505564723916</v>
      </c>
      <c r="O137" s="91" t="n">
        <f aca="false">AA137</f>
        <v>3.90372587766176</v>
      </c>
      <c r="P137" s="93" t="n">
        <f aca="true">N137+P136-IF((13-'Assumption Setting'!$E$107)&lt;1,0,OFFSET($A$136,0,2+13*INT(((13-'Assumption Setting'!$E$107)-1)/12)+MOD((13-'Assumption Setting'!$E$107)-1,12)))</f>
        <v>2.76056121196308</v>
      </c>
      <c r="Q137" s="93" t="n">
        <f aca="true">P137+Q136-IF((14-'Assumption Setting'!$E$107)&lt;1,0,OFFSET($A$136,0,2+13*INT(((14-'Assumption Setting'!$E$107)-1)/12)+MOD((14-'Assumption Setting'!$E$107)-1,12)))</f>
        <v>2.68661733315939</v>
      </c>
      <c r="R137" s="93" t="n">
        <f aca="true">Q137+R136-IF((15-'Assumption Setting'!$E$107)&lt;1,0,OFFSET($A$136,0,2+13*INT(((15-'Assumption Setting'!$E$107)-1)/12)+MOD((15-'Assumption Setting'!$E$107)-1,12)))</f>
        <v>2.62832818760962</v>
      </c>
      <c r="S137" s="93" t="n">
        <f aca="true">R137+S136-IF((16-'Assumption Setting'!$E$107)&lt;1,0,OFFSET($A$136,0,2+13*INT(((16-'Assumption Setting'!$E$107)-1)/12)+MOD((16-'Assumption Setting'!$E$107)-1,12)))</f>
        <v>2.77003904205986</v>
      </c>
      <c r="T137" s="93" t="n">
        <f aca="true">S137+T136-IF((17-'Assumption Setting'!$E$107)&lt;1,0,OFFSET($A$136,0,2+13*INT(((17-'Assumption Setting'!$E$107)-1)/12)+MOD((17-'Assumption Setting'!$E$107)-1,12)))</f>
        <v>2.9117498965101</v>
      </c>
      <c r="U137" s="93" t="n">
        <f aca="true">T137+U136-IF((18-'Assumption Setting'!$E$107)&lt;1,0,OFFSET($A$136,0,2+13*INT(((18-'Assumption Setting'!$E$107)-1)/12)+MOD((18-'Assumption Setting'!$E$107)-1,12)))</f>
        <v>3.05346075096034</v>
      </c>
      <c r="V137" s="93" t="n">
        <f aca="true">U137+V136-IF((19-'Assumption Setting'!$E$107)&lt;1,0,OFFSET($A$136,0,2+13*INT(((19-'Assumption Setting'!$E$107)-1)/12)+MOD((19-'Assumption Setting'!$E$107)-1,12)))</f>
        <v>3.19517160541058</v>
      </c>
      <c r="W137" s="93" t="n">
        <f aca="true">V137+W136-IF((20-'Assumption Setting'!$E$107)&lt;1,0,OFFSET($A$136,0,2+13*INT(((20-'Assumption Setting'!$E$107)-1)/12)+MOD((20-'Assumption Setting'!$E$107)-1,12)))</f>
        <v>3.33688245986081</v>
      </c>
      <c r="X137" s="93" t="n">
        <f aca="true">W137+X136-IF((21-'Assumption Setting'!$E$107)&lt;1,0,OFFSET($A$136,0,2+13*INT(((21-'Assumption Setting'!$E$107)-1)/12)+MOD((21-'Assumption Setting'!$E$107)-1,12)))</f>
        <v>3.47859331431105</v>
      </c>
      <c r="Y137" s="93" t="n">
        <f aca="true">X137+Y136-IF((22-'Assumption Setting'!$E$107)&lt;1,0,OFFSET($A$136,0,2+13*INT(((22-'Assumption Setting'!$E$107)-1)/12)+MOD((22-'Assumption Setting'!$E$107)-1,12)))</f>
        <v>3.62030416876129</v>
      </c>
      <c r="Z137" s="93" t="n">
        <f aca="true">Y137+Z136-IF((23-'Assumption Setting'!$E$107)&lt;1,0,OFFSET($A$136,0,2+13*INT(((23-'Assumption Setting'!$E$107)-1)/12)+MOD((23-'Assumption Setting'!$E$107)-1,12)))</f>
        <v>3.76201502321153</v>
      </c>
      <c r="AA137" s="93" t="n">
        <f aca="true">Z137+AA136-IF((24-'Assumption Setting'!$E$107)&lt;1,0,OFFSET($A$136,0,2+13*INT(((24-'Assumption Setting'!$E$107)-1)/12)+MOD((24-'Assumption Setting'!$E$107)-1,12)))</f>
        <v>3.90372587766176</v>
      </c>
      <c r="AB137" s="91" t="n">
        <f aca="false">AN137</f>
        <v>6.40698106648582</v>
      </c>
      <c r="AC137" s="93" t="n">
        <f aca="true">AA137+AC136-IF((25-'Assumption Setting'!$E$107)&lt;1,0,OFFSET($A$136,0,2+13*INT(((25-'Assumption Setting'!$E$107)-1)/12)+MOD((25-'Assumption Setting'!$E$107)-1,12)))</f>
        <v>4.045436732112</v>
      </c>
      <c r="AD137" s="93" t="n">
        <f aca="true">AC137+AD136-IF((26-'Assumption Setting'!$E$107)&lt;1,0,OFFSET($A$136,0,2+13*INT(((26-'Assumption Setting'!$E$107)-1)/12)+MOD((26-'Assumption Setting'!$E$107)-1,12)))</f>
        <v>4.19816215910568</v>
      </c>
      <c r="AE137" s="93" t="n">
        <f aca="true">AD137+AE136-IF((27-'Assumption Setting'!$E$107)&lt;1,0,OFFSET($A$136,0,2+13*INT(((27-'Assumption Setting'!$E$107)-1)/12)+MOD((27-'Assumption Setting'!$E$107)-1,12)))</f>
        <v>4.41904404984369</v>
      </c>
      <c r="AF137" s="93" t="n">
        <f aca="true">AE137+AF136-IF((28-'Assumption Setting'!$E$107)&lt;1,0,OFFSET($A$136,0,2+13*INT(((28-'Assumption Setting'!$E$107)-1)/12)+MOD((28-'Assumption Setting'!$E$107)-1,12)))</f>
        <v>4.63992594058171</v>
      </c>
      <c r="AG137" s="93" t="n">
        <f aca="true">AF137+AG136-IF((29-'Assumption Setting'!$E$107)&lt;1,0,OFFSET($A$136,0,2+13*INT(((29-'Assumption Setting'!$E$107)-1)/12)+MOD((29-'Assumption Setting'!$E$107)-1,12)))</f>
        <v>4.86080783131972</v>
      </c>
      <c r="AH137" s="93" t="n">
        <f aca="true">AG137+AH136-IF((30-'Assumption Setting'!$E$107)&lt;1,0,OFFSET($A$136,0,2+13*INT(((30-'Assumption Setting'!$E$107)-1)/12)+MOD((30-'Assumption Setting'!$E$107)-1,12)))</f>
        <v>5.08168972205774</v>
      </c>
      <c r="AI137" s="93" t="n">
        <f aca="true">AH137+AI136-IF((31-'Assumption Setting'!$E$107)&lt;1,0,OFFSET($A$136,0,2+13*INT(((31-'Assumption Setting'!$E$107)-1)/12)+MOD((31-'Assumption Setting'!$E$107)-1,12)))</f>
        <v>5.30257161279575</v>
      </c>
      <c r="AJ137" s="93" t="n">
        <f aca="true">AI137+AJ136-IF((32-'Assumption Setting'!$E$107)&lt;1,0,OFFSET($A$136,0,2+13*INT(((32-'Assumption Setting'!$E$107)-1)/12)+MOD((32-'Assumption Setting'!$E$107)-1,12)))</f>
        <v>5.52345350353377</v>
      </c>
      <c r="AK137" s="93" t="n">
        <f aca="true">AJ137+AK136-IF((33-'Assumption Setting'!$E$107)&lt;1,0,OFFSET($A$136,0,2+13*INT(((33-'Assumption Setting'!$E$107)-1)/12)+MOD((33-'Assumption Setting'!$E$107)-1,12)))</f>
        <v>5.74433539427178</v>
      </c>
      <c r="AL137" s="93" t="n">
        <f aca="true">AK137+AL136-IF((34-'Assumption Setting'!$E$107)&lt;1,0,OFFSET($A$136,0,2+13*INT(((34-'Assumption Setting'!$E$107)-1)/12)+MOD((34-'Assumption Setting'!$E$107)-1,12)))</f>
        <v>5.96521728500979</v>
      </c>
      <c r="AM137" s="93" t="n">
        <f aca="true">AL137+AM136-IF((35-'Assumption Setting'!$E$107)&lt;1,0,OFFSET($A$136,0,2+13*INT(((35-'Assumption Setting'!$E$107)-1)/12)+MOD((35-'Assumption Setting'!$E$107)-1,12)))</f>
        <v>6.18609917574781</v>
      </c>
      <c r="AN137" s="93" t="n">
        <f aca="true">AM137+AN136-IF((36-'Assumption Setting'!$E$107)&lt;1,0,OFFSET($A$136,0,2+13*INT(((36-'Assumption Setting'!$E$107)-1)/12)+MOD((36-'Assumption Setting'!$E$107)-1,12)))</f>
        <v>6.40698106648582</v>
      </c>
      <c r="AO137" s="91" t="n">
        <f aca="false">BA137</f>
        <v>8.8344379014856</v>
      </c>
      <c r="AP137" s="93" t="n">
        <f aca="true">AN137+AP136-IF((37-'Assumption Setting'!$E$107)&lt;1,0,OFFSET($A$136,0,2+13*INT(((37-'Assumption Setting'!$E$107)-1)/12)+MOD((37-'Assumption Setting'!$E$107)-1,12)))</f>
        <v>6.62786295722384</v>
      </c>
      <c r="AQ137" s="93" t="n">
        <f aca="true">AP137+AQ136-IF((38-'Assumption Setting'!$E$107)&lt;1,0,OFFSET($A$136,0,2+13*INT(((38-'Assumption Setting'!$E$107)-1)/12)+MOD((38-'Assumption Setting'!$E$107)-1,12)))</f>
        <v>6.84085048185903</v>
      </c>
      <c r="AR137" s="93" t="n">
        <f aca="true">AQ137+AR136-IF((39-'Assumption Setting'!$E$107)&lt;1,0,OFFSET($A$136,0,2+13*INT(((39-'Assumption Setting'!$E$107)-1)/12)+MOD((39-'Assumption Setting'!$E$107)-1,12)))</f>
        <v>7.04020922382168</v>
      </c>
      <c r="AS137" s="93" t="n">
        <f aca="true">AR137+AS136-IF((40-'Assumption Setting'!$E$107)&lt;1,0,OFFSET($A$136,0,2+13*INT(((40-'Assumption Setting'!$E$107)-1)/12)+MOD((40-'Assumption Setting'!$E$107)-1,12)))</f>
        <v>7.23956796578434</v>
      </c>
      <c r="AT137" s="93" t="n">
        <f aca="true">AS137+AT136-IF((41-'Assumption Setting'!$E$107)&lt;1,0,OFFSET($A$136,0,2+13*INT(((41-'Assumption Setting'!$E$107)-1)/12)+MOD((41-'Assumption Setting'!$E$107)-1,12)))</f>
        <v>7.438926707747</v>
      </c>
      <c r="AU137" s="93" t="n">
        <f aca="true">AT137+AU136-IF((42-'Assumption Setting'!$E$107)&lt;1,0,OFFSET($A$136,0,2+13*INT(((42-'Assumption Setting'!$E$107)-1)/12)+MOD((42-'Assumption Setting'!$E$107)-1,12)))</f>
        <v>7.63828544970966</v>
      </c>
      <c r="AV137" s="93" t="n">
        <f aca="true">AU137+AV136-IF((43-'Assumption Setting'!$E$107)&lt;1,0,OFFSET($A$136,0,2+13*INT(((43-'Assumption Setting'!$E$107)-1)/12)+MOD((43-'Assumption Setting'!$E$107)-1,12)))</f>
        <v>7.83764419167231</v>
      </c>
      <c r="AW137" s="93" t="n">
        <f aca="true">AV137+AW136-IF((44-'Assumption Setting'!$E$107)&lt;1,0,OFFSET($A$136,0,2+13*INT(((44-'Assumption Setting'!$E$107)-1)/12)+MOD((44-'Assumption Setting'!$E$107)-1,12)))</f>
        <v>8.03700293363497</v>
      </c>
      <c r="AX137" s="93" t="n">
        <f aca="true">AW137+AX136-IF((45-'Assumption Setting'!$E$107)&lt;1,0,OFFSET($A$136,0,2+13*INT(((45-'Assumption Setting'!$E$107)-1)/12)+MOD((45-'Assumption Setting'!$E$107)-1,12)))</f>
        <v>8.23636167559763</v>
      </c>
      <c r="AY137" s="93" t="n">
        <f aca="true">AX137+AY136-IF((46-'Assumption Setting'!$E$107)&lt;1,0,OFFSET($A$136,0,2+13*INT(((46-'Assumption Setting'!$E$107)-1)/12)+MOD((46-'Assumption Setting'!$E$107)-1,12)))</f>
        <v>8.43572041756028</v>
      </c>
      <c r="AZ137" s="93" t="n">
        <f aca="true">AY137+AZ136-IF((47-'Assumption Setting'!$E$107)&lt;1,0,OFFSET($A$136,0,2+13*INT(((47-'Assumption Setting'!$E$107)-1)/12)+MOD((47-'Assumption Setting'!$E$107)-1,12)))</f>
        <v>8.63507915952294</v>
      </c>
      <c r="BA137" s="93" t="n">
        <f aca="true">AZ137+BA136-IF((48-'Assumption Setting'!$E$107)&lt;1,0,OFFSET($A$136,0,2+13*INT(((48-'Assumption Setting'!$E$107)-1)/12)+MOD((48-'Assumption Setting'!$E$107)-1,12)))</f>
        <v>8.8344379014856</v>
      </c>
      <c r="BB137" s="91" t="n">
        <f aca="false">BN137</f>
        <v>11.3709544890392</v>
      </c>
      <c r="BC137" s="93" t="n">
        <f aca="true">BA137+BC136-IF((49-'Assumption Setting'!$E$107)&lt;1,0,OFFSET($A$136,0,2+13*INT(((49-'Assumption Setting'!$E$107)-1)/12)+MOD((49-'Assumption Setting'!$E$107)-1,12)))</f>
        <v>9.03379664344825</v>
      </c>
      <c r="BD137" s="93" t="n">
        <f aca="true">BC137+BD136-IF((50-'Assumption Setting'!$E$107)&lt;1,0,OFFSET($A$136,0,2+13*INT(((50-'Assumption Setting'!$E$107)-1)/12)+MOD((50-'Assumption Setting'!$E$107)-1,12)))</f>
        <v>9.2401829045729</v>
      </c>
      <c r="BE137" s="93" t="n">
        <f aca="true">BD137+BE136-IF((51-'Assumption Setting'!$E$107)&lt;1,0,OFFSET($A$136,0,2+13*INT(((51-'Assumption Setting'!$E$107)-1)/12)+MOD((51-'Assumption Setting'!$E$107)-1,12)))</f>
        <v>9.45326006301953</v>
      </c>
      <c r="BF137" s="93" t="n">
        <f aca="true">BE137+BF136-IF((52-'Assumption Setting'!$E$107)&lt;1,0,OFFSET($A$136,0,2+13*INT(((52-'Assumption Setting'!$E$107)-1)/12)+MOD((52-'Assumption Setting'!$E$107)-1,12)))</f>
        <v>9.66633722146616</v>
      </c>
      <c r="BG137" s="93" t="n">
        <f aca="true">BF137+BG136-IF((53-'Assumption Setting'!$E$107)&lt;1,0,OFFSET($A$136,0,2+13*INT(((53-'Assumption Setting'!$E$107)-1)/12)+MOD((53-'Assumption Setting'!$E$107)-1,12)))</f>
        <v>9.87941437991279</v>
      </c>
      <c r="BH137" s="93" t="n">
        <f aca="true">BG137+BH136-IF((54-'Assumption Setting'!$E$107)&lt;1,0,OFFSET($A$136,0,2+13*INT(((54-'Assumption Setting'!$E$107)-1)/12)+MOD((54-'Assumption Setting'!$E$107)-1,12)))</f>
        <v>10.0924915383594</v>
      </c>
      <c r="BI137" s="93" t="n">
        <f aca="true">BH137+BI136-IF((55-'Assumption Setting'!$E$107)&lt;1,0,OFFSET($A$136,0,2+13*INT(((55-'Assumption Setting'!$E$107)-1)/12)+MOD((55-'Assumption Setting'!$E$107)-1,12)))</f>
        <v>10.305568696806</v>
      </c>
      <c r="BJ137" s="93" t="n">
        <f aca="true">BI137+BJ136-IF((56-'Assumption Setting'!$E$107)&lt;1,0,OFFSET($A$136,0,2+13*INT(((56-'Assumption Setting'!$E$107)-1)/12)+MOD((56-'Assumption Setting'!$E$107)-1,12)))</f>
        <v>10.5186458552527</v>
      </c>
      <c r="BK137" s="93" t="n">
        <f aca="true">BJ137+BK136-IF((57-'Assumption Setting'!$E$107)&lt;1,0,OFFSET($A$136,0,2+13*INT(((57-'Assumption Setting'!$E$107)-1)/12)+MOD((57-'Assumption Setting'!$E$107)-1,12)))</f>
        <v>10.7317230136993</v>
      </c>
      <c r="BL137" s="93" t="n">
        <f aca="true">BK137+BL136-IF((58-'Assumption Setting'!$E$107)&lt;1,0,OFFSET($A$136,0,2+13*INT(((58-'Assumption Setting'!$E$107)-1)/12)+MOD((58-'Assumption Setting'!$E$107)-1,12)))</f>
        <v>10.9448001721459</v>
      </c>
      <c r="BM137" s="93" t="n">
        <f aca="true">BL137+BM136-IF((59-'Assumption Setting'!$E$107)&lt;1,0,OFFSET($A$136,0,2+13*INT(((59-'Assumption Setting'!$E$107)-1)/12)+MOD((59-'Assumption Setting'!$E$107)-1,12)))</f>
        <v>11.1578773305926</v>
      </c>
      <c r="BN137" s="93" t="n">
        <f aca="true">BM137+BN136-IF((60-'Assumption Setting'!$E$107)&lt;1,0,OFFSET($A$136,0,2+13*INT(((60-'Assumption Setting'!$E$107)-1)/12)+MOD((60-'Assumption Setting'!$E$107)-1,12)))</f>
        <v>11.3709544890392</v>
      </c>
    </row>
    <row r="139" customFormat="false" ht="16.5" hidden="false" customHeight="true" outlineLevel="0" collapsed="false">
      <c r="A139" s="15" t="s">
        <v>656</v>
      </c>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row>
    <row r="140" customFormat="false" ht="15" hidden="false" customHeight="true" outlineLevel="0" collapsed="false">
      <c r="A140" s="26" t="s">
        <v>481</v>
      </c>
      <c r="B140" s="61" t="s">
        <v>81</v>
      </c>
      <c r="C140" s="62" t="s">
        <v>482</v>
      </c>
      <c r="D140" s="62" t="s">
        <v>483</v>
      </c>
      <c r="E140" s="62" t="s">
        <v>484</v>
      </c>
      <c r="F140" s="62" t="s">
        <v>485</v>
      </c>
      <c r="G140" s="62" t="s">
        <v>486</v>
      </c>
      <c r="H140" s="62" t="s">
        <v>487</v>
      </c>
      <c r="I140" s="62" t="s">
        <v>488</v>
      </c>
      <c r="J140" s="62" t="s">
        <v>489</v>
      </c>
      <c r="K140" s="62" t="s">
        <v>490</v>
      </c>
      <c r="L140" s="62" t="s">
        <v>491</v>
      </c>
      <c r="M140" s="62" t="s">
        <v>492</v>
      </c>
      <c r="N140" s="62" t="s">
        <v>493</v>
      </c>
      <c r="O140" s="61" t="s">
        <v>82</v>
      </c>
      <c r="P140" s="63" t="s">
        <v>494</v>
      </c>
      <c r="Q140" s="63" t="s">
        <v>495</v>
      </c>
      <c r="R140" s="63" t="s">
        <v>496</v>
      </c>
      <c r="S140" s="63" t="s">
        <v>497</v>
      </c>
      <c r="T140" s="63" t="s">
        <v>498</v>
      </c>
      <c r="U140" s="63" t="s">
        <v>499</v>
      </c>
      <c r="V140" s="63" t="s">
        <v>500</v>
      </c>
      <c r="W140" s="63" t="s">
        <v>501</v>
      </c>
      <c r="X140" s="63" t="s">
        <v>502</v>
      </c>
      <c r="Y140" s="63" t="s">
        <v>503</v>
      </c>
      <c r="Z140" s="63" t="s">
        <v>504</v>
      </c>
      <c r="AA140" s="63" t="s">
        <v>505</v>
      </c>
      <c r="AB140" s="61" t="s">
        <v>83</v>
      </c>
      <c r="AC140" s="62" t="s">
        <v>506</v>
      </c>
      <c r="AD140" s="62" t="s">
        <v>507</v>
      </c>
      <c r="AE140" s="62" t="s">
        <v>508</v>
      </c>
      <c r="AF140" s="62" t="s">
        <v>509</v>
      </c>
      <c r="AG140" s="62" t="s">
        <v>510</v>
      </c>
      <c r="AH140" s="62" t="s">
        <v>511</v>
      </c>
      <c r="AI140" s="62" t="s">
        <v>512</v>
      </c>
      <c r="AJ140" s="62" t="s">
        <v>513</v>
      </c>
      <c r="AK140" s="62" t="s">
        <v>514</v>
      </c>
      <c r="AL140" s="62" t="s">
        <v>515</v>
      </c>
      <c r="AM140" s="62" t="s">
        <v>516</v>
      </c>
      <c r="AN140" s="62" t="s">
        <v>517</v>
      </c>
      <c r="AO140" s="61" t="s">
        <v>84</v>
      </c>
      <c r="AP140" s="63" t="s">
        <v>518</v>
      </c>
      <c r="AQ140" s="63" t="s">
        <v>519</v>
      </c>
      <c r="AR140" s="63" t="s">
        <v>520</v>
      </c>
      <c r="AS140" s="63" t="s">
        <v>521</v>
      </c>
      <c r="AT140" s="63" t="s">
        <v>522</v>
      </c>
      <c r="AU140" s="63" t="s">
        <v>523</v>
      </c>
      <c r="AV140" s="63" t="s">
        <v>524</v>
      </c>
      <c r="AW140" s="63" t="s">
        <v>525</v>
      </c>
      <c r="AX140" s="63" t="s">
        <v>526</v>
      </c>
      <c r="AY140" s="63" t="s">
        <v>527</v>
      </c>
      <c r="AZ140" s="63" t="s">
        <v>528</v>
      </c>
      <c r="BA140" s="63" t="s">
        <v>529</v>
      </c>
      <c r="BB140" s="61" t="s">
        <v>85</v>
      </c>
      <c r="BC140" s="62" t="s">
        <v>530</v>
      </c>
      <c r="BD140" s="62" t="s">
        <v>531</v>
      </c>
      <c r="BE140" s="62" t="s">
        <v>532</v>
      </c>
      <c r="BF140" s="62" t="s">
        <v>533</v>
      </c>
      <c r="BG140" s="62" t="s">
        <v>534</v>
      </c>
      <c r="BH140" s="62" t="s">
        <v>535</v>
      </c>
      <c r="BI140" s="62" t="s">
        <v>536</v>
      </c>
      <c r="BJ140" s="62" t="s">
        <v>537</v>
      </c>
      <c r="BK140" s="62" t="s">
        <v>538</v>
      </c>
      <c r="BL140" s="62" t="s">
        <v>539</v>
      </c>
      <c r="BM140" s="62" t="s">
        <v>540</v>
      </c>
      <c r="BN140" s="62" t="s">
        <v>541</v>
      </c>
    </row>
    <row r="141" customFormat="false" ht="15" hidden="false" customHeight="false" outlineLevel="0" collapsed="false">
      <c r="A141" s="12" t="s">
        <v>657</v>
      </c>
      <c r="B141" s="78" t="n">
        <f aca="false">SUM(C141:N141)</f>
        <v>523.513563658272</v>
      </c>
      <c r="C141" s="79" t="n">
        <f aca="false">('Revenue Streams'!C$7+'Revenue Streams'!C$8)*'Assumption Setting'!$C$141+('Revenue Streams'!C$10+'Revenue Streams'!C$12)*'Assumption Setting'!$C$142</f>
        <v>15.8333333333333</v>
      </c>
      <c r="D141" s="79" t="n">
        <f aca="false">('Revenue Streams'!D$7+'Revenue Streams'!D$8)*'Assumption Setting'!$C$141+('Revenue Streams'!D$10+'Revenue Streams'!D$12)*'Assumption Setting'!$C$142</f>
        <v>25.3333333333333</v>
      </c>
      <c r="E141" s="79" t="n">
        <f aca="false">('Revenue Streams'!E$7+'Revenue Streams'!E$8)*'Assumption Setting'!$C$141+('Revenue Streams'!E$10+'Revenue Streams'!E$12)*'Assumption Setting'!$C$142</f>
        <v>31.6666666666667</v>
      </c>
      <c r="F141" s="79" t="n">
        <f aca="false">('Revenue Streams'!F$7+'Revenue Streams'!F$8)*'Assumption Setting'!$C$141+('Revenue Streams'!F$10+'Revenue Streams'!F$12)*'Assumption Setting'!$C$142</f>
        <v>35.3484495627764</v>
      </c>
      <c r="G141" s="79" t="n">
        <f aca="false">('Revenue Streams'!G$7+'Revenue Streams'!G$8)*'Assumption Setting'!$C$141+('Revenue Streams'!G$10+'Revenue Streams'!G$12)*'Assumption Setting'!$C$142</f>
        <v>39.0302324588862</v>
      </c>
      <c r="H141" s="79" t="n">
        <f aca="false">('Revenue Streams'!H$7+'Revenue Streams'!H$8)*'Assumption Setting'!$C$141+('Revenue Streams'!H$10+'Revenue Streams'!H$12)*'Assumption Setting'!$C$142</f>
        <v>42.7120153549959</v>
      </c>
      <c r="I141" s="79" t="n">
        <f aca="false">('Revenue Streams'!I$7+'Revenue Streams'!I$8)*'Assumption Setting'!$C$141+('Revenue Streams'!I$10+'Revenue Streams'!I$12)*'Assumption Setting'!$C$142</f>
        <v>46.3937982511057</v>
      </c>
      <c r="J141" s="79" t="n">
        <f aca="false">('Revenue Streams'!J$7+'Revenue Streams'!J$8)*'Assumption Setting'!$C$141+('Revenue Streams'!J$10+'Revenue Streams'!J$12)*'Assumption Setting'!$C$142</f>
        <v>50.0755811472155</v>
      </c>
      <c r="K141" s="79" t="n">
        <f aca="false">('Revenue Streams'!K$7+'Revenue Streams'!K$8)*'Assumption Setting'!$C$141+('Revenue Streams'!K$10+'Revenue Streams'!K$12)*'Assumption Setting'!$C$142</f>
        <v>53.7573640433252</v>
      </c>
      <c r="L141" s="79" t="n">
        <f aca="false">('Revenue Streams'!L$7+'Revenue Streams'!L$8)*'Assumption Setting'!$C$141+('Revenue Streams'!L$10+'Revenue Streams'!L$12)*'Assumption Setting'!$C$142</f>
        <v>57.439146939435</v>
      </c>
      <c r="M141" s="79" t="n">
        <f aca="false">('Revenue Streams'!M$7+'Revenue Streams'!M$8)*'Assumption Setting'!$C$141+('Revenue Streams'!M$10+'Revenue Streams'!M$12)*'Assumption Setting'!$C$142</f>
        <v>61.1209298355447</v>
      </c>
      <c r="N141" s="79" t="n">
        <f aca="false">('Revenue Streams'!N$7+'Revenue Streams'!N$8)*'Assumption Setting'!$C$141+('Revenue Streams'!N$10+'Revenue Streams'!N$12)*'Assumption Setting'!$C$142</f>
        <v>64.8027127316545</v>
      </c>
      <c r="O141" s="78" t="n">
        <f aca="false">SUM(P141:AA141)</f>
        <v>1734.81121699702</v>
      </c>
      <c r="P141" s="79" t="n">
        <f aca="false">('Revenue Streams'!P$7+'Revenue Streams'!P$8)*'Assumption Setting'!$C$141+('Revenue Streams'!P$10+'Revenue Streams'!P$12)*'Assumption Setting'!$C$142</f>
        <v>138.555690248502</v>
      </c>
      <c r="Q141" s="79" t="n">
        <f aca="false">('Revenue Streams'!Q$7+'Revenue Streams'!Q$8)*'Assumption Setting'!$C$141+('Revenue Streams'!Q$10+'Revenue Streams'!Q$12)*'Assumption Setting'!$C$142</f>
        <v>123.244592606686</v>
      </c>
      <c r="R141" s="79" t="n">
        <f aca="false">('Revenue Streams'!R$7+'Revenue Streams'!R$8)*'Assumption Setting'!$C$141+('Revenue Streams'!R$10+'Revenue Streams'!R$12)*'Assumption Setting'!$C$142</f>
        <v>117.235718534021</v>
      </c>
      <c r="S141" s="79" t="n">
        <f aca="false">('Revenue Streams'!S$7+'Revenue Streams'!S$8)*'Assumption Setting'!$C$141+('Revenue Streams'!S$10+'Revenue Streams'!S$12)*'Assumption Setting'!$C$142</f>
        <v>123.916912951835</v>
      </c>
      <c r="T141" s="79" t="n">
        <f aca="false">('Revenue Streams'!T$7+'Revenue Streams'!T$8)*'Assumption Setting'!$C$141+('Revenue Streams'!T$10+'Revenue Streams'!T$12)*'Assumption Setting'!$C$142</f>
        <v>130.598107369649</v>
      </c>
      <c r="U141" s="79" t="n">
        <f aca="false">('Revenue Streams'!U$7+'Revenue Streams'!U$8)*'Assumption Setting'!$C$141+('Revenue Streams'!U$10+'Revenue Streams'!U$12)*'Assumption Setting'!$C$142</f>
        <v>137.279301787463</v>
      </c>
      <c r="V141" s="79" t="n">
        <f aca="false">('Revenue Streams'!V$7+'Revenue Streams'!V$8)*'Assumption Setting'!$C$141+('Revenue Streams'!V$10+'Revenue Streams'!V$12)*'Assumption Setting'!$C$142</f>
        <v>143.960496205277</v>
      </c>
      <c r="W141" s="79" t="n">
        <f aca="false">('Revenue Streams'!W$7+'Revenue Streams'!W$8)*'Assumption Setting'!$C$141+('Revenue Streams'!W$10+'Revenue Streams'!W$12)*'Assumption Setting'!$C$142</f>
        <v>150.641690623091</v>
      </c>
      <c r="X141" s="79" t="n">
        <f aca="false">('Revenue Streams'!X$7+'Revenue Streams'!X$8)*'Assumption Setting'!$C$141+('Revenue Streams'!X$10+'Revenue Streams'!X$12)*'Assumption Setting'!$C$142</f>
        <v>157.322885040904</v>
      </c>
      <c r="Y141" s="79" t="n">
        <f aca="false">('Revenue Streams'!Y$7+'Revenue Streams'!Y$8)*'Assumption Setting'!$C$141+('Revenue Streams'!Y$10+'Revenue Streams'!Y$12)*'Assumption Setting'!$C$142</f>
        <v>164.004079458718</v>
      </c>
      <c r="Z141" s="79" t="n">
        <f aca="false">('Revenue Streams'!Z$7+'Revenue Streams'!Z$8)*'Assumption Setting'!$C$141+('Revenue Streams'!Z$10+'Revenue Streams'!Z$12)*'Assumption Setting'!$C$142</f>
        <v>170.685273876532</v>
      </c>
      <c r="AA141" s="79" t="n">
        <f aca="false">('Revenue Streams'!AA$7+'Revenue Streams'!AA$8)*'Assumption Setting'!$C$141+('Revenue Streams'!AA$10+'Revenue Streams'!AA$12)*'Assumption Setting'!$C$142</f>
        <v>177.366468294346</v>
      </c>
      <c r="AB141" s="78" t="n">
        <f aca="false">SUM(AC141:AN141)</f>
        <v>2822.69305851159</v>
      </c>
      <c r="AC141" s="79" t="n">
        <f aca="false">('Revenue Streams'!AC$7+'Revenue Streams'!AC$8)*'Assumption Setting'!$C$141+('Revenue Streams'!AC$10+'Revenue Streams'!AC$12)*'Assumption Setting'!$C$142</f>
        <v>184.04766271216</v>
      </c>
      <c r="AD141" s="79" t="n">
        <f aca="false">('Revenue Streams'!AD$7+'Revenue Streams'!AD$8)*'Assumption Setting'!$C$141+('Revenue Streams'!AD$10+'Revenue Streams'!AD$12)*'Assumption Setting'!$C$142</f>
        <v>190.728857129974</v>
      </c>
      <c r="AE141" s="79" t="n">
        <f aca="false">('Revenue Streams'!AE$7+'Revenue Streams'!AE$8)*'Assumption Setting'!$C$141+('Revenue Streams'!AE$10+'Revenue Streams'!AE$12)*'Assumption Setting'!$C$142</f>
        <v>197.929351927969</v>
      </c>
      <c r="AF141" s="79" t="n">
        <f aca="false">('Revenue Streams'!AF$7+'Revenue Streams'!AF$8)*'Assumption Setting'!$C$141+('Revenue Streams'!AF$10+'Revenue Streams'!AF$12)*'Assumption Setting'!$C$142</f>
        <v>208.343196803297</v>
      </c>
      <c r="AG141" s="79" t="n">
        <f aca="false">('Revenue Streams'!AG$7+'Revenue Streams'!AG$8)*'Assumption Setting'!$C$141+('Revenue Streams'!AG$10+'Revenue Streams'!AG$12)*'Assumption Setting'!$C$142</f>
        <v>218.757041678626</v>
      </c>
      <c r="AH141" s="79" t="n">
        <f aca="false">('Revenue Streams'!AH$7+'Revenue Streams'!AH$8)*'Assumption Setting'!$C$141+('Revenue Streams'!AH$10+'Revenue Streams'!AH$12)*'Assumption Setting'!$C$142</f>
        <v>229.170886553954</v>
      </c>
      <c r="AI141" s="79" t="n">
        <f aca="false">('Revenue Streams'!AI$7+'Revenue Streams'!AI$8)*'Assumption Setting'!$C$141+('Revenue Streams'!AI$10+'Revenue Streams'!AI$12)*'Assumption Setting'!$C$142</f>
        <v>239.584731429282</v>
      </c>
      <c r="AJ141" s="79" t="n">
        <f aca="false">('Revenue Streams'!AJ$7+'Revenue Streams'!AJ$8)*'Assumption Setting'!$C$141+('Revenue Streams'!AJ$10+'Revenue Streams'!AJ$12)*'Assumption Setting'!$C$142</f>
        <v>249.99857630461</v>
      </c>
      <c r="AK141" s="79" t="n">
        <f aca="false">('Revenue Streams'!AK$7+'Revenue Streams'!AK$8)*'Assumption Setting'!$C$141+('Revenue Streams'!AK$10+'Revenue Streams'!AK$12)*'Assumption Setting'!$C$142</f>
        <v>260.412421179938</v>
      </c>
      <c r="AL141" s="79" t="n">
        <f aca="false">('Revenue Streams'!AL$7+'Revenue Streams'!AL$8)*'Assumption Setting'!$C$141+('Revenue Streams'!AL$10+'Revenue Streams'!AL$12)*'Assumption Setting'!$C$142</f>
        <v>270.826266055267</v>
      </c>
      <c r="AM141" s="79" t="n">
        <f aca="false">('Revenue Streams'!AM$7+'Revenue Streams'!AM$8)*'Assumption Setting'!$C$141+('Revenue Streams'!AM$10+'Revenue Streams'!AM$12)*'Assumption Setting'!$C$142</f>
        <v>281.240110930595</v>
      </c>
      <c r="AN141" s="79" t="n">
        <f aca="false">('Revenue Streams'!AN$7+'Revenue Streams'!AN$8)*'Assumption Setting'!$C$141+('Revenue Streams'!AN$10+'Revenue Streams'!AN$12)*'Assumption Setting'!$C$142</f>
        <v>291.653955805923</v>
      </c>
      <c r="AO141" s="78" t="n">
        <f aca="false">SUM(AP141:BA141)</f>
        <v>4262.74192703294</v>
      </c>
      <c r="AP141" s="79" t="n">
        <f aca="false">('Revenue Streams'!AP$7+'Revenue Streams'!AP$8)*'Assumption Setting'!$C$141+('Revenue Streams'!AP$10+'Revenue Streams'!AP$12)*'Assumption Setting'!$C$142</f>
        <v>302.067800681251</v>
      </c>
      <c r="AQ141" s="79" t="n">
        <f aca="false">('Revenue Streams'!AQ$7+'Revenue Streams'!AQ$8)*'Assumption Setting'!$C$141+('Revenue Streams'!AQ$10+'Revenue Streams'!AQ$12)*'Assumption Setting'!$C$142</f>
        <v>312.48164555658</v>
      </c>
      <c r="AR141" s="79" t="n">
        <f aca="false">('Revenue Streams'!AR$7+'Revenue Streams'!AR$8)*'Assumption Setting'!$C$141+('Revenue Streams'!AR$10+'Revenue Streams'!AR$12)*'Assumption Setting'!$C$142</f>
        <v>322.523297384713</v>
      </c>
      <c r="AS141" s="79" t="n">
        <f aca="false">('Revenue Streams'!AS$7+'Revenue Streams'!AS$8)*'Assumption Setting'!$C$141+('Revenue Streams'!AS$10+'Revenue Streams'!AS$12)*'Assumption Setting'!$C$142</f>
        <v>331.922397539113</v>
      </c>
      <c r="AT141" s="79" t="n">
        <f aca="false">('Revenue Streams'!AT$7+'Revenue Streams'!AT$8)*'Assumption Setting'!$C$141+('Revenue Streams'!AT$10+'Revenue Streams'!AT$12)*'Assumption Setting'!$C$142</f>
        <v>341.321497693512</v>
      </c>
      <c r="AU141" s="79" t="n">
        <f aca="false">('Revenue Streams'!AU$7+'Revenue Streams'!AU$8)*'Assumption Setting'!$C$141+('Revenue Streams'!AU$10+'Revenue Streams'!AU$12)*'Assumption Setting'!$C$142</f>
        <v>350.720597847912</v>
      </c>
      <c r="AV141" s="79" t="n">
        <f aca="false">('Revenue Streams'!AV$7+'Revenue Streams'!AV$8)*'Assumption Setting'!$C$141+('Revenue Streams'!AV$10+'Revenue Streams'!AV$12)*'Assumption Setting'!$C$142</f>
        <v>360.119698002311</v>
      </c>
      <c r="AW141" s="79" t="n">
        <f aca="false">('Revenue Streams'!AW$7+'Revenue Streams'!AW$8)*'Assumption Setting'!$C$141+('Revenue Streams'!AW$10+'Revenue Streams'!AW$12)*'Assumption Setting'!$C$142</f>
        <v>369.51879815671</v>
      </c>
      <c r="AX141" s="79" t="n">
        <f aca="false">('Revenue Streams'!AX$7+'Revenue Streams'!AX$8)*'Assumption Setting'!$C$141+('Revenue Streams'!AX$10+'Revenue Streams'!AX$12)*'Assumption Setting'!$C$142</f>
        <v>378.91789831111</v>
      </c>
      <c r="AY141" s="79" t="n">
        <f aca="false">('Revenue Streams'!AY$7+'Revenue Streams'!AY$8)*'Assumption Setting'!$C$141+('Revenue Streams'!AY$10+'Revenue Streams'!AY$12)*'Assumption Setting'!$C$142</f>
        <v>388.316998465509</v>
      </c>
      <c r="AZ141" s="79" t="n">
        <f aca="false">('Revenue Streams'!AZ$7+'Revenue Streams'!AZ$8)*'Assumption Setting'!$C$141+('Revenue Streams'!AZ$10+'Revenue Streams'!AZ$12)*'Assumption Setting'!$C$142</f>
        <v>397.716098619909</v>
      </c>
      <c r="BA141" s="79" t="n">
        <f aca="false">('Revenue Streams'!BA$7+'Revenue Streams'!BA$8)*'Assumption Setting'!$C$141+('Revenue Streams'!BA$10+'Revenue Streams'!BA$12)*'Assumption Setting'!$C$142</f>
        <v>407.115198774308</v>
      </c>
      <c r="BB141" s="78" t="n">
        <f aca="false">SUM(BC141:BN141)</f>
        <v>5650.93043078149</v>
      </c>
      <c r="BC141" s="79" t="n">
        <f aca="false">('Revenue Streams'!BC$7+'Revenue Streams'!BC$8)*'Assumption Setting'!$C$141+('Revenue Streams'!BC$10+'Revenue Streams'!BC$12)*'Assumption Setting'!$C$142</f>
        <v>416.514298928708</v>
      </c>
      <c r="BD141" s="79" t="n">
        <f aca="false">('Revenue Streams'!BD$7+'Revenue Streams'!BD$8)*'Assumption Setting'!$C$141+('Revenue Streams'!BD$10+'Revenue Streams'!BD$12)*'Assumption Setting'!$C$142</f>
        <v>425.913399083107</v>
      </c>
      <c r="BE141" s="79" t="n">
        <f aca="false">('Revenue Streams'!BE$7+'Revenue Streams'!BE$8)*'Assumption Setting'!$C$141+('Revenue Streams'!BE$10+'Revenue Streams'!BE$12)*'Assumption Setting'!$C$142</f>
        <v>435.64382334093</v>
      </c>
      <c r="BF141" s="79" t="n">
        <f aca="false">('Revenue Streams'!BF$7+'Revenue Streams'!BF$8)*'Assumption Setting'!$C$141+('Revenue Streams'!BF$10+'Revenue Streams'!BF$12)*'Assumption Setting'!$C$142</f>
        <v>445.689701104494</v>
      </c>
      <c r="BG141" s="79" t="n">
        <f aca="false">('Revenue Streams'!BG$7+'Revenue Streams'!BG$8)*'Assumption Setting'!$C$141+('Revenue Streams'!BG$10+'Revenue Streams'!BG$12)*'Assumption Setting'!$C$142</f>
        <v>455.735578868058</v>
      </c>
      <c r="BH141" s="79" t="n">
        <f aca="false">('Revenue Streams'!BH$7+'Revenue Streams'!BH$8)*'Assumption Setting'!$C$141+('Revenue Streams'!BH$10+'Revenue Streams'!BH$12)*'Assumption Setting'!$C$142</f>
        <v>465.781456631621</v>
      </c>
      <c r="BI141" s="79" t="n">
        <f aca="false">('Revenue Streams'!BI$7+'Revenue Streams'!BI$8)*'Assumption Setting'!$C$141+('Revenue Streams'!BI$10+'Revenue Streams'!BI$12)*'Assumption Setting'!$C$142</f>
        <v>475.827334395185</v>
      </c>
      <c r="BJ141" s="79" t="n">
        <f aca="false">('Revenue Streams'!BJ$7+'Revenue Streams'!BJ$8)*'Assumption Setting'!$C$141+('Revenue Streams'!BJ$10+'Revenue Streams'!BJ$12)*'Assumption Setting'!$C$142</f>
        <v>485.873212158749</v>
      </c>
      <c r="BK141" s="79" t="n">
        <f aca="false">('Revenue Streams'!BK$7+'Revenue Streams'!BK$8)*'Assumption Setting'!$C$141+('Revenue Streams'!BK$10+'Revenue Streams'!BK$12)*'Assumption Setting'!$C$142</f>
        <v>495.919089922313</v>
      </c>
      <c r="BL141" s="79" t="n">
        <f aca="false">('Revenue Streams'!BL$7+'Revenue Streams'!BL$8)*'Assumption Setting'!$C$141+('Revenue Streams'!BL$10+'Revenue Streams'!BL$12)*'Assumption Setting'!$C$142</f>
        <v>505.964967685876</v>
      </c>
      <c r="BM141" s="79" t="n">
        <f aca="false">('Revenue Streams'!BM$7+'Revenue Streams'!BM$8)*'Assumption Setting'!$C$141+('Revenue Streams'!BM$10+'Revenue Streams'!BM$12)*'Assumption Setting'!$C$142</f>
        <v>516.01084544944</v>
      </c>
      <c r="BN141" s="79" t="n">
        <f aca="false">('Revenue Streams'!BN$7+'Revenue Streams'!BN$8)*'Assumption Setting'!$C$141+('Revenue Streams'!BN$10+'Revenue Streams'!BN$12)*'Assumption Setting'!$C$142</f>
        <v>526.056723213004</v>
      </c>
    </row>
    <row r="142" customFormat="false" ht="15" hidden="false" customHeight="false" outlineLevel="0" collapsed="false">
      <c r="A142" s="12" t="s">
        <v>658</v>
      </c>
      <c r="B142" s="78" t="n">
        <f aca="false">SUM(C142:N142)</f>
        <v>648.159386379947</v>
      </c>
      <c r="C142" s="79" t="n">
        <f aca="false">('Revenue Streams'!C$20+'Revenue Streams'!C$16)*'Assumption Setting'!$C$143</f>
        <v>400</v>
      </c>
      <c r="D142" s="79" t="n">
        <f aca="false">('Revenue Streams'!D$20+'Revenue Streams'!D$16)*'Assumption Setting'!$C$143</f>
        <v>0</v>
      </c>
      <c r="E142" s="79" t="n">
        <f aca="false">('Revenue Streams'!E$20+'Revenue Streams'!E$16)*'Assumption Setting'!$C$143</f>
        <v>4.51198884327176</v>
      </c>
      <c r="F142" s="79" t="n">
        <f aca="false">('Revenue Streams'!F$20+'Revenue Streams'!F$16)*'Assumption Setting'!$C$143</f>
        <v>9.02397768654351</v>
      </c>
      <c r="G142" s="79" t="n">
        <f aca="false">('Revenue Streams'!G$20+'Revenue Streams'!G$16)*'Assumption Setting'!$C$143</f>
        <v>13.5359665298153</v>
      </c>
      <c r="H142" s="79" t="n">
        <f aca="false">('Revenue Streams'!H$20+'Revenue Streams'!H$16)*'Assumption Setting'!$C$143</f>
        <v>18.047955373087</v>
      </c>
      <c r="I142" s="79" t="n">
        <f aca="false">('Revenue Streams'!I$20+'Revenue Streams'!I$16)*'Assumption Setting'!$C$143</f>
        <v>22.5599442163588</v>
      </c>
      <c r="J142" s="79" t="n">
        <f aca="false">('Revenue Streams'!J$20+'Revenue Streams'!J$16)*'Assumption Setting'!$C$143</f>
        <v>27.0719330596306</v>
      </c>
      <c r="K142" s="79" t="n">
        <f aca="false">('Revenue Streams'!K$20+'Revenue Streams'!K$16)*'Assumption Setting'!$C$143</f>
        <v>31.5839219029023</v>
      </c>
      <c r="L142" s="79" t="n">
        <f aca="false">('Revenue Streams'!L$20+'Revenue Streams'!L$16)*'Assumption Setting'!$C$143</f>
        <v>36.0959107461741</v>
      </c>
      <c r="M142" s="79" t="n">
        <f aca="false">('Revenue Streams'!M$20+'Revenue Streams'!M$16)*'Assumption Setting'!$C$143</f>
        <v>40.6078995894458</v>
      </c>
      <c r="N142" s="79" t="n">
        <f aca="false">('Revenue Streams'!N$20+'Revenue Streams'!N$16)*'Assumption Setting'!$C$143</f>
        <v>45.1198884327176</v>
      </c>
      <c r="O142" s="78" t="n">
        <f aca="false">SUM(P142:AA142)</f>
        <v>2161.31926812992</v>
      </c>
      <c r="P142" s="79" t="n">
        <f aca="false">('Revenue Streams'!P$20+'Revenue Streams'!P$16)*'Assumption Setting'!$C$143</f>
        <v>130.610203357867</v>
      </c>
      <c r="Q142" s="79" t="n">
        <f aca="false">('Revenue Streams'!Q$20+'Revenue Streams'!Q$16)*'Assumption Setting'!$C$143</f>
        <v>143.671223693653</v>
      </c>
      <c r="R142" s="79" t="n">
        <f aca="false">('Revenue Streams'!R$20+'Revenue Streams'!R$16)*'Assumption Setting'!$C$143</f>
        <v>151.858961950778</v>
      </c>
      <c r="S142" s="79" t="n">
        <f aca="false">('Revenue Streams'!S$20+'Revenue Streams'!S$16)*'Assumption Setting'!$C$143</f>
        <v>160.046700207903</v>
      </c>
      <c r="T142" s="79" t="n">
        <f aca="false">('Revenue Streams'!T$20+'Revenue Streams'!T$16)*'Assumption Setting'!$C$143</f>
        <v>168.234438465028</v>
      </c>
      <c r="U142" s="79" t="n">
        <f aca="false">('Revenue Streams'!U$20+'Revenue Streams'!U$16)*'Assumption Setting'!$C$143</f>
        <v>176.422176722153</v>
      </c>
      <c r="V142" s="79" t="n">
        <f aca="false">('Revenue Streams'!V$20+'Revenue Streams'!V$16)*'Assumption Setting'!$C$143</f>
        <v>184.609914979278</v>
      </c>
      <c r="W142" s="79" t="n">
        <f aca="false">('Revenue Streams'!W$20+'Revenue Streams'!W$16)*'Assumption Setting'!$C$143</f>
        <v>192.797653236403</v>
      </c>
      <c r="X142" s="79" t="n">
        <f aca="false">('Revenue Streams'!X$20+'Revenue Streams'!X$16)*'Assumption Setting'!$C$143</f>
        <v>200.985391493527</v>
      </c>
      <c r="Y142" s="79" t="n">
        <f aca="false">('Revenue Streams'!Y$20+'Revenue Streams'!Y$16)*'Assumption Setting'!$C$143</f>
        <v>209.173129750652</v>
      </c>
      <c r="Z142" s="79" t="n">
        <f aca="false">('Revenue Streams'!Z$20+'Revenue Streams'!Z$16)*'Assumption Setting'!$C$143</f>
        <v>217.360868007777</v>
      </c>
      <c r="AA142" s="79" t="n">
        <f aca="false">('Revenue Streams'!AA$20+'Revenue Streams'!AA$16)*'Assumption Setting'!$C$143</f>
        <v>225.548606264902</v>
      </c>
      <c r="AB142" s="78" t="n">
        <f aca="false">SUM(AC142:AN142)</f>
        <v>3603.81519176555</v>
      </c>
      <c r="AC142" s="79" t="n">
        <f aca="false">('Revenue Streams'!AC$20+'Revenue Streams'!AC$16)*'Assumption Setting'!$C$143</f>
        <v>233.736344522027</v>
      </c>
      <c r="AD142" s="79" t="n">
        <f aca="false">('Revenue Streams'!AD$20+'Revenue Streams'!AD$16)*'Assumption Setting'!$C$143</f>
        <v>242.560480303884</v>
      </c>
      <c r="AE142" s="79" t="n">
        <f aca="false">('Revenue Streams'!AE$20+'Revenue Streams'!AE$16)*'Assumption Setting'!$C$143</f>
        <v>255.32254510208</v>
      </c>
      <c r="AF142" s="79" t="n">
        <f aca="false">('Revenue Streams'!AF$20+'Revenue Streams'!AF$16)*'Assumption Setting'!$C$143</f>
        <v>268.084609900277</v>
      </c>
      <c r="AG142" s="79" t="n">
        <f aca="false">('Revenue Streams'!AG$20+'Revenue Streams'!AG$16)*'Assumption Setting'!$C$143</f>
        <v>280.846674698473</v>
      </c>
      <c r="AH142" s="79" t="n">
        <f aca="false">('Revenue Streams'!AH$20+'Revenue Streams'!AH$16)*'Assumption Setting'!$C$143</f>
        <v>293.608739496669</v>
      </c>
      <c r="AI142" s="79" t="n">
        <f aca="false">('Revenue Streams'!AI$20+'Revenue Streams'!AI$16)*'Assumption Setting'!$C$143</f>
        <v>306.370804294866</v>
      </c>
      <c r="AJ142" s="79" t="n">
        <f aca="false">('Revenue Streams'!AJ$20+'Revenue Streams'!AJ$16)*'Assumption Setting'!$C$143</f>
        <v>319.132869093062</v>
      </c>
      <c r="AK142" s="79" t="n">
        <f aca="false">('Revenue Streams'!AK$20+'Revenue Streams'!AK$16)*'Assumption Setting'!$C$143</f>
        <v>331.894933891258</v>
      </c>
      <c r="AL142" s="79" t="n">
        <f aca="false">('Revenue Streams'!AL$20+'Revenue Streams'!AL$16)*'Assumption Setting'!$C$143</f>
        <v>344.656998689455</v>
      </c>
      <c r="AM142" s="79" t="n">
        <f aca="false">('Revenue Streams'!AM$20+'Revenue Streams'!AM$16)*'Assumption Setting'!$C$143</f>
        <v>357.419063487651</v>
      </c>
      <c r="AN142" s="79" t="n">
        <f aca="false">('Revenue Streams'!AN$20+'Revenue Streams'!AN$16)*'Assumption Setting'!$C$143</f>
        <v>370.181128285848</v>
      </c>
      <c r="AO142" s="78" t="n">
        <f aca="false">SUM(AP142:BA142)</f>
        <v>5364.20150156912</v>
      </c>
      <c r="AP142" s="79" t="n">
        <f aca="false">('Revenue Streams'!AP$20+'Revenue Streams'!AP$16)*'Assumption Setting'!$C$143</f>
        <v>382.943193084044</v>
      </c>
      <c r="AQ142" s="79" t="n">
        <f aca="false">('Revenue Streams'!AQ$20+'Revenue Streams'!AQ$16)*'Assumption Setting'!$C$143</f>
        <v>395.249138951855</v>
      </c>
      <c r="AR142" s="79" t="n">
        <f aca="false">('Revenue Streams'!AR$20+'Revenue Streams'!AR$16)*'Assumption Setting'!$C$143</f>
        <v>406.767644043031</v>
      </c>
      <c r="AS142" s="79" t="n">
        <f aca="false">('Revenue Streams'!AS$20+'Revenue Streams'!AS$16)*'Assumption Setting'!$C$143</f>
        <v>418.286149134207</v>
      </c>
      <c r="AT142" s="79" t="n">
        <f aca="false">('Revenue Streams'!AT$20+'Revenue Streams'!AT$16)*'Assumption Setting'!$C$143</f>
        <v>429.804654225382</v>
      </c>
      <c r="AU142" s="79" t="n">
        <f aca="false">('Revenue Streams'!AU$20+'Revenue Streams'!AU$16)*'Assumption Setting'!$C$143</f>
        <v>441.323159316558</v>
      </c>
      <c r="AV142" s="79" t="n">
        <f aca="false">('Revenue Streams'!AV$20+'Revenue Streams'!AV$16)*'Assumption Setting'!$C$143</f>
        <v>452.841664407734</v>
      </c>
      <c r="AW142" s="79" t="n">
        <f aca="false">('Revenue Streams'!AW$20+'Revenue Streams'!AW$16)*'Assumption Setting'!$C$143</f>
        <v>464.36016949891</v>
      </c>
      <c r="AX142" s="79" t="n">
        <f aca="false">('Revenue Streams'!AX$20+'Revenue Streams'!AX$16)*'Assumption Setting'!$C$143</f>
        <v>475.878674590085</v>
      </c>
      <c r="AY142" s="79" t="n">
        <f aca="false">('Revenue Streams'!AY$20+'Revenue Streams'!AY$16)*'Assumption Setting'!$C$143</f>
        <v>487.397179681261</v>
      </c>
      <c r="AZ142" s="79" t="n">
        <f aca="false">('Revenue Streams'!AZ$20+'Revenue Streams'!AZ$16)*'Assumption Setting'!$C$143</f>
        <v>498.915684772437</v>
      </c>
      <c r="BA142" s="79" t="n">
        <f aca="false">('Revenue Streams'!BA$20+'Revenue Streams'!BA$16)*'Assumption Setting'!$C$143</f>
        <v>510.434189863613</v>
      </c>
      <c r="BB142" s="78" t="n">
        <f aca="false">SUM(BC142:BN142)</f>
        <v>7071.7141333693</v>
      </c>
      <c r="BC142" s="79" t="n">
        <f aca="false">('Revenue Streams'!BC$20+'Revenue Streams'!BC$16)*'Assumption Setting'!$C$143</f>
        <v>521.952694954789</v>
      </c>
      <c r="BD142" s="79" t="n">
        <f aca="false">('Revenue Streams'!BD$20+'Revenue Streams'!BD$16)*'Assumption Setting'!$C$143</f>
        <v>533.877234486435</v>
      </c>
      <c r="BE142" s="79" t="n">
        <f aca="false">('Revenue Streams'!BE$20+'Revenue Streams'!BE$16)*'Assumption Setting'!$C$143</f>
        <v>546.188359196684</v>
      </c>
      <c r="BF142" s="79" t="n">
        <f aca="false">('Revenue Streams'!BF$20+'Revenue Streams'!BF$16)*'Assumption Setting'!$C$143</f>
        <v>558.499483906934</v>
      </c>
      <c r="BG142" s="79" t="n">
        <f aca="false">('Revenue Streams'!BG$20+'Revenue Streams'!BG$16)*'Assumption Setting'!$C$143</f>
        <v>570.810608617184</v>
      </c>
      <c r="BH142" s="79" t="n">
        <f aca="false">('Revenue Streams'!BH$20+'Revenue Streams'!BH$16)*'Assumption Setting'!$C$143</f>
        <v>583.121733327434</v>
      </c>
      <c r="BI142" s="79" t="n">
        <f aca="false">('Revenue Streams'!BI$20+'Revenue Streams'!BI$16)*'Assumption Setting'!$C$143</f>
        <v>595.432858037683</v>
      </c>
      <c r="BJ142" s="79" t="n">
        <f aca="false">('Revenue Streams'!BJ$20+'Revenue Streams'!BJ$16)*'Assumption Setting'!$C$143</f>
        <v>607.743982747933</v>
      </c>
      <c r="BK142" s="79" t="n">
        <f aca="false">('Revenue Streams'!BK$20+'Revenue Streams'!BK$16)*'Assumption Setting'!$C$143</f>
        <v>620.055107458183</v>
      </c>
      <c r="BL142" s="79" t="n">
        <f aca="false">('Revenue Streams'!BL$20+'Revenue Streams'!BL$16)*'Assumption Setting'!$C$143</f>
        <v>632.366232168432</v>
      </c>
      <c r="BM142" s="79" t="n">
        <f aca="false">('Revenue Streams'!BM$20+'Revenue Streams'!BM$16)*'Assumption Setting'!$C$143</f>
        <v>644.677356878682</v>
      </c>
      <c r="BN142" s="79" t="n">
        <f aca="false">('Revenue Streams'!BN$20+'Revenue Streams'!BN$16)*'Assumption Setting'!$C$143</f>
        <v>656.988481588932</v>
      </c>
    </row>
    <row r="143" customFormat="false" ht="15" hidden="false" customHeight="false" outlineLevel="0" collapsed="false">
      <c r="A143" s="12" t="s">
        <v>659</v>
      </c>
      <c r="B143" s="78" t="n">
        <f aca="false">SUM(C143:N143)</f>
        <v>1581.2853478458</v>
      </c>
      <c r="C143" s="79" t="n">
        <f aca="false">'Revenue Streams'!C$13+'Revenue Streams'!C$19</f>
        <v>14.25</v>
      </c>
      <c r="D143" s="79" t="n">
        <f aca="false">'Revenue Streams'!D$13+'Revenue Streams'!D$19</f>
        <v>22.8</v>
      </c>
      <c r="E143" s="79" t="n">
        <f aca="false">'Revenue Streams'!E$13+'Revenue Streams'!E$19</f>
        <v>34.3569085946316</v>
      </c>
      <c r="F143" s="79" t="n">
        <f aca="false">'Revenue Streams'!F$13+'Revenue Streams'!F$19</f>
        <v>40.2138171892632</v>
      </c>
      <c r="G143" s="79" t="n">
        <f aca="false">'Revenue Streams'!G$13+'Revenue Streams'!G$19</f>
        <v>72.1014306489242</v>
      </c>
      <c r="H143" s="79" t="n">
        <f aca="false">'Revenue Streams'!H$13+'Revenue Streams'!H$19</f>
        <v>103.989044108585</v>
      </c>
      <c r="I143" s="79" t="n">
        <f aca="false">'Revenue Streams'!I$13+'Revenue Streams'!I$19</f>
        <v>135.876657568246</v>
      </c>
      <c r="J143" s="79" t="n">
        <f aca="false">'Revenue Streams'!J$13+'Revenue Streams'!J$19</f>
        <v>167.764271027907</v>
      </c>
      <c r="K143" s="79" t="n">
        <f aca="false">'Revenue Streams'!K$13+'Revenue Streams'!K$19</f>
        <v>199.651884487568</v>
      </c>
      <c r="L143" s="79" t="n">
        <f aca="false">'Revenue Streams'!L$13+'Revenue Streams'!L$19</f>
        <v>231.539497947229</v>
      </c>
      <c r="M143" s="79" t="n">
        <f aca="false">'Revenue Streams'!M$13+'Revenue Streams'!M$19</f>
        <v>263.42711140689</v>
      </c>
      <c r="N143" s="79" t="n">
        <f aca="false">'Revenue Streams'!N$13+'Revenue Streams'!N$19</f>
        <v>295.314724866551</v>
      </c>
      <c r="O143" s="78" t="n">
        <f aca="false">SUM(P143:AA143)</f>
        <v>14073.4965654811</v>
      </c>
      <c r="P143" s="79" t="n">
        <f aca="false">'Revenue Streams'!P$13+'Revenue Streams'!P$19</f>
        <v>823.558785068979</v>
      </c>
      <c r="Q143" s="79" t="n">
        <f aca="false">'Revenue Streams'!Q$13+'Revenue Streams'!Q$19</f>
        <v>886.514849066674</v>
      </c>
      <c r="R143" s="79" t="n">
        <f aca="false">'Revenue Streams'!R$13+'Revenue Streams'!R$19</f>
        <v>950.645018058414</v>
      </c>
      <c r="S143" s="79" t="n">
        <f aca="false">'Revenue Streams'!S$13+'Revenue Streams'!S$19</f>
        <v>1036.62537254095</v>
      </c>
      <c r="T143" s="79" t="n">
        <f aca="false">'Revenue Streams'!T$13+'Revenue Streams'!T$19</f>
        <v>1094.49063810813</v>
      </c>
      <c r="U143" s="79" t="n">
        <f aca="false">'Revenue Streams'!U$13+'Revenue Streams'!U$19</f>
        <v>1152.35590367531</v>
      </c>
      <c r="V143" s="79" t="n">
        <f aca="false">'Revenue Streams'!V$13+'Revenue Streams'!V$19</f>
        <v>1210.22116924249</v>
      </c>
      <c r="W143" s="79" t="n">
        <f aca="false">'Revenue Streams'!W$13+'Revenue Streams'!W$19</f>
        <v>1268.08643480967</v>
      </c>
      <c r="X143" s="79" t="n">
        <f aca="false">'Revenue Streams'!X$13+'Revenue Streams'!X$19</f>
        <v>1325.95170037685</v>
      </c>
      <c r="Y143" s="79" t="n">
        <f aca="false">'Revenue Streams'!Y$13+'Revenue Streams'!Y$19</f>
        <v>1383.81696594403</v>
      </c>
      <c r="Z143" s="79" t="n">
        <f aca="false">'Revenue Streams'!Z$13+'Revenue Streams'!Z$19</f>
        <v>1441.68223151121</v>
      </c>
      <c r="AA143" s="79" t="n">
        <f aca="false">'Revenue Streams'!AA$13+'Revenue Streams'!AA$19</f>
        <v>1499.54749707839</v>
      </c>
      <c r="AB143" s="78" t="n">
        <f aca="false">SUM(AC143:AN143)</f>
        <v>23826.8243792999</v>
      </c>
      <c r="AC143" s="79" t="n">
        <f aca="false">'Revenue Streams'!AC$13+'Revenue Streams'!AC$19</f>
        <v>1557.41276264557</v>
      </c>
      <c r="AD143" s="79" t="n">
        <f aca="false">'Revenue Streams'!AD$13+'Revenue Streams'!AD$19</f>
        <v>1616.10412115351</v>
      </c>
      <c r="AE143" s="79" t="n">
        <f aca="false">'Revenue Streams'!AE$13+'Revenue Streams'!AE$19</f>
        <v>1679.90721444228</v>
      </c>
      <c r="AF143" s="79" t="n">
        <f aca="false">'Revenue Streams'!AF$13+'Revenue Streams'!AF$19</f>
        <v>1747.38183191219</v>
      </c>
      <c r="AG143" s="79" t="n">
        <f aca="false">'Revenue Streams'!AG$13+'Revenue Streams'!AG$19</f>
        <v>1837.57527063021</v>
      </c>
      <c r="AH143" s="79" t="n">
        <f aca="false">'Revenue Streams'!AH$13+'Revenue Streams'!AH$19</f>
        <v>1927.76870934823</v>
      </c>
      <c r="AI143" s="79" t="n">
        <f aca="false">'Revenue Streams'!AI$13+'Revenue Streams'!AI$19</f>
        <v>2017.96214806625</v>
      </c>
      <c r="AJ143" s="79" t="n">
        <f aca="false">'Revenue Streams'!AJ$13+'Revenue Streams'!AJ$19</f>
        <v>2108.15558678428</v>
      </c>
      <c r="AK143" s="79" t="n">
        <f aca="false">'Revenue Streams'!AK$13+'Revenue Streams'!AK$19</f>
        <v>2198.3490255023</v>
      </c>
      <c r="AL143" s="79" t="n">
        <f aca="false">'Revenue Streams'!AL$13+'Revenue Streams'!AL$19</f>
        <v>2288.54246422032</v>
      </c>
      <c r="AM143" s="79" t="n">
        <f aca="false">'Revenue Streams'!AM$13+'Revenue Streams'!AM$19</f>
        <v>2378.73590293834</v>
      </c>
      <c r="AN143" s="79" t="n">
        <f aca="false">'Revenue Streams'!AN$13+'Revenue Streams'!AN$19</f>
        <v>2468.92934165637</v>
      </c>
      <c r="AO143" s="78" t="n">
        <f aca="false">SUM(AP143:BA143)</f>
        <v>36284.9835955362</v>
      </c>
      <c r="AP143" s="79" t="n">
        <f aca="false">'Revenue Streams'!AP$13+'Revenue Streams'!AP$19</f>
        <v>2559.12278037439</v>
      </c>
      <c r="AQ143" s="79" t="n">
        <f aca="false">'Revenue Streams'!AQ$13+'Revenue Streams'!AQ$19</f>
        <v>2648.7241416347</v>
      </c>
      <c r="AR143" s="79" t="n">
        <f aca="false">'Revenue Streams'!AR$13+'Revenue Streams'!AR$19</f>
        <v>2737.30334419457</v>
      </c>
      <c r="AS143" s="79" t="n">
        <f aca="false">'Revenue Streams'!AS$13+'Revenue Streams'!AS$19</f>
        <v>2823.25109138683</v>
      </c>
      <c r="AT143" s="79" t="n">
        <f aca="false">'Revenue Streams'!AT$13+'Revenue Streams'!AT$19</f>
        <v>2904.65591102158</v>
      </c>
      <c r="AU143" s="79" t="n">
        <f aca="false">'Revenue Streams'!AU$13+'Revenue Streams'!AU$19</f>
        <v>2986.06073065634</v>
      </c>
      <c r="AV143" s="79" t="n">
        <f aca="false">'Revenue Streams'!AV$13+'Revenue Streams'!AV$19</f>
        <v>3067.46555029109</v>
      </c>
      <c r="AW143" s="79" t="n">
        <f aca="false">'Revenue Streams'!AW$13+'Revenue Streams'!AW$19</f>
        <v>3148.87036992584</v>
      </c>
      <c r="AX143" s="79" t="n">
        <f aca="false">'Revenue Streams'!AX$13+'Revenue Streams'!AX$19</f>
        <v>3230.27518956059</v>
      </c>
      <c r="AY143" s="79" t="n">
        <f aca="false">'Revenue Streams'!AY$13+'Revenue Streams'!AY$19</f>
        <v>3311.68000919534</v>
      </c>
      <c r="AZ143" s="79" t="n">
        <f aca="false">'Revenue Streams'!AZ$13+'Revenue Streams'!AZ$19</f>
        <v>3393.08482883009</v>
      </c>
      <c r="BA143" s="79" t="n">
        <f aca="false">'Revenue Streams'!BA$13+'Revenue Streams'!BA$19</f>
        <v>3474.48964846484</v>
      </c>
      <c r="BB143" s="78" t="n">
        <f aca="false">SUM(BC143:BN143)</f>
        <v>48291.5414396874</v>
      </c>
      <c r="BC143" s="79" t="n">
        <f aca="false">'Revenue Streams'!BC$13+'Revenue Streams'!BC$19</f>
        <v>3555.8944680996</v>
      </c>
      <c r="BD143" s="79" t="n">
        <f aca="false">'Revenue Streams'!BD$13+'Revenue Streams'!BD$19</f>
        <v>3637.8263516715</v>
      </c>
      <c r="BE143" s="79" t="n">
        <f aca="false">'Revenue Streams'!BE$13+'Revenue Streams'!BE$19</f>
        <v>3720.26005254255</v>
      </c>
      <c r="BF143" s="79" t="n">
        <f aca="false">'Revenue Streams'!BF$13+'Revenue Streams'!BF$19</f>
        <v>3805.03625980092</v>
      </c>
      <c r="BG143" s="79" t="n">
        <f aca="false">'Revenue Streams'!BG$13+'Revenue Streams'!BG$19</f>
        <v>3892.04276616663</v>
      </c>
      <c r="BH143" s="79" t="n">
        <f aca="false">'Revenue Streams'!BH$13+'Revenue Streams'!BH$19</f>
        <v>3979.04927253234</v>
      </c>
      <c r="BI143" s="79" t="n">
        <f aca="false">'Revenue Streams'!BI$13+'Revenue Streams'!BI$19</f>
        <v>4066.05577889804</v>
      </c>
      <c r="BJ143" s="79" t="n">
        <f aca="false">'Revenue Streams'!BJ$13+'Revenue Streams'!BJ$19</f>
        <v>4153.06228526375</v>
      </c>
      <c r="BK143" s="79" t="n">
        <f aca="false">'Revenue Streams'!BK$13+'Revenue Streams'!BK$19</f>
        <v>4240.06879162946</v>
      </c>
      <c r="BL143" s="79" t="n">
        <f aca="false">'Revenue Streams'!BL$13+'Revenue Streams'!BL$19</f>
        <v>4327.07529799517</v>
      </c>
      <c r="BM143" s="79" t="n">
        <f aca="false">'Revenue Streams'!BM$13+'Revenue Streams'!BM$19</f>
        <v>4414.08180436087</v>
      </c>
      <c r="BN143" s="79" t="n">
        <f aca="false">'Revenue Streams'!BN$13+'Revenue Streams'!BN$19</f>
        <v>4501.08831072658</v>
      </c>
    </row>
    <row r="144" customFormat="false" ht="15" hidden="false" customHeight="false" outlineLevel="0" collapsed="false">
      <c r="A144" s="12" t="s">
        <v>660</v>
      </c>
      <c r="B144" s="78" t="n">
        <f aca="false">SUM(C144:N144)</f>
        <v>55.4649243911613</v>
      </c>
      <c r="C144" s="79" t="n">
        <f aca="false">'Revenue Streams'!C$15*'Assumption Setting'!$C$144+'Revenue Streams'!C$18*'Assumption Setting'!$C$145</f>
        <v>0</v>
      </c>
      <c r="D144" s="79" t="n">
        <f aca="false">'Revenue Streams'!D$15*'Assumption Setting'!$C$144+'Revenue Streams'!D$18*'Assumption Setting'!$C$145</f>
        <v>0</v>
      </c>
      <c r="E144" s="79" t="n">
        <f aca="false">'Revenue Streams'!E$15*'Assumption Setting'!$C$144+'Revenue Streams'!E$18*'Assumption Setting'!$C$145</f>
        <v>0</v>
      </c>
      <c r="F144" s="79" t="n">
        <f aca="false">'Revenue Streams'!F$15*'Assumption Setting'!$C$144+'Revenue Streams'!F$18*'Assumption Setting'!$C$145</f>
        <v>0.357922191894154</v>
      </c>
      <c r="G144" s="79" t="n">
        <f aca="false">'Revenue Streams'!G$15*'Assumption Setting'!$C$144+'Revenue Streams'!G$18*'Assumption Setting'!$C$145</f>
        <v>1.80913398811954</v>
      </c>
      <c r="H144" s="79" t="n">
        <f aca="false">'Revenue Streams'!H$15*'Assumption Setting'!$C$144+'Revenue Streams'!H$18*'Assumption Setting'!$C$145</f>
        <v>3.26034578434493</v>
      </c>
      <c r="I144" s="79" t="n">
        <f aca="false">'Revenue Streams'!I$15*'Assumption Setting'!$C$144+'Revenue Streams'!I$18*'Assumption Setting'!$C$145</f>
        <v>4.71155758057032</v>
      </c>
      <c r="J144" s="79" t="n">
        <f aca="false">'Revenue Streams'!J$15*'Assumption Setting'!$C$144+'Revenue Streams'!J$18*'Assumption Setting'!$C$145</f>
        <v>6.16276937679571</v>
      </c>
      <c r="K144" s="79" t="n">
        <f aca="false">'Revenue Streams'!K$15*'Assumption Setting'!$C$144+'Revenue Streams'!K$18*'Assumption Setting'!$C$145</f>
        <v>7.61398117302109</v>
      </c>
      <c r="L144" s="79" t="n">
        <f aca="false">'Revenue Streams'!L$15*'Assumption Setting'!$C$144+'Revenue Streams'!L$18*'Assumption Setting'!$C$145</f>
        <v>9.06519296924648</v>
      </c>
      <c r="M144" s="79" t="n">
        <f aca="false">'Revenue Streams'!M$15*'Assumption Setting'!$C$144+'Revenue Streams'!M$18*'Assumption Setting'!$C$145</f>
        <v>10.5164047654719</v>
      </c>
      <c r="N144" s="79" t="n">
        <f aca="false">'Revenue Streams'!N$15*'Assumption Setting'!$C$144+'Revenue Streams'!N$18*'Assumption Setting'!$C$145</f>
        <v>11.9676165616973</v>
      </c>
      <c r="O144" s="78" t="n">
        <f aca="false">SUM(P144:AA144)</f>
        <v>634.026127243224</v>
      </c>
      <c r="P144" s="79" t="n">
        <f aca="false">'Revenue Streams'!P$15*'Assumption Setting'!$C$144+'Revenue Streams'!P$18*'Assumption Setting'!$C$145</f>
        <v>35.3127062050596</v>
      </c>
      <c r="Q144" s="79" t="n">
        <f aca="false">'Revenue Streams'!Q$15*'Assumption Setting'!$C$144+'Revenue Streams'!Q$18*'Assumption Setting'!$C$145</f>
        <v>39.131684616179</v>
      </c>
      <c r="R144" s="79" t="n">
        <f aca="false">'Revenue Streams'!R$15*'Assumption Setting'!$C$144+'Revenue Streams'!R$18*'Assumption Setting'!$C$145</f>
        <v>43.0448530777969</v>
      </c>
      <c r="S144" s="79" t="n">
        <f aca="false">'Revenue Streams'!S$15*'Assumption Setting'!$C$144+'Revenue Streams'!S$18*'Assumption Setting'!$C$145</f>
        <v>46.8591468574422</v>
      </c>
      <c r="T144" s="79" t="n">
        <f aca="false">'Revenue Streams'!T$15*'Assumption Setting'!$C$144+'Revenue Streams'!T$18*'Assumption Setting'!$C$145</f>
        <v>49.4926069026424</v>
      </c>
      <c r="U144" s="79" t="n">
        <f aca="false">'Revenue Streams'!U$15*'Assumption Setting'!$C$144+'Revenue Streams'!U$18*'Assumption Setting'!$C$145</f>
        <v>52.1260669478427</v>
      </c>
      <c r="V144" s="79" t="n">
        <f aca="false">'Revenue Streams'!V$15*'Assumption Setting'!$C$144+'Revenue Streams'!V$18*'Assumption Setting'!$C$145</f>
        <v>54.7595269930429</v>
      </c>
      <c r="W144" s="79" t="n">
        <f aca="false">'Revenue Streams'!W$15*'Assumption Setting'!$C$144+'Revenue Streams'!W$18*'Assumption Setting'!$C$145</f>
        <v>57.3929870382432</v>
      </c>
      <c r="X144" s="79" t="n">
        <f aca="false">'Revenue Streams'!X$15*'Assumption Setting'!$C$144+'Revenue Streams'!X$18*'Assumption Setting'!$C$145</f>
        <v>60.0264470834434</v>
      </c>
      <c r="Y144" s="79" t="n">
        <f aca="false">'Revenue Streams'!Y$15*'Assumption Setting'!$C$144+'Revenue Streams'!Y$18*'Assumption Setting'!$C$145</f>
        <v>62.6599071286437</v>
      </c>
      <c r="Z144" s="79" t="n">
        <f aca="false">'Revenue Streams'!Z$15*'Assumption Setting'!$C$144+'Revenue Streams'!Z$18*'Assumption Setting'!$C$145</f>
        <v>65.2933671738439</v>
      </c>
      <c r="AA144" s="79" t="n">
        <f aca="false">'Revenue Streams'!AA$15*'Assumption Setting'!$C$144+'Revenue Streams'!AA$18*'Assumption Setting'!$C$145</f>
        <v>67.9268272190441</v>
      </c>
      <c r="AB144" s="78" t="n">
        <f aca="false">SUM(AC144:AN144)</f>
        <v>1078.65570939292</v>
      </c>
      <c r="AC144" s="79" t="n">
        <f aca="false">'Revenue Streams'!AC$15*'Assumption Setting'!$C$144+'Revenue Streams'!AC$18*'Assumption Setting'!$C$145</f>
        <v>70.5602872642444</v>
      </c>
      <c r="AD144" s="79" t="n">
        <f aca="false">'Revenue Streams'!AD$15*'Assumption Setting'!$C$144+'Revenue Streams'!AD$18*'Assumption Setting'!$C$145</f>
        <v>73.1937473094447</v>
      </c>
      <c r="AE144" s="79" t="n">
        <f aca="false">'Revenue Streams'!AE$15*'Assumption Setting'!$C$144+'Revenue Streams'!AE$18*'Assumption Setting'!$C$145</f>
        <v>75.8776908121357</v>
      </c>
      <c r="AF144" s="79" t="n">
        <f aca="false">'Revenue Streams'!AF$15*'Assumption Setting'!$C$144+'Revenue Streams'!AF$18*'Assumption Setting'!$C$145</f>
        <v>79.0282221225964</v>
      </c>
      <c r="AG144" s="79" t="n">
        <f aca="false">'Revenue Streams'!AG$15*'Assumption Setting'!$C$144+'Revenue Streams'!AG$18*'Assumption Setting'!$C$145</f>
        <v>83.1329439254778</v>
      </c>
      <c r="AH144" s="79" t="n">
        <f aca="false">'Revenue Streams'!AH$15*'Assumption Setting'!$C$144+'Revenue Streams'!AH$18*'Assumption Setting'!$C$145</f>
        <v>87.2376657283593</v>
      </c>
      <c r="AI144" s="79" t="n">
        <f aca="false">'Revenue Streams'!AI$15*'Assumption Setting'!$C$144+'Revenue Streams'!AI$18*'Assumption Setting'!$C$145</f>
        <v>91.3423875312407</v>
      </c>
      <c r="AJ144" s="79" t="n">
        <f aca="false">'Revenue Streams'!AJ$15*'Assumption Setting'!$C$144+'Revenue Streams'!AJ$18*'Assumption Setting'!$C$145</f>
        <v>95.4471093341221</v>
      </c>
      <c r="AK144" s="79" t="n">
        <f aca="false">'Revenue Streams'!AK$15*'Assumption Setting'!$C$144+'Revenue Streams'!AK$18*'Assumption Setting'!$C$145</f>
        <v>99.5518311370035</v>
      </c>
      <c r="AL144" s="79" t="n">
        <f aca="false">'Revenue Streams'!AL$15*'Assumption Setting'!$C$144+'Revenue Streams'!AL$18*'Assumption Setting'!$C$145</f>
        <v>103.656552939885</v>
      </c>
      <c r="AM144" s="79" t="n">
        <f aca="false">'Revenue Streams'!AM$15*'Assumption Setting'!$C$144+'Revenue Streams'!AM$18*'Assumption Setting'!$C$145</f>
        <v>107.761274742766</v>
      </c>
      <c r="AN144" s="79" t="n">
        <f aca="false">'Revenue Streams'!AN$15*'Assumption Setting'!$C$144+'Revenue Streams'!AN$18*'Assumption Setting'!$C$145</f>
        <v>111.865996545648</v>
      </c>
      <c r="AO144" s="78" t="n">
        <f aca="false">SUM(AP144:BA144)</f>
        <v>1645.91692751283</v>
      </c>
      <c r="AP144" s="79" t="n">
        <f aca="false">'Revenue Streams'!AP$15*'Assumption Setting'!$C$144+'Revenue Streams'!AP$18*'Assumption Setting'!$C$145</f>
        <v>115.970718348529</v>
      </c>
      <c r="AQ144" s="79" t="n">
        <f aca="false">'Revenue Streams'!AQ$15*'Assumption Setting'!$C$144+'Revenue Streams'!AQ$18*'Assumption Setting'!$C$145</f>
        <v>120.075440151411</v>
      </c>
      <c r="AR144" s="79" t="n">
        <f aca="false">'Revenue Streams'!AR$15*'Assumption Setting'!$C$144+'Revenue Streams'!AR$18*'Assumption Setting'!$C$145</f>
        <v>124.143979442987</v>
      </c>
      <c r="AS144" s="79" t="n">
        <f aca="false">'Revenue Streams'!AS$15*'Assumption Setting'!$C$144+'Revenue Streams'!AS$18*'Assumption Setting'!$C$145</f>
        <v>128.039532355209</v>
      </c>
      <c r="AT144" s="79" t="n">
        <f aca="false">'Revenue Streams'!AT$15*'Assumption Setting'!$C$144+'Revenue Streams'!AT$18*'Assumption Setting'!$C$145</f>
        <v>131.744282310015</v>
      </c>
      <c r="AU144" s="79" t="n">
        <f aca="false">'Revenue Streams'!AU$15*'Assumption Setting'!$C$144+'Revenue Streams'!AU$18*'Assumption Setting'!$C$145</f>
        <v>135.449032264821</v>
      </c>
      <c r="AV144" s="79" t="n">
        <f aca="false">'Revenue Streams'!AV$15*'Assumption Setting'!$C$144+'Revenue Streams'!AV$18*'Assumption Setting'!$C$145</f>
        <v>139.153782219627</v>
      </c>
      <c r="AW144" s="79" t="n">
        <f aca="false">'Revenue Streams'!AW$15*'Assumption Setting'!$C$144+'Revenue Streams'!AW$18*'Assumption Setting'!$C$145</f>
        <v>142.858532174433</v>
      </c>
      <c r="AX144" s="79" t="n">
        <f aca="false">'Revenue Streams'!AX$15*'Assumption Setting'!$C$144+'Revenue Streams'!AX$18*'Assumption Setting'!$C$145</f>
        <v>146.563282129239</v>
      </c>
      <c r="AY144" s="79" t="n">
        <f aca="false">'Revenue Streams'!AY$15*'Assumption Setting'!$C$144+'Revenue Streams'!AY$18*'Assumption Setting'!$C$145</f>
        <v>150.268032084045</v>
      </c>
      <c r="AZ144" s="79" t="n">
        <f aca="false">'Revenue Streams'!AZ$15*'Assumption Setting'!$C$144+'Revenue Streams'!AZ$18*'Assumption Setting'!$C$145</f>
        <v>153.972782038851</v>
      </c>
      <c r="BA144" s="79" t="n">
        <f aca="false">'Revenue Streams'!BA$15*'Assumption Setting'!$C$144+'Revenue Streams'!BA$18*'Assumption Setting'!$C$145</f>
        <v>157.677531993657</v>
      </c>
      <c r="BB144" s="78" t="n">
        <f aca="false">SUM(BC144:BN144)</f>
        <v>2192.05194774917</v>
      </c>
      <c r="BC144" s="79" t="n">
        <f aca="false">'Revenue Streams'!BC$15*'Assumption Setting'!$C$144+'Revenue Streams'!BC$18*'Assumption Setting'!$C$145</f>
        <v>161.382281948463</v>
      </c>
      <c r="BD144" s="79" t="n">
        <f aca="false">'Revenue Streams'!BD$15*'Assumption Setting'!$C$144+'Revenue Streams'!BD$18*'Assumption Setting'!$C$145</f>
        <v>165.08703190327</v>
      </c>
      <c r="BE144" s="79" t="n">
        <f aca="false">'Revenue Streams'!BE$15*'Assumption Setting'!$C$144+'Revenue Streams'!BE$18*'Assumption Setting'!$C$145</f>
        <v>168.823991320901</v>
      </c>
      <c r="BF144" s="79" t="n">
        <f aca="false">'Revenue Streams'!BF$15*'Assumption Setting'!$C$144+'Revenue Streams'!BF$18*'Assumption Setting'!$C$145</f>
        <v>172.690002619527</v>
      </c>
      <c r="BG144" s="79" t="n">
        <f aca="false">'Revenue Streams'!BG$15*'Assumption Setting'!$C$144+'Revenue Streams'!BG$18*'Assumption Setting'!$C$145</f>
        <v>176.64968648066</v>
      </c>
      <c r="BH144" s="79" t="n">
        <f aca="false">'Revenue Streams'!BH$15*'Assumption Setting'!$C$144+'Revenue Streams'!BH$18*'Assumption Setting'!$C$145</f>
        <v>180.609370341793</v>
      </c>
      <c r="BI144" s="79" t="n">
        <f aca="false">'Revenue Streams'!BI$15*'Assumption Setting'!$C$144+'Revenue Streams'!BI$18*'Assumption Setting'!$C$145</f>
        <v>184.569054202926</v>
      </c>
      <c r="BJ144" s="79" t="n">
        <f aca="false">'Revenue Streams'!BJ$15*'Assumption Setting'!$C$144+'Revenue Streams'!BJ$18*'Assumption Setting'!$C$145</f>
        <v>188.528738064059</v>
      </c>
      <c r="BK144" s="79" t="n">
        <f aca="false">'Revenue Streams'!BK$15*'Assumption Setting'!$C$144+'Revenue Streams'!BK$18*'Assumption Setting'!$C$145</f>
        <v>192.488421925193</v>
      </c>
      <c r="BL144" s="79" t="n">
        <f aca="false">'Revenue Streams'!BL$15*'Assumption Setting'!$C$144+'Revenue Streams'!BL$18*'Assumption Setting'!$C$145</f>
        <v>196.448105786326</v>
      </c>
      <c r="BM144" s="79" t="n">
        <f aca="false">'Revenue Streams'!BM$15*'Assumption Setting'!$C$144+'Revenue Streams'!BM$18*'Assumption Setting'!$C$145</f>
        <v>200.407789647459</v>
      </c>
      <c r="BN144" s="79" t="n">
        <f aca="false">'Revenue Streams'!BN$15*'Assumption Setting'!$C$144+'Revenue Streams'!BN$18*'Assumption Setting'!$C$145</f>
        <v>204.367473508592</v>
      </c>
    </row>
    <row r="145" customFormat="false" ht="15" hidden="false" customHeight="false" outlineLevel="0" collapsed="false">
      <c r="A145" s="18" t="s">
        <v>661</v>
      </c>
      <c r="B145" s="78" t="n">
        <f aca="false">SUM(C145:N145)</f>
        <v>2808.42322227518</v>
      </c>
      <c r="C145" s="82" t="n">
        <f aca="false">C141+C142+C143+C144</f>
        <v>430.083333333333</v>
      </c>
      <c r="D145" s="82" t="n">
        <f aca="false">D141+D142+D143+D144</f>
        <v>48.1333333333333</v>
      </c>
      <c r="E145" s="82" t="n">
        <f aca="false">E141+E142+E143+E144</f>
        <v>70.53556410457</v>
      </c>
      <c r="F145" s="82" t="n">
        <f aca="false">F141+F142+F143+F144</f>
        <v>84.9441666304773</v>
      </c>
      <c r="G145" s="82" t="n">
        <f aca="false">G141+G142+G143+G144</f>
        <v>126.476763625745</v>
      </c>
      <c r="H145" s="82" t="n">
        <f aca="false">H141+H142+H143+H144</f>
        <v>168.009360621013</v>
      </c>
      <c r="I145" s="82" t="n">
        <f aca="false">I141+I142+I143+I144</f>
        <v>209.541957616281</v>
      </c>
      <c r="J145" s="82" t="n">
        <f aca="false">J141+J142+J143+J144</f>
        <v>251.074554611549</v>
      </c>
      <c r="K145" s="82" t="n">
        <f aca="false">K141+K142+K143+K144</f>
        <v>292.607151606817</v>
      </c>
      <c r="L145" s="82" t="n">
        <f aca="false">L141+L142+L143+L144</f>
        <v>334.139748602085</v>
      </c>
      <c r="M145" s="82" t="n">
        <f aca="false">M141+M142+M143+M144</f>
        <v>375.672345597352</v>
      </c>
      <c r="N145" s="82" t="n">
        <f aca="false">N141+N142+N143+N144</f>
        <v>417.20494259262</v>
      </c>
      <c r="O145" s="78" t="n">
        <f aca="false">SUM(P145:AA145)</f>
        <v>18603.6531778513</v>
      </c>
      <c r="P145" s="82" t="n">
        <f aca="false">P141+P142+P143+P144</f>
        <v>1128.03738488041</v>
      </c>
      <c r="Q145" s="82" t="n">
        <f aca="false">Q141+Q142+Q143+Q144</f>
        <v>1192.56234998319</v>
      </c>
      <c r="R145" s="82" t="n">
        <f aca="false">R141+R142+R143+R144</f>
        <v>1262.78455162101</v>
      </c>
      <c r="S145" s="82" t="n">
        <f aca="false">S141+S142+S143+S144</f>
        <v>1367.44813255813</v>
      </c>
      <c r="T145" s="82" t="n">
        <f aca="false">T141+T142+T143+T144</f>
        <v>1442.81579084545</v>
      </c>
      <c r="U145" s="82" t="n">
        <f aca="false">U141+U142+U143+U144</f>
        <v>1518.18344913277</v>
      </c>
      <c r="V145" s="82" t="n">
        <f aca="false">V141+V142+V143+V144</f>
        <v>1593.55110742009</v>
      </c>
      <c r="W145" s="82" t="n">
        <f aca="false">W141+W142+W143+W144</f>
        <v>1668.91876570741</v>
      </c>
      <c r="X145" s="82" t="n">
        <f aca="false">X141+X142+X143+X144</f>
        <v>1744.28642399473</v>
      </c>
      <c r="Y145" s="82" t="n">
        <f aca="false">Y141+Y142+Y143+Y144</f>
        <v>1819.65408228205</v>
      </c>
      <c r="Z145" s="82" t="n">
        <f aca="false">Z141+Z142+Z143+Z144</f>
        <v>1895.02174056937</v>
      </c>
      <c r="AA145" s="82" t="n">
        <f aca="false">AA141+AA142+AA143+AA144</f>
        <v>1970.38939885669</v>
      </c>
      <c r="AB145" s="78" t="n">
        <f aca="false">SUM(AC145:AN145)</f>
        <v>31331.9883389699</v>
      </c>
      <c r="AC145" s="82" t="n">
        <f aca="false">AC141+AC142+AC143+AC144</f>
        <v>2045.75705714401</v>
      </c>
      <c r="AD145" s="82" t="n">
        <f aca="false">AD141+AD142+AD143+AD144</f>
        <v>2122.58720589682</v>
      </c>
      <c r="AE145" s="82" t="n">
        <f aca="false">AE141+AE142+AE143+AE144</f>
        <v>2209.03680228446</v>
      </c>
      <c r="AF145" s="82" t="n">
        <f aca="false">AF141+AF142+AF143+AF144</f>
        <v>2302.83786073836</v>
      </c>
      <c r="AG145" s="82" t="n">
        <f aca="false">AG141+AG142+AG143+AG144</f>
        <v>2420.31193093279</v>
      </c>
      <c r="AH145" s="82" t="n">
        <f aca="false">AH141+AH142+AH143+AH144</f>
        <v>2537.78600112721</v>
      </c>
      <c r="AI145" s="82" t="n">
        <f aca="false">AI141+AI142+AI143+AI144</f>
        <v>2655.26007132164</v>
      </c>
      <c r="AJ145" s="82" t="n">
        <f aca="false">AJ141+AJ142+AJ143+AJ144</f>
        <v>2772.73414151607</v>
      </c>
      <c r="AK145" s="82" t="n">
        <f aca="false">AK141+AK142+AK143+AK144</f>
        <v>2890.2082117105</v>
      </c>
      <c r="AL145" s="82" t="n">
        <f aca="false">AL141+AL142+AL143+AL144</f>
        <v>3007.68228190493</v>
      </c>
      <c r="AM145" s="82" t="n">
        <f aca="false">AM141+AM142+AM143+AM144</f>
        <v>3125.15635209936</v>
      </c>
      <c r="AN145" s="82" t="n">
        <f aca="false">AN141+AN142+AN143+AN144</f>
        <v>3242.63042229379</v>
      </c>
      <c r="AO145" s="78" t="n">
        <f aca="false">SUM(AP145:BA145)</f>
        <v>47557.8439516511</v>
      </c>
      <c r="AP145" s="82" t="n">
        <f aca="false">AP141+AP142+AP143+AP144</f>
        <v>3360.10449248821</v>
      </c>
      <c r="AQ145" s="82" t="n">
        <f aca="false">AQ141+AQ142+AQ143+AQ144</f>
        <v>3476.53036629455</v>
      </c>
      <c r="AR145" s="82" t="n">
        <f aca="false">AR141+AR142+AR143+AR144</f>
        <v>3590.7382650653</v>
      </c>
      <c r="AS145" s="82" t="n">
        <f aca="false">AS141+AS142+AS143+AS144</f>
        <v>3701.49917041536</v>
      </c>
      <c r="AT145" s="82" t="n">
        <f aca="false">AT141+AT142+AT143+AT144</f>
        <v>3807.52634525049</v>
      </c>
      <c r="AU145" s="82" t="n">
        <f aca="false">AU141+AU142+AU143+AU144</f>
        <v>3913.55352008563</v>
      </c>
      <c r="AV145" s="82" t="n">
        <f aca="false">AV141+AV142+AV143+AV144</f>
        <v>4019.58069492076</v>
      </c>
      <c r="AW145" s="82" t="n">
        <f aca="false">AW141+AW142+AW143+AW144</f>
        <v>4125.60786975589</v>
      </c>
      <c r="AX145" s="82" t="n">
        <f aca="false">AX141+AX142+AX143+AX144</f>
        <v>4231.63504459102</v>
      </c>
      <c r="AY145" s="82" t="n">
        <f aca="false">AY141+AY142+AY143+AY144</f>
        <v>4337.66221942616</v>
      </c>
      <c r="AZ145" s="82" t="n">
        <f aca="false">AZ141+AZ142+AZ143+AZ144</f>
        <v>4443.68939426129</v>
      </c>
      <c r="BA145" s="82" t="n">
        <f aca="false">BA141+BA142+BA143+BA144</f>
        <v>4549.71656909642</v>
      </c>
      <c r="BB145" s="78" t="n">
        <f aca="false">SUM(BC145:BN145)</f>
        <v>63206.2379515874</v>
      </c>
      <c r="BC145" s="82" t="n">
        <f aca="false">BC141+BC142+BC143+BC144</f>
        <v>4655.74374393155</v>
      </c>
      <c r="BD145" s="82" t="n">
        <f aca="false">BD141+BD142+BD143+BD144</f>
        <v>4762.70401714431</v>
      </c>
      <c r="BE145" s="82" t="n">
        <f aca="false">BE141+BE142+BE143+BE144</f>
        <v>4870.91622640106</v>
      </c>
      <c r="BF145" s="82" t="n">
        <f aca="false">BF141+BF142+BF143+BF144</f>
        <v>4981.91544743188</v>
      </c>
      <c r="BG145" s="82" t="n">
        <f aca="false">BG141+BG142+BG143+BG144</f>
        <v>5095.23864013253</v>
      </c>
      <c r="BH145" s="82" t="n">
        <f aca="false">BH141+BH142+BH143+BH144</f>
        <v>5208.56183283319</v>
      </c>
      <c r="BI145" s="82" t="n">
        <f aca="false">BI141+BI142+BI143+BI144</f>
        <v>5321.88502553384</v>
      </c>
      <c r="BJ145" s="82" t="n">
        <f aca="false">BJ141+BJ142+BJ143+BJ144</f>
        <v>5435.20821823449</v>
      </c>
      <c r="BK145" s="82" t="n">
        <f aca="false">BK141+BK142+BK143+BK144</f>
        <v>5548.53141093515</v>
      </c>
      <c r="BL145" s="82" t="n">
        <f aca="false">BL141+BL142+BL143+BL144</f>
        <v>5661.8546036358</v>
      </c>
      <c r="BM145" s="82" t="n">
        <f aca="false">BM141+BM142+BM143+BM144</f>
        <v>5775.17779633645</v>
      </c>
      <c r="BN145" s="82" t="n">
        <f aca="false">BN141+BN142+BN143+BN144</f>
        <v>5888.50098903711</v>
      </c>
    </row>
    <row r="146" customFormat="false" ht="15" hidden="false" customHeight="false" outlineLevel="0" collapsed="false">
      <c r="A146" s="69" t="s">
        <v>662</v>
      </c>
      <c r="B146" s="78" t="n">
        <f aca="false">SUM(C146:N146)</f>
        <v>3648.31958511234</v>
      </c>
      <c r="C146" s="94" t="n">
        <f aca="false">C145+C65+C66</f>
        <v>500.074696903097</v>
      </c>
      <c r="D146" s="94" t="n">
        <f aca="false">D145+D65+D66</f>
        <v>118.124696903097</v>
      </c>
      <c r="E146" s="94" t="n">
        <f aca="false">E145+E65+E66</f>
        <v>140.526927674334</v>
      </c>
      <c r="F146" s="94" t="n">
        <f aca="false">F145+F65+F66</f>
        <v>154.935530200241</v>
      </c>
      <c r="G146" s="94" t="n">
        <f aca="false">G145+G65+G66</f>
        <v>196.468127195509</v>
      </c>
      <c r="H146" s="94" t="n">
        <f aca="false">H145+H65+H66</f>
        <v>238.000724190777</v>
      </c>
      <c r="I146" s="94" t="n">
        <f aca="false">I145+I65+I66</f>
        <v>279.533321186045</v>
      </c>
      <c r="J146" s="94" t="n">
        <f aca="false">J145+J65+J66</f>
        <v>321.065918181312</v>
      </c>
      <c r="K146" s="94" t="n">
        <f aca="false">K145+K65+K66</f>
        <v>362.59851517658</v>
      </c>
      <c r="L146" s="94" t="n">
        <f aca="false">L145+L65+L66</f>
        <v>404.131112171848</v>
      </c>
      <c r="M146" s="94" t="n">
        <f aca="false">M145+M65+M66</f>
        <v>445.663709167116</v>
      </c>
      <c r="N146" s="94" t="n">
        <f aca="false">N145+N65+N66</f>
        <v>487.196306162384</v>
      </c>
      <c r="O146" s="78" t="n">
        <f aca="false">SUM(P146:AA146)</f>
        <v>21758.722263166</v>
      </c>
      <c r="P146" s="94" t="n">
        <f aca="false">P145+P65+P66</f>
        <v>1390.95980865663</v>
      </c>
      <c r="Q146" s="94" t="n">
        <f aca="false">Q145+Q65+Q66</f>
        <v>1455.48477375942</v>
      </c>
      <c r="R146" s="94" t="n">
        <f aca="false">R145+R65+R66</f>
        <v>1525.70697539723</v>
      </c>
      <c r="S146" s="94" t="n">
        <f aca="false">S145+S65+S66</f>
        <v>1630.37055633436</v>
      </c>
      <c r="T146" s="94" t="n">
        <f aca="false">T145+T65+T66</f>
        <v>1705.73821462167</v>
      </c>
      <c r="U146" s="94" t="n">
        <f aca="false">U145+U65+U66</f>
        <v>1781.10587290899</v>
      </c>
      <c r="V146" s="94" t="n">
        <f aca="false">V145+V65+V66</f>
        <v>1856.47353119631</v>
      </c>
      <c r="W146" s="94" t="n">
        <f aca="false">W145+W65+W66</f>
        <v>1931.84118948363</v>
      </c>
      <c r="X146" s="94" t="n">
        <f aca="false">X145+X65+X66</f>
        <v>2007.20884777095</v>
      </c>
      <c r="Y146" s="94" t="n">
        <f aca="false">Y145+Y65+Y66</f>
        <v>2082.57650605827</v>
      </c>
      <c r="Z146" s="94" t="n">
        <f aca="false">Z145+Z65+Z66</f>
        <v>2157.94416434559</v>
      </c>
      <c r="AA146" s="94" t="n">
        <f aca="false">AA145+AA65+AA66</f>
        <v>2233.31182263291</v>
      </c>
      <c r="AB146" s="78" t="n">
        <f aca="false">SUM(AC146:AN146)</f>
        <v>37999.9069723366</v>
      </c>
      <c r="AC146" s="94" t="n">
        <f aca="false">AC145+AC65+AC66</f>
        <v>2601.41694325789</v>
      </c>
      <c r="AD146" s="94" t="n">
        <f aca="false">AD145+AD65+AD66</f>
        <v>2678.2470920107</v>
      </c>
      <c r="AE146" s="94" t="n">
        <f aca="false">AE145+AE65+AE66</f>
        <v>2764.69668839835</v>
      </c>
      <c r="AF146" s="94" t="n">
        <f aca="false">AF145+AF65+AF66</f>
        <v>2858.49774685224</v>
      </c>
      <c r="AG146" s="94" t="n">
        <f aca="false">AG145+AG65+AG66</f>
        <v>2975.97181704667</v>
      </c>
      <c r="AH146" s="94" t="n">
        <f aca="false">AH145+AH65+AH66</f>
        <v>3093.4458872411</v>
      </c>
      <c r="AI146" s="94" t="n">
        <f aca="false">AI145+AI65+AI66</f>
        <v>3210.91995743553</v>
      </c>
      <c r="AJ146" s="94" t="n">
        <f aca="false">AJ145+AJ65+AJ66</f>
        <v>3328.39402762996</v>
      </c>
      <c r="AK146" s="94" t="n">
        <f aca="false">AK145+AK65+AK66</f>
        <v>3445.86809782439</v>
      </c>
      <c r="AL146" s="94" t="n">
        <f aca="false">AL145+AL65+AL66</f>
        <v>3563.34216801882</v>
      </c>
      <c r="AM146" s="94" t="n">
        <f aca="false">AM145+AM65+AM66</f>
        <v>3680.81623821324</v>
      </c>
      <c r="AN146" s="94" t="n">
        <f aca="false">AN145+AN65+AN66</f>
        <v>3798.29030840767</v>
      </c>
      <c r="AO146" s="78" t="n">
        <f aca="false">SUM(AP146:BA146)</f>
        <v>57390.1395468559</v>
      </c>
      <c r="AP146" s="94" t="n">
        <f aca="false">AP145+AP65+AP66</f>
        <v>4179.46245875528</v>
      </c>
      <c r="AQ146" s="94" t="n">
        <f aca="false">AQ145+AQ65+AQ66</f>
        <v>4295.88833256161</v>
      </c>
      <c r="AR146" s="94" t="n">
        <f aca="false">AR145+AR65+AR66</f>
        <v>4410.09623133237</v>
      </c>
      <c r="AS146" s="94" t="n">
        <f aca="false">AS145+AS65+AS66</f>
        <v>4520.85713668243</v>
      </c>
      <c r="AT146" s="94" t="n">
        <f aca="false">AT145+AT65+AT66</f>
        <v>4626.88431151756</v>
      </c>
      <c r="AU146" s="94" t="n">
        <f aca="false">AU145+AU65+AU66</f>
        <v>4732.91148635269</v>
      </c>
      <c r="AV146" s="94" t="n">
        <f aca="false">AV145+AV65+AV66</f>
        <v>4838.93866118783</v>
      </c>
      <c r="AW146" s="94" t="n">
        <f aca="false">AW145+AW65+AW66</f>
        <v>4944.96583602296</v>
      </c>
      <c r="AX146" s="94" t="n">
        <f aca="false">AX145+AX65+AX66</f>
        <v>5050.99301085809</v>
      </c>
      <c r="AY146" s="94" t="n">
        <f aca="false">AY145+AY65+AY66</f>
        <v>5157.02018569322</v>
      </c>
      <c r="AZ146" s="94" t="n">
        <f aca="false">AZ145+AZ65+AZ66</f>
        <v>5263.04736052836</v>
      </c>
      <c r="BA146" s="94" t="n">
        <f aca="false">BA145+BA65+BA66</f>
        <v>5369.07453536349</v>
      </c>
      <c r="BB146" s="78" t="n">
        <f aca="false">SUM(BC146:BN146)</f>
        <v>76141.258156982</v>
      </c>
      <c r="BC146" s="94" t="n">
        <f aca="false">BC145+BC65+BC66</f>
        <v>5733.66209438111</v>
      </c>
      <c r="BD146" s="94" t="n">
        <f aca="false">BD145+BD65+BD66</f>
        <v>5840.62236759386</v>
      </c>
      <c r="BE146" s="94" t="n">
        <f aca="false">BE145+BE65+BE66</f>
        <v>5948.83457685061</v>
      </c>
      <c r="BF146" s="94" t="n">
        <f aca="false">BF145+BF65+BF66</f>
        <v>6059.83379788143</v>
      </c>
      <c r="BG146" s="94" t="n">
        <f aca="false">BG145+BG65+BG66</f>
        <v>6173.15699058208</v>
      </c>
      <c r="BH146" s="94" t="n">
        <f aca="false">BH145+BH65+BH66</f>
        <v>6286.48018328274</v>
      </c>
      <c r="BI146" s="94" t="n">
        <f aca="false">BI145+BI65+BI66</f>
        <v>6399.80337598339</v>
      </c>
      <c r="BJ146" s="94" t="n">
        <f aca="false">BJ145+BJ65+BJ66</f>
        <v>6513.12656868404</v>
      </c>
      <c r="BK146" s="94" t="n">
        <f aca="false">BK145+BK65+BK66</f>
        <v>6626.4497613847</v>
      </c>
      <c r="BL146" s="94" t="n">
        <f aca="false">BL145+BL65+BL66</f>
        <v>6739.77295408535</v>
      </c>
      <c r="BM146" s="94" t="n">
        <f aca="false">BM145+BM65+BM66</f>
        <v>6853.096146786</v>
      </c>
      <c r="BN146" s="94" t="n">
        <f aca="false">BN145+BN65+BN66</f>
        <v>6966.41933948666</v>
      </c>
    </row>
    <row r="147" customFormat="false" ht="15" hidden="false" customHeight="false" outlineLevel="0" collapsed="false">
      <c r="A147" s="18" t="s">
        <v>663</v>
      </c>
      <c r="B147" s="78" t="n">
        <f aca="false">N147</f>
        <v>3948.31958511234</v>
      </c>
      <c r="C147" s="82" t="n">
        <f aca="false">'Assumption Setting'!$C$12+C146</f>
        <v>800.074696903097</v>
      </c>
      <c r="D147" s="82" t="n">
        <f aca="false">C147+D146</f>
        <v>918.199393806194</v>
      </c>
      <c r="E147" s="82" t="n">
        <f aca="false">D147+E146</f>
        <v>1058.72632148053</v>
      </c>
      <c r="F147" s="82" t="n">
        <f aca="false">E147+F146</f>
        <v>1213.66185168077</v>
      </c>
      <c r="G147" s="82" t="n">
        <f aca="false">F147+G146</f>
        <v>1410.12997887628</v>
      </c>
      <c r="H147" s="82" t="n">
        <f aca="false">G147+H146</f>
        <v>1648.13070306705</v>
      </c>
      <c r="I147" s="82" t="n">
        <f aca="false">H147+I146</f>
        <v>1927.6640242531</v>
      </c>
      <c r="J147" s="82" t="n">
        <f aca="false">I147+J146</f>
        <v>2248.72994243441</v>
      </c>
      <c r="K147" s="82" t="n">
        <f aca="false">J147+K146</f>
        <v>2611.32845761099</v>
      </c>
      <c r="L147" s="82" t="n">
        <f aca="false">K147+L146</f>
        <v>3015.45956978284</v>
      </c>
      <c r="M147" s="82" t="n">
        <f aca="false">L147+M146</f>
        <v>3461.12327894996</v>
      </c>
      <c r="N147" s="82" t="n">
        <f aca="false">M147+N146</f>
        <v>3948.31958511234</v>
      </c>
      <c r="O147" s="78" t="n">
        <f aca="false">AA147</f>
        <v>25707.0418482783</v>
      </c>
      <c r="P147" s="82" t="n">
        <f aca="false">N147+P146</f>
        <v>5339.27939376897</v>
      </c>
      <c r="Q147" s="82" t="n">
        <f aca="false">P147+Q146</f>
        <v>6794.76416752839</v>
      </c>
      <c r="R147" s="82" t="n">
        <f aca="false">Q147+R146</f>
        <v>8320.47114292562</v>
      </c>
      <c r="S147" s="82" t="n">
        <f aca="false">R147+S146</f>
        <v>9950.84169925998</v>
      </c>
      <c r="T147" s="82" t="n">
        <f aca="false">S147+T146</f>
        <v>11656.5799138817</v>
      </c>
      <c r="U147" s="82" t="n">
        <f aca="false">T147+U146</f>
        <v>13437.6857867906</v>
      </c>
      <c r="V147" s="82" t="n">
        <f aca="false">U147+V146</f>
        <v>15294.159317987</v>
      </c>
      <c r="W147" s="82" t="n">
        <f aca="false">V147+W146</f>
        <v>17226.0005074706</v>
      </c>
      <c r="X147" s="82" t="n">
        <f aca="false">W147+X146</f>
        <v>19233.2093552415</v>
      </c>
      <c r="Y147" s="82" t="n">
        <f aca="false">X147+Y146</f>
        <v>21315.7858612998</v>
      </c>
      <c r="Z147" s="82" t="n">
        <f aca="false">Y147+Z146</f>
        <v>23473.7300256454</v>
      </c>
      <c r="AA147" s="82" t="n">
        <f aca="false">Z147+AA146</f>
        <v>25707.0418482783</v>
      </c>
      <c r="AB147" s="78" t="n">
        <f aca="false">AN147</f>
        <v>63706.9488206149</v>
      </c>
      <c r="AC147" s="82" t="n">
        <f aca="false">AA147+AC146</f>
        <v>28308.4587915362</v>
      </c>
      <c r="AD147" s="82" t="n">
        <f aca="false">AC147+AD146</f>
        <v>30986.7058835469</v>
      </c>
      <c r="AE147" s="82" t="n">
        <f aca="false">AD147+AE146</f>
        <v>33751.4025719453</v>
      </c>
      <c r="AF147" s="82" t="n">
        <f aca="false">AE147+AF146</f>
        <v>36609.9003187975</v>
      </c>
      <c r="AG147" s="82" t="n">
        <f aca="false">AF147+AG146</f>
        <v>39585.8721358442</v>
      </c>
      <c r="AH147" s="82" t="n">
        <f aca="false">AG147+AH146</f>
        <v>42679.3180230853</v>
      </c>
      <c r="AI147" s="82" t="n">
        <f aca="false">AH147+AI146</f>
        <v>45890.2379805208</v>
      </c>
      <c r="AJ147" s="82" t="n">
        <f aca="false">AI147+AJ146</f>
        <v>49218.6320081508</v>
      </c>
      <c r="AK147" s="82" t="n">
        <f aca="false">AJ147+AK146</f>
        <v>52664.5001059751</v>
      </c>
      <c r="AL147" s="82" t="n">
        <f aca="false">AK147+AL146</f>
        <v>56227.842273994</v>
      </c>
      <c r="AM147" s="82" t="n">
        <f aca="false">AL147+AM146</f>
        <v>59908.6585122072</v>
      </c>
      <c r="AN147" s="82" t="n">
        <f aca="false">AM147+AN146</f>
        <v>63706.9488206149</v>
      </c>
      <c r="AO147" s="78" t="n">
        <f aca="false">BA147</f>
        <v>121097.088367471</v>
      </c>
      <c r="AP147" s="82" t="n">
        <f aca="false">AN147+AP146</f>
        <v>67886.4112793702</v>
      </c>
      <c r="AQ147" s="82" t="n">
        <f aca="false">AP147+AQ146</f>
        <v>72182.2996119318</v>
      </c>
      <c r="AR147" s="82" t="n">
        <f aca="false">AQ147+AR146</f>
        <v>76592.3958432641</v>
      </c>
      <c r="AS147" s="82" t="n">
        <f aca="false">AR147+AS146</f>
        <v>81113.2529799466</v>
      </c>
      <c r="AT147" s="82" t="n">
        <f aca="false">AS147+AT146</f>
        <v>85740.1372914641</v>
      </c>
      <c r="AU147" s="82" t="n">
        <f aca="false">AT147+AU146</f>
        <v>90473.0487778168</v>
      </c>
      <c r="AV147" s="82" t="n">
        <f aca="false">AU147+AV146</f>
        <v>95311.9874390046</v>
      </c>
      <c r="AW147" s="82" t="n">
        <f aca="false">AV147+AW146</f>
        <v>100256.953275028</v>
      </c>
      <c r="AX147" s="82" t="n">
        <f aca="false">AW147+AX146</f>
        <v>105307.946285886</v>
      </c>
      <c r="AY147" s="82" t="n">
        <f aca="false">AX147+AY146</f>
        <v>110464.966471579</v>
      </c>
      <c r="AZ147" s="82" t="n">
        <f aca="false">AY147+AZ146</f>
        <v>115728.013832107</v>
      </c>
      <c r="BA147" s="82" t="n">
        <f aca="false">AZ147+BA146</f>
        <v>121097.088367471</v>
      </c>
      <c r="BB147" s="78" t="n">
        <f aca="false">BN147</f>
        <v>197238.346524453</v>
      </c>
      <c r="BC147" s="82" t="n">
        <f aca="false">BA147+BC146</f>
        <v>126830.750461852</v>
      </c>
      <c r="BD147" s="82" t="n">
        <f aca="false">BC147+BD146</f>
        <v>132671.372829446</v>
      </c>
      <c r="BE147" s="82" t="n">
        <f aca="false">BD147+BE146</f>
        <v>138620.207406296</v>
      </c>
      <c r="BF147" s="82" t="n">
        <f aca="false">BE147+BF146</f>
        <v>144680.041204178</v>
      </c>
      <c r="BG147" s="82" t="n">
        <f aca="false">BF147+BG146</f>
        <v>150853.19819476</v>
      </c>
      <c r="BH147" s="82" t="n">
        <f aca="false">BG147+BH146</f>
        <v>157139.678378043</v>
      </c>
      <c r="BI147" s="82" t="n">
        <f aca="false">BH147+BI146</f>
        <v>163539.481754026</v>
      </c>
      <c r="BJ147" s="82" t="n">
        <f aca="false">BI147+BJ146</f>
        <v>170052.60832271</v>
      </c>
      <c r="BK147" s="82" t="n">
        <f aca="false">BJ147+BK146</f>
        <v>176679.058084095</v>
      </c>
      <c r="BL147" s="82" t="n">
        <f aca="false">BK147+BL146</f>
        <v>183418.83103818</v>
      </c>
      <c r="BM147" s="82" t="n">
        <f aca="false">BL147+BM146</f>
        <v>190271.927184966</v>
      </c>
      <c r="BN147" s="82" t="n">
        <f aca="false">BM147+BN146</f>
        <v>197238.346524453</v>
      </c>
    </row>
    <row r="148" customFormat="false" ht="15" hidden="false" customHeight="false" outlineLevel="0" collapsed="false">
      <c r="A148" s="66" t="s">
        <v>664</v>
      </c>
      <c r="B148" s="87" t="n">
        <f aca="false">SUM(C148:N148)</f>
        <v>108.373569133677</v>
      </c>
      <c r="C148" s="88" t="n">
        <f aca="false">C145*'Assumption Setting'!$C$51+(C65+C66)*'Assumption Setting'!$C$50</f>
        <v>15.8928130295038</v>
      </c>
      <c r="D148" s="88" t="n">
        <f aca="false">D145*'Assumption Setting'!$C$51+(D65+D66)*'Assumption Setting'!$C$50</f>
        <v>2.52456302950383</v>
      </c>
      <c r="E148" s="88" t="n">
        <f aca="false">E145*'Assumption Setting'!$C$51+(E65+E66)*'Assumption Setting'!$C$50</f>
        <v>3.30864110649712</v>
      </c>
      <c r="F148" s="88" t="n">
        <f aca="false">F145*'Assumption Setting'!$C$51+(F65+F66)*'Assumption Setting'!$C$50</f>
        <v>3.81294219490387</v>
      </c>
      <c r="G148" s="88" t="n">
        <f aca="false">G145*'Assumption Setting'!$C$51+(G65+G66)*'Assumption Setting'!$C$50</f>
        <v>5.26658308973825</v>
      </c>
      <c r="H148" s="88" t="n">
        <f aca="false">H145*'Assumption Setting'!$C$51+(H65+H66)*'Assumption Setting'!$C$50</f>
        <v>6.72022398457262</v>
      </c>
      <c r="I148" s="88" t="n">
        <f aca="false">I145*'Assumption Setting'!$C$51+(I65+I66)*'Assumption Setting'!$C$50</f>
        <v>8.173864879407</v>
      </c>
      <c r="J148" s="88" t="n">
        <f aca="false">J145*'Assumption Setting'!$C$51+(J65+J66)*'Assumption Setting'!$C$50</f>
        <v>9.62750577424137</v>
      </c>
      <c r="K148" s="88" t="n">
        <f aca="false">K145*'Assumption Setting'!$C$51+(K65+K66)*'Assumption Setting'!$C$50</f>
        <v>11.0811466690758</v>
      </c>
      <c r="L148" s="88" t="n">
        <f aca="false">L145*'Assumption Setting'!$C$51+(L65+L66)*'Assumption Setting'!$C$50</f>
        <v>12.5347875639101</v>
      </c>
      <c r="M148" s="88" t="n">
        <f aca="false">M145*'Assumption Setting'!$C$51+(M65+M66)*'Assumption Setting'!$C$50</f>
        <v>13.9884284587445</v>
      </c>
      <c r="N148" s="88" t="n">
        <f aca="false">N145*'Assumption Setting'!$C$51+(N65+N66)*'Assumption Setting'!$C$50</f>
        <v>15.4420693535789</v>
      </c>
      <c r="O148" s="87" t="n">
        <f aca="false">SUM(P148:AA148)</f>
        <v>791.472163393772</v>
      </c>
      <c r="P148" s="88" t="n">
        <f aca="false">P145*'Assumption Setting'!$D$51+(P65+P66)*'Assumption Setting'!$D$50</f>
        <v>49.0653317518597</v>
      </c>
      <c r="Q148" s="88" t="n">
        <f aca="false">Q145*'Assumption Setting'!$D$51+(Q65+Q66)*'Assumption Setting'!$D$50</f>
        <v>51.6463303559711</v>
      </c>
      <c r="R148" s="88" t="n">
        <f aca="false">R145*'Assumption Setting'!$D$51+(R65+R66)*'Assumption Setting'!$D$50</f>
        <v>54.4552184214838</v>
      </c>
      <c r="S148" s="88" t="n">
        <f aca="false">S145*'Assumption Setting'!$D$51+(S65+S66)*'Assumption Setting'!$D$50</f>
        <v>58.6417616589686</v>
      </c>
      <c r="T148" s="88" t="n">
        <f aca="false">T145*'Assumption Setting'!$D$51+(T65+T66)*'Assumption Setting'!$D$50</f>
        <v>61.6564679904614</v>
      </c>
      <c r="U148" s="88" t="n">
        <f aca="false">U145*'Assumption Setting'!$D$51+(U65+U66)*'Assumption Setting'!$D$50</f>
        <v>64.6711743219542</v>
      </c>
      <c r="V148" s="88" t="n">
        <f aca="false">V145*'Assumption Setting'!$D$51+(V65+V66)*'Assumption Setting'!$D$50</f>
        <v>67.685880653447</v>
      </c>
      <c r="W148" s="88" t="n">
        <f aca="false">W145*'Assumption Setting'!$D$51+(W65+W66)*'Assumption Setting'!$D$50</f>
        <v>70.7005869849397</v>
      </c>
      <c r="X148" s="88" t="n">
        <f aca="false">X145*'Assumption Setting'!$D$51+(X65+X66)*'Assumption Setting'!$D$50</f>
        <v>73.7152933164325</v>
      </c>
      <c r="Y148" s="88" t="n">
        <f aca="false">Y145*'Assumption Setting'!$D$51+(Y65+Y66)*'Assumption Setting'!$D$50</f>
        <v>76.7299996479253</v>
      </c>
      <c r="Z148" s="88" t="n">
        <f aca="false">Z145*'Assumption Setting'!$D$51+(Z65+Z66)*'Assumption Setting'!$D$50</f>
        <v>79.7447059794181</v>
      </c>
      <c r="AA148" s="88" t="n">
        <f aca="false">AA145*'Assumption Setting'!$D$51+(AA65+AA66)*'Assumption Setting'!$D$50</f>
        <v>82.7594123109108</v>
      </c>
      <c r="AB148" s="87" t="n">
        <f aca="false">SUM(AC148:AN148)</f>
        <v>1529.96201065425</v>
      </c>
      <c r="AC148" s="88" t="n">
        <f aca="false">AC145*'Assumption Setting'!$E$51+(AC65+AC66)*'Assumption Setting'!$E$50</f>
        <v>102.06094552153</v>
      </c>
      <c r="AD148" s="88" t="n">
        <f aca="false">AD145*'Assumption Setting'!$E$51+(AD65+AD66)*'Assumption Setting'!$E$50</f>
        <v>105.518302215407</v>
      </c>
      <c r="AE148" s="88" t="n">
        <f aca="false">AE145*'Assumption Setting'!$E$51+(AE65+AE66)*'Assumption Setting'!$E$50</f>
        <v>109.408534052851</v>
      </c>
      <c r="AF148" s="88" t="n">
        <f aca="false">AF145*'Assumption Setting'!$E$51+(AF65+AF66)*'Assumption Setting'!$E$50</f>
        <v>113.629581683276</v>
      </c>
      <c r="AG148" s="88" t="n">
        <f aca="false">AG145*'Assumption Setting'!$E$51+(AG65+AG66)*'Assumption Setting'!$E$50</f>
        <v>118.915914842025</v>
      </c>
      <c r="AH148" s="88" t="n">
        <f aca="false">AH145*'Assumption Setting'!$E$51+(AH65+AH66)*'Assumption Setting'!$E$50</f>
        <v>124.202248000775</v>
      </c>
      <c r="AI148" s="88" t="n">
        <f aca="false">AI145*'Assumption Setting'!$E$51+(AI65+AI66)*'Assumption Setting'!$E$50</f>
        <v>129.488581159524</v>
      </c>
      <c r="AJ148" s="88" t="n">
        <f aca="false">AJ145*'Assumption Setting'!$E$51+(AJ65+AJ66)*'Assumption Setting'!$E$50</f>
        <v>134.774914318273</v>
      </c>
      <c r="AK148" s="88" t="n">
        <f aca="false">AK145*'Assumption Setting'!$E$51+(AK65+AK66)*'Assumption Setting'!$E$50</f>
        <v>140.061247477022</v>
      </c>
      <c r="AL148" s="88" t="n">
        <f aca="false">AL145*'Assumption Setting'!$E$51+(AL65+AL66)*'Assumption Setting'!$E$50</f>
        <v>145.347580635772</v>
      </c>
      <c r="AM148" s="88" t="n">
        <f aca="false">AM145*'Assumption Setting'!$E$51+(AM65+AM66)*'Assumption Setting'!$E$50</f>
        <v>150.633913794521</v>
      </c>
      <c r="AN148" s="88" t="n">
        <f aca="false">AN145*'Assumption Setting'!$E$51+(AN65+AN66)*'Assumption Setting'!$E$50</f>
        <v>155.92024695327</v>
      </c>
      <c r="AO148" s="87" t="n">
        <f aca="false">SUM(AP148:BA148)</f>
        <v>2584.37040508186</v>
      </c>
      <c r="AP148" s="88" t="n">
        <f aca="false">AP145*'Assumption Setting'!$F$51+(AP65+AP66)*'Assumption Setting'!$F$50</f>
        <v>185.211741916019</v>
      </c>
      <c r="AQ148" s="88" t="n">
        <f aca="false">AQ145*'Assumption Setting'!$F$51+(AQ65+AQ66)*'Assumption Setting'!$F$50</f>
        <v>191.033035606336</v>
      </c>
      <c r="AR148" s="88" t="n">
        <f aca="false">AR145*'Assumption Setting'!$F$51+(AR65+AR66)*'Assumption Setting'!$F$50</f>
        <v>196.743430544874</v>
      </c>
      <c r="AS148" s="88" t="n">
        <f aca="false">AS145*'Assumption Setting'!$F$51+(AS65+AS66)*'Assumption Setting'!$F$50</f>
        <v>202.281475812376</v>
      </c>
      <c r="AT148" s="88" t="n">
        <f aca="false">AT145*'Assumption Setting'!$F$51+(AT65+AT66)*'Assumption Setting'!$F$50</f>
        <v>207.582834554133</v>
      </c>
      <c r="AU148" s="88" t="n">
        <f aca="false">AU145*'Assumption Setting'!$F$51+(AU65+AU66)*'Assumption Setting'!$F$50</f>
        <v>212.88419329589</v>
      </c>
      <c r="AV148" s="88" t="n">
        <f aca="false">AV145*'Assumption Setting'!$F$51+(AV65+AV66)*'Assumption Setting'!$F$50</f>
        <v>218.185552037646</v>
      </c>
      <c r="AW148" s="88" t="n">
        <f aca="false">AW145*'Assumption Setting'!$F$51+(AW65+AW66)*'Assumption Setting'!$F$50</f>
        <v>223.486910779403</v>
      </c>
      <c r="AX148" s="88" t="n">
        <f aca="false">AX145*'Assumption Setting'!$F$51+(AX65+AX66)*'Assumption Setting'!$F$50</f>
        <v>228.78826952116</v>
      </c>
      <c r="AY148" s="88" t="n">
        <f aca="false">AY145*'Assumption Setting'!$F$51+(AY65+AY66)*'Assumption Setting'!$F$50</f>
        <v>234.089628262916</v>
      </c>
      <c r="AZ148" s="88" t="n">
        <f aca="false">AZ145*'Assumption Setting'!$F$51+(AZ65+AZ66)*'Assumption Setting'!$F$50</f>
        <v>239.390987004673</v>
      </c>
      <c r="BA148" s="88" t="n">
        <f aca="false">BA145*'Assumption Setting'!$F$51+(BA65+BA66)*'Assumption Setting'!$F$50</f>
        <v>244.69234574643</v>
      </c>
      <c r="BB148" s="87" t="n">
        <f aca="false">SUM(BC148:BN148)</f>
        <v>3786.78357226678</v>
      </c>
      <c r="BC148" s="88" t="n">
        <f aca="false">BC145*'Assumption Setting'!$G$51+(BC65+BC66)*'Assumption Setting'!$G$50</f>
        <v>281.935946327025</v>
      </c>
      <c r="BD148" s="88" t="n">
        <f aca="false">BD145*'Assumption Setting'!$G$51+(BD65+BD66)*'Assumption Setting'!$G$50</f>
        <v>287.818761353726</v>
      </c>
      <c r="BE148" s="88" t="n">
        <f aca="false">BE145*'Assumption Setting'!$G$51+(BE65+BE66)*'Assumption Setting'!$G$50</f>
        <v>293.770432862848</v>
      </c>
      <c r="BF148" s="88" t="n">
        <f aca="false">BF145*'Assumption Setting'!$G$51+(BF65+BF66)*'Assumption Setting'!$G$50</f>
        <v>299.875390019543</v>
      </c>
      <c r="BG148" s="88" t="n">
        <f aca="false">BG145*'Assumption Setting'!$G$51+(BG65+BG66)*'Assumption Setting'!$G$50</f>
        <v>306.108165618079</v>
      </c>
      <c r="BH148" s="88" t="n">
        <f aca="false">BH145*'Assumption Setting'!$G$51+(BH65+BH66)*'Assumption Setting'!$G$50</f>
        <v>312.340941216614</v>
      </c>
      <c r="BI148" s="88" t="n">
        <f aca="false">BI145*'Assumption Setting'!$G$51+(BI65+BI66)*'Assumption Setting'!$G$50</f>
        <v>318.57371681515</v>
      </c>
      <c r="BJ148" s="88" t="n">
        <f aca="false">BJ145*'Assumption Setting'!$G$51+(BJ65+BJ66)*'Assumption Setting'!$G$50</f>
        <v>324.806492413686</v>
      </c>
      <c r="BK148" s="88" t="n">
        <f aca="false">BK145*'Assumption Setting'!$G$51+(BK65+BK66)*'Assumption Setting'!$G$50</f>
        <v>331.039268012222</v>
      </c>
      <c r="BL148" s="88" t="n">
        <f aca="false">BL145*'Assumption Setting'!$G$51+(BL65+BL66)*'Assumption Setting'!$G$50</f>
        <v>337.272043610758</v>
      </c>
      <c r="BM148" s="88" t="n">
        <f aca="false">BM145*'Assumption Setting'!$G$51+(BM65+BM66)*'Assumption Setting'!$G$50</f>
        <v>343.504819209294</v>
      </c>
      <c r="BN148" s="88" t="n">
        <f aca="false">BN145*'Assumption Setting'!$G$51+(BN65+BN66)*'Assumption Setting'!$G$50</f>
        <v>349.73759480783</v>
      </c>
    </row>
    <row r="149" customFormat="false" ht="15" hidden="false" customHeight="false" outlineLevel="0" collapsed="false">
      <c r="A149" s="18" t="s">
        <v>665</v>
      </c>
      <c r="B149" s="80" t="n">
        <f aca="false">N149</f>
        <v>85.0765437825624</v>
      </c>
      <c r="C149" s="83" t="n">
        <f aca="false">'Assumption Setting'!$C$13+C148</f>
        <v>17.8928130295038</v>
      </c>
      <c r="D149" s="83" t="n">
        <f aca="false">C149*(1-'Assumption Setting'!$C$138)+D148</f>
        <v>19.3438072772374</v>
      </c>
      <c r="E149" s="83" t="n">
        <f aca="false">D149*(1-'Assumption Setting'!$C$138)+E148</f>
        <v>21.4918199471003</v>
      </c>
      <c r="F149" s="83" t="n">
        <f aca="false">E149*(1-'Assumption Setting'!$C$138)+F148</f>
        <v>24.0152529451781</v>
      </c>
      <c r="G149" s="83" t="n">
        <f aca="false">F149*(1-'Assumption Setting'!$C$138)+G148</f>
        <v>27.8409208582057</v>
      </c>
      <c r="H149" s="83" t="n">
        <f aca="false">G149*(1-'Assumption Setting'!$C$138)+H148</f>
        <v>32.890689591286</v>
      </c>
      <c r="I149" s="83" t="n">
        <f aca="false">H149*(1-'Assumption Setting'!$C$138)+I148</f>
        <v>39.0911130952158</v>
      </c>
      <c r="J149" s="83" t="n">
        <f aca="false">I149*(1-'Assumption Setting'!$C$138)+J148</f>
        <v>46.3731520837442</v>
      </c>
      <c r="K149" s="83" t="n">
        <f aca="false">J149*(1-'Assumption Setting'!$C$138)+K148</f>
        <v>54.6719096277953</v>
      </c>
      <c r="L149" s="83" t="n">
        <f aca="false">K149*(1-'Assumption Setting'!$C$138)+L148</f>
        <v>63.9263826140377</v>
      </c>
      <c r="M149" s="83" t="n">
        <f aca="false">L149*(1-'Assumption Setting'!$C$138)+M148</f>
        <v>74.07922811594</v>
      </c>
      <c r="N149" s="83" t="n">
        <f aca="false">M149*(1-'Assumption Setting'!$C$138)+N148</f>
        <v>85.0765437825624</v>
      </c>
      <c r="O149" s="80" t="n">
        <f aca="false">AA149</f>
        <v>636.314276174524</v>
      </c>
      <c r="P149" s="83" t="n">
        <f aca="false">N149*(1-'Assumption Setting'!$C$138)+P148</f>
        <v>129.037282907468</v>
      </c>
      <c r="Q149" s="83" t="n">
        <f aca="false">P149*(1-'Assumption Setting'!$C$138)+Q148</f>
        <v>172.941376288991</v>
      </c>
      <c r="R149" s="83" t="n">
        <f aca="false">Q149*(1-'Assumption Setting'!$C$138)+R148</f>
        <v>217.020112133136</v>
      </c>
      <c r="S149" s="83" t="n">
        <f aca="false">R149*(1-'Assumption Setting'!$C$138)+S148</f>
        <v>262.640667064116</v>
      </c>
      <c r="T149" s="83" t="n">
        <f aca="false">S149*(1-'Assumption Setting'!$C$138)+T148</f>
        <v>308.538695030731</v>
      </c>
      <c r="U149" s="83" t="n">
        <f aca="false">T149*(1-'Assumption Setting'!$C$138)+U148</f>
        <v>354.697547650841</v>
      </c>
      <c r="V149" s="83" t="n">
        <f aca="false">U149*(1-'Assumption Setting'!$C$138)+V148</f>
        <v>401.101575445237</v>
      </c>
      <c r="W149" s="83" t="n">
        <f aca="false">V149*(1-'Assumption Setting'!$C$138)+W148</f>
        <v>447.736067903463</v>
      </c>
      <c r="X149" s="83" t="n">
        <f aca="false">W149*(1-'Assumption Setting'!$C$138)+X148</f>
        <v>494.587197145687</v>
      </c>
      <c r="Y149" s="83" t="n">
        <f aca="false">X149*(1-'Assumption Setting'!$C$138)+Y148</f>
        <v>541.641964964871</v>
      </c>
      <c r="Z149" s="83" t="n">
        <f aca="false">Y149*(1-'Assumption Setting'!$C$138)+Z148</f>
        <v>588.888153046397</v>
      </c>
      <c r="AA149" s="83" t="n">
        <f aca="false">Z149*(1-'Assumption Setting'!$C$138)+AA148</f>
        <v>636.314276174524</v>
      </c>
      <c r="AB149" s="80" t="n">
        <f aca="false">AN149</f>
        <v>1448.63062970082</v>
      </c>
      <c r="AC149" s="83" t="n">
        <f aca="false">AA149*(1-'Assumption Setting'!$C$138)+AC148</f>
        <v>700.196365125583</v>
      </c>
      <c r="AD149" s="83" t="n">
        <f aca="false">AC149*(1-'Assumption Setting'!$C$138)+AD148</f>
        <v>763.702885433455</v>
      </c>
      <c r="AE149" s="83" t="n">
        <f aca="false">AD149*(1-'Assumption Setting'!$C$138)+AE148</f>
        <v>827.289246360298</v>
      </c>
      <c r="AF149" s="83" t="n">
        <f aca="false">AE149*(1-'Assumption Setting'!$C$138)+AF148</f>
        <v>891.281473261956</v>
      </c>
      <c r="AG149" s="83" t="n">
        <f aca="false">AF149*(1-'Assumption Setting'!$C$138)+AG148</f>
        <v>956.720499708264</v>
      </c>
      <c r="AH149" s="83" t="n">
        <f aca="false">AG149*(1-'Assumption Setting'!$C$138)+AH148</f>
        <v>1023.51951772654</v>
      </c>
      <c r="AI149" s="83" t="n">
        <f aca="false">AH149*(1-'Assumption Setting'!$C$138)+AI148</f>
        <v>1091.59692782247</v>
      </c>
      <c r="AJ149" s="83" t="n">
        <f aca="false">AI149*(1-'Assumption Setting'!$C$138)+AJ148</f>
        <v>1160.8760264714</v>
      </c>
      <c r="AK149" s="83" t="n">
        <f aca="false">AJ149*(1-'Assumption Setting'!$C$138)+AK148</f>
        <v>1231.28471236014</v>
      </c>
      <c r="AL149" s="83" t="n">
        <f aca="false">AK149*(1-'Assumption Setting'!$C$138)+AL148</f>
        <v>1302.7552102543</v>
      </c>
      <c r="AM149" s="83" t="n">
        <f aca="false">AL149*(1-'Assumption Setting'!$C$138)+AM148</f>
        <v>1375.22381143356</v>
      </c>
      <c r="AN149" s="83" t="n">
        <f aca="false">AM149*(1-'Assumption Setting'!$C$138)+AN148</f>
        <v>1448.63062970082</v>
      </c>
      <c r="AO149" s="80" t="n">
        <f aca="false">BA149</f>
        <v>2604.81482758888</v>
      </c>
      <c r="AP149" s="83" t="n">
        <f aca="false">AN149*(1-'Assumption Setting'!$C$138)+AP148</f>
        <v>1546.92453383479</v>
      </c>
      <c r="AQ149" s="83" t="n">
        <f aca="false">AP149*(1-'Assumption Setting'!$C$138)+AQ148</f>
        <v>1645.14209741104</v>
      </c>
      <c r="AR149" s="83" t="n">
        <f aca="false">AQ149*(1-'Assumption Setting'!$C$138)+AR148</f>
        <v>1743.17700211125</v>
      </c>
      <c r="AS149" s="83" t="n">
        <f aca="false">AR149*(1-'Assumption Setting'!$C$138)+AS148</f>
        <v>1840.86785779695</v>
      </c>
      <c r="AT149" s="83" t="n">
        <f aca="false">AS149*(1-'Assumption Setting'!$C$138)+AT148</f>
        <v>1937.99862088327</v>
      </c>
      <c r="AU149" s="83" t="n">
        <f aca="false">AT149*(1-'Assumption Setting'!$C$138)+AU148</f>
        <v>2034.60289692616</v>
      </c>
      <c r="AV149" s="83" t="n">
        <f aca="false">AU149*(1-'Assumption Setting'!$C$138)+AV148</f>
        <v>2130.71227514824</v>
      </c>
      <c r="AW149" s="83" t="n">
        <f aca="false">AV149*(1-'Assumption Setting'!$C$138)+AW148</f>
        <v>2226.35644941875</v>
      </c>
      <c r="AX149" s="83" t="n">
        <f aca="false">AW149*(1-'Assumption Setting'!$C$138)+AX148</f>
        <v>2321.56333197478</v>
      </c>
      <c r="AY149" s="83" t="n">
        <f aca="false">AX149*(1-'Assumption Setting'!$C$138)+AY148</f>
        <v>2416.35916031921</v>
      </c>
      <c r="AZ149" s="83" t="n">
        <f aca="false">AY149*(1-'Assumption Setting'!$C$138)+AZ148</f>
        <v>2510.76859770473</v>
      </c>
      <c r="BA149" s="83" t="n">
        <f aca="false">AZ149*(1-'Assumption Setting'!$C$138)+BA148</f>
        <v>2604.81482758888</v>
      </c>
      <c r="BB149" s="80" t="n">
        <f aca="false">BN149</f>
        <v>4035.55049508742</v>
      </c>
      <c r="BC149" s="83" t="n">
        <f aca="false">BA149*(1-'Assumption Setting'!$C$138)+BC148</f>
        <v>2730.46188426057</v>
      </c>
      <c r="BD149" s="83" t="n">
        <f aca="false">BC149*(1-'Assumption Setting'!$C$138)+BD148</f>
        <v>2854.45293255866</v>
      </c>
      <c r="BE149" s="83" t="n">
        <f aca="false">BD149*(1-'Assumption Setting'!$C$138)+BE148</f>
        <v>2976.95618946799</v>
      </c>
      <c r="BF149" s="83" t="n">
        <f aca="false">BE149*(1-'Assumption Setting'!$C$138)+BF148</f>
        <v>3098.21420811945</v>
      </c>
      <c r="BG149" s="83" t="n">
        <f aca="false">BF149*(1-'Assumption Setting'!$C$138)+BG148</f>
        <v>3218.42952125036</v>
      </c>
      <c r="BH149" s="83" t="n">
        <f aca="false">BG149*(1-'Assumption Setting'!$C$138)+BH148</f>
        <v>3337.66469119195</v>
      </c>
      <c r="BI149" s="83" t="n">
        <f aca="false">BH149*(1-'Assumption Setting'!$C$138)+BI148</f>
        <v>3455.97852653559</v>
      </c>
      <c r="BJ149" s="83" t="n">
        <f aca="false">BI149*(1-'Assumption Setting'!$C$138)+BJ148</f>
        <v>3573.42630735714</v>
      </c>
      <c r="BK149" s="83" t="n">
        <f aca="false">BJ149*(1-'Assumption Setting'!$C$138)+BK148</f>
        <v>3690.05999692793</v>
      </c>
      <c r="BL149" s="83" t="n">
        <f aca="false">BK149*(1-'Assumption Setting'!$C$138)+BL148</f>
        <v>3805.92844072301</v>
      </c>
      <c r="BM149" s="83" t="n">
        <f aca="false">BL149*(1-'Assumption Setting'!$C$138)+BM148</f>
        <v>3921.07755348893</v>
      </c>
      <c r="BN149" s="83" t="n">
        <f aca="false">BM149*(1-'Assumption Setting'!$C$138)+BN148</f>
        <v>4035.55049508742</v>
      </c>
    </row>
    <row r="150" customFormat="false" ht="15" hidden="false" customHeight="false" outlineLevel="0" collapsed="false">
      <c r="A150" s="12" t="s">
        <v>666</v>
      </c>
      <c r="B150" s="84" t="n">
        <f aca="false">IFERROR(AVERAGE(C150:N150),0)</f>
        <v>24.1573178158827</v>
      </c>
      <c r="C150" s="85" t="n">
        <f aca="false">IFERROR(C31*(1-'Assumption Setting'!$C$63)/C148,0)</f>
        <v>9.6269930135066</v>
      </c>
      <c r="D150" s="85" t="n">
        <f aca="false">IFERROR(D31*(1-'Assumption Setting'!$C$63)/D148,0)</f>
        <v>60.6045474848256</v>
      </c>
      <c r="E150" s="85" t="n">
        <f aca="false">IFERROR(E31*(1-'Assumption Setting'!$C$63)/E148,0)</f>
        <v>46.2425494561972</v>
      </c>
      <c r="F150" s="85" t="n">
        <f aca="false">IFERROR(F31*(1-'Assumption Setting'!$C$63)/F148,0)</f>
        <v>40.1264934476295</v>
      </c>
      <c r="G150" s="85" t="n">
        <f aca="false">IFERROR(G31*(1-'Assumption Setting'!$C$63)/G148,0)</f>
        <v>29.051093924278</v>
      </c>
      <c r="H150" s="85" t="n">
        <f aca="false">IFERROR(H31*(1-'Assumption Setting'!$C$63)/H148,0)</f>
        <v>22.7670982918481</v>
      </c>
      <c r="I150" s="85" t="n">
        <f aca="false">IFERROR(I31*(1-'Assumption Setting'!$C$63)/I148,0)</f>
        <v>18.7181954017204</v>
      </c>
      <c r="J150" s="85" t="n">
        <f aca="false">IFERROR(J31*(1-'Assumption Setting'!$C$63)/J148,0)</f>
        <v>15.8919665786496</v>
      </c>
      <c r="K150" s="85" t="n">
        <f aca="false">IFERROR(K31*(1-'Assumption Setting'!$C$63)/K148,0)</f>
        <v>13.8072353492963</v>
      </c>
      <c r="L150" s="85" t="n">
        <f aca="false">IFERROR(L31*(1-'Assumption Setting'!$C$63)/L148,0)</f>
        <v>12.2060305545595</v>
      </c>
      <c r="M150" s="85" t="n">
        <f aca="false">IFERROR(M31*(1-'Assumption Setting'!$C$63)/M148,0)</f>
        <v>10.937611787574</v>
      </c>
      <c r="N150" s="85" t="n">
        <f aca="false">IFERROR(N31*(1-'Assumption Setting'!$C$63)/N148,0)</f>
        <v>9.907998500508</v>
      </c>
      <c r="O150" s="84" t="n">
        <f aca="false">IFERROR(AVERAGE(P150:AA150),0)</f>
        <v>8.27393277119929</v>
      </c>
      <c r="P150" s="85" t="n">
        <f aca="false">IFERROR(P31*(1-'Assumption Setting'!$C$63)/P148,0)</f>
        <v>10.8223053027635</v>
      </c>
      <c r="Q150" s="85" t="n">
        <f aca="false">IFERROR(Q31*(1-'Assumption Setting'!$C$63)/Q148,0)</f>
        <v>10.2814662017629</v>
      </c>
      <c r="R150" s="85" t="n">
        <f aca="false">IFERROR(R31*(1-'Assumption Setting'!$C$63)/R148,0)</f>
        <v>9.75113157916393</v>
      </c>
      <c r="S150" s="85" t="n">
        <f aca="false">IFERROR(S31*(1-'Assumption Setting'!$C$63)/S148,0)</f>
        <v>9.0549803583329</v>
      </c>
      <c r="T150" s="85" t="n">
        <f aca="false">IFERROR(T31*(1-'Assumption Setting'!$C$63)/T148,0)</f>
        <v>8.61223513617661</v>
      </c>
      <c r="U150" s="85" t="n">
        <f aca="false">IFERROR(U31*(1-'Assumption Setting'!$C$63)/U148,0)</f>
        <v>8.21076786632185</v>
      </c>
      <c r="V150" s="85" t="n">
        <f aca="false">IFERROR(V31*(1-'Assumption Setting'!$C$63)/V148,0)</f>
        <v>7.84506303048239</v>
      </c>
      <c r="W150" s="85" t="n">
        <f aca="false">IFERROR(W31*(1-'Assumption Setting'!$C$63)/W148,0)</f>
        <v>7.51054584756292</v>
      </c>
      <c r="X150" s="85" t="n">
        <f aca="false">IFERROR(X31*(1-'Assumption Setting'!$C$63)/X148,0)</f>
        <v>7.20338990880242</v>
      </c>
      <c r="Y150" s="85" t="n">
        <f aca="false">IFERROR(Y31*(1-'Assumption Setting'!$C$63)/Y148,0)</f>
        <v>6.92037016077789</v>
      </c>
      <c r="Z150" s="85" t="n">
        <f aca="false">IFERROR(Z31*(1-'Assumption Setting'!$C$63)/Z148,0)</f>
        <v>6.6587492358057</v>
      </c>
      <c r="AA150" s="85" t="n">
        <f aca="false">IFERROR(AA31*(1-'Assumption Setting'!$C$63)/AA148,0)</f>
        <v>6.4161886264385</v>
      </c>
      <c r="AB150" s="84" t="n">
        <f aca="false">IFERROR(AVERAGE(AC150:AN150),0)</f>
        <v>8.63016932540713</v>
      </c>
      <c r="AC150" s="85" t="n">
        <f aca="false">IFERROR(AC31*(1-'Assumption Setting'!$C$63)/AC148,0)</f>
        <v>10.5819125472649</v>
      </c>
      <c r="AD150" s="85" t="n">
        <f aca="false">IFERROR(AD31*(1-'Assumption Setting'!$C$63)/AD148,0)</f>
        <v>10.2351912163567</v>
      </c>
      <c r="AE150" s="85" t="n">
        <f aca="false">IFERROR(AE31*(1-'Assumption Setting'!$C$63)/AE148,0)</f>
        <v>9.87125921528477</v>
      </c>
      <c r="AF150" s="85" t="n">
        <f aca="false">IFERROR(AF31*(1-'Assumption Setting'!$C$63)/AF148,0)</f>
        <v>9.50456724385666</v>
      </c>
      <c r="AG150" s="85" t="n">
        <f aca="false">IFERROR(AG31*(1-'Assumption Setting'!$C$63)/AG148,0)</f>
        <v>9.08204760846968</v>
      </c>
      <c r="AH150" s="85" t="n">
        <f aca="false">IFERROR(AH31*(1-'Assumption Setting'!$C$63)/AH148,0)</f>
        <v>8.69549478680341</v>
      </c>
      <c r="AI150" s="85" t="n">
        <f aca="false">IFERROR(AI31*(1-'Assumption Setting'!$C$63)/AI148,0)</f>
        <v>8.34050377515135</v>
      </c>
      <c r="AJ150" s="85" t="n">
        <f aca="false">IFERROR(AJ31*(1-'Assumption Setting'!$C$63)/AJ148,0)</f>
        <v>8.01336068706052</v>
      </c>
      <c r="AK150" s="85" t="n">
        <f aca="false">IFERROR(AK31*(1-'Assumption Setting'!$C$63)/AK148,0)</f>
        <v>7.71091232910215</v>
      </c>
      <c r="AL150" s="85" t="n">
        <f aca="false">IFERROR(AL31*(1-'Assumption Setting'!$C$63)/AL148,0)</f>
        <v>7.43046423804181</v>
      </c>
      <c r="AM150" s="85" t="n">
        <f aca="false">IFERROR(AM31*(1-'Assumption Setting'!$C$63)/AM148,0)</f>
        <v>7.16970018765643</v>
      </c>
      <c r="AN150" s="85" t="n">
        <f aca="false">IFERROR(AN31*(1-'Assumption Setting'!$C$63)/AN148,0)</f>
        <v>6.9266180698372</v>
      </c>
      <c r="AO150" s="84" t="n">
        <f aca="false">IFERROR(AVERAGE(AP150:BA150),0)</f>
        <v>7.78936629438169</v>
      </c>
      <c r="AP150" s="85" t="n">
        <f aca="false">IFERROR(AP31*(1-'Assumption Setting'!$C$63)/AP148,0)</f>
        <v>8.98971081841541</v>
      </c>
      <c r="AQ150" s="85" t="n">
        <f aca="false">IFERROR(AQ31*(1-'Assumption Setting'!$C$63)/AQ148,0)</f>
        <v>8.71576999609161</v>
      </c>
      <c r="AR150" s="85" t="n">
        <f aca="false">IFERROR(AR31*(1-'Assumption Setting'!$C$63)/AR148,0)</f>
        <v>8.46279845476337</v>
      </c>
      <c r="AS150" s="85" t="n">
        <f aca="false">IFERROR(AS31*(1-'Assumption Setting'!$C$63)/AS148,0)</f>
        <v>8.23110466894333</v>
      </c>
      <c r="AT150" s="85" t="n">
        <f aca="false">IFERROR(AT31*(1-'Assumption Setting'!$C$63)/AT148,0)</f>
        <v>8.02089442306851</v>
      </c>
      <c r="AU150" s="85" t="n">
        <f aca="false">IFERROR(AU31*(1-'Assumption Setting'!$C$63)/AU148,0)</f>
        <v>7.82115371847172</v>
      </c>
      <c r="AV150" s="85" t="n">
        <f aca="false">IFERROR(AV31*(1-'Assumption Setting'!$C$63)/AV148,0)</f>
        <v>7.6311194047932</v>
      </c>
      <c r="AW150" s="85" t="n">
        <f aca="false">IFERROR(AW31*(1-'Assumption Setting'!$C$63)/AW148,0)</f>
        <v>7.45010074278341</v>
      </c>
      <c r="AX150" s="85" t="n">
        <f aca="false">IFERROR(AX31*(1-'Assumption Setting'!$C$63)/AX148,0)</f>
        <v>7.27747101494647</v>
      </c>
      <c r="AY150" s="85" t="n">
        <f aca="false">IFERROR(AY31*(1-'Assumption Setting'!$C$63)/AY148,0)</f>
        <v>7.11266027613135</v>
      </c>
      <c r="AZ150" s="85" t="n">
        <f aca="false">IFERROR(AZ31*(1-'Assumption Setting'!$C$63)/AZ148,0)</f>
        <v>6.95514906736025</v>
      </c>
      <c r="BA150" s="85" t="n">
        <f aca="false">IFERROR(BA31*(1-'Assumption Setting'!$C$63)/BA148,0)</f>
        <v>6.80446294681163</v>
      </c>
      <c r="BB150" s="84" t="n">
        <f aca="false">IFERROR(AVERAGE(BC150:BN150),0)</f>
        <v>7.0913308015616</v>
      </c>
      <c r="BC150" s="85" t="n">
        <f aca="false">IFERROR(BC31*(1-'Assumption Setting'!$C$63)/BC148,0)</f>
        <v>7.90073074760132</v>
      </c>
      <c r="BD150" s="85" t="n">
        <f aca="false">IFERROR(BD31*(1-'Assumption Setting'!$C$63)/BD148,0)</f>
        <v>7.73924531369387</v>
      </c>
      <c r="BE150" s="85" t="n">
        <f aca="false">IFERROR(BE31*(1-'Assumption Setting'!$C$63)/BE148,0)</f>
        <v>7.58245129808537</v>
      </c>
      <c r="BF150" s="85" t="n">
        <f aca="false">IFERROR(BF31*(1-'Assumption Setting'!$C$63)/BF148,0)</f>
        <v>7.42808537857954</v>
      </c>
      <c r="BG150" s="85" t="n">
        <f aca="false">IFERROR(BG31*(1-'Assumption Setting'!$C$63)/BG148,0)</f>
        <v>7.27683952991696</v>
      </c>
      <c r="BH150" s="85" t="n">
        <f aca="false">IFERROR(BH31*(1-'Assumption Setting'!$C$63)/BH148,0)</f>
        <v>7.13162991480898</v>
      </c>
      <c r="BI150" s="85" t="n">
        <f aca="false">IFERROR(BI31*(1-'Assumption Setting'!$C$63)/BI148,0)</f>
        <v>6.99210224330116</v>
      </c>
      <c r="BJ150" s="85" t="n">
        <f aca="false">IFERROR(BJ31*(1-'Assumption Setting'!$C$63)/BJ148,0)</f>
        <v>6.85792941959722</v>
      </c>
      <c r="BK150" s="85" t="n">
        <f aca="false">IFERROR(BK31*(1-'Assumption Setting'!$C$63)/BK148,0)</f>
        <v>6.72880898201406</v>
      </c>
      <c r="BL150" s="85" t="n">
        <f aca="false">IFERROR(BL31*(1-'Assumption Setting'!$C$63)/BL148,0)</f>
        <v>6.60446082679397</v>
      </c>
      <c r="BM150" s="85" t="n">
        <f aca="false">IFERROR(BM31*(1-'Assumption Setting'!$C$63)/BM148,0)</f>
        <v>6.48462517972071</v>
      </c>
      <c r="BN150" s="85" t="n">
        <f aca="false">IFERROR(BN31*(1-'Assumption Setting'!$C$63)/BN148,0)</f>
        <v>6.36906078462609</v>
      </c>
    </row>
    <row r="152" customFormat="false" ht="15" hidden="false" customHeight="false" outlineLevel="0" collapsed="false">
      <c r="A152" s="18" t="s">
        <v>667</v>
      </c>
      <c r="B152" s="64" t="n">
        <f aca="false">SUM(C152:N152)</f>
        <v>24936</v>
      </c>
      <c r="C152" s="77" t="n">
        <f aca="false">C58+C31*'Assumption Setting'!$C$63+Payroll!C$66</f>
        <v>2078</v>
      </c>
      <c r="D152" s="77" t="n">
        <f aca="false">D58+D31*'Assumption Setting'!$C$63+Payroll!D$66</f>
        <v>2078</v>
      </c>
      <c r="E152" s="77" t="n">
        <f aca="false">E58+E31*'Assumption Setting'!$C$63+Payroll!E$66</f>
        <v>2078</v>
      </c>
      <c r="F152" s="77" t="n">
        <f aca="false">F58+F31*'Assumption Setting'!$C$63+Payroll!F$66</f>
        <v>2078</v>
      </c>
      <c r="G152" s="77" t="n">
        <f aca="false">G58+G31*'Assumption Setting'!$C$63+Payroll!G$66</f>
        <v>2078</v>
      </c>
      <c r="H152" s="77" t="n">
        <f aca="false">H58+H31*'Assumption Setting'!$C$63+Payroll!H$66</f>
        <v>2078</v>
      </c>
      <c r="I152" s="77" t="n">
        <f aca="false">I58+I31*'Assumption Setting'!$C$63+Payroll!I$66</f>
        <v>2078</v>
      </c>
      <c r="J152" s="77" t="n">
        <f aca="false">J58+J31*'Assumption Setting'!$C$63+Payroll!J$66</f>
        <v>2078</v>
      </c>
      <c r="K152" s="77" t="n">
        <f aca="false">K58+K31*'Assumption Setting'!$C$63+Payroll!K$66</f>
        <v>2078</v>
      </c>
      <c r="L152" s="77" t="n">
        <f aca="false">L58+L31*'Assumption Setting'!$C$63+Payroll!L$66</f>
        <v>2078</v>
      </c>
      <c r="M152" s="77" t="n">
        <f aca="false">M58+M31*'Assumption Setting'!$C$63+Payroll!M$66</f>
        <v>2078</v>
      </c>
      <c r="N152" s="77" t="n">
        <f aca="false">N58+N31*'Assumption Setting'!$C$63+Payroll!N$66</f>
        <v>2078</v>
      </c>
      <c r="O152" s="64" t="n">
        <f aca="false">SUM(P152:AA152)</f>
        <v>65778</v>
      </c>
      <c r="P152" s="77" t="n">
        <f aca="false">P58+P31*'Assumption Setting'!$C$63+Payroll!P$66</f>
        <v>5481.5</v>
      </c>
      <c r="Q152" s="77" t="n">
        <f aca="false">Q58+Q31*'Assumption Setting'!$C$63+Payroll!Q$66</f>
        <v>5481.5</v>
      </c>
      <c r="R152" s="77" t="n">
        <f aca="false">R58+R31*'Assumption Setting'!$C$63+Payroll!R$66</f>
        <v>5481.5</v>
      </c>
      <c r="S152" s="77" t="n">
        <f aca="false">S58+S31*'Assumption Setting'!$C$63+Payroll!S$66</f>
        <v>5481.5</v>
      </c>
      <c r="T152" s="77" t="n">
        <f aca="false">T58+T31*'Assumption Setting'!$C$63+Payroll!T$66</f>
        <v>5481.5</v>
      </c>
      <c r="U152" s="77" t="n">
        <f aca="false">U58+U31*'Assumption Setting'!$C$63+Payroll!U$66</f>
        <v>5481.5</v>
      </c>
      <c r="V152" s="77" t="n">
        <f aca="false">V58+V31*'Assumption Setting'!$C$63+Payroll!V$66</f>
        <v>5481.5</v>
      </c>
      <c r="W152" s="77" t="n">
        <f aca="false">W58+W31*'Assumption Setting'!$C$63+Payroll!W$66</f>
        <v>5481.5</v>
      </c>
      <c r="X152" s="77" t="n">
        <f aca="false">X58+X31*'Assumption Setting'!$C$63+Payroll!X$66</f>
        <v>5481.5</v>
      </c>
      <c r="Y152" s="77" t="n">
        <f aca="false">Y58+Y31*'Assumption Setting'!$C$63+Payroll!Y$66</f>
        <v>5481.5</v>
      </c>
      <c r="Z152" s="77" t="n">
        <f aca="false">Z58+Z31*'Assumption Setting'!$C$63+Payroll!Z$66</f>
        <v>5481.5</v>
      </c>
      <c r="AA152" s="77" t="n">
        <f aca="false">AA58+AA31*'Assumption Setting'!$C$63+Payroll!AA$66</f>
        <v>5481.5</v>
      </c>
      <c r="AB152" s="64" t="n">
        <f aca="false">SUM(AC152:AN152)</f>
        <v>135018</v>
      </c>
      <c r="AC152" s="77" t="n">
        <f aca="false">AC58+AC31*'Assumption Setting'!$C$63+Payroll!AC$66</f>
        <v>11251.5</v>
      </c>
      <c r="AD152" s="77" t="n">
        <f aca="false">AD58+AD31*'Assumption Setting'!$C$63+Payroll!AD$66</f>
        <v>11251.5</v>
      </c>
      <c r="AE152" s="77" t="n">
        <f aca="false">AE58+AE31*'Assumption Setting'!$C$63+Payroll!AE$66</f>
        <v>11251.5</v>
      </c>
      <c r="AF152" s="77" t="n">
        <f aca="false">AF58+AF31*'Assumption Setting'!$C$63+Payroll!AF$66</f>
        <v>11251.5</v>
      </c>
      <c r="AG152" s="77" t="n">
        <f aca="false">AG58+AG31*'Assumption Setting'!$C$63+Payroll!AG$66</f>
        <v>11251.5</v>
      </c>
      <c r="AH152" s="77" t="n">
        <f aca="false">AH58+AH31*'Assumption Setting'!$C$63+Payroll!AH$66</f>
        <v>11251.5</v>
      </c>
      <c r="AI152" s="77" t="n">
        <f aca="false">AI58+AI31*'Assumption Setting'!$C$63+Payroll!AI$66</f>
        <v>11251.5</v>
      </c>
      <c r="AJ152" s="77" t="n">
        <f aca="false">AJ58+AJ31*'Assumption Setting'!$C$63+Payroll!AJ$66</f>
        <v>11251.5</v>
      </c>
      <c r="AK152" s="77" t="n">
        <f aca="false">AK58+AK31*'Assumption Setting'!$C$63+Payroll!AK$66</f>
        <v>11251.5</v>
      </c>
      <c r="AL152" s="77" t="n">
        <f aca="false">AL58+AL31*'Assumption Setting'!$C$63+Payroll!AL$66</f>
        <v>11251.5</v>
      </c>
      <c r="AM152" s="77" t="n">
        <f aca="false">AM58+AM31*'Assumption Setting'!$C$63+Payroll!AM$66</f>
        <v>11251.5</v>
      </c>
      <c r="AN152" s="77" t="n">
        <f aca="false">AN58+AN31*'Assumption Setting'!$C$63+Payroll!AN$66</f>
        <v>11251.5</v>
      </c>
      <c r="AO152" s="64" t="n">
        <f aca="false">SUM(AP152:BA152)</f>
        <v>195780</v>
      </c>
      <c r="AP152" s="77" t="n">
        <f aca="false">AP58+AP31*'Assumption Setting'!$C$63+Payroll!AP$66</f>
        <v>16315</v>
      </c>
      <c r="AQ152" s="77" t="n">
        <f aca="false">AQ58+AQ31*'Assumption Setting'!$C$63+Payroll!AQ$66</f>
        <v>16315</v>
      </c>
      <c r="AR152" s="77" t="n">
        <f aca="false">AR58+AR31*'Assumption Setting'!$C$63+Payroll!AR$66</f>
        <v>16315</v>
      </c>
      <c r="AS152" s="77" t="n">
        <f aca="false">AS58+AS31*'Assumption Setting'!$C$63+Payroll!AS$66</f>
        <v>16315</v>
      </c>
      <c r="AT152" s="77" t="n">
        <f aca="false">AT58+AT31*'Assumption Setting'!$C$63+Payroll!AT$66</f>
        <v>16315</v>
      </c>
      <c r="AU152" s="77" t="n">
        <f aca="false">AU58+AU31*'Assumption Setting'!$C$63+Payroll!AU$66</f>
        <v>16315</v>
      </c>
      <c r="AV152" s="77" t="n">
        <f aca="false">AV58+AV31*'Assumption Setting'!$C$63+Payroll!AV$66</f>
        <v>16315</v>
      </c>
      <c r="AW152" s="77" t="n">
        <f aca="false">AW58+AW31*'Assumption Setting'!$C$63+Payroll!AW$66</f>
        <v>16315</v>
      </c>
      <c r="AX152" s="77" t="n">
        <f aca="false">AX58+AX31*'Assumption Setting'!$C$63+Payroll!AX$66</f>
        <v>16315</v>
      </c>
      <c r="AY152" s="77" t="n">
        <f aca="false">AY58+AY31*'Assumption Setting'!$C$63+Payroll!AY$66</f>
        <v>16315</v>
      </c>
      <c r="AZ152" s="77" t="n">
        <f aca="false">AZ58+AZ31*'Assumption Setting'!$C$63+Payroll!AZ$66</f>
        <v>16315</v>
      </c>
      <c r="BA152" s="77" t="n">
        <f aca="false">BA58+BA31*'Assumption Setting'!$C$63+Payroll!BA$66</f>
        <v>16315</v>
      </c>
      <c r="BB152" s="64" t="n">
        <f aca="false">SUM(BC152:BN152)</f>
        <v>257598</v>
      </c>
      <c r="BC152" s="77" t="n">
        <f aca="false">BC58+BC31*'Assumption Setting'!$C$63+Payroll!BC$66</f>
        <v>21466.5</v>
      </c>
      <c r="BD152" s="77" t="n">
        <f aca="false">BD58+BD31*'Assumption Setting'!$C$63+Payroll!BD$66</f>
        <v>21466.5</v>
      </c>
      <c r="BE152" s="77" t="n">
        <f aca="false">BE58+BE31*'Assumption Setting'!$C$63+Payroll!BE$66</f>
        <v>21466.5</v>
      </c>
      <c r="BF152" s="77" t="n">
        <f aca="false">BF58+BF31*'Assumption Setting'!$C$63+Payroll!BF$66</f>
        <v>21466.5</v>
      </c>
      <c r="BG152" s="77" t="n">
        <f aca="false">BG58+BG31*'Assumption Setting'!$C$63+Payroll!BG$66</f>
        <v>21466.5</v>
      </c>
      <c r="BH152" s="77" t="n">
        <f aca="false">BH58+BH31*'Assumption Setting'!$C$63+Payroll!BH$66</f>
        <v>21466.5</v>
      </c>
      <c r="BI152" s="77" t="n">
        <f aca="false">BI58+BI31*'Assumption Setting'!$C$63+Payroll!BI$66</f>
        <v>21466.5</v>
      </c>
      <c r="BJ152" s="77" t="n">
        <f aca="false">BJ58+BJ31*'Assumption Setting'!$C$63+Payroll!BJ$66</f>
        <v>21466.5</v>
      </c>
      <c r="BK152" s="77" t="n">
        <f aca="false">BK58+BK31*'Assumption Setting'!$C$63+Payroll!BK$66</f>
        <v>21466.5</v>
      </c>
      <c r="BL152" s="77" t="n">
        <f aca="false">BL58+BL31*'Assumption Setting'!$C$63+Payroll!BL$66</f>
        <v>21466.5</v>
      </c>
      <c r="BM152" s="77" t="n">
        <f aca="false">BM58+BM31*'Assumption Setting'!$C$63+Payroll!BM$66</f>
        <v>21466.5</v>
      </c>
      <c r="BN152" s="77" t="n">
        <f aca="false">BN58+BN31*'Assumption Setting'!$C$63+Payroll!BN$66</f>
        <v>21466.5</v>
      </c>
    </row>
    <row r="153" customFormat="false" ht="15" hidden="false" customHeight="false" outlineLevel="0" collapsed="false">
      <c r="A153" s="12" t="s">
        <v>668</v>
      </c>
      <c r="B153" s="64" t="n">
        <f aca="false">IFERROR(AVERAGE(C153:N153),0)</f>
        <v>1493.09049082124</v>
      </c>
      <c r="C153" s="65" t="n">
        <f aca="false">IFERROR(C152/C99,0)</f>
        <v>0</v>
      </c>
      <c r="D153" s="65" t="n">
        <f aca="false">IFERROR(D152/D99,0)</f>
        <v>1628.82598998681</v>
      </c>
      <c r="E153" s="65" t="n">
        <f aca="false">IFERROR(E152/E99,0)</f>
        <v>1628.82598998681</v>
      </c>
      <c r="F153" s="65" t="n">
        <f aca="false">IFERROR(F152/F99,0)</f>
        <v>1628.82598998681</v>
      </c>
      <c r="G153" s="65" t="n">
        <f aca="false">IFERROR(G152/G99,0)</f>
        <v>1628.82598998681</v>
      </c>
      <c r="H153" s="65" t="n">
        <f aca="false">IFERROR(H152/H99,0)</f>
        <v>1628.82598998681</v>
      </c>
      <c r="I153" s="65" t="n">
        <f aca="false">IFERROR(I152/I99,0)</f>
        <v>1628.82598998681</v>
      </c>
      <c r="J153" s="65" t="n">
        <f aca="false">IFERROR(J152/J99,0)</f>
        <v>1628.82598998681</v>
      </c>
      <c r="K153" s="65" t="n">
        <f aca="false">IFERROR(K152/K99,0)</f>
        <v>1628.82598998681</v>
      </c>
      <c r="L153" s="65" t="n">
        <f aca="false">IFERROR(L152/L99,0)</f>
        <v>1628.82598998681</v>
      </c>
      <c r="M153" s="65" t="n">
        <f aca="false">IFERROR(M152/M99,0)</f>
        <v>1628.82598998681</v>
      </c>
      <c r="N153" s="65" t="n">
        <f aca="false">IFERROR(N152/N99,0)</f>
        <v>1628.82598998681</v>
      </c>
      <c r="O153" s="64" t="n">
        <f aca="false">IFERROR(AVERAGE(P153:AA153),0)</f>
        <v>2656.61578739046</v>
      </c>
      <c r="P153" s="65" t="n">
        <f aca="false">IFERROR(P152/P99,0)</f>
        <v>3906.0327518211</v>
      </c>
      <c r="Q153" s="65" t="n">
        <f aca="false">IFERROR(Q152/Q99,0)</f>
        <v>2543.03242698768</v>
      </c>
      <c r="R153" s="65" t="n">
        <f aca="false">IFERROR(R152/R99,0)</f>
        <v>2543.03242698768</v>
      </c>
      <c r="S153" s="65" t="n">
        <f aca="false">IFERROR(S152/S99,0)</f>
        <v>2543.03242698768</v>
      </c>
      <c r="T153" s="65" t="n">
        <f aca="false">IFERROR(T152/T99,0)</f>
        <v>2543.03242698768</v>
      </c>
      <c r="U153" s="65" t="n">
        <f aca="false">IFERROR(U152/U99,0)</f>
        <v>2543.03242698768</v>
      </c>
      <c r="V153" s="65" t="n">
        <f aca="false">IFERROR(V152/V99,0)</f>
        <v>2543.03242698768</v>
      </c>
      <c r="W153" s="65" t="n">
        <f aca="false">IFERROR(W152/W99,0)</f>
        <v>2543.03242698768</v>
      </c>
      <c r="X153" s="65" t="n">
        <f aca="false">IFERROR(X152/X99,0)</f>
        <v>2543.03242698768</v>
      </c>
      <c r="Y153" s="65" t="n">
        <f aca="false">IFERROR(Y152/Y99,0)</f>
        <v>2543.03242698768</v>
      </c>
      <c r="Z153" s="65" t="n">
        <f aca="false">IFERROR(Z152/Z99,0)</f>
        <v>2543.03242698768</v>
      </c>
      <c r="AA153" s="65" t="n">
        <f aca="false">IFERROR(AA152/AA99,0)</f>
        <v>2543.03242698768</v>
      </c>
      <c r="AB153" s="64" t="n">
        <f aca="false">IFERROR(AVERAGE(AC153:AN153),0)</f>
        <v>3323.23948223052</v>
      </c>
      <c r="AC153" s="65" t="n">
        <f aca="false">IFERROR(AC152/AC99,0)</f>
        <v>4784.91627709523</v>
      </c>
      <c r="AD153" s="65" t="n">
        <f aca="false">IFERROR(AD152/AD99,0)</f>
        <v>3190.35977360646</v>
      </c>
      <c r="AE153" s="65" t="n">
        <f aca="false">IFERROR(AE152/AE99,0)</f>
        <v>3190.35977360646</v>
      </c>
      <c r="AF153" s="65" t="n">
        <f aca="false">IFERROR(AF152/AF99,0)</f>
        <v>3190.35977360646</v>
      </c>
      <c r="AG153" s="65" t="n">
        <f aca="false">IFERROR(AG152/AG99,0)</f>
        <v>3190.35977360646</v>
      </c>
      <c r="AH153" s="65" t="n">
        <f aca="false">IFERROR(AH152/AH99,0)</f>
        <v>3190.35977360646</v>
      </c>
      <c r="AI153" s="65" t="n">
        <f aca="false">IFERROR(AI152/AI99,0)</f>
        <v>3190.35977360646</v>
      </c>
      <c r="AJ153" s="65" t="n">
        <f aca="false">IFERROR(AJ152/AJ99,0)</f>
        <v>3190.35977360646</v>
      </c>
      <c r="AK153" s="65" t="n">
        <f aca="false">IFERROR(AK152/AK99,0)</f>
        <v>3190.35977360646</v>
      </c>
      <c r="AL153" s="65" t="n">
        <f aca="false">IFERROR(AL152/AL99,0)</f>
        <v>3190.35977360646</v>
      </c>
      <c r="AM153" s="65" t="n">
        <f aca="false">IFERROR(AM152/AM99,0)</f>
        <v>3190.35977360646</v>
      </c>
      <c r="AN153" s="65" t="n">
        <f aca="false">IFERROR(AN152/AN99,0)</f>
        <v>3190.35977360646</v>
      </c>
      <c r="AO153" s="64" t="n">
        <f aca="false">IFERROR(AVERAGE(AP153:BA153),0)</f>
        <v>3509.13141809563</v>
      </c>
      <c r="AP153" s="65" t="n">
        <f aca="false">IFERROR(AP152/AP99,0)</f>
        <v>4441.06927237558</v>
      </c>
      <c r="AQ153" s="65" t="n">
        <f aca="false">IFERROR(AQ152/AQ99,0)</f>
        <v>3424.40979497928</v>
      </c>
      <c r="AR153" s="65" t="n">
        <f aca="false">IFERROR(AR152/AR99,0)</f>
        <v>3424.40979497928</v>
      </c>
      <c r="AS153" s="65" t="n">
        <f aca="false">IFERROR(AS152/AS99,0)</f>
        <v>3424.40979497928</v>
      </c>
      <c r="AT153" s="65" t="n">
        <f aca="false">IFERROR(AT152/AT99,0)</f>
        <v>3424.40979497928</v>
      </c>
      <c r="AU153" s="65" t="n">
        <f aca="false">IFERROR(AU152/AU99,0)</f>
        <v>3424.40979497928</v>
      </c>
      <c r="AV153" s="65" t="n">
        <f aca="false">IFERROR(AV152/AV99,0)</f>
        <v>3424.40979497928</v>
      </c>
      <c r="AW153" s="65" t="n">
        <f aca="false">IFERROR(AW152/AW99,0)</f>
        <v>3424.40979497928</v>
      </c>
      <c r="AX153" s="65" t="n">
        <f aca="false">IFERROR(AX152/AX99,0)</f>
        <v>3424.40979497928</v>
      </c>
      <c r="AY153" s="65" t="n">
        <f aca="false">IFERROR(AY152/AY99,0)</f>
        <v>3424.40979497928</v>
      </c>
      <c r="AZ153" s="65" t="n">
        <f aca="false">IFERROR(AZ152/AZ99,0)</f>
        <v>3424.40979497928</v>
      </c>
      <c r="BA153" s="65" t="n">
        <f aca="false">IFERROR(BA152/BA99,0)</f>
        <v>3424.40979497928</v>
      </c>
      <c r="BB153" s="64" t="n">
        <f aca="false">IFERROR(AVERAGE(BC153:BN153),0)</f>
        <v>3593.71127801931</v>
      </c>
      <c r="BC153" s="65" t="n">
        <f aca="false">IFERROR(BC152/BC99,0)</f>
        <v>4332.38011645269</v>
      </c>
      <c r="BD153" s="65" t="n">
        <f aca="false">IFERROR(BD152/BD99,0)</f>
        <v>3526.55956543446</v>
      </c>
      <c r="BE153" s="65" t="n">
        <f aca="false">IFERROR(BE152/BE99,0)</f>
        <v>3526.55956543446</v>
      </c>
      <c r="BF153" s="65" t="n">
        <f aca="false">IFERROR(BF152/BF99,0)</f>
        <v>3526.55956543446</v>
      </c>
      <c r="BG153" s="65" t="n">
        <f aca="false">IFERROR(BG152/BG99,0)</f>
        <v>3526.55956543446</v>
      </c>
      <c r="BH153" s="65" t="n">
        <f aca="false">IFERROR(BH152/BH99,0)</f>
        <v>3526.55956543446</v>
      </c>
      <c r="BI153" s="65" t="n">
        <f aca="false">IFERROR(BI152/BI99,0)</f>
        <v>3526.55956543446</v>
      </c>
      <c r="BJ153" s="65" t="n">
        <f aca="false">IFERROR(BJ152/BJ99,0)</f>
        <v>3526.55956543446</v>
      </c>
      <c r="BK153" s="65" t="n">
        <f aca="false">IFERROR(BK152/BK99,0)</f>
        <v>3526.55956543446</v>
      </c>
      <c r="BL153" s="65" t="n">
        <f aca="false">IFERROR(BL152/BL99,0)</f>
        <v>3526.55956543446</v>
      </c>
      <c r="BM153" s="65" t="n">
        <f aca="false">IFERROR(BM152/BM99,0)</f>
        <v>3526.55956543446</v>
      </c>
      <c r="BN153" s="65" t="n">
        <f aca="false">IFERROR(BN152/BN99,0)</f>
        <v>3526.55956543446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588</v>
      </c>
    </row>
    <row r="2" customFormat="false" ht="13.5" hidden="false" customHeight="true" outlineLevel="0" collapsed="false">
      <c r="A2" s="6" t="s">
        <v>669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670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671</v>
      </c>
      <c r="B7" s="78" t="n">
        <f aca="false">N7</f>
        <v>3</v>
      </c>
      <c r="C7" s="95" t="n">
        <f aca="false">Payroll!C$71</f>
        <v>3</v>
      </c>
      <c r="D7" s="95" t="n">
        <f aca="false">Payroll!D$71</f>
        <v>3</v>
      </c>
      <c r="E7" s="95" t="n">
        <f aca="false">Payroll!E$71</f>
        <v>3</v>
      </c>
      <c r="F7" s="95" t="n">
        <f aca="false">Payroll!F$71</f>
        <v>3</v>
      </c>
      <c r="G7" s="95" t="n">
        <f aca="false">Payroll!G$71</f>
        <v>3</v>
      </c>
      <c r="H7" s="95" t="n">
        <f aca="false">Payroll!H$71</f>
        <v>3</v>
      </c>
      <c r="I7" s="95" t="n">
        <f aca="false">Payroll!I$71</f>
        <v>3</v>
      </c>
      <c r="J7" s="95" t="n">
        <f aca="false">Payroll!J$71</f>
        <v>3</v>
      </c>
      <c r="K7" s="95" t="n">
        <f aca="false">Payroll!K$71</f>
        <v>3</v>
      </c>
      <c r="L7" s="95" t="n">
        <f aca="false">Payroll!L$71</f>
        <v>3</v>
      </c>
      <c r="M7" s="95" t="n">
        <f aca="false">Payroll!M$71</f>
        <v>3</v>
      </c>
      <c r="N7" s="95" t="n">
        <f aca="false">Payroll!N$71</f>
        <v>3</v>
      </c>
      <c r="O7" s="78" t="n">
        <f aca="false">AA7</f>
        <v>3</v>
      </c>
      <c r="P7" s="95" t="n">
        <f aca="false">Payroll!P$71</f>
        <v>3</v>
      </c>
      <c r="Q7" s="95" t="n">
        <f aca="false">Payroll!Q$71</f>
        <v>3</v>
      </c>
      <c r="R7" s="95" t="n">
        <f aca="false">Payroll!R$71</f>
        <v>3</v>
      </c>
      <c r="S7" s="95" t="n">
        <f aca="false">Payroll!S$71</f>
        <v>3</v>
      </c>
      <c r="T7" s="95" t="n">
        <f aca="false">Payroll!T$71</f>
        <v>3</v>
      </c>
      <c r="U7" s="95" t="n">
        <f aca="false">Payroll!U$71</f>
        <v>3</v>
      </c>
      <c r="V7" s="95" t="n">
        <f aca="false">Payroll!V$71</f>
        <v>3</v>
      </c>
      <c r="W7" s="95" t="n">
        <f aca="false">Payroll!W$71</f>
        <v>3</v>
      </c>
      <c r="X7" s="95" t="n">
        <f aca="false">Payroll!X$71</f>
        <v>3</v>
      </c>
      <c r="Y7" s="95" t="n">
        <f aca="false">Payroll!Y$71</f>
        <v>3</v>
      </c>
      <c r="Z7" s="95" t="n">
        <f aca="false">Payroll!Z$71</f>
        <v>3</v>
      </c>
      <c r="AA7" s="95" t="n">
        <f aca="false">Payroll!AA$71</f>
        <v>3</v>
      </c>
      <c r="AB7" s="78" t="n">
        <f aca="false">AN7</f>
        <v>3</v>
      </c>
      <c r="AC7" s="95" t="n">
        <f aca="false">Payroll!AC$71</f>
        <v>3</v>
      </c>
      <c r="AD7" s="95" t="n">
        <f aca="false">Payroll!AD$71</f>
        <v>3</v>
      </c>
      <c r="AE7" s="95" t="n">
        <f aca="false">Payroll!AE$71</f>
        <v>3</v>
      </c>
      <c r="AF7" s="95" t="n">
        <f aca="false">Payroll!AF$71</f>
        <v>3</v>
      </c>
      <c r="AG7" s="95" t="n">
        <f aca="false">Payroll!AG$71</f>
        <v>3</v>
      </c>
      <c r="AH7" s="95" t="n">
        <f aca="false">Payroll!AH$71</f>
        <v>3</v>
      </c>
      <c r="AI7" s="95" t="n">
        <f aca="false">Payroll!AI$71</f>
        <v>3</v>
      </c>
      <c r="AJ7" s="95" t="n">
        <f aca="false">Payroll!AJ$71</f>
        <v>3</v>
      </c>
      <c r="AK7" s="95" t="n">
        <f aca="false">Payroll!AK$71</f>
        <v>3</v>
      </c>
      <c r="AL7" s="95" t="n">
        <f aca="false">Payroll!AL$71</f>
        <v>3</v>
      </c>
      <c r="AM7" s="95" t="n">
        <f aca="false">Payroll!AM$71</f>
        <v>3</v>
      </c>
      <c r="AN7" s="95" t="n">
        <f aca="false">Payroll!AN$71</f>
        <v>3</v>
      </c>
      <c r="AO7" s="78" t="n">
        <f aca="false">BA7</f>
        <v>3</v>
      </c>
      <c r="AP7" s="95" t="n">
        <f aca="false">Payroll!AP$71</f>
        <v>3</v>
      </c>
      <c r="AQ7" s="95" t="n">
        <f aca="false">Payroll!AQ$71</f>
        <v>3</v>
      </c>
      <c r="AR7" s="95" t="n">
        <f aca="false">Payroll!AR$71</f>
        <v>3</v>
      </c>
      <c r="AS7" s="95" t="n">
        <f aca="false">Payroll!AS$71</f>
        <v>3</v>
      </c>
      <c r="AT7" s="95" t="n">
        <f aca="false">Payroll!AT$71</f>
        <v>3</v>
      </c>
      <c r="AU7" s="95" t="n">
        <f aca="false">Payroll!AU$71</f>
        <v>3</v>
      </c>
      <c r="AV7" s="95" t="n">
        <f aca="false">Payroll!AV$71</f>
        <v>3</v>
      </c>
      <c r="AW7" s="95" t="n">
        <f aca="false">Payroll!AW$71</f>
        <v>3</v>
      </c>
      <c r="AX7" s="95" t="n">
        <f aca="false">Payroll!AX$71</f>
        <v>3</v>
      </c>
      <c r="AY7" s="95" t="n">
        <f aca="false">Payroll!AY$71</f>
        <v>3</v>
      </c>
      <c r="AZ7" s="95" t="n">
        <f aca="false">Payroll!AZ$71</f>
        <v>3</v>
      </c>
      <c r="BA7" s="95" t="n">
        <f aca="false">Payroll!BA$71</f>
        <v>3</v>
      </c>
      <c r="BB7" s="78" t="n">
        <f aca="false">BN7</f>
        <v>3</v>
      </c>
      <c r="BC7" s="95" t="n">
        <f aca="false">Payroll!BC$71</f>
        <v>3</v>
      </c>
      <c r="BD7" s="95" t="n">
        <f aca="false">Payroll!BD$71</f>
        <v>3</v>
      </c>
      <c r="BE7" s="95" t="n">
        <f aca="false">Payroll!BE$71</f>
        <v>3</v>
      </c>
      <c r="BF7" s="95" t="n">
        <f aca="false">Payroll!BF$71</f>
        <v>3</v>
      </c>
      <c r="BG7" s="95" t="n">
        <f aca="false">Payroll!BG$71</f>
        <v>3</v>
      </c>
      <c r="BH7" s="95" t="n">
        <f aca="false">Payroll!BH$71</f>
        <v>3</v>
      </c>
      <c r="BI7" s="95" t="n">
        <f aca="false">Payroll!BI$71</f>
        <v>3</v>
      </c>
      <c r="BJ7" s="95" t="n">
        <f aca="false">Payroll!BJ$71</f>
        <v>3</v>
      </c>
      <c r="BK7" s="95" t="n">
        <f aca="false">Payroll!BK$71</f>
        <v>3</v>
      </c>
      <c r="BL7" s="95" t="n">
        <f aca="false">Payroll!BL$71</f>
        <v>3</v>
      </c>
      <c r="BM7" s="95" t="n">
        <f aca="false">Payroll!BM$71</f>
        <v>3</v>
      </c>
      <c r="BN7" s="95" t="n">
        <f aca="false">Payroll!BN$71</f>
        <v>3</v>
      </c>
    </row>
    <row r="8" customFormat="false" ht="15" hidden="false" customHeight="false" outlineLevel="0" collapsed="false">
      <c r="A8" s="12" t="s">
        <v>304</v>
      </c>
      <c r="B8" s="78" t="n">
        <f aca="false">N8</f>
        <v>2</v>
      </c>
      <c r="C8" s="95" t="n">
        <f aca="false">Payroll!C$72</f>
        <v>2</v>
      </c>
      <c r="D8" s="95" t="n">
        <f aca="false">Payroll!D$72</f>
        <v>2</v>
      </c>
      <c r="E8" s="95" t="n">
        <f aca="false">Payroll!E$72</f>
        <v>2</v>
      </c>
      <c r="F8" s="95" t="n">
        <f aca="false">Payroll!F$72</f>
        <v>2</v>
      </c>
      <c r="G8" s="95" t="n">
        <f aca="false">Payroll!G$72</f>
        <v>2</v>
      </c>
      <c r="H8" s="95" t="n">
        <f aca="false">Payroll!H$72</f>
        <v>2</v>
      </c>
      <c r="I8" s="95" t="n">
        <f aca="false">Payroll!I$72</f>
        <v>2</v>
      </c>
      <c r="J8" s="95" t="n">
        <f aca="false">Payroll!J$72</f>
        <v>2</v>
      </c>
      <c r="K8" s="95" t="n">
        <f aca="false">Payroll!K$72</f>
        <v>2</v>
      </c>
      <c r="L8" s="95" t="n">
        <f aca="false">Payroll!L$72</f>
        <v>2</v>
      </c>
      <c r="M8" s="95" t="n">
        <f aca="false">Payroll!M$72</f>
        <v>2</v>
      </c>
      <c r="N8" s="95" t="n">
        <f aca="false">Payroll!N$72</f>
        <v>2</v>
      </c>
      <c r="O8" s="78" t="n">
        <f aca="false">AA8</f>
        <v>3</v>
      </c>
      <c r="P8" s="95" t="n">
        <f aca="false">Payroll!P$72</f>
        <v>3</v>
      </c>
      <c r="Q8" s="95" t="n">
        <f aca="false">Payroll!Q$72</f>
        <v>3</v>
      </c>
      <c r="R8" s="95" t="n">
        <f aca="false">Payroll!R$72</f>
        <v>3</v>
      </c>
      <c r="S8" s="95" t="n">
        <f aca="false">Payroll!S$72</f>
        <v>3</v>
      </c>
      <c r="T8" s="95" t="n">
        <f aca="false">Payroll!T$72</f>
        <v>3</v>
      </c>
      <c r="U8" s="95" t="n">
        <f aca="false">Payroll!U$72</f>
        <v>3</v>
      </c>
      <c r="V8" s="95" t="n">
        <f aca="false">Payroll!V$72</f>
        <v>3</v>
      </c>
      <c r="W8" s="95" t="n">
        <f aca="false">Payroll!W$72</f>
        <v>3</v>
      </c>
      <c r="X8" s="95" t="n">
        <f aca="false">Payroll!X$72</f>
        <v>3</v>
      </c>
      <c r="Y8" s="95" t="n">
        <f aca="false">Payroll!Y$72</f>
        <v>3</v>
      </c>
      <c r="Z8" s="95" t="n">
        <f aca="false">Payroll!Z$72</f>
        <v>3</v>
      </c>
      <c r="AA8" s="95" t="n">
        <f aca="false">Payroll!AA$72</f>
        <v>3</v>
      </c>
      <c r="AB8" s="78" t="n">
        <f aca="false">AN8</f>
        <v>4</v>
      </c>
      <c r="AC8" s="95" t="n">
        <f aca="false">Payroll!AC$72</f>
        <v>4</v>
      </c>
      <c r="AD8" s="95" t="n">
        <f aca="false">Payroll!AD$72</f>
        <v>4</v>
      </c>
      <c r="AE8" s="95" t="n">
        <f aca="false">Payroll!AE$72</f>
        <v>4</v>
      </c>
      <c r="AF8" s="95" t="n">
        <f aca="false">Payroll!AF$72</f>
        <v>4</v>
      </c>
      <c r="AG8" s="95" t="n">
        <f aca="false">Payroll!AG$72</f>
        <v>4</v>
      </c>
      <c r="AH8" s="95" t="n">
        <f aca="false">Payroll!AH$72</f>
        <v>4</v>
      </c>
      <c r="AI8" s="95" t="n">
        <f aca="false">Payroll!AI$72</f>
        <v>4</v>
      </c>
      <c r="AJ8" s="95" t="n">
        <f aca="false">Payroll!AJ$72</f>
        <v>4</v>
      </c>
      <c r="AK8" s="95" t="n">
        <f aca="false">Payroll!AK$72</f>
        <v>4</v>
      </c>
      <c r="AL8" s="95" t="n">
        <f aca="false">Payroll!AL$72</f>
        <v>4</v>
      </c>
      <c r="AM8" s="95" t="n">
        <f aca="false">Payroll!AM$72</f>
        <v>4</v>
      </c>
      <c r="AN8" s="95" t="n">
        <f aca="false">Payroll!AN$72</f>
        <v>4</v>
      </c>
      <c r="AO8" s="78" t="n">
        <f aca="false">BA8</f>
        <v>6</v>
      </c>
      <c r="AP8" s="95" t="n">
        <f aca="false">Payroll!AP$72</f>
        <v>6</v>
      </c>
      <c r="AQ8" s="95" t="n">
        <f aca="false">Payroll!AQ$72</f>
        <v>6</v>
      </c>
      <c r="AR8" s="95" t="n">
        <f aca="false">Payroll!AR$72</f>
        <v>6</v>
      </c>
      <c r="AS8" s="95" t="n">
        <f aca="false">Payroll!AS$72</f>
        <v>6</v>
      </c>
      <c r="AT8" s="95" t="n">
        <f aca="false">Payroll!AT$72</f>
        <v>6</v>
      </c>
      <c r="AU8" s="95" t="n">
        <f aca="false">Payroll!AU$72</f>
        <v>6</v>
      </c>
      <c r="AV8" s="95" t="n">
        <f aca="false">Payroll!AV$72</f>
        <v>6</v>
      </c>
      <c r="AW8" s="95" t="n">
        <f aca="false">Payroll!AW$72</f>
        <v>6</v>
      </c>
      <c r="AX8" s="95" t="n">
        <f aca="false">Payroll!AX$72</f>
        <v>6</v>
      </c>
      <c r="AY8" s="95" t="n">
        <f aca="false">Payroll!AY$72</f>
        <v>6</v>
      </c>
      <c r="AZ8" s="95" t="n">
        <f aca="false">Payroll!AZ$72</f>
        <v>6</v>
      </c>
      <c r="BA8" s="95" t="n">
        <f aca="false">Payroll!BA$72</f>
        <v>6</v>
      </c>
      <c r="BB8" s="78" t="n">
        <f aca="false">BN8</f>
        <v>8</v>
      </c>
      <c r="BC8" s="95" t="n">
        <f aca="false">Payroll!BC$72</f>
        <v>8</v>
      </c>
      <c r="BD8" s="95" t="n">
        <f aca="false">Payroll!BD$72</f>
        <v>8</v>
      </c>
      <c r="BE8" s="95" t="n">
        <f aca="false">Payroll!BE$72</f>
        <v>8</v>
      </c>
      <c r="BF8" s="95" t="n">
        <f aca="false">Payroll!BF$72</f>
        <v>8</v>
      </c>
      <c r="BG8" s="95" t="n">
        <f aca="false">Payroll!BG$72</f>
        <v>8</v>
      </c>
      <c r="BH8" s="95" t="n">
        <f aca="false">Payroll!BH$72</f>
        <v>8</v>
      </c>
      <c r="BI8" s="95" t="n">
        <f aca="false">Payroll!BI$72</f>
        <v>8</v>
      </c>
      <c r="BJ8" s="95" t="n">
        <f aca="false">Payroll!BJ$72</f>
        <v>8</v>
      </c>
      <c r="BK8" s="95" t="n">
        <f aca="false">Payroll!BK$72</f>
        <v>8</v>
      </c>
      <c r="BL8" s="95" t="n">
        <f aca="false">Payroll!BL$72</f>
        <v>8</v>
      </c>
      <c r="BM8" s="95" t="n">
        <f aca="false">Payroll!BM$72</f>
        <v>8</v>
      </c>
      <c r="BN8" s="95" t="n">
        <f aca="false">Payroll!BN$72</f>
        <v>8</v>
      </c>
    </row>
    <row r="9" customFormat="false" ht="15" hidden="false" customHeight="false" outlineLevel="0" collapsed="false">
      <c r="A9" s="12" t="s">
        <v>303</v>
      </c>
      <c r="B9" s="78" t="n">
        <f aca="false">N9</f>
        <v>1</v>
      </c>
      <c r="C9" s="95" t="n">
        <f aca="false">Payroll!C$73</f>
        <v>1</v>
      </c>
      <c r="D9" s="95" t="n">
        <f aca="false">Payroll!D$73</f>
        <v>1</v>
      </c>
      <c r="E9" s="95" t="n">
        <f aca="false">Payroll!E$73</f>
        <v>1</v>
      </c>
      <c r="F9" s="95" t="n">
        <f aca="false">Payroll!F$73</f>
        <v>1</v>
      </c>
      <c r="G9" s="95" t="n">
        <f aca="false">Payroll!G$73</f>
        <v>1</v>
      </c>
      <c r="H9" s="95" t="n">
        <f aca="false">Payroll!H$73</f>
        <v>1</v>
      </c>
      <c r="I9" s="95" t="n">
        <f aca="false">Payroll!I$73</f>
        <v>1</v>
      </c>
      <c r="J9" s="95" t="n">
        <f aca="false">Payroll!J$73</f>
        <v>1</v>
      </c>
      <c r="K9" s="95" t="n">
        <f aca="false">Payroll!K$73</f>
        <v>1</v>
      </c>
      <c r="L9" s="95" t="n">
        <f aca="false">Payroll!L$73</f>
        <v>1</v>
      </c>
      <c r="M9" s="95" t="n">
        <f aca="false">Payroll!M$73</f>
        <v>1</v>
      </c>
      <c r="N9" s="95" t="n">
        <f aca="false">Payroll!N$73</f>
        <v>1</v>
      </c>
      <c r="O9" s="78" t="n">
        <f aca="false">AA9</f>
        <v>1</v>
      </c>
      <c r="P9" s="95" t="n">
        <f aca="false">Payroll!P$73</f>
        <v>1</v>
      </c>
      <c r="Q9" s="95" t="n">
        <f aca="false">Payroll!Q$73</f>
        <v>1</v>
      </c>
      <c r="R9" s="95" t="n">
        <f aca="false">Payroll!R$73</f>
        <v>1</v>
      </c>
      <c r="S9" s="95" t="n">
        <f aca="false">Payroll!S$73</f>
        <v>1</v>
      </c>
      <c r="T9" s="95" t="n">
        <f aca="false">Payroll!T$73</f>
        <v>1</v>
      </c>
      <c r="U9" s="95" t="n">
        <f aca="false">Payroll!U$73</f>
        <v>1</v>
      </c>
      <c r="V9" s="95" t="n">
        <f aca="false">Payroll!V$73</f>
        <v>1</v>
      </c>
      <c r="W9" s="95" t="n">
        <f aca="false">Payroll!W$73</f>
        <v>1</v>
      </c>
      <c r="X9" s="95" t="n">
        <f aca="false">Payroll!X$73</f>
        <v>1</v>
      </c>
      <c r="Y9" s="95" t="n">
        <f aca="false">Payroll!Y$73</f>
        <v>1</v>
      </c>
      <c r="Z9" s="95" t="n">
        <f aca="false">Payroll!Z$73</f>
        <v>1</v>
      </c>
      <c r="AA9" s="95" t="n">
        <f aca="false">Payroll!AA$73</f>
        <v>1</v>
      </c>
      <c r="AB9" s="78" t="n">
        <f aca="false">AN9</f>
        <v>1</v>
      </c>
      <c r="AC9" s="95" t="n">
        <f aca="false">Payroll!AC$73</f>
        <v>1</v>
      </c>
      <c r="AD9" s="95" t="n">
        <f aca="false">Payroll!AD$73</f>
        <v>1</v>
      </c>
      <c r="AE9" s="95" t="n">
        <f aca="false">Payroll!AE$73</f>
        <v>1</v>
      </c>
      <c r="AF9" s="95" t="n">
        <f aca="false">Payroll!AF$73</f>
        <v>1</v>
      </c>
      <c r="AG9" s="95" t="n">
        <f aca="false">Payroll!AG$73</f>
        <v>1</v>
      </c>
      <c r="AH9" s="95" t="n">
        <f aca="false">Payroll!AH$73</f>
        <v>1</v>
      </c>
      <c r="AI9" s="95" t="n">
        <f aca="false">Payroll!AI$73</f>
        <v>1</v>
      </c>
      <c r="AJ9" s="95" t="n">
        <f aca="false">Payroll!AJ$73</f>
        <v>1</v>
      </c>
      <c r="AK9" s="95" t="n">
        <f aca="false">Payroll!AK$73</f>
        <v>1</v>
      </c>
      <c r="AL9" s="95" t="n">
        <f aca="false">Payroll!AL$73</f>
        <v>1</v>
      </c>
      <c r="AM9" s="95" t="n">
        <f aca="false">Payroll!AM$73</f>
        <v>1</v>
      </c>
      <c r="AN9" s="95" t="n">
        <f aca="false">Payroll!AN$73</f>
        <v>1</v>
      </c>
      <c r="AO9" s="78" t="n">
        <f aca="false">BA9</f>
        <v>1</v>
      </c>
      <c r="AP9" s="95" t="n">
        <f aca="false">Payroll!AP$73</f>
        <v>1</v>
      </c>
      <c r="AQ9" s="95" t="n">
        <f aca="false">Payroll!AQ$73</f>
        <v>1</v>
      </c>
      <c r="AR9" s="95" t="n">
        <f aca="false">Payroll!AR$73</f>
        <v>1</v>
      </c>
      <c r="AS9" s="95" t="n">
        <f aca="false">Payroll!AS$73</f>
        <v>1</v>
      </c>
      <c r="AT9" s="95" t="n">
        <f aca="false">Payroll!AT$73</f>
        <v>1</v>
      </c>
      <c r="AU9" s="95" t="n">
        <f aca="false">Payroll!AU$73</f>
        <v>1</v>
      </c>
      <c r="AV9" s="95" t="n">
        <f aca="false">Payroll!AV$73</f>
        <v>1</v>
      </c>
      <c r="AW9" s="95" t="n">
        <f aca="false">Payroll!AW$73</f>
        <v>1</v>
      </c>
      <c r="AX9" s="95" t="n">
        <f aca="false">Payroll!AX$73</f>
        <v>1</v>
      </c>
      <c r="AY9" s="95" t="n">
        <f aca="false">Payroll!AY$73</f>
        <v>1</v>
      </c>
      <c r="AZ9" s="95" t="n">
        <f aca="false">Payroll!AZ$73</f>
        <v>1</v>
      </c>
      <c r="BA9" s="95" t="n">
        <f aca="false">Payroll!BA$73</f>
        <v>1</v>
      </c>
      <c r="BB9" s="78" t="n">
        <f aca="false">BN9</f>
        <v>2</v>
      </c>
      <c r="BC9" s="95" t="n">
        <f aca="false">Payroll!BC$73</f>
        <v>2</v>
      </c>
      <c r="BD9" s="95" t="n">
        <f aca="false">Payroll!BD$73</f>
        <v>2</v>
      </c>
      <c r="BE9" s="95" t="n">
        <f aca="false">Payroll!BE$73</f>
        <v>2</v>
      </c>
      <c r="BF9" s="95" t="n">
        <f aca="false">Payroll!BF$73</f>
        <v>2</v>
      </c>
      <c r="BG9" s="95" t="n">
        <f aca="false">Payroll!BG$73</f>
        <v>2</v>
      </c>
      <c r="BH9" s="95" t="n">
        <f aca="false">Payroll!BH$73</f>
        <v>2</v>
      </c>
      <c r="BI9" s="95" t="n">
        <f aca="false">Payroll!BI$73</f>
        <v>2</v>
      </c>
      <c r="BJ9" s="95" t="n">
        <f aca="false">Payroll!BJ$73</f>
        <v>2</v>
      </c>
      <c r="BK9" s="95" t="n">
        <f aca="false">Payroll!BK$73</f>
        <v>2</v>
      </c>
      <c r="BL9" s="95" t="n">
        <f aca="false">Payroll!BL$73</f>
        <v>2</v>
      </c>
      <c r="BM9" s="95" t="n">
        <f aca="false">Payroll!BM$73</f>
        <v>2</v>
      </c>
      <c r="BN9" s="95" t="n">
        <f aca="false">Payroll!BN$73</f>
        <v>2</v>
      </c>
    </row>
    <row r="10" customFormat="false" ht="15" hidden="false" customHeight="false" outlineLevel="0" collapsed="false">
      <c r="A10" s="12" t="s">
        <v>672</v>
      </c>
      <c r="B10" s="78" t="n">
        <f aca="false">N10</f>
        <v>0</v>
      </c>
      <c r="C10" s="95" t="n">
        <f aca="false">Payroll!C$74</f>
        <v>0</v>
      </c>
      <c r="D10" s="95" t="n">
        <f aca="false">Payroll!D$74</f>
        <v>0</v>
      </c>
      <c r="E10" s="95" t="n">
        <f aca="false">Payroll!E$74</f>
        <v>0</v>
      </c>
      <c r="F10" s="95" t="n">
        <f aca="false">Payroll!F$74</f>
        <v>0</v>
      </c>
      <c r="G10" s="95" t="n">
        <f aca="false">Payroll!G$74</f>
        <v>0</v>
      </c>
      <c r="H10" s="95" t="n">
        <f aca="false">Payroll!H$74</f>
        <v>0</v>
      </c>
      <c r="I10" s="95" t="n">
        <f aca="false">Payroll!I$74</f>
        <v>0</v>
      </c>
      <c r="J10" s="95" t="n">
        <f aca="false">Payroll!J$74</f>
        <v>0</v>
      </c>
      <c r="K10" s="95" t="n">
        <f aca="false">Payroll!K$74</f>
        <v>0</v>
      </c>
      <c r="L10" s="95" t="n">
        <f aca="false">Payroll!L$74</f>
        <v>0</v>
      </c>
      <c r="M10" s="95" t="n">
        <f aca="false">Payroll!M$74</f>
        <v>0</v>
      </c>
      <c r="N10" s="95" t="n">
        <f aca="false">Payroll!N$74</f>
        <v>0</v>
      </c>
      <c r="O10" s="78" t="n">
        <f aca="false">AA10</f>
        <v>1</v>
      </c>
      <c r="P10" s="95" t="n">
        <f aca="false">Payroll!P$74</f>
        <v>1</v>
      </c>
      <c r="Q10" s="95" t="n">
        <f aca="false">Payroll!Q$74</f>
        <v>1</v>
      </c>
      <c r="R10" s="95" t="n">
        <f aca="false">Payroll!R$74</f>
        <v>1</v>
      </c>
      <c r="S10" s="95" t="n">
        <f aca="false">Payroll!S$74</f>
        <v>1</v>
      </c>
      <c r="T10" s="95" t="n">
        <f aca="false">Payroll!T$74</f>
        <v>1</v>
      </c>
      <c r="U10" s="95" t="n">
        <f aca="false">Payroll!U$74</f>
        <v>1</v>
      </c>
      <c r="V10" s="95" t="n">
        <f aca="false">Payroll!V$74</f>
        <v>1</v>
      </c>
      <c r="W10" s="95" t="n">
        <f aca="false">Payroll!W$74</f>
        <v>1</v>
      </c>
      <c r="X10" s="95" t="n">
        <f aca="false">Payroll!X$74</f>
        <v>1</v>
      </c>
      <c r="Y10" s="95" t="n">
        <f aca="false">Payroll!Y$74</f>
        <v>1</v>
      </c>
      <c r="Z10" s="95" t="n">
        <f aca="false">Payroll!Z$74</f>
        <v>1</v>
      </c>
      <c r="AA10" s="95" t="n">
        <f aca="false">Payroll!AA$74</f>
        <v>1</v>
      </c>
      <c r="AB10" s="78" t="n">
        <f aca="false">AN10</f>
        <v>2</v>
      </c>
      <c r="AC10" s="95" t="n">
        <f aca="false">Payroll!AC$74</f>
        <v>2</v>
      </c>
      <c r="AD10" s="95" t="n">
        <f aca="false">Payroll!AD$74</f>
        <v>2</v>
      </c>
      <c r="AE10" s="95" t="n">
        <f aca="false">Payroll!AE$74</f>
        <v>2</v>
      </c>
      <c r="AF10" s="95" t="n">
        <f aca="false">Payroll!AF$74</f>
        <v>2</v>
      </c>
      <c r="AG10" s="95" t="n">
        <f aca="false">Payroll!AG$74</f>
        <v>2</v>
      </c>
      <c r="AH10" s="95" t="n">
        <f aca="false">Payroll!AH$74</f>
        <v>2</v>
      </c>
      <c r="AI10" s="95" t="n">
        <f aca="false">Payroll!AI$74</f>
        <v>2</v>
      </c>
      <c r="AJ10" s="95" t="n">
        <f aca="false">Payroll!AJ$74</f>
        <v>2</v>
      </c>
      <c r="AK10" s="95" t="n">
        <f aca="false">Payroll!AK$74</f>
        <v>2</v>
      </c>
      <c r="AL10" s="95" t="n">
        <f aca="false">Payroll!AL$74</f>
        <v>2</v>
      </c>
      <c r="AM10" s="95" t="n">
        <f aca="false">Payroll!AM$74</f>
        <v>2</v>
      </c>
      <c r="AN10" s="95" t="n">
        <f aca="false">Payroll!AN$74</f>
        <v>2</v>
      </c>
      <c r="AO10" s="78" t="n">
        <f aca="false">BA10</f>
        <v>3</v>
      </c>
      <c r="AP10" s="95" t="n">
        <f aca="false">Payroll!AP$74</f>
        <v>3</v>
      </c>
      <c r="AQ10" s="95" t="n">
        <f aca="false">Payroll!AQ$74</f>
        <v>3</v>
      </c>
      <c r="AR10" s="95" t="n">
        <f aca="false">Payroll!AR$74</f>
        <v>3</v>
      </c>
      <c r="AS10" s="95" t="n">
        <f aca="false">Payroll!AS$74</f>
        <v>3</v>
      </c>
      <c r="AT10" s="95" t="n">
        <f aca="false">Payroll!AT$74</f>
        <v>3</v>
      </c>
      <c r="AU10" s="95" t="n">
        <f aca="false">Payroll!AU$74</f>
        <v>3</v>
      </c>
      <c r="AV10" s="95" t="n">
        <f aca="false">Payroll!AV$74</f>
        <v>3</v>
      </c>
      <c r="AW10" s="95" t="n">
        <f aca="false">Payroll!AW$74</f>
        <v>3</v>
      </c>
      <c r="AX10" s="95" t="n">
        <f aca="false">Payroll!AX$74</f>
        <v>3</v>
      </c>
      <c r="AY10" s="95" t="n">
        <f aca="false">Payroll!AY$74</f>
        <v>3</v>
      </c>
      <c r="AZ10" s="95" t="n">
        <f aca="false">Payroll!AZ$74</f>
        <v>3</v>
      </c>
      <c r="BA10" s="95" t="n">
        <f aca="false">Payroll!BA$74</f>
        <v>3</v>
      </c>
      <c r="BB10" s="78" t="n">
        <f aca="false">BN10</f>
        <v>3</v>
      </c>
      <c r="BC10" s="95" t="n">
        <f aca="false">Payroll!BC$74</f>
        <v>3</v>
      </c>
      <c r="BD10" s="95" t="n">
        <f aca="false">Payroll!BD$74</f>
        <v>3</v>
      </c>
      <c r="BE10" s="95" t="n">
        <f aca="false">Payroll!BE$74</f>
        <v>3</v>
      </c>
      <c r="BF10" s="95" t="n">
        <f aca="false">Payroll!BF$74</f>
        <v>3</v>
      </c>
      <c r="BG10" s="95" t="n">
        <f aca="false">Payroll!BG$74</f>
        <v>3</v>
      </c>
      <c r="BH10" s="95" t="n">
        <f aca="false">Payroll!BH$74</f>
        <v>3</v>
      </c>
      <c r="BI10" s="95" t="n">
        <f aca="false">Payroll!BI$74</f>
        <v>3</v>
      </c>
      <c r="BJ10" s="95" t="n">
        <f aca="false">Payroll!BJ$74</f>
        <v>3</v>
      </c>
      <c r="BK10" s="95" t="n">
        <f aca="false">Payroll!BK$74</f>
        <v>3</v>
      </c>
      <c r="BL10" s="95" t="n">
        <f aca="false">Payroll!BL$74</f>
        <v>3</v>
      </c>
      <c r="BM10" s="95" t="n">
        <f aca="false">Payroll!BM$74</f>
        <v>3</v>
      </c>
      <c r="BN10" s="95" t="n">
        <f aca="false">Payroll!BN$74</f>
        <v>3</v>
      </c>
    </row>
    <row r="11" customFormat="false" ht="15" hidden="false" customHeight="false" outlineLevel="0" collapsed="false">
      <c r="A11" s="12" t="s">
        <v>301</v>
      </c>
      <c r="B11" s="78" t="n">
        <f aca="false">N11</f>
        <v>0</v>
      </c>
      <c r="C11" s="95" t="n">
        <f aca="false">Payroll!C$75</f>
        <v>0</v>
      </c>
      <c r="D11" s="95" t="n">
        <f aca="false">Payroll!D$75</f>
        <v>0</v>
      </c>
      <c r="E11" s="95" t="n">
        <f aca="false">Payroll!E$75</f>
        <v>0</v>
      </c>
      <c r="F11" s="95" t="n">
        <f aca="false">Payroll!F$75</f>
        <v>0</v>
      </c>
      <c r="G11" s="95" t="n">
        <f aca="false">Payroll!G$75</f>
        <v>0</v>
      </c>
      <c r="H11" s="95" t="n">
        <f aca="false">Payroll!H$75</f>
        <v>0</v>
      </c>
      <c r="I11" s="95" t="n">
        <f aca="false">Payroll!I$75</f>
        <v>0</v>
      </c>
      <c r="J11" s="95" t="n">
        <f aca="false">Payroll!J$75</f>
        <v>0</v>
      </c>
      <c r="K11" s="95" t="n">
        <f aca="false">Payroll!K$75</f>
        <v>0</v>
      </c>
      <c r="L11" s="95" t="n">
        <f aca="false">Payroll!L$75</f>
        <v>0</v>
      </c>
      <c r="M11" s="95" t="n">
        <f aca="false">Payroll!M$75</f>
        <v>0</v>
      </c>
      <c r="N11" s="95" t="n">
        <f aca="false">Payroll!N$75</f>
        <v>0</v>
      </c>
      <c r="O11" s="78" t="n">
        <f aca="false">AA11</f>
        <v>1</v>
      </c>
      <c r="P11" s="95" t="n">
        <f aca="false">Payroll!P$75</f>
        <v>1</v>
      </c>
      <c r="Q11" s="95" t="n">
        <f aca="false">Payroll!Q$75</f>
        <v>1</v>
      </c>
      <c r="R11" s="95" t="n">
        <f aca="false">Payroll!R$75</f>
        <v>1</v>
      </c>
      <c r="S11" s="95" t="n">
        <f aca="false">Payroll!S$75</f>
        <v>1</v>
      </c>
      <c r="T11" s="95" t="n">
        <f aca="false">Payroll!T$75</f>
        <v>1</v>
      </c>
      <c r="U11" s="95" t="n">
        <f aca="false">Payroll!U$75</f>
        <v>1</v>
      </c>
      <c r="V11" s="95" t="n">
        <f aca="false">Payroll!V$75</f>
        <v>1</v>
      </c>
      <c r="W11" s="95" t="n">
        <f aca="false">Payroll!W$75</f>
        <v>1</v>
      </c>
      <c r="X11" s="95" t="n">
        <f aca="false">Payroll!X$75</f>
        <v>1</v>
      </c>
      <c r="Y11" s="95" t="n">
        <f aca="false">Payroll!Y$75</f>
        <v>1</v>
      </c>
      <c r="Z11" s="95" t="n">
        <f aca="false">Payroll!Z$75</f>
        <v>1</v>
      </c>
      <c r="AA11" s="95" t="n">
        <f aca="false">Payroll!AA$75</f>
        <v>1</v>
      </c>
      <c r="AB11" s="78" t="n">
        <f aca="false">AN11</f>
        <v>2</v>
      </c>
      <c r="AC11" s="95" t="n">
        <f aca="false">Payroll!AC$75</f>
        <v>2</v>
      </c>
      <c r="AD11" s="95" t="n">
        <f aca="false">Payroll!AD$75</f>
        <v>2</v>
      </c>
      <c r="AE11" s="95" t="n">
        <f aca="false">Payroll!AE$75</f>
        <v>2</v>
      </c>
      <c r="AF11" s="95" t="n">
        <f aca="false">Payroll!AF$75</f>
        <v>2</v>
      </c>
      <c r="AG11" s="95" t="n">
        <f aca="false">Payroll!AG$75</f>
        <v>2</v>
      </c>
      <c r="AH11" s="95" t="n">
        <f aca="false">Payroll!AH$75</f>
        <v>2</v>
      </c>
      <c r="AI11" s="95" t="n">
        <f aca="false">Payroll!AI$75</f>
        <v>2</v>
      </c>
      <c r="AJ11" s="95" t="n">
        <f aca="false">Payroll!AJ$75</f>
        <v>2</v>
      </c>
      <c r="AK11" s="95" t="n">
        <f aca="false">Payroll!AK$75</f>
        <v>2</v>
      </c>
      <c r="AL11" s="95" t="n">
        <f aca="false">Payroll!AL$75</f>
        <v>2</v>
      </c>
      <c r="AM11" s="95" t="n">
        <f aca="false">Payroll!AM$75</f>
        <v>2</v>
      </c>
      <c r="AN11" s="95" t="n">
        <f aca="false">Payroll!AN$75</f>
        <v>2</v>
      </c>
      <c r="AO11" s="78" t="n">
        <f aca="false">BA11</f>
        <v>3</v>
      </c>
      <c r="AP11" s="95" t="n">
        <f aca="false">Payroll!AP$75</f>
        <v>3</v>
      </c>
      <c r="AQ11" s="95" t="n">
        <f aca="false">Payroll!AQ$75</f>
        <v>3</v>
      </c>
      <c r="AR11" s="95" t="n">
        <f aca="false">Payroll!AR$75</f>
        <v>3</v>
      </c>
      <c r="AS11" s="95" t="n">
        <f aca="false">Payroll!AS$75</f>
        <v>3</v>
      </c>
      <c r="AT11" s="95" t="n">
        <f aca="false">Payroll!AT$75</f>
        <v>3</v>
      </c>
      <c r="AU11" s="95" t="n">
        <f aca="false">Payroll!AU$75</f>
        <v>3</v>
      </c>
      <c r="AV11" s="95" t="n">
        <f aca="false">Payroll!AV$75</f>
        <v>3</v>
      </c>
      <c r="AW11" s="95" t="n">
        <f aca="false">Payroll!AW$75</f>
        <v>3</v>
      </c>
      <c r="AX11" s="95" t="n">
        <f aca="false">Payroll!AX$75</f>
        <v>3</v>
      </c>
      <c r="AY11" s="95" t="n">
        <f aca="false">Payroll!AY$75</f>
        <v>3</v>
      </c>
      <c r="AZ11" s="95" t="n">
        <f aca="false">Payroll!AZ$75</f>
        <v>3</v>
      </c>
      <c r="BA11" s="95" t="n">
        <f aca="false">Payroll!BA$75</f>
        <v>3</v>
      </c>
      <c r="BB11" s="78" t="n">
        <f aca="false">BN11</f>
        <v>4</v>
      </c>
      <c r="BC11" s="95" t="n">
        <f aca="false">Payroll!BC$75</f>
        <v>4</v>
      </c>
      <c r="BD11" s="95" t="n">
        <f aca="false">Payroll!BD$75</f>
        <v>4</v>
      </c>
      <c r="BE11" s="95" t="n">
        <f aca="false">Payroll!BE$75</f>
        <v>4</v>
      </c>
      <c r="BF11" s="95" t="n">
        <f aca="false">Payroll!BF$75</f>
        <v>4</v>
      </c>
      <c r="BG11" s="95" t="n">
        <f aca="false">Payroll!BG$75</f>
        <v>4</v>
      </c>
      <c r="BH11" s="95" t="n">
        <f aca="false">Payroll!BH$75</f>
        <v>4</v>
      </c>
      <c r="BI11" s="95" t="n">
        <f aca="false">Payroll!BI$75</f>
        <v>4</v>
      </c>
      <c r="BJ11" s="95" t="n">
        <f aca="false">Payroll!BJ$75</f>
        <v>4</v>
      </c>
      <c r="BK11" s="95" t="n">
        <f aca="false">Payroll!BK$75</f>
        <v>4</v>
      </c>
      <c r="BL11" s="95" t="n">
        <f aca="false">Payroll!BL$75</f>
        <v>4</v>
      </c>
      <c r="BM11" s="95" t="n">
        <f aca="false">Payroll!BM$75</f>
        <v>4</v>
      </c>
      <c r="BN11" s="95" t="n">
        <f aca="false">Payroll!BN$75</f>
        <v>4</v>
      </c>
    </row>
    <row r="12" customFormat="false" ht="15" hidden="false" customHeight="false" outlineLevel="0" collapsed="false">
      <c r="A12" s="12" t="s">
        <v>436</v>
      </c>
      <c r="B12" s="78" t="n">
        <f aca="false">N12</f>
        <v>16</v>
      </c>
      <c r="C12" s="95" t="n">
        <f aca="false">'Assumption Setting'!$C$194</f>
        <v>16</v>
      </c>
      <c r="D12" s="95" t="n">
        <f aca="false">'Assumption Setting'!$C$194</f>
        <v>16</v>
      </c>
      <c r="E12" s="95" t="n">
        <f aca="false">'Assumption Setting'!$C$194</f>
        <v>16</v>
      </c>
      <c r="F12" s="95" t="n">
        <f aca="false">'Assumption Setting'!$C$194</f>
        <v>16</v>
      </c>
      <c r="G12" s="95" t="n">
        <f aca="false">'Assumption Setting'!$C$194</f>
        <v>16</v>
      </c>
      <c r="H12" s="95" t="n">
        <f aca="false">'Assumption Setting'!$C$194</f>
        <v>16</v>
      </c>
      <c r="I12" s="95" t="n">
        <f aca="false">'Assumption Setting'!$C$194</f>
        <v>16</v>
      </c>
      <c r="J12" s="95" t="n">
        <f aca="false">'Assumption Setting'!$C$194</f>
        <v>16</v>
      </c>
      <c r="K12" s="95" t="n">
        <f aca="false">'Assumption Setting'!$C$194</f>
        <v>16</v>
      </c>
      <c r="L12" s="95" t="n">
        <f aca="false">'Assumption Setting'!$C$194</f>
        <v>16</v>
      </c>
      <c r="M12" s="95" t="n">
        <f aca="false">'Assumption Setting'!$C$194</f>
        <v>16</v>
      </c>
      <c r="N12" s="95" t="n">
        <f aca="false">'Assumption Setting'!$C$194</f>
        <v>16</v>
      </c>
      <c r="O12" s="78" t="n">
        <f aca="false">AA12</f>
        <v>50</v>
      </c>
      <c r="P12" s="95" t="n">
        <f aca="false">'Assumption Setting'!$D$194</f>
        <v>50</v>
      </c>
      <c r="Q12" s="95" t="n">
        <f aca="false">'Assumption Setting'!$D$194</f>
        <v>50</v>
      </c>
      <c r="R12" s="95" t="n">
        <f aca="false">'Assumption Setting'!$D$194</f>
        <v>50</v>
      </c>
      <c r="S12" s="95" t="n">
        <f aca="false">'Assumption Setting'!$D$194</f>
        <v>50</v>
      </c>
      <c r="T12" s="95" t="n">
        <f aca="false">'Assumption Setting'!$D$194</f>
        <v>50</v>
      </c>
      <c r="U12" s="95" t="n">
        <f aca="false">'Assumption Setting'!$D$194</f>
        <v>50</v>
      </c>
      <c r="V12" s="95" t="n">
        <f aca="false">'Assumption Setting'!$D$194</f>
        <v>50</v>
      </c>
      <c r="W12" s="95" t="n">
        <f aca="false">'Assumption Setting'!$D$194</f>
        <v>50</v>
      </c>
      <c r="X12" s="95" t="n">
        <f aca="false">'Assumption Setting'!$D$194</f>
        <v>50</v>
      </c>
      <c r="Y12" s="95" t="n">
        <f aca="false">'Assumption Setting'!$D$194</f>
        <v>50</v>
      </c>
      <c r="Z12" s="95" t="n">
        <f aca="false">'Assumption Setting'!$D$194</f>
        <v>50</v>
      </c>
      <c r="AA12" s="95" t="n">
        <f aca="false">'Assumption Setting'!$D$194</f>
        <v>50</v>
      </c>
      <c r="AB12" s="78" t="n">
        <f aca="false">AN12</f>
        <v>110</v>
      </c>
      <c r="AC12" s="95" t="n">
        <f aca="false">'Assumption Setting'!$E$194</f>
        <v>110</v>
      </c>
      <c r="AD12" s="95" t="n">
        <f aca="false">'Assumption Setting'!$E$194</f>
        <v>110</v>
      </c>
      <c r="AE12" s="95" t="n">
        <f aca="false">'Assumption Setting'!$E$194</f>
        <v>110</v>
      </c>
      <c r="AF12" s="95" t="n">
        <f aca="false">'Assumption Setting'!$E$194</f>
        <v>110</v>
      </c>
      <c r="AG12" s="95" t="n">
        <f aca="false">'Assumption Setting'!$E$194</f>
        <v>110</v>
      </c>
      <c r="AH12" s="95" t="n">
        <f aca="false">'Assumption Setting'!$E$194</f>
        <v>110</v>
      </c>
      <c r="AI12" s="95" t="n">
        <f aca="false">'Assumption Setting'!$E$194</f>
        <v>110</v>
      </c>
      <c r="AJ12" s="95" t="n">
        <f aca="false">'Assumption Setting'!$E$194</f>
        <v>110</v>
      </c>
      <c r="AK12" s="95" t="n">
        <f aca="false">'Assumption Setting'!$E$194</f>
        <v>110</v>
      </c>
      <c r="AL12" s="95" t="n">
        <f aca="false">'Assumption Setting'!$E$194</f>
        <v>110</v>
      </c>
      <c r="AM12" s="95" t="n">
        <f aca="false">'Assumption Setting'!$E$194</f>
        <v>110</v>
      </c>
      <c r="AN12" s="95" t="n">
        <f aca="false">'Assumption Setting'!$E$194</f>
        <v>110</v>
      </c>
      <c r="AO12" s="78" t="n">
        <f aca="false">BA12</f>
        <v>180</v>
      </c>
      <c r="AP12" s="95" t="n">
        <f aca="false">'Assumption Setting'!$F$194</f>
        <v>180</v>
      </c>
      <c r="AQ12" s="95" t="n">
        <f aca="false">'Assumption Setting'!$F$194</f>
        <v>180</v>
      </c>
      <c r="AR12" s="95" t="n">
        <f aca="false">'Assumption Setting'!$F$194</f>
        <v>180</v>
      </c>
      <c r="AS12" s="95" t="n">
        <f aca="false">'Assumption Setting'!$F$194</f>
        <v>180</v>
      </c>
      <c r="AT12" s="95" t="n">
        <f aca="false">'Assumption Setting'!$F$194</f>
        <v>180</v>
      </c>
      <c r="AU12" s="95" t="n">
        <f aca="false">'Assumption Setting'!$F$194</f>
        <v>180</v>
      </c>
      <c r="AV12" s="95" t="n">
        <f aca="false">'Assumption Setting'!$F$194</f>
        <v>180</v>
      </c>
      <c r="AW12" s="95" t="n">
        <f aca="false">'Assumption Setting'!$F$194</f>
        <v>180</v>
      </c>
      <c r="AX12" s="95" t="n">
        <f aca="false">'Assumption Setting'!$F$194</f>
        <v>180</v>
      </c>
      <c r="AY12" s="95" t="n">
        <f aca="false">'Assumption Setting'!$F$194</f>
        <v>180</v>
      </c>
      <c r="AZ12" s="95" t="n">
        <f aca="false">'Assumption Setting'!$F$194</f>
        <v>180</v>
      </c>
      <c r="BA12" s="95" t="n">
        <f aca="false">'Assumption Setting'!$F$194</f>
        <v>180</v>
      </c>
      <c r="BB12" s="78" t="n">
        <f aca="false">BN12</f>
        <v>250</v>
      </c>
      <c r="BC12" s="95" t="n">
        <f aca="false">'Assumption Setting'!$G$194</f>
        <v>250</v>
      </c>
      <c r="BD12" s="95" t="n">
        <f aca="false">'Assumption Setting'!$G$194</f>
        <v>250</v>
      </c>
      <c r="BE12" s="95" t="n">
        <f aca="false">'Assumption Setting'!$G$194</f>
        <v>250</v>
      </c>
      <c r="BF12" s="95" t="n">
        <f aca="false">'Assumption Setting'!$G$194</f>
        <v>250</v>
      </c>
      <c r="BG12" s="95" t="n">
        <f aca="false">'Assumption Setting'!$G$194</f>
        <v>250</v>
      </c>
      <c r="BH12" s="95" t="n">
        <f aca="false">'Assumption Setting'!$G$194</f>
        <v>250</v>
      </c>
      <c r="BI12" s="95" t="n">
        <f aca="false">'Assumption Setting'!$G$194</f>
        <v>250</v>
      </c>
      <c r="BJ12" s="95" t="n">
        <f aca="false">'Assumption Setting'!$G$194</f>
        <v>250</v>
      </c>
      <c r="BK12" s="95" t="n">
        <f aca="false">'Assumption Setting'!$G$194</f>
        <v>250</v>
      </c>
      <c r="BL12" s="95" t="n">
        <f aca="false">'Assumption Setting'!$G$194</f>
        <v>250</v>
      </c>
      <c r="BM12" s="95" t="n">
        <f aca="false">'Assumption Setting'!$G$194</f>
        <v>250</v>
      </c>
      <c r="BN12" s="95" t="n">
        <f aca="false">'Assumption Setting'!$G$194</f>
        <v>250</v>
      </c>
    </row>
    <row r="13" customFormat="false" ht="15" hidden="false" customHeight="false" outlineLevel="0" collapsed="false">
      <c r="A13" s="12" t="s">
        <v>673</v>
      </c>
      <c r="B13" s="80" t="n">
        <f aca="false">SUM(C13:N13)</f>
        <v>241.405671480483</v>
      </c>
      <c r="C13" s="81" t="n">
        <f aca="false">(('Revenue Streams'!C$7+'Revenue Streams'!C$8)*'Assumption Setting'!$C$151+'Revenue Streams'!C$10*'Assumption Setting'!$C$152+'Revenue Streams'!C$12*'Assumption Setting'!$C$153)*'Assumption Setting'!$C$150</f>
        <v>7.6</v>
      </c>
      <c r="D13" s="81" t="n">
        <f aca="false">(('Revenue Streams'!D$7+'Revenue Streams'!D$8)*'Assumption Setting'!$C$151+'Revenue Streams'!D$10*'Assumption Setting'!$C$152+'Revenue Streams'!D$12*'Assumption Setting'!$C$153)*'Assumption Setting'!$C$150</f>
        <v>12.16</v>
      </c>
      <c r="E13" s="81" t="n">
        <f aca="false">(('Revenue Streams'!E$7+'Revenue Streams'!E$8)*'Assumption Setting'!$C$151+'Revenue Streams'!E$10*'Assumption Setting'!$C$152+'Revenue Streams'!E$12*'Assumption Setting'!$C$153)*'Assumption Setting'!$C$150</f>
        <v>15.2</v>
      </c>
      <c r="F13" s="81" t="n">
        <f aca="false">(('Revenue Streams'!F$7+'Revenue Streams'!F$8)*'Assumption Setting'!$C$151+'Revenue Streams'!F$10*'Assumption Setting'!$C$152+'Revenue Streams'!F$12*'Assumption Setting'!$C$153)*'Assumption Setting'!$C$150</f>
        <v>16.7476815884552</v>
      </c>
      <c r="G13" s="81" t="n">
        <f aca="false">(('Revenue Streams'!G$7+'Revenue Streams'!G$8)*'Assumption Setting'!$C$151+'Revenue Streams'!G$10*'Assumption Setting'!$C$152+'Revenue Streams'!G$12*'Assumption Setting'!$C$153)*'Assumption Setting'!$C$150</f>
        <v>18.2953631769104</v>
      </c>
      <c r="H13" s="81" t="n">
        <f aca="false">(('Revenue Streams'!H$7+'Revenue Streams'!H$8)*'Assumption Setting'!$C$151+'Revenue Streams'!H$10*'Assumption Setting'!$C$152+'Revenue Streams'!H$12*'Assumption Setting'!$C$153)*'Assumption Setting'!$C$150</f>
        <v>19.8430447653656</v>
      </c>
      <c r="I13" s="81" t="n">
        <f aca="false">(('Revenue Streams'!I$7+'Revenue Streams'!I$8)*'Assumption Setting'!$C$151+'Revenue Streams'!I$10*'Assumption Setting'!$C$152+'Revenue Streams'!I$12*'Assumption Setting'!$C$153)*'Assumption Setting'!$C$150</f>
        <v>21.3907263538207</v>
      </c>
      <c r="J13" s="81" t="n">
        <f aca="false">(('Revenue Streams'!J$7+'Revenue Streams'!J$8)*'Assumption Setting'!$C$151+'Revenue Streams'!J$10*'Assumption Setting'!$C$152+'Revenue Streams'!J$12*'Assumption Setting'!$C$153)*'Assumption Setting'!$C$150</f>
        <v>22.9384079422759</v>
      </c>
      <c r="K13" s="81" t="n">
        <f aca="false">(('Revenue Streams'!K$7+'Revenue Streams'!K$8)*'Assumption Setting'!$C$151+'Revenue Streams'!K$10*'Assumption Setting'!$C$152+'Revenue Streams'!K$12*'Assumption Setting'!$C$153)*'Assumption Setting'!$C$150</f>
        <v>24.4860895307311</v>
      </c>
      <c r="L13" s="81" t="n">
        <f aca="false">(('Revenue Streams'!L$7+'Revenue Streams'!L$8)*'Assumption Setting'!$C$151+'Revenue Streams'!L$10*'Assumption Setting'!$C$152+'Revenue Streams'!L$12*'Assumption Setting'!$C$153)*'Assumption Setting'!$C$150</f>
        <v>26.0337711191863</v>
      </c>
      <c r="M13" s="81" t="n">
        <f aca="false">(('Revenue Streams'!M$7+'Revenue Streams'!M$8)*'Assumption Setting'!$C$151+'Revenue Streams'!M$10*'Assumption Setting'!$C$152+'Revenue Streams'!M$12*'Assumption Setting'!$C$153)*'Assumption Setting'!$C$150</f>
        <v>27.5814527076415</v>
      </c>
      <c r="N13" s="81" t="n">
        <f aca="false">(('Revenue Streams'!N$7+'Revenue Streams'!N$8)*'Assumption Setting'!$C$151+'Revenue Streams'!N$10*'Assumption Setting'!$C$152+'Revenue Streams'!N$12*'Assumption Setting'!$C$153)*'Assumption Setting'!$C$150</f>
        <v>29.1291342960967</v>
      </c>
      <c r="O13" s="80" t="n">
        <f aca="false">SUM(P13:AA13)</f>
        <v>732.727580960891</v>
      </c>
      <c r="P13" s="81" t="n">
        <f aca="false">(('Revenue Streams'!P$7+'Revenue Streams'!P$8)*'Assumption Setting'!$C$151+'Revenue Streams'!P$10*'Assumption Setting'!$C$152+'Revenue Streams'!P$12*'Assumption Setting'!$C$153)*'Assumption Setting'!$C$150</f>
        <v>60.7284628540839</v>
      </c>
      <c r="Q13" s="81" t="n">
        <f aca="false">(('Revenue Streams'!Q$7+'Revenue Streams'!Q$8)*'Assumption Setting'!$C$151+'Revenue Streams'!Q$10*'Assumption Setting'!$C$152+'Revenue Streams'!Q$12*'Assumption Setting'!$C$153)*'Assumption Setting'!$C$150</f>
        <v>52.8013091394923</v>
      </c>
      <c r="R13" s="81" t="n">
        <f aca="false">(('Revenue Streams'!R$7+'Revenue Streams'!R$8)*'Assumption Setting'!$C$151+'Revenue Streams'!R$10*'Assumption Setting'!$C$152+'Revenue Streams'!R$12*'Assumption Setting'!$C$153)*'Assumption Setting'!$C$150</f>
        <v>49.2814400534415</v>
      </c>
      <c r="S13" s="81" t="n">
        <f aca="false">(('Revenue Streams'!S$7+'Revenue Streams'!S$8)*'Assumption Setting'!$C$151+'Revenue Streams'!S$10*'Assumption Setting'!$C$152+'Revenue Streams'!S$12*'Assumption Setting'!$C$153)*'Assumption Setting'!$C$150</f>
        <v>52.0899602408393</v>
      </c>
      <c r="T13" s="81" t="n">
        <f aca="false">(('Revenue Streams'!T$7+'Revenue Streams'!T$8)*'Assumption Setting'!$C$151+'Revenue Streams'!T$10*'Assumption Setting'!$C$152+'Revenue Streams'!T$12*'Assumption Setting'!$C$153)*'Assumption Setting'!$C$150</f>
        <v>54.898480428237</v>
      </c>
      <c r="U13" s="81" t="n">
        <f aca="false">(('Revenue Streams'!U$7+'Revenue Streams'!U$8)*'Assumption Setting'!$C$151+'Revenue Streams'!U$10*'Assumption Setting'!$C$152+'Revenue Streams'!U$12*'Assumption Setting'!$C$153)*'Assumption Setting'!$C$150</f>
        <v>57.7070006156348</v>
      </c>
      <c r="V13" s="81" t="n">
        <f aca="false">(('Revenue Streams'!V$7+'Revenue Streams'!V$8)*'Assumption Setting'!$C$151+'Revenue Streams'!V$10*'Assumption Setting'!$C$152+'Revenue Streams'!V$12*'Assumption Setting'!$C$153)*'Assumption Setting'!$C$150</f>
        <v>60.5155208030326</v>
      </c>
      <c r="W13" s="81" t="n">
        <f aca="false">(('Revenue Streams'!W$7+'Revenue Streams'!W$8)*'Assumption Setting'!$C$151+'Revenue Streams'!W$10*'Assumption Setting'!$C$152+'Revenue Streams'!W$12*'Assumption Setting'!$C$153)*'Assumption Setting'!$C$150</f>
        <v>63.3240409904304</v>
      </c>
      <c r="X13" s="81" t="n">
        <f aca="false">(('Revenue Streams'!X$7+'Revenue Streams'!X$8)*'Assumption Setting'!$C$151+'Revenue Streams'!X$10*'Assumption Setting'!$C$152+'Revenue Streams'!X$12*'Assumption Setting'!$C$153)*'Assumption Setting'!$C$150</f>
        <v>66.1325611778282</v>
      </c>
      <c r="Y13" s="81" t="n">
        <f aca="false">(('Revenue Streams'!Y$7+'Revenue Streams'!Y$8)*'Assumption Setting'!$C$151+'Revenue Streams'!Y$10*'Assumption Setting'!$C$152+'Revenue Streams'!Y$12*'Assumption Setting'!$C$153)*'Assumption Setting'!$C$150</f>
        <v>68.9410813652259</v>
      </c>
      <c r="Z13" s="81" t="n">
        <f aca="false">(('Revenue Streams'!Z$7+'Revenue Streams'!Z$8)*'Assumption Setting'!$C$151+'Revenue Streams'!Z$10*'Assumption Setting'!$C$152+'Revenue Streams'!Z$12*'Assumption Setting'!$C$153)*'Assumption Setting'!$C$150</f>
        <v>71.7496015526237</v>
      </c>
      <c r="AA13" s="81" t="n">
        <f aca="false">(('Revenue Streams'!AA$7+'Revenue Streams'!AA$8)*'Assumption Setting'!$C$151+'Revenue Streams'!AA$10*'Assumption Setting'!$C$152+'Revenue Streams'!AA$12*'Assumption Setting'!$C$153)*'Assumption Setting'!$C$150</f>
        <v>74.5581217400215</v>
      </c>
      <c r="AB13" s="80" t="n">
        <f aca="false">SUM(AC13:AN13)</f>
        <v>1186.55287391732</v>
      </c>
      <c r="AC13" s="81" t="n">
        <f aca="false">(('Revenue Streams'!AC$7+'Revenue Streams'!AC$8)*'Assumption Setting'!$C$151+'Revenue Streams'!AC$10*'Assumption Setting'!$C$152+'Revenue Streams'!AC$12*'Assumption Setting'!$C$153)*'Assumption Setting'!$C$150</f>
        <v>77.3666419274193</v>
      </c>
      <c r="AD13" s="81" t="n">
        <f aca="false">(('Revenue Streams'!AD$7+'Revenue Streams'!AD$8)*'Assumption Setting'!$C$151+'Revenue Streams'!AD$10*'Assumption Setting'!$C$152+'Revenue Streams'!AD$12*'Assumption Setting'!$C$153)*'Assumption Setting'!$C$150</f>
        <v>80.1751621148171</v>
      </c>
      <c r="AE13" s="81" t="n">
        <f aca="false">(('Revenue Streams'!AE$7+'Revenue Streams'!AE$8)*'Assumption Setting'!$C$151+'Revenue Streams'!AE$10*'Assumption Setting'!$C$152+'Revenue Streams'!AE$12*'Assumption Setting'!$C$153)*'Assumption Setting'!$C$150</f>
        <v>83.2019764439291</v>
      </c>
      <c r="AF13" s="81" t="n">
        <f aca="false">(('Revenue Streams'!AF$7+'Revenue Streams'!AF$8)*'Assumption Setting'!$C$151+'Revenue Streams'!AF$10*'Assumption Setting'!$C$152+'Revenue Streams'!AF$12*'Assumption Setting'!$C$153)*'Assumption Setting'!$C$150</f>
        <v>87.5795610091689</v>
      </c>
      <c r="AG13" s="81" t="n">
        <f aca="false">(('Revenue Streams'!AG$7+'Revenue Streams'!AG$8)*'Assumption Setting'!$C$151+'Revenue Streams'!AG$10*'Assumption Setting'!$C$152+'Revenue Streams'!AG$12*'Assumption Setting'!$C$153)*'Assumption Setting'!$C$150</f>
        <v>91.9571455744086</v>
      </c>
      <c r="AH13" s="81" t="n">
        <f aca="false">(('Revenue Streams'!AH$7+'Revenue Streams'!AH$8)*'Assumption Setting'!$C$151+'Revenue Streams'!AH$10*'Assumption Setting'!$C$152+'Revenue Streams'!AH$12*'Assumption Setting'!$C$153)*'Assumption Setting'!$C$150</f>
        <v>96.3347301396484</v>
      </c>
      <c r="AI13" s="81" t="n">
        <f aca="false">(('Revenue Streams'!AI$7+'Revenue Streams'!AI$8)*'Assumption Setting'!$C$151+'Revenue Streams'!AI$10*'Assumption Setting'!$C$152+'Revenue Streams'!AI$12*'Assumption Setting'!$C$153)*'Assumption Setting'!$C$150</f>
        <v>100.712314704888</v>
      </c>
      <c r="AJ13" s="81" t="n">
        <f aca="false">(('Revenue Streams'!AJ$7+'Revenue Streams'!AJ$8)*'Assumption Setting'!$C$151+'Revenue Streams'!AJ$10*'Assumption Setting'!$C$152+'Revenue Streams'!AJ$12*'Assumption Setting'!$C$153)*'Assumption Setting'!$C$150</f>
        <v>105.089899270128</v>
      </c>
      <c r="AK13" s="81" t="n">
        <f aca="false">(('Revenue Streams'!AK$7+'Revenue Streams'!AK$8)*'Assumption Setting'!$C$151+'Revenue Streams'!AK$10*'Assumption Setting'!$C$152+'Revenue Streams'!AK$12*'Assumption Setting'!$C$153)*'Assumption Setting'!$C$150</f>
        <v>109.467483835368</v>
      </c>
      <c r="AL13" s="81" t="n">
        <f aca="false">(('Revenue Streams'!AL$7+'Revenue Streams'!AL$8)*'Assumption Setting'!$C$151+'Revenue Streams'!AL$10*'Assumption Setting'!$C$152+'Revenue Streams'!AL$12*'Assumption Setting'!$C$153)*'Assumption Setting'!$C$150</f>
        <v>113.845068400608</v>
      </c>
      <c r="AM13" s="81" t="n">
        <f aca="false">(('Revenue Streams'!AM$7+'Revenue Streams'!AM$8)*'Assumption Setting'!$C$151+'Revenue Streams'!AM$10*'Assumption Setting'!$C$152+'Revenue Streams'!AM$12*'Assumption Setting'!$C$153)*'Assumption Setting'!$C$150</f>
        <v>118.222652965847</v>
      </c>
      <c r="AN13" s="81" t="n">
        <f aca="false">(('Revenue Streams'!AN$7+'Revenue Streams'!AN$8)*'Assumption Setting'!$C$151+'Revenue Streams'!AN$10*'Assumption Setting'!$C$152+'Revenue Streams'!AN$12*'Assumption Setting'!$C$153)*'Assumption Setting'!$C$150</f>
        <v>122.600237531087</v>
      </c>
      <c r="AO13" s="80" t="n">
        <f aca="false">SUM(AP13:BA13)</f>
        <v>1791.89468335457</v>
      </c>
      <c r="AP13" s="81" t="n">
        <f aca="false">(('Revenue Streams'!AP$7+'Revenue Streams'!AP$8)*'Assumption Setting'!$C$151+'Revenue Streams'!AP$10*'Assumption Setting'!$C$152+'Revenue Streams'!AP$12*'Assumption Setting'!$C$153)*'Assumption Setting'!$C$150</f>
        <v>126.977822096327</v>
      </c>
      <c r="AQ13" s="81" t="n">
        <f aca="false">(('Revenue Streams'!AQ$7+'Revenue Streams'!AQ$8)*'Assumption Setting'!$C$151+'Revenue Streams'!AQ$10*'Assumption Setting'!$C$152+'Revenue Streams'!AQ$12*'Assumption Setting'!$C$153)*'Assumption Setting'!$C$150</f>
        <v>131.355406661567</v>
      </c>
      <c r="AR13" s="81" t="n">
        <f aca="false">(('Revenue Streams'!AR$7+'Revenue Streams'!AR$8)*'Assumption Setting'!$C$151+'Revenue Streams'!AR$10*'Assumption Setting'!$C$152+'Revenue Streams'!AR$12*'Assumption Setting'!$C$153)*'Assumption Setting'!$C$150</f>
        <v>135.57653541647</v>
      </c>
      <c r="AS13" s="81" t="n">
        <f aca="false">(('Revenue Streams'!AS$7+'Revenue Streams'!AS$8)*'Assumption Setting'!$C$151+'Revenue Streams'!AS$10*'Assumption Setting'!$C$152+'Revenue Streams'!AS$12*'Assumption Setting'!$C$153)*'Assumption Setting'!$C$150</f>
        <v>139.527559870514</v>
      </c>
      <c r="AT13" s="81" t="n">
        <f aca="false">(('Revenue Streams'!AT$7+'Revenue Streams'!AT$8)*'Assumption Setting'!$C$151+'Revenue Streams'!AT$10*'Assumption Setting'!$C$152+'Revenue Streams'!AT$12*'Assumption Setting'!$C$153)*'Assumption Setting'!$C$150</f>
        <v>143.478584324558</v>
      </c>
      <c r="AU13" s="81" t="n">
        <f aca="false">(('Revenue Streams'!AU$7+'Revenue Streams'!AU$8)*'Assumption Setting'!$C$151+'Revenue Streams'!AU$10*'Assumption Setting'!$C$152+'Revenue Streams'!AU$12*'Assumption Setting'!$C$153)*'Assumption Setting'!$C$150</f>
        <v>147.429608778602</v>
      </c>
      <c r="AV13" s="81" t="n">
        <f aca="false">(('Revenue Streams'!AV$7+'Revenue Streams'!AV$8)*'Assumption Setting'!$C$151+'Revenue Streams'!AV$10*'Assumption Setting'!$C$152+'Revenue Streams'!AV$12*'Assumption Setting'!$C$153)*'Assumption Setting'!$C$150</f>
        <v>151.380633232646</v>
      </c>
      <c r="AW13" s="81" t="n">
        <f aca="false">(('Revenue Streams'!AW$7+'Revenue Streams'!AW$8)*'Assumption Setting'!$C$151+'Revenue Streams'!AW$10*'Assumption Setting'!$C$152+'Revenue Streams'!AW$12*'Assumption Setting'!$C$153)*'Assumption Setting'!$C$150</f>
        <v>155.33165768669</v>
      </c>
      <c r="AX13" s="81" t="n">
        <f aca="false">(('Revenue Streams'!AX$7+'Revenue Streams'!AX$8)*'Assumption Setting'!$C$151+'Revenue Streams'!AX$10*'Assumption Setting'!$C$152+'Revenue Streams'!AX$12*'Assumption Setting'!$C$153)*'Assumption Setting'!$C$150</f>
        <v>159.282682140734</v>
      </c>
      <c r="AY13" s="81" t="n">
        <f aca="false">(('Revenue Streams'!AY$7+'Revenue Streams'!AY$8)*'Assumption Setting'!$C$151+'Revenue Streams'!AY$10*'Assumption Setting'!$C$152+'Revenue Streams'!AY$12*'Assumption Setting'!$C$153)*'Assumption Setting'!$C$150</f>
        <v>163.233706594777</v>
      </c>
      <c r="AZ13" s="81" t="n">
        <f aca="false">(('Revenue Streams'!AZ$7+'Revenue Streams'!AZ$8)*'Assumption Setting'!$C$151+'Revenue Streams'!AZ$10*'Assumption Setting'!$C$152+'Revenue Streams'!AZ$12*'Assumption Setting'!$C$153)*'Assumption Setting'!$C$150</f>
        <v>167.184731048821</v>
      </c>
      <c r="BA13" s="81" t="n">
        <f aca="false">(('Revenue Streams'!BA$7+'Revenue Streams'!BA$8)*'Assumption Setting'!$C$151+'Revenue Streams'!BA$10*'Assumption Setting'!$C$152+'Revenue Streams'!BA$12*'Assumption Setting'!$C$153)*'Assumption Setting'!$C$150</f>
        <v>171.135755502865</v>
      </c>
      <c r="BB13" s="80" t="n">
        <f aca="false">SUM(BC13:BN13)</f>
        <v>2375.43636660452</v>
      </c>
      <c r="BC13" s="81" t="n">
        <f aca="false">(('Revenue Streams'!BC$7+'Revenue Streams'!BC$8)*'Assumption Setting'!$C$151+'Revenue Streams'!BC$10*'Assumption Setting'!$C$152+'Revenue Streams'!BC$12*'Assumption Setting'!$C$153)*'Assumption Setting'!$C$150</f>
        <v>175.086779956909</v>
      </c>
      <c r="BD13" s="81" t="n">
        <f aca="false">(('Revenue Streams'!BD$7+'Revenue Streams'!BD$8)*'Assumption Setting'!$C$151+'Revenue Streams'!BD$10*'Assumption Setting'!$C$152+'Revenue Streams'!BD$12*'Assumption Setting'!$C$153)*'Assumption Setting'!$C$150</f>
        <v>179.037804410953</v>
      </c>
      <c r="BE13" s="81" t="n">
        <f aca="false">(('Revenue Streams'!BE$7+'Revenue Streams'!BE$8)*'Assumption Setting'!$C$151+'Revenue Streams'!BE$10*'Assumption Setting'!$C$152+'Revenue Streams'!BE$12*'Assumption Setting'!$C$153)*'Assumption Setting'!$C$150</f>
        <v>183.128104924762</v>
      </c>
      <c r="BF13" s="81" t="n">
        <f aca="false">(('Revenue Streams'!BF$7+'Revenue Streams'!BF$8)*'Assumption Setting'!$C$151+'Revenue Streams'!BF$10*'Assumption Setting'!$C$152+'Revenue Streams'!BF$12*'Assumption Setting'!$C$153)*'Assumption Setting'!$C$150</f>
        <v>187.351010102296</v>
      </c>
      <c r="BG13" s="81" t="n">
        <f aca="false">(('Revenue Streams'!BG$7+'Revenue Streams'!BG$8)*'Assumption Setting'!$C$151+'Revenue Streams'!BG$10*'Assumption Setting'!$C$152+'Revenue Streams'!BG$12*'Assumption Setting'!$C$153)*'Assumption Setting'!$C$150</f>
        <v>191.573915279831</v>
      </c>
      <c r="BH13" s="81" t="n">
        <f aca="false">(('Revenue Streams'!BH$7+'Revenue Streams'!BH$8)*'Assumption Setting'!$C$151+'Revenue Streams'!BH$10*'Assumption Setting'!$C$152+'Revenue Streams'!BH$12*'Assumption Setting'!$C$153)*'Assumption Setting'!$C$150</f>
        <v>195.796820457365</v>
      </c>
      <c r="BI13" s="81" t="n">
        <f aca="false">(('Revenue Streams'!BI$7+'Revenue Streams'!BI$8)*'Assumption Setting'!$C$151+'Revenue Streams'!BI$10*'Assumption Setting'!$C$152+'Revenue Streams'!BI$12*'Assumption Setting'!$C$153)*'Assumption Setting'!$C$150</f>
        <v>200.019725634899</v>
      </c>
      <c r="BJ13" s="81" t="n">
        <f aca="false">(('Revenue Streams'!BJ$7+'Revenue Streams'!BJ$8)*'Assumption Setting'!$C$151+'Revenue Streams'!BJ$10*'Assumption Setting'!$C$152+'Revenue Streams'!BJ$12*'Assumption Setting'!$C$153)*'Assumption Setting'!$C$150</f>
        <v>204.242630812433</v>
      </c>
      <c r="BK13" s="81" t="n">
        <f aca="false">(('Revenue Streams'!BK$7+'Revenue Streams'!BK$8)*'Assumption Setting'!$C$151+'Revenue Streams'!BK$10*'Assumption Setting'!$C$152+'Revenue Streams'!BK$12*'Assumption Setting'!$C$153)*'Assumption Setting'!$C$150</f>
        <v>208.465535989968</v>
      </c>
      <c r="BL13" s="81" t="n">
        <f aca="false">(('Revenue Streams'!BL$7+'Revenue Streams'!BL$8)*'Assumption Setting'!$C$151+'Revenue Streams'!BL$10*'Assumption Setting'!$C$152+'Revenue Streams'!BL$12*'Assumption Setting'!$C$153)*'Assumption Setting'!$C$150</f>
        <v>212.688441167502</v>
      </c>
      <c r="BM13" s="81" t="n">
        <f aca="false">(('Revenue Streams'!BM$7+'Revenue Streams'!BM$8)*'Assumption Setting'!$C$151+'Revenue Streams'!BM$10*'Assumption Setting'!$C$152+'Revenue Streams'!BM$12*'Assumption Setting'!$C$153)*'Assumption Setting'!$C$150</f>
        <v>216.911346345036</v>
      </c>
      <c r="BN13" s="81" t="n">
        <f aca="false">(('Revenue Streams'!BN$7+'Revenue Streams'!BN$8)*'Assumption Setting'!$C$151+'Revenue Streams'!BN$10*'Assumption Setting'!$C$152+'Revenue Streams'!BN$12*'Assumption Setting'!$C$153)*'Assumption Setting'!$C$150</f>
        <v>221.13425152257</v>
      </c>
    </row>
    <row r="14" customFormat="false" ht="15" hidden="false" customHeight="false" outlineLevel="0" collapsed="false">
      <c r="A14" s="12" t="s">
        <v>674</v>
      </c>
      <c r="B14" s="80" t="n">
        <f aca="false">MAX(C14:N14)</f>
        <v>8.32260979888477</v>
      </c>
      <c r="C14" s="81" t="n">
        <f aca="false">IFERROR(C13/'Assumption Setting'!$C$154,0)</f>
        <v>2.17142857142857</v>
      </c>
      <c r="D14" s="81" t="n">
        <f aca="false">IFERROR(D13/'Assumption Setting'!$C$154,0)</f>
        <v>3.47428571428571</v>
      </c>
      <c r="E14" s="81" t="n">
        <f aca="false">IFERROR(E13/'Assumption Setting'!$C$154,0)</f>
        <v>4.34285714285714</v>
      </c>
      <c r="F14" s="81" t="n">
        <f aca="false">IFERROR(F13/'Assumption Setting'!$C$154,0)</f>
        <v>4.78505188241577</v>
      </c>
      <c r="G14" s="81" t="n">
        <f aca="false">IFERROR(G13/'Assumption Setting'!$C$154,0)</f>
        <v>5.22724662197439</v>
      </c>
      <c r="H14" s="81" t="n">
        <f aca="false">IFERROR(H13/'Assumption Setting'!$C$154,0)</f>
        <v>5.66944136153302</v>
      </c>
      <c r="I14" s="81" t="n">
        <f aca="false">IFERROR(I13/'Assumption Setting'!$C$154,0)</f>
        <v>6.11163610109164</v>
      </c>
      <c r="J14" s="81" t="n">
        <f aca="false">IFERROR(J13/'Assumption Setting'!$C$154,0)</f>
        <v>6.55383084065027</v>
      </c>
      <c r="K14" s="81" t="n">
        <f aca="false">IFERROR(K13/'Assumption Setting'!$C$154,0)</f>
        <v>6.99602558020889</v>
      </c>
      <c r="L14" s="81" t="n">
        <f aca="false">IFERROR(L13/'Assumption Setting'!$C$154,0)</f>
        <v>7.43822031976752</v>
      </c>
      <c r="M14" s="81" t="n">
        <f aca="false">IFERROR(M13/'Assumption Setting'!$C$154,0)</f>
        <v>7.88041505932614</v>
      </c>
      <c r="N14" s="81" t="n">
        <f aca="false">IFERROR(N13/'Assumption Setting'!$C$154,0)</f>
        <v>8.32260979888477</v>
      </c>
      <c r="O14" s="80" t="n">
        <f aca="false">MAX(P14:AA14)</f>
        <v>21.302320497149</v>
      </c>
      <c r="P14" s="81" t="n">
        <f aca="false">IFERROR(P13/'Assumption Setting'!$C$154,0)</f>
        <v>17.3509893868811</v>
      </c>
      <c r="Q14" s="81" t="n">
        <f aca="false">IFERROR(Q13/'Assumption Setting'!$C$154,0)</f>
        <v>15.0860883255692</v>
      </c>
      <c r="R14" s="81" t="n">
        <f aca="false">IFERROR(R13/'Assumption Setting'!$C$154,0)</f>
        <v>14.0804114438404</v>
      </c>
      <c r="S14" s="81" t="n">
        <f aca="false">IFERROR(S13/'Assumption Setting'!$C$154,0)</f>
        <v>14.8828457830969</v>
      </c>
      <c r="T14" s="81" t="n">
        <f aca="false">IFERROR(T13/'Assumption Setting'!$C$154,0)</f>
        <v>15.6852801223534</v>
      </c>
      <c r="U14" s="81" t="n">
        <f aca="false">IFERROR(U13/'Assumption Setting'!$C$154,0)</f>
        <v>16.4877144616099</v>
      </c>
      <c r="V14" s="81" t="n">
        <f aca="false">IFERROR(V13/'Assumption Setting'!$C$154,0)</f>
        <v>17.2901488008665</v>
      </c>
      <c r="W14" s="81" t="n">
        <f aca="false">IFERROR(W13/'Assumption Setting'!$C$154,0)</f>
        <v>18.092583140123</v>
      </c>
      <c r="X14" s="81" t="n">
        <f aca="false">IFERROR(X13/'Assumption Setting'!$C$154,0)</f>
        <v>18.8950174793795</v>
      </c>
      <c r="Y14" s="81" t="n">
        <f aca="false">IFERROR(Y13/'Assumption Setting'!$C$154,0)</f>
        <v>19.697451818636</v>
      </c>
      <c r="Z14" s="81" t="n">
        <f aca="false">IFERROR(Z13/'Assumption Setting'!$C$154,0)</f>
        <v>20.4998861578925</v>
      </c>
      <c r="AA14" s="81" t="n">
        <f aca="false">IFERROR(AA13/'Assumption Setting'!$C$154,0)</f>
        <v>21.302320497149</v>
      </c>
      <c r="AB14" s="80" t="n">
        <f aca="false">MAX(AC14:AN14)</f>
        <v>35.0286392945963</v>
      </c>
      <c r="AC14" s="81" t="n">
        <f aca="false">IFERROR(AC13/'Assumption Setting'!$C$154,0)</f>
        <v>22.1047548364055</v>
      </c>
      <c r="AD14" s="81" t="n">
        <f aca="false">IFERROR(AD13/'Assumption Setting'!$C$154,0)</f>
        <v>22.907189175662</v>
      </c>
      <c r="AE14" s="81" t="n">
        <f aca="false">IFERROR(AE13/'Assumption Setting'!$C$154,0)</f>
        <v>23.771993269694</v>
      </c>
      <c r="AF14" s="81" t="n">
        <f aca="false">IFERROR(AF13/'Assumption Setting'!$C$154,0)</f>
        <v>25.0227317169054</v>
      </c>
      <c r="AG14" s="81" t="n">
        <f aca="false">IFERROR(AG13/'Assumption Setting'!$C$154,0)</f>
        <v>26.2734701641168</v>
      </c>
      <c r="AH14" s="81" t="n">
        <f aca="false">IFERROR(AH13/'Assumption Setting'!$C$154,0)</f>
        <v>27.5242086113281</v>
      </c>
      <c r="AI14" s="81" t="n">
        <f aca="false">IFERROR(AI13/'Assumption Setting'!$C$154,0)</f>
        <v>28.7749470585395</v>
      </c>
      <c r="AJ14" s="81" t="n">
        <f aca="false">IFERROR(AJ13/'Assumption Setting'!$C$154,0)</f>
        <v>30.0256855057509</v>
      </c>
      <c r="AK14" s="81" t="n">
        <f aca="false">IFERROR(AK13/'Assumption Setting'!$C$154,0)</f>
        <v>31.2764239529622</v>
      </c>
      <c r="AL14" s="81" t="n">
        <f aca="false">IFERROR(AL13/'Assumption Setting'!$C$154,0)</f>
        <v>32.5271624001736</v>
      </c>
      <c r="AM14" s="81" t="n">
        <f aca="false">IFERROR(AM13/'Assumption Setting'!$C$154,0)</f>
        <v>33.777900847385</v>
      </c>
      <c r="AN14" s="81" t="n">
        <f aca="false">IFERROR(AN13/'Assumption Setting'!$C$154,0)</f>
        <v>35.0286392945963</v>
      </c>
      <c r="AO14" s="80" t="n">
        <f aca="false">MAX(AP14:BA14)</f>
        <v>48.8959301436758</v>
      </c>
      <c r="AP14" s="81" t="n">
        <f aca="false">IFERROR(AP13/'Assumption Setting'!$C$154,0)</f>
        <v>36.2793777418077</v>
      </c>
      <c r="AQ14" s="81" t="n">
        <f aca="false">IFERROR(AQ13/'Assumption Setting'!$C$154,0)</f>
        <v>37.5301161890191</v>
      </c>
      <c r="AR14" s="81" t="n">
        <f aca="false">IFERROR(AR13/'Assumption Setting'!$C$154,0)</f>
        <v>38.7361529761343</v>
      </c>
      <c r="AS14" s="81" t="n">
        <f aca="false">IFERROR(AS13/'Assumption Setting'!$C$154,0)</f>
        <v>39.8650171058611</v>
      </c>
      <c r="AT14" s="81" t="n">
        <f aca="false">IFERROR(AT13/'Assumption Setting'!$C$154,0)</f>
        <v>40.993881235588</v>
      </c>
      <c r="AU14" s="81" t="n">
        <f aca="false">IFERROR(AU13/'Assumption Setting'!$C$154,0)</f>
        <v>42.1227453653148</v>
      </c>
      <c r="AV14" s="81" t="n">
        <f aca="false">IFERROR(AV13/'Assumption Setting'!$C$154,0)</f>
        <v>43.2516094950416</v>
      </c>
      <c r="AW14" s="81" t="n">
        <f aca="false">IFERROR(AW13/'Assumption Setting'!$C$154,0)</f>
        <v>44.3804736247685</v>
      </c>
      <c r="AX14" s="81" t="n">
        <f aca="false">IFERROR(AX13/'Assumption Setting'!$C$154,0)</f>
        <v>45.5093377544953</v>
      </c>
      <c r="AY14" s="81" t="n">
        <f aca="false">IFERROR(AY13/'Assumption Setting'!$C$154,0)</f>
        <v>46.6382018842221</v>
      </c>
      <c r="AZ14" s="81" t="n">
        <f aca="false">IFERROR(AZ13/'Assumption Setting'!$C$154,0)</f>
        <v>47.767066013949</v>
      </c>
      <c r="BA14" s="81" t="n">
        <f aca="false">IFERROR(BA13/'Assumption Setting'!$C$154,0)</f>
        <v>48.8959301436758</v>
      </c>
      <c r="BB14" s="80" t="n">
        <f aca="false">MAX(BC14:BN14)</f>
        <v>63.1812147207344</v>
      </c>
      <c r="BC14" s="81" t="n">
        <f aca="false">IFERROR(BC13/'Assumption Setting'!$C$154,0)</f>
        <v>50.0247942734026</v>
      </c>
      <c r="BD14" s="81" t="n">
        <f aca="false">IFERROR(BD13/'Assumption Setting'!$C$154,0)</f>
        <v>51.1536584031295</v>
      </c>
      <c r="BE14" s="81" t="n">
        <f aca="false">IFERROR(BE13/'Assumption Setting'!$C$154,0)</f>
        <v>52.3223156927892</v>
      </c>
      <c r="BF14" s="81" t="n">
        <f aca="false">IFERROR(BF13/'Assumption Setting'!$C$154,0)</f>
        <v>53.5288600292275</v>
      </c>
      <c r="BG14" s="81" t="n">
        <f aca="false">IFERROR(BG13/'Assumption Setting'!$C$154,0)</f>
        <v>54.7354043656659</v>
      </c>
      <c r="BH14" s="81" t="n">
        <f aca="false">IFERROR(BH13/'Assumption Setting'!$C$154,0)</f>
        <v>55.9419487021042</v>
      </c>
      <c r="BI14" s="81" t="n">
        <f aca="false">IFERROR(BI13/'Assumption Setting'!$C$154,0)</f>
        <v>57.1484930385426</v>
      </c>
      <c r="BJ14" s="81" t="n">
        <f aca="false">IFERROR(BJ13/'Assumption Setting'!$C$154,0)</f>
        <v>58.355037374981</v>
      </c>
      <c r="BK14" s="81" t="n">
        <f aca="false">IFERROR(BK13/'Assumption Setting'!$C$154,0)</f>
        <v>59.5615817114193</v>
      </c>
      <c r="BL14" s="81" t="n">
        <f aca="false">IFERROR(BL13/'Assumption Setting'!$C$154,0)</f>
        <v>60.7681260478577</v>
      </c>
      <c r="BM14" s="81" t="n">
        <f aca="false">IFERROR(BM13/'Assumption Setting'!$C$154,0)</f>
        <v>61.9746703842961</v>
      </c>
      <c r="BN14" s="81" t="n">
        <f aca="false">IFERROR(BN13/'Assumption Setting'!$C$154,0)</f>
        <v>63.1812147207344</v>
      </c>
    </row>
    <row r="15" customFormat="false" ht="15" hidden="false" customHeight="false" outlineLevel="0" collapsed="false">
      <c r="A15" s="69" t="s">
        <v>675</v>
      </c>
      <c r="B15" s="78" t="n">
        <f aca="false">N15</f>
        <v>10</v>
      </c>
      <c r="C15" s="94" t="n">
        <f aca="false">ROUNDUP(C14*'Assumption Setting'!$C$155,0)</f>
        <v>3</v>
      </c>
      <c r="D15" s="94" t="n">
        <f aca="false">ROUNDUP(D14*'Assumption Setting'!$C$155,0)</f>
        <v>5</v>
      </c>
      <c r="E15" s="94" t="n">
        <f aca="false">ROUNDUP(E14*'Assumption Setting'!$C$155,0)</f>
        <v>6</v>
      </c>
      <c r="F15" s="94" t="n">
        <f aca="false">ROUNDUP(F14*'Assumption Setting'!$C$155,0)</f>
        <v>6</v>
      </c>
      <c r="G15" s="94" t="n">
        <f aca="false">ROUNDUP(G14*'Assumption Setting'!$C$155,0)</f>
        <v>7</v>
      </c>
      <c r="H15" s="94" t="n">
        <f aca="false">ROUNDUP(H14*'Assumption Setting'!$C$155,0)</f>
        <v>7</v>
      </c>
      <c r="I15" s="94" t="n">
        <f aca="false">ROUNDUP(I14*'Assumption Setting'!$C$155,0)</f>
        <v>8</v>
      </c>
      <c r="J15" s="94" t="n">
        <f aca="false">ROUNDUP(J14*'Assumption Setting'!$C$155,0)</f>
        <v>8</v>
      </c>
      <c r="K15" s="94" t="n">
        <f aca="false">ROUNDUP(K14*'Assumption Setting'!$C$155,0)</f>
        <v>9</v>
      </c>
      <c r="L15" s="94" t="n">
        <f aca="false">ROUNDUP(L14*'Assumption Setting'!$C$155,0)</f>
        <v>9</v>
      </c>
      <c r="M15" s="94" t="n">
        <f aca="false">ROUNDUP(M14*'Assumption Setting'!$C$155,0)</f>
        <v>10</v>
      </c>
      <c r="N15" s="94" t="n">
        <f aca="false">ROUNDUP(N14*'Assumption Setting'!$C$155,0)</f>
        <v>10</v>
      </c>
      <c r="O15" s="78" t="n">
        <f aca="false">AA15</f>
        <v>26</v>
      </c>
      <c r="P15" s="94" t="n">
        <f aca="false">ROUNDUP(P14*'Assumption Setting'!$C$155,0)</f>
        <v>21</v>
      </c>
      <c r="Q15" s="94" t="n">
        <f aca="false">ROUNDUP(Q14*'Assumption Setting'!$C$155,0)</f>
        <v>19</v>
      </c>
      <c r="R15" s="94" t="n">
        <f aca="false">ROUNDUP(R14*'Assumption Setting'!$C$155,0)</f>
        <v>17</v>
      </c>
      <c r="S15" s="94" t="n">
        <f aca="false">ROUNDUP(S14*'Assumption Setting'!$C$155,0)</f>
        <v>18</v>
      </c>
      <c r="T15" s="94" t="n">
        <f aca="false">ROUNDUP(T14*'Assumption Setting'!$C$155,0)</f>
        <v>19</v>
      </c>
      <c r="U15" s="94" t="n">
        <f aca="false">ROUNDUP(U14*'Assumption Setting'!$C$155,0)</f>
        <v>20</v>
      </c>
      <c r="V15" s="94" t="n">
        <f aca="false">ROUNDUP(V14*'Assumption Setting'!$C$155,0)</f>
        <v>21</v>
      </c>
      <c r="W15" s="94" t="n">
        <f aca="false">ROUNDUP(W14*'Assumption Setting'!$C$155,0)</f>
        <v>22</v>
      </c>
      <c r="X15" s="94" t="n">
        <f aca="false">ROUNDUP(X14*'Assumption Setting'!$C$155,0)</f>
        <v>23</v>
      </c>
      <c r="Y15" s="94" t="n">
        <f aca="false">ROUNDUP(Y14*'Assumption Setting'!$C$155,0)</f>
        <v>24</v>
      </c>
      <c r="Z15" s="94" t="n">
        <f aca="false">ROUNDUP(Z14*'Assumption Setting'!$C$155,0)</f>
        <v>25</v>
      </c>
      <c r="AA15" s="94" t="n">
        <f aca="false">ROUNDUP(AA14*'Assumption Setting'!$C$155,0)</f>
        <v>26</v>
      </c>
      <c r="AB15" s="78" t="n">
        <f aca="false">AN15</f>
        <v>43</v>
      </c>
      <c r="AC15" s="94" t="n">
        <f aca="false">ROUNDUP(AC14*'Assumption Setting'!$C$155,0)</f>
        <v>27</v>
      </c>
      <c r="AD15" s="94" t="n">
        <f aca="false">ROUNDUP(AD14*'Assumption Setting'!$C$155,0)</f>
        <v>28</v>
      </c>
      <c r="AE15" s="94" t="n">
        <f aca="false">ROUNDUP(AE14*'Assumption Setting'!$C$155,0)</f>
        <v>29</v>
      </c>
      <c r="AF15" s="94" t="n">
        <f aca="false">ROUNDUP(AF14*'Assumption Setting'!$C$155,0)</f>
        <v>31</v>
      </c>
      <c r="AG15" s="94" t="n">
        <f aca="false">ROUNDUP(AG14*'Assumption Setting'!$C$155,0)</f>
        <v>32</v>
      </c>
      <c r="AH15" s="94" t="n">
        <f aca="false">ROUNDUP(AH14*'Assumption Setting'!$C$155,0)</f>
        <v>34</v>
      </c>
      <c r="AI15" s="94" t="n">
        <f aca="false">ROUNDUP(AI14*'Assumption Setting'!$C$155,0)</f>
        <v>35</v>
      </c>
      <c r="AJ15" s="94" t="n">
        <f aca="false">ROUNDUP(AJ14*'Assumption Setting'!$C$155,0)</f>
        <v>37</v>
      </c>
      <c r="AK15" s="94" t="n">
        <f aca="false">ROUNDUP(AK14*'Assumption Setting'!$C$155,0)</f>
        <v>38</v>
      </c>
      <c r="AL15" s="94" t="n">
        <f aca="false">ROUNDUP(AL14*'Assumption Setting'!$C$155,0)</f>
        <v>40</v>
      </c>
      <c r="AM15" s="94" t="n">
        <f aca="false">ROUNDUP(AM14*'Assumption Setting'!$C$155,0)</f>
        <v>41</v>
      </c>
      <c r="AN15" s="94" t="n">
        <f aca="false">ROUNDUP(AN14*'Assumption Setting'!$C$155,0)</f>
        <v>43</v>
      </c>
      <c r="AO15" s="78" t="n">
        <f aca="false">BA15</f>
        <v>59</v>
      </c>
      <c r="AP15" s="94" t="n">
        <f aca="false">ROUNDUP(AP14*'Assumption Setting'!$C$155,0)</f>
        <v>44</v>
      </c>
      <c r="AQ15" s="94" t="n">
        <f aca="false">ROUNDUP(AQ14*'Assumption Setting'!$C$155,0)</f>
        <v>46</v>
      </c>
      <c r="AR15" s="94" t="n">
        <f aca="false">ROUNDUP(AR14*'Assumption Setting'!$C$155,0)</f>
        <v>47</v>
      </c>
      <c r="AS15" s="94" t="n">
        <f aca="false">ROUNDUP(AS14*'Assumption Setting'!$C$155,0)</f>
        <v>48</v>
      </c>
      <c r="AT15" s="94" t="n">
        <f aca="false">ROUNDUP(AT14*'Assumption Setting'!$C$155,0)</f>
        <v>50</v>
      </c>
      <c r="AU15" s="94" t="n">
        <f aca="false">ROUNDUP(AU14*'Assumption Setting'!$C$155,0)</f>
        <v>51</v>
      </c>
      <c r="AV15" s="94" t="n">
        <f aca="false">ROUNDUP(AV14*'Assumption Setting'!$C$155,0)</f>
        <v>52</v>
      </c>
      <c r="AW15" s="94" t="n">
        <f aca="false">ROUNDUP(AW14*'Assumption Setting'!$C$155,0)</f>
        <v>54</v>
      </c>
      <c r="AX15" s="94" t="n">
        <f aca="false">ROUNDUP(AX14*'Assumption Setting'!$C$155,0)</f>
        <v>55</v>
      </c>
      <c r="AY15" s="94" t="n">
        <f aca="false">ROUNDUP(AY14*'Assumption Setting'!$C$155,0)</f>
        <v>56</v>
      </c>
      <c r="AZ15" s="94" t="n">
        <f aca="false">ROUNDUP(AZ14*'Assumption Setting'!$C$155,0)</f>
        <v>58</v>
      </c>
      <c r="BA15" s="94" t="n">
        <f aca="false">ROUNDUP(BA14*'Assumption Setting'!$C$155,0)</f>
        <v>59</v>
      </c>
      <c r="BB15" s="78" t="n">
        <f aca="false">BN15</f>
        <v>76</v>
      </c>
      <c r="BC15" s="94" t="n">
        <f aca="false">ROUNDUP(BC14*'Assumption Setting'!$C$155,0)</f>
        <v>61</v>
      </c>
      <c r="BD15" s="94" t="n">
        <f aca="false">ROUNDUP(BD14*'Assumption Setting'!$C$155,0)</f>
        <v>62</v>
      </c>
      <c r="BE15" s="94" t="n">
        <f aca="false">ROUNDUP(BE14*'Assumption Setting'!$C$155,0)</f>
        <v>63</v>
      </c>
      <c r="BF15" s="94" t="n">
        <f aca="false">ROUNDUP(BF14*'Assumption Setting'!$C$155,0)</f>
        <v>65</v>
      </c>
      <c r="BG15" s="94" t="n">
        <f aca="false">ROUNDUP(BG14*'Assumption Setting'!$C$155,0)</f>
        <v>66</v>
      </c>
      <c r="BH15" s="94" t="n">
        <f aca="false">ROUNDUP(BH14*'Assumption Setting'!$C$155,0)</f>
        <v>68</v>
      </c>
      <c r="BI15" s="94" t="n">
        <f aca="false">ROUNDUP(BI14*'Assumption Setting'!$C$155,0)</f>
        <v>69</v>
      </c>
      <c r="BJ15" s="94" t="n">
        <f aca="false">ROUNDUP(BJ14*'Assumption Setting'!$C$155,0)</f>
        <v>71</v>
      </c>
      <c r="BK15" s="94" t="n">
        <f aca="false">ROUNDUP(BK14*'Assumption Setting'!$C$155,0)</f>
        <v>72</v>
      </c>
      <c r="BL15" s="94" t="n">
        <f aca="false">ROUNDUP(BL14*'Assumption Setting'!$C$155,0)</f>
        <v>73</v>
      </c>
      <c r="BM15" s="94" t="n">
        <f aca="false">ROUNDUP(BM14*'Assumption Setting'!$C$155,0)</f>
        <v>75</v>
      </c>
      <c r="BN15" s="94" t="n">
        <f aca="false">ROUNDUP(BN14*'Assumption Setting'!$C$155,0)</f>
        <v>76</v>
      </c>
    </row>
    <row r="16" customFormat="false" ht="15" hidden="false" customHeight="false" outlineLevel="0" collapsed="false">
      <c r="A16" s="12" t="s">
        <v>676</v>
      </c>
      <c r="B16" s="78" t="n">
        <f aca="false">SUM(C16:N16)</f>
        <v>10</v>
      </c>
      <c r="C16" s="79" t="n">
        <f aca="false">C15</f>
        <v>3</v>
      </c>
      <c r="D16" s="79" t="n">
        <f aca="false">MAX(0,D15-C15)</f>
        <v>2</v>
      </c>
      <c r="E16" s="79" t="n">
        <f aca="false">MAX(0,E15-D15)</f>
        <v>1</v>
      </c>
      <c r="F16" s="79" t="n">
        <f aca="false">MAX(0,F15-E15)</f>
        <v>0</v>
      </c>
      <c r="G16" s="79" t="n">
        <f aca="false">MAX(0,G15-F15)</f>
        <v>1</v>
      </c>
      <c r="H16" s="79" t="n">
        <f aca="false">MAX(0,H15-G15)</f>
        <v>0</v>
      </c>
      <c r="I16" s="79" t="n">
        <f aca="false">MAX(0,I15-H15)</f>
        <v>1</v>
      </c>
      <c r="J16" s="79" t="n">
        <f aca="false">MAX(0,J15-I15)</f>
        <v>0</v>
      </c>
      <c r="K16" s="79" t="n">
        <f aca="false">MAX(0,K15-J15)</f>
        <v>1</v>
      </c>
      <c r="L16" s="79" t="n">
        <f aca="false">MAX(0,L15-K15)</f>
        <v>0</v>
      </c>
      <c r="M16" s="79" t="n">
        <f aca="false">MAX(0,M15-L15)</f>
        <v>1</v>
      </c>
      <c r="N16" s="79" t="n">
        <f aca="false">MAX(0,N15-M15)</f>
        <v>0</v>
      </c>
      <c r="O16" s="78" t="n">
        <f aca="false">SUM(P16:AA16)</f>
        <v>20</v>
      </c>
      <c r="P16" s="79" t="n">
        <f aca="false">MAX(0,P15-N15)</f>
        <v>11</v>
      </c>
      <c r="Q16" s="79" t="n">
        <f aca="false">MAX(0,Q15-P15)</f>
        <v>0</v>
      </c>
      <c r="R16" s="79" t="n">
        <f aca="false">MAX(0,R15-Q15)</f>
        <v>0</v>
      </c>
      <c r="S16" s="79" t="n">
        <f aca="false">MAX(0,S15-R15)</f>
        <v>1</v>
      </c>
      <c r="T16" s="79" t="n">
        <f aca="false">MAX(0,T15-S15)</f>
        <v>1</v>
      </c>
      <c r="U16" s="79" t="n">
        <f aca="false">MAX(0,U15-T15)</f>
        <v>1</v>
      </c>
      <c r="V16" s="79" t="n">
        <f aca="false">MAX(0,V15-U15)</f>
        <v>1</v>
      </c>
      <c r="W16" s="79" t="n">
        <f aca="false">MAX(0,W15-V15)</f>
        <v>1</v>
      </c>
      <c r="X16" s="79" t="n">
        <f aca="false">MAX(0,X15-W15)</f>
        <v>1</v>
      </c>
      <c r="Y16" s="79" t="n">
        <f aca="false">MAX(0,Y15-X15)</f>
        <v>1</v>
      </c>
      <c r="Z16" s="79" t="n">
        <f aca="false">MAX(0,Z15-Y15)</f>
        <v>1</v>
      </c>
      <c r="AA16" s="79" t="n">
        <f aca="false">MAX(0,AA15-Z15)</f>
        <v>1</v>
      </c>
      <c r="AB16" s="78" t="n">
        <f aca="false">SUM(AC16:AN16)</f>
        <v>17</v>
      </c>
      <c r="AC16" s="79" t="n">
        <f aca="false">MAX(0,AC15-AA15)</f>
        <v>1</v>
      </c>
      <c r="AD16" s="79" t="n">
        <f aca="false">MAX(0,AD15-AC15)</f>
        <v>1</v>
      </c>
      <c r="AE16" s="79" t="n">
        <f aca="false">MAX(0,AE15-AD15)</f>
        <v>1</v>
      </c>
      <c r="AF16" s="79" t="n">
        <f aca="false">MAX(0,AF15-AE15)</f>
        <v>2</v>
      </c>
      <c r="AG16" s="79" t="n">
        <f aca="false">MAX(0,AG15-AF15)</f>
        <v>1</v>
      </c>
      <c r="AH16" s="79" t="n">
        <f aca="false">MAX(0,AH15-AG15)</f>
        <v>2</v>
      </c>
      <c r="AI16" s="79" t="n">
        <f aca="false">MAX(0,AI15-AH15)</f>
        <v>1</v>
      </c>
      <c r="AJ16" s="79" t="n">
        <f aca="false">MAX(0,AJ15-AI15)</f>
        <v>2</v>
      </c>
      <c r="AK16" s="79" t="n">
        <f aca="false">MAX(0,AK15-AJ15)</f>
        <v>1</v>
      </c>
      <c r="AL16" s="79" t="n">
        <f aca="false">MAX(0,AL15-AK15)</f>
        <v>2</v>
      </c>
      <c r="AM16" s="79" t="n">
        <f aca="false">MAX(0,AM15-AL15)</f>
        <v>1</v>
      </c>
      <c r="AN16" s="79" t="n">
        <f aca="false">MAX(0,AN15-AM15)</f>
        <v>2</v>
      </c>
      <c r="AO16" s="78" t="n">
        <f aca="false">SUM(AP16:BA16)</f>
        <v>16</v>
      </c>
      <c r="AP16" s="79" t="n">
        <f aca="false">MAX(0,AP15-AN15)</f>
        <v>1</v>
      </c>
      <c r="AQ16" s="79" t="n">
        <f aca="false">MAX(0,AQ15-AP15)</f>
        <v>2</v>
      </c>
      <c r="AR16" s="79" t="n">
        <f aca="false">MAX(0,AR15-AQ15)</f>
        <v>1</v>
      </c>
      <c r="AS16" s="79" t="n">
        <f aca="false">MAX(0,AS15-AR15)</f>
        <v>1</v>
      </c>
      <c r="AT16" s="79" t="n">
        <f aca="false">MAX(0,AT15-AS15)</f>
        <v>2</v>
      </c>
      <c r="AU16" s="79" t="n">
        <f aca="false">MAX(0,AU15-AT15)</f>
        <v>1</v>
      </c>
      <c r="AV16" s="79" t="n">
        <f aca="false">MAX(0,AV15-AU15)</f>
        <v>1</v>
      </c>
      <c r="AW16" s="79" t="n">
        <f aca="false">MAX(0,AW15-AV15)</f>
        <v>2</v>
      </c>
      <c r="AX16" s="79" t="n">
        <f aca="false">MAX(0,AX15-AW15)</f>
        <v>1</v>
      </c>
      <c r="AY16" s="79" t="n">
        <f aca="false">MAX(0,AY15-AX15)</f>
        <v>1</v>
      </c>
      <c r="AZ16" s="79" t="n">
        <f aca="false">MAX(0,AZ15-AY15)</f>
        <v>2</v>
      </c>
      <c r="BA16" s="79" t="n">
        <f aca="false">MAX(0,BA15-AZ15)</f>
        <v>1</v>
      </c>
      <c r="BB16" s="78" t="n">
        <f aca="false">SUM(BC16:BN16)</f>
        <v>17</v>
      </c>
      <c r="BC16" s="79" t="n">
        <f aca="false">MAX(0,BC15-BA15)</f>
        <v>2</v>
      </c>
      <c r="BD16" s="79" t="n">
        <f aca="false">MAX(0,BD15-BC15)</f>
        <v>1</v>
      </c>
      <c r="BE16" s="79" t="n">
        <f aca="false">MAX(0,BE15-BD15)</f>
        <v>1</v>
      </c>
      <c r="BF16" s="79" t="n">
        <f aca="false">MAX(0,BF15-BE15)</f>
        <v>2</v>
      </c>
      <c r="BG16" s="79" t="n">
        <f aca="false">MAX(0,BG15-BF15)</f>
        <v>1</v>
      </c>
      <c r="BH16" s="79" t="n">
        <f aca="false">MAX(0,BH15-BG15)</f>
        <v>2</v>
      </c>
      <c r="BI16" s="79" t="n">
        <f aca="false">MAX(0,BI15-BH15)</f>
        <v>1</v>
      </c>
      <c r="BJ16" s="79" t="n">
        <f aca="false">MAX(0,BJ15-BI15)</f>
        <v>2</v>
      </c>
      <c r="BK16" s="79" t="n">
        <f aca="false">MAX(0,BK15-BJ15)</f>
        <v>1</v>
      </c>
      <c r="BL16" s="79" t="n">
        <f aca="false">MAX(0,BL15-BK15)</f>
        <v>1</v>
      </c>
      <c r="BM16" s="79" t="n">
        <f aca="false">MAX(0,BM15-BL15)</f>
        <v>2</v>
      </c>
      <c r="BN16" s="79" t="n">
        <f aca="false">MAX(0,BN15-BM15)</f>
        <v>1</v>
      </c>
    </row>
    <row r="17" customFormat="false" ht="15" hidden="false" customHeight="false" outlineLevel="0" collapsed="false">
      <c r="A17" s="12" t="s">
        <v>677</v>
      </c>
      <c r="B17" s="80" t="n">
        <f aca="false">SUM(C17:N17)</f>
        <v>0</v>
      </c>
      <c r="C17" s="81" t="n">
        <f aca="false">'Revenue Streams'!C$21*'Assumption Setting'!$C$174</f>
        <v>0</v>
      </c>
      <c r="D17" s="81" t="n">
        <f aca="false">'Revenue Streams'!D$21*'Assumption Setting'!$C$174</f>
        <v>0</v>
      </c>
      <c r="E17" s="81" t="n">
        <f aca="false">'Revenue Streams'!E$21*'Assumption Setting'!$C$174</f>
        <v>0</v>
      </c>
      <c r="F17" s="81" t="n">
        <f aca="false">'Revenue Streams'!F$21*'Assumption Setting'!$C$174</f>
        <v>0</v>
      </c>
      <c r="G17" s="81" t="n">
        <f aca="false">'Revenue Streams'!G$21*'Assumption Setting'!$C$174</f>
        <v>0</v>
      </c>
      <c r="H17" s="81" t="n">
        <f aca="false">'Revenue Streams'!H$21*'Assumption Setting'!$C$174</f>
        <v>0</v>
      </c>
      <c r="I17" s="81" t="n">
        <f aca="false">'Revenue Streams'!I$21*'Assumption Setting'!$C$174</f>
        <v>0</v>
      </c>
      <c r="J17" s="81" t="n">
        <f aca="false">'Revenue Streams'!J$21*'Assumption Setting'!$C$174</f>
        <v>0</v>
      </c>
      <c r="K17" s="81" t="n">
        <f aca="false">'Revenue Streams'!K$21*'Assumption Setting'!$C$174</f>
        <v>0</v>
      </c>
      <c r="L17" s="81" t="n">
        <f aca="false">'Revenue Streams'!L$21*'Assumption Setting'!$C$174</f>
        <v>0</v>
      </c>
      <c r="M17" s="81" t="n">
        <f aca="false">'Revenue Streams'!M$21*'Assumption Setting'!$C$174</f>
        <v>0</v>
      </c>
      <c r="N17" s="81" t="n">
        <f aca="false">'Revenue Streams'!N$21*'Assumption Setting'!$C$174</f>
        <v>0</v>
      </c>
      <c r="O17" s="80" t="n">
        <f aca="false">SUM(P17:AA17)</f>
        <v>5.28437317264857</v>
      </c>
      <c r="P17" s="81" t="n">
        <f aca="false">'Revenue Streams'!P$21*'Assumption Setting'!$D$174</f>
        <v>0.42794611092154</v>
      </c>
      <c r="Q17" s="81" t="n">
        <f aca="false">'Revenue Streams'!Q$21*'Assumption Setting'!$D$174</f>
        <v>0.37740738868036</v>
      </c>
      <c r="R17" s="81" t="n">
        <f aca="false">'Revenue Streams'!R$21*'Assumption Setting'!$D$174</f>
        <v>0.35648146088173</v>
      </c>
      <c r="S17" s="81" t="n">
        <f aca="false">'Revenue Streams'!S$21*'Assumption Setting'!$D$174</f>
        <v>0.376797128975716</v>
      </c>
      <c r="T17" s="81" t="n">
        <f aca="false">'Revenue Streams'!T$21*'Assumption Setting'!$D$174</f>
        <v>0.397112797069702</v>
      </c>
      <c r="U17" s="81" t="n">
        <f aca="false">'Revenue Streams'!U$21*'Assumption Setting'!$D$174</f>
        <v>0.417428465163688</v>
      </c>
      <c r="V17" s="81" t="n">
        <f aca="false">'Revenue Streams'!V$21*'Assumption Setting'!$D$174</f>
        <v>0.437744133257674</v>
      </c>
      <c r="W17" s="81" t="n">
        <f aca="false">'Revenue Streams'!W$21*'Assumption Setting'!$D$174</f>
        <v>0.45805980135166</v>
      </c>
      <c r="X17" s="81" t="n">
        <f aca="false">'Revenue Streams'!X$21*'Assumption Setting'!$D$174</f>
        <v>0.478375469445646</v>
      </c>
      <c r="Y17" s="81" t="n">
        <f aca="false">'Revenue Streams'!Y$21*'Assumption Setting'!$D$174</f>
        <v>0.498691137539632</v>
      </c>
      <c r="Z17" s="81" t="n">
        <f aca="false">'Revenue Streams'!Z$21*'Assumption Setting'!$D$174</f>
        <v>0.519006805633618</v>
      </c>
      <c r="AA17" s="81" t="n">
        <f aca="false">'Revenue Streams'!AA$21*'Assumption Setting'!$D$174</f>
        <v>0.539322473727604</v>
      </c>
      <c r="AB17" s="80" t="n">
        <f aca="false">SUM(AC17:AN17)</f>
        <v>23.6033338105404</v>
      </c>
      <c r="AC17" s="81" t="n">
        <f aca="false">'Revenue Streams'!AC$21*'Assumption Setting'!$E$174</f>
        <v>1.53900489000937</v>
      </c>
      <c r="AD17" s="81" t="n">
        <f aca="false">'Revenue Streams'!AD$21*'Assumption Setting'!$E$174</f>
        <v>1.59487297726784</v>
      </c>
      <c r="AE17" s="81" t="n">
        <f aca="false">'Revenue Streams'!AE$21*'Assumption Setting'!$E$174</f>
        <v>1.65508344960582</v>
      </c>
      <c r="AF17" s="81" t="n">
        <f aca="false">'Revenue Streams'!AF$21*'Assumption Setting'!$E$174</f>
        <v>1.74216392621038</v>
      </c>
      <c r="AG17" s="81" t="n">
        <f aca="false">'Revenue Streams'!AG$21*'Assumption Setting'!$E$174</f>
        <v>1.82924440281493</v>
      </c>
      <c r="AH17" s="81" t="n">
        <f aca="false">'Revenue Streams'!AH$21*'Assumption Setting'!$E$174</f>
        <v>1.91632487941949</v>
      </c>
      <c r="AI17" s="81" t="n">
        <f aca="false">'Revenue Streams'!AI$21*'Assumption Setting'!$E$174</f>
        <v>2.00340535602404</v>
      </c>
      <c r="AJ17" s="81" t="n">
        <f aca="false">'Revenue Streams'!AJ$21*'Assumption Setting'!$E$174</f>
        <v>2.0904858326286</v>
      </c>
      <c r="AK17" s="81" t="n">
        <f aca="false">'Revenue Streams'!AK$21*'Assumption Setting'!$E$174</f>
        <v>2.17756630923315</v>
      </c>
      <c r="AL17" s="81" t="n">
        <f aca="false">'Revenue Streams'!AL$21*'Assumption Setting'!$E$174</f>
        <v>2.26464678583771</v>
      </c>
      <c r="AM17" s="81" t="n">
        <f aca="false">'Revenue Streams'!AM$21*'Assumption Setting'!$E$174</f>
        <v>2.35172726244226</v>
      </c>
      <c r="AN17" s="81" t="n">
        <f aca="false">'Revenue Streams'!AN$21*'Assumption Setting'!$E$174</f>
        <v>2.43880773904681</v>
      </c>
      <c r="AO17" s="80" t="n">
        <f aca="false">SUM(AP17:BA17)</f>
        <v>56.7079695270445</v>
      </c>
      <c r="AP17" s="81" t="n">
        <f aca="false">'Revenue Streams'!AP$21*'Assumption Setting'!$F$174</f>
        <v>4.01845852489991</v>
      </c>
      <c r="AQ17" s="81" t="n">
        <f aca="false">'Revenue Streams'!AQ$21*'Assumption Setting'!$F$174</f>
        <v>4.15699564677079</v>
      </c>
      <c r="AR17" s="81" t="n">
        <f aca="false">'Revenue Streams'!AR$21*'Assumption Setting'!$F$174</f>
        <v>4.29058142222198</v>
      </c>
      <c r="AS17" s="81" t="n">
        <f aca="false">'Revenue Streams'!AS$21*'Assumption Setting'!$F$174</f>
        <v>4.41561922518096</v>
      </c>
      <c r="AT17" s="81" t="n">
        <f aca="false">'Revenue Streams'!AT$21*'Assumption Setting'!$F$174</f>
        <v>4.54065702813994</v>
      </c>
      <c r="AU17" s="81" t="n">
        <f aca="false">'Revenue Streams'!AU$21*'Assumption Setting'!$F$174</f>
        <v>4.66569483109892</v>
      </c>
      <c r="AV17" s="81" t="n">
        <f aca="false">'Revenue Streams'!AV$21*'Assumption Setting'!$F$174</f>
        <v>4.79073263405789</v>
      </c>
      <c r="AW17" s="81" t="n">
        <f aca="false">'Revenue Streams'!AW$21*'Assumption Setting'!$F$174</f>
        <v>4.91577043701687</v>
      </c>
      <c r="AX17" s="81" t="n">
        <f aca="false">'Revenue Streams'!AX$21*'Assumption Setting'!$F$174</f>
        <v>5.04080823997585</v>
      </c>
      <c r="AY17" s="81" t="n">
        <f aca="false">'Revenue Streams'!AY$21*'Assumption Setting'!$F$174</f>
        <v>5.16584604293483</v>
      </c>
      <c r="AZ17" s="81" t="n">
        <f aca="false">'Revenue Streams'!AZ$21*'Assumption Setting'!$F$174</f>
        <v>5.29088384589381</v>
      </c>
      <c r="BA17" s="81" t="n">
        <f aca="false">'Revenue Streams'!BA$21*'Assumption Setting'!$F$174</f>
        <v>5.41592164885279</v>
      </c>
      <c r="BB17" s="80" t="n">
        <f aca="false">SUM(BC17:BN17)</f>
        <v>96.6539232052218</v>
      </c>
      <c r="BC17" s="81" t="n">
        <f aca="false">'Revenue Streams'!BC$21*'Assumption Setting'!$G$174</f>
        <v>7.12409072375799</v>
      </c>
      <c r="BD17" s="81" t="n">
        <f aca="false">'Revenue Streams'!BD$21*'Assumption Setting'!$G$174</f>
        <v>7.28485361327667</v>
      </c>
      <c r="BE17" s="81" t="n">
        <f aca="false">'Revenue Streams'!BE$21*'Assumption Setting'!$G$174</f>
        <v>7.45128349424758</v>
      </c>
      <c r="BF17" s="81" t="n">
        <f aca="false">'Revenue Streams'!BF$21*'Assumption Setting'!$G$174</f>
        <v>7.62310891481895</v>
      </c>
      <c r="BG17" s="81" t="n">
        <f aca="false">'Revenue Streams'!BG$21*'Assumption Setting'!$G$174</f>
        <v>7.79493433539031</v>
      </c>
      <c r="BH17" s="81" t="n">
        <f aca="false">'Revenue Streams'!BH$21*'Assumption Setting'!$G$174</f>
        <v>7.96675975596167</v>
      </c>
      <c r="BI17" s="81" t="n">
        <f aca="false">'Revenue Streams'!BI$21*'Assumption Setting'!$G$174</f>
        <v>8.13858517653303</v>
      </c>
      <c r="BJ17" s="81" t="n">
        <f aca="false">'Revenue Streams'!BJ$21*'Assumption Setting'!$G$174</f>
        <v>8.3104105971044</v>
      </c>
      <c r="BK17" s="81" t="n">
        <f aca="false">'Revenue Streams'!BK$21*'Assumption Setting'!$G$174</f>
        <v>8.48223601767576</v>
      </c>
      <c r="BL17" s="81" t="n">
        <f aca="false">'Revenue Streams'!BL$21*'Assumption Setting'!$G$174</f>
        <v>8.65406143824712</v>
      </c>
      <c r="BM17" s="81" t="n">
        <f aca="false">'Revenue Streams'!BM$21*'Assumption Setting'!$G$174</f>
        <v>8.82588685881848</v>
      </c>
      <c r="BN17" s="81" t="n">
        <f aca="false">'Revenue Streams'!BN$21*'Assumption Setting'!$G$174</f>
        <v>8.99771227938984</v>
      </c>
    </row>
    <row r="18" customFormat="false" ht="15" hidden="false" customHeight="false" outlineLevel="0" collapsed="false">
      <c r="A18" s="69" t="s">
        <v>678</v>
      </c>
      <c r="B18" s="78" t="n">
        <f aca="false">N18</f>
        <v>0</v>
      </c>
      <c r="C18" s="94" t="n">
        <f aca="false">ROUNDUP(IFERROR(C17/'Assumption Setting'!$C$157,0),0)</f>
        <v>0</v>
      </c>
      <c r="D18" s="94" t="n">
        <f aca="false">ROUNDUP(IFERROR(D17/'Assumption Setting'!$C$157,0),0)</f>
        <v>0</v>
      </c>
      <c r="E18" s="94" t="n">
        <f aca="false">ROUNDUP(IFERROR(E17/'Assumption Setting'!$C$157,0),0)</f>
        <v>0</v>
      </c>
      <c r="F18" s="94" t="n">
        <f aca="false">ROUNDUP(IFERROR(F17/'Assumption Setting'!$C$157,0),0)</f>
        <v>0</v>
      </c>
      <c r="G18" s="94" t="n">
        <f aca="false">ROUNDUP(IFERROR(G17/'Assumption Setting'!$C$157,0),0)</f>
        <v>0</v>
      </c>
      <c r="H18" s="94" t="n">
        <f aca="false">ROUNDUP(IFERROR(H17/'Assumption Setting'!$C$157,0),0)</f>
        <v>0</v>
      </c>
      <c r="I18" s="94" t="n">
        <f aca="false">ROUNDUP(IFERROR(I17/'Assumption Setting'!$C$157,0),0)</f>
        <v>0</v>
      </c>
      <c r="J18" s="94" t="n">
        <f aca="false">ROUNDUP(IFERROR(J17/'Assumption Setting'!$C$157,0),0)</f>
        <v>0</v>
      </c>
      <c r="K18" s="94" t="n">
        <f aca="false">ROUNDUP(IFERROR(K17/'Assumption Setting'!$C$157,0),0)</f>
        <v>0</v>
      </c>
      <c r="L18" s="94" t="n">
        <f aca="false">ROUNDUP(IFERROR(L17/'Assumption Setting'!$C$157,0),0)</f>
        <v>0</v>
      </c>
      <c r="M18" s="94" t="n">
        <f aca="false">ROUNDUP(IFERROR(M17/'Assumption Setting'!$C$157,0),0)</f>
        <v>0</v>
      </c>
      <c r="N18" s="94" t="n">
        <f aca="false">ROUNDUP(IFERROR(N17/'Assumption Setting'!$C$157,0),0)</f>
        <v>0</v>
      </c>
      <c r="O18" s="78" t="n">
        <f aca="false">AA18</f>
        <v>1</v>
      </c>
      <c r="P18" s="94" t="n">
        <f aca="false">ROUNDUP(IFERROR(P17/'Assumption Setting'!$C$157,0),0)</f>
        <v>1</v>
      </c>
      <c r="Q18" s="94" t="n">
        <f aca="false">ROUNDUP(IFERROR(Q17/'Assumption Setting'!$C$157,0),0)</f>
        <v>1</v>
      </c>
      <c r="R18" s="94" t="n">
        <f aca="false">ROUNDUP(IFERROR(R17/'Assumption Setting'!$C$157,0),0)</f>
        <v>1</v>
      </c>
      <c r="S18" s="94" t="n">
        <f aca="false">ROUNDUP(IFERROR(S17/'Assumption Setting'!$C$157,0),0)</f>
        <v>1</v>
      </c>
      <c r="T18" s="94" t="n">
        <f aca="false">ROUNDUP(IFERROR(T17/'Assumption Setting'!$C$157,0),0)</f>
        <v>1</v>
      </c>
      <c r="U18" s="94" t="n">
        <f aca="false">ROUNDUP(IFERROR(U17/'Assumption Setting'!$C$157,0),0)</f>
        <v>1</v>
      </c>
      <c r="V18" s="94" t="n">
        <f aca="false">ROUNDUP(IFERROR(V17/'Assumption Setting'!$C$157,0),0)</f>
        <v>1</v>
      </c>
      <c r="W18" s="94" t="n">
        <f aca="false">ROUNDUP(IFERROR(W17/'Assumption Setting'!$C$157,0),0)</f>
        <v>1</v>
      </c>
      <c r="X18" s="94" t="n">
        <f aca="false">ROUNDUP(IFERROR(X17/'Assumption Setting'!$C$157,0),0)</f>
        <v>1</v>
      </c>
      <c r="Y18" s="94" t="n">
        <f aca="false">ROUNDUP(IFERROR(Y17/'Assumption Setting'!$C$157,0),0)</f>
        <v>1</v>
      </c>
      <c r="Z18" s="94" t="n">
        <f aca="false">ROUNDUP(IFERROR(Z17/'Assumption Setting'!$C$157,0),0)</f>
        <v>1</v>
      </c>
      <c r="AA18" s="94" t="n">
        <f aca="false">ROUNDUP(IFERROR(AA17/'Assumption Setting'!$C$157,0),0)</f>
        <v>1</v>
      </c>
      <c r="AB18" s="78" t="n">
        <f aca="false">AN18</f>
        <v>2</v>
      </c>
      <c r="AC18" s="94" t="n">
        <f aca="false">ROUNDUP(IFERROR(AC17/'Assumption Setting'!$C$157,0),0)</f>
        <v>1</v>
      </c>
      <c r="AD18" s="94" t="n">
        <f aca="false">ROUNDUP(IFERROR(AD17/'Assumption Setting'!$C$157,0),0)</f>
        <v>1</v>
      </c>
      <c r="AE18" s="94" t="n">
        <f aca="false">ROUNDUP(IFERROR(AE17/'Assumption Setting'!$C$157,0),0)</f>
        <v>1</v>
      </c>
      <c r="AF18" s="94" t="n">
        <f aca="false">ROUNDUP(IFERROR(AF17/'Assumption Setting'!$C$157,0),0)</f>
        <v>1</v>
      </c>
      <c r="AG18" s="94" t="n">
        <f aca="false">ROUNDUP(IFERROR(AG17/'Assumption Setting'!$C$157,0),0)</f>
        <v>1</v>
      </c>
      <c r="AH18" s="94" t="n">
        <f aca="false">ROUNDUP(IFERROR(AH17/'Assumption Setting'!$C$157,0),0)</f>
        <v>1</v>
      </c>
      <c r="AI18" s="94" t="n">
        <f aca="false">ROUNDUP(IFERROR(AI17/'Assumption Setting'!$C$157,0),0)</f>
        <v>2</v>
      </c>
      <c r="AJ18" s="94" t="n">
        <f aca="false">ROUNDUP(IFERROR(AJ17/'Assumption Setting'!$C$157,0),0)</f>
        <v>2</v>
      </c>
      <c r="AK18" s="94" t="n">
        <f aca="false">ROUNDUP(IFERROR(AK17/'Assumption Setting'!$C$157,0),0)</f>
        <v>2</v>
      </c>
      <c r="AL18" s="94" t="n">
        <f aca="false">ROUNDUP(IFERROR(AL17/'Assumption Setting'!$C$157,0),0)</f>
        <v>2</v>
      </c>
      <c r="AM18" s="94" t="n">
        <f aca="false">ROUNDUP(IFERROR(AM17/'Assumption Setting'!$C$157,0),0)</f>
        <v>2</v>
      </c>
      <c r="AN18" s="94" t="n">
        <f aca="false">ROUNDUP(IFERROR(AN17/'Assumption Setting'!$C$157,0),0)</f>
        <v>2</v>
      </c>
      <c r="AO18" s="78" t="n">
        <f aca="false">BA18</f>
        <v>3</v>
      </c>
      <c r="AP18" s="94" t="n">
        <f aca="false">ROUNDUP(IFERROR(AP17/'Assumption Setting'!$C$157,0),0)</f>
        <v>3</v>
      </c>
      <c r="AQ18" s="94" t="n">
        <f aca="false">ROUNDUP(IFERROR(AQ17/'Assumption Setting'!$C$157,0),0)</f>
        <v>3</v>
      </c>
      <c r="AR18" s="94" t="n">
        <f aca="false">ROUNDUP(IFERROR(AR17/'Assumption Setting'!$C$157,0),0)</f>
        <v>3</v>
      </c>
      <c r="AS18" s="94" t="n">
        <f aca="false">ROUNDUP(IFERROR(AS17/'Assumption Setting'!$C$157,0),0)</f>
        <v>3</v>
      </c>
      <c r="AT18" s="94" t="n">
        <f aca="false">ROUNDUP(IFERROR(AT17/'Assumption Setting'!$C$157,0),0)</f>
        <v>3</v>
      </c>
      <c r="AU18" s="94" t="n">
        <f aca="false">ROUNDUP(IFERROR(AU17/'Assumption Setting'!$C$157,0),0)</f>
        <v>3</v>
      </c>
      <c r="AV18" s="94" t="n">
        <f aca="false">ROUNDUP(IFERROR(AV17/'Assumption Setting'!$C$157,0),0)</f>
        <v>3</v>
      </c>
      <c r="AW18" s="94" t="n">
        <f aca="false">ROUNDUP(IFERROR(AW17/'Assumption Setting'!$C$157,0),0)</f>
        <v>3</v>
      </c>
      <c r="AX18" s="94" t="n">
        <f aca="false">ROUNDUP(IFERROR(AX17/'Assumption Setting'!$C$157,0),0)</f>
        <v>3</v>
      </c>
      <c r="AY18" s="94" t="n">
        <f aca="false">ROUNDUP(IFERROR(AY17/'Assumption Setting'!$C$157,0),0)</f>
        <v>3</v>
      </c>
      <c r="AZ18" s="94" t="n">
        <f aca="false">ROUNDUP(IFERROR(AZ17/'Assumption Setting'!$C$157,0),0)</f>
        <v>3</v>
      </c>
      <c r="BA18" s="94" t="n">
        <f aca="false">ROUNDUP(IFERROR(BA17/'Assumption Setting'!$C$157,0),0)</f>
        <v>3</v>
      </c>
      <c r="BB18" s="78" t="n">
        <f aca="false">BN18</f>
        <v>5</v>
      </c>
      <c r="BC18" s="94" t="n">
        <f aca="false">ROUNDUP(IFERROR(BC17/'Assumption Setting'!$C$157,0),0)</f>
        <v>4</v>
      </c>
      <c r="BD18" s="94" t="n">
        <f aca="false">ROUNDUP(IFERROR(BD17/'Assumption Setting'!$C$157,0),0)</f>
        <v>4</v>
      </c>
      <c r="BE18" s="94" t="n">
        <f aca="false">ROUNDUP(IFERROR(BE17/'Assumption Setting'!$C$157,0),0)</f>
        <v>4</v>
      </c>
      <c r="BF18" s="94" t="n">
        <f aca="false">ROUNDUP(IFERROR(BF17/'Assumption Setting'!$C$157,0),0)</f>
        <v>4</v>
      </c>
      <c r="BG18" s="94" t="n">
        <f aca="false">ROUNDUP(IFERROR(BG17/'Assumption Setting'!$C$157,0),0)</f>
        <v>4</v>
      </c>
      <c r="BH18" s="94" t="n">
        <f aca="false">ROUNDUP(IFERROR(BH17/'Assumption Setting'!$C$157,0),0)</f>
        <v>4</v>
      </c>
      <c r="BI18" s="94" t="n">
        <f aca="false">ROUNDUP(IFERROR(BI17/'Assumption Setting'!$C$157,0),0)</f>
        <v>5</v>
      </c>
      <c r="BJ18" s="94" t="n">
        <f aca="false">ROUNDUP(IFERROR(BJ17/'Assumption Setting'!$C$157,0),0)</f>
        <v>5</v>
      </c>
      <c r="BK18" s="94" t="n">
        <f aca="false">ROUNDUP(IFERROR(BK17/'Assumption Setting'!$C$157,0),0)</f>
        <v>5</v>
      </c>
      <c r="BL18" s="94" t="n">
        <f aca="false">ROUNDUP(IFERROR(BL17/'Assumption Setting'!$C$157,0),0)</f>
        <v>5</v>
      </c>
      <c r="BM18" s="94" t="n">
        <f aca="false">ROUNDUP(IFERROR(BM17/'Assumption Setting'!$C$157,0),0)</f>
        <v>5</v>
      </c>
      <c r="BN18" s="94" t="n">
        <f aca="false">ROUNDUP(IFERROR(BN17/'Assumption Setting'!$C$157,0),0)</f>
        <v>5</v>
      </c>
    </row>
    <row r="19" customFormat="false" ht="15" hidden="false" customHeight="false" outlineLevel="0" collapsed="false">
      <c r="A19" s="71" t="s">
        <v>679</v>
      </c>
    </row>
    <row r="21" customFormat="false" ht="16.5" hidden="false" customHeight="true" outlineLevel="0" collapsed="false">
      <c r="A21" s="15" t="s">
        <v>680</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681</v>
      </c>
      <c r="B23" s="80" t="n">
        <f aca="false">SUM(C23:N23)</f>
        <v>12</v>
      </c>
      <c r="C23" s="96" t="n">
        <f aca="false">Acquisitions!C$38</f>
        <v>1</v>
      </c>
      <c r="D23" s="96" t="n">
        <f aca="false">Acquisitions!D$38</f>
        <v>1</v>
      </c>
      <c r="E23" s="96" t="n">
        <f aca="false">Acquisitions!E$38</f>
        <v>1</v>
      </c>
      <c r="F23" s="96" t="n">
        <f aca="false">Acquisitions!F$38</f>
        <v>1</v>
      </c>
      <c r="G23" s="96" t="n">
        <f aca="false">Acquisitions!G$38</f>
        <v>1</v>
      </c>
      <c r="H23" s="96" t="n">
        <f aca="false">Acquisitions!H$38</f>
        <v>1</v>
      </c>
      <c r="I23" s="96" t="n">
        <f aca="false">Acquisitions!I$38</f>
        <v>1</v>
      </c>
      <c r="J23" s="96" t="n">
        <f aca="false">Acquisitions!J$38</f>
        <v>1</v>
      </c>
      <c r="K23" s="96" t="n">
        <f aca="false">Acquisitions!K$38</f>
        <v>1</v>
      </c>
      <c r="L23" s="96" t="n">
        <f aca="false">Acquisitions!L$38</f>
        <v>1</v>
      </c>
      <c r="M23" s="96" t="n">
        <f aca="false">Acquisitions!M$38</f>
        <v>1</v>
      </c>
      <c r="N23" s="96" t="n">
        <f aca="false">Acquisitions!N$38</f>
        <v>1</v>
      </c>
      <c r="O23" s="80" t="n">
        <f aca="false">SUM(P23:AA23)</f>
        <v>48</v>
      </c>
      <c r="P23" s="96" t="n">
        <f aca="false">Acquisitions!P$38</f>
        <v>4</v>
      </c>
      <c r="Q23" s="96" t="n">
        <f aca="false">Acquisitions!Q$38</f>
        <v>4</v>
      </c>
      <c r="R23" s="96" t="n">
        <f aca="false">Acquisitions!R$38</f>
        <v>4</v>
      </c>
      <c r="S23" s="96" t="n">
        <f aca="false">Acquisitions!S$38</f>
        <v>4</v>
      </c>
      <c r="T23" s="96" t="n">
        <f aca="false">Acquisitions!T$38</f>
        <v>4</v>
      </c>
      <c r="U23" s="96" t="n">
        <f aca="false">Acquisitions!U$38</f>
        <v>4</v>
      </c>
      <c r="V23" s="96" t="n">
        <f aca="false">Acquisitions!V$38</f>
        <v>4</v>
      </c>
      <c r="W23" s="96" t="n">
        <f aca="false">Acquisitions!W$38</f>
        <v>4</v>
      </c>
      <c r="X23" s="96" t="n">
        <f aca="false">Acquisitions!X$38</f>
        <v>4</v>
      </c>
      <c r="Y23" s="96" t="n">
        <f aca="false">Acquisitions!Y$38</f>
        <v>4</v>
      </c>
      <c r="Z23" s="96" t="n">
        <f aca="false">Acquisitions!Z$38</f>
        <v>4</v>
      </c>
      <c r="AA23" s="96" t="n">
        <f aca="false">Acquisitions!AA$38</f>
        <v>4</v>
      </c>
      <c r="AB23" s="80" t="n">
        <f aca="false">SUM(AC23:AN23)</f>
        <v>96</v>
      </c>
      <c r="AC23" s="96" t="n">
        <f aca="false">Acquisitions!AC$38</f>
        <v>8</v>
      </c>
      <c r="AD23" s="96" t="n">
        <f aca="false">Acquisitions!AD$38</f>
        <v>8</v>
      </c>
      <c r="AE23" s="96" t="n">
        <f aca="false">Acquisitions!AE$38</f>
        <v>8</v>
      </c>
      <c r="AF23" s="96" t="n">
        <f aca="false">Acquisitions!AF$38</f>
        <v>8</v>
      </c>
      <c r="AG23" s="96" t="n">
        <f aca="false">Acquisitions!AG$38</f>
        <v>8</v>
      </c>
      <c r="AH23" s="96" t="n">
        <f aca="false">Acquisitions!AH$38</f>
        <v>8</v>
      </c>
      <c r="AI23" s="96" t="n">
        <f aca="false">Acquisitions!AI$38</f>
        <v>8</v>
      </c>
      <c r="AJ23" s="96" t="n">
        <f aca="false">Acquisitions!AJ$38</f>
        <v>8</v>
      </c>
      <c r="AK23" s="96" t="n">
        <f aca="false">Acquisitions!AK$38</f>
        <v>8</v>
      </c>
      <c r="AL23" s="96" t="n">
        <f aca="false">Acquisitions!AL$38</f>
        <v>8</v>
      </c>
      <c r="AM23" s="96" t="n">
        <f aca="false">Acquisitions!AM$38</f>
        <v>8</v>
      </c>
      <c r="AN23" s="96" t="n">
        <f aca="false">Acquisitions!AN$38</f>
        <v>8</v>
      </c>
      <c r="AO23" s="80" t="n">
        <f aca="false">SUM(AP23:BA23)</f>
        <v>132</v>
      </c>
      <c r="AP23" s="96" t="n">
        <f aca="false">Acquisitions!AP$38</f>
        <v>11</v>
      </c>
      <c r="AQ23" s="96" t="n">
        <f aca="false">Acquisitions!AQ$38</f>
        <v>11</v>
      </c>
      <c r="AR23" s="96" t="n">
        <f aca="false">Acquisitions!AR$38</f>
        <v>11</v>
      </c>
      <c r="AS23" s="96" t="n">
        <f aca="false">Acquisitions!AS$38</f>
        <v>11</v>
      </c>
      <c r="AT23" s="96" t="n">
        <f aca="false">Acquisitions!AT$38</f>
        <v>11</v>
      </c>
      <c r="AU23" s="96" t="n">
        <f aca="false">Acquisitions!AU$38</f>
        <v>11</v>
      </c>
      <c r="AV23" s="96" t="n">
        <f aca="false">Acquisitions!AV$38</f>
        <v>11</v>
      </c>
      <c r="AW23" s="96" t="n">
        <f aca="false">Acquisitions!AW$38</f>
        <v>11</v>
      </c>
      <c r="AX23" s="96" t="n">
        <f aca="false">Acquisitions!AX$38</f>
        <v>11</v>
      </c>
      <c r="AY23" s="96" t="n">
        <f aca="false">Acquisitions!AY$38</f>
        <v>11</v>
      </c>
      <c r="AZ23" s="96" t="n">
        <f aca="false">Acquisitions!AZ$38</f>
        <v>11</v>
      </c>
      <c r="BA23" s="96" t="n">
        <f aca="false">Acquisitions!BA$38</f>
        <v>11</v>
      </c>
      <c r="BB23" s="80" t="n">
        <f aca="false">SUM(BC23:BN23)</f>
        <v>168</v>
      </c>
      <c r="BC23" s="96" t="n">
        <f aca="false">Acquisitions!BC$38</f>
        <v>14</v>
      </c>
      <c r="BD23" s="96" t="n">
        <f aca="false">Acquisitions!BD$38</f>
        <v>14</v>
      </c>
      <c r="BE23" s="96" t="n">
        <f aca="false">Acquisitions!BE$38</f>
        <v>14</v>
      </c>
      <c r="BF23" s="96" t="n">
        <f aca="false">Acquisitions!BF$38</f>
        <v>14</v>
      </c>
      <c r="BG23" s="96" t="n">
        <f aca="false">Acquisitions!BG$38</f>
        <v>14</v>
      </c>
      <c r="BH23" s="96" t="n">
        <f aca="false">Acquisitions!BH$38</f>
        <v>14</v>
      </c>
      <c r="BI23" s="96" t="n">
        <f aca="false">Acquisitions!BI$38</f>
        <v>14</v>
      </c>
      <c r="BJ23" s="96" t="n">
        <f aca="false">Acquisitions!BJ$38</f>
        <v>14</v>
      </c>
      <c r="BK23" s="96" t="n">
        <f aca="false">Acquisitions!BK$38</f>
        <v>14</v>
      </c>
      <c r="BL23" s="96" t="n">
        <f aca="false">Acquisitions!BL$38</f>
        <v>14</v>
      </c>
      <c r="BM23" s="96" t="n">
        <f aca="false">Acquisitions!BM$38</f>
        <v>14</v>
      </c>
      <c r="BN23" s="96" t="n">
        <f aca="false">Acquisitions!BN$38</f>
        <v>14</v>
      </c>
    </row>
    <row r="24" customFormat="false" ht="15" hidden="false" customHeight="false" outlineLevel="0" collapsed="false">
      <c r="A24" s="12" t="s">
        <v>682</v>
      </c>
      <c r="B24" s="80" t="n">
        <f aca="false">SUM(C24:N24)</f>
        <v>55.2</v>
      </c>
      <c r="C24" s="81" t="n">
        <f aca="false">Payroll!C$75*'Assumption Setting'!$C$82+Payroll!C$71*'Assumption Setting'!$D$82+C12*'Assumption Setting'!$E$82+C18*'Assumption Setting'!$F$82</f>
        <v>4.6</v>
      </c>
      <c r="D24" s="81" t="n">
        <f aca="false">Payroll!D$75*'Assumption Setting'!$C$82+Payroll!D$71*'Assumption Setting'!$D$82+D12*'Assumption Setting'!$E$82+D18*'Assumption Setting'!$F$82</f>
        <v>4.6</v>
      </c>
      <c r="E24" s="81" t="n">
        <f aca="false">Payroll!E$75*'Assumption Setting'!$C$82+Payroll!E$71*'Assumption Setting'!$D$82+E12*'Assumption Setting'!$E$82+E18*'Assumption Setting'!$F$82</f>
        <v>4.6</v>
      </c>
      <c r="F24" s="81" t="n">
        <f aca="false">Payroll!F$75*'Assumption Setting'!$C$82+Payroll!F$71*'Assumption Setting'!$D$82+F12*'Assumption Setting'!$E$82+F18*'Assumption Setting'!$F$82</f>
        <v>4.6</v>
      </c>
      <c r="G24" s="81" t="n">
        <f aca="false">Payroll!G$75*'Assumption Setting'!$C$82+Payroll!G$71*'Assumption Setting'!$D$82+G12*'Assumption Setting'!$E$82+G18*'Assumption Setting'!$F$82</f>
        <v>4.6</v>
      </c>
      <c r="H24" s="81" t="n">
        <f aca="false">Payroll!H$75*'Assumption Setting'!$C$82+Payroll!H$71*'Assumption Setting'!$D$82+H12*'Assumption Setting'!$E$82+H18*'Assumption Setting'!$F$82</f>
        <v>4.6</v>
      </c>
      <c r="I24" s="81" t="n">
        <f aca="false">Payroll!I$75*'Assumption Setting'!$C$82+Payroll!I$71*'Assumption Setting'!$D$82+I12*'Assumption Setting'!$E$82+I18*'Assumption Setting'!$F$82</f>
        <v>4.6</v>
      </c>
      <c r="J24" s="81" t="n">
        <f aca="false">Payroll!J$75*'Assumption Setting'!$C$82+Payroll!J$71*'Assumption Setting'!$D$82+J12*'Assumption Setting'!$E$82+J18*'Assumption Setting'!$F$82</f>
        <v>4.6</v>
      </c>
      <c r="K24" s="81" t="n">
        <f aca="false">Payroll!K$75*'Assumption Setting'!$C$82+Payroll!K$71*'Assumption Setting'!$D$82+K12*'Assumption Setting'!$E$82+K18*'Assumption Setting'!$F$82</f>
        <v>4.6</v>
      </c>
      <c r="L24" s="81" t="n">
        <f aca="false">Payroll!L$75*'Assumption Setting'!$C$82+Payroll!L$71*'Assumption Setting'!$D$82+L12*'Assumption Setting'!$E$82+L18*'Assumption Setting'!$F$82</f>
        <v>4.6</v>
      </c>
      <c r="M24" s="81" t="n">
        <f aca="false">Payroll!M$75*'Assumption Setting'!$C$82+Payroll!M$71*'Assumption Setting'!$D$82+M12*'Assumption Setting'!$E$82+M18*'Assumption Setting'!$F$82</f>
        <v>4.6</v>
      </c>
      <c r="N24" s="81" t="n">
        <f aca="false">Payroll!N$75*'Assumption Setting'!$C$82+Payroll!N$71*'Assumption Setting'!$D$82+N12*'Assumption Setting'!$E$82+N18*'Assumption Setting'!$F$82</f>
        <v>4.6</v>
      </c>
      <c r="O24" s="80" t="n">
        <f aca="false">SUM(P24:AA24)</f>
        <v>150</v>
      </c>
      <c r="P24" s="81" t="n">
        <f aca="false">Payroll!P$75*'Assumption Setting'!$C$82+Payroll!P$71*'Assumption Setting'!$D$82+P12*'Assumption Setting'!$E$82+P18*'Assumption Setting'!$F$82</f>
        <v>12.5</v>
      </c>
      <c r="Q24" s="81" t="n">
        <f aca="false">Payroll!Q$75*'Assumption Setting'!$C$82+Payroll!Q$71*'Assumption Setting'!$D$82+Q12*'Assumption Setting'!$E$82+Q18*'Assumption Setting'!$F$82</f>
        <v>12.5</v>
      </c>
      <c r="R24" s="81" t="n">
        <f aca="false">Payroll!R$75*'Assumption Setting'!$C$82+Payroll!R$71*'Assumption Setting'!$D$82+R12*'Assumption Setting'!$E$82+R18*'Assumption Setting'!$F$82</f>
        <v>12.5</v>
      </c>
      <c r="S24" s="81" t="n">
        <f aca="false">Payroll!S$75*'Assumption Setting'!$C$82+Payroll!S$71*'Assumption Setting'!$D$82+S12*'Assumption Setting'!$E$82+S18*'Assumption Setting'!$F$82</f>
        <v>12.5</v>
      </c>
      <c r="T24" s="81" t="n">
        <f aca="false">Payroll!T$75*'Assumption Setting'!$C$82+Payroll!T$71*'Assumption Setting'!$D$82+T12*'Assumption Setting'!$E$82+T18*'Assumption Setting'!$F$82</f>
        <v>12.5</v>
      </c>
      <c r="U24" s="81" t="n">
        <f aca="false">Payroll!U$75*'Assumption Setting'!$C$82+Payroll!U$71*'Assumption Setting'!$D$82+U12*'Assumption Setting'!$E$82+U18*'Assumption Setting'!$F$82</f>
        <v>12.5</v>
      </c>
      <c r="V24" s="81" t="n">
        <f aca="false">Payroll!V$75*'Assumption Setting'!$C$82+Payroll!V$71*'Assumption Setting'!$D$82+V12*'Assumption Setting'!$E$82+V18*'Assumption Setting'!$F$82</f>
        <v>12.5</v>
      </c>
      <c r="W24" s="81" t="n">
        <f aca="false">Payroll!W$75*'Assumption Setting'!$C$82+Payroll!W$71*'Assumption Setting'!$D$82+W12*'Assumption Setting'!$E$82+W18*'Assumption Setting'!$F$82</f>
        <v>12.5</v>
      </c>
      <c r="X24" s="81" t="n">
        <f aca="false">Payroll!X$75*'Assumption Setting'!$C$82+Payroll!X$71*'Assumption Setting'!$D$82+X12*'Assumption Setting'!$E$82+X18*'Assumption Setting'!$F$82</f>
        <v>12.5</v>
      </c>
      <c r="Y24" s="81" t="n">
        <f aca="false">Payroll!Y$75*'Assumption Setting'!$C$82+Payroll!Y$71*'Assumption Setting'!$D$82+Y12*'Assumption Setting'!$E$82+Y18*'Assumption Setting'!$F$82</f>
        <v>12.5</v>
      </c>
      <c r="Z24" s="81" t="n">
        <f aca="false">Payroll!Z$75*'Assumption Setting'!$C$82+Payroll!Z$71*'Assumption Setting'!$D$82+Z12*'Assumption Setting'!$E$82+Z18*'Assumption Setting'!$F$82</f>
        <v>12.5</v>
      </c>
      <c r="AA24" s="81" t="n">
        <f aca="false">Payroll!AA$75*'Assumption Setting'!$C$82+Payroll!AA$71*'Assumption Setting'!$D$82+AA12*'Assumption Setting'!$E$82+AA18*'Assumption Setting'!$F$82</f>
        <v>12.5</v>
      </c>
      <c r="AB24" s="80" t="n">
        <f aca="false">SUM(AC24:AN24)</f>
        <v>273</v>
      </c>
      <c r="AC24" s="81" t="n">
        <f aca="false">Payroll!AC$75*'Assumption Setting'!$C$82+Payroll!AC$71*'Assumption Setting'!$D$82+AC12*'Assumption Setting'!$E$82+AC18*'Assumption Setting'!$F$82</f>
        <v>22.5</v>
      </c>
      <c r="AD24" s="81" t="n">
        <f aca="false">Payroll!AD$75*'Assumption Setting'!$C$82+Payroll!AD$71*'Assumption Setting'!$D$82+AD12*'Assumption Setting'!$E$82+AD18*'Assumption Setting'!$F$82</f>
        <v>22.5</v>
      </c>
      <c r="AE24" s="81" t="n">
        <f aca="false">Payroll!AE$75*'Assumption Setting'!$C$82+Payroll!AE$71*'Assumption Setting'!$D$82+AE12*'Assumption Setting'!$E$82+AE18*'Assumption Setting'!$F$82</f>
        <v>22.5</v>
      </c>
      <c r="AF24" s="81" t="n">
        <f aca="false">Payroll!AF$75*'Assumption Setting'!$C$82+Payroll!AF$71*'Assumption Setting'!$D$82+AF12*'Assumption Setting'!$E$82+AF18*'Assumption Setting'!$F$82</f>
        <v>22.5</v>
      </c>
      <c r="AG24" s="81" t="n">
        <f aca="false">Payroll!AG$75*'Assumption Setting'!$C$82+Payroll!AG$71*'Assumption Setting'!$D$82+AG12*'Assumption Setting'!$E$82+AG18*'Assumption Setting'!$F$82</f>
        <v>22.5</v>
      </c>
      <c r="AH24" s="81" t="n">
        <f aca="false">Payroll!AH$75*'Assumption Setting'!$C$82+Payroll!AH$71*'Assumption Setting'!$D$82+AH12*'Assumption Setting'!$E$82+AH18*'Assumption Setting'!$F$82</f>
        <v>22.5</v>
      </c>
      <c r="AI24" s="81" t="n">
        <f aca="false">Payroll!AI$75*'Assumption Setting'!$C$82+Payroll!AI$71*'Assumption Setting'!$D$82+AI12*'Assumption Setting'!$E$82+AI18*'Assumption Setting'!$F$82</f>
        <v>23</v>
      </c>
      <c r="AJ24" s="81" t="n">
        <f aca="false">Payroll!AJ$75*'Assumption Setting'!$C$82+Payroll!AJ$71*'Assumption Setting'!$D$82+AJ12*'Assumption Setting'!$E$82+AJ18*'Assumption Setting'!$F$82</f>
        <v>23</v>
      </c>
      <c r="AK24" s="81" t="n">
        <f aca="false">Payroll!AK$75*'Assumption Setting'!$C$82+Payroll!AK$71*'Assumption Setting'!$D$82+AK12*'Assumption Setting'!$E$82+AK18*'Assumption Setting'!$F$82</f>
        <v>23</v>
      </c>
      <c r="AL24" s="81" t="n">
        <f aca="false">Payroll!AL$75*'Assumption Setting'!$C$82+Payroll!AL$71*'Assumption Setting'!$D$82+AL12*'Assumption Setting'!$E$82+AL18*'Assumption Setting'!$F$82</f>
        <v>23</v>
      </c>
      <c r="AM24" s="81" t="n">
        <f aca="false">Payroll!AM$75*'Assumption Setting'!$C$82+Payroll!AM$71*'Assumption Setting'!$D$82+AM12*'Assumption Setting'!$E$82+AM18*'Assumption Setting'!$F$82</f>
        <v>23</v>
      </c>
      <c r="AN24" s="81" t="n">
        <f aca="false">Payroll!AN$75*'Assumption Setting'!$C$82+Payroll!AN$71*'Assumption Setting'!$D$82+AN12*'Assumption Setting'!$E$82+AN18*'Assumption Setting'!$F$82</f>
        <v>23</v>
      </c>
      <c r="AO24" s="80" t="n">
        <f aca="false">SUM(AP24:BA24)</f>
        <v>414</v>
      </c>
      <c r="AP24" s="81" t="n">
        <f aca="false">Payroll!AP$75*'Assumption Setting'!$C$82+Payroll!AP$71*'Assumption Setting'!$D$82+AP12*'Assumption Setting'!$E$82+AP18*'Assumption Setting'!$F$82</f>
        <v>34.5</v>
      </c>
      <c r="AQ24" s="81" t="n">
        <f aca="false">Payroll!AQ$75*'Assumption Setting'!$C$82+Payroll!AQ$71*'Assumption Setting'!$D$82+AQ12*'Assumption Setting'!$E$82+AQ18*'Assumption Setting'!$F$82</f>
        <v>34.5</v>
      </c>
      <c r="AR24" s="81" t="n">
        <f aca="false">Payroll!AR$75*'Assumption Setting'!$C$82+Payroll!AR$71*'Assumption Setting'!$D$82+AR12*'Assumption Setting'!$E$82+AR18*'Assumption Setting'!$F$82</f>
        <v>34.5</v>
      </c>
      <c r="AS24" s="81" t="n">
        <f aca="false">Payroll!AS$75*'Assumption Setting'!$C$82+Payroll!AS$71*'Assumption Setting'!$D$82+AS12*'Assumption Setting'!$E$82+AS18*'Assumption Setting'!$F$82</f>
        <v>34.5</v>
      </c>
      <c r="AT24" s="81" t="n">
        <f aca="false">Payroll!AT$75*'Assumption Setting'!$C$82+Payroll!AT$71*'Assumption Setting'!$D$82+AT12*'Assumption Setting'!$E$82+AT18*'Assumption Setting'!$F$82</f>
        <v>34.5</v>
      </c>
      <c r="AU24" s="81" t="n">
        <f aca="false">Payroll!AU$75*'Assumption Setting'!$C$82+Payroll!AU$71*'Assumption Setting'!$D$82+AU12*'Assumption Setting'!$E$82+AU18*'Assumption Setting'!$F$82</f>
        <v>34.5</v>
      </c>
      <c r="AV24" s="81" t="n">
        <f aca="false">Payroll!AV$75*'Assumption Setting'!$C$82+Payroll!AV$71*'Assumption Setting'!$D$82+AV12*'Assumption Setting'!$E$82+AV18*'Assumption Setting'!$F$82</f>
        <v>34.5</v>
      </c>
      <c r="AW24" s="81" t="n">
        <f aca="false">Payroll!AW$75*'Assumption Setting'!$C$82+Payroll!AW$71*'Assumption Setting'!$D$82+AW12*'Assumption Setting'!$E$82+AW18*'Assumption Setting'!$F$82</f>
        <v>34.5</v>
      </c>
      <c r="AX24" s="81" t="n">
        <f aca="false">Payroll!AX$75*'Assumption Setting'!$C$82+Payroll!AX$71*'Assumption Setting'!$D$82+AX12*'Assumption Setting'!$E$82+AX18*'Assumption Setting'!$F$82</f>
        <v>34.5</v>
      </c>
      <c r="AY24" s="81" t="n">
        <f aca="false">Payroll!AY$75*'Assumption Setting'!$C$82+Payroll!AY$71*'Assumption Setting'!$D$82+AY12*'Assumption Setting'!$E$82+AY18*'Assumption Setting'!$F$82</f>
        <v>34.5</v>
      </c>
      <c r="AZ24" s="81" t="n">
        <f aca="false">Payroll!AZ$75*'Assumption Setting'!$C$82+Payroll!AZ$71*'Assumption Setting'!$D$82+AZ12*'Assumption Setting'!$E$82+AZ18*'Assumption Setting'!$F$82</f>
        <v>34.5</v>
      </c>
      <c r="BA24" s="81" t="n">
        <f aca="false">Payroll!BA$75*'Assumption Setting'!$C$82+Payroll!BA$71*'Assumption Setting'!$D$82+BA12*'Assumption Setting'!$E$82+BA18*'Assumption Setting'!$F$82</f>
        <v>34.5</v>
      </c>
      <c r="BB24" s="80" t="n">
        <f aca="false">SUM(BC24:BN24)</f>
        <v>555</v>
      </c>
      <c r="BC24" s="81" t="n">
        <f aca="false">Payroll!BC$75*'Assumption Setting'!$C$82+Payroll!BC$71*'Assumption Setting'!$D$82+BC12*'Assumption Setting'!$E$82+BC18*'Assumption Setting'!$F$82</f>
        <v>46</v>
      </c>
      <c r="BD24" s="81" t="n">
        <f aca="false">Payroll!BD$75*'Assumption Setting'!$C$82+Payroll!BD$71*'Assumption Setting'!$D$82+BD12*'Assumption Setting'!$E$82+BD18*'Assumption Setting'!$F$82</f>
        <v>46</v>
      </c>
      <c r="BE24" s="81" t="n">
        <f aca="false">Payroll!BE$75*'Assumption Setting'!$C$82+Payroll!BE$71*'Assumption Setting'!$D$82+BE12*'Assumption Setting'!$E$82+BE18*'Assumption Setting'!$F$82</f>
        <v>46</v>
      </c>
      <c r="BF24" s="81" t="n">
        <f aca="false">Payroll!BF$75*'Assumption Setting'!$C$82+Payroll!BF$71*'Assumption Setting'!$D$82+BF12*'Assumption Setting'!$E$82+BF18*'Assumption Setting'!$F$82</f>
        <v>46</v>
      </c>
      <c r="BG24" s="81" t="n">
        <f aca="false">Payroll!BG$75*'Assumption Setting'!$C$82+Payroll!BG$71*'Assumption Setting'!$D$82+BG12*'Assumption Setting'!$E$82+BG18*'Assumption Setting'!$F$82</f>
        <v>46</v>
      </c>
      <c r="BH24" s="81" t="n">
        <f aca="false">Payroll!BH$75*'Assumption Setting'!$C$82+Payroll!BH$71*'Assumption Setting'!$D$82+BH12*'Assumption Setting'!$E$82+BH18*'Assumption Setting'!$F$82</f>
        <v>46</v>
      </c>
      <c r="BI24" s="81" t="n">
        <f aca="false">Payroll!BI$75*'Assumption Setting'!$C$82+Payroll!BI$71*'Assumption Setting'!$D$82+BI12*'Assumption Setting'!$E$82+BI18*'Assumption Setting'!$F$82</f>
        <v>46.5</v>
      </c>
      <c r="BJ24" s="81" t="n">
        <f aca="false">Payroll!BJ$75*'Assumption Setting'!$C$82+Payroll!BJ$71*'Assumption Setting'!$D$82+BJ12*'Assumption Setting'!$E$82+BJ18*'Assumption Setting'!$F$82</f>
        <v>46.5</v>
      </c>
      <c r="BK24" s="81" t="n">
        <f aca="false">Payroll!BK$75*'Assumption Setting'!$C$82+Payroll!BK$71*'Assumption Setting'!$D$82+BK12*'Assumption Setting'!$E$82+BK18*'Assumption Setting'!$F$82</f>
        <v>46.5</v>
      </c>
      <c r="BL24" s="81" t="n">
        <f aca="false">Payroll!BL$75*'Assumption Setting'!$C$82+Payroll!BL$71*'Assumption Setting'!$D$82+BL12*'Assumption Setting'!$E$82+BL18*'Assumption Setting'!$F$82</f>
        <v>46.5</v>
      </c>
      <c r="BM24" s="81" t="n">
        <f aca="false">Payroll!BM$75*'Assumption Setting'!$C$82+Payroll!BM$71*'Assumption Setting'!$D$82+BM12*'Assumption Setting'!$E$82+BM18*'Assumption Setting'!$F$82</f>
        <v>46.5</v>
      </c>
      <c r="BN24" s="81" t="n">
        <f aca="false">Payroll!BN$75*'Assumption Setting'!$C$82+Payroll!BN$71*'Assumption Setting'!$D$82+BN12*'Assumption Setting'!$E$82+BN18*'Assumption Setting'!$F$82</f>
        <v>46.5</v>
      </c>
    </row>
    <row r="25" customFormat="false" ht="15" hidden="false" customHeight="false" outlineLevel="0" collapsed="false">
      <c r="A25" s="12" t="s">
        <v>683</v>
      </c>
      <c r="B25" s="80" t="n">
        <f aca="false">SUM(C25:N25)</f>
        <v>43.2</v>
      </c>
      <c r="C25" s="81" t="n">
        <f aca="false">C24-C23</f>
        <v>3.6</v>
      </c>
      <c r="D25" s="81" t="n">
        <f aca="false">D24-D23</f>
        <v>3.6</v>
      </c>
      <c r="E25" s="81" t="n">
        <f aca="false">E24-E23</f>
        <v>3.6</v>
      </c>
      <c r="F25" s="81" t="n">
        <f aca="false">F24-F23</f>
        <v>3.6</v>
      </c>
      <c r="G25" s="81" t="n">
        <f aca="false">G24-G23</f>
        <v>3.6</v>
      </c>
      <c r="H25" s="81" t="n">
        <f aca="false">H24-H23</f>
        <v>3.6</v>
      </c>
      <c r="I25" s="81" t="n">
        <f aca="false">I24-I23</f>
        <v>3.6</v>
      </c>
      <c r="J25" s="81" t="n">
        <f aca="false">J24-J23</f>
        <v>3.6</v>
      </c>
      <c r="K25" s="81" t="n">
        <f aca="false">K24-K23</f>
        <v>3.6</v>
      </c>
      <c r="L25" s="81" t="n">
        <f aca="false">L24-L23</f>
        <v>3.6</v>
      </c>
      <c r="M25" s="81" t="n">
        <f aca="false">M24-M23</f>
        <v>3.6</v>
      </c>
      <c r="N25" s="81" t="n">
        <f aca="false">N24-N23</f>
        <v>3.6</v>
      </c>
      <c r="O25" s="80" t="n">
        <f aca="false">SUM(P25:AA25)</f>
        <v>102</v>
      </c>
      <c r="P25" s="81" t="n">
        <f aca="false">P24-P23</f>
        <v>8.5</v>
      </c>
      <c r="Q25" s="81" t="n">
        <f aca="false">Q24-Q23</f>
        <v>8.5</v>
      </c>
      <c r="R25" s="81" t="n">
        <f aca="false">R24-R23</f>
        <v>8.5</v>
      </c>
      <c r="S25" s="81" t="n">
        <f aca="false">S24-S23</f>
        <v>8.5</v>
      </c>
      <c r="T25" s="81" t="n">
        <f aca="false">T24-T23</f>
        <v>8.5</v>
      </c>
      <c r="U25" s="81" t="n">
        <f aca="false">U24-U23</f>
        <v>8.5</v>
      </c>
      <c r="V25" s="81" t="n">
        <f aca="false">V24-V23</f>
        <v>8.5</v>
      </c>
      <c r="W25" s="81" t="n">
        <f aca="false">W24-W23</f>
        <v>8.5</v>
      </c>
      <c r="X25" s="81" t="n">
        <f aca="false">X24-X23</f>
        <v>8.5</v>
      </c>
      <c r="Y25" s="81" t="n">
        <f aca="false">Y24-Y23</f>
        <v>8.5</v>
      </c>
      <c r="Z25" s="81" t="n">
        <f aca="false">Z24-Z23</f>
        <v>8.5</v>
      </c>
      <c r="AA25" s="81" t="n">
        <f aca="false">AA24-AA23</f>
        <v>8.5</v>
      </c>
      <c r="AB25" s="80" t="n">
        <f aca="false">SUM(AC25:AN25)</f>
        <v>177</v>
      </c>
      <c r="AC25" s="81" t="n">
        <f aca="false">AC24-AC23</f>
        <v>14.5</v>
      </c>
      <c r="AD25" s="81" t="n">
        <f aca="false">AD24-AD23</f>
        <v>14.5</v>
      </c>
      <c r="AE25" s="81" t="n">
        <f aca="false">AE24-AE23</f>
        <v>14.5</v>
      </c>
      <c r="AF25" s="81" t="n">
        <f aca="false">AF24-AF23</f>
        <v>14.5</v>
      </c>
      <c r="AG25" s="81" t="n">
        <f aca="false">AG24-AG23</f>
        <v>14.5</v>
      </c>
      <c r="AH25" s="81" t="n">
        <f aca="false">AH24-AH23</f>
        <v>14.5</v>
      </c>
      <c r="AI25" s="81" t="n">
        <f aca="false">AI24-AI23</f>
        <v>15</v>
      </c>
      <c r="AJ25" s="81" t="n">
        <f aca="false">AJ24-AJ23</f>
        <v>15</v>
      </c>
      <c r="AK25" s="81" t="n">
        <f aca="false">AK24-AK23</f>
        <v>15</v>
      </c>
      <c r="AL25" s="81" t="n">
        <f aca="false">AL24-AL23</f>
        <v>15</v>
      </c>
      <c r="AM25" s="81" t="n">
        <f aca="false">AM24-AM23</f>
        <v>15</v>
      </c>
      <c r="AN25" s="81" t="n">
        <f aca="false">AN24-AN23</f>
        <v>15</v>
      </c>
      <c r="AO25" s="80" t="n">
        <f aca="false">SUM(AP25:BA25)</f>
        <v>282</v>
      </c>
      <c r="AP25" s="81" t="n">
        <f aca="false">AP24-AP23</f>
        <v>23.5</v>
      </c>
      <c r="AQ25" s="81" t="n">
        <f aca="false">AQ24-AQ23</f>
        <v>23.5</v>
      </c>
      <c r="AR25" s="81" t="n">
        <f aca="false">AR24-AR23</f>
        <v>23.5</v>
      </c>
      <c r="AS25" s="81" t="n">
        <f aca="false">AS24-AS23</f>
        <v>23.5</v>
      </c>
      <c r="AT25" s="81" t="n">
        <f aca="false">AT24-AT23</f>
        <v>23.5</v>
      </c>
      <c r="AU25" s="81" t="n">
        <f aca="false">AU24-AU23</f>
        <v>23.5</v>
      </c>
      <c r="AV25" s="81" t="n">
        <f aca="false">AV24-AV23</f>
        <v>23.5</v>
      </c>
      <c r="AW25" s="81" t="n">
        <f aca="false">AW24-AW23</f>
        <v>23.5</v>
      </c>
      <c r="AX25" s="81" t="n">
        <f aca="false">AX24-AX23</f>
        <v>23.5</v>
      </c>
      <c r="AY25" s="81" t="n">
        <f aca="false">AY24-AY23</f>
        <v>23.5</v>
      </c>
      <c r="AZ25" s="81" t="n">
        <f aca="false">AZ24-AZ23</f>
        <v>23.5</v>
      </c>
      <c r="BA25" s="81" t="n">
        <f aca="false">BA24-BA23</f>
        <v>23.5</v>
      </c>
      <c r="BB25" s="80" t="n">
        <f aca="false">SUM(BC25:BN25)</f>
        <v>387</v>
      </c>
      <c r="BC25" s="81" t="n">
        <f aca="false">BC24-BC23</f>
        <v>32</v>
      </c>
      <c r="BD25" s="81" t="n">
        <f aca="false">BD24-BD23</f>
        <v>32</v>
      </c>
      <c r="BE25" s="81" t="n">
        <f aca="false">BE24-BE23</f>
        <v>32</v>
      </c>
      <c r="BF25" s="81" t="n">
        <f aca="false">BF24-BF23</f>
        <v>32</v>
      </c>
      <c r="BG25" s="81" t="n">
        <f aca="false">BG24-BG23</f>
        <v>32</v>
      </c>
      <c r="BH25" s="81" t="n">
        <f aca="false">BH24-BH23</f>
        <v>32</v>
      </c>
      <c r="BI25" s="81" t="n">
        <f aca="false">BI24-BI23</f>
        <v>32.5</v>
      </c>
      <c r="BJ25" s="81" t="n">
        <f aca="false">BJ24-BJ23</f>
        <v>32.5</v>
      </c>
      <c r="BK25" s="81" t="n">
        <f aca="false">BK24-BK23</f>
        <v>32.5</v>
      </c>
      <c r="BL25" s="81" t="n">
        <f aca="false">BL24-BL23</f>
        <v>32.5</v>
      </c>
      <c r="BM25" s="81" t="n">
        <f aca="false">BM24-BM23</f>
        <v>32.5</v>
      </c>
      <c r="BN25" s="81" t="n">
        <f aca="false">BN24-BN23</f>
        <v>32.5</v>
      </c>
    </row>
    <row r="26" customFormat="false" ht="15" hidden="false" customHeight="false" outlineLevel="0" collapsed="false">
      <c r="A26" s="12" t="s">
        <v>684</v>
      </c>
      <c r="B26" s="80" t="n">
        <f aca="false">SUM(C26:N26)</f>
        <v>24</v>
      </c>
      <c r="C26" s="96" t="n">
        <f aca="false">Acquisitions!C$42</f>
        <v>2</v>
      </c>
      <c r="D26" s="96" t="n">
        <f aca="false">Acquisitions!D$42</f>
        <v>2</v>
      </c>
      <c r="E26" s="96" t="n">
        <f aca="false">Acquisitions!E$42</f>
        <v>2</v>
      </c>
      <c r="F26" s="96" t="n">
        <f aca="false">Acquisitions!F$42</f>
        <v>2</v>
      </c>
      <c r="G26" s="96" t="n">
        <f aca="false">Acquisitions!G$42</f>
        <v>2</v>
      </c>
      <c r="H26" s="96" t="n">
        <f aca="false">Acquisitions!H$42</f>
        <v>2</v>
      </c>
      <c r="I26" s="96" t="n">
        <f aca="false">Acquisitions!I$42</f>
        <v>2</v>
      </c>
      <c r="J26" s="96" t="n">
        <f aca="false">Acquisitions!J$42</f>
        <v>2</v>
      </c>
      <c r="K26" s="96" t="n">
        <f aca="false">Acquisitions!K$42</f>
        <v>2</v>
      </c>
      <c r="L26" s="96" t="n">
        <f aca="false">Acquisitions!L$42</f>
        <v>2</v>
      </c>
      <c r="M26" s="96" t="n">
        <f aca="false">Acquisitions!M$42</f>
        <v>2</v>
      </c>
      <c r="N26" s="96" t="n">
        <f aca="false">Acquisitions!N$42</f>
        <v>2</v>
      </c>
      <c r="O26" s="80" t="n">
        <f aca="false">SUM(P26:AA26)</f>
        <v>60</v>
      </c>
      <c r="P26" s="96" t="n">
        <f aca="false">Acquisitions!P$42</f>
        <v>5</v>
      </c>
      <c r="Q26" s="96" t="n">
        <f aca="false">Acquisitions!Q$42</f>
        <v>5</v>
      </c>
      <c r="R26" s="96" t="n">
        <f aca="false">Acquisitions!R$42</f>
        <v>5</v>
      </c>
      <c r="S26" s="96" t="n">
        <f aca="false">Acquisitions!S$42</f>
        <v>5</v>
      </c>
      <c r="T26" s="96" t="n">
        <f aca="false">Acquisitions!T$42</f>
        <v>5</v>
      </c>
      <c r="U26" s="96" t="n">
        <f aca="false">Acquisitions!U$42</f>
        <v>5</v>
      </c>
      <c r="V26" s="96" t="n">
        <f aca="false">Acquisitions!V$42</f>
        <v>5</v>
      </c>
      <c r="W26" s="96" t="n">
        <f aca="false">Acquisitions!W$42</f>
        <v>5</v>
      </c>
      <c r="X26" s="96" t="n">
        <f aca="false">Acquisitions!X$42</f>
        <v>5</v>
      </c>
      <c r="Y26" s="96" t="n">
        <f aca="false">Acquisitions!Y$42</f>
        <v>5</v>
      </c>
      <c r="Z26" s="96" t="n">
        <f aca="false">Acquisitions!Z$42</f>
        <v>5</v>
      </c>
      <c r="AA26" s="96" t="n">
        <f aca="false">Acquisitions!AA$42</f>
        <v>5</v>
      </c>
      <c r="AB26" s="80" t="n">
        <f aca="false">SUM(AC26:AN26)</f>
        <v>108</v>
      </c>
      <c r="AC26" s="96" t="n">
        <f aca="false">Acquisitions!AC$42</f>
        <v>9</v>
      </c>
      <c r="AD26" s="96" t="n">
        <f aca="false">Acquisitions!AD$42</f>
        <v>9</v>
      </c>
      <c r="AE26" s="96" t="n">
        <f aca="false">Acquisitions!AE$42</f>
        <v>9</v>
      </c>
      <c r="AF26" s="96" t="n">
        <f aca="false">Acquisitions!AF$42</f>
        <v>9</v>
      </c>
      <c r="AG26" s="96" t="n">
        <f aca="false">Acquisitions!AG$42</f>
        <v>9</v>
      </c>
      <c r="AH26" s="96" t="n">
        <f aca="false">Acquisitions!AH$42</f>
        <v>9</v>
      </c>
      <c r="AI26" s="96" t="n">
        <f aca="false">Acquisitions!AI$42</f>
        <v>9</v>
      </c>
      <c r="AJ26" s="96" t="n">
        <f aca="false">Acquisitions!AJ$42</f>
        <v>9</v>
      </c>
      <c r="AK26" s="96" t="n">
        <f aca="false">Acquisitions!AK$42</f>
        <v>9</v>
      </c>
      <c r="AL26" s="96" t="n">
        <f aca="false">Acquisitions!AL$42</f>
        <v>9</v>
      </c>
      <c r="AM26" s="96" t="n">
        <f aca="false">Acquisitions!AM$42</f>
        <v>9</v>
      </c>
      <c r="AN26" s="96" t="n">
        <f aca="false">Acquisitions!AN$42</f>
        <v>9</v>
      </c>
      <c r="AO26" s="80" t="n">
        <f aca="false">SUM(AP26:BA26)</f>
        <v>144</v>
      </c>
      <c r="AP26" s="96" t="n">
        <f aca="false">Acquisitions!AP$42</f>
        <v>12</v>
      </c>
      <c r="AQ26" s="96" t="n">
        <f aca="false">Acquisitions!AQ$42</f>
        <v>12</v>
      </c>
      <c r="AR26" s="96" t="n">
        <f aca="false">Acquisitions!AR$42</f>
        <v>12</v>
      </c>
      <c r="AS26" s="96" t="n">
        <f aca="false">Acquisitions!AS$42</f>
        <v>12</v>
      </c>
      <c r="AT26" s="96" t="n">
        <f aca="false">Acquisitions!AT$42</f>
        <v>12</v>
      </c>
      <c r="AU26" s="96" t="n">
        <f aca="false">Acquisitions!AU$42</f>
        <v>12</v>
      </c>
      <c r="AV26" s="96" t="n">
        <f aca="false">Acquisitions!AV$42</f>
        <v>12</v>
      </c>
      <c r="AW26" s="96" t="n">
        <f aca="false">Acquisitions!AW$42</f>
        <v>12</v>
      </c>
      <c r="AX26" s="96" t="n">
        <f aca="false">Acquisitions!AX$42</f>
        <v>12</v>
      </c>
      <c r="AY26" s="96" t="n">
        <f aca="false">Acquisitions!AY$42</f>
        <v>12</v>
      </c>
      <c r="AZ26" s="96" t="n">
        <f aca="false">Acquisitions!AZ$42</f>
        <v>12</v>
      </c>
      <c r="BA26" s="96" t="n">
        <f aca="false">Acquisitions!BA$42</f>
        <v>12</v>
      </c>
      <c r="BB26" s="80" t="n">
        <f aca="false">SUM(BC26:BN26)</f>
        <v>180</v>
      </c>
      <c r="BC26" s="96" t="n">
        <f aca="false">Acquisitions!BC$42</f>
        <v>15</v>
      </c>
      <c r="BD26" s="96" t="n">
        <f aca="false">Acquisitions!BD$42</f>
        <v>15</v>
      </c>
      <c r="BE26" s="96" t="n">
        <f aca="false">Acquisitions!BE$42</f>
        <v>15</v>
      </c>
      <c r="BF26" s="96" t="n">
        <f aca="false">Acquisitions!BF$42</f>
        <v>15</v>
      </c>
      <c r="BG26" s="96" t="n">
        <f aca="false">Acquisitions!BG$42</f>
        <v>15</v>
      </c>
      <c r="BH26" s="96" t="n">
        <f aca="false">Acquisitions!BH$42</f>
        <v>15</v>
      </c>
      <c r="BI26" s="96" t="n">
        <f aca="false">Acquisitions!BI$42</f>
        <v>15</v>
      </c>
      <c r="BJ26" s="96" t="n">
        <f aca="false">Acquisitions!BJ$42</f>
        <v>15</v>
      </c>
      <c r="BK26" s="96" t="n">
        <f aca="false">Acquisitions!BK$42</f>
        <v>15</v>
      </c>
      <c r="BL26" s="96" t="n">
        <f aca="false">Acquisitions!BL$42</f>
        <v>15</v>
      </c>
      <c r="BM26" s="96" t="n">
        <f aca="false">Acquisitions!BM$42</f>
        <v>15</v>
      </c>
      <c r="BN26" s="96" t="n">
        <f aca="false">Acquisitions!BN$42</f>
        <v>15</v>
      </c>
    </row>
    <row r="27" customFormat="false" ht="15" hidden="false" customHeight="false" outlineLevel="0" collapsed="false">
      <c r="A27" s="12" t="s">
        <v>682</v>
      </c>
      <c r="B27" s="80" t="n">
        <f aca="false">SUM(C27:N27)</f>
        <v>157.2</v>
      </c>
      <c r="C27" s="81" t="n">
        <f aca="false">Payroll!C$73*'Assumption Setting'!$C$83+Payroll!C$71*'Assumption Setting'!$D$83+C12*'Assumption Setting'!$E$83+C18*'Assumption Setting'!$F$83</f>
        <v>13.1</v>
      </c>
      <c r="D27" s="81" t="n">
        <f aca="false">Payroll!D$73*'Assumption Setting'!$C$83+Payroll!D$71*'Assumption Setting'!$D$83+D12*'Assumption Setting'!$E$83+D18*'Assumption Setting'!$F$83</f>
        <v>13.1</v>
      </c>
      <c r="E27" s="81" t="n">
        <f aca="false">Payroll!E$73*'Assumption Setting'!$C$83+Payroll!E$71*'Assumption Setting'!$D$83+E12*'Assumption Setting'!$E$83+E18*'Assumption Setting'!$F$83</f>
        <v>13.1</v>
      </c>
      <c r="F27" s="81" t="n">
        <f aca="false">Payroll!F$73*'Assumption Setting'!$C$83+Payroll!F$71*'Assumption Setting'!$D$83+F12*'Assumption Setting'!$E$83+F18*'Assumption Setting'!$F$83</f>
        <v>13.1</v>
      </c>
      <c r="G27" s="81" t="n">
        <f aca="false">Payroll!G$73*'Assumption Setting'!$C$83+Payroll!G$71*'Assumption Setting'!$D$83+G12*'Assumption Setting'!$E$83+G18*'Assumption Setting'!$F$83</f>
        <v>13.1</v>
      </c>
      <c r="H27" s="81" t="n">
        <f aca="false">Payroll!H$73*'Assumption Setting'!$C$83+Payroll!H$71*'Assumption Setting'!$D$83+H12*'Assumption Setting'!$E$83+H18*'Assumption Setting'!$F$83</f>
        <v>13.1</v>
      </c>
      <c r="I27" s="81" t="n">
        <f aca="false">Payroll!I$73*'Assumption Setting'!$C$83+Payroll!I$71*'Assumption Setting'!$D$83+I12*'Assumption Setting'!$E$83+I18*'Assumption Setting'!$F$83</f>
        <v>13.1</v>
      </c>
      <c r="J27" s="81" t="n">
        <f aca="false">Payroll!J$73*'Assumption Setting'!$C$83+Payroll!J$71*'Assumption Setting'!$D$83+J12*'Assumption Setting'!$E$83+J18*'Assumption Setting'!$F$83</f>
        <v>13.1</v>
      </c>
      <c r="K27" s="81" t="n">
        <f aca="false">Payroll!K$73*'Assumption Setting'!$C$83+Payroll!K$71*'Assumption Setting'!$D$83+K12*'Assumption Setting'!$E$83+K18*'Assumption Setting'!$F$83</f>
        <v>13.1</v>
      </c>
      <c r="L27" s="81" t="n">
        <f aca="false">Payroll!L$73*'Assumption Setting'!$C$83+Payroll!L$71*'Assumption Setting'!$D$83+L12*'Assumption Setting'!$E$83+L18*'Assumption Setting'!$F$83</f>
        <v>13.1</v>
      </c>
      <c r="M27" s="81" t="n">
        <f aca="false">Payroll!M$73*'Assumption Setting'!$C$83+Payroll!M$71*'Assumption Setting'!$D$83+M12*'Assumption Setting'!$E$83+M18*'Assumption Setting'!$F$83</f>
        <v>13.1</v>
      </c>
      <c r="N27" s="81" t="n">
        <f aca="false">Payroll!N$73*'Assumption Setting'!$C$83+Payroll!N$71*'Assumption Setting'!$D$83+N12*'Assumption Setting'!$E$83+N18*'Assumption Setting'!$F$83</f>
        <v>13.1</v>
      </c>
      <c r="O27" s="80" t="n">
        <f aca="false">SUM(P27:AA27)</f>
        <v>402</v>
      </c>
      <c r="P27" s="81" t="n">
        <f aca="false">Payroll!P$73*'Assumption Setting'!$C$83+Payroll!P$71*'Assumption Setting'!$D$83+P12*'Assumption Setting'!$E$83+P18*'Assumption Setting'!$F$83</f>
        <v>33.5</v>
      </c>
      <c r="Q27" s="81" t="n">
        <f aca="false">Payroll!Q$73*'Assumption Setting'!$C$83+Payroll!Q$71*'Assumption Setting'!$D$83+Q12*'Assumption Setting'!$E$83+Q18*'Assumption Setting'!$F$83</f>
        <v>33.5</v>
      </c>
      <c r="R27" s="81" t="n">
        <f aca="false">Payroll!R$73*'Assumption Setting'!$C$83+Payroll!R$71*'Assumption Setting'!$D$83+R12*'Assumption Setting'!$E$83+R18*'Assumption Setting'!$F$83</f>
        <v>33.5</v>
      </c>
      <c r="S27" s="81" t="n">
        <f aca="false">Payroll!S$73*'Assumption Setting'!$C$83+Payroll!S$71*'Assumption Setting'!$D$83+S12*'Assumption Setting'!$E$83+S18*'Assumption Setting'!$F$83</f>
        <v>33.5</v>
      </c>
      <c r="T27" s="81" t="n">
        <f aca="false">Payroll!T$73*'Assumption Setting'!$C$83+Payroll!T$71*'Assumption Setting'!$D$83+T12*'Assumption Setting'!$E$83+T18*'Assumption Setting'!$F$83</f>
        <v>33.5</v>
      </c>
      <c r="U27" s="81" t="n">
        <f aca="false">Payroll!U$73*'Assumption Setting'!$C$83+Payroll!U$71*'Assumption Setting'!$D$83+U12*'Assumption Setting'!$E$83+U18*'Assumption Setting'!$F$83</f>
        <v>33.5</v>
      </c>
      <c r="V27" s="81" t="n">
        <f aca="false">Payroll!V$73*'Assumption Setting'!$C$83+Payroll!V$71*'Assumption Setting'!$D$83+V12*'Assumption Setting'!$E$83+V18*'Assumption Setting'!$F$83</f>
        <v>33.5</v>
      </c>
      <c r="W27" s="81" t="n">
        <f aca="false">Payroll!W$73*'Assumption Setting'!$C$83+Payroll!W$71*'Assumption Setting'!$D$83+W12*'Assumption Setting'!$E$83+W18*'Assumption Setting'!$F$83</f>
        <v>33.5</v>
      </c>
      <c r="X27" s="81" t="n">
        <f aca="false">Payroll!X$73*'Assumption Setting'!$C$83+Payroll!X$71*'Assumption Setting'!$D$83+X12*'Assumption Setting'!$E$83+X18*'Assumption Setting'!$F$83</f>
        <v>33.5</v>
      </c>
      <c r="Y27" s="81" t="n">
        <f aca="false">Payroll!Y$73*'Assumption Setting'!$C$83+Payroll!Y$71*'Assumption Setting'!$D$83+Y12*'Assumption Setting'!$E$83+Y18*'Assumption Setting'!$F$83</f>
        <v>33.5</v>
      </c>
      <c r="Z27" s="81" t="n">
        <f aca="false">Payroll!Z$73*'Assumption Setting'!$C$83+Payroll!Z$71*'Assumption Setting'!$D$83+Z12*'Assumption Setting'!$E$83+Z18*'Assumption Setting'!$F$83</f>
        <v>33.5</v>
      </c>
      <c r="AA27" s="81" t="n">
        <f aca="false">Payroll!AA$73*'Assumption Setting'!$C$83+Payroll!AA$71*'Assumption Setting'!$D$83+AA12*'Assumption Setting'!$E$83+AA18*'Assumption Setting'!$F$83</f>
        <v>33.5</v>
      </c>
      <c r="AB27" s="80" t="n">
        <f aca="false">SUM(AC27:AN27)</f>
        <v>834</v>
      </c>
      <c r="AC27" s="81" t="n">
        <f aca="false">Payroll!AC$73*'Assumption Setting'!$C$83+Payroll!AC$71*'Assumption Setting'!$D$83+AC12*'Assumption Setting'!$E$83+AC18*'Assumption Setting'!$F$83</f>
        <v>69.5</v>
      </c>
      <c r="AD27" s="81" t="n">
        <f aca="false">Payroll!AD$73*'Assumption Setting'!$C$83+Payroll!AD$71*'Assumption Setting'!$D$83+AD12*'Assumption Setting'!$E$83+AD18*'Assumption Setting'!$F$83</f>
        <v>69.5</v>
      </c>
      <c r="AE27" s="81" t="n">
        <f aca="false">Payroll!AE$73*'Assumption Setting'!$C$83+Payroll!AE$71*'Assumption Setting'!$D$83+AE12*'Assumption Setting'!$E$83+AE18*'Assumption Setting'!$F$83</f>
        <v>69.5</v>
      </c>
      <c r="AF27" s="81" t="n">
        <f aca="false">Payroll!AF$73*'Assumption Setting'!$C$83+Payroll!AF$71*'Assumption Setting'!$D$83+AF12*'Assumption Setting'!$E$83+AF18*'Assumption Setting'!$F$83</f>
        <v>69.5</v>
      </c>
      <c r="AG27" s="81" t="n">
        <f aca="false">Payroll!AG$73*'Assumption Setting'!$C$83+Payroll!AG$71*'Assumption Setting'!$D$83+AG12*'Assumption Setting'!$E$83+AG18*'Assumption Setting'!$F$83</f>
        <v>69.5</v>
      </c>
      <c r="AH27" s="81" t="n">
        <f aca="false">Payroll!AH$73*'Assumption Setting'!$C$83+Payroll!AH$71*'Assumption Setting'!$D$83+AH12*'Assumption Setting'!$E$83+AH18*'Assumption Setting'!$F$83</f>
        <v>69.5</v>
      </c>
      <c r="AI27" s="81" t="n">
        <f aca="false">Payroll!AI$73*'Assumption Setting'!$C$83+Payroll!AI$71*'Assumption Setting'!$D$83+AI12*'Assumption Setting'!$E$83+AI18*'Assumption Setting'!$F$83</f>
        <v>69.5</v>
      </c>
      <c r="AJ27" s="81" t="n">
        <f aca="false">Payroll!AJ$73*'Assumption Setting'!$C$83+Payroll!AJ$71*'Assumption Setting'!$D$83+AJ12*'Assumption Setting'!$E$83+AJ18*'Assumption Setting'!$F$83</f>
        <v>69.5</v>
      </c>
      <c r="AK27" s="81" t="n">
        <f aca="false">Payroll!AK$73*'Assumption Setting'!$C$83+Payroll!AK$71*'Assumption Setting'!$D$83+AK12*'Assumption Setting'!$E$83+AK18*'Assumption Setting'!$F$83</f>
        <v>69.5</v>
      </c>
      <c r="AL27" s="81" t="n">
        <f aca="false">Payroll!AL$73*'Assumption Setting'!$C$83+Payroll!AL$71*'Assumption Setting'!$D$83+AL12*'Assumption Setting'!$E$83+AL18*'Assumption Setting'!$F$83</f>
        <v>69.5</v>
      </c>
      <c r="AM27" s="81" t="n">
        <f aca="false">Payroll!AM$73*'Assumption Setting'!$C$83+Payroll!AM$71*'Assumption Setting'!$D$83+AM12*'Assumption Setting'!$E$83+AM18*'Assumption Setting'!$F$83</f>
        <v>69.5</v>
      </c>
      <c r="AN27" s="81" t="n">
        <f aca="false">Payroll!AN$73*'Assumption Setting'!$C$83+Payroll!AN$71*'Assumption Setting'!$D$83+AN12*'Assumption Setting'!$E$83+AN18*'Assumption Setting'!$F$83</f>
        <v>69.5</v>
      </c>
      <c r="AO27" s="80" t="n">
        <f aca="false">SUM(AP27:BA27)</f>
        <v>1338</v>
      </c>
      <c r="AP27" s="81" t="n">
        <f aca="false">Payroll!AP$73*'Assumption Setting'!$C$83+Payroll!AP$71*'Assumption Setting'!$D$83+AP12*'Assumption Setting'!$E$83+AP18*'Assumption Setting'!$F$83</f>
        <v>111.5</v>
      </c>
      <c r="AQ27" s="81" t="n">
        <f aca="false">Payroll!AQ$73*'Assumption Setting'!$C$83+Payroll!AQ$71*'Assumption Setting'!$D$83+AQ12*'Assumption Setting'!$E$83+AQ18*'Assumption Setting'!$F$83</f>
        <v>111.5</v>
      </c>
      <c r="AR27" s="81" t="n">
        <f aca="false">Payroll!AR$73*'Assumption Setting'!$C$83+Payroll!AR$71*'Assumption Setting'!$D$83+AR12*'Assumption Setting'!$E$83+AR18*'Assumption Setting'!$F$83</f>
        <v>111.5</v>
      </c>
      <c r="AS27" s="81" t="n">
        <f aca="false">Payroll!AS$73*'Assumption Setting'!$C$83+Payroll!AS$71*'Assumption Setting'!$D$83+AS12*'Assumption Setting'!$E$83+AS18*'Assumption Setting'!$F$83</f>
        <v>111.5</v>
      </c>
      <c r="AT27" s="81" t="n">
        <f aca="false">Payroll!AT$73*'Assumption Setting'!$C$83+Payroll!AT$71*'Assumption Setting'!$D$83+AT12*'Assumption Setting'!$E$83+AT18*'Assumption Setting'!$F$83</f>
        <v>111.5</v>
      </c>
      <c r="AU27" s="81" t="n">
        <f aca="false">Payroll!AU$73*'Assumption Setting'!$C$83+Payroll!AU$71*'Assumption Setting'!$D$83+AU12*'Assumption Setting'!$E$83+AU18*'Assumption Setting'!$F$83</f>
        <v>111.5</v>
      </c>
      <c r="AV27" s="81" t="n">
        <f aca="false">Payroll!AV$73*'Assumption Setting'!$C$83+Payroll!AV$71*'Assumption Setting'!$D$83+AV12*'Assumption Setting'!$E$83+AV18*'Assumption Setting'!$F$83</f>
        <v>111.5</v>
      </c>
      <c r="AW27" s="81" t="n">
        <f aca="false">Payroll!AW$73*'Assumption Setting'!$C$83+Payroll!AW$71*'Assumption Setting'!$D$83+AW12*'Assumption Setting'!$E$83+AW18*'Assumption Setting'!$F$83</f>
        <v>111.5</v>
      </c>
      <c r="AX27" s="81" t="n">
        <f aca="false">Payroll!AX$73*'Assumption Setting'!$C$83+Payroll!AX$71*'Assumption Setting'!$D$83+AX12*'Assumption Setting'!$E$83+AX18*'Assumption Setting'!$F$83</f>
        <v>111.5</v>
      </c>
      <c r="AY27" s="81" t="n">
        <f aca="false">Payroll!AY$73*'Assumption Setting'!$C$83+Payroll!AY$71*'Assumption Setting'!$D$83+AY12*'Assumption Setting'!$E$83+AY18*'Assumption Setting'!$F$83</f>
        <v>111.5</v>
      </c>
      <c r="AZ27" s="81" t="n">
        <f aca="false">Payroll!AZ$73*'Assumption Setting'!$C$83+Payroll!AZ$71*'Assumption Setting'!$D$83+AZ12*'Assumption Setting'!$E$83+AZ18*'Assumption Setting'!$F$83</f>
        <v>111.5</v>
      </c>
      <c r="BA27" s="81" t="n">
        <f aca="false">Payroll!BA$73*'Assumption Setting'!$C$83+Payroll!BA$71*'Assumption Setting'!$D$83+BA12*'Assumption Setting'!$E$83+BA18*'Assumption Setting'!$F$83</f>
        <v>111.5</v>
      </c>
      <c r="BB27" s="80" t="n">
        <f aca="false">SUM(BC27:BN27)</f>
        <v>1866</v>
      </c>
      <c r="BC27" s="81" t="n">
        <f aca="false">Payroll!BC$73*'Assumption Setting'!$C$83+Payroll!BC$71*'Assumption Setting'!$D$83+BC12*'Assumption Setting'!$E$83+BC18*'Assumption Setting'!$F$83</f>
        <v>155.5</v>
      </c>
      <c r="BD27" s="81" t="n">
        <f aca="false">Payroll!BD$73*'Assumption Setting'!$C$83+Payroll!BD$71*'Assumption Setting'!$D$83+BD12*'Assumption Setting'!$E$83+BD18*'Assumption Setting'!$F$83</f>
        <v>155.5</v>
      </c>
      <c r="BE27" s="81" t="n">
        <f aca="false">Payroll!BE$73*'Assumption Setting'!$C$83+Payroll!BE$71*'Assumption Setting'!$D$83+BE12*'Assumption Setting'!$E$83+BE18*'Assumption Setting'!$F$83</f>
        <v>155.5</v>
      </c>
      <c r="BF27" s="81" t="n">
        <f aca="false">Payroll!BF$73*'Assumption Setting'!$C$83+Payroll!BF$71*'Assumption Setting'!$D$83+BF12*'Assumption Setting'!$E$83+BF18*'Assumption Setting'!$F$83</f>
        <v>155.5</v>
      </c>
      <c r="BG27" s="81" t="n">
        <f aca="false">Payroll!BG$73*'Assumption Setting'!$C$83+Payroll!BG$71*'Assumption Setting'!$D$83+BG12*'Assumption Setting'!$E$83+BG18*'Assumption Setting'!$F$83</f>
        <v>155.5</v>
      </c>
      <c r="BH27" s="81" t="n">
        <f aca="false">Payroll!BH$73*'Assumption Setting'!$C$83+Payroll!BH$71*'Assumption Setting'!$D$83+BH12*'Assumption Setting'!$E$83+BH18*'Assumption Setting'!$F$83</f>
        <v>155.5</v>
      </c>
      <c r="BI27" s="81" t="n">
        <f aca="false">Payroll!BI$73*'Assumption Setting'!$C$83+Payroll!BI$71*'Assumption Setting'!$D$83+BI12*'Assumption Setting'!$E$83+BI18*'Assumption Setting'!$F$83</f>
        <v>155.5</v>
      </c>
      <c r="BJ27" s="81" t="n">
        <f aca="false">Payroll!BJ$73*'Assumption Setting'!$C$83+Payroll!BJ$71*'Assumption Setting'!$D$83+BJ12*'Assumption Setting'!$E$83+BJ18*'Assumption Setting'!$F$83</f>
        <v>155.5</v>
      </c>
      <c r="BK27" s="81" t="n">
        <f aca="false">Payroll!BK$73*'Assumption Setting'!$C$83+Payroll!BK$71*'Assumption Setting'!$D$83+BK12*'Assumption Setting'!$E$83+BK18*'Assumption Setting'!$F$83</f>
        <v>155.5</v>
      </c>
      <c r="BL27" s="81" t="n">
        <f aca="false">Payroll!BL$73*'Assumption Setting'!$C$83+Payroll!BL$71*'Assumption Setting'!$D$83+BL12*'Assumption Setting'!$E$83+BL18*'Assumption Setting'!$F$83</f>
        <v>155.5</v>
      </c>
      <c r="BM27" s="81" t="n">
        <f aca="false">Payroll!BM$73*'Assumption Setting'!$C$83+Payroll!BM$71*'Assumption Setting'!$D$83+BM12*'Assumption Setting'!$E$83+BM18*'Assumption Setting'!$F$83</f>
        <v>155.5</v>
      </c>
      <c r="BN27" s="81" t="n">
        <f aca="false">Payroll!BN$73*'Assumption Setting'!$C$83+Payroll!BN$71*'Assumption Setting'!$D$83+BN12*'Assumption Setting'!$E$83+BN18*'Assumption Setting'!$F$83</f>
        <v>155.5</v>
      </c>
    </row>
    <row r="28" customFormat="false" ht="15" hidden="false" customHeight="false" outlineLevel="0" collapsed="false">
      <c r="A28" s="12" t="s">
        <v>683</v>
      </c>
      <c r="B28" s="80" t="n">
        <f aca="false">SUM(C28:N28)</f>
        <v>133.2</v>
      </c>
      <c r="C28" s="81" t="n">
        <f aca="false">C27-C26</f>
        <v>11.1</v>
      </c>
      <c r="D28" s="81" t="n">
        <f aca="false">D27-D26</f>
        <v>11.1</v>
      </c>
      <c r="E28" s="81" t="n">
        <f aca="false">E27-E26</f>
        <v>11.1</v>
      </c>
      <c r="F28" s="81" t="n">
        <f aca="false">F27-F26</f>
        <v>11.1</v>
      </c>
      <c r="G28" s="81" t="n">
        <f aca="false">G27-G26</f>
        <v>11.1</v>
      </c>
      <c r="H28" s="81" t="n">
        <f aca="false">H27-H26</f>
        <v>11.1</v>
      </c>
      <c r="I28" s="81" t="n">
        <f aca="false">I27-I26</f>
        <v>11.1</v>
      </c>
      <c r="J28" s="81" t="n">
        <f aca="false">J27-J26</f>
        <v>11.1</v>
      </c>
      <c r="K28" s="81" t="n">
        <f aca="false">K27-K26</f>
        <v>11.1</v>
      </c>
      <c r="L28" s="81" t="n">
        <f aca="false">L27-L26</f>
        <v>11.1</v>
      </c>
      <c r="M28" s="81" t="n">
        <f aca="false">M27-M26</f>
        <v>11.1</v>
      </c>
      <c r="N28" s="81" t="n">
        <f aca="false">N27-N26</f>
        <v>11.1</v>
      </c>
      <c r="O28" s="80" t="n">
        <f aca="false">SUM(P28:AA28)</f>
        <v>342</v>
      </c>
      <c r="P28" s="81" t="n">
        <f aca="false">P27-P26</f>
        <v>28.5</v>
      </c>
      <c r="Q28" s="81" t="n">
        <f aca="false">Q27-Q26</f>
        <v>28.5</v>
      </c>
      <c r="R28" s="81" t="n">
        <f aca="false">R27-R26</f>
        <v>28.5</v>
      </c>
      <c r="S28" s="81" t="n">
        <f aca="false">S27-S26</f>
        <v>28.5</v>
      </c>
      <c r="T28" s="81" t="n">
        <f aca="false">T27-T26</f>
        <v>28.5</v>
      </c>
      <c r="U28" s="81" t="n">
        <f aca="false">U27-U26</f>
        <v>28.5</v>
      </c>
      <c r="V28" s="81" t="n">
        <f aca="false">V27-V26</f>
        <v>28.5</v>
      </c>
      <c r="W28" s="81" t="n">
        <f aca="false">W27-W26</f>
        <v>28.5</v>
      </c>
      <c r="X28" s="81" t="n">
        <f aca="false">X27-X26</f>
        <v>28.5</v>
      </c>
      <c r="Y28" s="81" t="n">
        <f aca="false">Y27-Y26</f>
        <v>28.5</v>
      </c>
      <c r="Z28" s="81" t="n">
        <f aca="false">Z27-Z26</f>
        <v>28.5</v>
      </c>
      <c r="AA28" s="81" t="n">
        <f aca="false">AA27-AA26</f>
        <v>28.5</v>
      </c>
      <c r="AB28" s="80" t="n">
        <f aca="false">SUM(AC28:AN28)</f>
        <v>726</v>
      </c>
      <c r="AC28" s="81" t="n">
        <f aca="false">AC27-AC26</f>
        <v>60.5</v>
      </c>
      <c r="AD28" s="81" t="n">
        <f aca="false">AD27-AD26</f>
        <v>60.5</v>
      </c>
      <c r="AE28" s="81" t="n">
        <f aca="false">AE27-AE26</f>
        <v>60.5</v>
      </c>
      <c r="AF28" s="81" t="n">
        <f aca="false">AF27-AF26</f>
        <v>60.5</v>
      </c>
      <c r="AG28" s="81" t="n">
        <f aca="false">AG27-AG26</f>
        <v>60.5</v>
      </c>
      <c r="AH28" s="81" t="n">
        <f aca="false">AH27-AH26</f>
        <v>60.5</v>
      </c>
      <c r="AI28" s="81" t="n">
        <f aca="false">AI27-AI26</f>
        <v>60.5</v>
      </c>
      <c r="AJ28" s="81" t="n">
        <f aca="false">AJ27-AJ26</f>
        <v>60.5</v>
      </c>
      <c r="AK28" s="81" t="n">
        <f aca="false">AK27-AK26</f>
        <v>60.5</v>
      </c>
      <c r="AL28" s="81" t="n">
        <f aca="false">AL27-AL26</f>
        <v>60.5</v>
      </c>
      <c r="AM28" s="81" t="n">
        <f aca="false">AM27-AM26</f>
        <v>60.5</v>
      </c>
      <c r="AN28" s="81" t="n">
        <f aca="false">AN27-AN26</f>
        <v>60.5</v>
      </c>
      <c r="AO28" s="80" t="n">
        <f aca="false">SUM(AP28:BA28)</f>
        <v>1194</v>
      </c>
      <c r="AP28" s="81" t="n">
        <f aca="false">AP27-AP26</f>
        <v>99.5</v>
      </c>
      <c r="AQ28" s="81" t="n">
        <f aca="false">AQ27-AQ26</f>
        <v>99.5</v>
      </c>
      <c r="AR28" s="81" t="n">
        <f aca="false">AR27-AR26</f>
        <v>99.5</v>
      </c>
      <c r="AS28" s="81" t="n">
        <f aca="false">AS27-AS26</f>
        <v>99.5</v>
      </c>
      <c r="AT28" s="81" t="n">
        <f aca="false">AT27-AT26</f>
        <v>99.5</v>
      </c>
      <c r="AU28" s="81" t="n">
        <f aca="false">AU27-AU26</f>
        <v>99.5</v>
      </c>
      <c r="AV28" s="81" t="n">
        <f aca="false">AV27-AV26</f>
        <v>99.5</v>
      </c>
      <c r="AW28" s="81" t="n">
        <f aca="false">AW27-AW26</f>
        <v>99.5</v>
      </c>
      <c r="AX28" s="81" t="n">
        <f aca="false">AX27-AX26</f>
        <v>99.5</v>
      </c>
      <c r="AY28" s="81" t="n">
        <f aca="false">AY27-AY26</f>
        <v>99.5</v>
      </c>
      <c r="AZ28" s="81" t="n">
        <f aca="false">AZ27-AZ26</f>
        <v>99.5</v>
      </c>
      <c r="BA28" s="81" t="n">
        <f aca="false">BA27-BA26</f>
        <v>99.5</v>
      </c>
      <c r="BB28" s="80" t="n">
        <f aca="false">SUM(BC28:BN28)</f>
        <v>1686</v>
      </c>
      <c r="BC28" s="81" t="n">
        <f aca="false">BC27-BC26</f>
        <v>140.5</v>
      </c>
      <c r="BD28" s="81" t="n">
        <f aca="false">BD27-BD26</f>
        <v>140.5</v>
      </c>
      <c r="BE28" s="81" t="n">
        <f aca="false">BE27-BE26</f>
        <v>140.5</v>
      </c>
      <c r="BF28" s="81" t="n">
        <f aca="false">BF27-BF26</f>
        <v>140.5</v>
      </c>
      <c r="BG28" s="81" t="n">
        <f aca="false">BG27-BG26</f>
        <v>140.5</v>
      </c>
      <c r="BH28" s="81" t="n">
        <f aca="false">BH27-BH26</f>
        <v>140.5</v>
      </c>
      <c r="BI28" s="81" t="n">
        <f aca="false">BI27-BI26</f>
        <v>140.5</v>
      </c>
      <c r="BJ28" s="81" t="n">
        <f aca="false">BJ27-BJ26</f>
        <v>140.5</v>
      </c>
      <c r="BK28" s="81" t="n">
        <f aca="false">BK27-BK26</f>
        <v>140.5</v>
      </c>
      <c r="BL28" s="81" t="n">
        <f aca="false">BL27-BL26</f>
        <v>140.5</v>
      </c>
      <c r="BM28" s="81" t="n">
        <f aca="false">BM27-BM26</f>
        <v>140.5</v>
      </c>
      <c r="BN28" s="81" t="n">
        <f aca="false">BN27-BN26</f>
        <v>140.5</v>
      </c>
    </row>
    <row r="29" customFormat="false" ht="15" hidden="false" customHeight="false" outlineLevel="0" collapsed="false">
      <c r="A29" s="12" t="s">
        <v>685</v>
      </c>
      <c r="B29" s="80" t="n">
        <f aca="false">SUM(C29:N29)</f>
        <v>2.4</v>
      </c>
      <c r="C29" s="96" t="n">
        <f aca="false">Acquisitions!C$46</f>
        <v>0.2</v>
      </c>
      <c r="D29" s="96" t="n">
        <f aca="false">Acquisitions!D$46</f>
        <v>0.2</v>
      </c>
      <c r="E29" s="96" t="n">
        <f aca="false">Acquisitions!E$46</f>
        <v>0.2</v>
      </c>
      <c r="F29" s="96" t="n">
        <f aca="false">Acquisitions!F$46</f>
        <v>0.2</v>
      </c>
      <c r="G29" s="96" t="n">
        <f aca="false">Acquisitions!G$46</f>
        <v>0.2</v>
      </c>
      <c r="H29" s="96" t="n">
        <f aca="false">Acquisitions!H$46</f>
        <v>0.2</v>
      </c>
      <c r="I29" s="96" t="n">
        <f aca="false">Acquisitions!I$46</f>
        <v>0.2</v>
      </c>
      <c r="J29" s="96" t="n">
        <f aca="false">Acquisitions!J$46</f>
        <v>0.2</v>
      </c>
      <c r="K29" s="96" t="n">
        <f aca="false">Acquisitions!K$46</f>
        <v>0.2</v>
      </c>
      <c r="L29" s="96" t="n">
        <f aca="false">Acquisitions!L$46</f>
        <v>0.2</v>
      </c>
      <c r="M29" s="96" t="n">
        <f aca="false">Acquisitions!M$46</f>
        <v>0.2</v>
      </c>
      <c r="N29" s="96" t="n">
        <f aca="false">Acquisitions!N$46</f>
        <v>0.2</v>
      </c>
      <c r="O29" s="80" t="n">
        <f aca="false">SUM(P29:AA29)</f>
        <v>12</v>
      </c>
      <c r="P29" s="96" t="n">
        <f aca="false">Acquisitions!P$46</f>
        <v>1</v>
      </c>
      <c r="Q29" s="96" t="n">
        <f aca="false">Acquisitions!Q$46</f>
        <v>1</v>
      </c>
      <c r="R29" s="96" t="n">
        <f aca="false">Acquisitions!R$46</f>
        <v>1</v>
      </c>
      <c r="S29" s="96" t="n">
        <f aca="false">Acquisitions!S$46</f>
        <v>1</v>
      </c>
      <c r="T29" s="96" t="n">
        <f aca="false">Acquisitions!T$46</f>
        <v>1</v>
      </c>
      <c r="U29" s="96" t="n">
        <f aca="false">Acquisitions!U$46</f>
        <v>1</v>
      </c>
      <c r="V29" s="96" t="n">
        <f aca="false">Acquisitions!V$46</f>
        <v>1</v>
      </c>
      <c r="W29" s="96" t="n">
        <f aca="false">Acquisitions!W$46</f>
        <v>1</v>
      </c>
      <c r="X29" s="96" t="n">
        <f aca="false">Acquisitions!X$46</f>
        <v>1</v>
      </c>
      <c r="Y29" s="96" t="n">
        <f aca="false">Acquisitions!Y$46</f>
        <v>1</v>
      </c>
      <c r="Z29" s="96" t="n">
        <f aca="false">Acquisitions!Z$46</f>
        <v>1</v>
      </c>
      <c r="AA29" s="96" t="n">
        <f aca="false">Acquisitions!AA$46</f>
        <v>1</v>
      </c>
      <c r="AB29" s="80" t="n">
        <f aca="false">SUM(AC29:AN29)</f>
        <v>24</v>
      </c>
      <c r="AC29" s="96" t="n">
        <f aca="false">Acquisitions!AC$46</f>
        <v>2</v>
      </c>
      <c r="AD29" s="96" t="n">
        <f aca="false">Acquisitions!AD$46</f>
        <v>2</v>
      </c>
      <c r="AE29" s="96" t="n">
        <f aca="false">Acquisitions!AE$46</f>
        <v>2</v>
      </c>
      <c r="AF29" s="96" t="n">
        <f aca="false">Acquisitions!AF$46</f>
        <v>2</v>
      </c>
      <c r="AG29" s="96" t="n">
        <f aca="false">Acquisitions!AG$46</f>
        <v>2</v>
      </c>
      <c r="AH29" s="96" t="n">
        <f aca="false">Acquisitions!AH$46</f>
        <v>2</v>
      </c>
      <c r="AI29" s="96" t="n">
        <f aca="false">Acquisitions!AI$46</f>
        <v>2</v>
      </c>
      <c r="AJ29" s="96" t="n">
        <f aca="false">Acquisitions!AJ$46</f>
        <v>2</v>
      </c>
      <c r="AK29" s="96" t="n">
        <f aca="false">Acquisitions!AK$46</f>
        <v>2</v>
      </c>
      <c r="AL29" s="96" t="n">
        <f aca="false">Acquisitions!AL$46</f>
        <v>2</v>
      </c>
      <c r="AM29" s="96" t="n">
        <f aca="false">Acquisitions!AM$46</f>
        <v>2</v>
      </c>
      <c r="AN29" s="96" t="n">
        <f aca="false">Acquisitions!AN$46</f>
        <v>2</v>
      </c>
      <c r="AO29" s="80" t="n">
        <f aca="false">SUM(AP29:BA29)</f>
        <v>30</v>
      </c>
      <c r="AP29" s="96" t="n">
        <f aca="false">Acquisitions!AP$46</f>
        <v>2.5</v>
      </c>
      <c r="AQ29" s="96" t="n">
        <f aca="false">Acquisitions!AQ$46</f>
        <v>2.5</v>
      </c>
      <c r="AR29" s="96" t="n">
        <f aca="false">Acquisitions!AR$46</f>
        <v>2.5</v>
      </c>
      <c r="AS29" s="96" t="n">
        <f aca="false">Acquisitions!AS$46</f>
        <v>2.5</v>
      </c>
      <c r="AT29" s="96" t="n">
        <f aca="false">Acquisitions!AT$46</f>
        <v>2.5</v>
      </c>
      <c r="AU29" s="96" t="n">
        <f aca="false">Acquisitions!AU$46</f>
        <v>2.5</v>
      </c>
      <c r="AV29" s="96" t="n">
        <f aca="false">Acquisitions!AV$46</f>
        <v>2.5</v>
      </c>
      <c r="AW29" s="96" t="n">
        <f aca="false">Acquisitions!AW$46</f>
        <v>2.5</v>
      </c>
      <c r="AX29" s="96" t="n">
        <f aca="false">Acquisitions!AX$46</f>
        <v>2.5</v>
      </c>
      <c r="AY29" s="96" t="n">
        <f aca="false">Acquisitions!AY$46</f>
        <v>2.5</v>
      </c>
      <c r="AZ29" s="96" t="n">
        <f aca="false">Acquisitions!AZ$46</f>
        <v>2.5</v>
      </c>
      <c r="BA29" s="96" t="n">
        <f aca="false">Acquisitions!BA$46</f>
        <v>2.5</v>
      </c>
      <c r="BB29" s="80" t="n">
        <f aca="false">SUM(BC29:BN29)</f>
        <v>36</v>
      </c>
      <c r="BC29" s="96" t="n">
        <f aca="false">Acquisitions!BC$46</f>
        <v>3</v>
      </c>
      <c r="BD29" s="96" t="n">
        <f aca="false">Acquisitions!BD$46</f>
        <v>3</v>
      </c>
      <c r="BE29" s="96" t="n">
        <f aca="false">Acquisitions!BE$46</f>
        <v>3</v>
      </c>
      <c r="BF29" s="96" t="n">
        <f aca="false">Acquisitions!BF$46</f>
        <v>3</v>
      </c>
      <c r="BG29" s="96" t="n">
        <f aca="false">Acquisitions!BG$46</f>
        <v>3</v>
      </c>
      <c r="BH29" s="96" t="n">
        <f aca="false">Acquisitions!BH$46</f>
        <v>3</v>
      </c>
      <c r="BI29" s="96" t="n">
        <f aca="false">Acquisitions!BI$46</f>
        <v>3</v>
      </c>
      <c r="BJ29" s="96" t="n">
        <f aca="false">Acquisitions!BJ$46</f>
        <v>3</v>
      </c>
      <c r="BK29" s="96" t="n">
        <f aca="false">Acquisitions!BK$46</f>
        <v>3</v>
      </c>
      <c r="BL29" s="96" t="n">
        <f aca="false">Acquisitions!BL$46</f>
        <v>3</v>
      </c>
      <c r="BM29" s="96" t="n">
        <f aca="false">Acquisitions!BM$46</f>
        <v>3</v>
      </c>
      <c r="BN29" s="96" t="n">
        <f aca="false">Acquisitions!BN$46</f>
        <v>3</v>
      </c>
    </row>
    <row r="30" customFormat="false" ht="15" hidden="false" customHeight="false" outlineLevel="0" collapsed="false">
      <c r="A30" s="12" t="s">
        <v>682</v>
      </c>
      <c r="B30" s="80" t="n">
        <f aca="false">SUM(C30:N30)</f>
        <v>29.04</v>
      </c>
      <c r="C30" s="81" t="n">
        <f aca="false">Payroll!C$72*'Assumption Setting'!$C$84+Payroll!C$71*'Assumption Setting'!$D$84+C12*'Assumption Setting'!$E$84+C18*'Assumption Setting'!$F$84</f>
        <v>2.42</v>
      </c>
      <c r="D30" s="81" t="n">
        <f aca="false">Payroll!D$72*'Assumption Setting'!$C$84+Payroll!D$71*'Assumption Setting'!$D$84+D12*'Assumption Setting'!$E$84+D18*'Assumption Setting'!$F$84</f>
        <v>2.42</v>
      </c>
      <c r="E30" s="81" t="n">
        <f aca="false">Payroll!E$72*'Assumption Setting'!$C$84+Payroll!E$71*'Assumption Setting'!$D$84+E12*'Assumption Setting'!$E$84+E18*'Assumption Setting'!$F$84</f>
        <v>2.42</v>
      </c>
      <c r="F30" s="81" t="n">
        <f aca="false">Payroll!F$72*'Assumption Setting'!$C$84+Payroll!F$71*'Assumption Setting'!$D$84+F12*'Assumption Setting'!$E$84+F18*'Assumption Setting'!$F$84</f>
        <v>2.42</v>
      </c>
      <c r="G30" s="81" t="n">
        <f aca="false">Payroll!G$72*'Assumption Setting'!$C$84+Payroll!G$71*'Assumption Setting'!$D$84+G12*'Assumption Setting'!$E$84+G18*'Assumption Setting'!$F$84</f>
        <v>2.42</v>
      </c>
      <c r="H30" s="81" t="n">
        <f aca="false">Payroll!H$72*'Assumption Setting'!$C$84+Payroll!H$71*'Assumption Setting'!$D$84+H12*'Assumption Setting'!$E$84+H18*'Assumption Setting'!$F$84</f>
        <v>2.42</v>
      </c>
      <c r="I30" s="81" t="n">
        <f aca="false">Payroll!I$72*'Assumption Setting'!$C$84+Payroll!I$71*'Assumption Setting'!$D$84+I12*'Assumption Setting'!$E$84+I18*'Assumption Setting'!$F$84</f>
        <v>2.42</v>
      </c>
      <c r="J30" s="81" t="n">
        <f aca="false">Payroll!J$72*'Assumption Setting'!$C$84+Payroll!J$71*'Assumption Setting'!$D$84+J12*'Assumption Setting'!$E$84+J18*'Assumption Setting'!$F$84</f>
        <v>2.42</v>
      </c>
      <c r="K30" s="81" t="n">
        <f aca="false">Payroll!K$72*'Assumption Setting'!$C$84+Payroll!K$71*'Assumption Setting'!$D$84+K12*'Assumption Setting'!$E$84+K18*'Assumption Setting'!$F$84</f>
        <v>2.42</v>
      </c>
      <c r="L30" s="81" t="n">
        <f aca="false">Payroll!L$72*'Assumption Setting'!$C$84+Payroll!L$71*'Assumption Setting'!$D$84+L12*'Assumption Setting'!$E$84+L18*'Assumption Setting'!$F$84</f>
        <v>2.42</v>
      </c>
      <c r="M30" s="81" t="n">
        <f aca="false">Payroll!M$72*'Assumption Setting'!$C$84+Payroll!M$71*'Assumption Setting'!$D$84+M12*'Assumption Setting'!$E$84+M18*'Assumption Setting'!$F$84</f>
        <v>2.42</v>
      </c>
      <c r="N30" s="81" t="n">
        <f aca="false">Payroll!N$72*'Assumption Setting'!$C$84+Payroll!N$71*'Assumption Setting'!$D$84+N12*'Assumption Setting'!$E$84+N18*'Assumption Setting'!$F$84</f>
        <v>2.42</v>
      </c>
      <c r="O30" s="80" t="n">
        <f aca="false">SUM(P30:AA30)</f>
        <v>45.6</v>
      </c>
      <c r="P30" s="81" t="n">
        <f aca="false">Payroll!P$72*'Assumption Setting'!$C$84+Payroll!P$71*'Assumption Setting'!$D$84+P12*'Assumption Setting'!$E$84+P18*'Assumption Setting'!$F$84</f>
        <v>3.8</v>
      </c>
      <c r="Q30" s="81" t="n">
        <f aca="false">Payroll!Q$72*'Assumption Setting'!$C$84+Payroll!Q$71*'Assumption Setting'!$D$84+Q12*'Assumption Setting'!$E$84+Q18*'Assumption Setting'!$F$84</f>
        <v>3.8</v>
      </c>
      <c r="R30" s="81" t="n">
        <f aca="false">Payroll!R$72*'Assumption Setting'!$C$84+Payroll!R$71*'Assumption Setting'!$D$84+R12*'Assumption Setting'!$E$84+R18*'Assumption Setting'!$F$84</f>
        <v>3.8</v>
      </c>
      <c r="S30" s="81" t="n">
        <f aca="false">Payroll!S$72*'Assumption Setting'!$C$84+Payroll!S$71*'Assumption Setting'!$D$84+S12*'Assumption Setting'!$E$84+S18*'Assumption Setting'!$F$84</f>
        <v>3.8</v>
      </c>
      <c r="T30" s="81" t="n">
        <f aca="false">Payroll!T$72*'Assumption Setting'!$C$84+Payroll!T$71*'Assumption Setting'!$D$84+T12*'Assumption Setting'!$E$84+T18*'Assumption Setting'!$F$84</f>
        <v>3.8</v>
      </c>
      <c r="U30" s="81" t="n">
        <f aca="false">Payroll!U$72*'Assumption Setting'!$C$84+Payroll!U$71*'Assumption Setting'!$D$84+U12*'Assumption Setting'!$E$84+U18*'Assumption Setting'!$F$84</f>
        <v>3.8</v>
      </c>
      <c r="V30" s="81" t="n">
        <f aca="false">Payroll!V$72*'Assumption Setting'!$C$84+Payroll!V$71*'Assumption Setting'!$D$84+V12*'Assumption Setting'!$E$84+V18*'Assumption Setting'!$F$84</f>
        <v>3.8</v>
      </c>
      <c r="W30" s="81" t="n">
        <f aca="false">Payroll!W$72*'Assumption Setting'!$C$84+Payroll!W$71*'Assumption Setting'!$D$84+W12*'Assumption Setting'!$E$84+W18*'Assumption Setting'!$F$84</f>
        <v>3.8</v>
      </c>
      <c r="X30" s="81" t="n">
        <f aca="false">Payroll!X$72*'Assumption Setting'!$C$84+Payroll!X$71*'Assumption Setting'!$D$84+X12*'Assumption Setting'!$E$84+X18*'Assumption Setting'!$F$84</f>
        <v>3.8</v>
      </c>
      <c r="Y30" s="81" t="n">
        <f aca="false">Payroll!Y$72*'Assumption Setting'!$C$84+Payroll!Y$71*'Assumption Setting'!$D$84+Y12*'Assumption Setting'!$E$84+Y18*'Assumption Setting'!$F$84</f>
        <v>3.8</v>
      </c>
      <c r="Z30" s="81" t="n">
        <f aca="false">Payroll!Z$72*'Assumption Setting'!$C$84+Payroll!Z$71*'Assumption Setting'!$D$84+Z12*'Assumption Setting'!$E$84+Z18*'Assumption Setting'!$F$84</f>
        <v>3.8</v>
      </c>
      <c r="AA30" s="81" t="n">
        <f aca="false">Payroll!AA$72*'Assumption Setting'!$C$84+Payroll!AA$71*'Assumption Setting'!$D$84+AA12*'Assumption Setting'!$E$84+AA18*'Assumption Setting'!$F$84</f>
        <v>3.8</v>
      </c>
      <c r="AB30" s="80" t="n">
        <f aca="false">SUM(AC30:AN30)</f>
        <v>67.8</v>
      </c>
      <c r="AC30" s="81" t="n">
        <f aca="false">Payroll!AC$72*'Assumption Setting'!$C$84+Payroll!AC$71*'Assumption Setting'!$D$84+AC12*'Assumption Setting'!$E$84+AC18*'Assumption Setting'!$F$84</f>
        <v>5.6</v>
      </c>
      <c r="AD30" s="81" t="n">
        <f aca="false">Payroll!AD$72*'Assumption Setting'!$C$84+Payroll!AD$71*'Assumption Setting'!$D$84+AD12*'Assumption Setting'!$E$84+AD18*'Assumption Setting'!$F$84</f>
        <v>5.6</v>
      </c>
      <c r="AE30" s="81" t="n">
        <f aca="false">Payroll!AE$72*'Assumption Setting'!$C$84+Payroll!AE$71*'Assumption Setting'!$D$84+AE12*'Assumption Setting'!$E$84+AE18*'Assumption Setting'!$F$84</f>
        <v>5.6</v>
      </c>
      <c r="AF30" s="81" t="n">
        <f aca="false">Payroll!AF$72*'Assumption Setting'!$C$84+Payroll!AF$71*'Assumption Setting'!$D$84+AF12*'Assumption Setting'!$E$84+AF18*'Assumption Setting'!$F$84</f>
        <v>5.6</v>
      </c>
      <c r="AG30" s="81" t="n">
        <f aca="false">Payroll!AG$72*'Assumption Setting'!$C$84+Payroll!AG$71*'Assumption Setting'!$D$84+AG12*'Assumption Setting'!$E$84+AG18*'Assumption Setting'!$F$84</f>
        <v>5.6</v>
      </c>
      <c r="AH30" s="81" t="n">
        <f aca="false">Payroll!AH$72*'Assumption Setting'!$C$84+Payroll!AH$71*'Assumption Setting'!$D$84+AH12*'Assumption Setting'!$E$84+AH18*'Assumption Setting'!$F$84</f>
        <v>5.6</v>
      </c>
      <c r="AI30" s="81" t="n">
        <f aca="false">Payroll!AI$72*'Assumption Setting'!$C$84+Payroll!AI$71*'Assumption Setting'!$D$84+AI12*'Assumption Setting'!$E$84+AI18*'Assumption Setting'!$F$84</f>
        <v>5.7</v>
      </c>
      <c r="AJ30" s="81" t="n">
        <f aca="false">Payroll!AJ$72*'Assumption Setting'!$C$84+Payroll!AJ$71*'Assumption Setting'!$D$84+AJ12*'Assumption Setting'!$E$84+AJ18*'Assumption Setting'!$F$84</f>
        <v>5.7</v>
      </c>
      <c r="AK30" s="81" t="n">
        <f aca="false">Payroll!AK$72*'Assumption Setting'!$C$84+Payroll!AK$71*'Assumption Setting'!$D$84+AK12*'Assumption Setting'!$E$84+AK18*'Assumption Setting'!$F$84</f>
        <v>5.7</v>
      </c>
      <c r="AL30" s="81" t="n">
        <f aca="false">Payroll!AL$72*'Assumption Setting'!$C$84+Payroll!AL$71*'Assumption Setting'!$D$84+AL12*'Assumption Setting'!$E$84+AL18*'Assumption Setting'!$F$84</f>
        <v>5.7</v>
      </c>
      <c r="AM30" s="81" t="n">
        <f aca="false">Payroll!AM$72*'Assumption Setting'!$C$84+Payroll!AM$71*'Assumption Setting'!$D$84+AM12*'Assumption Setting'!$E$84+AM18*'Assumption Setting'!$F$84</f>
        <v>5.7</v>
      </c>
      <c r="AN30" s="81" t="n">
        <f aca="false">Payroll!AN$72*'Assumption Setting'!$C$84+Payroll!AN$71*'Assumption Setting'!$D$84+AN12*'Assumption Setting'!$E$84+AN18*'Assumption Setting'!$F$84</f>
        <v>5.7</v>
      </c>
      <c r="AO30" s="80" t="n">
        <f aca="false">SUM(AP30:BA30)</f>
        <v>100.8</v>
      </c>
      <c r="AP30" s="81" t="n">
        <f aca="false">Payroll!AP$72*'Assumption Setting'!$C$84+Payroll!AP$71*'Assumption Setting'!$D$84+AP12*'Assumption Setting'!$E$84+AP18*'Assumption Setting'!$F$84</f>
        <v>8.4</v>
      </c>
      <c r="AQ30" s="81" t="n">
        <f aca="false">Payroll!AQ$72*'Assumption Setting'!$C$84+Payroll!AQ$71*'Assumption Setting'!$D$84+AQ12*'Assumption Setting'!$E$84+AQ18*'Assumption Setting'!$F$84</f>
        <v>8.4</v>
      </c>
      <c r="AR30" s="81" t="n">
        <f aca="false">Payroll!AR$72*'Assumption Setting'!$C$84+Payroll!AR$71*'Assumption Setting'!$D$84+AR12*'Assumption Setting'!$E$84+AR18*'Assumption Setting'!$F$84</f>
        <v>8.4</v>
      </c>
      <c r="AS30" s="81" t="n">
        <f aca="false">Payroll!AS$72*'Assumption Setting'!$C$84+Payroll!AS$71*'Assumption Setting'!$D$84+AS12*'Assumption Setting'!$E$84+AS18*'Assumption Setting'!$F$84</f>
        <v>8.4</v>
      </c>
      <c r="AT30" s="81" t="n">
        <f aca="false">Payroll!AT$72*'Assumption Setting'!$C$84+Payroll!AT$71*'Assumption Setting'!$D$84+AT12*'Assumption Setting'!$E$84+AT18*'Assumption Setting'!$F$84</f>
        <v>8.4</v>
      </c>
      <c r="AU30" s="81" t="n">
        <f aca="false">Payroll!AU$72*'Assumption Setting'!$C$84+Payroll!AU$71*'Assumption Setting'!$D$84+AU12*'Assumption Setting'!$E$84+AU18*'Assumption Setting'!$F$84</f>
        <v>8.4</v>
      </c>
      <c r="AV30" s="81" t="n">
        <f aca="false">Payroll!AV$72*'Assumption Setting'!$C$84+Payroll!AV$71*'Assumption Setting'!$D$84+AV12*'Assumption Setting'!$E$84+AV18*'Assumption Setting'!$F$84</f>
        <v>8.4</v>
      </c>
      <c r="AW30" s="81" t="n">
        <f aca="false">Payroll!AW$72*'Assumption Setting'!$C$84+Payroll!AW$71*'Assumption Setting'!$D$84+AW12*'Assumption Setting'!$E$84+AW18*'Assumption Setting'!$F$84</f>
        <v>8.4</v>
      </c>
      <c r="AX30" s="81" t="n">
        <f aca="false">Payroll!AX$72*'Assumption Setting'!$C$84+Payroll!AX$71*'Assumption Setting'!$D$84+AX12*'Assumption Setting'!$E$84+AX18*'Assumption Setting'!$F$84</f>
        <v>8.4</v>
      </c>
      <c r="AY30" s="81" t="n">
        <f aca="false">Payroll!AY$72*'Assumption Setting'!$C$84+Payroll!AY$71*'Assumption Setting'!$D$84+AY12*'Assumption Setting'!$E$84+AY18*'Assumption Setting'!$F$84</f>
        <v>8.4</v>
      </c>
      <c r="AZ30" s="81" t="n">
        <f aca="false">Payroll!AZ$72*'Assumption Setting'!$C$84+Payroll!AZ$71*'Assumption Setting'!$D$84+AZ12*'Assumption Setting'!$E$84+AZ18*'Assumption Setting'!$F$84</f>
        <v>8.4</v>
      </c>
      <c r="BA30" s="81" t="n">
        <f aca="false">Payroll!BA$72*'Assumption Setting'!$C$84+Payroll!BA$71*'Assumption Setting'!$D$84+BA12*'Assumption Setting'!$E$84+BA18*'Assumption Setting'!$F$84</f>
        <v>8.4</v>
      </c>
      <c r="BB30" s="80" t="n">
        <f aca="false">SUM(BC30:BN30)</f>
        <v>133.8</v>
      </c>
      <c r="BC30" s="81" t="n">
        <f aca="false">Payroll!BC$72*'Assumption Setting'!$C$84+Payroll!BC$71*'Assumption Setting'!$D$84+BC12*'Assumption Setting'!$E$84+BC18*'Assumption Setting'!$F$84</f>
        <v>11.1</v>
      </c>
      <c r="BD30" s="81" t="n">
        <f aca="false">Payroll!BD$72*'Assumption Setting'!$C$84+Payroll!BD$71*'Assumption Setting'!$D$84+BD12*'Assumption Setting'!$E$84+BD18*'Assumption Setting'!$F$84</f>
        <v>11.1</v>
      </c>
      <c r="BE30" s="81" t="n">
        <f aca="false">Payroll!BE$72*'Assumption Setting'!$C$84+Payroll!BE$71*'Assumption Setting'!$D$84+BE12*'Assumption Setting'!$E$84+BE18*'Assumption Setting'!$F$84</f>
        <v>11.1</v>
      </c>
      <c r="BF30" s="81" t="n">
        <f aca="false">Payroll!BF$72*'Assumption Setting'!$C$84+Payroll!BF$71*'Assumption Setting'!$D$84+BF12*'Assumption Setting'!$E$84+BF18*'Assumption Setting'!$F$84</f>
        <v>11.1</v>
      </c>
      <c r="BG30" s="81" t="n">
        <f aca="false">Payroll!BG$72*'Assumption Setting'!$C$84+Payroll!BG$71*'Assumption Setting'!$D$84+BG12*'Assumption Setting'!$E$84+BG18*'Assumption Setting'!$F$84</f>
        <v>11.1</v>
      </c>
      <c r="BH30" s="81" t="n">
        <f aca="false">Payroll!BH$72*'Assumption Setting'!$C$84+Payroll!BH$71*'Assumption Setting'!$D$84+BH12*'Assumption Setting'!$E$84+BH18*'Assumption Setting'!$F$84</f>
        <v>11.1</v>
      </c>
      <c r="BI30" s="81" t="n">
        <f aca="false">Payroll!BI$72*'Assumption Setting'!$C$84+Payroll!BI$71*'Assumption Setting'!$D$84+BI12*'Assumption Setting'!$E$84+BI18*'Assumption Setting'!$F$84</f>
        <v>11.2</v>
      </c>
      <c r="BJ30" s="81" t="n">
        <f aca="false">Payroll!BJ$72*'Assumption Setting'!$C$84+Payroll!BJ$71*'Assumption Setting'!$D$84+BJ12*'Assumption Setting'!$E$84+BJ18*'Assumption Setting'!$F$84</f>
        <v>11.2</v>
      </c>
      <c r="BK30" s="81" t="n">
        <f aca="false">Payroll!BK$72*'Assumption Setting'!$C$84+Payroll!BK$71*'Assumption Setting'!$D$84+BK12*'Assumption Setting'!$E$84+BK18*'Assumption Setting'!$F$84</f>
        <v>11.2</v>
      </c>
      <c r="BL30" s="81" t="n">
        <f aca="false">Payroll!BL$72*'Assumption Setting'!$C$84+Payroll!BL$71*'Assumption Setting'!$D$84+BL12*'Assumption Setting'!$E$84+BL18*'Assumption Setting'!$F$84</f>
        <v>11.2</v>
      </c>
      <c r="BM30" s="81" t="n">
        <f aca="false">Payroll!BM$72*'Assumption Setting'!$C$84+Payroll!BM$71*'Assumption Setting'!$D$84+BM12*'Assumption Setting'!$E$84+BM18*'Assumption Setting'!$F$84</f>
        <v>11.2</v>
      </c>
      <c r="BN30" s="81" t="n">
        <f aca="false">Payroll!BN$72*'Assumption Setting'!$C$84+Payroll!BN$71*'Assumption Setting'!$D$84+BN12*'Assumption Setting'!$E$84+BN18*'Assumption Setting'!$F$84</f>
        <v>11.2</v>
      </c>
    </row>
    <row r="31" customFormat="false" ht="15" hidden="false" customHeight="false" outlineLevel="0" collapsed="false">
      <c r="A31" s="12" t="s">
        <v>683</v>
      </c>
      <c r="B31" s="80" t="n">
        <f aca="false">SUM(C31:N31)</f>
        <v>26.64</v>
      </c>
      <c r="C31" s="81" t="n">
        <f aca="false">C30-C29</f>
        <v>2.22</v>
      </c>
      <c r="D31" s="81" t="n">
        <f aca="false">D30-D29</f>
        <v>2.22</v>
      </c>
      <c r="E31" s="81" t="n">
        <f aca="false">E30-E29</f>
        <v>2.22</v>
      </c>
      <c r="F31" s="81" t="n">
        <f aca="false">F30-F29</f>
        <v>2.22</v>
      </c>
      <c r="G31" s="81" t="n">
        <f aca="false">G30-G29</f>
        <v>2.22</v>
      </c>
      <c r="H31" s="81" t="n">
        <f aca="false">H30-H29</f>
        <v>2.22</v>
      </c>
      <c r="I31" s="81" t="n">
        <f aca="false">I30-I29</f>
        <v>2.22</v>
      </c>
      <c r="J31" s="81" t="n">
        <f aca="false">J30-J29</f>
        <v>2.22</v>
      </c>
      <c r="K31" s="81" t="n">
        <f aca="false">K30-K29</f>
        <v>2.22</v>
      </c>
      <c r="L31" s="81" t="n">
        <f aca="false">L30-L29</f>
        <v>2.22</v>
      </c>
      <c r="M31" s="81" t="n">
        <f aca="false">M30-M29</f>
        <v>2.22</v>
      </c>
      <c r="N31" s="81" t="n">
        <f aca="false">N30-N29</f>
        <v>2.22</v>
      </c>
      <c r="O31" s="80" t="n">
        <f aca="false">SUM(P31:AA31)</f>
        <v>33.6</v>
      </c>
      <c r="P31" s="81" t="n">
        <f aca="false">P30-P29</f>
        <v>2.8</v>
      </c>
      <c r="Q31" s="81" t="n">
        <f aca="false">Q30-Q29</f>
        <v>2.8</v>
      </c>
      <c r="R31" s="81" t="n">
        <f aca="false">R30-R29</f>
        <v>2.8</v>
      </c>
      <c r="S31" s="81" t="n">
        <f aca="false">S30-S29</f>
        <v>2.8</v>
      </c>
      <c r="T31" s="81" t="n">
        <f aca="false">T30-T29</f>
        <v>2.8</v>
      </c>
      <c r="U31" s="81" t="n">
        <f aca="false">U30-U29</f>
        <v>2.8</v>
      </c>
      <c r="V31" s="81" t="n">
        <f aca="false">V30-V29</f>
        <v>2.8</v>
      </c>
      <c r="W31" s="81" t="n">
        <f aca="false">W30-W29</f>
        <v>2.8</v>
      </c>
      <c r="X31" s="81" t="n">
        <f aca="false">X30-X29</f>
        <v>2.8</v>
      </c>
      <c r="Y31" s="81" t="n">
        <f aca="false">Y30-Y29</f>
        <v>2.8</v>
      </c>
      <c r="Z31" s="81" t="n">
        <f aca="false">Z30-Z29</f>
        <v>2.8</v>
      </c>
      <c r="AA31" s="81" t="n">
        <f aca="false">AA30-AA29</f>
        <v>2.8</v>
      </c>
      <c r="AB31" s="80" t="n">
        <f aca="false">SUM(AC31:AN31)</f>
        <v>43.8</v>
      </c>
      <c r="AC31" s="81" t="n">
        <f aca="false">AC30-AC29</f>
        <v>3.6</v>
      </c>
      <c r="AD31" s="81" t="n">
        <f aca="false">AD30-AD29</f>
        <v>3.6</v>
      </c>
      <c r="AE31" s="81" t="n">
        <f aca="false">AE30-AE29</f>
        <v>3.6</v>
      </c>
      <c r="AF31" s="81" t="n">
        <f aca="false">AF30-AF29</f>
        <v>3.6</v>
      </c>
      <c r="AG31" s="81" t="n">
        <f aca="false">AG30-AG29</f>
        <v>3.6</v>
      </c>
      <c r="AH31" s="81" t="n">
        <f aca="false">AH30-AH29</f>
        <v>3.6</v>
      </c>
      <c r="AI31" s="81" t="n">
        <f aca="false">AI30-AI29</f>
        <v>3.7</v>
      </c>
      <c r="AJ31" s="81" t="n">
        <f aca="false">AJ30-AJ29</f>
        <v>3.7</v>
      </c>
      <c r="AK31" s="81" t="n">
        <f aca="false">AK30-AK29</f>
        <v>3.7</v>
      </c>
      <c r="AL31" s="81" t="n">
        <f aca="false">AL30-AL29</f>
        <v>3.7</v>
      </c>
      <c r="AM31" s="81" t="n">
        <f aca="false">AM30-AM29</f>
        <v>3.7</v>
      </c>
      <c r="AN31" s="81" t="n">
        <f aca="false">AN30-AN29</f>
        <v>3.7</v>
      </c>
      <c r="AO31" s="80" t="n">
        <f aca="false">SUM(AP31:BA31)</f>
        <v>70.8</v>
      </c>
      <c r="AP31" s="81" t="n">
        <f aca="false">AP30-AP29</f>
        <v>5.9</v>
      </c>
      <c r="AQ31" s="81" t="n">
        <f aca="false">AQ30-AQ29</f>
        <v>5.9</v>
      </c>
      <c r="AR31" s="81" t="n">
        <f aca="false">AR30-AR29</f>
        <v>5.9</v>
      </c>
      <c r="AS31" s="81" t="n">
        <f aca="false">AS30-AS29</f>
        <v>5.9</v>
      </c>
      <c r="AT31" s="81" t="n">
        <f aca="false">AT30-AT29</f>
        <v>5.9</v>
      </c>
      <c r="AU31" s="81" t="n">
        <f aca="false">AU30-AU29</f>
        <v>5.9</v>
      </c>
      <c r="AV31" s="81" t="n">
        <f aca="false">AV30-AV29</f>
        <v>5.9</v>
      </c>
      <c r="AW31" s="81" t="n">
        <f aca="false">AW30-AW29</f>
        <v>5.9</v>
      </c>
      <c r="AX31" s="81" t="n">
        <f aca="false">AX30-AX29</f>
        <v>5.9</v>
      </c>
      <c r="AY31" s="81" t="n">
        <f aca="false">AY30-AY29</f>
        <v>5.9</v>
      </c>
      <c r="AZ31" s="81" t="n">
        <f aca="false">AZ30-AZ29</f>
        <v>5.9</v>
      </c>
      <c r="BA31" s="81" t="n">
        <f aca="false">BA30-BA29</f>
        <v>5.9</v>
      </c>
      <c r="BB31" s="80" t="n">
        <f aca="false">SUM(BC31:BN31)</f>
        <v>97.8</v>
      </c>
      <c r="BC31" s="81" t="n">
        <f aca="false">BC30-BC29</f>
        <v>8.1</v>
      </c>
      <c r="BD31" s="81" t="n">
        <f aca="false">BD30-BD29</f>
        <v>8.1</v>
      </c>
      <c r="BE31" s="81" t="n">
        <f aca="false">BE30-BE29</f>
        <v>8.1</v>
      </c>
      <c r="BF31" s="81" t="n">
        <f aca="false">BF30-BF29</f>
        <v>8.1</v>
      </c>
      <c r="BG31" s="81" t="n">
        <f aca="false">BG30-BG29</f>
        <v>8.1</v>
      </c>
      <c r="BH31" s="81" t="n">
        <f aca="false">BH30-BH29</f>
        <v>8.1</v>
      </c>
      <c r="BI31" s="81" t="n">
        <f aca="false">BI30-BI29</f>
        <v>8.2</v>
      </c>
      <c r="BJ31" s="81" t="n">
        <f aca="false">BJ30-BJ29</f>
        <v>8.2</v>
      </c>
      <c r="BK31" s="81" t="n">
        <f aca="false">BK30-BK29</f>
        <v>8.2</v>
      </c>
      <c r="BL31" s="81" t="n">
        <f aca="false">BL30-BL29</f>
        <v>8.2</v>
      </c>
      <c r="BM31" s="81" t="n">
        <f aca="false">BM30-BM29</f>
        <v>8.2</v>
      </c>
      <c r="BN31" s="81" t="n">
        <f aca="false">BN30-BN29</f>
        <v>8.2</v>
      </c>
    </row>
    <row r="32" customFormat="false" ht="15" hidden="false" customHeight="false" outlineLevel="0" collapsed="false">
      <c r="A32" s="12" t="s">
        <v>686</v>
      </c>
      <c r="B32" s="80" t="n">
        <f aca="false">SUM(C32:N32)</f>
        <v>3.6</v>
      </c>
      <c r="C32" s="96" t="n">
        <f aca="false">Acquisitions!C$50</f>
        <v>0.3</v>
      </c>
      <c r="D32" s="96" t="n">
        <f aca="false">Acquisitions!D$50</f>
        <v>0.3</v>
      </c>
      <c r="E32" s="96" t="n">
        <f aca="false">Acquisitions!E$50</f>
        <v>0.3</v>
      </c>
      <c r="F32" s="96" t="n">
        <f aca="false">Acquisitions!F$50</f>
        <v>0.3</v>
      </c>
      <c r="G32" s="96" t="n">
        <f aca="false">Acquisitions!G$50</f>
        <v>0.3</v>
      </c>
      <c r="H32" s="96" t="n">
        <f aca="false">Acquisitions!H$50</f>
        <v>0.3</v>
      </c>
      <c r="I32" s="96" t="n">
        <f aca="false">Acquisitions!I$50</f>
        <v>0.3</v>
      </c>
      <c r="J32" s="96" t="n">
        <f aca="false">Acquisitions!J$50</f>
        <v>0.3</v>
      </c>
      <c r="K32" s="96" t="n">
        <f aca="false">Acquisitions!K$50</f>
        <v>0.3</v>
      </c>
      <c r="L32" s="96" t="n">
        <f aca="false">Acquisitions!L$50</f>
        <v>0.3</v>
      </c>
      <c r="M32" s="96" t="n">
        <f aca="false">Acquisitions!M$50</f>
        <v>0.3</v>
      </c>
      <c r="N32" s="96" t="n">
        <f aca="false">Acquisitions!N$50</f>
        <v>0.3</v>
      </c>
      <c r="O32" s="80" t="n">
        <f aca="false">SUM(P32:AA32)</f>
        <v>18</v>
      </c>
      <c r="P32" s="96" t="n">
        <f aca="false">Acquisitions!P$50</f>
        <v>1.5</v>
      </c>
      <c r="Q32" s="96" t="n">
        <f aca="false">Acquisitions!Q$50</f>
        <v>1.5</v>
      </c>
      <c r="R32" s="96" t="n">
        <f aca="false">Acquisitions!R$50</f>
        <v>1.5</v>
      </c>
      <c r="S32" s="96" t="n">
        <f aca="false">Acquisitions!S$50</f>
        <v>1.5</v>
      </c>
      <c r="T32" s="96" t="n">
        <f aca="false">Acquisitions!T$50</f>
        <v>1.5</v>
      </c>
      <c r="U32" s="96" t="n">
        <f aca="false">Acquisitions!U$50</f>
        <v>1.5</v>
      </c>
      <c r="V32" s="96" t="n">
        <f aca="false">Acquisitions!V$50</f>
        <v>1.5</v>
      </c>
      <c r="W32" s="96" t="n">
        <f aca="false">Acquisitions!W$50</f>
        <v>1.5</v>
      </c>
      <c r="X32" s="96" t="n">
        <f aca="false">Acquisitions!X$50</f>
        <v>1.5</v>
      </c>
      <c r="Y32" s="96" t="n">
        <f aca="false">Acquisitions!Y$50</f>
        <v>1.5</v>
      </c>
      <c r="Z32" s="96" t="n">
        <f aca="false">Acquisitions!Z$50</f>
        <v>1.5</v>
      </c>
      <c r="AA32" s="96" t="n">
        <f aca="false">Acquisitions!AA$50</f>
        <v>1.5</v>
      </c>
      <c r="AB32" s="80" t="n">
        <f aca="false">SUM(AC32:AN32)</f>
        <v>36</v>
      </c>
      <c r="AC32" s="96" t="n">
        <f aca="false">Acquisitions!AC$50</f>
        <v>3</v>
      </c>
      <c r="AD32" s="96" t="n">
        <f aca="false">Acquisitions!AD$50</f>
        <v>3</v>
      </c>
      <c r="AE32" s="96" t="n">
        <f aca="false">Acquisitions!AE$50</f>
        <v>3</v>
      </c>
      <c r="AF32" s="96" t="n">
        <f aca="false">Acquisitions!AF$50</f>
        <v>3</v>
      </c>
      <c r="AG32" s="96" t="n">
        <f aca="false">Acquisitions!AG$50</f>
        <v>3</v>
      </c>
      <c r="AH32" s="96" t="n">
        <f aca="false">Acquisitions!AH$50</f>
        <v>3</v>
      </c>
      <c r="AI32" s="96" t="n">
        <f aca="false">Acquisitions!AI$50</f>
        <v>3</v>
      </c>
      <c r="AJ32" s="96" t="n">
        <f aca="false">Acquisitions!AJ$50</f>
        <v>3</v>
      </c>
      <c r="AK32" s="96" t="n">
        <f aca="false">Acquisitions!AK$50</f>
        <v>3</v>
      </c>
      <c r="AL32" s="96" t="n">
        <f aca="false">Acquisitions!AL$50</f>
        <v>3</v>
      </c>
      <c r="AM32" s="96" t="n">
        <f aca="false">Acquisitions!AM$50</f>
        <v>3</v>
      </c>
      <c r="AN32" s="96" t="n">
        <f aca="false">Acquisitions!AN$50</f>
        <v>3</v>
      </c>
      <c r="AO32" s="80" t="n">
        <f aca="false">SUM(AP32:BA32)</f>
        <v>48</v>
      </c>
      <c r="AP32" s="96" t="n">
        <f aca="false">Acquisitions!AP$50</f>
        <v>4</v>
      </c>
      <c r="AQ32" s="96" t="n">
        <f aca="false">Acquisitions!AQ$50</f>
        <v>4</v>
      </c>
      <c r="AR32" s="96" t="n">
        <f aca="false">Acquisitions!AR$50</f>
        <v>4</v>
      </c>
      <c r="AS32" s="96" t="n">
        <f aca="false">Acquisitions!AS$50</f>
        <v>4</v>
      </c>
      <c r="AT32" s="96" t="n">
        <f aca="false">Acquisitions!AT$50</f>
        <v>4</v>
      </c>
      <c r="AU32" s="96" t="n">
        <f aca="false">Acquisitions!AU$50</f>
        <v>4</v>
      </c>
      <c r="AV32" s="96" t="n">
        <f aca="false">Acquisitions!AV$50</f>
        <v>4</v>
      </c>
      <c r="AW32" s="96" t="n">
        <f aca="false">Acquisitions!AW$50</f>
        <v>4</v>
      </c>
      <c r="AX32" s="96" t="n">
        <f aca="false">Acquisitions!AX$50</f>
        <v>4</v>
      </c>
      <c r="AY32" s="96" t="n">
        <f aca="false">Acquisitions!AY$50</f>
        <v>4</v>
      </c>
      <c r="AZ32" s="96" t="n">
        <f aca="false">Acquisitions!AZ$50</f>
        <v>4</v>
      </c>
      <c r="BA32" s="96" t="n">
        <f aca="false">Acquisitions!BA$50</f>
        <v>4</v>
      </c>
      <c r="BB32" s="80" t="n">
        <f aca="false">SUM(BC32:BN32)</f>
        <v>60</v>
      </c>
      <c r="BC32" s="96" t="n">
        <f aca="false">Acquisitions!BC$50</f>
        <v>5</v>
      </c>
      <c r="BD32" s="96" t="n">
        <f aca="false">Acquisitions!BD$50</f>
        <v>5</v>
      </c>
      <c r="BE32" s="96" t="n">
        <f aca="false">Acquisitions!BE$50</f>
        <v>5</v>
      </c>
      <c r="BF32" s="96" t="n">
        <f aca="false">Acquisitions!BF$50</f>
        <v>5</v>
      </c>
      <c r="BG32" s="96" t="n">
        <f aca="false">Acquisitions!BG$50</f>
        <v>5</v>
      </c>
      <c r="BH32" s="96" t="n">
        <f aca="false">Acquisitions!BH$50</f>
        <v>5</v>
      </c>
      <c r="BI32" s="96" t="n">
        <f aca="false">Acquisitions!BI$50</f>
        <v>5</v>
      </c>
      <c r="BJ32" s="96" t="n">
        <f aca="false">Acquisitions!BJ$50</f>
        <v>5</v>
      </c>
      <c r="BK32" s="96" t="n">
        <f aca="false">Acquisitions!BK$50</f>
        <v>5</v>
      </c>
      <c r="BL32" s="96" t="n">
        <f aca="false">Acquisitions!BL$50</f>
        <v>5</v>
      </c>
      <c r="BM32" s="96" t="n">
        <f aca="false">Acquisitions!BM$50</f>
        <v>5</v>
      </c>
      <c r="BN32" s="96" t="n">
        <f aca="false">Acquisitions!BN$50</f>
        <v>5</v>
      </c>
    </row>
    <row r="33" customFormat="false" ht="15" hidden="false" customHeight="false" outlineLevel="0" collapsed="false">
      <c r="A33" s="12" t="s">
        <v>682</v>
      </c>
      <c r="B33" s="80" t="n">
        <f aca="false">SUM(C33:N33)</f>
        <v>18</v>
      </c>
      <c r="C33" s="81" t="n">
        <f aca="false">Payroll!C$75*'Assumption Setting'!$C$85+Payroll!C$71*'Assumption Setting'!$D$85+C12*'Assumption Setting'!$E$85+C18*'Assumption Setting'!$F$85</f>
        <v>1.5</v>
      </c>
      <c r="D33" s="81" t="n">
        <f aca="false">Payroll!D$75*'Assumption Setting'!$C$85+Payroll!D$71*'Assumption Setting'!$D$85+D12*'Assumption Setting'!$E$85+D18*'Assumption Setting'!$F$85</f>
        <v>1.5</v>
      </c>
      <c r="E33" s="81" t="n">
        <f aca="false">Payroll!E$75*'Assumption Setting'!$C$85+Payroll!E$71*'Assumption Setting'!$D$85+E12*'Assumption Setting'!$E$85+E18*'Assumption Setting'!$F$85</f>
        <v>1.5</v>
      </c>
      <c r="F33" s="81" t="n">
        <f aca="false">Payroll!F$75*'Assumption Setting'!$C$85+Payroll!F$71*'Assumption Setting'!$D$85+F12*'Assumption Setting'!$E$85+F18*'Assumption Setting'!$F$85</f>
        <v>1.5</v>
      </c>
      <c r="G33" s="81" t="n">
        <f aca="false">Payroll!G$75*'Assumption Setting'!$C$85+Payroll!G$71*'Assumption Setting'!$D$85+G12*'Assumption Setting'!$E$85+G18*'Assumption Setting'!$F$85</f>
        <v>1.5</v>
      </c>
      <c r="H33" s="81" t="n">
        <f aca="false">Payroll!H$75*'Assumption Setting'!$C$85+Payroll!H$71*'Assumption Setting'!$D$85+H12*'Assumption Setting'!$E$85+H18*'Assumption Setting'!$F$85</f>
        <v>1.5</v>
      </c>
      <c r="I33" s="81" t="n">
        <f aca="false">Payroll!I$75*'Assumption Setting'!$C$85+Payroll!I$71*'Assumption Setting'!$D$85+I12*'Assumption Setting'!$E$85+I18*'Assumption Setting'!$F$85</f>
        <v>1.5</v>
      </c>
      <c r="J33" s="81" t="n">
        <f aca="false">Payroll!J$75*'Assumption Setting'!$C$85+Payroll!J$71*'Assumption Setting'!$D$85+J12*'Assumption Setting'!$E$85+J18*'Assumption Setting'!$F$85</f>
        <v>1.5</v>
      </c>
      <c r="K33" s="81" t="n">
        <f aca="false">Payroll!K$75*'Assumption Setting'!$C$85+Payroll!K$71*'Assumption Setting'!$D$85+K12*'Assumption Setting'!$E$85+K18*'Assumption Setting'!$F$85</f>
        <v>1.5</v>
      </c>
      <c r="L33" s="81" t="n">
        <f aca="false">Payroll!L$75*'Assumption Setting'!$C$85+Payroll!L$71*'Assumption Setting'!$D$85+L12*'Assumption Setting'!$E$85+L18*'Assumption Setting'!$F$85</f>
        <v>1.5</v>
      </c>
      <c r="M33" s="81" t="n">
        <f aca="false">Payroll!M$75*'Assumption Setting'!$C$85+Payroll!M$71*'Assumption Setting'!$D$85+M12*'Assumption Setting'!$E$85+M18*'Assumption Setting'!$F$85</f>
        <v>1.5</v>
      </c>
      <c r="N33" s="81" t="n">
        <f aca="false">Payroll!N$75*'Assumption Setting'!$C$85+Payroll!N$71*'Assumption Setting'!$D$85+N12*'Assumption Setting'!$E$85+N18*'Assumption Setting'!$F$85</f>
        <v>1.5</v>
      </c>
      <c r="O33" s="80" t="n">
        <f aca="false">SUM(P33:AA33)</f>
        <v>45.6</v>
      </c>
      <c r="P33" s="81" t="n">
        <f aca="false">Payroll!P$75*'Assumption Setting'!$C$85+Payroll!P$71*'Assumption Setting'!$D$85+P12*'Assumption Setting'!$E$85+P18*'Assumption Setting'!$F$85</f>
        <v>3.8</v>
      </c>
      <c r="Q33" s="81" t="n">
        <f aca="false">Payroll!Q$75*'Assumption Setting'!$C$85+Payroll!Q$71*'Assumption Setting'!$D$85+Q12*'Assumption Setting'!$E$85+Q18*'Assumption Setting'!$F$85</f>
        <v>3.8</v>
      </c>
      <c r="R33" s="81" t="n">
        <f aca="false">Payroll!R$75*'Assumption Setting'!$C$85+Payroll!R$71*'Assumption Setting'!$D$85+R12*'Assumption Setting'!$E$85+R18*'Assumption Setting'!$F$85</f>
        <v>3.8</v>
      </c>
      <c r="S33" s="81" t="n">
        <f aca="false">Payroll!S$75*'Assumption Setting'!$C$85+Payroll!S$71*'Assumption Setting'!$D$85+S12*'Assumption Setting'!$E$85+S18*'Assumption Setting'!$F$85</f>
        <v>3.8</v>
      </c>
      <c r="T33" s="81" t="n">
        <f aca="false">Payroll!T$75*'Assumption Setting'!$C$85+Payroll!T$71*'Assumption Setting'!$D$85+T12*'Assumption Setting'!$E$85+T18*'Assumption Setting'!$F$85</f>
        <v>3.8</v>
      </c>
      <c r="U33" s="81" t="n">
        <f aca="false">Payroll!U$75*'Assumption Setting'!$C$85+Payroll!U$71*'Assumption Setting'!$D$85+U12*'Assumption Setting'!$E$85+U18*'Assumption Setting'!$F$85</f>
        <v>3.8</v>
      </c>
      <c r="V33" s="81" t="n">
        <f aca="false">Payroll!V$75*'Assumption Setting'!$C$85+Payroll!V$71*'Assumption Setting'!$D$85+V12*'Assumption Setting'!$E$85+V18*'Assumption Setting'!$F$85</f>
        <v>3.8</v>
      </c>
      <c r="W33" s="81" t="n">
        <f aca="false">Payroll!W$75*'Assumption Setting'!$C$85+Payroll!W$71*'Assumption Setting'!$D$85+W12*'Assumption Setting'!$E$85+W18*'Assumption Setting'!$F$85</f>
        <v>3.8</v>
      </c>
      <c r="X33" s="81" t="n">
        <f aca="false">Payroll!X$75*'Assumption Setting'!$C$85+Payroll!X$71*'Assumption Setting'!$D$85+X12*'Assumption Setting'!$E$85+X18*'Assumption Setting'!$F$85</f>
        <v>3.8</v>
      </c>
      <c r="Y33" s="81" t="n">
        <f aca="false">Payroll!Y$75*'Assumption Setting'!$C$85+Payroll!Y$71*'Assumption Setting'!$D$85+Y12*'Assumption Setting'!$E$85+Y18*'Assumption Setting'!$F$85</f>
        <v>3.8</v>
      </c>
      <c r="Z33" s="81" t="n">
        <f aca="false">Payroll!Z$75*'Assumption Setting'!$C$85+Payroll!Z$71*'Assumption Setting'!$D$85+Z12*'Assumption Setting'!$E$85+Z18*'Assumption Setting'!$F$85</f>
        <v>3.8</v>
      </c>
      <c r="AA33" s="81" t="n">
        <f aca="false">Payroll!AA$75*'Assumption Setting'!$C$85+Payroll!AA$71*'Assumption Setting'!$D$85+AA12*'Assumption Setting'!$E$85+AA18*'Assumption Setting'!$F$85</f>
        <v>3.8</v>
      </c>
      <c r="AB33" s="80" t="n">
        <f aca="false">SUM(AC33:AN33)</f>
        <v>68.4</v>
      </c>
      <c r="AC33" s="81" t="n">
        <f aca="false">Payroll!AC$75*'Assumption Setting'!$C$85+Payroll!AC$71*'Assumption Setting'!$D$85+AC12*'Assumption Setting'!$E$85+AC18*'Assumption Setting'!$F$85</f>
        <v>5.3</v>
      </c>
      <c r="AD33" s="81" t="n">
        <f aca="false">Payroll!AD$75*'Assumption Setting'!$C$85+Payroll!AD$71*'Assumption Setting'!$D$85+AD12*'Assumption Setting'!$E$85+AD18*'Assumption Setting'!$F$85</f>
        <v>5.3</v>
      </c>
      <c r="AE33" s="81" t="n">
        <f aca="false">Payroll!AE$75*'Assumption Setting'!$C$85+Payroll!AE$71*'Assumption Setting'!$D$85+AE12*'Assumption Setting'!$E$85+AE18*'Assumption Setting'!$F$85</f>
        <v>5.3</v>
      </c>
      <c r="AF33" s="81" t="n">
        <f aca="false">Payroll!AF$75*'Assumption Setting'!$C$85+Payroll!AF$71*'Assumption Setting'!$D$85+AF12*'Assumption Setting'!$E$85+AF18*'Assumption Setting'!$F$85</f>
        <v>5.3</v>
      </c>
      <c r="AG33" s="81" t="n">
        <f aca="false">Payroll!AG$75*'Assumption Setting'!$C$85+Payroll!AG$71*'Assumption Setting'!$D$85+AG12*'Assumption Setting'!$E$85+AG18*'Assumption Setting'!$F$85</f>
        <v>5.3</v>
      </c>
      <c r="AH33" s="81" t="n">
        <f aca="false">Payroll!AH$75*'Assumption Setting'!$C$85+Payroll!AH$71*'Assumption Setting'!$D$85+AH12*'Assumption Setting'!$E$85+AH18*'Assumption Setting'!$F$85</f>
        <v>5.3</v>
      </c>
      <c r="AI33" s="81" t="n">
        <f aca="false">Payroll!AI$75*'Assumption Setting'!$C$85+Payroll!AI$71*'Assumption Setting'!$D$85+AI12*'Assumption Setting'!$E$85+AI18*'Assumption Setting'!$F$85</f>
        <v>6.1</v>
      </c>
      <c r="AJ33" s="81" t="n">
        <f aca="false">Payroll!AJ$75*'Assumption Setting'!$C$85+Payroll!AJ$71*'Assumption Setting'!$D$85+AJ12*'Assumption Setting'!$E$85+AJ18*'Assumption Setting'!$F$85</f>
        <v>6.1</v>
      </c>
      <c r="AK33" s="81" t="n">
        <f aca="false">Payroll!AK$75*'Assumption Setting'!$C$85+Payroll!AK$71*'Assumption Setting'!$D$85+AK12*'Assumption Setting'!$E$85+AK18*'Assumption Setting'!$F$85</f>
        <v>6.1</v>
      </c>
      <c r="AL33" s="81" t="n">
        <f aca="false">Payroll!AL$75*'Assumption Setting'!$C$85+Payroll!AL$71*'Assumption Setting'!$D$85+AL12*'Assumption Setting'!$E$85+AL18*'Assumption Setting'!$F$85</f>
        <v>6.1</v>
      </c>
      <c r="AM33" s="81" t="n">
        <f aca="false">Payroll!AM$75*'Assumption Setting'!$C$85+Payroll!AM$71*'Assumption Setting'!$D$85+AM12*'Assumption Setting'!$E$85+AM18*'Assumption Setting'!$F$85</f>
        <v>6.1</v>
      </c>
      <c r="AN33" s="81" t="n">
        <f aca="false">Payroll!AN$75*'Assumption Setting'!$C$85+Payroll!AN$71*'Assumption Setting'!$D$85+AN12*'Assumption Setting'!$E$85+AN18*'Assumption Setting'!$F$85</f>
        <v>6.1</v>
      </c>
      <c r="AO33" s="80" t="n">
        <f aca="false">SUM(AP33:BA33)</f>
        <v>100.8</v>
      </c>
      <c r="AP33" s="81" t="n">
        <f aca="false">Payroll!AP$75*'Assumption Setting'!$C$85+Payroll!AP$71*'Assumption Setting'!$D$85+AP12*'Assumption Setting'!$E$85+AP18*'Assumption Setting'!$F$85</f>
        <v>8.4</v>
      </c>
      <c r="AQ33" s="81" t="n">
        <f aca="false">Payroll!AQ$75*'Assumption Setting'!$C$85+Payroll!AQ$71*'Assumption Setting'!$D$85+AQ12*'Assumption Setting'!$E$85+AQ18*'Assumption Setting'!$F$85</f>
        <v>8.4</v>
      </c>
      <c r="AR33" s="81" t="n">
        <f aca="false">Payroll!AR$75*'Assumption Setting'!$C$85+Payroll!AR$71*'Assumption Setting'!$D$85+AR12*'Assumption Setting'!$E$85+AR18*'Assumption Setting'!$F$85</f>
        <v>8.4</v>
      </c>
      <c r="AS33" s="81" t="n">
        <f aca="false">Payroll!AS$75*'Assumption Setting'!$C$85+Payroll!AS$71*'Assumption Setting'!$D$85+AS12*'Assumption Setting'!$E$85+AS18*'Assumption Setting'!$F$85</f>
        <v>8.4</v>
      </c>
      <c r="AT33" s="81" t="n">
        <f aca="false">Payroll!AT$75*'Assumption Setting'!$C$85+Payroll!AT$71*'Assumption Setting'!$D$85+AT12*'Assumption Setting'!$E$85+AT18*'Assumption Setting'!$F$85</f>
        <v>8.4</v>
      </c>
      <c r="AU33" s="81" t="n">
        <f aca="false">Payroll!AU$75*'Assumption Setting'!$C$85+Payroll!AU$71*'Assumption Setting'!$D$85+AU12*'Assumption Setting'!$E$85+AU18*'Assumption Setting'!$F$85</f>
        <v>8.4</v>
      </c>
      <c r="AV33" s="81" t="n">
        <f aca="false">Payroll!AV$75*'Assumption Setting'!$C$85+Payroll!AV$71*'Assumption Setting'!$D$85+AV12*'Assumption Setting'!$E$85+AV18*'Assumption Setting'!$F$85</f>
        <v>8.4</v>
      </c>
      <c r="AW33" s="81" t="n">
        <f aca="false">Payroll!AW$75*'Assumption Setting'!$C$85+Payroll!AW$71*'Assumption Setting'!$D$85+AW12*'Assumption Setting'!$E$85+AW18*'Assumption Setting'!$F$85</f>
        <v>8.4</v>
      </c>
      <c r="AX33" s="81" t="n">
        <f aca="false">Payroll!AX$75*'Assumption Setting'!$C$85+Payroll!AX$71*'Assumption Setting'!$D$85+AX12*'Assumption Setting'!$E$85+AX18*'Assumption Setting'!$F$85</f>
        <v>8.4</v>
      </c>
      <c r="AY33" s="81" t="n">
        <f aca="false">Payroll!AY$75*'Assumption Setting'!$C$85+Payroll!AY$71*'Assumption Setting'!$D$85+AY12*'Assumption Setting'!$E$85+AY18*'Assumption Setting'!$F$85</f>
        <v>8.4</v>
      </c>
      <c r="AZ33" s="81" t="n">
        <f aca="false">Payroll!AZ$75*'Assumption Setting'!$C$85+Payroll!AZ$71*'Assumption Setting'!$D$85+AZ12*'Assumption Setting'!$E$85+AZ18*'Assumption Setting'!$F$85</f>
        <v>8.4</v>
      </c>
      <c r="BA33" s="81" t="n">
        <f aca="false">Payroll!BA$75*'Assumption Setting'!$C$85+Payroll!BA$71*'Assumption Setting'!$D$85+BA12*'Assumption Setting'!$E$85+BA18*'Assumption Setting'!$F$85</f>
        <v>8.4</v>
      </c>
      <c r="BB33" s="80" t="n">
        <f aca="false">SUM(BC33:BN33)</f>
        <v>133.2</v>
      </c>
      <c r="BC33" s="81" t="n">
        <f aca="false">Payroll!BC$75*'Assumption Setting'!$C$85+Payroll!BC$71*'Assumption Setting'!$D$85+BC12*'Assumption Setting'!$E$85+BC18*'Assumption Setting'!$F$85</f>
        <v>10.7</v>
      </c>
      <c r="BD33" s="81" t="n">
        <f aca="false">Payroll!BD$75*'Assumption Setting'!$C$85+Payroll!BD$71*'Assumption Setting'!$D$85+BD12*'Assumption Setting'!$E$85+BD18*'Assumption Setting'!$F$85</f>
        <v>10.7</v>
      </c>
      <c r="BE33" s="81" t="n">
        <f aca="false">Payroll!BE$75*'Assumption Setting'!$C$85+Payroll!BE$71*'Assumption Setting'!$D$85+BE12*'Assumption Setting'!$E$85+BE18*'Assumption Setting'!$F$85</f>
        <v>10.7</v>
      </c>
      <c r="BF33" s="81" t="n">
        <f aca="false">Payroll!BF$75*'Assumption Setting'!$C$85+Payroll!BF$71*'Assumption Setting'!$D$85+BF12*'Assumption Setting'!$E$85+BF18*'Assumption Setting'!$F$85</f>
        <v>10.7</v>
      </c>
      <c r="BG33" s="81" t="n">
        <f aca="false">Payroll!BG$75*'Assumption Setting'!$C$85+Payroll!BG$71*'Assumption Setting'!$D$85+BG12*'Assumption Setting'!$E$85+BG18*'Assumption Setting'!$F$85</f>
        <v>10.7</v>
      </c>
      <c r="BH33" s="81" t="n">
        <f aca="false">Payroll!BH$75*'Assumption Setting'!$C$85+Payroll!BH$71*'Assumption Setting'!$D$85+BH12*'Assumption Setting'!$E$85+BH18*'Assumption Setting'!$F$85</f>
        <v>10.7</v>
      </c>
      <c r="BI33" s="81" t="n">
        <f aca="false">Payroll!BI$75*'Assumption Setting'!$C$85+Payroll!BI$71*'Assumption Setting'!$D$85+BI12*'Assumption Setting'!$E$85+BI18*'Assumption Setting'!$F$85</f>
        <v>11.5</v>
      </c>
      <c r="BJ33" s="81" t="n">
        <f aca="false">Payroll!BJ$75*'Assumption Setting'!$C$85+Payroll!BJ$71*'Assumption Setting'!$D$85+BJ12*'Assumption Setting'!$E$85+BJ18*'Assumption Setting'!$F$85</f>
        <v>11.5</v>
      </c>
      <c r="BK33" s="81" t="n">
        <f aca="false">Payroll!BK$75*'Assumption Setting'!$C$85+Payroll!BK$71*'Assumption Setting'!$D$85+BK12*'Assumption Setting'!$E$85+BK18*'Assumption Setting'!$F$85</f>
        <v>11.5</v>
      </c>
      <c r="BL33" s="81" t="n">
        <f aca="false">Payroll!BL$75*'Assumption Setting'!$C$85+Payroll!BL$71*'Assumption Setting'!$D$85+BL12*'Assumption Setting'!$E$85+BL18*'Assumption Setting'!$F$85</f>
        <v>11.5</v>
      </c>
      <c r="BM33" s="81" t="n">
        <f aca="false">Payroll!BM$75*'Assumption Setting'!$C$85+Payroll!BM$71*'Assumption Setting'!$D$85+BM12*'Assumption Setting'!$E$85+BM18*'Assumption Setting'!$F$85</f>
        <v>11.5</v>
      </c>
      <c r="BN33" s="81" t="n">
        <f aca="false">Payroll!BN$75*'Assumption Setting'!$C$85+Payroll!BN$71*'Assumption Setting'!$D$85+BN12*'Assumption Setting'!$E$85+BN18*'Assumption Setting'!$F$85</f>
        <v>11.5</v>
      </c>
    </row>
    <row r="34" customFormat="false" ht="15" hidden="false" customHeight="false" outlineLevel="0" collapsed="false">
      <c r="A34" s="12" t="s">
        <v>683</v>
      </c>
      <c r="B34" s="80" t="n">
        <f aca="false">SUM(C34:N34)</f>
        <v>14.4</v>
      </c>
      <c r="C34" s="81" t="n">
        <f aca="false">C33-C32</f>
        <v>1.2</v>
      </c>
      <c r="D34" s="81" t="n">
        <f aca="false">D33-D32</f>
        <v>1.2</v>
      </c>
      <c r="E34" s="81" t="n">
        <f aca="false">E33-E32</f>
        <v>1.2</v>
      </c>
      <c r="F34" s="81" t="n">
        <f aca="false">F33-F32</f>
        <v>1.2</v>
      </c>
      <c r="G34" s="81" t="n">
        <f aca="false">G33-G32</f>
        <v>1.2</v>
      </c>
      <c r="H34" s="81" t="n">
        <f aca="false">H33-H32</f>
        <v>1.2</v>
      </c>
      <c r="I34" s="81" t="n">
        <f aca="false">I33-I32</f>
        <v>1.2</v>
      </c>
      <c r="J34" s="81" t="n">
        <f aca="false">J33-J32</f>
        <v>1.2</v>
      </c>
      <c r="K34" s="81" t="n">
        <f aca="false">K33-K32</f>
        <v>1.2</v>
      </c>
      <c r="L34" s="81" t="n">
        <f aca="false">L33-L32</f>
        <v>1.2</v>
      </c>
      <c r="M34" s="81" t="n">
        <f aca="false">M33-M32</f>
        <v>1.2</v>
      </c>
      <c r="N34" s="81" t="n">
        <f aca="false">N33-N32</f>
        <v>1.2</v>
      </c>
      <c r="O34" s="80" t="n">
        <f aca="false">SUM(P34:AA34)</f>
        <v>27.6</v>
      </c>
      <c r="P34" s="81" t="n">
        <f aca="false">P33-P32</f>
        <v>2.3</v>
      </c>
      <c r="Q34" s="81" t="n">
        <f aca="false">Q33-Q32</f>
        <v>2.3</v>
      </c>
      <c r="R34" s="81" t="n">
        <f aca="false">R33-R32</f>
        <v>2.3</v>
      </c>
      <c r="S34" s="81" t="n">
        <f aca="false">S33-S32</f>
        <v>2.3</v>
      </c>
      <c r="T34" s="81" t="n">
        <f aca="false">T33-T32</f>
        <v>2.3</v>
      </c>
      <c r="U34" s="81" t="n">
        <f aca="false">U33-U32</f>
        <v>2.3</v>
      </c>
      <c r="V34" s="81" t="n">
        <f aca="false">V33-V32</f>
        <v>2.3</v>
      </c>
      <c r="W34" s="81" t="n">
        <f aca="false">W33-W32</f>
        <v>2.3</v>
      </c>
      <c r="X34" s="81" t="n">
        <f aca="false">X33-X32</f>
        <v>2.3</v>
      </c>
      <c r="Y34" s="81" t="n">
        <f aca="false">Y33-Y32</f>
        <v>2.3</v>
      </c>
      <c r="Z34" s="81" t="n">
        <f aca="false">Z33-Z32</f>
        <v>2.3</v>
      </c>
      <c r="AA34" s="81" t="n">
        <f aca="false">AA33-AA32</f>
        <v>2.3</v>
      </c>
      <c r="AB34" s="80" t="n">
        <f aca="false">SUM(AC34:AN34)</f>
        <v>32.4</v>
      </c>
      <c r="AC34" s="81" t="n">
        <f aca="false">AC33-AC32</f>
        <v>2.3</v>
      </c>
      <c r="AD34" s="81" t="n">
        <f aca="false">AD33-AD32</f>
        <v>2.3</v>
      </c>
      <c r="AE34" s="81" t="n">
        <f aca="false">AE33-AE32</f>
        <v>2.3</v>
      </c>
      <c r="AF34" s="81" t="n">
        <f aca="false">AF33-AF32</f>
        <v>2.3</v>
      </c>
      <c r="AG34" s="81" t="n">
        <f aca="false">AG33-AG32</f>
        <v>2.3</v>
      </c>
      <c r="AH34" s="81" t="n">
        <f aca="false">AH33-AH32</f>
        <v>2.3</v>
      </c>
      <c r="AI34" s="81" t="n">
        <f aca="false">AI33-AI32</f>
        <v>3.1</v>
      </c>
      <c r="AJ34" s="81" t="n">
        <f aca="false">AJ33-AJ32</f>
        <v>3.1</v>
      </c>
      <c r="AK34" s="81" t="n">
        <f aca="false">AK33-AK32</f>
        <v>3.1</v>
      </c>
      <c r="AL34" s="81" t="n">
        <f aca="false">AL33-AL32</f>
        <v>3.1</v>
      </c>
      <c r="AM34" s="81" t="n">
        <f aca="false">AM33-AM32</f>
        <v>3.1</v>
      </c>
      <c r="AN34" s="81" t="n">
        <f aca="false">AN33-AN32</f>
        <v>3.1</v>
      </c>
      <c r="AO34" s="80" t="n">
        <f aca="false">SUM(AP34:BA34)</f>
        <v>52.8</v>
      </c>
      <c r="AP34" s="81" t="n">
        <f aca="false">AP33-AP32</f>
        <v>4.4</v>
      </c>
      <c r="AQ34" s="81" t="n">
        <f aca="false">AQ33-AQ32</f>
        <v>4.4</v>
      </c>
      <c r="AR34" s="81" t="n">
        <f aca="false">AR33-AR32</f>
        <v>4.4</v>
      </c>
      <c r="AS34" s="81" t="n">
        <f aca="false">AS33-AS32</f>
        <v>4.4</v>
      </c>
      <c r="AT34" s="81" t="n">
        <f aca="false">AT33-AT32</f>
        <v>4.4</v>
      </c>
      <c r="AU34" s="81" t="n">
        <f aca="false">AU33-AU32</f>
        <v>4.4</v>
      </c>
      <c r="AV34" s="81" t="n">
        <f aca="false">AV33-AV32</f>
        <v>4.4</v>
      </c>
      <c r="AW34" s="81" t="n">
        <f aca="false">AW33-AW32</f>
        <v>4.4</v>
      </c>
      <c r="AX34" s="81" t="n">
        <f aca="false">AX33-AX32</f>
        <v>4.4</v>
      </c>
      <c r="AY34" s="81" t="n">
        <f aca="false">AY33-AY32</f>
        <v>4.4</v>
      </c>
      <c r="AZ34" s="81" t="n">
        <f aca="false">AZ33-AZ32</f>
        <v>4.4</v>
      </c>
      <c r="BA34" s="81" t="n">
        <f aca="false">BA33-BA32</f>
        <v>4.4</v>
      </c>
      <c r="BB34" s="80" t="n">
        <f aca="false">SUM(BC34:BN34)</f>
        <v>73.2</v>
      </c>
      <c r="BC34" s="81" t="n">
        <f aca="false">BC33-BC32</f>
        <v>5.7</v>
      </c>
      <c r="BD34" s="81" t="n">
        <f aca="false">BD33-BD32</f>
        <v>5.7</v>
      </c>
      <c r="BE34" s="81" t="n">
        <f aca="false">BE33-BE32</f>
        <v>5.7</v>
      </c>
      <c r="BF34" s="81" t="n">
        <f aca="false">BF33-BF32</f>
        <v>5.7</v>
      </c>
      <c r="BG34" s="81" t="n">
        <f aca="false">BG33-BG32</f>
        <v>5.7</v>
      </c>
      <c r="BH34" s="81" t="n">
        <f aca="false">BH33-BH32</f>
        <v>5.7</v>
      </c>
      <c r="BI34" s="81" t="n">
        <f aca="false">BI33-BI32</f>
        <v>6.5</v>
      </c>
      <c r="BJ34" s="81" t="n">
        <f aca="false">BJ33-BJ32</f>
        <v>6.5</v>
      </c>
      <c r="BK34" s="81" t="n">
        <f aca="false">BK33-BK32</f>
        <v>6.5</v>
      </c>
      <c r="BL34" s="81" t="n">
        <f aca="false">BL33-BL32</f>
        <v>6.5</v>
      </c>
      <c r="BM34" s="81" t="n">
        <f aca="false">BM33-BM32</f>
        <v>6.5</v>
      </c>
      <c r="BN34" s="81" t="n">
        <f aca="false">BN33-BN32</f>
        <v>6.5</v>
      </c>
    </row>
    <row r="35" customFormat="false" ht="15" hidden="false" customHeight="false" outlineLevel="0" collapsed="false">
      <c r="A35" s="12" t="s">
        <v>687</v>
      </c>
      <c r="B35" s="80" t="n">
        <f aca="false">SUM(C35:N35)</f>
        <v>360</v>
      </c>
      <c r="C35" s="96" t="n">
        <f aca="false">Acquisitions!C$54</f>
        <v>30</v>
      </c>
      <c r="D35" s="96" t="n">
        <f aca="false">Acquisitions!D$54</f>
        <v>30</v>
      </c>
      <c r="E35" s="96" t="n">
        <f aca="false">Acquisitions!E$54</f>
        <v>30</v>
      </c>
      <c r="F35" s="96" t="n">
        <f aca="false">Acquisitions!F$54</f>
        <v>30</v>
      </c>
      <c r="G35" s="96" t="n">
        <f aca="false">Acquisitions!G$54</f>
        <v>30</v>
      </c>
      <c r="H35" s="96" t="n">
        <f aca="false">Acquisitions!H$54</f>
        <v>30</v>
      </c>
      <c r="I35" s="96" t="n">
        <f aca="false">Acquisitions!I$54</f>
        <v>30</v>
      </c>
      <c r="J35" s="96" t="n">
        <f aca="false">Acquisitions!J$54</f>
        <v>30</v>
      </c>
      <c r="K35" s="96" t="n">
        <f aca="false">Acquisitions!K$54</f>
        <v>30</v>
      </c>
      <c r="L35" s="96" t="n">
        <f aca="false">Acquisitions!L$54</f>
        <v>30</v>
      </c>
      <c r="M35" s="96" t="n">
        <f aca="false">Acquisitions!M$54</f>
        <v>30</v>
      </c>
      <c r="N35" s="96" t="n">
        <f aca="false">Acquisitions!N$54</f>
        <v>30</v>
      </c>
      <c r="O35" s="80" t="n">
        <f aca="false">SUM(P35:AA35)</f>
        <v>480</v>
      </c>
      <c r="P35" s="96" t="n">
        <f aca="false">Acquisitions!P$54</f>
        <v>40</v>
      </c>
      <c r="Q35" s="96" t="n">
        <f aca="false">Acquisitions!Q$54</f>
        <v>40</v>
      </c>
      <c r="R35" s="96" t="n">
        <f aca="false">Acquisitions!R$54</f>
        <v>40</v>
      </c>
      <c r="S35" s="96" t="n">
        <f aca="false">Acquisitions!S$54</f>
        <v>40</v>
      </c>
      <c r="T35" s="96" t="n">
        <f aca="false">Acquisitions!T$54</f>
        <v>40</v>
      </c>
      <c r="U35" s="96" t="n">
        <f aca="false">Acquisitions!U$54</f>
        <v>40</v>
      </c>
      <c r="V35" s="96" t="n">
        <f aca="false">Acquisitions!V$54</f>
        <v>40</v>
      </c>
      <c r="W35" s="96" t="n">
        <f aca="false">Acquisitions!W$54</f>
        <v>40</v>
      </c>
      <c r="X35" s="96" t="n">
        <f aca="false">Acquisitions!X$54</f>
        <v>40</v>
      </c>
      <c r="Y35" s="96" t="n">
        <f aca="false">Acquisitions!Y$54</f>
        <v>40</v>
      </c>
      <c r="Z35" s="96" t="n">
        <f aca="false">Acquisitions!Z$54</f>
        <v>40</v>
      </c>
      <c r="AA35" s="96" t="n">
        <f aca="false">Acquisitions!AA$54</f>
        <v>40</v>
      </c>
      <c r="AB35" s="80" t="n">
        <f aca="false">SUM(AC35:AN35)</f>
        <v>660</v>
      </c>
      <c r="AC35" s="96" t="n">
        <f aca="false">Acquisitions!AC$54</f>
        <v>55</v>
      </c>
      <c r="AD35" s="96" t="n">
        <f aca="false">Acquisitions!AD$54</f>
        <v>55</v>
      </c>
      <c r="AE35" s="96" t="n">
        <f aca="false">Acquisitions!AE$54</f>
        <v>55</v>
      </c>
      <c r="AF35" s="96" t="n">
        <f aca="false">Acquisitions!AF$54</f>
        <v>55</v>
      </c>
      <c r="AG35" s="96" t="n">
        <f aca="false">Acquisitions!AG$54</f>
        <v>55</v>
      </c>
      <c r="AH35" s="96" t="n">
        <f aca="false">Acquisitions!AH$54</f>
        <v>55</v>
      </c>
      <c r="AI35" s="96" t="n">
        <f aca="false">Acquisitions!AI$54</f>
        <v>55</v>
      </c>
      <c r="AJ35" s="96" t="n">
        <f aca="false">Acquisitions!AJ$54</f>
        <v>55</v>
      </c>
      <c r="AK35" s="96" t="n">
        <f aca="false">Acquisitions!AK$54</f>
        <v>55</v>
      </c>
      <c r="AL35" s="96" t="n">
        <f aca="false">Acquisitions!AL$54</f>
        <v>55</v>
      </c>
      <c r="AM35" s="96" t="n">
        <f aca="false">Acquisitions!AM$54</f>
        <v>55</v>
      </c>
      <c r="AN35" s="96" t="n">
        <f aca="false">Acquisitions!AN$54</f>
        <v>55</v>
      </c>
      <c r="AO35" s="80" t="n">
        <f aca="false">SUM(AP35:BA35)</f>
        <v>840</v>
      </c>
      <c r="AP35" s="96" t="n">
        <f aca="false">Acquisitions!AP$54</f>
        <v>70</v>
      </c>
      <c r="AQ35" s="96" t="n">
        <f aca="false">Acquisitions!AQ$54</f>
        <v>70</v>
      </c>
      <c r="AR35" s="96" t="n">
        <f aca="false">Acquisitions!AR$54</f>
        <v>70</v>
      </c>
      <c r="AS35" s="96" t="n">
        <f aca="false">Acquisitions!AS$54</f>
        <v>70</v>
      </c>
      <c r="AT35" s="96" t="n">
        <f aca="false">Acquisitions!AT$54</f>
        <v>70</v>
      </c>
      <c r="AU35" s="96" t="n">
        <f aca="false">Acquisitions!AU$54</f>
        <v>70</v>
      </c>
      <c r="AV35" s="96" t="n">
        <f aca="false">Acquisitions!AV$54</f>
        <v>70</v>
      </c>
      <c r="AW35" s="96" t="n">
        <f aca="false">Acquisitions!AW$54</f>
        <v>70</v>
      </c>
      <c r="AX35" s="96" t="n">
        <f aca="false">Acquisitions!AX$54</f>
        <v>70</v>
      </c>
      <c r="AY35" s="96" t="n">
        <f aca="false">Acquisitions!AY$54</f>
        <v>70</v>
      </c>
      <c r="AZ35" s="96" t="n">
        <f aca="false">Acquisitions!AZ$54</f>
        <v>70</v>
      </c>
      <c r="BA35" s="96" t="n">
        <f aca="false">Acquisitions!BA$54</f>
        <v>70</v>
      </c>
      <c r="BB35" s="80" t="n">
        <f aca="false">SUM(BC35:BN35)</f>
        <v>1020</v>
      </c>
      <c r="BC35" s="96" t="n">
        <f aca="false">Acquisitions!BC$54</f>
        <v>85</v>
      </c>
      <c r="BD35" s="96" t="n">
        <f aca="false">Acquisitions!BD$54</f>
        <v>85</v>
      </c>
      <c r="BE35" s="96" t="n">
        <f aca="false">Acquisitions!BE$54</f>
        <v>85</v>
      </c>
      <c r="BF35" s="96" t="n">
        <f aca="false">Acquisitions!BF$54</f>
        <v>85</v>
      </c>
      <c r="BG35" s="96" t="n">
        <f aca="false">Acquisitions!BG$54</f>
        <v>85</v>
      </c>
      <c r="BH35" s="96" t="n">
        <f aca="false">Acquisitions!BH$54</f>
        <v>85</v>
      </c>
      <c r="BI35" s="96" t="n">
        <f aca="false">Acquisitions!BI$54</f>
        <v>85</v>
      </c>
      <c r="BJ35" s="96" t="n">
        <f aca="false">Acquisitions!BJ$54</f>
        <v>85</v>
      </c>
      <c r="BK35" s="96" t="n">
        <f aca="false">Acquisitions!BK$54</f>
        <v>85</v>
      </c>
      <c r="BL35" s="96" t="n">
        <f aca="false">Acquisitions!BL$54</f>
        <v>85</v>
      </c>
      <c r="BM35" s="96" t="n">
        <f aca="false">Acquisitions!BM$54</f>
        <v>85</v>
      </c>
      <c r="BN35" s="96" t="n">
        <f aca="false">Acquisitions!BN$54</f>
        <v>85</v>
      </c>
    </row>
    <row r="36" customFormat="false" ht="15" hidden="false" customHeight="false" outlineLevel="0" collapsed="false">
      <c r="A36" s="12" t="s">
        <v>682</v>
      </c>
      <c r="B36" s="80" t="n">
        <f aca="false">SUM(C36:N36)</f>
        <v>432</v>
      </c>
      <c r="C36" s="81" t="n">
        <f aca="false">Payroll!C$72*'Assumption Setting'!$C$86+Payroll!C$71*'Assumption Setting'!$D$86+C12*'Assumption Setting'!$E$86+C18*'Assumption Setting'!$F$86</f>
        <v>36</v>
      </c>
      <c r="D36" s="81" t="n">
        <f aca="false">Payroll!D$72*'Assumption Setting'!$C$86+Payroll!D$71*'Assumption Setting'!$D$86+D12*'Assumption Setting'!$E$86+D18*'Assumption Setting'!$F$86</f>
        <v>36</v>
      </c>
      <c r="E36" s="81" t="n">
        <f aca="false">Payroll!E$72*'Assumption Setting'!$C$86+Payroll!E$71*'Assumption Setting'!$D$86+E12*'Assumption Setting'!$E$86+E18*'Assumption Setting'!$F$86</f>
        <v>36</v>
      </c>
      <c r="F36" s="81" t="n">
        <f aca="false">Payroll!F$72*'Assumption Setting'!$C$86+Payroll!F$71*'Assumption Setting'!$D$86+F12*'Assumption Setting'!$E$86+F18*'Assumption Setting'!$F$86</f>
        <v>36</v>
      </c>
      <c r="G36" s="81" t="n">
        <f aca="false">Payroll!G$72*'Assumption Setting'!$C$86+Payroll!G$71*'Assumption Setting'!$D$86+G12*'Assumption Setting'!$E$86+G18*'Assumption Setting'!$F$86</f>
        <v>36</v>
      </c>
      <c r="H36" s="81" t="n">
        <f aca="false">Payroll!H$72*'Assumption Setting'!$C$86+Payroll!H$71*'Assumption Setting'!$D$86+H12*'Assumption Setting'!$E$86+H18*'Assumption Setting'!$F$86</f>
        <v>36</v>
      </c>
      <c r="I36" s="81" t="n">
        <f aca="false">Payroll!I$72*'Assumption Setting'!$C$86+Payroll!I$71*'Assumption Setting'!$D$86+I12*'Assumption Setting'!$E$86+I18*'Assumption Setting'!$F$86</f>
        <v>36</v>
      </c>
      <c r="J36" s="81" t="n">
        <f aca="false">Payroll!J$72*'Assumption Setting'!$C$86+Payroll!J$71*'Assumption Setting'!$D$86+J12*'Assumption Setting'!$E$86+J18*'Assumption Setting'!$F$86</f>
        <v>36</v>
      </c>
      <c r="K36" s="81" t="n">
        <f aca="false">Payroll!K$72*'Assumption Setting'!$C$86+Payroll!K$71*'Assumption Setting'!$D$86+K12*'Assumption Setting'!$E$86+K18*'Assumption Setting'!$F$86</f>
        <v>36</v>
      </c>
      <c r="L36" s="81" t="n">
        <f aca="false">Payroll!L$72*'Assumption Setting'!$C$86+Payroll!L$71*'Assumption Setting'!$D$86+L12*'Assumption Setting'!$E$86+L18*'Assumption Setting'!$F$86</f>
        <v>36</v>
      </c>
      <c r="M36" s="81" t="n">
        <f aca="false">Payroll!M$72*'Assumption Setting'!$C$86+Payroll!M$71*'Assumption Setting'!$D$86+M12*'Assumption Setting'!$E$86+M18*'Assumption Setting'!$F$86</f>
        <v>36</v>
      </c>
      <c r="N36" s="81" t="n">
        <f aca="false">Payroll!N$72*'Assumption Setting'!$C$86+Payroll!N$71*'Assumption Setting'!$D$86+N12*'Assumption Setting'!$E$86+N18*'Assumption Setting'!$F$86</f>
        <v>36</v>
      </c>
      <c r="O36" s="80" t="n">
        <f aca="false">SUM(P36:AA36)</f>
        <v>576</v>
      </c>
      <c r="P36" s="81" t="n">
        <f aca="false">Payroll!P$72*'Assumption Setting'!$C$86+Payroll!P$71*'Assumption Setting'!$D$86+P12*'Assumption Setting'!$E$86+P18*'Assumption Setting'!$F$86</f>
        <v>48</v>
      </c>
      <c r="Q36" s="81" t="n">
        <f aca="false">Payroll!Q$72*'Assumption Setting'!$C$86+Payroll!Q$71*'Assumption Setting'!$D$86+Q12*'Assumption Setting'!$E$86+Q18*'Assumption Setting'!$F$86</f>
        <v>48</v>
      </c>
      <c r="R36" s="81" t="n">
        <f aca="false">Payroll!R$72*'Assumption Setting'!$C$86+Payroll!R$71*'Assumption Setting'!$D$86+R12*'Assumption Setting'!$E$86+R18*'Assumption Setting'!$F$86</f>
        <v>48</v>
      </c>
      <c r="S36" s="81" t="n">
        <f aca="false">Payroll!S$72*'Assumption Setting'!$C$86+Payroll!S$71*'Assumption Setting'!$D$86+S12*'Assumption Setting'!$E$86+S18*'Assumption Setting'!$F$86</f>
        <v>48</v>
      </c>
      <c r="T36" s="81" t="n">
        <f aca="false">Payroll!T$72*'Assumption Setting'!$C$86+Payroll!T$71*'Assumption Setting'!$D$86+T12*'Assumption Setting'!$E$86+T18*'Assumption Setting'!$F$86</f>
        <v>48</v>
      </c>
      <c r="U36" s="81" t="n">
        <f aca="false">Payroll!U$72*'Assumption Setting'!$C$86+Payroll!U$71*'Assumption Setting'!$D$86+U12*'Assumption Setting'!$E$86+U18*'Assumption Setting'!$F$86</f>
        <v>48</v>
      </c>
      <c r="V36" s="81" t="n">
        <f aca="false">Payroll!V$72*'Assumption Setting'!$C$86+Payroll!V$71*'Assumption Setting'!$D$86+V12*'Assumption Setting'!$E$86+V18*'Assumption Setting'!$F$86</f>
        <v>48</v>
      </c>
      <c r="W36" s="81" t="n">
        <f aca="false">Payroll!W$72*'Assumption Setting'!$C$86+Payroll!W$71*'Assumption Setting'!$D$86+W12*'Assumption Setting'!$E$86+W18*'Assumption Setting'!$F$86</f>
        <v>48</v>
      </c>
      <c r="X36" s="81" t="n">
        <f aca="false">Payroll!X$72*'Assumption Setting'!$C$86+Payroll!X$71*'Assumption Setting'!$D$86+X12*'Assumption Setting'!$E$86+X18*'Assumption Setting'!$F$86</f>
        <v>48</v>
      </c>
      <c r="Y36" s="81" t="n">
        <f aca="false">Payroll!Y$72*'Assumption Setting'!$C$86+Payroll!Y$71*'Assumption Setting'!$D$86+Y12*'Assumption Setting'!$E$86+Y18*'Assumption Setting'!$F$86</f>
        <v>48</v>
      </c>
      <c r="Z36" s="81" t="n">
        <f aca="false">Payroll!Z$72*'Assumption Setting'!$C$86+Payroll!Z$71*'Assumption Setting'!$D$86+Z12*'Assumption Setting'!$E$86+Z18*'Assumption Setting'!$F$86</f>
        <v>48</v>
      </c>
      <c r="AA36" s="81" t="n">
        <f aca="false">Payroll!AA$72*'Assumption Setting'!$C$86+Payroll!AA$71*'Assumption Setting'!$D$86+AA12*'Assumption Setting'!$E$86+AA18*'Assumption Setting'!$F$86</f>
        <v>48</v>
      </c>
      <c r="AB36" s="80" t="n">
        <f aca="false">SUM(AC36:AN36)</f>
        <v>720</v>
      </c>
      <c r="AC36" s="81" t="n">
        <f aca="false">Payroll!AC$72*'Assumption Setting'!$C$86+Payroll!AC$71*'Assumption Setting'!$D$86+AC12*'Assumption Setting'!$E$86+AC18*'Assumption Setting'!$F$86</f>
        <v>60</v>
      </c>
      <c r="AD36" s="81" t="n">
        <f aca="false">Payroll!AD$72*'Assumption Setting'!$C$86+Payroll!AD$71*'Assumption Setting'!$D$86+AD12*'Assumption Setting'!$E$86+AD18*'Assumption Setting'!$F$86</f>
        <v>60</v>
      </c>
      <c r="AE36" s="81" t="n">
        <f aca="false">Payroll!AE$72*'Assumption Setting'!$C$86+Payroll!AE$71*'Assumption Setting'!$D$86+AE12*'Assumption Setting'!$E$86+AE18*'Assumption Setting'!$F$86</f>
        <v>60</v>
      </c>
      <c r="AF36" s="81" t="n">
        <f aca="false">Payroll!AF$72*'Assumption Setting'!$C$86+Payroll!AF$71*'Assumption Setting'!$D$86+AF12*'Assumption Setting'!$E$86+AF18*'Assumption Setting'!$F$86</f>
        <v>60</v>
      </c>
      <c r="AG36" s="81" t="n">
        <f aca="false">Payroll!AG$72*'Assumption Setting'!$C$86+Payroll!AG$71*'Assumption Setting'!$D$86+AG12*'Assumption Setting'!$E$86+AG18*'Assumption Setting'!$F$86</f>
        <v>60</v>
      </c>
      <c r="AH36" s="81" t="n">
        <f aca="false">Payroll!AH$72*'Assumption Setting'!$C$86+Payroll!AH$71*'Assumption Setting'!$D$86+AH12*'Assumption Setting'!$E$86+AH18*'Assumption Setting'!$F$86</f>
        <v>60</v>
      </c>
      <c r="AI36" s="81" t="n">
        <f aca="false">Payroll!AI$72*'Assumption Setting'!$C$86+Payroll!AI$71*'Assumption Setting'!$D$86+AI12*'Assumption Setting'!$E$86+AI18*'Assumption Setting'!$F$86</f>
        <v>60</v>
      </c>
      <c r="AJ36" s="81" t="n">
        <f aca="false">Payroll!AJ$72*'Assumption Setting'!$C$86+Payroll!AJ$71*'Assumption Setting'!$D$86+AJ12*'Assumption Setting'!$E$86+AJ18*'Assumption Setting'!$F$86</f>
        <v>60</v>
      </c>
      <c r="AK36" s="81" t="n">
        <f aca="false">Payroll!AK$72*'Assumption Setting'!$C$86+Payroll!AK$71*'Assumption Setting'!$D$86+AK12*'Assumption Setting'!$E$86+AK18*'Assumption Setting'!$F$86</f>
        <v>60</v>
      </c>
      <c r="AL36" s="81" t="n">
        <f aca="false">Payroll!AL$72*'Assumption Setting'!$C$86+Payroll!AL$71*'Assumption Setting'!$D$86+AL12*'Assumption Setting'!$E$86+AL18*'Assumption Setting'!$F$86</f>
        <v>60</v>
      </c>
      <c r="AM36" s="81" t="n">
        <f aca="false">Payroll!AM$72*'Assumption Setting'!$C$86+Payroll!AM$71*'Assumption Setting'!$D$86+AM12*'Assumption Setting'!$E$86+AM18*'Assumption Setting'!$F$86</f>
        <v>60</v>
      </c>
      <c r="AN36" s="81" t="n">
        <f aca="false">Payroll!AN$72*'Assumption Setting'!$C$86+Payroll!AN$71*'Assumption Setting'!$D$86+AN12*'Assumption Setting'!$E$86+AN18*'Assumption Setting'!$F$86</f>
        <v>60</v>
      </c>
      <c r="AO36" s="80" t="n">
        <f aca="false">SUM(AP36:BA36)</f>
        <v>1008</v>
      </c>
      <c r="AP36" s="81" t="n">
        <f aca="false">Payroll!AP$72*'Assumption Setting'!$C$86+Payroll!AP$71*'Assumption Setting'!$D$86+AP12*'Assumption Setting'!$E$86+AP18*'Assumption Setting'!$F$86</f>
        <v>84</v>
      </c>
      <c r="AQ36" s="81" t="n">
        <f aca="false">Payroll!AQ$72*'Assumption Setting'!$C$86+Payroll!AQ$71*'Assumption Setting'!$D$86+AQ12*'Assumption Setting'!$E$86+AQ18*'Assumption Setting'!$F$86</f>
        <v>84</v>
      </c>
      <c r="AR36" s="81" t="n">
        <f aca="false">Payroll!AR$72*'Assumption Setting'!$C$86+Payroll!AR$71*'Assumption Setting'!$D$86+AR12*'Assumption Setting'!$E$86+AR18*'Assumption Setting'!$F$86</f>
        <v>84</v>
      </c>
      <c r="AS36" s="81" t="n">
        <f aca="false">Payroll!AS$72*'Assumption Setting'!$C$86+Payroll!AS$71*'Assumption Setting'!$D$86+AS12*'Assumption Setting'!$E$86+AS18*'Assumption Setting'!$F$86</f>
        <v>84</v>
      </c>
      <c r="AT36" s="81" t="n">
        <f aca="false">Payroll!AT$72*'Assumption Setting'!$C$86+Payroll!AT$71*'Assumption Setting'!$D$86+AT12*'Assumption Setting'!$E$86+AT18*'Assumption Setting'!$F$86</f>
        <v>84</v>
      </c>
      <c r="AU36" s="81" t="n">
        <f aca="false">Payroll!AU$72*'Assumption Setting'!$C$86+Payroll!AU$71*'Assumption Setting'!$D$86+AU12*'Assumption Setting'!$E$86+AU18*'Assumption Setting'!$F$86</f>
        <v>84</v>
      </c>
      <c r="AV36" s="81" t="n">
        <f aca="false">Payroll!AV$72*'Assumption Setting'!$C$86+Payroll!AV$71*'Assumption Setting'!$D$86+AV12*'Assumption Setting'!$E$86+AV18*'Assumption Setting'!$F$86</f>
        <v>84</v>
      </c>
      <c r="AW36" s="81" t="n">
        <f aca="false">Payroll!AW$72*'Assumption Setting'!$C$86+Payroll!AW$71*'Assumption Setting'!$D$86+AW12*'Assumption Setting'!$E$86+AW18*'Assumption Setting'!$F$86</f>
        <v>84</v>
      </c>
      <c r="AX36" s="81" t="n">
        <f aca="false">Payroll!AX$72*'Assumption Setting'!$C$86+Payroll!AX$71*'Assumption Setting'!$D$86+AX12*'Assumption Setting'!$E$86+AX18*'Assumption Setting'!$F$86</f>
        <v>84</v>
      </c>
      <c r="AY36" s="81" t="n">
        <f aca="false">Payroll!AY$72*'Assumption Setting'!$C$86+Payroll!AY$71*'Assumption Setting'!$D$86+AY12*'Assumption Setting'!$E$86+AY18*'Assumption Setting'!$F$86</f>
        <v>84</v>
      </c>
      <c r="AZ36" s="81" t="n">
        <f aca="false">Payroll!AZ$72*'Assumption Setting'!$C$86+Payroll!AZ$71*'Assumption Setting'!$D$86+AZ12*'Assumption Setting'!$E$86+AZ18*'Assumption Setting'!$F$86</f>
        <v>84</v>
      </c>
      <c r="BA36" s="81" t="n">
        <f aca="false">Payroll!BA$72*'Assumption Setting'!$C$86+Payroll!BA$71*'Assumption Setting'!$D$86+BA12*'Assumption Setting'!$E$86+BA18*'Assumption Setting'!$F$86</f>
        <v>84</v>
      </c>
      <c r="BB36" s="80" t="n">
        <f aca="false">SUM(BC36:BN36)</f>
        <v>1296</v>
      </c>
      <c r="BC36" s="81" t="n">
        <f aca="false">Payroll!BC$72*'Assumption Setting'!$C$86+Payroll!BC$71*'Assumption Setting'!$D$86+BC12*'Assumption Setting'!$E$86+BC18*'Assumption Setting'!$F$86</f>
        <v>108</v>
      </c>
      <c r="BD36" s="81" t="n">
        <f aca="false">Payroll!BD$72*'Assumption Setting'!$C$86+Payroll!BD$71*'Assumption Setting'!$D$86+BD12*'Assumption Setting'!$E$86+BD18*'Assumption Setting'!$F$86</f>
        <v>108</v>
      </c>
      <c r="BE36" s="81" t="n">
        <f aca="false">Payroll!BE$72*'Assumption Setting'!$C$86+Payroll!BE$71*'Assumption Setting'!$D$86+BE12*'Assumption Setting'!$E$86+BE18*'Assumption Setting'!$F$86</f>
        <v>108</v>
      </c>
      <c r="BF36" s="81" t="n">
        <f aca="false">Payroll!BF$72*'Assumption Setting'!$C$86+Payroll!BF$71*'Assumption Setting'!$D$86+BF12*'Assumption Setting'!$E$86+BF18*'Assumption Setting'!$F$86</f>
        <v>108</v>
      </c>
      <c r="BG36" s="81" t="n">
        <f aca="false">Payroll!BG$72*'Assumption Setting'!$C$86+Payroll!BG$71*'Assumption Setting'!$D$86+BG12*'Assumption Setting'!$E$86+BG18*'Assumption Setting'!$F$86</f>
        <v>108</v>
      </c>
      <c r="BH36" s="81" t="n">
        <f aca="false">Payroll!BH$72*'Assumption Setting'!$C$86+Payroll!BH$71*'Assumption Setting'!$D$86+BH12*'Assumption Setting'!$E$86+BH18*'Assumption Setting'!$F$86</f>
        <v>108</v>
      </c>
      <c r="BI36" s="81" t="n">
        <f aca="false">Payroll!BI$72*'Assumption Setting'!$C$86+Payroll!BI$71*'Assumption Setting'!$D$86+BI12*'Assumption Setting'!$E$86+BI18*'Assumption Setting'!$F$86</f>
        <v>108</v>
      </c>
      <c r="BJ36" s="81" t="n">
        <f aca="false">Payroll!BJ$72*'Assumption Setting'!$C$86+Payroll!BJ$71*'Assumption Setting'!$D$86+BJ12*'Assumption Setting'!$E$86+BJ18*'Assumption Setting'!$F$86</f>
        <v>108</v>
      </c>
      <c r="BK36" s="81" t="n">
        <f aca="false">Payroll!BK$72*'Assumption Setting'!$C$86+Payroll!BK$71*'Assumption Setting'!$D$86+BK12*'Assumption Setting'!$E$86+BK18*'Assumption Setting'!$F$86</f>
        <v>108</v>
      </c>
      <c r="BL36" s="81" t="n">
        <f aca="false">Payroll!BL$72*'Assumption Setting'!$C$86+Payroll!BL$71*'Assumption Setting'!$D$86+BL12*'Assumption Setting'!$E$86+BL18*'Assumption Setting'!$F$86</f>
        <v>108</v>
      </c>
      <c r="BM36" s="81" t="n">
        <f aca="false">Payroll!BM$72*'Assumption Setting'!$C$86+Payroll!BM$71*'Assumption Setting'!$D$86+BM12*'Assumption Setting'!$E$86+BM18*'Assumption Setting'!$F$86</f>
        <v>108</v>
      </c>
      <c r="BN36" s="81" t="n">
        <f aca="false">Payroll!BN$72*'Assumption Setting'!$C$86+Payroll!BN$71*'Assumption Setting'!$D$86+BN12*'Assumption Setting'!$E$86+BN18*'Assumption Setting'!$F$86</f>
        <v>108</v>
      </c>
    </row>
    <row r="37" customFormat="false" ht="15" hidden="false" customHeight="false" outlineLevel="0" collapsed="false">
      <c r="A37" s="12" t="s">
        <v>683</v>
      </c>
      <c r="B37" s="80" t="n">
        <f aca="false">SUM(C37:N37)</f>
        <v>72</v>
      </c>
      <c r="C37" s="81" t="n">
        <f aca="false">C36-C35</f>
        <v>6</v>
      </c>
      <c r="D37" s="81" t="n">
        <f aca="false">D36-D35</f>
        <v>6</v>
      </c>
      <c r="E37" s="81" t="n">
        <f aca="false">E36-E35</f>
        <v>6</v>
      </c>
      <c r="F37" s="81" t="n">
        <f aca="false">F36-F35</f>
        <v>6</v>
      </c>
      <c r="G37" s="81" t="n">
        <f aca="false">G36-G35</f>
        <v>6</v>
      </c>
      <c r="H37" s="81" t="n">
        <f aca="false">H36-H35</f>
        <v>6</v>
      </c>
      <c r="I37" s="81" t="n">
        <f aca="false">I36-I35</f>
        <v>6</v>
      </c>
      <c r="J37" s="81" t="n">
        <f aca="false">J36-J35</f>
        <v>6</v>
      </c>
      <c r="K37" s="81" t="n">
        <f aca="false">K36-K35</f>
        <v>6</v>
      </c>
      <c r="L37" s="81" t="n">
        <f aca="false">L36-L35</f>
        <v>6</v>
      </c>
      <c r="M37" s="81" t="n">
        <f aca="false">M36-M35</f>
        <v>6</v>
      </c>
      <c r="N37" s="81" t="n">
        <f aca="false">N36-N35</f>
        <v>6</v>
      </c>
      <c r="O37" s="80" t="n">
        <f aca="false">SUM(P37:AA37)</f>
        <v>96</v>
      </c>
      <c r="P37" s="81" t="n">
        <f aca="false">P36-P35</f>
        <v>8</v>
      </c>
      <c r="Q37" s="81" t="n">
        <f aca="false">Q36-Q35</f>
        <v>8</v>
      </c>
      <c r="R37" s="81" t="n">
        <f aca="false">R36-R35</f>
        <v>8</v>
      </c>
      <c r="S37" s="81" t="n">
        <f aca="false">S36-S35</f>
        <v>8</v>
      </c>
      <c r="T37" s="81" t="n">
        <f aca="false">T36-T35</f>
        <v>8</v>
      </c>
      <c r="U37" s="81" t="n">
        <f aca="false">U36-U35</f>
        <v>8</v>
      </c>
      <c r="V37" s="81" t="n">
        <f aca="false">V36-V35</f>
        <v>8</v>
      </c>
      <c r="W37" s="81" t="n">
        <f aca="false">W36-W35</f>
        <v>8</v>
      </c>
      <c r="X37" s="81" t="n">
        <f aca="false">X36-X35</f>
        <v>8</v>
      </c>
      <c r="Y37" s="81" t="n">
        <f aca="false">Y36-Y35</f>
        <v>8</v>
      </c>
      <c r="Z37" s="81" t="n">
        <f aca="false">Z36-Z35</f>
        <v>8</v>
      </c>
      <c r="AA37" s="81" t="n">
        <f aca="false">AA36-AA35</f>
        <v>8</v>
      </c>
      <c r="AB37" s="80" t="n">
        <f aca="false">SUM(AC37:AN37)</f>
        <v>60</v>
      </c>
      <c r="AC37" s="81" t="n">
        <f aca="false">AC36-AC35</f>
        <v>5</v>
      </c>
      <c r="AD37" s="81" t="n">
        <f aca="false">AD36-AD35</f>
        <v>5</v>
      </c>
      <c r="AE37" s="81" t="n">
        <f aca="false">AE36-AE35</f>
        <v>5</v>
      </c>
      <c r="AF37" s="81" t="n">
        <f aca="false">AF36-AF35</f>
        <v>5</v>
      </c>
      <c r="AG37" s="81" t="n">
        <f aca="false">AG36-AG35</f>
        <v>5</v>
      </c>
      <c r="AH37" s="81" t="n">
        <f aca="false">AH36-AH35</f>
        <v>5</v>
      </c>
      <c r="AI37" s="81" t="n">
        <f aca="false">AI36-AI35</f>
        <v>5</v>
      </c>
      <c r="AJ37" s="81" t="n">
        <f aca="false">AJ36-AJ35</f>
        <v>5</v>
      </c>
      <c r="AK37" s="81" t="n">
        <f aca="false">AK36-AK35</f>
        <v>5</v>
      </c>
      <c r="AL37" s="81" t="n">
        <f aca="false">AL36-AL35</f>
        <v>5</v>
      </c>
      <c r="AM37" s="81" t="n">
        <f aca="false">AM36-AM35</f>
        <v>5</v>
      </c>
      <c r="AN37" s="81" t="n">
        <f aca="false">AN36-AN35</f>
        <v>5</v>
      </c>
      <c r="AO37" s="80" t="n">
        <f aca="false">SUM(AP37:BA37)</f>
        <v>168</v>
      </c>
      <c r="AP37" s="81" t="n">
        <f aca="false">AP36-AP35</f>
        <v>14</v>
      </c>
      <c r="AQ37" s="81" t="n">
        <f aca="false">AQ36-AQ35</f>
        <v>14</v>
      </c>
      <c r="AR37" s="81" t="n">
        <f aca="false">AR36-AR35</f>
        <v>14</v>
      </c>
      <c r="AS37" s="81" t="n">
        <f aca="false">AS36-AS35</f>
        <v>14</v>
      </c>
      <c r="AT37" s="81" t="n">
        <f aca="false">AT36-AT35</f>
        <v>14</v>
      </c>
      <c r="AU37" s="81" t="n">
        <f aca="false">AU36-AU35</f>
        <v>14</v>
      </c>
      <c r="AV37" s="81" t="n">
        <f aca="false">AV36-AV35</f>
        <v>14</v>
      </c>
      <c r="AW37" s="81" t="n">
        <f aca="false">AW36-AW35</f>
        <v>14</v>
      </c>
      <c r="AX37" s="81" t="n">
        <f aca="false">AX36-AX35</f>
        <v>14</v>
      </c>
      <c r="AY37" s="81" t="n">
        <f aca="false">AY36-AY35</f>
        <v>14</v>
      </c>
      <c r="AZ37" s="81" t="n">
        <f aca="false">AZ36-AZ35</f>
        <v>14</v>
      </c>
      <c r="BA37" s="81" t="n">
        <f aca="false">BA36-BA35</f>
        <v>14</v>
      </c>
      <c r="BB37" s="80" t="n">
        <f aca="false">SUM(BC37:BN37)</f>
        <v>276</v>
      </c>
      <c r="BC37" s="81" t="n">
        <f aca="false">BC36-BC35</f>
        <v>23</v>
      </c>
      <c r="BD37" s="81" t="n">
        <f aca="false">BD36-BD35</f>
        <v>23</v>
      </c>
      <c r="BE37" s="81" t="n">
        <f aca="false">BE36-BE35</f>
        <v>23</v>
      </c>
      <c r="BF37" s="81" t="n">
        <f aca="false">BF36-BF35</f>
        <v>23</v>
      </c>
      <c r="BG37" s="81" t="n">
        <f aca="false">BG36-BG35</f>
        <v>23</v>
      </c>
      <c r="BH37" s="81" t="n">
        <f aca="false">BH36-BH35</f>
        <v>23</v>
      </c>
      <c r="BI37" s="81" t="n">
        <f aca="false">BI36-BI35</f>
        <v>23</v>
      </c>
      <c r="BJ37" s="81" t="n">
        <f aca="false">BJ36-BJ35</f>
        <v>23</v>
      </c>
      <c r="BK37" s="81" t="n">
        <f aca="false">BK36-BK35</f>
        <v>23</v>
      </c>
      <c r="BL37" s="81" t="n">
        <f aca="false">BL36-BL35</f>
        <v>23</v>
      </c>
      <c r="BM37" s="81" t="n">
        <f aca="false">BM36-BM35</f>
        <v>23</v>
      </c>
      <c r="BN37" s="81" t="n">
        <f aca="false">BN36-BN35</f>
        <v>23</v>
      </c>
    </row>
    <row r="38" customFormat="false" ht="15" hidden="false" customHeight="false" outlineLevel="0" collapsed="false">
      <c r="A38" s="69" t="s">
        <v>688</v>
      </c>
      <c r="B38" s="80" t="n">
        <f aca="false">MAX(C38:N38)</f>
        <v>0</v>
      </c>
      <c r="C38" s="97" t="n">
        <f aca="false">MAX(0,C23-C24)+MAX(0,C26-C27)+MAX(0,C29-C30)+MAX(0,C32-C33)+MAX(0,C35-C36)</f>
        <v>0</v>
      </c>
      <c r="D38" s="97" t="n">
        <f aca="false">MAX(0,D23-D24)+MAX(0,D26-D27)+MAX(0,D29-D30)+MAX(0,D32-D33)+MAX(0,D35-D36)</f>
        <v>0</v>
      </c>
      <c r="E38" s="97" t="n">
        <f aca="false">MAX(0,E23-E24)+MAX(0,E26-E27)+MAX(0,E29-E30)+MAX(0,E32-E33)+MAX(0,E35-E36)</f>
        <v>0</v>
      </c>
      <c r="F38" s="97" t="n">
        <f aca="false">MAX(0,F23-F24)+MAX(0,F26-F27)+MAX(0,F29-F30)+MAX(0,F32-F33)+MAX(0,F35-F36)</f>
        <v>0</v>
      </c>
      <c r="G38" s="97" t="n">
        <f aca="false">MAX(0,G23-G24)+MAX(0,G26-G27)+MAX(0,G29-G30)+MAX(0,G32-G33)+MAX(0,G35-G36)</f>
        <v>0</v>
      </c>
      <c r="H38" s="97" t="n">
        <f aca="false">MAX(0,H23-H24)+MAX(0,H26-H27)+MAX(0,H29-H30)+MAX(0,H32-H33)+MAX(0,H35-H36)</f>
        <v>0</v>
      </c>
      <c r="I38" s="97" t="n">
        <f aca="false">MAX(0,I23-I24)+MAX(0,I26-I27)+MAX(0,I29-I30)+MAX(0,I32-I33)+MAX(0,I35-I36)</f>
        <v>0</v>
      </c>
      <c r="J38" s="97" t="n">
        <f aca="false">MAX(0,J23-J24)+MAX(0,J26-J27)+MAX(0,J29-J30)+MAX(0,J32-J33)+MAX(0,J35-J36)</f>
        <v>0</v>
      </c>
      <c r="K38" s="97" t="n">
        <f aca="false">MAX(0,K23-K24)+MAX(0,K26-K27)+MAX(0,K29-K30)+MAX(0,K32-K33)+MAX(0,K35-K36)</f>
        <v>0</v>
      </c>
      <c r="L38" s="97" t="n">
        <f aca="false">MAX(0,L23-L24)+MAX(0,L26-L27)+MAX(0,L29-L30)+MAX(0,L32-L33)+MAX(0,L35-L36)</f>
        <v>0</v>
      </c>
      <c r="M38" s="97" t="n">
        <f aca="false">MAX(0,M23-M24)+MAX(0,M26-M27)+MAX(0,M29-M30)+MAX(0,M32-M33)+MAX(0,M35-M36)</f>
        <v>0</v>
      </c>
      <c r="N38" s="97" t="n">
        <f aca="false">MAX(0,N23-N24)+MAX(0,N26-N27)+MAX(0,N29-N30)+MAX(0,N32-N33)+MAX(0,N35-N36)</f>
        <v>0</v>
      </c>
      <c r="O38" s="80" t="n">
        <f aca="false">MAX(P38:AA38)</f>
        <v>0</v>
      </c>
      <c r="P38" s="97" t="n">
        <f aca="false">MAX(0,P23-P24)+MAX(0,P26-P27)+MAX(0,P29-P30)+MAX(0,P32-P33)+MAX(0,P35-P36)</f>
        <v>0</v>
      </c>
      <c r="Q38" s="97" t="n">
        <f aca="false">MAX(0,Q23-Q24)+MAX(0,Q26-Q27)+MAX(0,Q29-Q30)+MAX(0,Q32-Q33)+MAX(0,Q35-Q36)</f>
        <v>0</v>
      </c>
      <c r="R38" s="97" t="n">
        <f aca="false">MAX(0,R23-R24)+MAX(0,R26-R27)+MAX(0,R29-R30)+MAX(0,R32-R33)+MAX(0,R35-R36)</f>
        <v>0</v>
      </c>
      <c r="S38" s="97" t="n">
        <f aca="false">MAX(0,S23-S24)+MAX(0,S26-S27)+MAX(0,S29-S30)+MAX(0,S32-S33)+MAX(0,S35-S36)</f>
        <v>0</v>
      </c>
      <c r="T38" s="97" t="n">
        <f aca="false">MAX(0,T23-T24)+MAX(0,T26-T27)+MAX(0,T29-T30)+MAX(0,T32-T33)+MAX(0,T35-T36)</f>
        <v>0</v>
      </c>
      <c r="U38" s="97" t="n">
        <f aca="false">MAX(0,U23-U24)+MAX(0,U26-U27)+MAX(0,U29-U30)+MAX(0,U32-U33)+MAX(0,U35-U36)</f>
        <v>0</v>
      </c>
      <c r="V38" s="97" t="n">
        <f aca="false">MAX(0,V23-V24)+MAX(0,V26-V27)+MAX(0,V29-V30)+MAX(0,V32-V33)+MAX(0,V35-V36)</f>
        <v>0</v>
      </c>
      <c r="W38" s="97" t="n">
        <f aca="false">MAX(0,W23-W24)+MAX(0,W26-W27)+MAX(0,W29-W30)+MAX(0,W32-W33)+MAX(0,W35-W36)</f>
        <v>0</v>
      </c>
      <c r="X38" s="97" t="n">
        <f aca="false">MAX(0,X23-X24)+MAX(0,X26-X27)+MAX(0,X29-X30)+MAX(0,X32-X33)+MAX(0,X35-X36)</f>
        <v>0</v>
      </c>
      <c r="Y38" s="97" t="n">
        <f aca="false">MAX(0,Y23-Y24)+MAX(0,Y26-Y27)+MAX(0,Y29-Y30)+MAX(0,Y32-Y33)+MAX(0,Y35-Y36)</f>
        <v>0</v>
      </c>
      <c r="Z38" s="97" t="n">
        <f aca="false">MAX(0,Z23-Z24)+MAX(0,Z26-Z27)+MAX(0,Z29-Z30)+MAX(0,Z32-Z33)+MAX(0,Z35-Z36)</f>
        <v>0</v>
      </c>
      <c r="AA38" s="97" t="n">
        <f aca="false">MAX(0,AA23-AA24)+MAX(0,AA26-AA27)+MAX(0,AA29-AA30)+MAX(0,AA32-AA33)+MAX(0,AA35-AA36)</f>
        <v>0</v>
      </c>
      <c r="AB38" s="80" t="n">
        <f aca="false">MAX(AC38:AN38)</f>
        <v>0</v>
      </c>
      <c r="AC38" s="97" t="n">
        <f aca="false">MAX(0,AC23-AC24)+MAX(0,AC26-AC27)+MAX(0,AC29-AC30)+MAX(0,AC32-AC33)+MAX(0,AC35-AC36)</f>
        <v>0</v>
      </c>
      <c r="AD38" s="97" t="n">
        <f aca="false">MAX(0,AD23-AD24)+MAX(0,AD26-AD27)+MAX(0,AD29-AD30)+MAX(0,AD32-AD33)+MAX(0,AD35-AD36)</f>
        <v>0</v>
      </c>
      <c r="AE38" s="97" t="n">
        <f aca="false">MAX(0,AE23-AE24)+MAX(0,AE26-AE27)+MAX(0,AE29-AE30)+MAX(0,AE32-AE33)+MAX(0,AE35-AE36)</f>
        <v>0</v>
      </c>
      <c r="AF38" s="97" t="n">
        <f aca="false">MAX(0,AF23-AF24)+MAX(0,AF26-AF27)+MAX(0,AF29-AF30)+MAX(0,AF32-AF33)+MAX(0,AF35-AF36)</f>
        <v>0</v>
      </c>
      <c r="AG38" s="97" t="n">
        <f aca="false">MAX(0,AG23-AG24)+MAX(0,AG26-AG27)+MAX(0,AG29-AG30)+MAX(0,AG32-AG33)+MAX(0,AG35-AG36)</f>
        <v>0</v>
      </c>
      <c r="AH38" s="97" t="n">
        <f aca="false">MAX(0,AH23-AH24)+MAX(0,AH26-AH27)+MAX(0,AH29-AH30)+MAX(0,AH32-AH33)+MAX(0,AH35-AH36)</f>
        <v>0</v>
      </c>
      <c r="AI38" s="97" t="n">
        <f aca="false">MAX(0,AI23-AI24)+MAX(0,AI26-AI27)+MAX(0,AI29-AI30)+MAX(0,AI32-AI33)+MAX(0,AI35-AI36)</f>
        <v>0</v>
      </c>
      <c r="AJ38" s="97" t="n">
        <f aca="false">MAX(0,AJ23-AJ24)+MAX(0,AJ26-AJ27)+MAX(0,AJ29-AJ30)+MAX(0,AJ32-AJ33)+MAX(0,AJ35-AJ36)</f>
        <v>0</v>
      </c>
      <c r="AK38" s="97" t="n">
        <f aca="false">MAX(0,AK23-AK24)+MAX(0,AK26-AK27)+MAX(0,AK29-AK30)+MAX(0,AK32-AK33)+MAX(0,AK35-AK36)</f>
        <v>0</v>
      </c>
      <c r="AL38" s="97" t="n">
        <f aca="false">MAX(0,AL23-AL24)+MAX(0,AL26-AL27)+MAX(0,AL29-AL30)+MAX(0,AL32-AL33)+MAX(0,AL35-AL36)</f>
        <v>0</v>
      </c>
      <c r="AM38" s="97" t="n">
        <f aca="false">MAX(0,AM23-AM24)+MAX(0,AM26-AM27)+MAX(0,AM29-AM30)+MAX(0,AM32-AM33)+MAX(0,AM35-AM36)</f>
        <v>0</v>
      </c>
      <c r="AN38" s="97" t="n">
        <f aca="false">MAX(0,AN23-AN24)+MAX(0,AN26-AN27)+MAX(0,AN29-AN30)+MAX(0,AN32-AN33)+MAX(0,AN35-AN36)</f>
        <v>0</v>
      </c>
      <c r="AO38" s="80" t="n">
        <f aca="false">MAX(AP38:BA38)</f>
        <v>0</v>
      </c>
      <c r="AP38" s="97" t="n">
        <f aca="false">MAX(0,AP23-AP24)+MAX(0,AP26-AP27)+MAX(0,AP29-AP30)+MAX(0,AP32-AP33)+MAX(0,AP35-AP36)</f>
        <v>0</v>
      </c>
      <c r="AQ38" s="97" t="n">
        <f aca="false">MAX(0,AQ23-AQ24)+MAX(0,AQ26-AQ27)+MAX(0,AQ29-AQ30)+MAX(0,AQ32-AQ33)+MAX(0,AQ35-AQ36)</f>
        <v>0</v>
      </c>
      <c r="AR38" s="97" t="n">
        <f aca="false">MAX(0,AR23-AR24)+MAX(0,AR26-AR27)+MAX(0,AR29-AR30)+MAX(0,AR32-AR33)+MAX(0,AR35-AR36)</f>
        <v>0</v>
      </c>
      <c r="AS38" s="97" t="n">
        <f aca="false">MAX(0,AS23-AS24)+MAX(0,AS26-AS27)+MAX(0,AS29-AS30)+MAX(0,AS32-AS33)+MAX(0,AS35-AS36)</f>
        <v>0</v>
      </c>
      <c r="AT38" s="97" t="n">
        <f aca="false">MAX(0,AT23-AT24)+MAX(0,AT26-AT27)+MAX(0,AT29-AT30)+MAX(0,AT32-AT33)+MAX(0,AT35-AT36)</f>
        <v>0</v>
      </c>
      <c r="AU38" s="97" t="n">
        <f aca="false">MAX(0,AU23-AU24)+MAX(0,AU26-AU27)+MAX(0,AU29-AU30)+MAX(0,AU32-AU33)+MAX(0,AU35-AU36)</f>
        <v>0</v>
      </c>
      <c r="AV38" s="97" t="n">
        <f aca="false">MAX(0,AV23-AV24)+MAX(0,AV26-AV27)+MAX(0,AV29-AV30)+MAX(0,AV32-AV33)+MAX(0,AV35-AV36)</f>
        <v>0</v>
      </c>
      <c r="AW38" s="97" t="n">
        <f aca="false">MAX(0,AW23-AW24)+MAX(0,AW26-AW27)+MAX(0,AW29-AW30)+MAX(0,AW32-AW33)+MAX(0,AW35-AW36)</f>
        <v>0</v>
      </c>
      <c r="AX38" s="97" t="n">
        <f aca="false">MAX(0,AX23-AX24)+MAX(0,AX26-AX27)+MAX(0,AX29-AX30)+MAX(0,AX32-AX33)+MAX(0,AX35-AX36)</f>
        <v>0</v>
      </c>
      <c r="AY38" s="97" t="n">
        <f aca="false">MAX(0,AY23-AY24)+MAX(0,AY26-AY27)+MAX(0,AY29-AY30)+MAX(0,AY32-AY33)+MAX(0,AY35-AY36)</f>
        <v>0</v>
      </c>
      <c r="AZ38" s="97" t="n">
        <f aca="false">MAX(0,AZ23-AZ24)+MAX(0,AZ26-AZ27)+MAX(0,AZ29-AZ30)+MAX(0,AZ32-AZ33)+MAX(0,AZ35-AZ36)</f>
        <v>0</v>
      </c>
      <c r="BA38" s="97" t="n">
        <f aca="false">MAX(0,BA23-BA24)+MAX(0,BA26-BA27)+MAX(0,BA29-BA30)+MAX(0,BA32-BA33)+MAX(0,BA35-BA36)</f>
        <v>0</v>
      </c>
      <c r="BB38" s="80" t="n">
        <f aca="false">MAX(BC38:BN38)</f>
        <v>0</v>
      </c>
      <c r="BC38" s="97" t="n">
        <f aca="false">MAX(0,BC23-BC24)+MAX(0,BC26-BC27)+MAX(0,BC29-BC30)+MAX(0,BC32-BC33)+MAX(0,BC35-BC36)</f>
        <v>0</v>
      </c>
      <c r="BD38" s="97" t="n">
        <f aca="false">MAX(0,BD23-BD24)+MAX(0,BD26-BD27)+MAX(0,BD29-BD30)+MAX(0,BD32-BD33)+MAX(0,BD35-BD36)</f>
        <v>0</v>
      </c>
      <c r="BE38" s="97" t="n">
        <f aca="false">MAX(0,BE23-BE24)+MAX(0,BE26-BE27)+MAX(0,BE29-BE30)+MAX(0,BE32-BE33)+MAX(0,BE35-BE36)</f>
        <v>0</v>
      </c>
      <c r="BF38" s="97" t="n">
        <f aca="false">MAX(0,BF23-BF24)+MAX(0,BF26-BF27)+MAX(0,BF29-BF30)+MAX(0,BF32-BF33)+MAX(0,BF35-BF36)</f>
        <v>0</v>
      </c>
      <c r="BG38" s="97" t="n">
        <f aca="false">MAX(0,BG23-BG24)+MAX(0,BG26-BG27)+MAX(0,BG29-BG30)+MAX(0,BG32-BG33)+MAX(0,BG35-BG36)</f>
        <v>0</v>
      </c>
      <c r="BH38" s="97" t="n">
        <f aca="false">MAX(0,BH23-BH24)+MAX(0,BH26-BH27)+MAX(0,BH29-BH30)+MAX(0,BH32-BH33)+MAX(0,BH35-BH36)</f>
        <v>0</v>
      </c>
      <c r="BI38" s="97" t="n">
        <f aca="false">MAX(0,BI23-BI24)+MAX(0,BI26-BI27)+MAX(0,BI29-BI30)+MAX(0,BI32-BI33)+MAX(0,BI35-BI36)</f>
        <v>0</v>
      </c>
      <c r="BJ38" s="97" t="n">
        <f aca="false">MAX(0,BJ23-BJ24)+MAX(0,BJ26-BJ27)+MAX(0,BJ29-BJ30)+MAX(0,BJ32-BJ33)+MAX(0,BJ35-BJ36)</f>
        <v>0</v>
      </c>
      <c r="BK38" s="97" t="n">
        <f aca="false">MAX(0,BK23-BK24)+MAX(0,BK26-BK27)+MAX(0,BK29-BK30)+MAX(0,BK32-BK33)+MAX(0,BK35-BK36)</f>
        <v>0</v>
      </c>
      <c r="BL38" s="97" t="n">
        <f aca="false">MAX(0,BL23-BL24)+MAX(0,BL26-BL27)+MAX(0,BL29-BL30)+MAX(0,BL32-BL33)+MAX(0,BL35-BL36)</f>
        <v>0</v>
      </c>
      <c r="BM38" s="97" t="n">
        <f aca="false">MAX(0,BM23-BM24)+MAX(0,BM26-BM27)+MAX(0,BM29-BM30)+MAX(0,BM32-BM33)+MAX(0,BM35-BM36)</f>
        <v>0</v>
      </c>
      <c r="BN38" s="97" t="n">
        <f aca="false">MAX(0,BN23-BN24)+MAX(0,BN26-BN27)+MAX(0,BN29-BN30)+MAX(0,BN32-BN33)+MAX(0,BN35-BN36)</f>
        <v>0</v>
      </c>
    </row>
    <row r="39" customFormat="false" ht="15" hidden="false" customHeight="false" outlineLevel="0" collapsed="false">
      <c r="A39" s="66" t="s">
        <v>689</v>
      </c>
      <c r="B39" s="98" t="n">
        <f aca="false">IFERROR(AVERAGE(C39:N39),0)</f>
        <v>0.581395348837209</v>
      </c>
      <c r="C39" s="99" t="n">
        <f aca="false">IFERROR((C23+C26+C29+C32+C35)/(C24+C27+C30+C33+C36),0)</f>
        <v>0.581395348837209</v>
      </c>
      <c r="D39" s="99" t="n">
        <f aca="false">IFERROR((D23+D26+D29+D32+D35)/(D24+D27+D30+D33+D36),0)</f>
        <v>0.581395348837209</v>
      </c>
      <c r="E39" s="99" t="n">
        <f aca="false">IFERROR((E23+E26+E29+E32+E35)/(E24+E27+E30+E33+E36),0)</f>
        <v>0.581395348837209</v>
      </c>
      <c r="F39" s="99" t="n">
        <f aca="false">IFERROR((F23+F26+F29+F32+F35)/(F24+F27+F30+F33+F36),0)</f>
        <v>0.581395348837209</v>
      </c>
      <c r="G39" s="99" t="n">
        <f aca="false">IFERROR((G23+G26+G29+G32+G35)/(G24+G27+G30+G33+G36),0)</f>
        <v>0.581395348837209</v>
      </c>
      <c r="H39" s="99" t="n">
        <f aca="false">IFERROR((H23+H26+H29+H32+H35)/(H24+H27+H30+H33+H36),0)</f>
        <v>0.581395348837209</v>
      </c>
      <c r="I39" s="99" t="n">
        <f aca="false">IFERROR((I23+I26+I29+I32+I35)/(I24+I27+I30+I33+I36),0)</f>
        <v>0.581395348837209</v>
      </c>
      <c r="J39" s="99" t="n">
        <f aca="false">IFERROR((J23+J26+J29+J32+J35)/(J24+J27+J30+J33+J36),0)</f>
        <v>0.581395348837209</v>
      </c>
      <c r="K39" s="99" t="n">
        <f aca="false">IFERROR((K23+K26+K29+K32+K35)/(K24+K27+K30+K33+K36),0)</f>
        <v>0.581395348837209</v>
      </c>
      <c r="L39" s="99" t="n">
        <f aca="false">IFERROR((L23+L26+L29+L32+L35)/(L24+L27+L30+L33+L36),0)</f>
        <v>0.581395348837209</v>
      </c>
      <c r="M39" s="99" t="n">
        <f aca="false">IFERROR((M23+M26+M29+M32+M35)/(M24+M27+M30+M33+M36),0)</f>
        <v>0.581395348837209</v>
      </c>
      <c r="N39" s="99" t="n">
        <f aca="false">IFERROR((N23+N26+N29+N32+N35)/(N24+N27+N30+N33+N36),0)</f>
        <v>0.581395348837209</v>
      </c>
      <c r="O39" s="98" t="n">
        <f aca="false">IFERROR(AVERAGE(P39:AA39),0)</f>
        <v>0.506889763779528</v>
      </c>
      <c r="P39" s="99" t="n">
        <f aca="false">IFERROR((P23+P26+P29+P32+P35)/(P24+P27+P30+P33+P36),0)</f>
        <v>0.506889763779528</v>
      </c>
      <c r="Q39" s="99" t="n">
        <f aca="false">IFERROR((Q23+Q26+Q29+Q32+Q35)/(Q24+Q27+Q30+Q33+Q36),0)</f>
        <v>0.506889763779528</v>
      </c>
      <c r="R39" s="99" t="n">
        <f aca="false">IFERROR((R23+R26+R29+R32+R35)/(R24+R27+R30+R33+R36),0)</f>
        <v>0.506889763779528</v>
      </c>
      <c r="S39" s="99" t="n">
        <f aca="false">IFERROR((S23+S26+S29+S32+S35)/(S24+S27+S30+S33+S36),0)</f>
        <v>0.506889763779528</v>
      </c>
      <c r="T39" s="99" t="n">
        <f aca="false">IFERROR((T23+T26+T29+T32+T35)/(T24+T27+T30+T33+T36),0)</f>
        <v>0.506889763779528</v>
      </c>
      <c r="U39" s="99" t="n">
        <f aca="false">IFERROR((U23+U26+U29+U32+U35)/(U24+U27+U30+U33+U36),0)</f>
        <v>0.506889763779528</v>
      </c>
      <c r="V39" s="99" t="n">
        <f aca="false">IFERROR((V23+V26+V29+V32+V35)/(V24+V27+V30+V33+V36),0)</f>
        <v>0.506889763779528</v>
      </c>
      <c r="W39" s="99" t="n">
        <f aca="false">IFERROR((W23+W26+W29+W32+W35)/(W24+W27+W30+W33+W36),0)</f>
        <v>0.506889763779528</v>
      </c>
      <c r="X39" s="99" t="n">
        <f aca="false">IFERROR((X23+X26+X29+X32+X35)/(X24+X27+X30+X33+X36),0)</f>
        <v>0.506889763779528</v>
      </c>
      <c r="Y39" s="99" t="n">
        <f aca="false">IFERROR((Y23+Y26+Y29+Y32+Y35)/(Y24+Y27+Y30+Y33+Y36),0)</f>
        <v>0.506889763779528</v>
      </c>
      <c r="Z39" s="99" t="n">
        <f aca="false">IFERROR((Z23+Z26+Z29+Z32+Z35)/(Z24+Z27+Z30+Z33+Z36),0)</f>
        <v>0.506889763779528</v>
      </c>
      <c r="AA39" s="99" t="n">
        <f aca="false">IFERROR((AA23+AA26+AA29+AA32+AA35)/(AA24+AA27+AA30+AA33+AA36),0)</f>
        <v>0.506889763779528</v>
      </c>
      <c r="AB39" s="98" t="n">
        <f aca="false">IFERROR(AVERAGE(AC39:AN39),0)</f>
        <v>0.470668763476355</v>
      </c>
      <c r="AC39" s="99" t="n">
        <f aca="false">IFERROR((AC23+AC26+AC29+AC32+AC35)/(AC24+AC27+AC30+AC33+AC36),0)</f>
        <v>0.47268262737876</v>
      </c>
      <c r="AD39" s="99" t="n">
        <f aca="false">IFERROR((AD23+AD26+AD29+AD32+AD35)/(AD24+AD27+AD30+AD33+AD36),0)</f>
        <v>0.47268262737876</v>
      </c>
      <c r="AE39" s="99" t="n">
        <f aca="false">IFERROR((AE23+AE26+AE29+AE32+AE35)/(AE24+AE27+AE30+AE33+AE36),0)</f>
        <v>0.47268262737876</v>
      </c>
      <c r="AF39" s="99" t="n">
        <f aca="false">IFERROR((AF23+AF26+AF29+AF32+AF35)/(AF24+AF27+AF30+AF33+AF36),0)</f>
        <v>0.47268262737876</v>
      </c>
      <c r="AG39" s="99" t="n">
        <f aca="false">IFERROR((AG23+AG26+AG29+AG32+AG35)/(AG24+AG27+AG30+AG33+AG36),0)</f>
        <v>0.47268262737876</v>
      </c>
      <c r="AH39" s="99" t="n">
        <f aca="false">IFERROR((AH23+AH26+AH29+AH32+AH35)/(AH24+AH27+AH30+AH33+AH36),0)</f>
        <v>0.47268262737876</v>
      </c>
      <c r="AI39" s="99" t="n">
        <f aca="false">IFERROR((AI23+AI26+AI29+AI32+AI35)/(AI24+AI27+AI30+AI33+AI36),0)</f>
        <v>0.46865489957395</v>
      </c>
      <c r="AJ39" s="99" t="n">
        <f aca="false">IFERROR((AJ23+AJ26+AJ29+AJ32+AJ35)/(AJ24+AJ27+AJ30+AJ33+AJ36),0)</f>
        <v>0.46865489957395</v>
      </c>
      <c r="AK39" s="99" t="n">
        <f aca="false">IFERROR((AK23+AK26+AK29+AK32+AK35)/(AK24+AK27+AK30+AK33+AK36),0)</f>
        <v>0.46865489957395</v>
      </c>
      <c r="AL39" s="99" t="n">
        <f aca="false">IFERROR((AL23+AL26+AL29+AL32+AL35)/(AL24+AL27+AL30+AL33+AL36),0)</f>
        <v>0.46865489957395</v>
      </c>
      <c r="AM39" s="99" t="n">
        <f aca="false">IFERROR((AM23+AM26+AM29+AM32+AM35)/(AM24+AM27+AM30+AM33+AM36),0)</f>
        <v>0.46865489957395</v>
      </c>
      <c r="AN39" s="99" t="n">
        <f aca="false">IFERROR((AN23+AN26+AN29+AN32+AN35)/(AN24+AN27+AN30+AN33+AN36),0)</f>
        <v>0.46865489957395</v>
      </c>
      <c r="AO39" s="98" t="n">
        <f aca="false">IFERROR(AVERAGE(AP39:BA39),0)</f>
        <v>0.403160453808752</v>
      </c>
      <c r="AP39" s="99" t="n">
        <f aca="false">IFERROR((AP23+AP26+AP29+AP32+AP35)/(AP24+AP27+AP30+AP33+AP36),0)</f>
        <v>0.403160453808752</v>
      </c>
      <c r="AQ39" s="99" t="n">
        <f aca="false">IFERROR((AQ23+AQ26+AQ29+AQ32+AQ35)/(AQ24+AQ27+AQ30+AQ33+AQ36),0)</f>
        <v>0.403160453808752</v>
      </c>
      <c r="AR39" s="99" t="n">
        <f aca="false">IFERROR((AR23+AR26+AR29+AR32+AR35)/(AR24+AR27+AR30+AR33+AR36),0)</f>
        <v>0.403160453808752</v>
      </c>
      <c r="AS39" s="99" t="n">
        <f aca="false">IFERROR((AS23+AS26+AS29+AS32+AS35)/(AS24+AS27+AS30+AS33+AS36),0)</f>
        <v>0.403160453808752</v>
      </c>
      <c r="AT39" s="99" t="n">
        <f aca="false">IFERROR((AT23+AT26+AT29+AT32+AT35)/(AT24+AT27+AT30+AT33+AT36),0)</f>
        <v>0.403160453808752</v>
      </c>
      <c r="AU39" s="99" t="n">
        <f aca="false">IFERROR((AU23+AU26+AU29+AU32+AU35)/(AU24+AU27+AU30+AU33+AU36),0)</f>
        <v>0.403160453808752</v>
      </c>
      <c r="AV39" s="99" t="n">
        <f aca="false">IFERROR((AV23+AV26+AV29+AV32+AV35)/(AV24+AV27+AV30+AV33+AV36),0)</f>
        <v>0.403160453808752</v>
      </c>
      <c r="AW39" s="99" t="n">
        <f aca="false">IFERROR((AW23+AW26+AW29+AW32+AW35)/(AW24+AW27+AW30+AW33+AW36),0)</f>
        <v>0.403160453808752</v>
      </c>
      <c r="AX39" s="99" t="n">
        <f aca="false">IFERROR((AX23+AX26+AX29+AX32+AX35)/(AX24+AX27+AX30+AX33+AX36),0)</f>
        <v>0.403160453808752</v>
      </c>
      <c r="AY39" s="99" t="n">
        <f aca="false">IFERROR((AY23+AY26+AY29+AY32+AY35)/(AY24+AY27+AY30+AY33+AY36),0)</f>
        <v>0.403160453808752</v>
      </c>
      <c r="AZ39" s="99" t="n">
        <f aca="false">IFERROR((AZ23+AZ26+AZ29+AZ32+AZ35)/(AZ24+AZ27+AZ30+AZ33+AZ36),0)</f>
        <v>0.403160453808752</v>
      </c>
      <c r="BA39" s="99" t="n">
        <f aca="false">IFERROR((BA23+BA26+BA29+BA32+BA35)/(BA24+BA27+BA30+BA33+BA36),0)</f>
        <v>0.403160453808752</v>
      </c>
      <c r="BB39" s="98" t="n">
        <f aca="false">IFERROR(AVERAGE(BC39:BN39),0)</f>
        <v>0.367471513110043</v>
      </c>
      <c r="BC39" s="99" t="n">
        <f aca="false">IFERROR((BC23+BC26+BC29+BC32+BC35)/(BC24+BC27+BC30+BC33+BC36),0)</f>
        <v>0.368246302444914</v>
      </c>
      <c r="BD39" s="99" t="n">
        <f aca="false">IFERROR((BD23+BD26+BD29+BD32+BD35)/(BD24+BD27+BD30+BD33+BD36),0)</f>
        <v>0.368246302444914</v>
      </c>
      <c r="BE39" s="99" t="n">
        <f aca="false">IFERROR((BE23+BE26+BE29+BE32+BE35)/(BE24+BE27+BE30+BE33+BE36),0)</f>
        <v>0.368246302444914</v>
      </c>
      <c r="BF39" s="99" t="n">
        <f aca="false">IFERROR((BF23+BF26+BF29+BF32+BF35)/(BF24+BF27+BF30+BF33+BF36),0)</f>
        <v>0.368246302444914</v>
      </c>
      <c r="BG39" s="99" t="n">
        <f aca="false">IFERROR((BG23+BG26+BG29+BG32+BG35)/(BG24+BG27+BG30+BG33+BG36),0)</f>
        <v>0.368246302444914</v>
      </c>
      <c r="BH39" s="99" t="n">
        <f aca="false">IFERROR((BH23+BH26+BH29+BH32+BH35)/(BH24+BH27+BH30+BH33+BH36),0)</f>
        <v>0.368246302444914</v>
      </c>
      <c r="BI39" s="99" t="n">
        <f aca="false">IFERROR((BI23+BI26+BI29+BI32+BI35)/(BI24+BI27+BI30+BI33+BI36),0)</f>
        <v>0.366696723775173</v>
      </c>
      <c r="BJ39" s="99" t="n">
        <f aca="false">IFERROR((BJ23+BJ26+BJ29+BJ32+BJ35)/(BJ24+BJ27+BJ30+BJ33+BJ36),0)</f>
        <v>0.366696723775173</v>
      </c>
      <c r="BK39" s="99" t="n">
        <f aca="false">IFERROR((BK23+BK26+BK29+BK32+BK35)/(BK24+BK27+BK30+BK33+BK36),0)</f>
        <v>0.366696723775173</v>
      </c>
      <c r="BL39" s="99" t="n">
        <f aca="false">IFERROR((BL23+BL26+BL29+BL32+BL35)/(BL24+BL27+BL30+BL33+BL36),0)</f>
        <v>0.366696723775173</v>
      </c>
      <c r="BM39" s="99" t="n">
        <f aca="false">IFERROR((BM23+BM26+BM29+BM32+BM35)/(BM24+BM27+BM30+BM33+BM36),0)</f>
        <v>0.366696723775173</v>
      </c>
      <c r="BN39" s="99" t="n">
        <f aca="false">IFERROR((BN23+BN26+BN29+BN32+BN35)/(BN24+BN27+BN30+BN33+BN36),0)</f>
        <v>0.366696723775173</v>
      </c>
    </row>
    <row r="40" customFormat="false" ht="15" hidden="false" customHeight="false" outlineLevel="0" collapsed="false">
      <c r="A40" s="71" t="s">
        <v>690</v>
      </c>
    </row>
    <row r="42" customFormat="false" ht="16.5" hidden="false" customHeight="true" outlineLevel="0" collapsed="false">
      <c r="A42" s="15" t="s">
        <v>691</v>
      </c>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row>
    <row r="43" customFormat="false" ht="15" hidden="false" customHeight="true" outlineLevel="0" collapsed="false">
      <c r="A43" s="26" t="s">
        <v>481</v>
      </c>
      <c r="B43" s="61" t="s">
        <v>81</v>
      </c>
      <c r="C43" s="62" t="s">
        <v>482</v>
      </c>
      <c r="D43" s="62" t="s">
        <v>483</v>
      </c>
      <c r="E43" s="62" t="s">
        <v>484</v>
      </c>
      <c r="F43" s="62" t="s">
        <v>485</v>
      </c>
      <c r="G43" s="62" t="s">
        <v>486</v>
      </c>
      <c r="H43" s="62" t="s">
        <v>487</v>
      </c>
      <c r="I43" s="62" t="s">
        <v>488</v>
      </c>
      <c r="J43" s="62" t="s">
        <v>489</v>
      </c>
      <c r="K43" s="62" t="s">
        <v>490</v>
      </c>
      <c r="L43" s="62" t="s">
        <v>491</v>
      </c>
      <c r="M43" s="62" t="s">
        <v>492</v>
      </c>
      <c r="N43" s="62" t="s">
        <v>493</v>
      </c>
      <c r="O43" s="61" t="s">
        <v>82</v>
      </c>
      <c r="P43" s="63" t="s">
        <v>494</v>
      </c>
      <c r="Q43" s="63" t="s">
        <v>495</v>
      </c>
      <c r="R43" s="63" t="s">
        <v>496</v>
      </c>
      <c r="S43" s="63" t="s">
        <v>497</v>
      </c>
      <c r="T43" s="63" t="s">
        <v>498</v>
      </c>
      <c r="U43" s="63" t="s">
        <v>499</v>
      </c>
      <c r="V43" s="63" t="s">
        <v>500</v>
      </c>
      <c r="W43" s="63" t="s">
        <v>501</v>
      </c>
      <c r="X43" s="63" t="s">
        <v>502</v>
      </c>
      <c r="Y43" s="63" t="s">
        <v>503</v>
      </c>
      <c r="Z43" s="63" t="s">
        <v>504</v>
      </c>
      <c r="AA43" s="63" t="s">
        <v>505</v>
      </c>
      <c r="AB43" s="61" t="s">
        <v>83</v>
      </c>
      <c r="AC43" s="62" t="s">
        <v>506</v>
      </c>
      <c r="AD43" s="62" t="s">
        <v>507</v>
      </c>
      <c r="AE43" s="62" t="s">
        <v>508</v>
      </c>
      <c r="AF43" s="62" t="s">
        <v>509</v>
      </c>
      <c r="AG43" s="62" t="s">
        <v>510</v>
      </c>
      <c r="AH43" s="62" t="s">
        <v>511</v>
      </c>
      <c r="AI43" s="62" t="s">
        <v>512</v>
      </c>
      <c r="AJ43" s="62" t="s">
        <v>513</v>
      </c>
      <c r="AK43" s="62" t="s">
        <v>514</v>
      </c>
      <c r="AL43" s="62" t="s">
        <v>515</v>
      </c>
      <c r="AM43" s="62" t="s">
        <v>516</v>
      </c>
      <c r="AN43" s="62" t="s">
        <v>517</v>
      </c>
      <c r="AO43" s="61" t="s">
        <v>84</v>
      </c>
      <c r="AP43" s="63" t="s">
        <v>518</v>
      </c>
      <c r="AQ43" s="63" t="s">
        <v>519</v>
      </c>
      <c r="AR43" s="63" t="s">
        <v>520</v>
      </c>
      <c r="AS43" s="63" t="s">
        <v>521</v>
      </c>
      <c r="AT43" s="63" t="s">
        <v>522</v>
      </c>
      <c r="AU43" s="63" t="s">
        <v>523</v>
      </c>
      <c r="AV43" s="63" t="s">
        <v>524</v>
      </c>
      <c r="AW43" s="63" t="s">
        <v>525</v>
      </c>
      <c r="AX43" s="63" t="s">
        <v>526</v>
      </c>
      <c r="AY43" s="63" t="s">
        <v>527</v>
      </c>
      <c r="AZ43" s="63" t="s">
        <v>528</v>
      </c>
      <c r="BA43" s="63" t="s">
        <v>529</v>
      </c>
      <c r="BB43" s="61" t="s">
        <v>85</v>
      </c>
      <c r="BC43" s="62" t="s">
        <v>530</v>
      </c>
      <c r="BD43" s="62" t="s">
        <v>531</v>
      </c>
      <c r="BE43" s="62" t="s">
        <v>532</v>
      </c>
      <c r="BF43" s="62" t="s">
        <v>533</v>
      </c>
      <c r="BG43" s="62" t="s">
        <v>534</v>
      </c>
      <c r="BH43" s="62" t="s">
        <v>535</v>
      </c>
      <c r="BI43" s="62" t="s">
        <v>536</v>
      </c>
      <c r="BJ43" s="62" t="s">
        <v>537</v>
      </c>
      <c r="BK43" s="62" t="s">
        <v>538</v>
      </c>
      <c r="BL43" s="62" t="s">
        <v>539</v>
      </c>
      <c r="BM43" s="62" t="s">
        <v>540</v>
      </c>
      <c r="BN43" s="62" t="s">
        <v>541</v>
      </c>
    </row>
    <row r="44" customFormat="false" ht="15" hidden="false" customHeight="false" outlineLevel="0" collapsed="false">
      <c r="A44" s="12" t="s">
        <v>692</v>
      </c>
      <c r="B44" s="80" t="n">
        <f aca="false">SUM(C44:N44)</f>
        <v>138.569466499555</v>
      </c>
      <c r="C44" s="96" t="n">
        <f aca="false">Acquisitions!C$70+Acquisitions!C$75+Acquisitions!C$80+Acquisitions!C$85+Acquisitions!C$90+Acquisitions!C$95</f>
        <v>11.5474555416296</v>
      </c>
      <c r="D44" s="96" t="n">
        <f aca="false">Acquisitions!D$70+Acquisitions!D$75+Acquisitions!D$80+Acquisitions!D$85+Acquisitions!D$90+Acquisitions!D$95</f>
        <v>11.5474555416296</v>
      </c>
      <c r="E44" s="96" t="n">
        <f aca="false">Acquisitions!E$70+Acquisitions!E$75+Acquisitions!E$80+Acquisitions!E$85+Acquisitions!E$90+Acquisitions!E$95</f>
        <v>11.5474555416296</v>
      </c>
      <c r="F44" s="96" t="n">
        <f aca="false">Acquisitions!F$70+Acquisitions!F$75+Acquisitions!F$80+Acquisitions!F$85+Acquisitions!F$90+Acquisitions!F$95</f>
        <v>11.5474555416296</v>
      </c>
      <c r="G44" s="96" t="n">
        <f aca="false">Acquisitions!G$70+Acquisitions!G$75+Acquisitions!G$80+Acquisitions!G$85+Acquisitions!G$90+Acquisitions!G$95</f>
        <v>11.5474555416296</v>
      </c>
      <c r="H44" s="96" t="n">
        <f aca="false">Acquisitions!H$70+Acquisitions!H$75+Acquisitions!H$80+Acquisitions!H$85+Acquisitions!H$90+Acquisitions!H$95</f>
        <v>11.5474555416296</v>
      </c>
      <c r="I44" s="96" t="n">
        <f aca="false">Acquisitions!I$70+Acquisitions!I$75+Acquisitions!I$80+Acquisitions!I$85+Acquisitions!I$90+Acquisitions!I$95</f>
        <v>11.5474555416296</v>
      </c>
      <c r="J44" s="96" t="n">
        <f aca="false">Acquisitions!J$70+Acquisitions!J$75+Acquisitions!J$80+Acquisitions!J$85+Acquisitions!J$90+Acquisitions!J$95</f>
        <v>11.5474555416296</v>
      </c>
      <c r="K44" s="96" t="n">
        <f aca="false">Acquisitions!K$70+Acquisitions!K$75+Acquisitions!K$80+Acquisitions!K$85+Acquisitions!K$90+Acquisitions!K$95</f>
        <v>11.5474555416296</v>
      </c>
      <c r="L44" s="96" t="n">
        <f aca="false">Acquisitions!L$70+Acquisitions!L$75+Acquisitions!L$80+Acquisitions!L$85+Acquisitions!L$90+Acquisitions!L$95</f>
        <v>11.5474555416296</v>
      </c>
      <c r="M44" s="96" t="n">
        <f aca="false">Acquisitions!M$70+Acquisitions!M$75+Acquisitions!M$80+Acquisitions!M$85+Acquisitions!M$90+Acquisitions!M$95</f>
        <v>11.5474555416296</v>
      </c>
      <c r="N44" s="96" t="n">
        <f aca="false">Acquisitions!N$70+Acquisitions!N$75+Acquisitions!N$80+Acquisitions!N$85+Acquisitions!N$90+Acquisitions!N$95</f>
        <v>11.5474555416296</v>
      </c>
      <c r="O44" s="80" t="n">
        <f aca="false">SUM(P44:AA44)</f>
        <v>212.839155649611</v>
      </c>
      <c r="P44" s="96" t="n">
        <f aca="false">Acquisitions!P$70+Acquisitions!P$75+Acquisitions!P$80+Acquisitions!P$85+Acquisitions!P$90+Acquisitions!P$95</f>
        <v>17.7365963041343</v>
      </c>
      <c r="Q44" s="96" t="n">
        <f aca="false">Acquisitions!Q$70+Acquisitions!Q$75+Acquisitions!Q$80+Acquisitions!Q$85+Acquisitions!Q$90+Acquisitions!Q$95</f>
        <v>17.7365963041343</v>
      </c>
      <c r="R44" s="96" t="n">
        <f aca="false">Acquisitions!R$70+Acquisitions!R$75+Acquisitions!R$80+Acquisitions!R$85+Acquisitions!R$90+Acquisitions!R$95</f>
        <v>17.7365963041343</v>
      </c>
      <c r="S44" s="96" t="n">
        <f aca="false">Acquisitions!S$70+Acquisitions!S$75+Acquisitions!S$80+Acquisitions!S$85+Acquisitions!S$90+Acquisitions!S$95</f>
        <v>17.7365963041343</v>
      </c>
      <c r="T44" s="96" t="n">
        <f aca="false">Acquisitions!T$70+Acquisitions!T$75+Acquisitions!T$80+Acquisitions!T$85+Acquisitions!T$90+Acquisitions!T$95</f>
        <v>17.7365963041343</v>
      </c>
      <c r="U44" s="96" t="n">
        <f aca="false">Acquisitions!U$70+Acquisitions!U$75+Acquisitions!U$80+Acquisitions!U$85+Acquisitions!U$90+Acquisitions!U$95</f>
        <v>17.7365963041343</v>
      </c>
      <c r="V44" s="96" t="n">
        <f aca="false">Acquisitions!V$70+Acquisitions!V$75+Acquisitions!V$80+Acquisitions!V$85+Acquisitions!V$90+Acquisitions!V$95</f>
        <v>17.7365963041343</v>
      </c>
      <c r="W44" s="96" t="n">
        <f aca="false">Acquisitions!W$70+Acquisitions!W$75+Acquisitions!W$80+Acquisitions!W$85+Acquisitions!W$90+Acquisitions!W$95</f>
        <v>17.7365963041343</v>
      </c>
      <c r="X44" s="96" t="n">
        <f aca="false">Acquisitions!X$70+Acquisitions!X$75+Acquisitions!X$80+Acquisitions!X$85+Acquisitions!X$90+Acquisitions!X$95</f>
        <v>17.7365963041343</v>
      </c>
      <c r="Y44" s="96" t="n">
        <f aca="false">Acquisitions!Y$70+Acquisitions!Y$75+Acquisitions!Y$80+Acquisitions!Y$85+Acquisitions!Y$90+Acquisitions!Y$95</f>
        <v>17.7365963041343</v>
      </c>
      <c r="Z44" s="96" t="n">
        <f aca="false">Acquisitions!Z$70+Acquisitions!Z$75+Acquisitions!Z$80+Acquisitions!Z$85+Acquisitions!Z$90+Acquisitions!Z$95</f>
        <v>17.7365963041343</v>
      </c>
      <c r="AA44" s="96" t="n">
        <f aca="false">Acquisitions!AA$70+Acquisitions!AA$75+Acquisitions!AA$80+Acquisitions!AA$85+Acquisitions!AA$90+Acquisitions!AA$95</f>
        <v>17.7365963041343</v>
      </c>
      <c r="AB44" s="80" t="n">
        <f aca="false">SUM(AC44:AN44)</f>
        <v>319.217145569694</v>
      </c>
      <c r="AC44" s="96" t="n">
        <f aca="false">Acquisitions!AC$70+Acquisitions!AC$75+Acquisitions!AC$80+Acquisitions!AC$85+Acquisitions!AC$90+Acquisitions!AC$95</f>
        <v>26.6014287974745</v>
      </c>
      <c r="AD44" s="96" t="n">
        <f aca="false">Acquisitions!AD$70+Acquisitions!AD$75+Acquisitions!AD$80+Acquisitions!AD$85+Acquisitions!AD$90+Acquisitions!AD$95</f>
        <v>26.6014287974745</v>
      </c>
      <c r="AE44" s="96" t="n">
        <f aca="false">Acquisitions!AE$70+Acquisitions!AE$75+Acquisitions!AE$80+Acquisitions!AE$85+Acquisitions!AE$90+Acquisitions!AE$95</f>
        <v>26.6014287974745</v>
      </c>
      <c r="AF44" s="96" t="n">
        <f aca="false">Acquisitions!AF$70+Acquisitions!AF$75+Acquisitions!AF$80+Acquisitions!AF$85+Acquisitions!AF$90+Acquisitions!AF$95</f>
        <v>26.6014287974745</v>
      </c>
      <c r="AG44" s="96" t="n">
        <f aca="false">Acquisitions!AG$70+Acquisitions!AG$75+Acquisitions!AG$80+Acquisitions!AG$85+Acquisitions!AG$90+Acquisitions!AG$95</f>
        <v>26.6014287974745</v>
      </c>
      <c r="AH44" s="96" t="n">
        <f aca="false">Acquisitions!AH$70+Acquisitions!AH$75+Acquisitions!AH$80+Acquisitions!AH$85+Acquisitions!AH$90+Acquisitions!AH$95</f>
        <v>26.6014287974745</v>
      </c>
      <c r="AI44" s="96" t="n">
        <f aca="false">Acquisitions!AI$70+Acquisitions!AI$75+Acquisitions!AI$80+Acquisitions!AI$85+Acquisitions!AI$90+Acquisitions!AI$95</f>
        <v>26.6014287974745</v>
      </c>
      <c r="AJ44" s="96" t="n">
        <f aca="false">Acquisitions!AJ$70+Acquisitions!AJ$75+Acquisitions!AJ$80+Acquisitions!AJ$85+Acquisitions!AJ$90+Acquisitions!AJ$95</f>
        <v>26.6014287974745</v>
      </c>
      <c r="AK44" s="96" t="n">
        <f aca="false">Acquisitions!AK$70+Acquisitions!AK$75+Acquisitions!AK$80+Acquisitions!AK$85+Acquisitions!AK$90+Acquisitions!AK$95</f>
        <v>26.6014287974745</v>
      </c>
      <c r="AL44" s="96" t="n">
        <f aca="false">Acquisitions!AL$70+Acquisitions!AL$75+Acquisitions!AL$80+Acquisitions!AL$85+Acquisitions!AL$90+Acquisitions!AL$95</f>
        <v>26.6014287974745</v>
      </c>
      <c r="AM44" s="96" t="n">
        <f aca="false">Acquisitions!AM$70+Acquisitions!AM$75+Acquisitions!AM$80+Acquisitions!AM$85+Acquisitions!AM$90+Acquisitions!AM$95</f>
        <v>26.6014287974745</v>
      </c>
      <c r="AN44" s="96" t="n">
        <f aca="false">Acquisitions!AN$70+Acquisitions!AN$75+Acquisitions!AN$80+Acquisitions!AN$85+Acquisitions!AN$90+Acquisitions!AN$95</f>
        <v>26.6014287974745</v>
      </c>
      <c r="AO44" s="80" t="n">
        <f aca="false">SUM(AP44:BA44)</f>
        <v>413.98826112562</v>
      </c>
      <c r="AP44" s="96" t="n">
        <f aca="false">Acquisitions!AP$70+Acquisitions!AP$75+Acquisitions!AP$80+Acquisitions!AP$85+Acquisitions!AP$90+Acquisitions!AP$95</f>
        <v>34.4990217604683</v>
      </c>
      <c r="AQ44" s="96" t="n">
        <f aca="false">Acquisitions!AQ$70+Acquisitions!AQ$75+Acquisitions!AQ$80+Acquisitions!AQ$85+Acquisitions!AQ$90+Acquisitions!AQ$95</f>
        <v>34.4990217604683</v>
      </c>
      <c r="AR44" s="96" t="n">
        <f aca="false">Acquisitions!AR$70+Acquisitions!AR$75+Acquisitions!AR$80+Acquisitions!AR$85+Acquisitions!AR$90+Acquisitions!AR$95</f>
        <v>34.4990217604683</v>
      </c>
      <c r="AS44" s="96" t="n">
        <f aca="false">Acquisitions!AS$70+Acquisitions!AS$75+Acquisitions!AS$80+Acquisitions!AS$85+Acquisitions!AS$90+Acquisitions!AS$95</f>
        <v>34.4990217604683</v>
      </c>
      <c r="AT44" s="96" t="n">
        <f aca="false">Acquisitions!AT$70+Acquisitions!AT$75+Acquisitions!AT$80+Acquisitions!AT$85+Acquisitions!AT$90+Acquisitions!AT$95</f>
        <v>34.4990217604683</v>
      </c>
      <c r="AU44" s="96" t="n">
        <f aca="false">Acquisitions!AU$70+Acquisitions!AU$75+Acquisitions!AU$80+Acquisitions!AU$85+Acquisitions!AU$90+Acquisitions!AU$95</f>
        <v>34.4990217604683</v>
      </c>
      <c r="AV44" s="96" t="n">
        <f aca="false">Acquisitions!AV$70+Acquisitions!AV$75+Acquisitions!AV$80+Acquisitions!AV$85+Acquisitions!AV$90+Acquisitions!AV$95</f>
        <v>34.4990217604683</v>
      </c>
      <c r="AW44" s="96" t="n">
        <f aca="false">Acquisitions!AW$70+Acquisitions!AW$75+Acquisitions!AW$80+Acquisitions!AW$85+Acquisitions!AW$90+Acquisitions!AW$95</f>
        <v>34.4990217604683</v>
      </c>
      <c r="AX44" s="96" t="n">
        <f aca="false">Acquisitions!AX$70+Acquisitions!AX$75+Acquisitions!AX$80+Acquisitions!AX$85+Acquisitions!AX$90+Acquisitions!AX$95</f>
        <v>34.4990217604683</v>
      </c>
      <c r="AY44" s="96" t="n">
        <f aca="false">Acquisitions!AY$70+Acquisitions!AY$75+Acquisitions!AY$80+Acquisitions!AY$85+Acquisitions!AY$90+Acquisitions!AY$95</f>
        <v>34.4990217604683</v>
      </c>
      <c r="AZ44" s="96" t="n">
        <f aca="false">Acquisitions!AZ$70+Acquisitions!AZ$75+Acquisitions!AZ$80+Acquisitions!AZ$85+Acquisitions!AZ$90+Acquisitions!AZ$95</f>
        <v>34.4990217604683</v>
      </c>
      <c r="BA44" s="96" t="n">
        <f aca="false">Acquisitions!BA$70+Acquisitions!BA$75+Acquisitions!BA$80+Acquisitions!BA$85+Acquisitions!BA$90+Acquisitions!BA$95</f>
        <v>34.4990217604683</v>
      </c>
      <c r="BB44" s="80" t="n">
        <f aca="false">SUM(BC44:BN44)</f>
        <v>508.584777221678</v>
      </c>
      <c r="BC44" s="96" t="n">
        <f aca="false">Acquisitions!BC$70+Acquisitions!BC$75+Acquisitions!BC$80+Acquisitions!BC$85+Acquisitions!BC$90+Acquisitions!BC$95</f>
        <v>42.3820647684731</v>
      </c>
      <c r="BD44" s="96" t="n">
        <f aca="false">Acquisitions!BD$70+Acquisitions!BD$75+Acquisitions!BD$80+Acquisitions!BD$85+Acquisitions!BD$90+Acquisitions!BD$95</f>
        <v>42.3820647684731</v>
      </c>
      <c r="BE44" s="96" t="n">
        <f aca="false">Acquisitions!BE$70+Acquisitions!BE$75+Acquisitions!BE$80+Acquisitions!BE$85+Acquisitions!BE$90+Acquisitions!BE$95</f>
        <v>42.3820647684731</v>
      </c>
      <c r="BF44" s="96" t="n">
        <f aca="false">Acquisitions!BF$70+Acquisitions!BF$75+Acquisitions!BF$80+Acquisitions!BF$85+Acquisitions!BF$90+Acquisitions!BF$95</f>
        <v>42.3820647684731</v>
      </c>
      <c r="BG44" s="96" t="n">
        <f aca="false">Acquisitions!BG$70+Acquisitions!BG$75+Acquisitions!BG$80+Acquisitions!BG$85+Acquisitions!BG$90+Acquisitions!BG$95</f>
        <v>42.3820647684731</v>
      </c>
      <c r="BH44" s="96" t="n">
        <f aca="false">Acquisitions!BH$70+Acquisitions!BH$75+Acquisitions!BH$80+Acquisitions!BH$85+Acquisitions!BH$90+Acquisitions!BH$95</f>
        <v>42.3820647684731</v>
      </c>
      <c r="BI44" s="96" t="n">
        <f aca="false">Acquisitions!BI$70+Acquisitions!BI$75+Acquisitions!BI$80+Acquisitions!BI$85+Acquisitions!BI$90+Acquisitions!BI$95</f>
        <v>42.3820647684731</v>
      </c>
      <c r="BJ44" s="96" t="n">
        <f aca="false">Acquisitions!BJ$70+Acquisitions!BJ$75+Acquisitions!BJ$80+Acquisitions!BJ$85+Acquisitions!BJ$90+Acquisitions!BJ$95</f>
        <v>42.3820647684731</v>
      </c>
      <c r="BK44" s="96" t="n">
        <f aca="false">Acquisitions!BK$70+Acquisitions!BK$75+Acquisitions!BK$80+Acquisitions!BK$85+Acquisitions!BK$90+Acquisitions!BK$95</f>
        <v>42.3820647684731</v>
      </c>
      <c r="BL44" s="96" t="n">
        <f aca="false">Acquisitions!BL$70+Acquisitions!BL$75+Acquisitions!BL$80+Acquisitions!BL$85+Acquisitions!BL$90+Acquisitions!BL$95</f>
        <v>42.3820647684731</v>
      </c>
      <c r="BM44" s="96" t="n">
        <f aca="false">Acquisitions!BM$70+Acquisitions!BM$75+Acquisitions!BM$80+Acquisitions!BM$85+Acquisitions!BM$90+Acquisitions!BM$95</f>
        <v>42.3820647684731</v>
      </c>
      <c r="BN44" s="96" t="n">
        <f aca="false">Acquisitions!BN$70+Acquisitions!BN$75+Acquisitions!BN$80+Acquisitions!BN$85+Acquisitions!BN$90+Acquisitions!BN$95</f>
        <v>42.3820647684731</v>
      </c>
    </row>
    <row r="45" customFormat="false" ht="15" hidden="false" customHeight="false" outlineLevel="0" collapsed="false">
      <c r="A45" s="12" t="s">
        <v>693</v>
      </c>
      <c r="B45" s="80" t="n">
        <f aca="false">SUM(C45:N45)</f>
        <v>600</v>
      </c>
      <c r="C45" s="81" t="n">
        <f aca="false">Payroll!C$67*'Assumption Setting'!$C$88+Payroll!C$71*'Assumption Setting'!$C$89+Payroll!C$73*'Assumption Setting'!$C$90</f>
        <v>50</v>
      </c>
      <c r="D45" s="81" t="n">
        <f aca="false">Payroll!D$67*'Assumption Setting'!$C$88+Payroll!D$71*'Assumption Setting'!$C$89+Payroll!D$73*'Assumption Setting'!$C$90</f>
        <v>50</v>
      </c>
      <c r="E45" s="81" t="n">
        <f aca="false">Payroll!E$67*'Assumption Setting'!$C$88+Payroll!E$71*'Assumption Setting'!$C$89+Payroll!E$73*'Assumption Setting'!$C$90</f>
        <v>50</v>
      </c>
      <c r="F45" s="81" t="n">
        <f aca="false">Payroll!F$67*'Assumption Setting'!$C$88+Payroll!F$71*'Assumption Setting'!$C$89+Payroll!F$73*'Assumption Setting'!$C$90</f>
        <v>50</v>
      </c>
      <c r="G45" s="81" t="n">
        <f aca="false">Payroll!G$67*'Assumption Setting'!$C$88+Payroll!G$71*'Assumption Setting'!$C$89+Payroll!G$73*'Assumption Setting'!$C$90</f>
        <v>50</v>
      </c>
      <c r="H45" s="81" t="n">
        <f aca="false">Payroll!H$67*'Assumption Setting'!$C$88+Payroll!H$71*'Assumption Setting'!$C$89+Payroll!H$73*'Assumption Setting'!$C$90</f>
        <v>50</v>
      </c>
      <c r="I45" s="81" t="n">
        <f aca="false">Payroll!I$67*'Assumption Setting'!$C$88+Payroll!I$71*'Assumption Setting'!$C$89+Payroll!I$73*'Assumption Setting'!$C$90</f>
        <v>50</v>
      </c>
      <c r="J45" s="81" t="n">
        <f aca="false">Payroll!J$67*'Assumption Setting'!$C$88+Payroll!J$71*'Assumption Setting'!$C$89+Payroll!J$73*'Assumption Setting'!$C$90</f>
        <v>50</v>
      </c>
      <c r="K45" s="81" t="n">
        <f aca="false">Payroll!K$67*'Assumption Setting'!$C$88+Payroll!K$71*'Assumption Setting'!$C$89+Payroll!K$73*'Assumption Setting'!$C$90</f>
        <v>50</v>
      </c>
      <c r="L45" s="81" t="n">
        <f aca="false">Payroll!L$67*'Assumption Setting'!$C$88+Payroll!L$71*'Assumption Setting'!$C$89+Payroll!L$73*'Assumption Setting'!$C$90</f>
        <v>50</v>
      </c>
      <c r="M45" s="81" t="n">
        <f aca="false">Payroll!M$67*'Assumption Setting'!$C$88+Payroll!M$71*'Assumption Setting'!$C$89+Payroll!M$73*'Assumption Setting'!$C$90</f>
        <v>50</v>
      </c>
      <c r="N45" s="81" t="n">
        <f aca="false">Payroll!N$67*'Assumption Setting'!$C$88+Payroll!N$71*'Assumption Setting'!$C$89+Payroll!N$73*'Assumption Setting'!$C$90</f>
        <v>50</v>
      </c>
      <c r="O45" s="80" t="n">
        <f aca="false">SUM(P45:AA45)</f>
        <v>768</v>
      </c>
      <c r="P45" s="81" t="n">
        <f aca="false">Payroll!P$67*'Assumption Setting'!$C$88+Payroll!P$71*'Assumption Setting'!$C$89+Payroll!P$73*'Assumption Setting'!$C$90</f>
        <v>64</v>
      </c>
      <c r="Q45" s="81" t="n">
        <f aca="false">Payroll!Q$67*'Assumption Setting'!$C$88+Payroll!Q$71*'Assumption Setting'!$C$89+Payroll!Q$73*'Assumption Setting'!$C$90</f>
        <v>64</v>
      </c>
      <c r="R45" s="81" t="n">
        <f aca="false">Payroll!R$67*'Assumption Setting'!$C$88+Payroll!R$71*'Assumption Setting'!$C$89+Payroll!R$73*'Assumption Setting'!$C$90</f>
        <v>64</v>
      </c>
      <c r="S45" s="81" t="n">
        <f aca="false">Payroll!S$67*'Assumption Setting'!$C$88+Payroll!S$71*'Assumption Setting'!$C$89+Payroll!S$73*'Assumption Setting'!$C$90</f>
        <v>64</v>
      </c>
      <c r="T45" s="81" t="n">
        <f aca="false">Payroll!T$67*'Assumption Setting'!$C$88+Payroll!T$71*'Assumption Setting'!$C$89+Payroll!T$73*'Assumption Setting'!$C$90</f>
        <v>64</v>
      </c>
      <c r="U45" s="81" t="n">
        <f aca="false">Payroll!U$67*'Assumption Setting'!$C$88+Payroll!U$71*'Assumption Setting'!$C$89+Payroll!U$73*'Assumption Setting'!$C$90</f>
        <v>64</v>
      </c>
      <c r="V45" s="81" t="n">
        <f aca="false">Payroll!V$67*'Assumption Setting'!$C$88+Payroll!V$71*'Assumption Setting'!$C$89+Payroll!V$73*'Assumption Setting'!$C$90</f>
        <v>64</v>
      </c>
      <c r="W45" s="81" t="n">
        <f aca="false">Payroll!W$67*'Assumption Setting'!$C$88+Payroll!W$71*'Assumption Setting'!$C$89+Payroll!W$73*'Assumption Setting'!$C$90</f>
        <v>64</v>
      </c>
      <c r="X45" s="81" t="n">
        <f aca="false">Payroll!X$67*'Assumption Setting'!$C$88+Payroll!X$71*'Assumption Setting'!$C$89+Payroll!X$73*'Assumption Setting'!$C$90</f>
        <v>64</v>
      </c>
      <c r="Y45" s="81" t="n">
        <f aca="false">Payroll!Y$67*'Assumption Setting'!$C$88+Payroll!Y$71*'Assumption Setting'!$C$89+Payroll!Y$73*'Assumption Setting'!$C$90</f>
        <v>64</v>
      </c>
      <c r="Z45" s="81" t="n">
        <f aca="false">Payroll!Z$67*'Assumption Setting'!$C$88+Payroll!Z$71*'Assumption Setting'!$C$89+Payroll!Z$73*'Assumption Setting'!$C$90</f>
        <v>64</v>
      </c>
      <c r="AA45" s="81" t="n">
        <f aca="false">Payroll!AA$67*'Assumption Setting'!$C$88+Payroll!AA$71*'Assumption Setting'!$C$89+Payroll!AA$73*'Assumption Setting'!$C$90</f>
        <v>64</v>
      </c>
      <c r="AB45" s="80" t="n">
        <f aca="false">SUM(AC45:AN45)</f>
        <v>936</v>
      </c>
      <c r="AC45" s="81" t="n">
        <f aca="false">Payroll!AC$67*'Assumption Setting'!$C$88+Payroll!AC$71*'Assumption Setting'!$C$89+Payroll!AC$73*'Assumption Setting'!$C$90</f>
        <v>78</v>
      </c>
      <c r="AD45" s="81" t="n">
        <f aca="false">Payroll!AD$67*'Assumption Setting'!$C$88+Payroll!AD$71*'Assumption Setting'!$C$89+Payroll!AD$73*'Assumption Setting'!$C$90</f>
        <v>78</v>
      </c>
      <c r="AE45" s="81" t="n">
        <f aca="false">Payroll!AE$67*'Assumption Setting'!$C$88+Payroll!AE$71*'Assumption Setting'!$C$89+Payroll!AE$73*'Assumption Setting'!$C$90</f>
        <v>78</v>
      </c>
      <c r="AF45" s="81" t="n">
        <f aca="false">Payroll!AF$67*'Assumption Setting'!$C$88+Payroll!AF$71*'Assumption Setting'!$C$89+Payroll!AF$73*'Assumption Setting'!$C$90</f>
        <v>78</v>
      </c>
      <c r="AG45" s="81" t="n">
        <f aca="false">Payroll!AG$67*'Assumption Setting'!$C$88+Payroll!AG$71*'Assumption Setting'!$C$89+Payroll!AG$73*'Assumption Setting'!$C$90</f>
        <v>78</v>
      </c>
      <c r="AH45" s="81" t="n">
        <f aca="false">Payroll!AH$67*'Assumption Setting'!$C$88+Payroll!AH$71*'Assumption Setting'!$C$89+Payroll!AH$73*'Assumption Setting'!$C$90</f>
        <v>78</v>
      </c>
      <c r="AI45" s="81" t="n">
        <f aca="false">Payroll!AI$67*'Assumption Setting'!$C$88+Payroll!AI$71*'Assumption Setting'!$C$89+Payroll!AI$73*'Assumption Setting'!$C$90</f>
        <v>78</v>
      </c>
      <c r="AJ45" s="81" t="n">
        <f aca="false">Payroll!AJ$67*'Assumption Setting'!$C$88+Payroll!AJ$71*'Assumption Setting'!$C$89+Payroll!AJ$73*'Assumption Setting'!$C$90</f>
        <v>78</v>
      </c>
      <c r="AK45" s="81" t="n">
        <f aca="false">Payroll!AK$67*'Assumption Setting'!$C$88+Payroll!AK$71*'Assumption Setting'!$C$89+Payroll!AK$73*'Assumption Setting'!$C$90</f>
        <v>78</v>
      </c>
      <c r="AL45" s="81" t="n">
        <f aca="false">Payroll!AL$67*'Assumption Setting'!$C$88+Payroll!AL$71*'Assumption Setting'!$C$89+Payroll!AL$73*'Assumption Setting'!$C$90</f>
        <v>78</v>
      </c>
      <c r="AM45" s="81" t="n">
        <f aca="false">Payroll!AM$67*'Assumption Setting'!$C$88+Payroll!AM$71*'Assumption Setting'!$C$89+Payroll!AM$73*'Assumption Setting'!$C$90</f>
        <v>78</v>
      </c>
      <c r="AN45" s="81" t="n">
        <f aca="false">Payroll!AN$67*'Assumption Setting'!$C$88+Payroll!AN$71*'Assumption Setting'!$C$89+Payroll!AN$73*'Assumption Setting'!$C$90</f>
        <v>78</v>
      </c>
      <c r="AO45" s="80" t="n">
        <f aca="false">SUM(AP45:BA45)</f>
        <v>1272</v>
      </c>
      <c r="AP45" s="81" t="n">
        <f aca="false">Payroll!AP$67*'Assumption Setting'!$C$88+Payroll!AP$71*'Assumption Setting'!$C$89+Payroll!AP$73*'Assumption Setting'!$C$90</f>
        <v>106</v>
      </c>
      <c r="AQ45" s="81" t="n">
        <f aca="false">Payroll!AQ$67*'Assumption Setting'!$C$88+Payroll!AQ$71*'Assumption Setting'!$C$89+Payroll!AQ$73*'Assumption Setting'!$C$90</f>
        <v>106</v>
      </c>
      <c r="AR45" s="81" t="n">
        <f aca="false">Payroll!AR$67*'Assumption Setting'!$C$88+Payroll!AR$71*'Assumption Setting'!$C$89+Payroll!AR$73*'Assumption Setting'!$C$90</f>
        <v>106</v>
      </c>
      <c r="AS45" s="81" t="n">
        <f aca="false">Payroll!AS$67*'Assumption Setting'!$C$88+Payroll!AS$71*'Assumption Setting'!$C$89+Payroll!AS$73*'Assumption Setting'!$C$90</f>
        <v>106</v>
      </c>
      <c r="AT45" s="81" t="n">
        <f aca="false">Payroll!AT$67*'Assumption Setting'!$C$88+Payroll!AT$71*'Assumption Setting'!$C$89+Payroll!AT$73*'Assumption Setting'!$C$90</f>
        <v>106</v>
      </c>
      <c r="AU45" s="81" t="n">
        <f aca="false">Payroll!AU$67*'Assumption Setting'!$C$88+Payroll!AU$71*'Assumption Setting'!$C$89+Payroll!AU$73*'Assumption Setting'!$C$90</f>
        <v>106</v>
      </c>
      <c r="AV45" s="81" t="n">
        <f aca="false">Payroll!AV$67*'Assumption Setting'!$C$88+Payroll!AV$71*'Assumption Setting'!$C$89+Payroll!AV$73*'Assumption Setting'!$C$90</f>
        <v>106</v>
      </c>
      <c r="AW45" s="81" t="n">
        <f aca="false">Payroll!AW$67*'Assumption Setting'!$C$88+Payroll!AW$71*'Assumption Setting'!$C$89+Payroll!AW$73*'Assumption Setting'!$C$90</f>
        <v>106</v>
      </c>
      <c r="AX45" s="81" t="n">
        <f aca="false">Payroll!AX$67*'Assumption Setting'!$C$88+Payroll!AX$71*'Assumption Setting'!$C$89+Payroll!AX$73*'Assumption Setting'!$C$90</f>
        <v>106</v>
      </c>
      <c r="AY45" s="81" t="n">
        <f aca="false">Payroll!AY$67*'Assumption Setting'!$C$88+Payroll!AY$71*'Assumption Setting'!$C$89+Payroll!AY$73*'Assumption Setting'!$C$90</f>
        <v>106</v>
      </c>
      <c r="AZ45" s="81" t="n">
        <f aca="false">Payroll!AZ$67*'Assumption Setting'!$C$88+Payroll!AZ$71*'Assumption Setting'!$C$89+Payroll!AZ$73*'Assumption Setting'!$C$90</f>
        <v>106</v>
      </c>
      <c r="BA45" s="81" t="n">
        <f aca="false">Payroll!BA$67*'Assumption Setting'!$C$88+Payroll!BA$71*'Assumption Setting'!$C$89+Payroll!BA$73*'Assumption Setting'!$C$90</f>
        <v>106</v>
      </c>
      <c r="BB45" s="80" t="n">
        <f aca="false">SUM(BC45:BN45)</f>
        <v>1656</v>
      </c>
      <c r="BC45" s="81" t="n">
        <f aca="false">Payroll!BC$67*'Assumption Setting'!$C$88+Payroll!BC$71*'Assumption Setting'!$C$89+Payroll!BC$73*'Assumption Setting'!$C$90</f>
        <v>138</v>
      </c>
      <c r="BD45" s="81" t="n">
        <f aca="false">Payroll!BD$67*'Assumption Setting'!$C$88+Payroll!BD$71*'Assumption Setting'!$C$89+Payroll!BD$73*'Assumption Setting'!$C$90</f>
        <v>138</v>
      </c>
      <c r="BE45" s="81" t="n">
        <f aca="false">Payroll!BE$67*'Assumption Setting'!$C$88+Payroll!BE$71*'Assumption Setting'!$C$89+Payroll!BE$73*'Assumption Setting'!$C$90</f>
        <v>138</v>
      </c>
      <c r="BF45" s="81" t="n">
        <f aca="false">Payroll!BF$67*'Assumption Setting'!$C$88+Payroll!BF$71*'Assumption Setting'!$C$89+Payroll!BF$73*'Assumption Setting'!$C$90</f>
        <v>138</v>
      </c>
      <c r="BG45" s="81" t="n">
        <f aca="false">Payroll!BG$67*'Assumption Setting'!$C$88+Payroll!BG$71*'Assumption Setting'!$C$89+Payroll!BG$73*'Assumption Setting'!$C$90</f>
        <v>138</v>
      </c>
      <c r="BH45" s="81" t="n">
        <f aca="false">Payroll!BH$67*'Assumption Setting'!$C$88+Payroll!BH$71*'Assumption Setting'!$C$89+Payroll!BH$73*'Assumption Setting'!$C$90</f>
        <v>138</v>
      </c>
      <c r="BI45" s="81" t="n">
        <f aca="false">Payroll!BI$67*'Assumption Setting'!$C$88+Payroll!BI$71*'Assumption Setting'!$C$89+Payroll!BI$73*'Assumption Setting'!$C$90</f>
        <v>138</v>
      </c>
      <c r="BJ45" s="81" t="n">
        <f aca="false">Payroll!BJ$67*'Assumption Setting'!$C$88+Payroll!BJ$71*'Assumption Setting'!$C$89+Payroll!BJ$73*'Assumption Setting'!$C$90</f>
        <v>138</v>
      </c>
      <c r="BK45" s="81" t="n">
        <f aca="false">Payroll!BK$67*'Assumption Setting'!$C$88+Payroll!BK$71*'Assumption Setting'!$C$89+Payroll!BK$73*'Assumption Setting'!$C$90</f>
        <v>138</v>
      </c>
      <c r="BL45" s="81" t="n">
        <f aca="false">Payroll!BL$67*'Assumption Setting'!$C$88+Payroll!BL$71*'Assumption Setting'!$C$89+Payroll!BL$73*'Assumption Setting'!$C$90</f>
        <v>138</v>
      </c>
      <c r="BM45" s="81" t="n">
        <f aca="false">Payroll!BM$67*'Assumption Setting'!$C$88+Payroll!BM$71*'Assumption Setting'!$C$89+Payroll!BM$73*'Assumption Setting'!$C$90</f>
        <v>138</v>
      </c>
      <c r="BN45" s="81" t="n">
        <f aca="false">Payroll!BN$67*'Assumption Setting'!$C$88+Payroll!BN$71*'Assumption Setting'!$C$89+Payroll!BN$73*'Assumption Setting'!$C$90</f>
        <v>138</v>
      </c>
    </row>
    <row r="46" customFormat="false" ht="15" hidden="false" customHeight="false" outlineLevel="0" collapsed="false">
      <c r="A46" s="18" t="s">
        <v>694</v>
      </c>
      <c r="B46" s="80" t="n">
        <f aca="false">MAX(C46:N46)</f>
        <v>0</v>
      </c>
      <c r="C46" s="100" t="n">
        <f aca="false">MAX(0,C44-C45)</f>
        <v>0</v>
      </c>
      <c r="D46" s="100" t="n">
        <f aca="false">MAX(0,D44-D45)</f>
        <v>0</v>
      </c>
      <c r="E46" s="100" t="n">
        <f aca="false">MAX(0,E44-E45)</f>
        <v>0</v>
      </c>
      <c r="F46" s="100" t="n">
        <f aca="false">MAX(0,F44-F45)</f>
        <v>0</v>
      </c>
      <c r="G46" s="100" t="n">
        <f aca="false">MAX(0,G44-G45)</f>
        <v>0</v>
      </c>
      <c r="H46" s="100" t="n">
        <f aca="false">MAX(0,H44-H45)</f>
        <v>0</v>
      </c>
      <c r="I46" s="100" t="n">
        <f aca="false">MAX(0,I44-I45)</f>
        <v>0</v>
      </c>
      <c r="J46" s="100" t="n">
        <f aca="false">MAX(0,J44-J45)</f>
        <v>0</v>
      </c>
      <c r="K46" s="100" t="n">
        <f aca="false">MAX(0,K44-K45)</f>
        <v>0</v>
      </c>
      <c r="L46" s="100" t="n">
        <f aca="false">MAX(0,L44-L45)</f>
        <v>0</v>
      </c>
      <c r="M46" s="100" t="n">
        <f aca="false">MAX(0,M44-M45)</f>
        <v>0</v>
      </c>
      <c r="N46" s="100" t="n">
        <f aca="false">MAX(0,N44-N45)</f>
        <v>0</v>
      </c>
      <c r="O46" s="80" t="n">
        <f aca="false">MAX(P46:AA46)</f>
        <v>0</v>
      </c>
      <c r="P46" s="100" t="n">
        <f aca="false">MAX(0,P44-P45)</f>
        <v>0</v>
      </c>
      <c r="Q46" s="100" t="n">
        <f aca="false">MAX(0,Q44-Q45)</f>
        <v>0</v>
      </c>
      <c r="R46" s="100" t="n">
        <f aca="false">MAX(0,R44-R45)</f>
        <v>0</v>
      </c>
      <c r="S46" s="100" t="n">
        <f aca="false">MAX(0,S44-S45)</f>
        <v>0</v>
      </c>
      <c r="T46" s="100" t="n">
        <f aca="false">MAX(0,T44-T45)</f>
        <v>0</v>
      </c>
      <c r="U46" s="100" t="n">
        <f aca="false">MAX(0,U44-U45)</f>
        <v>0</v>
      </c>
      <c r="V46" s="100" t="n">
        <f aca="false">MAX(0,V44-V45)</f>
        <v>0</v>
      </c>
      <c r="W46" s="100" t="n">
        <f aca="false">MAX(0,W44-W45)</f>
        <v>0</v>
      </c>
      <c r="X46" s="100" t="n">
        <f aca="false">MAX(0,X44-X45)</f>
        <v>0</v>
      </c>
      <c r="Y46" s="100" t="n">
        <f aca="false">MAX(0,Y44-Y45)</f>
        <v>0</v>
      </c>
      <c r="Z46" s="100" t="n">
        <f aca="false">MAX(0,Z44-Z45)</f>
        <v>0</v>
      </c>
      <c r="AA46" s="100" t="n">
        <f aca="false">MAX(0,AA44-AA45)</f>
        <v>0</v>
      </c>
      <c r="AB46" s="80" t="n">
        <f aca="false">MAX(AC46:AN46)</f>
        <v>0</v>
      </c>
      <c r="AC46" s="100" t="n">
        <f aca="false">MAX(0,AC44-AC45)</f>
        <v>0</v>
      </c>
      <c r="AD46" s="100" t="n">
        <f aca="false">MAX(0,AD44-AD45)</f>
        <v>0</v>
      </c>
      <c r="AE46" s="100" t="n">
        <f aca="false">MAX(0,AE44-AE45)</f>
        <v>0</v>
      </c>
      <c r="AF46" s="100" t="n">
        <f aca="false">MAX(0,AF44-AF45)</f>
        <v>0</v>
      </c>
      <c r="AG46" s="100" t="n">
        <f aca="false">MAX(0,AG44-AG45)</f>
        <v>0</v>
      </c>
      <c r="AH46" s="100" t="n">
        <f aca="false">MAX(0,AH44-AH45)</f>
        <v>0</v>
      </c>
      <c r="AI46" s="100" t="n">
        <f aca="false">MAX(0,AI44-AI45)</f>
        <v>0</v>
      </c>
      <c r="AJ46" s="100" t="n">
        <f aca="false">MAX(0,AJ44-AJ45)</f>
        <v>0</v>
      </c>
      <c r="AK46" s="100" t="n">
        <f aca="false">MAX(0,AK44-AK45)</f>
        <v>0</v>
      </c>
      <c r="AL46" s="100" t="n">
        <f aca="false">MAX(0,AL44-AL45)</f>
        <v>0</v>
      </c>
      <c r="AM46" s="100" t="n">
        <f aca="false">MAX(0,AM44-AM45)</f>
        <v>0</v>
      </c>
      <c r="AN46" s="100" t="n">
        <f aca="false">MAX(0,AN44-AN45)</f>
        <v>0</v>
      </c>
      <c r="AO46" s="80" t="n">
        <f aca="false">MAX(AP46:BA46)</f>
        <v>0</v>
      </c>
      <c r="AP46" s="100" t="n">
        <f aca="false">MAX(0,AP44-AP45)</f>
        <v>0</v>
      </c>
      <c r="AQ46" s="100" t="n">
        <f aca="false">MAX(0,AQ44-AQ45)</f>
        <v>0</v>
      </c>
      <c r="AR46" s="100" t="n">
        <f aca="false">MAX(0,AR44-AR45)</f>
        <v>0</v>
      </c>
      <c r="AS46" s="100" t="n">
        <f aca="false">MAX(0,AS44-AS45)</f>
        <v>0</v>
      </c>
      <c r="AT46" s="100" t="n">
        <f aca="false">MAX(0,AT44-AT45)</f>
        <v>0</v>
      </c>
      <c r="AU46" s="100" t="n">
        <f aca="false">MAX(0,AU44-AU45)</f>
        <v>0</v>
      </c>
      <c r="AV46" s="100" t="n">
        <f aca="false">MAX(0,AV44-AV45)</f>
        <v>0</v>
      </c>
      <c r="AW46" s="100" t="n">
        <f aca="false">MAX(0,AW44-AW45)</f>
        <v>0</v>
      </c>
      <c r="AX46" s="100" t="n">
        <f aca="false">MAX(0,AX44-AX45)</f>
        <v>0</v>
      </c>
      <c r="AY46" s="100" t="n">
        <f aca="false">MAX(0,AY44-AY45)</f>
        <v>0</v>
      </c>
      <c r="AZ46" s="100" t="n">
        <f aca="false">MAX(0,AZ44-AZ45)</f>
        <v>0</v>
      </c>
      <c r="BA46" s="100" t="n">
        <f aca="false">MAX(0,BA44-BA45)</f>
        <v>0</v>
      </c>
      <c r="BB46" s="80" t="n">
        <f aca="false">MAX(BC46:BN46)</f>
        <v>0</v>
      </c>
      <c r="BC46" s="100" t="n">
        <f aca="false">MAX(0,BC44-BC45)</f>
        <v>0</v>
      </c>
      <c r="BD46" s="100" t="n">
        <f aca="false">MAX(0,BD44-BD45)</f>
        <v>0</v>
      </c>
      <c r="BE46" s="100" t="n">
        <f aca="false">MAX(0,BE44-BE45)</f>
        <v>0</v>
      </c>
      <c r="BF46" s="100" t="n">
        <f aca="false">MAX(0,BF44-BF45)</f>
        <v>0</v>
      </c>
      <c r="BG46" s="100" t="n">
        <f aca="false">MAX(0,BG44-BG45)</f>
        <v>0</v>
      </c>
      <c r="BH46" s="100" t="n">
        <f aca="false">MAX(0,BH44-BH45)</f>
        <v>0</v>
      </c>
      <c r="BI46" s="100" t="n">
        <f aca="false">MAX(0,BI44-BI45)</f>
        <v>0</v>
      </c>
      <c r="BJ46" s="100" t="n">
        <f aca="false">MAX(0,BJ44-BJ45)</f>
        <v>0</v>
      </c>
      <c r="BK46" s="100" t="n">
        <f aca="false">MAX(0,BK44-BK45)</f>
        <v>0</v>
      </c>
      <c r="BL46" s="100" t="n">
        <f aca="false">MAX(0,BL44-BL45)</f>
        <v>0</v>
      </c>
      <c r="BM46" s="100" t="n">
        <f aca="false">MAX(0,BM44-BM45)</f>
        <v>0</v>
      </c>
      <c r="BN46" s="100" t="n">
        <f aca="false">MAX(0,BN44-BN45)</f>
        <v>0</v>
      </c>
    </row>
    <row r="47" customFormat="false" ht="15" hidden="false" customHeight="false" outlineLevel="0" collapsed="false">
      <c r="A47" s="66" t="s">
        <v>695</v>
      </c>
      <c r="B47" s="98" t="n">
        <f aca="false">IFERROR(AVERAGE(C47:N47),0)</f>
        <v>0.230949110832591</v>
      </c>
      <c r="C47" s="99" t="n">
        <f aca="false">IFERROR(C44/C45,0)</f>
        <v>0.230949110832591</v>
      </c>
      <c r="D47" s="99" t="n">
        <f aca="false">IFERROR(D44/D45,0)</f>
        <v>0.230949110832591</v>
      </c>
      <c r="E47" s="99" t="n">
        <f aca="false">IFERROR(E44/E45,0)</f>
        <v>0.230949110832591</v>
      </c>
      <c r="F47" s="99" t="n">
        <f aca="false">IFERROR(F44/F45,0)</f>
        <v>0.230949110832591</v>
      </c>
      <c r="G47" s="99" t="n">
        <f aca="false">IFERROR(G44/G45,0)</f>
        <v>0.230949110832591</v>
      </c>
      <c r="H47" s="99" t="n">
        <f aca="false">IFERROR(H44/H45,0)</f>
        <v>0.230949110832591</v>
      </c>
      <c r="I47" s="99" t="n">
        <f aca="false">IFERROR(I44/I45,0)</f>
        <v>0.230949110832591</v>
      </c>
      <c r="J47" s="99" t="n">
        <f aca="false">IFERROR(J44/J45,0)</f>
        <v>0.230949110832591</v>
      </c>
      <c r="K47" s="99" t="n">
        <f aca="false">IFERROR(K44/K45,0)</f>
        <v>0.230949110832591</v>
      </c>
      <c r="L47" s="99" t="n">
        <f aca="false">IFERROR(L44/L45,0)</f>
        <v>0.230949110832591</v>
      </c>
      <c r="M47" s="99" t="n">
        <f aca="false">IFERROR(M44/M45,0)</f>
        <v>0.230949110832591</v>
      </c>
      <c r="N47" s="99" t="n">
        <f aca="false">IFERROR(N44/N45,0)</f>
        <v>0.230949110832591</v>
      </c>
      <c r="O47" s="98" t="n">
        <f aca="false">IFERROR(AVERAGE(P47:AA47),0)</f>
        <v>0.277134317252098</v>
      </c>
      <c r="P47" s="99" t="n">
        <f aca="false">IFERROR(P44/P45,0)</f>
        <v>0.277134317252098</v>
      </c>
      <c r="Q47" s="99" t="n">
        <f aca="false">IFERROR(Q44/Q45,0)</f>
        <v>0.277134317252098</v>
      </c>
      <c r="R47" s="99" t="n">
        <f aca="false">IFERROR(R44/R45,0)</f>
        <v>0.277134317252098</v>
      </c>
      <c r="S47" s="99" t="n">
        <f aca="false">IFERROR(S44/S45,0)</f>
        <v>0.277134317252098</v>
      </c>
      <c r="T47" s="99" t="n">
        <f aca="false">IFERROR(T44/T45,0)</f>
        <v>0.277134317252098</v>
      </c>
      <c r="U47" s="99" t="n">
        <f aca="false">IFERROR(U44/U45,0)</f>
        <v>0.277134317252098</v>
      </c>
      <c r="V47" s="99" t="n">
        <f aca="false">IFERROR(V44/V45,0)</f>
        <v>0.277134317252098</v>
      </c>
      <c r="W47" s="99" t="n">
        <f aca="false">IFERROR(W44/W45,0)</f>
        <v>0.277134317252098</v>
      </c>
      <c r="X47" s="99" t="n">
        <f aca="false">IFERROR(X44/X45,0)</f>
        <v>0.277134317252098</v>
      </c>
      <c r="Y47" s="99" t="n">
        <f aca="false">IFERROR(Y44/Y45,0)</f>
        <v>0.277134317252098</v>
      </c>
      <c r="Z47" s="99" t="n">
        <f aca="false">IFERROR(Z44/Z45,0)</f>
        <v>0.277134317252098</v>
      </c>
      <c r="AA47" s="99" t="n">
        <f aca="false">IFERROR(AA44/AA45,0)</f>
        <v>0.277134317252098</v>
      </c>
      <c r="AB47" s="98" t="n">
        <f aca="false">IFERROR(AVERAGE(AC47:AN47),0)</f>
        <v>0.341043958941981</v>
      </c>
      <c r="AC47" s="99" t="n">
        <f aca="false">IFERROR(AC44/AC45,0)</f>
        <v>0.341043958941981</v>
      </c>
      <c r="AD47" s="99" t="n">
        <f aca="false">IFERROR(AD44/AD45,0)</f>
        <v>0.341043958941981</v>
      </c>
      <c r="AE47" s="99" t="n">
        <f aca="false">IFERROR(AE44/AE45,0)</f>
        <v>0.341043958941981</v>
      </c>
      <c r="AF47" s="99" t="n">
        <f aca="false">IFERROR(AF44/AF45,0)</f>
        <v>0.341043958941981</v>
      </c>
      <c r="AG47" s="99" t="n">
        <f aca="false">IFERROR(AG44/AG45,0)</f>
        <v>0.341043958941981</v>
      </c>
      <c r="AH47" s="99" t="n">
        <f aca="false">IFERROR(AH44/AH45,0)</f>
        <v>0.341043958941981</v>
      </c>
      <c r="AI47" s="99" t="n">
        <f aca="false">IFERROR(AI44/AI45,0)</f>
        <v>0.341043958941981</v>
      </c>
      <c r="AJ47" s="99" t="n">
        <f aca="false">IFERROR(AJ44/AJ45,0)</f>
        <v>0.341043958941981</v>
      </c>
      <c r="AK47" s="99" t="n">
        <f aca="false">IFERROR(AK44/AK45,0)</f>
        <v>0.341043958941981</v>
      </c>
      <c r="AL47" s="99" t="n">
        <f aca="false">IFERROR(AL44/AL45,0)</f>
        <v>0.341043958941981</v>
      </c>
      <c r="AM47" s="99" t="n">
        <f aca="false">IFERROR(AM44/AM45,0)</f>
        <v>0.341043958941981</v>
      </c>
      <c r="AN47" s="99" t="n">
        <f aca="false">IFERROR(AN44/AN45,0)</f>
        <v>0.341043958941981</v>
      </c>
      <c r="AO47" s="98" t="n">
        <f aca="false">IFERROR(AVERAGE(AP47:BA47),0)</f>
        <v>0.325462469438381</v>
      </c>
      <c r="AP47" s="99" t="n">
        <f aca="false">IFERROR(AP44/AP45,0)</f>
        <v>0.325462469438381</v>
      </c>
      <c r="AQ47" s="99" t="n">
        <f aca="false">IFERROR(AQ44/AQ45,0)</f>
        <v>0.325462469438381</v>
      </c>
      <c r="AR47" s="99" t="n">
        <f aca="false">IFERROR(AR44/AR45,0)</f>
        <v>0.325462469438381</v>
      </c>
      <c r="AS47" s="99" t="n">
        <f aca="false">IFERROR(AS44/AS45,0)</f>
        <v>0.325462469438381</v>
      </c>
      <c r="AT47" s="99" t="n">
        <f aca="false">IFERROR(AT44/AT45,0)</f>
        <v>0.325462469438381</v>
      </c>
      <c r="AU47" s="99" t="n">
        <f aca="false">IFERROR(AU44/AU45,0)</f>
        <v>0.325462469438381</v>
      </c>
      <c r="AV47" s="99" t="n">
        <f aca="false">IFERROR(AV44/AV45,0)</f>
        <v>0.325462469438381</v>
      </c>
      <c r="AW47" s="99" t="n">
        <f aca="false">IFERROR(AW44/AW45,0)</f>
        <v>0.325462469438381</v>
      </c>
      <c r="AX47" s="99" t="n">
        <f aca="false">IFERROR(AX44/AX45,0)</f>
        <v>0.325462469438381</v>
      </c>
      <c r="AY47" s="99" t="n">
        <f aca="false">IFERROR(AY44/AY45,0)</f>
        <v>0.325462469438381</v>
      </c>
      <c r="AZ47" s="99" t="n">
        <f aca="false">IFERROR(AZ44/AZ45,0)</f>
        <v>0.325462469438381</v>
      </c>
      <c r="BA47" s="99" t="n">
        <f aca="false">IFERROR(BA44/BA45,0)</f>
        <v>0.325462469438381</v>
      </c>
      <c r="BB47" s="98" t="n">
        <f aca="false">IFERROR(AVERAGE(BC47:BN47),0)</f>
        <v>0.307116411365747</v>
      </c>
      <c r="BC47" s="99" t="n">
        <f aca="false">IFERROR(BC44/BC45,0)</f>
        <v>0.307116411365747</v>
      </c>
      <c r="BD47" s="99" t="n">
        <f aca="false">IFERROR(BD44/BD45,0)</f>
        <v>0.307116411365747</v>
      </c>
      <c r="BE47" s="99" t="n">
        <f aca="false">IFERROR(BE44/BE45,0)</f>
        <v>0.307116411365747</v>
      </c>
      <c r="BF47" s="99" t="n">
        <f aca="false">IFERROR(BF44/BF45,0)</f>
        <v>0.307116411365747</v>
      </c>
      <c r="BG47" s="99" t="n">
        <f aca="false">IFERROR(BG44/BG45,0)</f>
        <v>0.307116411365747</v>
      </c>
      <c r="BH47" s="99" t="n">
        <f aca="false">IFERROR(BH44/BH45,0)</f>
        <v>0.307116411365747</v>
      </c>
      <c r="BI47" s="99" t="n">
        <f aca="false">IFERROR(BI44/BI45,0)</f>
        <v>0.307116411365747</v>
      </c>
      <c r="BJ47" s="99" t="n">
        <f aca="false">IFERROR(BJ44/BJ45,0)</f>
        <v>0.307116411365747</v>
      </c>
      <c r="BK47" s="99" t="n">
        <f aca="false">IFERROR(BK44/BK45,0)</f>
        <v>0.307116411365747</v>
      </c>
      <c r="BL47" s="99" t="n">
        <f aca="false">IFERROR(BL44/BL45,0)</f>
        <v>0.307116411365747</v>
      </c>
      <c r="BM47" s="99" t="n">
        <f aca="false">IFERROR(BM44/BM45,0)</f>
        <v>0.307116411365747</v>
      </c>
      <c r="BN47" s="99" t="n">
        <f aca="false">IFERROR(BN44/BN45,0)</f>
        <v>0.307116411365747</v>
      </c>
    </row>
    <row r="50" customFormat="false" ht="16.5" hidden="false" customHeight="true" outlineLevel="0" collapsed="false">
      <c r="A50" s="15" t="s">
        <v>696</v>
      </c>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row>
    <row r="51" customFormat="false" ht="15" hidden="false" customHeight="true" outlineLevel="0" collapsed="false">
      <c r="A51" s="26" t="s">
        <v>481</v>
      </c>
      <c r="B51" s="61" t="s">
        <v>81</v>
      </c>
      <c r="C51" s="62" t="s">
        <v>482</v>
      </c>
      <c r="D51" s="62" t="s">
        <v>483</v>
      </c>
      <c r="E51" s="62" t="s">
        <v>484</v>
      </c>
      <c r="F51" s="62" t="s">
        <v>485</v>
      </c>
      <c r="G51" s="62" t="s">
        <v>486</v>
      </c>
      <c r="H51" s="62" t="s">
        <v>487</v>
      </c>
      <c r="I51" s="62" t="s">
        <v>488</v>
      </c>
      <c r="J51" s="62" t="s">
        <v>489</v>
      </c>
      <c r="K51" s="62" t="s">
        <v>490</v>
      </c>
      <c r="L51" s="62" t="s">
        <v>491</v>
      </c>
      <c r="M51" s="62" t="s">
        <v>492</v>
      </c>
      <c r="N51" s="62" t="s">
        <v>493</v>
      </c>
      <c r="O51" s="61" t="s">
        <v>82</v>
      </c>
      <c r="P51" s="63" t="s">
        <v>494</v>
      </c>
      <c r="Q51" s="63" t="s">
        <v>495</v>
      </c>
      <c r="R51" s="63" t="s">
        <v>496</v>
      </c>
      <c r="S51" s="63" t="s">
        <v>497</v>
      </c>
      <c r="T51" s="63" t="s">
        <v>498</v>
      </c>
      <c r="U51" s="63" t="s">
        <v>499</v>
      </c>
      <c r="V51" s="63" t="s">
        <v>500</v>
      </c>
      <c r="W51" s="63" t="s">
        <v>501</v>
      </c>
      <c r="X51" s="63" t="s">
        <v>502</v>
      </c>
      <c r="Y51" s="63" t="s">
        <v>503</v>
      </c>
      <c r="Z51" s="63" t="s">
        <v>504</v>
      </c>
      <c r="AA51" s="63" t="s">
        <v>505</v>
      </c>
      <c r="AB51" s="61" t="s">
        <v>83</v>
      </c>
      <c r="AC51" s="62" t="s">
        <v>506</v>
      </c>
      <c r="AD51" s="62" t="s">
        <v>507</v>
      </c>
      <c r="AE51" s="62" t="s">
        <v>508</v>
      </c>
      <c r="AF51" s="62" t="s">
        <v>509</v>
      </c>
      <c r="AG51" s="62" t="s">
        <v>510</v>
      </c>
      <c r="AH51" s="62" t="s">
        <v>511</v>
      </c>
      <c r="AI51" s="62" t="s">
        <v>512</v>
      </c>
      <c r="AJ51" s="62" t="s">
        <v>513</v>
      </c>
      <c r="AK51" s="62" t="s">
        <v>514</v>
      </c>
      <c r="AL51" s="62" t="s">
        <v>515</v>
      </c>
      <c r="AM51" s="62" t="s">
        <v>516</v>
      </c>
      <c r="AN51" s="62" t="s">
        <v>517</v>
      </c>
      <c r="AO51" s="61" t="s">
        <v>84</v>
      </c>
      <c r="AP51" s="63" t="s">
        <v>518</v>
      </c>
      <c r="AQ51" s="63" t="s">
        <v>519</v>
      </c>
      <c r="AR51" s="63" t="s">
        <v>520</v>
      </c>
      <c r="AS51" s="63" t="s">
        <v>521</v>
      </c>
      <c r="AT51" s="63" t="s">
        <v>522</v>
      </c>
      <c r="AU51" s="63" t="s">
        <v>523</v>
      </c>
      <c r="AV51" s="63" t="s">
        <v>524</v>
      </c>
      <c r="AW51" s="63" t="s">
        <v>525</v>
      </c>
      <c r="AX51" s="63" t="s">
        <v>526</v>
      </c>
      <c r="AY51" s="63" t="s">
        <v>527</v>
      </c>
      <c r="AZ51" s="63" t="s">
        <v>528</v>
      </c>
      <c r="BA51" s="63" t="s">
        <v>529</v>
      </c>
      <c r="BB51" s="61" t="s">
        <v>85</v>
      </c>
      <c r="BC51" s="62" t="s">
        <v>530</v>
      </c>
      <c r="BD51" s="62" t="s">
        <v>531</v>
      </c>
      <c r="BE51" s="62" t="s">
        <v>532</v>
      </c>
      <c r="BF51" s="62" t="s">
        <v>533</v>
      </c>
      <c r="BG51" s="62" t="s">
        <v>534</v>
      </c>
      <c r="BH51" s="62" t="s">
        <v>535</v>
      </c>
      <c r="BI51" s="62" t="s">
        <v>536</v>
      </c>
      <c r="BJ51" s="62" t="s">
        <v>537</v>
      </c>
      <c r="BK51" s="62" t="s">
        <v>538</v>
      </c>
      <c r="BL51" s="62" t="s">
        <v>539</v>
      </c>
      <c r="BM51" s="62" t="s">
        <v>540</v>
      </c>
      <c r="BN51" s="62" t="s">
        <v>541</v>
      </c>
    </row>
    <row r="52" customFormat="false" ht="15" hidden="false" customHeight="false" outlineLevel="0" collapsed="false">
      <c r="A52" s="12" t="s">
        <v>697</v>
      </c>
      <c r="B52" s="80" t="n">
        <f aca="false">SUM(C52:N52)</f>
        <v>14.0334204761708</v>
      </c>
      <c r="C52" s="96" t="n">
        <f aca="false">Acquisitions!C$99</f>
        <v>0</v>
      </c>
      <c r="D52" s="96" t="n">
        <f aca="false">Acquisitions!D$99</f>
        <v>1.27576549783371</v>
      </c>
      <c r="E52" s="96" t="n">
        <f aca="false">Acquisitions!E$99</f>
        <v>1.27576549783371</v>
      </c>
      <c r="F52" s="96" t="n">
        <f aca="false">Acquisitions!F$99</f>
        <v>1.27576549783371</v>
      </c>
      <c r="G52" s="96" t="n">
        <f aca="false">Acquisitions!G$99</f>
        <v>1.27576549783371</v>
      </c>
      <c r="H52" s="96" t="n">
        <f aca="false">Acquisitions!H$99</f>
        <v>1.27576549783371</v>
      </c>
      <c r="I52" s="96" t="n">
        <f aca="false">Acquisitions!I$99</f>
        <v>1.27576549783371</v>
      </c>
      <c r="J52" s="96" t="n">
        <f aca="false">Acquisitions!J$99</f>
        <v>1.27576549783371</v>
      </c>
      <c r="K52" s="96" t="n">
        <f aca="false">Acquisitions!K$99</f>
        <v>1.27576549783371</v>
      </c>
      <c r="L52" s="96" t="n">
        <f aca="false">Acquisitions!L$99</f>
        <v>1.27576549783371</v>
      </c>
      <c r="M52" s="96" t="n">
        <f aca="false">Acquisitions!M$99</f>
        <v>1.27576549783371</v>
      </c>
      <c r="N52" s="96" t="n">
        <f aca="false">Acquisitions!N$99</f>
        <v>1.27576549783371</v>
      </c>
      <c r="O52" s="80" t="n">
        <f aca="false">SUM(P52:AA52)</f>
        <v>25.1138143798255</v>
      </c>
      <c r="P52" s="96" t="n">
        <f aca="false">Acquisitions!P$99</f>
        <v>1.40334204761708</v>
      </c>
      <c r="Q52" s="96" t="n">
        <f aca="false">Acquisitions!Q$99</f>
        <v>2.15549748474622</v>
      </c>
      <c r="R52" s="96" t="n">
        <f aca="false">Acquisitions!R$99</f>
        <v>2.15549748474622</v>
      </c>
      <c r="S52" s="96" t="n">
        <f aca="false">Acquisitions!S$99</f>
        <v>2.15549748474622</v>
      </c>
      <c r="T52" s="96" t="n">
        <f aca="false">Acquisitions!T$99</f>
        <v>2.15549748474622</v>
      </c>
      <c r="U52" s="96" t="n">
        <f aca="false">Acquisitions!U$99</f>
        <v>2.15549748474622</v>
      </c>
      <c r="V52" s="96" t="n">
        <f aca="false">Acquisitions!V$99</f>
        <v>2.15549748474622</v>
      </c>
      <c r="W52" s="96" t="n">
        <f aca="false">Acquisitions!W$99</f>
        <v>2.15549748474622</v>
      </c>
      <c r="X52" s="96" t="n">
        <f aca="false">Acquisitions!X$99</f>
        <v>2.15549748474622</v>
      </c>
      <c r="Y52" s="96" t="n">
        <f aca="false">Acquisitions!Y$99</f>
        <v>2.15549748474622</v>
      </c>
      <c r="Z52" s="96" t="n">
        <f aca="false">Acquisitions!Z$99</f>
        <v>2.15549748474622</v>
      </c>
      <c r="AA52" s="96" t="n">
        <f aca="false">Acquisitions!AA$99</f>
        <v>2.15549748474622</v>
      </c>
      <c r="AB52" s="80" t="n">
        <f aca="false">SUM(AC52:AN52)</f>
        <v>41.1453524217499</v>
      </c>
      <c r="AC52" s="96" t="n">
        <f aca="false">Acquisitions!AC$99</f>
        <v>2.35145180154133</v>
      </c>
      <c r="AD52" s="96" t="n">
        <f aca="false">Acquisitions!AD$99</f>
        <v>3.52671823820078</v>
      </c>
      <c r="AE52" s="96" t="n">
        <f aca="false">Acquisitions!AE$99</f>
        <v>3.52671823820078</v>
      </c>
      <c r="AF52" s="96" t="n">
        <f aca="false">Acquisitions!AF$99</f>
        <v>3.52671823820078</v>
      </c>
      <c r="AG52" s="96" t="n">
        <f aca="false">Acquisitions!AG$99</f>
        <v>3.52671823820078</v>
      </c>
      <c r="AH52" s="96" t="n">
        <f aca="false">Acquisitions!AH$99</f>
        <v>3.52671823820078</v>
      </c>
      <c r="AI52" s="96" t="n">
        <f aca="false">Acquisitions!AI$99</f>
        <v>3.52671823820078</v>
      </c>
      <c r="AJ52" s="96" t="n">
        <f aca="false">Acquisitions!AJ$99</f>
        <v>3.52671823820078</v>
      </c>
      <c r="AK52" s="96" t="n">
        <f aca="false">Acquisitions!AK$99</f>
        <v>3.52671823820078</v>
      </c>
      <c r="AL52" s="96" t="n">
        <f aca="false">Acquisitions!AL$99</f>
        <v>3.52671823820078</v>
      </c>
      <c r="AM52" s="96" t="n">
        <f aca="false">Acquisitions!AM$99</f>
        <v>3.52671823820078</v>
      </c>
      <c r="AN52" s="96" t="n">
        <f aca="false">Acquisitions!AN$99</f>
        <v>3.52671823820078</v>
      </c>
      <c r="AO52" s="80" t="n">
        <f aca="false">SUM(AP52:BA52)</f>
        <v>56.0812359881367</v>
      </c>
      <c r="AP52" s="96" t="n">
        <f aca="false">Acquisitions!AP$99</f>
        <v>3.67366483145914</v>
      </c>
      <c r="AQ52" s="96" t="n">
        <f aca="false">Acquisitions!AQ$99</f>
        <v>4.76432465060705</v>
      </c>
      <c r="AR52" s="96" t="n">
        <f aca="false">Acquisitions!AR$99</f>
        <v>4.76432465060705</v>
      </c>
      <c r="AS52" s="96" t="n">
        <f aca="false">Acquisitions!AS$99</f>
        <v>4.76432465060705</v>
      </c>
      <c r="AT52" s="96" t="n">
        <f aca="false">Acquisitions!AT$99</f>
        <v>4.76432465060705</v>
      </c>
      <c r="AU52" s="96" t="n">
        <f aca="false">Acquisitions!AU$99</f>
        <v>4.76432465060705</v>
      </c>
      <c r="AV52" s="96" t="n">
        <f aca="false">Acquisitions!AV$99</f>
        <v>4.76432465060705</v>
      </c>
      <c r="AW52" s="96" t="n">
        <f aca="false">Acquisitions!AW$99</f>
        <v>4.76432465060705</v>
      </c>
      <c r="AX52" s="96" t="n">
        <f aca="false">Acquisitions!AX$99</f>
        <v>4.76432465060705</v>
      </c>
      <c r="AY52" s="96" t="n">
        <f aca="false">Acquisitions!AY$99</f>
        <v>4.76432465060705</v>
      </c>
      <c r="AZ52" s="96" t="n">
        <f aca="false">Acquisitions!AZ$99</f>
        <v>4.76432465060705</v>
      </c>
      <c r="BA52" s="96" t="n">
        <f aca="false">Acquisitions!BA$99</f>
        <v>4.76432465060705</v>
      </c>
      <c r="BB52" s="80" t="n">
        <f aca="false">SUM(BC52:BN52)</f>
        <v>71.9129329735191</v>
      </c>
      <c r="BC52" s="96" t="n">
        <f aca="false">Acquisitions!BC$99</f>
        <v>4.95489763663133</v>
      </c>
      <c r="BD52" s="96" t="n">
        <f aca="false">Acquisitions!BD$99</f>
        <v>6.08709412153525</v>
      </c>
      <c r="BE52" s="96" t="n">
        <f aca="false">Acquisitions!BE$99</f>
        <v>6.08709412153525</v>
      </c>
      <c r="BF52" s="96" t="n">
        <f aca="false">Acquisitions!BF$99</f>
        <v>6.08709412153525</v>
      </c>
      <c r="BG52" s="96" t="n">
        <f aca="false">Acquisitions!BG$99</f>
        <v>6.08709412153525</v>
      </c>
      <c r="BH52" s="96" t="n">
        <f aca="false">Acquisitions!BH$99</f>
        <v>6.08709412153525</v>
      </c>
      <c r="BI52" s="96" t="n">
        <f aca="false">Acquisitions!BI$99</f>
        <v>6.08709412153525</v>
      </c>
      <c r="BJ52" s="96" t="n">
        <f aca="false">Acquisitions!BJ$99</f>
        <v>6.08709412153525</v>
      </c>
      <c r="BK52" s="96" t="n">
        <f aca="false">Acquisitions!BK$99</f>
        <v>6.08709412153525</v>
      </c>
      <c r="BL52" s="96" t="n">
        <f aca="false">Acquisitions!BL$99</f>
        <v>6.08709412153525</v>
      </c>
      <c r="BM52" s="96" t="n">
        <f aca="false">Acquisitions!BM$99</f>
        <v>6.08709412153525</v>
      </c>
      <c r="BN52" s="96" t="n">
        <f aca="false">Acquisitions!BN$99</f>
        <v>6.08709412153525</v>
      </c>
    </row>
    <row r="53" customFormat="false" ht="15" hidden="false" customHeight="false" outlineLevel="0" collapsed="false">
      <c r="A53" s="12" t="s">
        <v>698</v>
      </c>
      <c r="B53" s="80" t="n">
        <f aca="false">SUM(C53:N53)</f>
        <v>11.7154481858086</v>
      </c>
      <c r="C53" s="96" t="n">
        <f aca="false">Acquisitions!C$100</f>
        <v>0</v>
      </c>
      <c r="D53" s="96" t="n">
        <f aca="false">Acquisitions!D$100</f>
        <v>0</v>
      </c>
      <c r="E53" s="96" t="n">
        <f aca="false">Acquisitions!E$100</f>
        <v>0.388177177811841</v>
      </c>
      <c r="F53" s="96" t="n">
        <f aca="false">Acquisitions!F$100</f>
        <v>1.12114702532714</v>
      </c>
      <c r="G53" s="96" t="n">
        <f aca="false">Acquisitions!G$100</f>
        <v>1.27576549783371</v>
      </c>
      <c r="H53" s="96" t="n">
        <f aca="false">Acquisitions!H$100</f>
        <v>1.27576549783371</v>
      </c>
      <c r="I53" s="96" t="n">
        <f aca="false">Acquisitions!I$100</f>
        <v>1.27576549783371</v>
      </c>
      <c r="J53" s="96" t="n">
        <f aca="false">Acquisitions!J$100</f>
        <v>1.27576549783371</v>
      </c>
      <c r="K53" s="96" t="n">
        <f aca="false">Acquisitions!K$100</f>
        <v>1.27576549783371</v>
      </c>
      <c r="L53" s="96" t="n">
        <f aca="false">Acquisitions!L$100</f>
        <v>1.27576549783371</v>
      </c>
      <c r="M53" s="96" t="n">
        <f aca="false">Acquisitions!M$100</f>
        <v>1.27576549783371</v>
      </c>
      <c r="N53" s="96" t="n">
        <f aca="false">Acquisitions!N$100</f>
        <v>1.27576549783371</v>
      </c>
      <c r="O53" s="80" t="n">
        <f aca="false">SUM(P53:AA53)</f>
        <v>23.5154059167725</v>
      </c>
      <c r="P53" s="96" t="n">
        <f aca="false">Acquisitions!P$100</f>
        <v>1.27576549783371</v>
      </c>
      <c r="Q53" s="96" t="n">
        <f aca="false">Acquisitions!Q$100</f>
        <v>1.31458321561489</v>
      </c>
      <c r="R53" s="96" t="n">
        <f aca="false">Acquisitions!R$100</f>
        <v>1.61673854099124</v>
      </c>
      <c r="S53" s="96" t="n">
        <f aca="false">Acquisitions!S$100</f>
        <v>2.06433878436288</v>
      </c>
      <c r="T53" s="96" t="n">
        <f aca="false">Acquisitions!T$100</f>
        <v>2.15549748474622</v>
      </c>
      <c r="U53" s="96" t="n">
        <f aca="false">Acquisitions!U$100</f>
        <v>2.15549748474622</v>
      </c>
      <c r="V53" s="96" t="n">
        <f aca="false">Acquisitions!V$100</f>
        <v>2.15549748474622</v>
      </c>
      <c r="W53" s="96" t="n">
        <f aca="false">Acquisitions!W$100</f>
        <v>2.15549748474622</v>
      </c>
      <c r="X53" s="96" t="n">
        <f aca="false">Acquisitions!X$100</f>
        <v>2.15549748474622</v>
      </c>
      <c r="Y53" s="96" t="n">
        <f aca="false">Acquisitions!Y$100</f>
        <v>2.15549748474622</v>
      </c>
      <c r="Z53" s="96" t="n">
        <f aca="false">Acquisitions!Z$100</f>
        <v>2.15549748474622</v>
      </c>
      <c r="AA53" s="96" t="n">
        <f aca="false">Acquisitions!AA$100</f>
        <v>2.15549748474622</v>
      </c>
      <c r="AB53" s="80" t="n">
        <f aca="false">SUM(AC53:AN53)</f>
        <v>38.6539449366954</v>
      </c>
      <c r="AC53" s="96" t="n">
        <f aca="false">Acquisitions!AC$100</f>
        <v>2.15549748474622</v>
      </c>
      <c r="AD53" s="96" t="n">
        <f aca="false">Acquisitions!AD$100</f>
        <v>2.21512050622057</v>
      </c>
      <c r="AE53" s="96" t="n">
        <f aca="false">Acquisitions!AE$100</f>
        <v>2.68530112740782</v>
      </c>
      <c r="AF53" s="96" t="n">
        <f aca="false">Acquisitions!AF$100</f>
        <v>3.38427991271456</v>
      </c>
      <c r="AG53" s="96" t="n">
        <f aca="false">Acquisitions!AG$100</f>
        <v>3.52671823820078</v>
      </c>
      <c r="AH53" s="96" t="n">
        <f aca="false">Acquisitions!AH$100</f>
        <v>3.52671823820078</v>
      </c>
      <c r="AI53" s="96" t="n">
        <f aca="false">Acquisitions!AI$100</f>
        <v>3.52671823820078</v>
      </c>
      <c r="AJ53" s="96" t="n">
        <f aca="false">Acquisitions!AJ$100</f>
        <v>3.52671823820078</v>
      </c>
      <c r="AK53" s="96" t="n">
        <f aca="false">Acquisitions!AK$100</f>
        <v>3.52671823820078</v>
      </c>
      <c r="AL53" s="96" t="n">
        <f aca="false">Acquisitions!AL$100</f>
        <v>3.52671823820078</v>
      </c>
      <c r="AM53" s="96" t="n">
        <f aca="false">Acquisitions!AM$100</f>
        <v>3.52671823820078</v>
      </c>
      <c r="AN53" s="96" t="n">
        <f aca="false">Acquisitions!AN$100</f>
        <v>3.52671823820078</v>
      </c>
      <c r="AO53" s="80" t="n">
        <f aca="false">SUM(AP53:BA53)</f>
        <v>53.832595955777</v>
      </c>
      <c r="AP53" s="96" t="n">
        <f aca="false">Acquisitions!AP$100</f>
        <v>3.52671823820078</v>
      </c>
      <c r="AQ53" s="96" t="n">
        <f aca="false">Acquisitions!AQ$100</f>
        <v>3.57142967925868</v>
      </c>
      <c r="AR53" s="96" t="n">
        <f aca="false">Acquisitions!AR$100</f>
        <v>3.9877104718533</v>
      </c>
      <c r="AS53" s="96" t="n">
        <f aca="false">Acquisitions!AS$100</f>
        <v>4.63214036160779</v>
      </c>
      <c r="AT53" s="96" t="n">
        <f aca="false">Acquisitions!AT$100</f>
        <v>4.76432465060705</v>
      </c>
      <c r="AU53" s="96" t="n">
        <f aca="false">Acquisitions!AU$100</f>
        <v>4.76432465060705</v>
      </c>
      <c r="AV53" s="96" t="n">
        <f aca="false">Acquisitions!AV$100</f>
        <v>4.76432465060705</v>
      </c>
      <c r="AW53" s="96" t="n">
        <f aca="false">Acquisitions!AW$100</f>
        <v>4.76432465060705</v>
      </c>
      <c r="AX53" s="96" t="n">
        <f aca="false">Acquisitions!AX$100</f>
        <v>4.76432465060705</v>
      </c>
      <c r="AY53" s="96" t="n">
        <f aca="false">Acquisitions!AY$100</f>
        <v>4.76432465060705</v>
      </c>
      <c r="AZ53" s="96" t="n">
        <f aca="false">Acquisitions!AZ$100</f>
        <v>4.76432465060705</v>
      </c>
      <c r="BA53" s="96" t="n">
        <f aca="false">Acquisitions!BA$100</f>
        <v>4.76432465060705</v>
      </c>
      <c r="BB53" s="80" t="n">
        <f aca="false">SUM(BC53:BN53)</f>
        <v>69.5095579133259</v>
      </c>
      <c r="BC53" s="96" t="n">
        <f aca="false">Acquisitions!BC$100</f>
        <v>4.76432465060705</v>
      </c>
      <c r="BD53" s="96" t="n">
        <f aca="false">Acquisitions!BD$100</f>
        <v>4.82231029452648</v>
      </c>
      <c r="BE53" s="96" t="n">
        <f aca="false">Acquisitions!BE$100</f>
        <v>5.27629426707371</v>
      </c>
      <c r="BF53" s="96" t="n">
        <f aca="false">Acquisitions!BF$100</f>
        <v>5.94987572883659</v>
      </c>
      <c r="BG53" s="96" t="n">
        <f aca="false">Acquisitions!BG$100</f>
        <v>6.08709412153525</v>
      </c>
      <c r="BH53" s="96" t="n">
        <f aca="false">Acquisitions!BH$100</f>
        <v>6.08709412153525</v>
      </c>
      <c r="BI53" s="96" t="n">
        <f aca="false">Acquisitions!BI$100</f>
        <v>6.08709412153525</v>
      </c>
      <c r="BJ53" s="96" t="n">
        <f aca="false">Acquisitions!BJ$100</f>
        <v>6.08709412153525</v>
      </c>
      <c r="BK53" s="96" t="n">
        <f aca="false">Acquisitions!BK$100</f>
        <v>6.08709412153525</v>
      </c>
      <c r="BL53" s="96" t="n">
        <f aca="false">Acquisitions!BL$100</f>
        <v>6.08709412153525</v>
      </c>
      <c r="BM53" s="96" t="n">
        <f aca="false">Acquisitions!BM$100</f>
        <v>6.08709412153525</v>
      </c>
      <c r="BN53" s="96" t="n">
        <f aca="false">Acquisitions!BN$100</f>
        <v>6.08709412153525</v>
      </c>
    </row>
    <row r="54" customFormat="false" ht="15" hidden="false" customHeight="false" outlineLevel="0" collapsed="false">
      <c r="A54" s="66" t="s">
        <v>699</v>
      </c>
      <c r="B54" s="87" t="n">
        <f aca="false">N54</f>
        <v>17.7154481858086</v>
      </c>
      <c r="C54" s="88" t="n">
        <f aca="false">Acquisitions!C$113+Acquisitions!C$115+Acquisitions!C$117+Acquisitions!C$119+Acquisitions!C$121+Acquisitions!C$123+Acquisitions!C$125+Acquisitions!C$127+Acquisitions!C$129+Acquisitions!C$131+Acquisitions!C$133+Acquisitions!C$135+Acquisitions!C$137</f>
        <v>3</v>
      </c>
      <c r="D54" s="88" t="n">
        <f aca="false">Acquisitions!D$113+Acquisitions!D$115+Acquisitions!D$117+Acquisitions!D$119+Acquisitions!D$121+Acquisitions!D$123+Acquisitions!D$125+Acquisitions!D$127+Acquisitions!D$129+Acquisitions!D$131+Acquisitions!D$133+Acquisitions!D$135+Acquisitions!D$137</f>
        <v>4.8</v>
      </c>
      <c r="E54" s="88" t="n">
        <f aca="false">Acquisitions!E$113+Acquisitions!E$115+Acquisitions!E$117+Acquisitions!E$119+Acquisitions!E$121+Acquisitions!E$123+Acquisitions!E$125+Acquisitions!E$127+Acquisitions!E$129+Acquisitions!E$131+Acquisitions!E$133+Acquisitions!E$135+Acquisitions!E$137</f>
        <v>6.38817717781184</v>
      </c>
      <c r="F54" s="88" t="n">
        <f aca="false">Acquisitions!F$113+Acquisitions!F$115+Acquisitions!F$117+Acquisitions!F$119+Acquisitions!F$121+Acquisitions!F$123+Acquisitions!F$125+Acquisitions!F$127+Acquisitions!F$129+Acquisitions!F$131+Acquisitions!F$133+Acquisitions!F$135+Acquisitions!F$137</f>
        <v>7.50932420313898</v>
      </c>
      <c r="G54" s="88" t="n">
        <f aca="false">Acquisitions!G$113+Acquisitions!G$115+Acquisitions!G$117+Acquisitions!G$119+Acquisitions!G$121+Acquisitions!G$123+Acquisitions!G$125+Acquisitions!G$127+Acquisitions!G$129+Acquisitions!G$131+Acquisitions!G$133+Acquisitions!G$135+Acquisitions!G$137</f>
        <v>8.78508970097269</v>
      </c>
      <c r="H54" s="88" t="n">
        <f aca="false">Acquisitions!H$113+Acquisitions!H$115+Acquisitions!H$117+Acquisitions!H$119+Acquisitions!H$121+Acquisitions!H$123+Acquisitions!H$125+Acquisitions!H$127+Acquisitions!H$129+Acquisitions!H$131+Acquisitions!H$133+Acquisitions!H$135+Acquisitions!H$137</f>
        <v>10.0608551988064</v>
      </c>
      <c r="I54" s="88" t="n">
        <f aca="false">Acquisitions!I$113+Acquisitions!I$115+Acquisitions!I$117+Acquisitions!I$119+Acquisitions!I$121+Acquisitions!I$123+Acquisitions!I$125+Acquisitions!I$127+Acquisitions!I$129+Acquisitions!I$131+Acquisitions!I$133+Acquisitions!I$135+Acquisitions!I$137</f>
        <v>11.3366206966401</v>
      </c>
      <c r="J54" s="88" t="n">
        <f aca="false">Acquisitions!J$113+Acquisitions!J$115+Acquisitions!J$117+Acquisitions!J$119+Acquisitions!J$121+Acquisitions!J$123+Acquisitions!J$125+Acquisitions!J$127+Acquisitions!J$129+Acquisitions!J$131+Acquisitions!J$133+Acquisitions!J$135+Acquisitions!J$137</f>
        <v>12.6123861944738</v>
      </c>
      <c r="K54" s="88" t="n">
        <f aca="false">Acquisitions!K$113+Acquisitions!K$115+Acquisitions!K$117+Acquisitions!K$119+Acquisitions!K$121+Acquisitions!K$123+Acquisitions!K$125+Acquisitions!K$127+Acquisitions!K$129+Acquisitions!K$131+Acquisitions!K$133+Acquisitions!K$135+Acquisitions!K$137</f>
        <v>13.8881516923075</v>
      </c>
      <c r="L54" s="88" t="n">
        <f aca="false">Acquisitions!L$113+Acquisitions!L$115+Acquisitions!L$117+Acquisitions!L$119+Acquisitions!L$121+Acquisitions!L$123+Acquisitions!L$125+Acquisitions!L$127+Acquisitions!L$129+Acquisitions!L$131+Acquisitions!L$133+Acquisitions!L$135+Acquisitions!L$137</f>
        <v>15.1639171901412</v>
      </c>
      <c r="M54" s="88" t="n">
        <f aca="false">Acquisitions!M$113+Acquisitions!M$115+Acquisitions!M$117+Acquisitions!M$119+Acquisitions!M$121+Acquisitions!M$123+Acquisitions!M$125+Acquisitions!M$127+Acquisitions!M$129+Acquisitions!M$131+Acquisitions!M$133+Acquisitions!M$135+Acquisitions!M$137</f>
        <v>16.4396826879749</v>
      </c>
      <c r="N54" s="88" t="n">
        <f aca="false">Acquisitions!N$113+Acquisitions!N$115+Acquisitions!N$117+Acquisitions!N$119+Acquisitions!N$121+Acquisitions!N$123+Acquisitions!N$125+Acquisitions!N$127+Acquisitions!N$129+Acquisitions!N$131+Acquisitions!N$133+Acquisitions!N$135+Acquisitions!N$137</f>
        <v>17.7154481858086</v>
      </c>
      <c r="O54" s="87" t="n">
        <f aca="false">AA54</f>
        <v>23.5154059167725</v>
      </c>
      <c r="P54" s="88" t="n">
        <f aca="false">Acquisitions!P$113+Acquisitions!P$115+Acquisitions!P$117+Acquisitions!P$119+Acquisitions!P$121+Acquisitions!P$123+Acquisitions!P$125+Acquisitions!P$127+Acquisitions!P$129+Acquisitions!P$131+Acquisitions!P$133+Acquisitions!P$135+Acquisitions!P$137</f>
        <v>15.9912136836424</v>
      </c>
      <c r="Q54" s="88" t="n">
        <f aca="false">Acquisitions!Q$113+Acquisitions!Q$115+Acquisitions!Q$117+Acquisitions!Q$119+Acquisitions!Q$121+Acquisitions!Q$123+Acquisitions!Q$125+Acquisitions!Q$127+Acquisitions!Q$129+Acquisitions!Q$131+Acquisitions!Q$133+Acquisitions!Q$135+Acquisitions!Q$137</f>
        <v>15.5057968992572</v>
      </c>
      <c r="R54" s="88" t="n">
        <f aca="false">Acquisitions!R$113+Acquisitions!R$115+Acquisitions!R$117+Acquisitions!R$119+Acquisitions!R$121+Acquisitions!R$123+Acquisitions!R$125+Acquisitions!R$127+Acquisitions!R$129+Acquisitions!R$131+Acquisitions!R$133+Acquisitions!R$135+Acquisitions!R$137</f>
        <v>15.5343582624367</v>
      </c>
      <c r="S54" s="88" t="n">
        <f aca="false">Acquisitions!S$113+Acquisitions!S$115+Acquisitions!S$117+Acquisitions!S$119+Acquisitions!S$121+Acquisitions!S$123+Acquisitions!S$125+Acquisitions!S$127+Acquisitions!S$129+Acquisitions!S$131+Acquisitions!S$133+Acquisitions!S$135+Acquisitions!S$137</f>
        <v>16.4775500214724</v>
      </c>
      <c r="T54" s="88" t="n">
        <f aca="false">Acquisitions!T$113+Acquisitions!T$115+Acquisitions!T$117+Acquisitions!T$119+Acquisitions!T$121+Acquisitions!T$123+Acquisitions!T$125+Acquisitions!T$127+Acquisitions!T$129+Acquisitions!T$131+Acquisitions!T$133+Acquisitions!T$135+Acquisitions!T$137</f>
        <v>17.3572820083849</v>
      </c>
      <c r="U54" s="88" t="n">
        <f aca="false">Acquisitions!U$113+Acquisitions!U$115+Acquisitions!U$117+Acquisitions!U$119+Acquisitions!U$121+Acquisitions!U$123+Acquisitions!U$125+Acquisitions!U$127+Acquisitions!U$129+Acquisitions!U$131+Acquisitions!U$133+Acquisitions!U$135+Acquisitions!U$137</f>
        <v>18.2370139952974</v>
      </c>
      <c r="V54" s="88" t="n">
        <f aca="false">Acquisitions!V$113+Acquisitions!V$115+Acquisitions!V$117+Acquisitions!V$119+Acquisitions!V$121+Acquisitions!V$123+Acquisitions!V$125+Acquisitions!V$127+Acquisitions!V$129+Acquisitions!V$131+Acquisitions!V$133+Acquisitions!V$135+Acquisitions!V$137</f>
        <v>19.1167459822099</v>
      </c>
      <c r="W54" s="88" t="n">
        <f aca="false">Acquisitions!W$113+Acquisitions!W$115+Acquisitions!W$117+Acquisitions!W$119+Acquisitions!W$121+Acquisitions!W$123+Acquisitions!W$125+Acquisitions!W$127+Acquisitions!W$129+Acquisitions!W$131+Acquisitions!W$133+Acquisitions!W$135+Acquisitions!W$137</f>
        <v>19.9964779691224</v>
      </c>
      <c r="X54" s="88" t="n">
        <f aca="false">Acquisitions!X$113+Acquisitions!X$115+Acquisitions!X$117+Acquisitions!X$119+Acquisitions!X$121+Acquisitions!X$123+Acquisitions!X$125+Acquisitions!X$127+Acquisitions!X$129+Acquisitions!X$131+Acquisitions!X$133+Acquisitions!X$135+Acquisitions!X$137</f>
        <v>20.8762099560349</v>
      </c>
      <c r="Y54" s="88" t="n">
        <f aca="false">Acquisitions!Y$113+Acquisitions!Y$115+Acquisitions!Y$117+Acquisitions!Y$119+Acquisitions!Y$121+Acquisitions!Y$123+Acquisitions!Y$125+Acquisitions!Y$127+Acquisitions!Y$129+Acquisitions!Y$131+Acquisitions!Y$133+Acquisitions!Y$135+Acquisitions!Y$137</f>
        <v>21.7559419429474</v>
      </c>
      <c r="Z54" s="88" t="n">
        <f aca="false">Acquisitions!Z$113+Acquisitions!Z$115+Acquisitions!Z$117+Acquisitions!Z$119+Acquisitions!Z$121+Acquisitions!Z$123+Acquisitions!Z$125+Acquisitions!Z$127+Acquisitions!Z$129+Acquisitions!Z$131+Acquisitions!Z$133+Acquisitions!Z$135+Acquisitions!Z$137</f>
        <v>22.6356739298599</v>
      </c>
      <c r="AA54" s="88" t="n">
        <f aca="false">Acquisitions!AA$113+Acquisitions!AA$115+Acquisitions!AA$117+Acquisitions!AA$119+Acquisitions!AA$121+Acquisitions!AA$123+Acquisitions!AA$125+Acquisitions!AA$127+Acquisitions!AA$129+Acquisitions!AA$131+Acquisitions!AA$133+Acquisitions!AA$135+Acquisitions!AA$137</f>
        <v>23.5154059167725</v>
      </c>
      <c r="AB54" s="87" t="n">
        <f aca="false">AN54</f>
        <v>38.6539449366954</v>
      </c>
      <c r="AC54" s="88" t="n">
        <f aca="false">Acquisitions!AC$113+Acquisitions!AC$115+Acquisitions!AC$117+Acquisitions!AC$119+Acquisitions!AC$121+Acquisitions!AC$123+Acquisitions!AC$125+Acquisitions!AC$127+Acquisitions!AC$129+Acquisitions!AC$131+Acquisitions!AC$133+Acquisitions!AC$135+Acquisitions!AC$137</f>
        <v>24.395137903685</v>
      </c>
      <c r="AD54" s="88" t="n">
        <f aca="false">Acquisitions!AD$113+Acquisitions!AD$115+Acquisitions!AD$117+Acquisitions!AD$119+Acquisitions!AD$121+Acquisitions!AD$123+Acquisitions!AD$125+Acquisitions!AD$127+Acquisitions!AD$129+Acquisitions!AD$131+Acquisitions!AD$133+Acquisitions!AD$135+Acquisitions!AD$137</f>
        <v>25.2956751942906</v>
      </c>
      <c r="AE54" s="88" t="n">
        <f aca="false">Acquisitions!AE$113+Acquisitions!AE$115+Acquisitions!AE$117+Acquisitions!AE$119+Acquisitions!AE$121+Acquisitions!AE$123+Acquisitions!AE$125+Acquisitions!AE$127+Acquisitions!AE$129+Acquisitions!AE$131+Acquisitions!AE$133+Acquisitions!AE$135+Acquisitions!AE$137</f>
        <v>26.3642377807072</v>
      </c>
      <c r="AF54" s="88" t="n">
        <f aca="false">Acquisitions!AF$113+Acquisitions!AF$115+Acquisitions!AF$117+Acquisitions!AF$119+Acquisitions!AF$121+Acquisitions!AF$123+Acquisitions!AF$125+Acquisitions!AF$127+Acquisitions!AF$129+Acquisitions!AF$131+Acquisitions!AF$133+Acquisitions!AF$135+Acquisitions!AF$137</f>
        <v>27.6841789090589</v>
      </c>
      <c r="AG54" s="88" t="n">
        <f aca="false">Acquisitions!AG$113+Acquisitions!AG$115+Acquisitions!AG$117+Acquisitions!AG$119+Acquisitions!AG$121+Acquisitions!AG$123+Acquisitions!AG$125+Acquisitions!AG$127+Acquisitions!AG$129+Acquisitions!AG$131+Acquisitions!AG$133+Acquisitions!AG$135+Acquisitions!AG$137</f>
        <v>29.0553996625134</v>
      </c>
      <c r="AH54" s="88" t="n">
        <f aca="false">Acquisitions!AH$113+Acquisitions!AH$115+Acquisitions!AH$117+Acquisitions!AH$119+Acquisitions!AH$121+Acquisitions!AH$123+Acquisitions!AH$125+Acquisitions!AH$127+Acquisitions!AH$129+Acquisitions!AH$131+Acquisitions!AH$133+Acquisitions!AH$135+Acquisitions!AH$137</f>
        <v>30.426620415968</v>
      </c>
      <c r="AI54" s="88" t="n">
        <f aca="false">Acquisitions!AI$113+Acquisitions!AI$115+Acquisitions!AI$117+Acquisitions!AI$119+Acquisitions!AI$121+Acquisitions!AI$123+Acquisitions!AI$125+Acquisitions!AI$127+Acquisitions!AI$129+Acquisitions!AI$131+Acquisitions!AI$133+Acquisitions!AI$135+Acquisitions!AI$137</f>
        <v>31.7978411694226</v>
      </c>
      <c r="AJ54" s="88" t="n">
        <f aca="false">Acquisitions!AJ$113+Acquisitions!AJ$115+Acquisitions!AJ$117+Acquisitions!AJ$119+Acquisitions!AJ$121+Acquisitions!AJ$123+Acquisitions!AJ$125+Acquisitions!AJ$127+Acquisitions!AJ$129+Acquisitions!AJ$131+Acquisitions!AJ$133+Acquisitions!AJ$135+Acquisitions!AJ$137</f>
        <v>33.1690619228771</v>
      </c>
      <c r="AK54" s="88" t="n">
        <f aca="false">Acquisitions!AK$113+Acquisitions!AK$115+Acquisitions!AK$117+Acquisitions!AK$119+Acquisitions!AK$121+Acquisitions!AK$123+Acquisitions!AK$125+Acquisitions!AK$127+Acquisitions!AK$129+Acquisitions!AK$131+Acquisitions!AK$133+Acquisitions!AK$135+Acquisitions!AK$137</f>
        <v>34.5402826763317</v>
      </c>
      <c r="AL54" s="88" t="n">
        <f aca="false">Acquisitions!AL$113+Acquisitions!AL$115+Acquisitions!AL$117+Acquisitions!AL$119+Acquisitions!AL$121+Acquisitions!AL$123+Acquisitions!AL$125+Acquisitions!AL$127+Acquisitions!AL$129+Acquisitions!AL$131+Acquisitions!AL$133+Acquisitions!AL$135+Acquisitions!AL$137</f>
        <v>35.9115034297863</v>
      </c>
      <c r="AM54" s="88" t="n">
        <f aca="false">Acquisitions!AM$113+Acquisitions!AM$115+Acquisitions!AM$117+Acquisitions!AM$119+Acquisitions!AM$121+Acquisitions!AM$123+Acquisitions!AM$125+Acquisitions!AM$127+Acquisitions!AM$129+Acquisitions!AM$131+Acquisitions!AM$133+Acquisitions!AM$135+Acquisitions!AM$137</f>
        <v>37.2827241832408</v>
      </c>
      <c r="AN54" s="88" t="n">
        <f aca="false">Acquisitions!AN$113+Acquisitions!AN$115+Acquisitions!AN$117+Acquisitions!AN$119+Acquisitions!AN$121+Acquisitions!AN$123+Acquisitions!AN$125+Acquisitions!AN$127+Acquisitions!AN$129+Acquisitions!AN$131+Acquisitions!AN$133+Acquisitions!AN$135+Acquisitions!AN$137</f>
        <v>38.6539449366954</v>
      </c>
      <c r="AO54" s="87" t="n">
        <f aca="false">BA54</f>
        <v>53.832595955777</v>
      </c>
      <c r="AP54" s="88" t="n">
        <f aca="false">Acquisitions!AP$113+Acquisitions!AP$115+Acquisitions!AP$117+Acquisitions!AP$119+Acquisitions!AP$121+Acquisitions!AP$123+Acquisitions!AP$125+Acquisitions!AP$127+Acquisitions!AP$129+Acquisitions!AP$131+Acquisitions!AP$133+Acquisitions!AP$135+Acquisitions!AP$137</f>
        <v>40.0251656901499</v>
      </c>
      <c r="AQ54" s="88" t="n">
        <f aca="false">Acquisitions!AQ$113+Acquisitions!AQ$115+Acquisitions!AQ$117+Acquisitions!AQ$119+Acquisitions!AQ$121+Acquisitions!AQ$123+Acquisitions!AQ$125+Acquisitions!AQ$127+Acquisitions!AQ$129+Acquisitions!AQ$131+Acquisitions!AQ$133+Acquisitions!AQ$135+Acquisitions!AQ$137</f>
        <v>41.3814748631881</v>
      </c>
      <c r="AR54" s="88" t="n">
        <f aca="false">Acquisitions!AR$113+Acquisitions!AR$115+Acquisitions!AR$117+Acquisitions!AR$119+Acquisitions!AR$121+Acquisitions!AR$123+Acquisitions!AR$125+Acquisitions!AR$127+Acquisitions!AR$129+Acquisitions!AR$131+Acquisitions!AR$133+Acquisitions!AR$135+Acquisitions!AR$137</f>
        <v>42.6838842076335</v>
      </c>
      <c r="AS54" s="88" t="n">
        <f aca="false">Acquisitions!AS$113+Acquisitions!AS$115+Acquisitions!AS$117+Acquisitions!AS$119+Acquisitions!AS$121+Acquisitions!AS$123+Acquisitions!AS$125+Acquisitions!AS$127+Acquisitions!AS$129+Acquisitions!AS$131+Acquisitions!AS$133+Acquisitions!AS$135+Acquisitions!AS$137</f>
        <v>43.9317446565268</v>
      </c>
      <c r="AT54" s="88" t="n">
        <f aca="false">Acquisitions!AT$113+Acquisitions!AT$115+Acquisitions!AT$117+Acquisitions!AT$119+Acquisitions!AT$121+Acquisitions!AT$123+Acquisitions!AT$125+Acquisitions!AT$127+Acquisitions!AT$129+Acquisitions!AT$131+Acquisitions!AT$133+Acquisitions!AT$135+Acquisitions!AT$137</f>
        <v>45.169351068933</v>
      </c>
      <c r="AU54" s="88" t="n">
        <f aca="false">Acquisitions!AU$113+Acquisitions!AU$115+Acquisitions!AU$117+Acquisitions!AU$119+Acquisitions!AU$121+Acquisitions!AU$123+Acquisitions!AU$125+Acquisitions!AU$127+Acquisitions!AU$129+Acquisitions!AU$131+Acquisitions!AU$133+Acquisitions!AU$135+Acquisitions!AU$137</f>
        <v>46.4069574813393</v>
      </c>
      <c r="AV54" s="88" t="n">
        <f aca="false">Acquisitions!AV$113+Acquisitions!AV$115+Acquisitions!AV$117+Acquisitions!AV$119+Acquisitions!AV$121+Acquisitions!AV$123+Acquisitions!AV$125+Acquisitions!AV$127+Acquisitions!AV$129+Acquisitions!AV$131+Acquisitions!AV$133+Acquisitions!AV$135+Acquisitions!AV$137</f>
        <v>47.6445638937456</v>
      </c>
      <c r="AW54" s="88" t="n">
        <f aca="false">Acquisitions!AW$113+Acquisitions!AW$115+Acquisitions!AW$117+Acquisitions!AW$119+Acquisitions!AW$121+Acquisitions!AW$123+Acquisitions!AW$125+Acquisitions!AW$127+Acquisitions!AW$129+Acquisitions!AW$131+Acquisitions!AW$133+Acquisitions!AW$135+Acquisitions!AW$137</f>
        <v>48.8821703061519</v>
      </c>
      <c r="AX54" s="88" t="n">
        <f aca="false">Acquisitions!AX$113+Acquisitions!AX$115+Acquisitions!AX$117+Acquisitions!AX$119+Acquisitions!AX$121+Acquisitions!AX$123+Acquisitions!AX$125+Acquisitions!AX$127+Acquisitions!AX$129+Acquisitions!AX$131+Acquisitions!AX$133+Acquisitions!AX$135+Acquisitions!AX$137</f>
        <v>50.1197767185581</v>
      </c>
      <c r="AY54" s="88" t="n">
        <f aca="false">Acquisitions!AY$113+Acquisitions!AY$115+Acquisitions!AY$117+Acquisitions!AY$119+Acquisitions!AY$121+Acquisitions!AY$123+Acquisitions!AY$125+Acquisitions!AY$127+Acquisitions!AY$129+Acquisitions!AY$131+Acquisitions!AY$133+Acquisitions!AY$135+Acquisitions!AY$137</f>
        <v>51.3573831309644</v>
      </c>
      <c r="AZ54" s="88" t="n">
        <f aca="false">Acquisitions!AZ$113+Acquisitions!AZ$115+Acquisitions!AZ$117+Acquisitions!AZ$119+Acquisitions!AZ$121+Acquisitions!AZ$123+Acquisitions!AZ$125+Acquisitions!AZ$127+Acquisitions!AZ$129+Acquisitions!AZ$131+Acquisitions!AZ$133+Acquisitions!AZ$135+Acquisitions!AZ$137</f>
        <v>52.5949895433707</v>
      </c>
      <c r="BA54" s="88" t="n">
        <f aca="false">Acquisitions!BA$113+Acquisitions!BA$115+Acquisitions!BA$117+Acquisitions!BA$119+Acquisitions!BA$121+Acquisitions!BA$123+Acquisitions!BA$125+Acquisitions!BA$127+Acquisitions!BA$129+Acquisitions!BA$131+Acquisitions!BA$133+Acquisitions!BA$135+Acquisitions!BA$137</f>
        <v>53.832595955777</v>
      </c>
      <c r="BB54" s="87" t="n">
        <f aca="false">BN54</f>
        <v>69.5095579133259</v>
      </c>
      <c r="BC54" s="88" t="n">
        <f aca="false">Acquisitions!BC$113+Acquisitions!BC$115+Acquisitions!BC$117+Acquisitions!BC$119+Acquisitions!BC$121+Acquisitions!BC$123+Acquisitions!BC$125+Acquisitions!BC$127+Acquisitions!BC$129+Acquisitions!BC$131+Acquisitions!BC$133+Acquisitions!BC$135+Acquisitions!BC$137</f>
        <v>55.0702023681832</v>
      </c>
      <c r="BD54" s="88" t="n">
        <f aca="false">Acquisitions!BD$113+Acquisitions!BD$115+Acquisitions!BD$117+Acquisitions!BD$119+Acquisitions!BD$121+Acquisitions!BD$123+Acquisitions!BD$125+Acquisitions!BD$127+Acquisitions!BD$129+Acquisitions!BD$131+Acquisitions!BD$133+Acquisitions!BD$135+Acquisitions!BD$137</f>
        <v>56.321082983451</v>
      </c>
      <c r="BE54" s="88" t="n">
        <f aca="false">Acquisitions!BE$113+Acquisitions!BE$115+Acquisitions!BE$117+Acquisitions!BE$119+Acquisitions!BE$121+Acquisitions!BE$123+Acquisitions!BE$125+Acquisitions!BE$127+Acquisitions!BE$129+Acquisitions!BE$131+Acquisitions!BE$133+Acquisitions!BE$135+Acquisitions!BE$137</f>
        <v>57.6096667786714</v>
      </c>
      <c r="BF54" s="88" t="n">
        <f aca="false">Acquisitions!BF$113+Acquisitions!BF$115+Acquisitions!BF$117+Acquisitions!BF$119+Acquisitions!BF$121+Acquisitions!BF$123+Acquisitions!BF$125+Acquisitions!BF$127+Acquisitions!BF$129+Acquisitions!BF$131+Acquisitions!BF$133+Acquisitions!BF$135+Acquisitions!BF$137</f>
        <v>58.9274021459003</v>
      </c>
      <c r="BG54" s="88" t="n">
        <f aca="false">Acquisitions!BG$113+Acquisitions!BG$115+Acquisitions!BG$117+Acquisitions!BG$119+Acquisitions!BG$121+Acquisitions!BG$123+Acquisitions!BG$125+Acquisitions!BG$127+Acquisitions!BG$129+Acquisitions!BG$131+Acquisitions!BG$133+Acquisitions!BG$135+Acquisitions!BG$137</f>
        <v>60.2501716168285</v>
      </c>
      <c r="BH54" s="88" t="n">
        <f aca="false">Acquisitions!BH$113+Acquisitions!BH$115+Acquisitions!BH$117+Acquisitions!BH$119+Acquisitions!BH$121+Acquisitions!BH$123+Acquisitions!BH$125+Acquisitions!BH$127+Acquisitions!BH$129+Acquisitions!BH$131+Acquisitions!BH$133+Acquisitions!BH$135+Acquisitions!BH$137</f>
        <v>61.5729410877567</v>
      </c>
      <c r="BI54" s="88" t="n">
        <f aca="false">Acquisitions!BI$113+Acquisitions!BI$115+Acquisitions!BI$117+Acquisitions!BI$119+Acquisitions!BI$121+Acquisitions!BI$123+Acquisitions!BI$125+Acquisitions!BI$127+Acquisitions!BI$129+Acquisitions!BI$131+Acquisitions!BI$133+Acquisitions!BI$135+Acquisitions!BI$137</f>
        <v>62.8957105586849</v>
      </c>
      <c r="BJ54" s="88" t="n">
        <f aca="false">Acquisitions!BJ$113+Acquisitions!BJ$115+Acquisitions!BJ$117+Acquisitions!BJ$119+Acquisitions!BJ$121+Acquisitions!BJ$123+Acquisitions!BJ$125+Acquisitions!BJ$127+Acquisitions!BJ$129+Acquisitions!BJ$131+Acquisitions!BJ$133+Acquisitions!BJ$135+Acquisitions!BJ$137</f>
        <v>64.2184800296131</v>
      </c>
      <c r="BK54" s="88" t="n">
        <f aca="false">Acquisitions!BK$113+Acquisitions!BK$115+Acquisitions!BK$117+Acquisitions!BK$119+Acquisitions!BK$121+Acquisitions!BK$123+Acquisitions!BK$125+Acquisitions!BK$127+Acquisitions!BK$129+Acquisitions!BK$131+Acquisitions!BK$133+Acquisitions!BK$135+Acquisitions!BK$137</f>
        <v>65.5412495005413</v>
      </c>
      <c r="BL54" s="88" t="n">
        <f aca="false">Acquisitions!BL$113+Acquisitions!BL$115+Acquisitions!BL$117+Acquisitions!BL$119+Acquisitions!BL$121+Acquisitions!BL$123+Acquisitions!BL$125+Acquisitions!BL$127+Acquisitions!BL$129+Acquisitions!BL$131+Acquisitions!BL$133+Acquisitions!BL$135+Acquisitions!BL$137</f>
        <v>66.8640189714695</v>
      </c>
      <c r="BM54" s="88" t="n">
        <f aca="false">Acquisitions!BM$113+Acquisitions!BM$115+Acquisitions!BM$117+Acquisitions!BM$119+Acquisitions!BM$121+Acquisitions!BM$123+Acquisitions!BM$125+Acquisitions!BM$127+Acquisitions!BM$129+Acquisitions!BM$131+Acquisitions!BM$133+Acquisitions!BM$135+Acquisitions!BM$137</f>
        <v>68.1867884423977</v>
      </c>
      <c r="BN54" s="88" t="n">
        <f aca="false">Acquisitions!BN$113+Acquisitions!BN$115+Acquisitions!BN$117+Acquisitions!BN$119+Acquisitions!BN$121+Acquisitions!BN$123+Acquisitions!BN$125+Acquisitions!BN$127+Acquisitions!BN$129+Acquisitions!BN$131+Acquisitions!BN$133+Acquisitions!BN$135+Acquisitions!BN$137</f>
        <v>69.5095579133259</v>
      </c>
    </row>
    <row r="55" customFormat="false" ht="15" hidden="false" customHeight="false" outlineLevel="0" collapsed="false">
      <c r="A55" s="12" t="s">
        <v>700</v>
      </c>
      <c r="B55" s="64" t="n">
        <f aca="false">IFERROR(AVERAGE(C55:N55),0)</f>
        <v>1493.09049082124</v>
      </c>
      <c r="C55" s="76" t="n">
        <f aca="false">Acquisitions!C$153</f>
        <v>0</v>
      </c>
      <c r="D55" s="76" t="n">
        <f aca="false">Acquisitions!D$153</f>
        <v>1628.82598998681</v>
      </c>
      <c r="E55" s="76" t="n">
        <f aca="false">Acquisitions!E$153</f>
        <v>1628.82598998681</v>
      </c>
      <c r="F55" s="76" t="n">
        <f aca="false">Acquisitions!F$153</f>
        <v>1628.82598998681</v>
      </c>
      <c r="G55" s="76" t="n">
        <f aca="false">Acquisitions!G$153</f>
        <v>1628.82598998681</v>
      </c>
      <c r="H55" s="76" t="n">
        <f aca="false">Acquisitions!H$153</f>
        <v>1628.82598998681</v>
      </c>
      <c r="I55" s="76" t="n">
        <f aca="false">Acquisitions!I$153</f>
        <v>1628.82598998681</v>
      </c>
      <c r="J55" s="76" t="n">
        <f aca="false">Acquisitions!J$153</f>
        <v>1628.82598998681</v>
      </c>
      <c r="K55" s="76" t="n">
        <f aca="false">Acquisitions!K$153</f>
        <v>1628.82598998681</v>
      </c>
      <c r="L55" s="76" t="n">
        <f aca="false">Acquisitions!L$153</f>
        <v>1628.82598998681</v>
      </c>
      <c r="M55" s="76" t="n">
        <f aca="false">Acquisitions!M$153</f>
        <v>1628.82598998681</v>
      </c>
      <c r="N55" s="76" t="n">
        <f aca="false">Acquisitions!N$153</f>
        <v>1628.82598998681</v>
      </c>
      <c r="O55" s="64" t="n">
        <f aca="false">IFERROR(AVERAGE(P55:AA55),0)</f>
        <v>2656.61578739046</v>
      </c>
      <c r="P55" s="76" t="n">
        <f aca="false">Acquisitions!P$153</f>
        <v>3906.0327518211</v>
      </c>
      <c r="Q55" s="76" t="n">
        <f aca="false">Acquisitions!Q$153</f>
        <v>2543.03242698768</v>
      </c>
      <c r="R55" s="76" t="n">
        <f aca="false">Acquisitions!R$153</f>
        <v>2543.03242698768</v>
      </c>
      <c r="S55" s="76" t="n">
        <f aca="false">Acquisitions!S$153</f>
        <v>2543.03242698768</v>
      </c>
      <c r="T55" s="76" t="n">
        <f aca="false">Acquisitions!T$153</f>
        <v>2543.03242698768</v>
      </c>
      <c r="U55" s="76" t="n">
        <f aca="false">Acquisitions!U$153</f>
        <v>2543.03242698768</v>
      </c>
      <c r="V55" s="76" t="n">
        <f aca="false">Acquisitions!V$153</f>
        <v>2543.03242698768</v>
      </c>
      <c r="W55" s="76" t="n">
        <f aca="false">Acquisitions!W$153</f>
        <v>2543.03242698768</v>
      </c>
      <c r="X55" s="76" t="n">
        <f aca="false">Acquisitions!X$153</f>
        <v>2543.03242698768</v>
      </c>
      <c r="Y55" s="76" t="n">
        <f aca="false">Acquisitions!Y$153</f>
        <v>2543.03242698768</v>
      </c>
      <c r="Z55" s="76" t="n">
        <f aca="false">Acquisitions!Z$153</f>
        <v>2543.03242698768</v>
      </c>
      <c r="AA55" s="76" t="n">
        <f aca="false">Acquisitions!AA$153</f>
        <v>2543.03242698768</v>
      </c>
      <c r="AB55" s="64" t="n">
        <f aca="false">IFERROR(AVERAGE(AC55:AN55),0)</f>
        <v>3323.23948223052</v>
      </c>
      <c r="AC55" s="76" t="n">
        <f aca="false">Acquisitions!AC$153</f>
        <v>4784.91627709523</v>
      </c>
      <c r="AD55" s="76" t="n">
        <f aca="false">Acquisitions!AD$153</f>
        <v>3190.35977360646</v>
      </c>
      <c r="AE55" s="76" t="n">
        <f aca="false">Acquisitions!AE$153</f>
        <v>3190.35977360646</v>
      </c>
      <c r="AF55" s="76" t="n">
        <f aca="false">Acquisitions!AF$153</f>
        <v>3190.35977360646</v>
      </c>
      <c r="AG55" s="76" t="n">
        <f aca="false">Acquisitions!AG$153</f>
        <v>3190.35977360646</v>
      </c>
      <c r="AH55" s="76" t="n">
        <f aca="false">Acquisitions!AH$153</f>
        <v>3190.35977360646</v>
      </c>
      <c r="AI55" s="76" t="n">
        <f aca="false">Acquisitions!AI$153</f>
        <v>3190.35977360646</v>
      </c>
      <c r="AJ55" s="76" t="n">
        <f aca="false">Acquisitions!AJ$153</f>
        <v>3190.35977360646</v>
      </c>
      <c r="AK55" s="76" t="n">
        <f aca="false">Acquisitions!AK$153</f>
        <v>3190.35977360646</v>
      </c>
      <c r="AL55" s="76" t="n">
        <f aca="false">Acquisitions!AL$153</f>
        <v>3190.35977360646</v>
      </c>
      <c r="AM55" s="76" t="n">
        <f aca="false">Acquisitions!AM$153</f>
        <v>3190.35977360646</v>
      </c>
      <c r="AN55" s="76" t="n">
        <f aca="false">Acquisitions!AN$153</f>
        <v>3190.35977360646</v>
      </c>
      <c r="AO55" s="64" t="n">
        <f aca="false">IFERROR(AVERAGE(AP55:BA55),0)</f>
        <v>3509.13141809563</v>
      </c>
      <c r="AP55" s="76" t="n">
        <f aca="false">Acquisitions!AP$153</f>
        <v>4441.06927237558</v>
      </c>
      <c r="AQ55" s="76" t="n">
        <f aca="false">Acquisitions!AQ$153</f>
        <v>3424.40979497928</v>
      </c>
      <c r="AR55" s="76" t="n">
        <f aca="false">Acquisitions!AR$153</f>
        <v>3424.40979497928</v>
      </c>
      <c r="AS55" s="76" t="n">
        <f aca="false">Acquisitions!AS$153</f>
        <v>3424.40979497928</v>
      </c>
      <c r="AT55" s="76" t="n">
        <f aca="false">Acquisitions!AT$153</f>
        <v>3424.40979497928</v>
      </c>
      <c r="AU55" s="76" t="n">
        <f aca="false">Acquisitions!AU$153</f>
        <v>3424.40979497928</v>
      </c>
      <c r="AV55" s="76" t="n">
        <f aca="false">Acquisitions!AV$153</f>
        <v>3424.40979497928</v>
      </c>
      <c r="AW55" s="76" t="n">
        <f aca="false">Acquisitions!AW$153</f>
        <v>3424.40979497928</v>
      </c>
      <c r="AX55" s="76" t="n">
        <f aca="false">Acquisitions!AX$153</f>
        <v>3424.40979497928</v>
      </c>
      <c r="AY55" s="76" t="n">
        <f aca="false">Acquisitions!AY$153</f>
        <v>3424.40979497928</v>
      </c>
      <c r="AZ55" s="76" t="n">
        <f aca="false">Acquisitions!AZ$153</f>
        <v>3424.40979497928</v>
      </c>
      <c r="BA55" s="76" t="n">
        <f aca="false">Acquisitions!BA$153</f>
        <v>3424.40979497928</v>
      </c>
      <c r="BB55" s="64" t="n">
        <f aca="false">IFERROR(AVERAGE(BC55:BN55),0)</f>
        <v>3593.71127801931</v>
      </c>
      <c r="BC55" s="76" t="n">
        <f aca="false">Acquisitions!BC$153</f>
        <v>4332.38011645269</v>
      </c>
      <c r="BD55" s="76" t="n">
        <f aca="false">Acquisitions!BD$153</f>
        <v>3526.55956543446</v>
      </c>
      <c r="BE55" s="76" t="n">
        <f aca="false">Acquisitions!BE$153</f>
        <v>3526.55956543446</v>
      </c>
      <c r="BF55" s="76" t="n">
        <f aca="false">Acquisitions!BF$153</f>
        <v>3526.55956543446</v>
      </c>
      <c r="BG55" s="76" t="n">
        <f aca="false">Acquisitions!BG$153</f>
        <v>3526.55956543446</v>
      </c>
      <c r="BH55" s="76" t="n">
        <f aca="false">Acquisitions!BH$153</f>
        <v>3526.55956543446</v>
      </c>
      <c r="BI55" s="76" t="n">
        <f aca="false">Acquisitions!BI$153</f>
        <v>3526.55956543446</v>
      </c>
      <c r="BJ55" s="76" t="n">
        <f aca="false">Acquisitions!BJ$153</f>
        <v>3526.55956543446</v>
      </c>
      <c r="BK55" s="76" t="n">
        <f aca="false">Acquisitions!BK$153</f>
        <v>3526.55956543446</v>
      </c>
      <c r="BL55" s="76" t="n">
        <f aca="false">Acquisitions!BL$153</f>
        <v>3526.55956543446</v>
      </c>
      <c r="BM55" s="76" t="n">
        <f aca="false">Acquisitions!BM$153</f>
        <v>3526.55956543446</v>
      </c>
      <c r="BN55" s="76" t="n">
        <f aca="false">Acquisitions!BN$153</f>
        <v>3526.55956543446</v>
      </c>
    </row>
    <row r="58" customFormat="false" ht="16.5" hidden="false" customHeight="true" outlineLevel="0" collapsed="false">
      <c r="A58" s="15" t="s">
        <v>701</v>
      </c>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row>
    <row r="59" customFormat="false" ht="15" hidden="false" customHeight="false" outlineLevel="0" collapsed="false">
      <c r="A59" s="71" t="s">
        <v>702</v>
      </c>
    </row>
    <row r="60" customFormat="false" ht="30" hidden="false" customHeight="true" outlineLevel="0" collapsed="false">
      <c r="A60" s="48" t="s">
        <v>270</v>
      </c>
      <c r="B60" s="48" t="s">
        <v>703</v>
      </c>
      <c r="C60" s="48" t="s">
        <v>275</v>
      </c>
      <c r="D60" s="48" t="s">
        <v>704</v>
      </c>
      <c r="E60" s="48" t="s">
        <v>705</v>
      </c>
      <c r="F60" s="48" t="s">
        <v>706</v>
      </c>
      <c r="G60" s="48" t="s">
        <v>707</v>
      </c>
    </row>
    <row r="61" customFormat="false" ht="15" hidden="false" customHeight="false" outlineLevel="0" collapsed="false">
      <c r="A61" s="49" t="s">
        <v>277</v>
      </c>
      <c r="B61" s="101" t="n">
        <f aca="false">1</f>
        <v>1</v>
      </c>
      <c r="C61" s="101" t="n">
        <f aca="false">'Assumption Setting'!$G$68</f>
        <v>1</v>
      </c>
      <c r="D61" s="101" t="n">
        <f aca="false">B61+C61</f>
        <v>2</v>
      </c>
      <c r="E61" s="101" t="n">
        <f aca="false">'Assumption Setting'!$H$68</f>
        <v>2</v>
      </c>
      <c r="F61" s="102" t="n">
        <f aca="false">D61+E61</f>
        <v>4</v>
      </c>
      <c r="G61" s="103" t="n">
        <f aca="false">EDATE('Assumption Setting'!$C$7,F61-1)</f>
        <v>46388</v>
      </c>
    </row>
    <row r="62" customFormat="false" ht="15" hidden="false" customHeight="false" outlineLevel="0" collapsed="false">
      <c r="A62" s="49" t="s">
        <v>279</v>
      </c>
      <c r="B62" s="101" t="n">
        <f aca="false">1</f>
        <v>1</v>
      </c>
      <c r="C62" s="101" t="n">
        <f aca="false">'Assumption Setting'!$G$69</f>
        <v>1</v>
      </c>
      <c r="D62" s="101" t="n">
        <f aca="false">B62+C62</f>
        <v>2</v>
      </c>
      <c r="E62" s="101" t="n">
        <f aca="false">'Assumption Setting'!$H$69</f>
        <v>1</v>
      </c>
      <c r="F62" s="102" t="n">
        <f aca="false">D62+E62</f>
        <v>3</v>
      </c>
      <c r="G62" s="103" t="n">
        <f aca="false">EDATE('Assumption Setting'!$C$7,F62-1)</f>
        <v>46357</v>
      </c>
    </row>
    <row r="63" customFormat="false" ht="15" hidden="false" customHeight="false" outlineLevel="0" collapsed="false">
      <c r="A63" s="49" t="s">
        <v>281</v>
      </c>
      <c r="B63" s="101" t="n">
        <f aca="false">1</f>
        <v>1</v>
      </c>
      <c r="C63" s="101" t="n">
        <f aca="false">'Assumption Setting'!$G$70</f>
        <v>1</v>
      </c>
      <c r="D63" s="101" t="n">
        <f aca="false">B63+C63</f>
        <v>2</v>
      </c>
      <c r="E63" s="101" t="n">
        <f aca="false">'Assumption Setting'!$H$70</f>
        <v>3</v>
      </c>
      <c r="F63" s="102" t="n">
        <f aca="false">D63+E63</f>
        <v>5</v>
      </c>
      <c r="G63" s="103" t="n">
        <f aca="false">EDATE('Assumption Setting'!$C$7,F63-1)</f>
        <v>46419</v>
      </c>
    </row>
    <row r="64" customFormat="false" ht="15" hidden="false" customHeight="false" outlineLevel="0" collapsed="false">
      <c r="A64" s="49" t="s">
        <v>283</v>
      </c>
      <c r="B64" s="101" t="n">
        <f aca="false">1</f>
        <v>1</v>
      </c>
      <c r="C64" s="101" t="n">
        <f aca="false">'Assumption Setting'!$G$71</f>
        <v>1</v>
      </c>
      <c r="D64" s="101" t="n">
        <f aca="false">B64+C64</f>
        <v>2</v>
      </c>
      <c r="E64" s="101" t="n">
        <f aca="false">'Assumption Setting'!$H$71</f>
        <v>3</v>
      </c>
      <c r="F64" s="102" t="n">
        <f aca="false">D64+E64</f>
        <v>5</v>
      </c>
      <c r="G64" s="103" t="n">
        <f aca="false">EDATE('Assumption Setting'!$C$7,F64-1)</f>
        <v>46419</v>
      </c>
    </row>
    <row r="65" customFormat="false" ht="15" hidden="false" customHeight="false" outlineLevel="0" collapsed="false">
      <c r="A65" s="49" t="s">
        <v>285</v>
      </c>
      <c r="B65" s="101" t="n">
        <f aca="false">1</f>
        <v>1</v>
      </c>
      <c r="C65" s="101" t="n">
        <f aca="false">'Assumption Setting'!$G$72</f>
        <v>1</v>
      </c>
      <c r="D65" s="101" t="n">
        <f aca="false">B65+C65</f>
        <v>2</v>
      </c>
      <c r="E65" s="101" t="n">
        <f aca="false">'Assumption Setting'!$H$72</f>
        <v>2</v>
      </c>
      <c r="F65" s="102" t="n">
        <f aca="false">D65+E65</f>
        <v>4</v>
      </c>
      <c r="G65" s="103" t="n">
        <f aca="false">EDATE('Assumption Setting'!$C$7,F65-1)</f>
        <v>46388</v>
      </c>
    </row>
    <row r="66" customFormat="false" ht="15" hidden="false" customHeight="false" outlineLevel="0" collapsed="false">
      <c r="A66" s="49" t="s">
        <v>287</v>
      </c>
      <c r="B66" s="101" t="n">
        <f aca="false">1</f>
        <v>1</v>
      </c>
      <c r="C66" s="101" t="n">
        <f aca="false">'Assumption Setting'!$G$73</f>
        <v>1</v>
      </c>
      <c r="D66" s="101" t="n">
        <f aca="false">B66+C66</f>
        <v>2</v>
      </c>
      <c r="E66" s="101" t="n">
        <f aca="false">'Assumption Setting'!$H$73</f>
        <v>1</v>
      </c>
      <c r="F66" s="102" t="n">
        <f aca="false">D66+E66</f>
        <v>3</v>
      </c>
      <c r="G66" s="103" t="n">
        <f aca="false">EDATE('Assumption Setting'!$C$7,F66-1)</f>
        <v>46357</v>
      </c>
    </row>
    <row r="68" customFormat="false" ht="15" hidden="false" customHeight="false" outlineLevel="0" collapsed="false">
      <c r="A68" s="71" t="s">
        <v>708</v>
      </c>
    </row>
    <row r="70" customFormat="false" ht="16.5" hidden="false" customHeight="true" outlineLevel="0" collapsed="false">
      <c r="A70" s="15" t="s">
        <v>709</v>
      </c>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row>
    <row r="71" customFormat="false" ht="15" hidden="false" customHeight="true" outlineLevel="0" collapsed="false">
      <c r="A71" s="26" t="s">
        <v>481</v>
      </c>
      <c r="B71" s="61" t="s">
        <v>81</v>
      </c>
      <c r="C71" s="62" t="s">
        <v>482</v>
      </c>
      <c r="D71" s="62" t="s">
        <v>483</v>
      </c>
      <c r="E71" s="62" t="s">
        <v>484</v>
      </c>
      <c r="F71" s="62" t="s">
        <v>485</v>
      </c>
      <c r="G71" s="62" t="s">
        <v>486</v>
      </c>
      <c r="H71" s="62" t="s">
        <v>487</v>
      </c>
      <c r="I71" s="62" t="s">
        <v>488</v>
      </c>
      <c r="J71" s="62" t="s">
        <v>489</v>
      </c>
      <c r="K71" s="62" t="s">
        <v>490</v>
      </c>
      <c r="L71" s="62" t="s">
        <v>491</v>
      </c>
      <c r="M71" s="62" t="s">
        <v>492</v>
      </c>
      <c r="N71" s="62" t="s">
        <v>493</v>
      </c>
      <c r="O71" s="61" t="s">
        <v>82</v>
      </c>
      <c r="P71" s="63" t="s">
        <v>494</v>
      </c>
      <c r="Q71" s="63" t="s">
        <v>495</v>
      </c>
      <c r="R71" s="63" t="s">
        <v>496</v>
      </c>
      <c r="S71" s="63" t="s">
        <v>497</v>
      </c>
      <c r="T71" s="63" t="s">
        <v>498</v>
      </c>
      <c r="U71" s="63" t="s">
        <v>499</v>
      </c>
      <c r="V71" s="63" t="s">
        <v>500</v>
      </c>
      <c r="W71" s="63" t="s">
        <v>501</v>
      </c>
      <c r="X71" s="63" t="s">
        <v>502</v>
      </c>
      <c r="Y71" s="63" t="s">
        <v>503</v>
      </c>
      <c r="Z71" s="63" t="s">
        <v>504</v>
      </c>
      <c r="AA71" s="63" t="s">
        <v>505</v>
      </c>
      <c r="AB71" s="61" t="s">
        <v>83</v>
      </c>
      <c r="AC71" s="62" t="s">
        <v>506</v>
      </c>
      <c r="AD71" s="62" t="s">
        <v>507</v>
      </c>
      <c r="AE71" s="62" t="s">
        <v>508</v>
      </c>
      <c r="AF71" s="62" t="s">
        <v>509</v>
      </c>
      <c r="AG71" s="62" t="s">
        <v>510</v>
      </c>
      <c r="AH71" s="62" t="s">
        <v>511</v>
      </c>
      <c r="AI71" s="62" t="s">
        <v>512</v>
      </c>
      <c r="AJ71" s="62" t="s">
        <v>513</v>
      </c>
      <c r="AK71" s="62" t="s">
        <v>514</v>
      </c>
      <c r="AL71" s="62" t="s">
        <v>515</v>
      </c>
      <c r="AM71" s="62" t="s">
        <v>516</v>
      </c>
      <c r="AN71" s="62" t="s">
        <v>517</v>
      </c>
      <c r="AO71" s="61" t="s">
        <v>84</v>
      </c>
      <c r="AP71" s="63" t="s">
        <v>518</v>
      </c>
      <c r="AQ71" s="63" t="s">
        <v>519</v>
      </c>
      <c r="AR71" s="63" t="s">
        <v>520</v>
      </c>
      <c r="AS71" s="63" t="s">
        <v>521</v>
      </c>
      <c r="AT71" s="63" t="s">
        <v>522</v>
      </c>
      <c r="AU71" s="63" t="s">
        <v>523</v>
      </c>
      <c r="AV71" s="63" t="s">
        <v>524</v>
      </c>
      <c r="AW71" s="63" t="s">
        <v>525</v>
      </c>
      <c r="AX71" s="63" t="s">
        <v>526</v>
      </c>
      <c r="AY71" s="63" t="s">
        <v>527</v>
      </c>
      <c r="AZ71" s="63" t="s">
        <v>528</v>
      </c>
      <c r="BA71" s="63" t="s">
        <v>529</v>
      </c>
      <c r="BB71" s="61" t="s">
        <v>85</v>
      </c>
      <c r="BC71" s="62" t="s">
        <v>530</v>
      </c>
      <c r="BD71" s="62" t="s">
        <v>531</v>
      </c>
      <c r="BE71" s="62" t="s">
        <v>532</v>
      </c>
      <c r="BF71" s="62" t="s">
        <v>533</v>
      </c>
      <c r="BG71" s="62" t="s">
        <v>534</v>
      </c>
      <c r="BH71" s="62" t="s">
        <v>535</v>
      </c>
      <c r="BI71" s="62" t="s">
        <v>536</v>
      </c>
      <c r="BJ71" s="62" t="s">
        <v>537</v>
      </c>
      <c r="BK71" s="62" t="s">
        <v>538</v>
      </c>
      <c r="BL71" s="62" t="s">
        <v>539</v>
      </c>
      <c r="BM71" s="62" t="s">
        <v>540</v>
      </c>
      <c r="BN71" s="62" t="s">
        <v>541</v>
      </c>
    </row>
    <row r="72" customFormat="false" ht="15" hidden="false" customHeight="false" outlineLevel="0" collapsed="false">
      <c r="A72" s="12" t="s">
        <v>710</v>
      </c>
      <c r="B72" s="64" t="n">
        <f aca="false">SUM(C72:N72)</f>
        <v>10140</v>
      </c>
      <c r="C72" s="76" t="n">
        <f aca="false">Acquisitions!C$61</f>
        <v>845</v>
      </c>
      <c r="D72" s="76" t="n">
        <f aca="false">Acquisitions!D$61</f>
        <v>845</v>
      </c>
      <c r="E72" s="76" t="n">
        <f aca="false">Acquisitions!E$61</f>
        <v>845</v>
      </c>
      <c r="F72" s="76" t="n">
        <f aca="false">Acquisitions!F$61</f>
        <v>845</v>
      </c>
      <c r="G72" s="76" t="n">
        <f aca="false">Acquisitions!G$61</f>
        <v>845</v>
      </c>
      <c r="H72" s="76" t="n">
        <f aca="false">Acquisitions!H$61</f>
        <v>845</v>
      </c>
      <c r="I72" s="76" t="n">
        <f aca="false">Acquisitions!I$61</f>
        <v>845</v>
      </c>
      <c r="J72" s="76" t="n">
        <f aca="false">Acquisitions!J$61</f>
        <v>845</v>
      </c>
      <c r="K72" s="76" t="n">
        <f aca="false">Acquisitions!K$61</f>
        <v>845</v>
      </c>
      <c r="L72" s="76" t="n">
        <f aca="false">Acquisitions!L$61</f>
        <v>845</v>
      </c>
      <c r="M72" s="76" t="n">
        <f aca="false">Acquisitions!M$61</f>
        <v>845</v>
      </c>
      <c r="N72" s="76" t="n">
        <f aca="false">Acquisitions!N$61</f>
        <v>845</v>
      </c>
      <c r="O72" s="64" t="n">
        <f aca="false">SUM(P72:AA72)</f>
        <v>37500</v>
      </c>
      <c r="P72" s="76" t="n">
        <f aca="false">Acquisitions!P$61</f>
        <v>3125</v>
      </c>
      <c r="Q72" s="76" t="n">
        <f aca="false">Acquisitions!Q$61</f>
        <v>3125</v>
      </c>
      <c r="R72" s="76" t="n">
        <f aca="false">Acquisitions!R$61</f>
        <v>3125</v>
      </c>
      <c r="S72" s="76" t="n">
        <f aca="false">Acquisitions!S$61</f>
        <v>3125</v>
      </c>
      <c r="T72" s="76" t="n">
        <f aca="false">Acquisitions!T$61</f>
        <v>3125</v>
      </c>
      <c r="U72" s="76" t="n">
        <f aca="false">Acquisitions!U$61</f>
        <v>3125</v>
      </c>
      <c r="V72" s="76" t="n">
        <f aca="false">Acquisitions!V$61</f>
        <v>3125</v>
      </c>
      <c r="W72" s="76" t="n">
        <f aca="false">Acquisitions!W$61</f>
        <v>3125</v>
      </c>
      <c r="X72" s="76" t="n">
        <f aca="false">Acquisitions!X$61</f>
        <v>3125</v>
      </c>
      <c r="Y72" s="76" t="n">
        <f aca="false">Acquisitions!Y$61</f>
        <v>3125</v>
      </c>
      <c r="Z72" s="76" t="n">
        <f aca="false">Acquisitions!Z$61</f>
        <v>3125</v>
      </c>
      <c r="AA72" s="76" t="n">
        <f aca="false">Acquisitions!AA$61</f>
        <v>3125</v>
      </c>
      <c r="AB72" s="64" t="n">
        <f aca="false">SUM(AC72:AN72)</f>
        <v>74520</v>
      </c>
      <c r="AC72" s="76" t="n">
        <f aca="false">Acquisitions!AC$61</f>
        <v>6210</v>
      </c>
      <c r="AD72" s="76" t="n">
        <f aca="false">Acquisitions!AD$61</f>
        <v>6210</v>
      </c>
      <c r="AE72" s="76" t="n">
        <f aca="false">Acquisitions!AE$61</f>
        <v>6210</v>
      </c>
      <c r="AF72" s="76" t="n">
        <f aca="false">Acquisitions!AF$61</f>
        <v>6210</v>
      </c>
      <c r="AG72" s="76" t="n">
        <f aca="false">Acquisitions!AG$61</f>
        <v>6210</v>
      </c>
      <c r="AH72" s="76" t="n">
        <f aca="false">Acquisitions!AH$61</f>
        <v>6210</v>
      </c>
      <c r="AI72" s="76" t="n">
        <f aca="false">Acquisitions!AI$61</f>
        <v>6210</v>
      </c>
      <c r="AJ72" s="76" t="n">
        <f aca="false">Acquisitions!AJ$61</f>
        <v>6210</v>
      </c>
      <c r="AK72" s="76" t="n">
        <f aca="false">Acquisitions!AK$61</f>
        <v>6210</v>
      </c>
      <c r="AL72" s="76" t="n">
        <f aca="false">Acquisitions!AL$61</f>
        <v>6210</v>
      </c>
      <c r="AM72" s="76" t="n">
        <f aca="false">Acquisitions!AM$61</f>
        <v>6210</v>
      </c>
      <c r="AN72" s="76" t="n">
        <f aca="false">Acquisitions!AN$61</f>
        <v>6210</v>
      </c>
      <c r="AO72" s="64" t="n">
        <f aca="false">SUM(AP72:BA72)</f>
        <v>104880</v>
      </c>
      <c r="AP72" s="76" t="n">
        <f aca="false">Acquisitions!AP$61</f>
        <v>8740</v>
      </c>
      <c r="AQ72" s="76" t="n">
        <f aca="false">Acquisitions!AQ$61</f>
        <v>8740</v>
      </c>
      <c r="AR72" s="76" t="n">
        <f aca="false">Acquisitions!AR$61</f>
        <v>8740</v>
      </c>
      <c r="AS72" s="76" t="n">
        <f aca="false">Acquisitions!AS$61</f>
        <v>8740</v>
      </c>
      <c r="AT72" s="76" t="n">
        <f aca="false">Acquisitions!AT$61</f>
        <v>8740</v>
      </c>
      <c r="AU72" s="76" t="n">
        <f aca="false">Acquisitions!AU$61</f>
        <v>8740</v>
      </c>
      <c r="AV72" s="76" t="n">
        <f aca="false">Acquisitions!AV$61</f>
        <v>8740</v>
      </c>
      <c r="AW72" s="76" t="n">
        <f aca="false">Acquisitions!AW$61</f>
        <v>8740</v>
      </c>
      <c r="AX72" s="76" t="n">
        <f aca="false">Acquisitions!AX$61</f>
        <v>8740</v>
      </c>
      <c r="AY72" s="76" t="n">
        <f aca="false">Acquisitions!AY$61</f>
        <v>8740</v>
      </c>
      <c r="AZ72" s="76" t="n">
        <f aca="false">Acquisitions!AZ$61</f>
        <v>8740</v>
      </c>
      <c r="BA72" s="76" t="n">
        <f aca="false">Acquisitions!BA$61</f>
        <v>8740</v>
      </c>
      <c r="BB72" s="64" t="n">
        <f aca="false">SUM(BC72:BN72)</f>
        <v>134640</v>
      </c>
      <c r="BC72" s="76" t="n">
        <f aca="false">Acquisitions!BC$61</f>
        <v>11220</v>
      </c>
      <c r="BD72" s="76" t="n">
        <f aca="false">Acquisitions!BD$61</f>
        <v>11220</v>
      </c>
      <c r="BE72" s="76" t="n">
        <f aca="false">Acquisitions!BE$61</f>
        <v>11220</v>
      </c>
      <c r="BF72" s="76" t="n">
        <f aca="false">Acquisitions!BF$61</f>
        <v>11220</v>
      </c>
      <c r="BG72" s="76" t="n">
        <f aca="false">Acquisitions!BG$61</f>
        <v>11220</v>
      </c>
      <c r="BH72" s="76" t="n">
        <f aca="false">Acquisitions!BH$61</f>
        <v>11220</v>
      </c>
      <c r="BI72" s="76" t="n">
        <f aca="false">Acquisitions!BI$61</f>
        <v>11220</v>
      </c>
      <c r="BJ72" s="76" t="n">
        <f aca="false">Acquisitions!BJ$61</f>
        <v>11220</v>
      </c>
      <c r="BK72" s="76" t="n">
        <f aca="false">Acquisitions!BK$61</f>
        <v>11220</v>
      </c>
      <c r="BL72" s="76" t="n">
        <f aca="false">Acquisitions!BL$61</f>
        <v>11220</v>
      </c>
      <c r="BM72" s="76" t="n">
        <f aca="false">Acquisitions!BM$61</f>
        <v>11220</v>
      </c>
      <c r="BN72" s="76" t="n">
        <f aca="false">Acquisitions!BN$61</f>
        <v>11220</v>
      </c>
    </row>
    <row r="73" customFormat="false" ht="15" hidden="false" customHeight="false" outlineLevel="0" collapsed="false">
      <c r="A73" s="12" t="s">
        <v>95</v>
      </c>
      <c r="B73" s="78" t="n">
        <f aca="false">SUM(C73:N73)</f>
        <v>3648.31958511234</v>
      </c>
      <c r="C73" s="95" t="n">
        <f aca="false">Acquisitions!C$146</f>
        <v>500.074696903097</v>
      </c>
      <c r="D73" s="95" t="n">
        <f aca="false">Acquisitions!D$146</f>
        <v>118.124696903097</v>
      </c>
      <c r="E73" s="95" t="n">
        <f aca="false">Acquisitions!E$146</f>
        <v>140.526927674334</v>
      </c>
      <c r="F73" s="95" t="n">
        <f aca="false">Acquisitions!F$146</f>
        <v>154.935530200241</v>
      </c>
      <c r="G73" s="95" t="n">
        <f aca="false">Acquisitions!G$146</f>
        <v>196.468127195509</v>
      </c>
      <c r="H73" s="95" t="n">
        <f aca="false">Acquisitions!H$146</f>
        <v>238.000724190777</v>
      </c>
      <c r="I73" s="95" t="n">
        <f aca="false">Acquisitions!I$146</f>
        <v>279.533321186045</v>
      </c>
      <c r="J73" s="95" t="n">
        <f aca="false">Acquisitions!J$146</f>
        <v>321.065918181312</v>
      </c>
      <c r="K73" s="95" t="n">
        <f aca="false">Acquisitions!K$146</f>
        <v>362.59851517658</v>
      </c>
      <c r="L73" s="95" t="n">
        <f aca="false">Acquisitions!L$146</f>
        <v>404.131112171848</v>
      </c>
      <c r="M73" s="95" t="n">
        <f aca="false">Acquisitions!M$146</f>
        <v>445.663709167116</v>
      </c>
      <c r="N73" s="95" t="n">
        <f aca="false">Acquisitions!N$146</f>
        <v>487.196306162384</v>
      </c>
      <c r="O73" s="78" t="n">
        <f aca="false">SUM(P73:AA73)</f>
        <v>21758.722263166</v>
      </c>
      <c r="P73" s="95" t="n">
        <f aca="false">Acquisitions!P$146</f>
        <v>1390.95980865663</v>
      </c>
      <c r="Q73" s="95" t="n">
        <f aca="false">Acquisitions!Q$146</f>
        <v>1455.48477375942</v>
      </c>
      <c r="R73" s="95" t="n">
        <f aca="false">Acquisitions!R$146</f>
        <v>1525.70697539723</v>
      </c>
      <c r="S73" s="95" t="n">
        <f aca="false">Acquisitions!S$146</f>
        <v>1630.37055633436</v>
      </c>
      <c r="T73" s="95" t="n">
        <f aca="false">Acquisitions!T$146</f>
        <v>1705.73821462167</v>
      </c>
      <c r="U73" s="95" t="n">
        <f aca="false">Acquisitions!U$146</f>
        <v>1781.10587290899</v>
      </c>
      <c r="V73" s="95" t="n">
        <f aca="false">Acquisitions!V$146</f>
        <v>1856.47353119631</v>
      </c>
      <c r="W73" s="95" t="n">
        <f aca="false">Acquisitions!W$146</f>
        <v>1931.84118948363</v>
      </c>
      <c r="X73" s="95" t="n">
        <f aca="false">Acquisitions!X$146</f>
        <v>2007.20884777095</v>
      </c>
      <c r="Y73" s="95" t="n">
        <f aca="false">Acquisitions!Y$146</f>
        <v>2082.57650605827</v>
      </c>
      <c r="Z73" s="95" t="n">
        <f aca="false">Acquisitions!Z$146</f>
        <v>2157.94416434559</v>
      </c>
      <c r="AA73" s="95" t="n">
        <f aca="false">Acquisitions!AA$146</f>
        <v>2233.31182263291</v>
      </c>
      <c r="AB73" s="78" t="n">
        <f aca="false">SUM(AC73:AN73)</f>
        <v>37999.9069723366</v>
      </c>
      <c r="AC73" s="95" t="n">
        <f aca="false">Acquisitions!AC$146</f>
        <v>2601.41694325789</v>
      </c>
      <c r="AD73" s="95" t="n">
        <f aca="false">Acquisitions!AD$146</f>
        <v>2678.2470920107</v>
      </c>
      <c r="AE73" s="95" t="n">
        <f aca="false">Acquisitions!AE$146</f>
        <v>2764.69668839835</v>
      </c>
      <c r="AF73" s="95" t="n">
        <f aca="false">Acquisitions!AF$146</f>
        <v>2858.49774685224</v>
      </c>
      <c r="AG73" s="95" t="n">
        <f aca="false">Acquisitions!AG$146</f>
        <v>2975.97181704667</v>
      </c>
      <c r="AH73" s="95" t="n">
        <f aca="false">Acquisitions!AH$146</f>
        <v>3093.4458872411</v>
      </c>
      <c r="AI73" s="95" t="n">
        <f aca="false">Acquisitions!AI$146</f>
        <v>3210.91995743553</v>
      </c>
      <c r="AJ73" s="95" t="n">
        <f aca="false">Acquisitions!AJ$146</f>
        <v>3328.39402762996</v>
      </c>
      <c r="AK73" s="95" t="n">
        <f aca="false">Acquisitions!AK$146</f>
        <v>3445.86809782439</v>
      </c>
      <c r="AL73" s="95" t="n">
        <f aca="false">Acquisitions!AL$146</f>
        <v>3563.34216801882</v>
      </c>
      <c r="AM73" s="95" t="n">
        <f aca="false">Acquisitions!AM$146</f>
        <v>3680.81623821324</v>
      </c>
      <c r="AN73" s="95" t="n">
        <f aca="false">Acquisitions!AN$146</f>
        <v>3798.29030840767</v>
      </c>
      <c r="AO73" s="78" t="n">
        <f aca="false">SUM(AP73:BA73)</f>
        <v>57390.1395468559</v>
      </c>
      <c r="AP73" s="95" t="n">
        <f aca="false">Acquisitions!AP$146</f>
        <v>4179.46245875528</v>
      </c>
      <c r="AQ73" s="95" t="n">
        <f aca="false">Acquisitions!AQ$146</f>
        <v>4295.88833256161</v>
      </c>
      <c r="AR73" s="95" t="n">
        <f aca="false">Acquisitions!AR$146</f>
        <v>4410.09623133237</v>
      </c>
      <c r="AS73" s="95" t="n">
        <f aca="false">Acquisitions!AS$146</f>
        <v>4520.85713668243</v>
      </c>
      <c r="AT73" s="95" t="n">
        <f aca="false">Acquisitions!AT$146</f>
        <v>4626.88431151756</v>
      </c>
      <c r="AU73" s="95" t="n">
        <f aca="false">Acquisitions!AU$146</f>
        <v>4732.91148635269</v>
      </c>
      <c r="AV73" s="95" t="n">
        <f aca="false">Acquisitions!AV$146</f>
        <v>4838.93866118783</v>
      </c>
      <c r="AW73" s="95" t="n">
        <f aca="false">Acquisitions!AW$146</f>
        <v>4944.96583602296</v>
      </c>
      <c r="AX73" s="95" t="n">
        <f aca="false">Acquisitions!AX$146</f>
        <v>5050.99301085809</v>
      </c>
      <c r="AY73" s="95" t="n">
        <f aca="false">Acquisitions!AY$146</f>
        <v>5157.02018569322</v>
      </c>
      <c r="AZ73" s="95" t="n">
        <f aca="false">Acquisitions!AZ$146</f>
        <v>5263.04736052836</v>
      </c>
      <c r="BA73" s="95" t="n">
        <f aca="false">Acquisitions!BA$146</f>
        <v>5369.07453536349</v>
      </c>
      <c r="BB73" s="78" t="n">
        <f aca="false">SUM(BC73:BN73)</f>
        <v>76141.258156982</v>
      </c>
      <c r="BC73" s="95" t="n">
        <f aca="false">Acquisitions!BC$146</f>
        <v>5733.66209438111</v>
      </c>
      <c r="BD73" s="95" t="n">
        <f aca="false">Acquisitions!BD$146</f>
        <v>5840.62236759386</v>
      </c>
      <c r="BE73" s="95" t="n">
        <f aca="false">Acquisitions!BE$146</f>
        <v>5948.83457685061</v>
      </c>
      <c r="BF73" s="95" t="n">
        <f aca="false">Acquisitions!BF$146</f>
        <v>6059.83379788143</v>
      </c>
      <c r="BG73" s="95" t="n">
        <f aca="false">Acquisitions!BG$146</f>
        <v>6173.15699058208</v>
      </c>
      <c r="BH73" s="95" t="n">
        <f aca="false">Acquisitions!BH$146</f>
        <v>6286.48018328274</v>
      </c>
      <c r="BI73" s="95" t="n">
        <f aca="false">Acquisitions!BI$146</f>
        <v>6399.80337598339</v>
      </c>
      <c r="BJ73" s="95" t="n">
        <f aca="false">Acquisitions!BJ$146</f>
        <v>6513.12656868404</v>
      </c>
      <c r="BK73" s="95" t="n">
        <f aca="false">Acquisitions!BK$146</f>
        <v>6626.4497613847</v>
      </c>
      <c r="BL73" s="95" t="n">
        <f aca="false">Acquisitions!BL$146</f>
        <v>6739.77295408535</v>
      </c>
      <c r="BM73" s="95" t="n">
        <f aca="false">Acquisitions!BM$146</f>
        <v>6853.096146786</v>
      </c>
      <c r="BN73" s="95" t="n">
        <f aca="false">Acquisitions!BN$146</f>
        <v>6966.41933948666</v>
      </c>
    </row>
    <row r="74" customFormat="false" ht="15" hidden="false" customHeight="false" outlineLevel="0" collapsed="false">
      <c r="A74" s="12" t="s">
        <v>711</v>
      </c>
      <c r="B74" s="80" t="n">
        <f aca="false">SUM(C74:N74)</f>
        <v>108.373569133677</v>
      </c>
      <c r="C74" s="96" t="n">
        <f aca="false">Acquisitions!C$148</f>
        <v>15.8928130295038</v>
      </c>
      <c r="D74" s="96" t="n">
        <f aca="false">Acquisitions!D$148</f>
        <v>2.52456302950383</v>
      </c>
      <c r="E74" s="96" t="n">
        <f aca="false">Acquisitions!E$148</f>
        <v>3.30864110649712</v>
      </c>
      <c r="F74" s="96" t="n">
        <f aca="false">Acquisitions!F$148</f>
        <v>3.81294219490387</v>
      </c>
      <c r="G74" s="96" t="n">
        <f aca="false">Acquisitions!G$148</f>
        <v>5.26658308973825</v>
      </c>
      <c r="H74" s="96" t="n">
        <f aca="false">Acquisitions!H$148</f>
        <v>6.72022398457262</v>
      </c>
      <c r="I74" s="96" t="n">
        <f aca="false">Acquisitions!I$148</f>
        <v>8.173864879407</v>
      </c>
      <c r="J74" s="96" t="n">
        <f aca="false">Acquisitions!J$148</f>
        <v>9.62750577424137</v>
      </c>
      <c r="K74" s="96" t="n">
        <f aca="false">Acquisitions!K$148</f>
        <v>11.0811466690758</v>
      </c>
      <c r="L74" s="96" t="n">
        <f aca="false">Acquisitions!L$148</f>
        <v>12.5347875639101</v>
      </c>
      <c r="M74" s="96" t="n">
        <f aca="false">Acquisitions!M$148</f>
        <v>13.9884284587445</v>
      </c>
      <c r="N74" s="96" t="n">
        <f aca="false">Acquisitions!N$148</f>
        <v>15.4420693535789</v>
      </c>
      <c r="O74" s="80" t="n">
        <f aca="false">SUM(P74:AA74)</f>
        <v>791.472163393772</v>
      </c>
      <c r="P74" s="96" t="n">
        <f aca="false">Acquisitions!P$148</f>
        <v>49.0653317518597</v>
      </c>
      <c r="Q74" s="96" t="n">
        <f aca="false">Acquisitions!Q$148</f>
        <v>51.6463303559711</v>
      </c>
      <c r="R74" s="96" t="n">
        <f aca="false">Acquisitions!R$148</f>
        <v>54.4552184214838</v>
      </c>
      <c r="S74" s="96" t="n">
        <f aca="false">Acquisitions!S$148</f>
        <v>58.6417616589686</v>
      </c>
      <c r="T74" s="96" t="n">
        <f aca="false">Acquisitions!T$148</f>
        <v>61.6564679904614</v>
      </c>
      <c r="U74" s="96" t="n">
        <f aca="false">Acquisitions!U$148</f>
        <v>64.6711743219542</v>
      </c>
      <c r="V74" s="96" t="n">
        <f aca="false">Acquisitions!V$148</f>
        <v>67.685880653447</v>
      </c>
      <c r="W74" s="96" t="n">
        <f aca="false">Acquisitions!W$148</f>
        <v>70.7005869849397</v>
      </c>
      <c r="X74" s="96" t="n">
        <f aca="false">Acquisitions!X$148</f>
        <v>73.7152933164325</v>
      </c>
      <c r="Y74" s="96" t="n">
        <f aca="false">Acquisitions!Y$148</f>
        <v>76.7299996479253</v>
      </c>
      <c r="Z74" s="96" t="n">
        <f aca="false">Acquisitions!Z$148</f>
        <v>79.7447059794181</v>
      </c>
      <c r="AA74" s="96" t="n">
        <f aca="false">Acquisitions!AA$148</f>
        <v>82.7594123109108</v>
      </c>
      <c r="AB74" s="80" t="n">
        <f aca="false">SUM(AC74:AN74)</f>
        <v>1529.96201065425</v>
      </c>
      <c r="AC74" s="96" t="n">
        <f aca="false">Acquisitions!AC$148</f>
        <v>102.06094552153</v>
      </c>
      <c r="AD74" s="96" t="n">
        <f aca="false">Acquisitions!AD$148</f>
        <v>105.518302215407</v>
      </c>
      <c r="AE74" s="96" t="n">
        <f aca="false">Acquisitions!AE$148</f>
        <v>109.408534052851</v>
      </c>
      <c r="AF74" s="96" t="n">
        <f aca="false">Acquisitions!AF$148</f>
        <v>113.629581683276</v>
      </c>
      <c r="AG74" s="96" t="n">
        <f aca="false">Acquisitions!AG$148</f>
        <v>118.915914842025</v>
      </c>
      <c r="AH74" s="96" t="n">
        <f aca="false">Acquisitions!AH$148</f>
        <v>124.202248000775</v>
      </c>
      <c r="AI74" s="96" t="n">
        <f aca="false">Acquisitions!AI$148</f>
        <v>129.488581159524</v>
      </c>
      <c r="AJ74" s="96" t="n">
        <f aca="false">Acquisitions!AJ$148</f>
        <v>134.774914318273</v>
      </c>
      <c r="AK74" s="96" t="n">
        <f aca="false">Acquisitions!AK$148</f>
        <v>140.061247477022</v>
      </c>
      <c r="AL74" s="96" t="n">
        <f aca="false">Acquisitions!AL$148</f>
        <v>145.347580635772</v>
      </c>
      <c r="AM74" s="96" t="n">
        <f aca="false">Acquisitions!AM$148</f>
        <v>150.633913794521</v>
      </c>
      <c r="AN74" s="96" t="n">
        <f aca="false">Acquisitions!AN$148</f>
        <v>155.92024695327</v>
      </c>
      <c r="AO74" s="80" t="n">
        <f aca="false">SUM(AP74:BA74)</f>
        <v>2584.37040508186</v>
      </c>
      <c r="AP74" s="96" t="n">
        <f aca="false">Acquisitions!AP$148</f>
        <v>185.211741916019</v>
      </c>
      <c r="AQ74" s="96" t="n">
        <f aca="false">Acquisitions!AQ$148</f>
        <v>191.033035606336</v>
      </c>
      <c r="AR74" s="96" t="n">
        <f aca="false">Acquisitions!AR$148</f>
        <v>196.743430544874</v>
      </c>
      <c r="AS74" s="96" t="n">
        <f aca="false">Acquisitions!AS$148</f>
        <v>202.281475812376</v>
      </c>
      <c r="AT74" s="96" t="n">
        <f aca="false">Acquisitions!AT$148</f>
        <v>207.582834554133</v>
      </c>
      <c r="AU74" s="96" t="n">
        <f aca="false">Acquisitions!AU$148</f>
        <v>212.88419329589</v>
      </c>
      <c r="AV74" s="96" t="n">
        <f aca="false">Acquisitions!AV$148</f>
        <v>218.185552037646</v>
      </c>
      <c r="AW74" s="96" t="n">
        <f aca="false">Acquisitions!AW$148</f>
        <v>223.486910779403</v>
      </c>
      <c r="AX74" s="96" t="n">
        <f aca="false">Acquisitions!AX$148</f>
        <v>228.78826952116</v>
      </c>
      <c r="AY74" s="96" t="n">
        <f aca="false">Acquisitions!AY$148</f>
        <v>234.089628262916</v>
      </c>
      <c r="AZ74" s="96" t="n">
        <f aca="false">Acquisitions!AZ$148</f>
        <v>239.390987004673</v>
      </c>
      <c r="BA74" s="96" t="n">
        <f aca="false">Acquisitions!BA$148</f>
        <v>244.69234574643</v>
      </c>
      <c r="BB74" s="80" t="n">
        <f aca="false">SUM(BC74:BN74)</f>
        <v>3786.78357226678</v>
      </c>
      <c r="BC74" s="96" t="n">
        <f aca="false">Acquisitions!BC$148</f>
        <v>281.935946327025</v>
      </c>
      <c r="BD74" s="96" t="n">
        <f aca="false">Acquisitions!BD$148</f>
        <v>287.818761353726</v>
      </c>
      <c r="BE74" s="96" t="n">
        <f aca="false">Acquisitions!BE$148</f>
        <v>293.770432862848</v>
      </c>
      <c r="BF74" s="96" t="n">
        <f aca="false">Acquisitions!BF$148</f>
        <v>299.875390019543</v>
      </c>
      <c r="BG74" s="96" t="n">
        <f aca="false">Acquisitions!BG$148</f>
        <v>306.108165618079</v>
      </c>
      <c r="BH74" s="96" t="n">
        <f aca="false">Acquisitions!BH$148</f>
        <v>312.340941216614</v>
      </c>
      <c r="BI74" s="96" t="n">
        <f aca="false">Acquisitions!BI$148</f>
        <v>318.57371681515</v>
      </c>
      <c r="BJ74" s="96" t="n">
        <f aca="false">Acquisitions!BJ$148</f>
        <v>324.806492413686</v>
      </c>
      <c r="BK74" s="96" t="n">
        <f aca="false">Acquisitions!BK$148</f>
        <v>331.039268012222</v>
      </c>
      <c r="BL74" s="96" t="n">
        <f aca="false">Acquisitions!BL$148</f>
        <v>337.272043610758</v>
      </c>
      <c r="BM74" s="96" t="n">
        <f aca="false">Acquisitions!BM$148</f>
        <v>343.504819209294</v>
      </c>
      <c r="BN74" s="96" t="n">
        <f aca="false">Acquisitions!BN$148</f>
        <v>349.73759480783</v>
      </c>
    </row>
    <row r="75" customFormat="false" ht="15" hidden="false" customHeight="false" outlineLevel="0" collapsed="false">
      <c r="A75" s="18" t="s">
        <v>712</v>
      </c>
      <c r="B75" s="104" t="n">
        <f aca="false">IFERROR(AVERAGE(C75:N75),0)</f>
        <v>0.028353131276329</v>
      </c>
      <c r="C75" s="105" t="n">
        <f aca="false">IFERROR(C74/C73,0)</f>
        <v>0.0317808781926503</v>
      </c>
      <c r="D75" s="105" t="n">
        <f aca="false">IFERROR(D74/D73,0)</f>
        <v>0.021372016992982</v>
      </c>
      <c r="E75" s="105" t="n">
        <f aca="false">IFERROR(E74/E73,0)</f>
        <v>0.0235445345689531</v>
      </c>
      <c r="F75" s="105" t="n">
        <f aca="false">IFERROR(F74/F73,0)</f>
        <v>0.0246098631474392</v>
      </c>
      <c r="G75" s="105" t="n">
        <f aca="false">IFERROR(G74/G73,0)</f>
        <v>0.0268062976163934</v>
      </c>
      <c r="H75" s="105" t="n">
        <f aca="false">IFERROR(H74/H73,0)</f>
        <v>0.0282361493118224</v>
      </c>
      <c r="I75" s="105" t="n">
        <f aca="false">IFERROR(I74/I73,0)</f>
        <v>0.0292411110229211</v>
      </c>
      <c r="J75" s="105" t="n">
        <f aca="false">IFERROR(J74/J73,0)</f>
        <v>0.0299860721087329</v>
      </c>
      <c r="K75" s="105" t="n">
        <f aca="false">IFERROR(K74/K73,0)</f>
        <v>0.0305603751953573</v>
      </c>
      <c r="L75" s="105" t="n">
        <f aca="false">IFERROR(L74/L73,0)</f>
        <v>0.0310166359044883</v>
      </c>
      <c r="M75" s="105" t="n">
        <f aca="false">IFERROR(M74/M73,0)</f>
        <v>0.0313878562939014</v>
      </c>
      <c r="N75" s="105" t="n">
        <f aca="false">IFERROR(N74/N73,0)</f>
        <v>0.0316957849603071</v>
      </c>
      <c r="O75" s="104" t="n">
        <f aca="false">IFERROR(AVERAGE(P75:AA75),0)</f>
        <v>0.0362926153375624</v>
      </c>
      <c r="P75" s="105" t="n">
        <f aca="false">IFERROR(P74/P73,0)</f>
        <v>0.0352744424723862</v>
      </c>
      <c r="Q75" s="105" t="n">
        <f aca="false">IFERROR(Q74/Q73,0)</f>
        <v>0.0354839372332094</v>
      </c>
      <c r="R75" s="105" t="n">
        <f aca="false">IFERROR(R74/R73,0)</f>
        <v>0.0356917935747825</v>
      </c>
      <c r="S75" s="105" t="n">
        <f aca="false">IFERROR(S74/S73,0)</f>
        <v>0.0359683640207634</v>
      </c>
      <c r="T75" s="105" t="n">
        <f aca="false">IFERROR(T74/T73,0)</f>
        <v>0.0361465009471788</v>
      </c>
      <c r="U75" s="105" t="n">
        <f aca="false">IFERROR(U74/U73,0)</f>
        <v>0.0363095621128518</v>
      </c>
      <c r="V75" s="105" t="n">
        <f aca="false">IFERROR(V74/V73,0)</f>
        <v>0.0364593836195607</v>
      </c>
      <c r="W75" s="105" t="n">
        <f aca="false">IFERROR(W74/W73,0)</f>
        <v>0.0365975150389238</v>
      </c>
      <c r="X75" s="105" t="n">
        <f aca="false">IFERROR(X74/X73,0)</f>
        <v>0.0367252732062709</v>
      </c>
      <c r="Y75" s="105" t="n">
        <f aca="false">IFERROR(Y74/Y73,0)</f>
        <v>0.0368437843338363</v>
      </c>
      <c r="Z75" s="105" t="n">
        <f aca="false">IFERROR(Z74/Z73,0)</f>
        <v>0.0369540172989606</v>
      </c>
      <c r="AA75" s="105" t="n">
        <f aca="false">IFERROR(AA74/AA73,0)</f>
        <v>0.037056810192024</v>
      </c>
      <c r="AB75" s="104" t="n">
        <f aca="false">IFERROR(AVERAGE(AC75:AN75),0)</f>
        <v>0.0401912391755752</v>
      </c>
      <c r="AC75" s="105" t="n">
        <f aca="false">IFERROR(AC74/AC73,0)</f>
        <v>0.0392328287805006</v>
      </c>
      <c r="AD75" s="105" t="n">
        <f aca="false">IFERROR(AD74/AD73,0)</f>
        <v>0.0393982700588647</v>
      </c>
      <c r="AE75" s="105" t="n">
        <f aca="false">IFERROR(AE74/AE73,0)</f>
        <v>0.0395734311514055</v>
      </c>
      <c r="AF75" s="105" t="n">
        <f aca="false">IFERROR(AF74/AF73,0)</f>
        <v>0.0397515029733377</v>
      </c>
      <c r="AG75" s="105" t="n">
        <f aca="false">IFERROR(AG74/AG73,0)</f>
        <v>0.0399586831302846</v>
      </c>
      <c r="AH75" s="105" t="n">
        <f aca="false">IFERROR(AH74/AH73,0)</f>
        <v>0.0401501278923436</v>
      </c>
      <c r="AI75" s="105" t="n">
        <f aca="false">IFERROR(AI74/AI73,0)</f>
        <v>0.0403275643354694</v>
      </c>
      <c r="AJ75" s="105" t="n">
        <f aca="false">IFERROR(AJ74/AJ73,0)</f>
        <v>0.0404924757103479</v>
      </c>
      <c r="AK75" s="105" t="n">
        <f aca="false">IFERROR(AK74/AK73,0)</f>
        <v>0.04064614300398</v>
      </c>
      <c r="AL75" s="105" t="n">
        <f aca="false">IFERROR(AL74/AL73,0)</f>
        <v>0.0407896782802039</v>
      </c>
      <c r="AM75" s="105" t="n">
        <f aca="false">IFERROR(AM74/AM73,0)</f>
        <v>0.0409240516357976</v>
      </c>
      <c r="AN75" s="105" t="n">
        <f aca="false">IFERROR(AN74/AN73,0)</f>
        <v>0.041050113154367</v>
      </c>
      <c r="AO75" s="104" t="n">
        <f aca="false">IFERROR(AVERAGE(AP75:BA75),0)</f>
        <v>0.0450013185951783</v>
      </c>
      <c r="AP75" s="105" t="n">
        <f aca="false">IFERROR(AP74/AP73,0)</f>
        <v>0.0443147279689117</v>
      </c>
      <c r="AQ75" s="105" t="n">
        <f aca="false">IFERROR(AQ74/AQ73,0)</f>
        <v>0.0444688085019249</v>
      </c>
      <c r="AR75" s="105" t="n">
        <f aca="false">IFERROR(AR74/AR73,0)</f>
        <v>0.0446120493124554</v>
      </c>
      <c r="AS75" s="105" t="n">
        <f aca="false">IFERROR(AS74/AS73,0)</f>
        <v>0.0447440539916769</v>
      </c>
      <c r="AT75" s="105" t="n">
        <f aca="false">IFERROR(AT74/AT73,0)</f>
        <v>0.044864496403639</v>
      </c>
      <c r="AU75" s="105" t="n">
        <f aca="false">IFERROR(AU74/AU73,0)</f>
        <v>0.0449795424887491</v>
      </c>
      <c r="AV75" s="105" t="n">
        <f aca="false">IFERROR(AV74/AV73,0)</f>
        <v>0.045089546967741</v>
      </c>
      <c r="AW75" s="105" t="n">
        <f aca="false">IFERROR(AW74/AW73,0)</f>
        <v>0.0451948341384588</v>
      </c>
      <c r="AX75" s="105" t="n">
        <f aca="false">IFERROR(AX74/AX73,0)</f>
        <v>0.0452957010689452</v>
      </c>
      <c r="AY75" s="105" t="n">
        <f aca="false">IFERROR(AY74/AY73,0)</f>
        <v>0.0453924203966344</v>
      </c>
      <c r="AZ75" s="105" t="n">
        <f aca="false">IFERROR(AZ74/AZ73,0)</f>
        <v>0.0454852427891967</v>
      </c>
      <c r="BA75" s="105" t="n">
        <f aca="false">IFERROR(BA74/BA73,0)</f>
        <v>0.0455743991138063</v>
      </c>
      <c r="BB75" s="104" t="n">
        <f aca="false">IFERROR(AVERAGE(BC75:BN75),0)</f>
        <v>0.049713820306018</v>
      </c>
      <c r="BC75" s="105" t="n">
        <f aca="false">IFERROR(BC74/BC73,0)</f>
        <v>0.0491720547332772</v>
      </c>
      <c r="BD75" s="105" t="n">
        <f aca="false">IFERROR(BD74/BD73,0)</f>
        <v>0.0492787828486672</v>
      </c>
      <c r="BE75" s="105" t="n">
        <f aca="false">IFERROR(BE74/BE73,0)</f>
        <v>0.0493828545856747</v>
      </c>
      <c r="BF75" s="105" t="n">
        <f aca="false">IFERROR(BF74/BF73,0)</f>
        <v>0.0494857449926072</v>
      </c>
      <c r="BG75" s="105" t="n">
        <f aca="false">IFERROR(BG74/BG73,0)</f>
        <v>0.0495869724494427</v>
      </c>
      <c r="BH75" s="105" t="n">
        <f aca="false">IFERROR(BH74/BH73,0)</f>
        <v>0.04968455035414</v>
      </c>
      <c r="BI75" s="105" t="n">
        <f aca="false">IFERROR(BI74/BI73,0)</f>
        <v>0.0497786725777647</v>
      </c>
      <c r="BJ75" s="105" t="n">
        <f aca="false">IFERROR(BJ74/BJ73,0)</f>
        <v>0.0498695194985766</v>
      </c>
      <c r="BK75" s="105" t="n">
        <f aca="false">IFERROR(BK74/BK73,0)</f>
        <v>0.0499572591557755</v>
      </c>
      <c r="BL75" s="105" t="n">
        <f aca="false">IFERROR(BL74/BL73,0)</f>
        <v>0.050042048286852</v>
      </c>
      <c r="BM75" s="105" t="n">
        <f aca="false">IFERROR(BM74/BM73,0)</f>
        <v>0.0501240332620158</v>
      </c>
      <c r="BN75" s="105" t="n">
        <f aca="false">IFERROR(BN74/BN73,0)</f>
        <v>0.0502033509274223</v>
      </c>
    </row>
    <row r="76" customFormat="false" ht="15" hidden="false" customHeight="false" outlineLevel="0" collapsed="false">
      <c r="A76" s="12" t="s">
        <v>713</v>
      </c>
      <c r="B76" s="84" t="n">
        <f aca="false">IFERROR(AVERAGE(C76:N76),0)</f>
        <v>24.1573178158827</v>
      </c>
      <c r="C76" s="106" t="n">
        <f aca="false">Acquisitions!C$150</f>
        <v>9.6269930135066</v>
      </c>
      <c r="D76" s="106" t="n">
        <f aca="false">Acquisitions!D$150</f>
        <v>60.6045474848256</v>
      </c>
      <c r="E76" s="106" t="n">
        <f aca="false">Acquisitions!E$150</f>
        <v>46.2425494561972</v>
      </c>
      <c r="F76" s="106" t="n">
        <f aca="false">Acquisitions!F$150</f>
        <v>40.1264934476295</v>
      </c>
      <c r="G76" s="106" t="n">
        <f aca="false">Acquisitions!G$150</f>
        <v>29.051093924278</v>
      </c>
      <c r="H76" s="106" t="n">
        <f aca="false">Acquisitions!H$150</f>
        <v>22.7670982918481</v>
      </c>
      <c r="I76" s="106" t="n">
        <f aca="false">Acquisitions!I$150</f>
        <v>18.7181954017204</v>
      </c>
      <c r="J76" s="106" t="n">
        <f aca="false">Acquisitions!J$150</f>
        <v>15.8919665786496</v>
      </c>
      <c r="K76" s="106" t="n">
        <f aca="false">Acquisitions!K$150</f>
        <v>13.8072353492963</v>
      </c>
      <c r="L76" s="106" t="n">
        <f aca="false">Acquisitions!L$150</f>
        <v>12.2060305545595</v>
      </c>
      <c r="M76" s="106" t="n">
        <f aca="false">Acquisitions!M$150</f>
        <v>10.937611787574</v>
      </c>
      <c r="N76" s="106" t="n">
        <f aca="false">Acquisitions!N$150</f>
        <v>9.907998500508</v>
      </c>
      <c r="O76" s="84" t="n">
        <f aca="false">IFERROR(AVERAGE(P76:AA76),0)</f>
        <v>8.27393277119929</v>
      </c>
      <c r="P76" s="106" t="n">
        <f aca="false">Acquisitions!P$150</f>
        <v>10.8223053027635</v>
      </c>
      <c r="Q76" s="106" t="n">
        <f aca="false">Acquisitions!Q$150</f>
        <v>10.2814662017629</v>
      </c>
      <c r="R76" s="106" t="n">
        <f aca="false">Acquisitions!R$150</f>
        <v>9.75113157916393</v>
      </c>
      <c r="S76" s="106" t="n">
        <f aca="false">Acquisitions!S$150</f>
        <v>9.0549803583329</v>
      </c>
      <c r="T76" s="106" t="n">
        <f aca="false">Acquisitions!T$150</f>
        <v>8.61223513617661</v>
      </c>
      <c r="U76" s="106" t="n">
        <f aca="false">Acquisitions!U$150</f>
        <v>8.21076786632185</v>
      </c>
      <c r="V76" s="106" t="n">
        <f aca="false">Acquisitions!V$150</f>
        <v>7.84506303048239</v>
      </c>
      <c r="W76" s="106" t="n">
        <f aca="false">Acquisitions!W$150</f>
        <v>7.51054584756292</v>
      </c>
      <c r="X76" s="106" t="n">
        <f aca="false">Acquisitions!X$150</f>
        <v>7.20338990880242</v>
      </c>
      <c r="Y76" s="106" t="n">
        <f aca="false">Acquisitions!Y$150</f>
        <v>6.92037016077789</v>
      </c>
      <c r="Z76" s="106" t="n">
        <f aca="false">Acquisitions!Z$150</f>
        <v>6.6587492358057</v>
      </c>
      <c r="AA76" s="106" t="n">
        <f aca="false">Acquisitions!AA$150</f>
        <v>6.4161886264385</v>
      </c>
      <c r="AB76" s="84" t="n">
        <f aca="false">IFERROR(AVERAGE(AC76:AN76),0)</f>
        <v>8.63016932540713</v>
      </c>
      <c r="AC76" s="106" t="n">
        <f aca="false">Acquisitions!AC$150</f>
        <v>10.5819125472649</v>
      </c>
      <c r="AD76" s="106" t="n">
        <f aca="false">Acquisitions!AD$150</f>
        <v>10.2351912163567</v>
      </c>
      <c r="AE76" s="106" t="n">
        <f aca="false">Acquisitions!AE$150</f>
        <v>9.87125921528477</v>
      </c>
      <c r="AF76" s="106" t="n">
        <f aca="false">Acquisitions!AF$150</f>
        <v>9.50456724385666</v>
      </c>
      <c r="AG76" s="106" t="n">
        <f aca="false">Acquisitions!AG$150</f>
        <v>9.08204760846968</v>
      </c>
      <c r="AH76" s="106" t="n">
        <f aca="false">Acquisitions!AH$150</f>
        <v>8.69549478680341</v>
      </c>
      <c r="AI76" s="106" t="n">
        <f aca="false">Acquisitions!AI$150</f>
        <v>8.34050377515135</v>
      </c>
      <c r="AJ76" s="106" t="n">
        <f aca="false">Acquisitions!AJ$150</f>
        <v>8.01336068706052</v>
      </c>
      <c r="AK76" s="106" t="n">
        <f aca="false">Acquisitions!AK$150</f>
        <v>7.71091232910215</v>
      </c>
      <c r="AL76" s="106" t="n">
        <f aca="false">Acquisitions!AL$150</f>
        <v>7.43046423804181</v>
      </c>
      <c r="AM76" s="106" t="n">
        <f aca="false">Acquisitions!AM$150</f>
        <v>7.16970018765643</v>
      </c>
      <c r="AN76" s="106" t="n">
        <f aca="false">Acquisitions!AN$150</f>
        <v>6.9266180698372</v>
      </c>
      <c r="AO76" s="84" t="n">
        <f aca="false">IFERROR(AVERAGE(AP76:BA76),0)</f>
        <v>7.78936629438169</v>
      </c>
      <c r="AP76" s="106" t="n">
        <f aca="false">Acquisitions!AP$150</f>
        <v>8.98971081841541</v>
      </c>
      <c r="AQ76" s="106" t="n">
        <f aca="false">Acquisitions!AQ$150</f>
        <v>8.71576999609161</v>
      </c>
      <c r="AR76" s="106" t="n">
        <f aca="false">Acquisitions!AR$150</f>
        <v>8.46279845476337</v>
      </c>
      <c r="AS76" s="106" t="n">
        <f aca="false">Acquisitions!AS$150</f>
        <v>8.23110466894333</v>
      </c>
      <c r="AT76" s="106" t="n">
        <f aca="false">Acquisitions!AT$150</f>
        <v>8.02089442306851</v>
      </c>
      <c r="AU76" s="106" t="n">
        <f aca="false">Acquisitions!AU$150</f>
        <v>7.82115371847172</v>
      </c>
      <c r="AV76" s="106" t="n">
        <f aca="false">Acquisitions!AV$150</f>
        <v>7.6311194047932</v>
      </c>
      <c r="AW76" s="106" t="n">
        <f aca="false">Acquisitions!AW$150</f>
        <v>7.45010074278341</v>
      </c>
      <c r="AX76" s="106" t="n">
        <f aca="false">Acquisitions!AX$150</f>
        <v>7.27747101494647</v>
      </c>
      <c r="AY76" s="106" t="n">
        <f aca="false">Acquisitions!AY$150</f>
        <v>7.11266027613135</v>
      </c>
      <c r="AZ76" s="106" t="n">
        <f aca="false">Acquisitions!AZ$150</f>
        <v>6.95514906736025</v>
      </c>
      <c r="BA76" s="106" t="n">
        <f aca="false">Acquisitions!BA$150</f>
        <v>6.80446294681163</v>
      </c>
      <c r="BB76" s="84" t="n">
        <f aca="false">IFERROR(AVERAGE(BC76:BN76),0)</f>
        <v>7.0913308015616</v>
      </c>
      <c r="BC76" s="106" t="n">
        <f aca="false">Acquisitions!BC$150</f>
        <v>7.90073074760132</v>
      </c>
      <c r="BD76" s="106" t="n">
        <f aca="false">Acquisitions!BD$150</f>
        <v>7.73924531369387</v>
      </c>
      <c r="BE76" s="106" t="n">
        <f aca="false">Acquisitions!BE$150</f>
        <v>7.58245129808537</v>
      </c>
      <c r="BF76" s="106" t="n">
        <f aca="false">Acquisitions!BF$150</f>
        <v>7.42808537857954</v>
      </c>
      <c r="BG76" s="106" t="n">
        <f aca="false">Acquisitions!BG$150</f>
        <v>7.27683952991696</v>
      </c>
      <c r="BH76" s="106" t="n">
        <f aca="false">Acquisitions!BH$150</f>
        <v>7.13162991480898</v>
      </c>
      <c r="BI76" s="106" t="n">
        <f aca="false">Acquisitions!BI$150</f>
        <v>6.99210224330116</v>
      </c>
      <c r="BJ76" s="106" t="n">
        <f aca="false">Acquisitions!BJ$150</f>
        <v>6.85792941959722</v>
      </c>
      <c r="BK76" s="106" t="n">
        <f aca="false">Acquisitions!BK$150</f>
        <v>6.72880898201406</v>
      </c>
      <c r="BL76" s="106" t="n">
        <f aca="false">Acquisitions!BL$150</f>
        <v>6.60446082679397</v>
      </c>
      <c r="BM76" s="106" t="n">
        <f aca="false">Acquisitions!BM$150</f>
        <v>6.48462517972071</v>
      </c>
      <c r="BN76" s="106" t="n">
        <f aca="false">Acquisitions!BN$150</f>
        <v>6.36906078462609</v>
      </c>
    </row>
    <row r="77" customFormat="false" ht="15" hidden="false" customHeight="false" outlineLevel="0" collapsed="false">
      <c r="A77" s="66" t="s">
        <v>714</v>
      </c>
      <c r="B77" s="107" t="n">
        <f aca="false">N77</f>
        <v>85.0765437825624</v>
      </c>
      <c r="C77" s="108" t="n">
        <f aca="false">Acquisitions!C$149</f>
        <v>17.8928130295038</v>
      </c>
      <c r="D77" s="108" t="n">
        <f aca="false">Acquisitions!D$149</f>
        <v>19.3438072772374</v>
      </c>
      <c r="E77" s="108" t="n">
        <f aca="false">Acquisitions!E$149</f>
        <v>21.4918199471003</v>
      </c>
      <c r="F77" s="108" t="n">
        <f aca="false">Acquisitions!F$149</f>
        <v>24.0152529451781</v>
      </c>
      <c r="G77" s="108" t="n">
        <f aca="false">Acquisitions!G$149</f>
        <v>27.8409208582057</v>
      </c>
      <c r="H77" s="108" t="n">
        <f aca="false">Acquisitions!H$149</f>
        <v>32.890689591286</v>
      </c>
      <c r="I77" s="108" t="n">
        <f aca="false">Acquisitions!I$149</f>
        <v>39.0911130952158</v>
      </c>
      <c r="J77" s="108" t="n">
        <f aca="false">Acquisitions!J$149</f>
        <v>46.3731520837442</v>
      </c>
      <c r="K77" s="108" t="n">
        <f aca="false">Acquisitions!K$149</f>
        <v>54.6719096277953</v>
      </c>
      <c r="L77" s="108" t="n">
        <f aca="false">Acquisitions!L$149</f>
        <v>63.9263826140377</v>
      </c>
      <c r="M77" s="108" t="n">
        <f aca="false">Acquisitions!M$149</f>
        <v>74.07922811594</v>
      </c>
      <c r="N77" s="108" t="n">
        <f aca="false">Acquisitions!N$149</f>
        <v>85.0765437825624</v>
      </c>
      <c r="O77" s="107" t="n">
        <f aca="false">AA77</f>
        <v>636.314276174524</v>
      </c>
      <c r="P77" s="108" t="n">
        <f aca="false">Acquisitions!P$149</f>
        <v>129.037282907468</v>
      </c>
      <c r="Q77" s="108" t="n">
        <f aca="false">Acquisitions!Q$149</f>
        <v>172.941376288991</v>
      </c>
      <c r="R77" s="108" t="n">
        <f aca="false">Acquisitions!R$149</f>
        <v>217.020112133136</v>
      </c>
      <c r="S77" s="108" t="n">
        <f aca="false">Acquisitions!S$149</f>
        <v>262.640667064116</v>
      </c>
      <c r="T77" s="108" t="n">
        <f aca="false">Acquisitions!T$149</f>
        <v>308.538695030731</v>
      </c>
      <c r="U77" s="108" t="n">
        <f aca="false">Acquisitions!U$149</f>
        <v>354.697547650841</v>
      </c>
      <c r="V77" s="108" t="n">
        <f aca="false">Acquisitions!V$149</f>
        <v>401.101575445237</v>
      </c>
      <c r="W77" s="108" t="n">
        <f aca="false">Acquisitions!W$149</f>
        <v>447.736067903463</v>
      </c>
      <c r="X77" s="108" t="n">
        <f aca="false">Acquisitions!X$149</f>
        <v>494.587197145687</v>
      </c>
      <c r="Y77" s="108" t="n">
        <f aca="false">Acquisitions!Y$149</f>
        <v>541.641964964871</v>
      </c>
      <c r="Z77" s="108" t="n">
        <f aca="false">Acquisitions!Z$149</f>
        <v>588.888153046397</v>
      </c>
      <c r="AA77" s="108" t="n">
        <f aca="false">Acquisitions!AA$149</f>
        <v>636.314276174524</v>
      </c>
      <c r="AB77" s="107" t="n">
        <f aca="false">AN77</f>
        <v>1448.63062970082</v>
      </c>
      <c r="AC77" s="108" t="n">
        <f aca="false">Acquisitions!AC$149</f>
        <v>700.196365125583</v>
      </c>
      <c r="AD77" s="108" t="n">
        <f aca="false">Acquisitions!AD$149</f>
        <v>763.702885433455</v>
      </c>
      <c r="AE77" s="108" t="n">
        <f aca="false">Acquisitions!AE$149</f>
        <v>827.289246360298</v>
      </c>
      <c r="AF77" s="108" t="n">
        <f aca="false">Acquisitions!AF$149</f>
        <v>891.281473261956</v>
      </c>
      <c r="AG77" s="108" t="n">
        <f aca="false">Acquisitions!AG$149</f>
        <v>956.720499708264</v>
      </c>
      <c r="AH77" s="108" t="n">
        <f aca="false">Acquisitions!AH$149</f>
        <v>1023.51951772654</v>
      </c>
      <c r="AI77" s="108" t="n">
        <f aca="false">Acquisitions!AI$149</f>
        <v>1091.59692782247</v>
      </c>
      <c r="AJ77" s="108" t="n">
        <f aca="false">Acquisitions!AJ$149</f>
        <v>1160.8760264714</v>
      </c>
      <c r="AK77" s="108" t="n">
        <f aca="false">Acquisitions!AK$149</f>
        <v>1231.28471236014</v>
      </c>
      <c r="AL77" s="108" t="n">
        <f aca="false">Acquisitions!AL$149</f>
        <v>1302.7552102543</v>
      </c>
      <c r="AM77" s="108" t="n">
        <f aca="false">Acquisitions!AM$149</f>
        <v>1375.22381143356</v>
      </c>
      <c r="AN77" s="108" t="n">
        <f aca="false">Acquisitions!AN$149</f>
        <v>1448.63062970082</v>
      </c>
      <c r="AO77" s="107" t="n">
        <f aca="false">BA77</f>
        <v>2604.81482758888</v>
      </c>
      <c r="AP77" s="108" t="n">
        <f aca="false">Acquisitions!AP$149</f>
        <v>1546.92453383479</v>
      </c>
      <c r="AQ77" s="108" t="n">
        <f aca="false">Acquisitions!AQ$149</f>
        <v>1645.14209741104</v>
      </c>
      <c r="AR77" s="108" t="n">
        <f aca="false">Acquisitions!AR$149</f>
        <v>1743.17700211125</v>
      </c>
      <c r="AS77" s="108" t="n">
        <f aca="false">Acquisitions!AS$149</f>
        <v>1840.86785779695</v>
      </c>
      <c r="AT77" s="108" t="n">
        <f aca="false">Acquisitions!AT$149</f>
        <v>1937.99862088327</v>
      </c>
      <c r="AU77" s="108" t="n">
        <f aca="false">Acquisitions!AU$149</f>
        <v>2034.60289692616</v>
      </c>
      <c r="AV77" s="108" t="n">
        <f aca="false">Acquisitions!AV$149</f>
        <v>2130.71227514824</v>
      </c>
      <c r="AW77" s="108" t="n">
        <f aca="false">Acquisitions!AW$149</f>
        <v>2226.35644941875</v>
      </c>
      <c r="AX77" s="108" t="n">
        <f aca="false">Acquisitions!AX$149</f>
        <v>2321.56333197478</v>
      </c>
      <c r="AY77" s="108" t="n">
        <f aca="false">Acquisitions!AY$149</f>
        <v>2416.35916031921</v>
      </c>
      <c r="AZ77" s="108" t="n">
        <f aca="false">Acquisitions!AZ$149</f>
        <v>2510.76859770473</v>
      </c>
      <c r="BA77" s="108" t="n">
        <f aca="false">Acquisitions!BA$149</f>
        <v>2604.81482758888</v>
      </c>
      <c r="BB77" s="107" t="n">
        <f aca="false">BN77</f>
        <v>4035.55049508742</v>
      </c>
      <c r="BC77" s="108" t="n">
        <f aca="false">Acquisitions!BC$149</f>
        <v>2730.46188426057</v>
      </c>
      <c r="BD77" s="108" t="n">
        <f aca="false">Acquisitions!BD$149</f>
        <v>2854.45293255866</v>
      </c>
      <c r="BE77" s="108" t="n">
        <f aca="false">Acquisitions!BE$149</f>
        <v>2976.95618946799</v>
      </c>
      <c r="BF77" s="108" t="n">
        <f aca="false">Acquisitions!BF$149</f>
        <v>3098.21420811945</v>
      </c>
      <c r="BG77" s="108" t="n">
        <f aca="false">Acquisitions!BG$149</f>
        <v>3218.42952125036</v>
      </c>
      <c r="BH77" s="108" t="n">
        <f aca="false">Acquisitions!BH$149</f>
        <v>3337.66469119195</v>
      </c>
      <c r="BI77" s="108" t="n">
        <f aca="false">Acquisitions!BI$149</f>
        <v>3455.97852653559</v>
      </c>
      <c r="BJ77" s="108" t="n">
        <f aca="false">Acquisitions!BJ$149</f>
        <v>3573.42630735714</v>
      </c>
      <c r="BK77" s="108" t="n">
        <f aca="false">Acquisitions!BK$149</f>
        <v>3690.05999692793</v>
      </c>
      <c r="BL77" s="108" t="n">
        <f aca="false">Acquisitions!BL$149</f>
        <v>3805.92844072301</v>
      </c>
      <c r="BM77" s="108" t="n">
        <f aca="false">Acquisitions!BM$149</f>
        <v>3921.07755348893</v>
      </c>
      <c r="BN77" s="108" t="n">
        <f aca="false">Acquisitions!BN$149</f>
        <v>4035.55049508742</v>
      </c>
    </row>
    <row r="78" customFormat="false" ht="15" hidden="false" customHeight="false" outlineLevel="0" collapsed="false">
      <c r="A78" s="7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589</v>
      </c>
    </row>
    <row r="2" customFormat="false" ht="13.5" hidden="false" customHeight="true" outlineLevel="0" collapsed="false">
      <c r="A2" s="6" t="s">
        <v>716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717</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316</v>
      </c>
      <c r="B7" s="80" t="n">
        <f aca="false">SUM(C7:N7)</f>
        <v>18.0617548338976</v>
      </c>
      <c r="C7" s="96" t="n">
        <f aca="false">Acquisitions!C$113*'Assumption Setting'!$D$95/'Assumption Setting'!$E$95*'Assumption Setting'!$C$117</f>
        <v>0.633333333333333</v>
      </c>
      <c r="D7" s="96" t="n">
        <f aca="false">Acquisitions!D$113*'Assumption Setting'!$D$95/'Assumption Setting'!$E$95*'Assumption Setting'!$C$117</f>
        <v>1.01333333333333</v>
      </c>
      <c r="E7" s="96" t="n">
        <f aca="false">Acquisitions!E$113*'Assumption Setting'!$D$95/'Assumption Setting'!$E$95*'Assumption Setting'!$C$117</f>
        <v>1.26666666666667</v>
      </c>
      <c r="F7" s="96" t="n">
        <f aca="false">Acquisitions!F$113*'Assumption Setting'!$D$95/'Assumption Setting'!$E$95*'Assumption Setting'!$C$117</f>
        <v>1.34996492223476</v>
      </c>
      <c r="G7" s="96" t="n">
        <f aca="false">Acquisitions!G$113*'Assumption Setting'!$D$95/'Assumption Setting'!$E$95*'Assumption Setting'!$C$117</f>
        <v>1.43326317780285</v>
      </c>
      <c r="H7" s="96" t="n">
        <f aca="false">Acquisitions!H$113*'Assumption Setting'!$D$95/'Assumption Setting'!$E$95*'Assumption Setting'!$C$117</f>
        <v>1.51656143337095</v>
      </c>
      <c r="I7" s="96" t="n">
        <f aca="false">Acquisitions!I$113*'Assumption Setting'!$D$95/'Assumption Setting'!$E$95*'Assumption Setting'!$C$117</f>
        <v>1.59985968893904</v>
      </c>
      <c r="J7" s="96" t="n">
        <f aca="false">Acquisitions!J$113*'Assumption Setting'!$D$95/'Assumption Setting'!$E$95*'Assumption Setting'!$C$117</f>
        <v>1.68315794450714</v>
      </c>
      <c r="K7" s="96" t="n">
        <f aca="false">Acquisitions!K$113*'Assumption Setting'!$D$95/'Assumption Setting'!$E$95*'Assumption Setting'!$C$117</f>
        <v>1.76645620007523</v>
      </c>
      <c r="L7" s="96" t="n">
        <f aca="false">Acquisitions!L$113*'Assumption Setting'!$D$95/'Assumption Setting'!$E$95*'Assumption Setting'!$C$117</f>
        <v>1.84975445564333</v>
      </c>
      <c r="M7" s="96" t="n">
        <f aca="false">Acquisitions!M$113*'Assumption Setting'!$D$95/'Assumption Setting'!$E$95*'Assumption Setting'!$C$117</f>
        <v>1.93305271121142</v>
      </c>
      <c r="N7" s="96" t="n">
        <f aca="false">Acquisitions!N$113*'Assumption Setting'!$D$95/'Assumption Setting'!$E$95*'Assumption Setting'!$C$117</f>
        <v>2.01635096677951</v>
      </c>
      <c r="O7" s="80" t="n">
        <f aca="false">SUM(P7:AA7)</f>
        <v>40.2626972171273</v>
      </c>
      <c r="P7" s="96" t="n">
        <f aca="false">Acquisitions!P$113*'Assumption Setting'!$D$95/'Assumption Setting'!$E$95*'Assumption Setting'!$D$117</f>
        <v>3.85872602372177</v>
      </c>
      <c r="Q7" s="96" t="n">
        <f aca="false">Acquisitions!Q$113*'Assumption Setting'!$D$95/'Assumption Setting'!$E$95*'Assumption Setting'!$D$117</f>
        <v>3.07793195942728</v>
      </c>
      <c r="R7" s="96" t="n">
        <f aca="false">Acquisitions!R$113*'Assumption Setting'!$D$95/'Assumption Setting'!$E$95*'Assumption Setting'!$D$117</f>
        <v>2.65239182203668</v>
      </c>
      <c r="S7" s="96" t="n">
        <f aca="false">Acquisitions!S$113*'Assumption Setting'!$D$95/'Assumption Setting'!$E$95*'Assumption Setting'!$D$117</f>
        <v>2.8035500667836</v>
      </c>
      <c r="T7" s="96" t="n">
        <f aca="false">Acquisitions!T$113*'Assumption Setting'!$D$95/'Assumption Setting'!$E$95*'Assumption Setting'!$D$117</f>
        <v>2.95470831153052</v>
      </c>
      <c r="U7" s="96" t="n">
        <f aca="false">Acquisitions!U$113*'Assumption Setting'!$D$95/'Assumption Setting'!$E$95*'Assumption Setting'!$D$117</f>
        <v>3.10586655627744</v>
      </c>
      <c r="V7" s="96" t="n">
        <f aca="false">Acquisitions!V$113*'Assumption Setting'!$D$95/'Assumption Setting'!$E$95*'Assumption Setting'!$D$117</f>
        <v>3.25702480102436</v>
      </c>
      <c r="W7" s="96" t="n">
        <f aca="false">Acquisitions!W$113*'Assumption Setting'!$D$95/'Assumption Setting'!$E$95*'Assumption Setting'!$D$117</f>
        <v>3.40818304577128</v>
      </c>
      <c r="X7" s="96" t="n">
        <f aca="false">Acquisitions!X$113*'Assumption Setting'!$D$95/'Assumption Setting'!$E$95*'Assumption Setting'!$D$117</f>
        <v>3.5593412905182</v>
      </c>
      <c r="Y7" s="96" t="n">
        <f aca="false">Acquisitions!Y$113*'Assumption Setting'!$D$95/'Assumption Setting'!$E$95*'Assumption Setting'!$D$117</f>
        <v>3.71049953526512</v>
      </c>
      <c r="Z7" s="96" t="n">
        <f aca="false">Acquisitions!Z$113*'Assumption Setting'!$D$95/'Assumption Setting'!$E$95*'Assumption Setting'!$D$117</f>
        <v>3.86165778001204</v>
      </c>
      <c r="AA7" s="96" t="n">
        <f aca="false">Acquisitions!AA$113*'Assumption Setting'!$D$95/'Assumption Setting'!$E$95*'Assumption Setting'!$D$117</f>
        <v>4.01281602475896</v>
      </c>
      <c r="AB7" s="80" t="n">
        <f aca="false">SUM(AC7:AN7)</f>
        <v>63.8618339029773</v>
      </c>
      <c r="AC7" s="96" t="n">
        <f aca="false">Acquisitions!AC$113*'Assumption Setting'!$D$95/'Assumption Setting'!$E$95*'Assumption Setting'!$E$117</f>
        <v>4.16397426950588</v>
      </c>
      <c r="AD7" s="96" t="n">
        <f aca="false">Acquisitions!AD$113*'Assumption Setting'!$D$95/'Assumption Setting'!$E$95*'Assumption Setting'!$E$117</f>
        <v>4.3151325142528</v>
      </c>
      <c r="AE7" s="96" t="n">
        <f aca="false">Acquisitions!AE$113*'Assumption Setting'!$D$95/'Assumption Setting'!$E$95*'Assumption Setting'!$E$117</f>
        <v>4.47803963637939</v>
      </c>
      <c r="AF7" s="96" t="n">
        <f aca="false">Acquisitions!AF$113*'Assumption Setting'!$D$95/'Assumption Setting'!$E$95*'Assumption Setting'!$E$117</f>
        <v>4.71364698649994</v>
      </c>
      <c r="AG7" s="96" t="n">
        <f aca="false">Acquisitions!AG$113*'Assumption Setting'!$D$95/'Assumption Setting'!$E$95*'Assumption Setting'!$E$117</f>
        <v>4.94925433662049</v>
      </c>
      <c r="AH7" s="96" t="n">
        <f aca="false">Acquisitions!AH$113*'Assumption Setting'!$D$95/'Assumption Setting'!$E$95*'Assumption Setting'!$E$117</f>
        <v>5.18486168674104</v>
      </c>
      <c r="AI7" s="96" t="n">
        <f aca="false">Acquisitions!AI$113*'Assumption Setting'!$D$95/'Assumption Setting'!$E$95*'Assumption Setting'!$E$117</f>
        <v>5.42046903686158</v>
      </c>
      <c r="AJ7" s="96" t="n">
        <f aca="false">Acquisitions!AJ$113*'Assumption Setting'!$D$95/'Assumption Setting'!$E$95*'Assumption Setting'!$E$117</f>
        <v>5.65607638698213</v>
      </c>
      <c r="AK7" s="96" t="n">
        <f aca="false">Acquisitions!AK$113*'Assumption Setting'!$D$95/'Assumption Setting'!$E$95*'Assumption Setting'!$E$117</f>
        <v>5.89168373710268</v>
      </c>
      <c r="AL7" s="96" t="n">
        <f aca="false">Acquisitions!AL$113*'Assumption Setting'!$D$95/'Assumption Setting'!$E$95*'Assumption Setting'!$E$117</f>
        <v>6.12729108722323</v>
      </c>
      <c r="AM7" s="96" t="n">
        <f aca="false">Acquisitions!AM$113*'Assumption Setting'!$D$95/'Assumption Setting'!$E$95*'Assumption Setting'!$E$117</f>
        <v>6.36289843734378</v>
      </c>
      <c r="AN7" s="96" t="n">
        <f aca="false">Acquisitions!AN$113*'Assumption Setting'!$D$95/'Assumption Setting'!$E$95*'Assumption Setting'!$E$117</f>
        <v>6.59850578746432</v>
      </c>
      <c r="AO7" s="80" t="n">
        <f aca="false">SUM(AP7:BA7)</f>
        <v>96.4421250459941</v>
      </c>
      <c r="AP7" s="96" t="n">
        <f aca="false">Acquisitions!AP$113*'Assumption Setting'!$D$95/'Assumption Setting'!$E$95*'Assumption Setting'!$F$117</f>
        <v>6.83411313758487</v>
      </c>
      <c r="AQ7" s="96" t="n">
        <f aca="false">Acquisitions!AQ$113*'Assumption Setting'!$D$95/'Assumption Setting'!$E$95*'Assumption Setting'!$F$117</f>
        <v>7.06972048770542</v>
      </c>
      <c r="AR7" s="96" t="n">
        <f aca="false">Acquisitions!AR$113*'Assumption Setting'!$D$95/'Assumption Setting'!$E$95*'Assumption Setting'!$F$117</f>
        <v>7.29690718064962</v>
      </c>
      <c r="AS7" s="96" t="n">
        <f aca="false">Acquisitions!AS$113*'Assumption Setting'!$D$95/'Assumption Setting'!$E$95*'Assumption Setting'!$F$117</f>
        <v>7.50955650540979</v>
      </c>
      <c r="AT7" s="96" t="n">
        <f aca="false">Acquisitions!AT$113*'Assumption Setting'!$D$95/'Assumption Setting'!$E$95*'Assumption Setting'!$F$117</f>
        <v>7.72220583016996</v>
      </c>
      <c r="AU7" s="96" t="n">
        <f aca="false">Acquisitions!AU$113*'Assumption Setting'!$D$95/'Assumption Setting'!$E$95*'Assumption Setting'!$F$117</f>
        <v>7.93485515493013</v>
      </c>
      <c r="AV7" s="96" t="n">
        <f aca="false">Acquisitions!AV$113*'Assumption Setting'!$D$95/'Assumption Setting'!$E$95*'Assumption Setting'!$F$117</f>
        <v>8.14750447969029</v>
      </c>
      <c r="AW7" s="96" t="n">
        <f aca="false">Acquisitions!AW$113*'Assumption Setting'!$D$95/'Assumption Setting'!$E$95*'Assumption Setting'!$F$117</f>
        <v>8.36015380445046</v>
      </c>
      <c r="AX7" s="96" t="n">
        <f aca="false">Acquisitions!AX$113*'Assumption Setting'!$D$95/'Assumption Setting'!$E$95*'Assumption Setting'!$F$117</f>
        <v>8.57280312921063</v>
      </c>
      <c r="AY7" s="96" t="n">
        <f aca="false">Acquisitions!AY$113*'Assumption Setting'!$D$95/'Assumption Setting'!$E$95*'Assumption Setting'!$F$117</f>
        <v>8.7854524539708</v>
      </c>
      <c r="AZ7" s="96" t="n">
        <f aca="false">Acquisitions!AZ$113*'Assumption Setting'!$D$95/'Assumption Setting'!$E$95*'Assumption Setting'!$F$117</f>
        <v>8.99810177873096</v>
      </c>
      <c r="BA7" s="96" t="n">
        <f aca="false">Acquisitions!BA$113*'Assumption Setting'!$D$95/'Assumption Setting'!$E$95*'Assumption Setting'!$F$117</f>
        <v>9.21075110349113</v>
      </c>
      <c r="BB7" s="80" t="n">
        <f aca="false">SUM(BC7:BN7)</f>
        <v>127.849104768812</v>
      </c>
      <c r="BC7" s="96" t="n">
        <f aca="false">Acquisitions!BC$113*'Assumption Setting'!$D$95/'Assumption Setting'!$E$95*'Assumption Setting'!$G$117</f>
        <v>9.4234004282513</v>
      </c>
      <c r="BD7" s="96" t="n">
        <f aca="false">Acquisitions!BD$113*'Assumption Setting'!$D$95/'Assumption Setting'!$E$95*'Assumption Setting'!$G$117</f>
        <v>9.63604975301147</v>
      </c>
      <c r="BE7" s="96" t="n">
        <f aca="false">Acquisitions!BE$113*'Assumption Setting'!$D$95/'Assumption Setting'!$E$95*'Assumption Setting'!$G$117</f>
        <v>9.85619509821109</v>
      </c>
      <c r="BF7" s="96" t="n">
        <f aca="false">Acquisitions!BF$113*'Assumption Setting'!$D$95/'Assumption Setting'!$E$95*'Assumption Setting'!$G$117</f>
        <v>10.0834774005542</v>
      </c>
      <c r="BG7" s="96" t="n">
        <f aca="false">Acquisitions!BG$113*'Assumption Setting'!$D$95/'Assumption Setting'!$E$95*'Assumption Setting'!$G$117</f>
        <v>10.3107597028972</v>
      </c>
      <c r="BH7" s="96" t="n">
        <f aca="false">Acquisitions!BH$113*'Assumption Setting'!$D$95/'Assumption Setting'!$E$95*'Assumption Setting'!$G$117</f>
        <v>10.5380420052403</v>
      </c>
      <c r="BI7" s="96" t="n">
        <f aca="false">Acquisitions!BI$113*'Assumption Setting'!$D$95/'Assumption Setting'!$E$95*'Assumption Setting'!$G$117</f>
        <v>10.7653243075834</v>
      </c>
      <c r="BJ7" s="96" t="n">
        <f aca="false">Acquisitions!BJ$113*'Assumption Setting'!$D$95/'Assumption Setting'!$E$95*'Assumption Setting'!$G$117</f>
        <v>10.9926066099264</v>
      </c>
      <c r="BK7" s="96" t="n">
        <f aca="false">Acquisitions!BK$113*'Assumption Setting'!$D$95/'Assumption Setting'!$E$95*'Assumption Setting'!$G$117</f>
        <v>11.2198889122695</v>
      </c>
      <c r="BL7" s="96" t="n">
        <f aca="false">Acquisitions!BL$113*'Assumption Setting'!$D$95/'Assumption Setting'!$E$95*'Assumption Setting'!$G$117</f>
        <v>11.4471712146126</v>
      </c>
      <c r="BM7" s="96" t="n">
        <f aca="false">Acquisitions!BM$113*'Assumption Setting'!$D$95/'Assumption Setting'!$E$95*'Assumption Setting'!$G$117</f>
        <v>11.6744535169557</v>
      </c>
      <c r="BN7" s="96" t="n">
        <f aca="false">Acquisitions!BN$113*'Assumption Setting'!$D$95/'Assumption Setting'!$E$95*'Assumption Setting'!$G$117</f>
        <v>11.9017358192987</v>
      </c>
    </row>
    <row r="8" customFormat="false" ht="15" hidden="false" customHeight="false" outlineLevel="0" collapsed="false">
      <c r="A8" s="12" t="s">
        <v>319</v>
      </c>
      <c r="B8" s="80" t="n">
        <f aca="false">SUM(C8:N8)</f>
        <v>0.899621160135415</v>
      </c>
      <c r="C8" s="96" t="n">
        <f aca="false">Acquisitions!C$115*'Assumption Setting'!$D$96/'Assumption Setting'!$E$96*'Assumption Setting'!$C$117</f>
        <v>0</v>
      </c>
      <c r="D8" s="96" t="n">
        <f aca="false">Acquisitions!D$115*'Assumption Setting'!$D$96/'Assumption Setting'!$E$96*'Assumption Setting'!$C$117</f>
        <v>0</v>
      </c>
      <c r="E8" s="96" t="n">
        <f aca="false">Acquisitions!E$115*'Assumption Setting'!$D$96/'Assumption Setting'!$E$96*'Assumption Setting'!$C$117</f>
        <v>0</v>
      </c>
      <c r="F8" s="96" t="n">
        <f aca="false">Acquisitions!F$115*'Assumption Setting'!$D$96/'Assumption Setting'!$E$96*'Assumption Setting'!$C$117</f>
        <v>0.0199915813363426</v>
      </c>
      <c r="G8" s="96" t="n">
        <f aca="false">Acquisitions!G$115*'Assumption Setting'!$D$96/'Assumption Setting'!$E$96*'Assumption Setting'!$C$117</f>
        <v>0.0399831626726851</v>
      </c>
      <c r="H8" s="96" t="n">
        <f aca="false">Acquisitions!H$115*'Assumption Setting'!$D$96/'Assumption Setting'!$E$96*'Assumption Setting'!$C$117</f>
        <v>0.0599747440090277</v>
      </c>
      <c r="I8" s="96" t="n">
        <f aca="false">Acquisitions!I$115*'Assumption Setting'!$D$96/'Assumption Setting'!$E$96*'Assumption Setting'!$C$117</f>
        <v>0.0799663253453703</v>
      </c>
      <c r="J8" s="96" t="n">
        <f aca="false">Acquisitions!J$115*'Assumption Setting'!$D$96/'Assumption Setting'!$E$96*'Assumption Setting'!$C$117</f>
        <v>0.0999579066817128</v>
      </c>
      <c r="K8" s="96" t="n">
        <f aca="false">Acquisitions!K$115*'Assumption Setting'!$D$96/'Assumption Setting'!$E$96*'Assumption Setting'!$C$117</f>
        <v>0.119949488018055</v>
      </c>
      <c r="L8" s="96" t="n">
        <f aca="false">Acquisitions!L$115*'Assumption Setting'!$D$96/'Assumption Setting'!$E$96*'Assumption Setting'!$C$117</f>
        <v>0.139941069354398</v>
      </c>
      <c r="M8" s="96" t="n">
        <f aca="false">Acquisitions!M$115*'Assumption Setting'!$D$96/'Assumption Setting'!$E$96*'Assumption Setting'!$C$117</f>
        <v>0.159932650690741</v>
      </c>
      <c r="N8" s="96" t="n">
        <f aca="false">Acquisitions!N$115*'Assumption Setting'!$D$96/'Assumption Setting'!$E$96*'Assumption Setting'!$C$117</f>
        <v>0.179924232027083</v>
      </c>
      <c r="O8" s="80" t="n">
        <f aca="false">SUM(P8:AA8)</f>
        <v>9.10304733211054</v>
      </c>
      <c r="P8" s="96" t="n">
        <f aca="false">Acquisitions!P$115*'Assumption Setting'!$D$96/'Assumption Setting'!$E$96*'Assumption Setting'!$D$117</f>
        <v>0.526094245693226</v>
      </c>
      <c r="Q8" s="96" t="n">
        <f aca="false">Acquisitions!Q$115*'Assumption Setting'!$D$96/'Assumption Setting'!$E$96*'Assumption Setting'!$D$117</f>
        <v>0.578703670262548</v>
      </c>
      <c r="R8" s="96" t="n">
        <f aca="false">Acquisitions!R$115*'Assumption Setting'!$D$96/'Assumption Setting'!$E$96*'Assumption Setting'!$D$117</f>
        <v>0.636574037288803</v>
      </c>
      <c r="S8" s="96" t="n">
        <f aca="false">Acquisitions!S$115*'Assumption Setting'!$D$96/'Assumption Setting'!$E$96*'Assumption Setting'!$D$117</f>
        <v>0.672852016028064</v>
      </c>
      <c r="T8" s="96" t="n">
        <f aca="false">Acquisitions!T$115*'Assumption Setting'!$D$96/'Assumption Setting'!$E$96*'Assumption Setting'!$D$117</f>
        <v>0.709129994767325</v>
      </c>
      <c r="U8" s="96" t="n">
        <f aca="false">Acquisitions!U$115*'Assumption Setting'!$D$96/'Assumption Setting'!$E$96*'Assumption Setting'!$D$117</f>
        <v>0.745407973506585</v>
      </c>
      <c r="V8" s="96" t="n">
        <f aca="false">Acquisitions!V$115*'Assumption Setting'!$D$96/'Assumption Setting'!$E$96*'Assumption Setting'!$D$117</f>
        <v>0.781685952245846</v>
      </c>
      <c r="W8" s="96" t="n">
        <f aca="false">Acquisitions!W$115*'Assumption Setting'!$D$96/'Assumption Setting'!$E$96*'Assumption Setting'!$D$117</f>
        <v>0.817963930985107</v>
      </c>
      <c r="X8" s="96" t="n">
        <f aca="false">Acquisitions!X$115*'Assumption Setting'!$D$96/'Assumption Setting'!$E$96*'Assumption Setting'!$D$117</f>
        <v>0.854241909724368</v>
      </c>
      <c r="Y8" s="96" t="n">
        <f aca="false">Acquisitions!Y$115*'Assumption Setting'!$D$96/'Assumption Setting'!$E$96*'Assumption Setting'!$D$117</f>
        <v>0.890519888463629</v>
      </c>
      <c r="Z8" s="96" t="n">
        <f aca="false">Acquisitions!Z$115*'Assumption Setting'!$D$96/'Assumption Setting'!$E$96*'Assumption Setting'!$D$117</f>
        <v>0.92679786720289</v>
      </c>
      <c r="AA8" s="96" t="n">
        <f aca="false">Acquisitions!AA$115*'Assumption Setting'!$D$96/'Assumption Setting'!$E$96*'Assumption Setting'!$D$117</f>
        <v>0.963075845942151</v>
      </c>
      <c r="AB8" s="80" t="n">
        <f aca="false">SUM(AC8:AN8)</f>
        <v>15.3268401367145</v>
      </c>
      <c r="AC8" s="96" t="n">
        <f aca="false">Acquisitions!AC$115*'Assumption Setting'!$D$96/'Assumption Setting'!$E$96*'Assumption Setting'!$E$117</f>
        <v>0.999353824681411</v>
      </c>
      <c r="AD8" s="96" t="n">
        <f aca="false">Acquisitions!AD$115*'Assumption Setting'!$D$96/'Assumption Setting'!$E$96*'Assumption Setting'!$E$117</f>
        <v>1.03563180342067</v>
      </c>
      <c r="AE8" s="96" t="n">
        <f aca="false">Acquisitions!AE$115*'Assumption Setting'!$D$96/'Assumption Setting'!$E$96*'Assumption Setting'!$E$117</f>
        <v>1.07472951273105</v>
      </c>
      <c r="AF8" s="96" t="n">
        <f aca="false">Acquisitions!AF$115*'Assumption Setting'!$D$96/'Assumption Setting'!$E$96*'Assumption Setting'!$E$117</f>
        <v>1.13127527675999</v>
      </c>
      <c r="AG8" s="96" t="n">
        <f aca="false">Acquisitions!AG$115*'Assumption Setting'!$D$96/'Assumption Setting'!$E$96*'Assumption Setting'!$E$117</f>
        <v>1.18782104078892</v>
      </c>
      <c r="AH8" s="96" t="n">
        <f aca="false">Acquisitions!AH$115*'Assumption Setting'!$D$96/'Assumption Setting'!$E$96*'Assumption Setting'!$E$117</f>
        <v>1.24436680481785</v>
      </c>
      <c r="AI8" s="96" t="n">
        <f aca="false">Acquisitions!AI$115*'Assumption Setting'!$D$96/'Assumption Setting'!$E$96*'Assumption Setting'!$E$117</f>
        <v>1.30091256884678</v>
      </c>
      <c r="AJ8" s="96" t="n">
        <f aca="false">Acquisitions!AJ$115*'Assumption Setting'!$D$96/'Assumption Setting'!$E$96*'Assumption Setting'!$E$117</f>
        <v>1.35745833287571</v>
      </c>
      <c r="AK8" s="96" t="n">
        <f aca="false">Acquisitions!AK$115*'Assumption Setting'!$D$96/'Assumption Setting'!$E$96*'Assumption Setting'!$E$117</f>
        <v>1.41400409690464</v>
      </c>
      <c r="AL8" s="96" t="n">
        <f aca="false">Acquisitions!AL$115*'Assumption Setting'!$D$96/'Assumption Setting'!$E$96*'Assumption Setting'!$E$117</f>
        <v>1.47054986093358</v>
      </c>
      <c r="AM8" s="96" t="n">
        <f aca="false">Acquisitions!AM$115*'Assumption Setting'!$D$96/'Assumption Setting'!$E$96*'Assumption Setting'!$E$117</f>
        <v>1.52709562496251</v>
      </c>
      <c r="AN8" s="96" t="n">
        <f aca="false">Acquisitions!AN$115*'Assumption Setting'!$D$96/'Assumption Setting'!$E$96*'Assumption Setting'!$E$117</f>
        <v>1.58364138899144</v>
      </c>
      <c r="AO8" s="80" t="n">
        <f aca="false">SUM(AP8:BA8)</f>
        <v>23.1461100110386</v>
      </c>
      <c r="AP8" s="96" t="n">
        <f aca="false">Acquisitions!AP$115*'Assumption Setting'!$D$96/'Assumption Setting'!$E$96*'Assumption Setting'!$F$117</f>
        <v>1.64018715302037</v>
      </c>
      <c r="AQ8" s="96" t="n">
        <f aca="false">Acquisitions!AQ$115*'Assumption Setting'!$D$96/'Assumption Setting'!$E$96*'Assumption Setting'!$F$117</f>
        <v>1.6967329170493</v>
      </c>
      <c r="AR8" s="96" t="n">
        <f aca="false">Acquisitions!AR$115*'Assumption Setting'!$D$96/'Assumption Setting'!$E$96*'Assumption Setting'!$F$117</f>
        <v>1.75125772335591</v>
      </c>
      <c r="AS8" s="96" t="n">
        <f aca="false">Acquisitions!AS$115*'Assumption Setting'!$D$96/'Assumption Setting'!$E$96*'Assumption Setting'!$F$117</f>
        <v>1.80229356129835</v>
      </c>
      <c r="AT8" s="96" t="n">
        <f aca="false">Acquisitions!AT$115*'Assumption Setting'!$D$96/'Assumption Setting'!$E$96*'Assumption Setting'!$F$117</f>
        <v>1.85332939924079</v>
      </c>
      <c r="AU8" s="96" t="n">
        <f aca="false">Acquisitions!AU$115*'Assumption Setting'!$D$96/'Assumption Setting'!$E$96*'Assumption Setting'!$F$117</f>
        <v>1.90436523718323</v>
      </c>
      <c r="AV8" s="96" t="n">
        <f aca="false">Acquisitions!AV$115*'Assumption Setting'!$D$96/'Assumption Setting'!$E$96*'Assumption Setting'!$F$117</f>
        <v>1.95540107512567</v>
      </c>
      <c r="AW8" s="96" t="n">
        <f aca="false">Acquisitions!AW$115*'Assumption Setting'!$D$96/'Assumption Setting'!$E$96*'Assumption Setting'!$F$117</f>
        <v>2.00643691306811</v>
      </c>
      <c r="AX8" s="96" t="n">
        <f aca="false">Acquisitions!AX$115*'Assumption Setting'!$D$96/'Assumption Setting'!$E$96*'Assumption Setting'!$F$117</f>
        <v>2.05747275101055</v>
      </c>
      <c r="AY8" s="96" t="n">
        <f aca="false">Acquisitions!AY$115*'Assumption Setting'!$D$96/'Assumption Setting'!$E$96*'Assumption Setting'!$F$117</f>
        <v>2.10850858895299</v>
      </c>
      <c r="AZ8" s="96" t="n">
        <f aca="false">Acquisitions!AZ$115*'Assumption Setting'!$D$96/'Assumption Setting'!$E$96*'Assumption Setting'!$F$117</f>
        <v>2.15954442689543</v>
      </c>
      <c r="BA8" s="96" t="n">
        <f aca="false">Acquisitions!BA$115*'Assumption Setting'!$D$96/'Assumption Setting'!$E$96*'Assumption Setting'!$F$117</f>
        <v>2.21058026483787</v>
      </c>
      <c r="BB8" s="80" t="n">
        <f aca="false">SUM(BC8:BN8)</f>
        <v>30.6837851445149</v>
      </c>
      <c r="BC8" s="96" t="n">
        <f aca="false">Acquisitions!BC$115*'Assumption Setting'!$D$96/'Assumption Setting'!$E$96*'Assumption Setting'!$G$117</f>
        <v>2.26161610278031</v>
      </c>
      <c r="BD8" s="96" t="n">
        <f aca="false">Acquisitions!BD$115*'Assumption Setting'!$D$96/'Assumption Setting'!$E$96*'Assumption Setting'!$G$117</f>
        <v>2.31265194072275</v>
      </c>
      <c r="BE8" s="96" t="n">
        <f aca="false">Acquisitions!BE$115*'Assumption Setting'!$D$96/'Assumption Setting'!$E$96*'Assumption Setting'!$G$117</f>
        <v>2.36548682357066</v>
      </c>
      <c r="BF8" s="96" t="n">
        <f aca="false">Acquisitions!BF$115*'Assumption Setting'!$D$96/'Assumption Setting'!$E$96*'Assumption Setting'!$G$117</f>
        <v>2.420034576133</v>
      </c>
      <c r="BG8" s="96" t="n">
        <f aca="false">Acquisitions!BG$115*'Assumption Setting'!$D$96/'Assumption Setting'!$E$96*'Assumption Setting'!$G$117</f>
        <v>2.47458232869534</v>
      </c>
      <c r="BH8" s="96" t="n">
        <f aca="false">Acquisitions!BH$115*'Assumption Setting'!$D$96/'Assumption Setting'!$E$96*'Assumption Setting'!$G$117</f>
        <v>2.52913008125767</v>
      </c>
      <c r="BI8" s="96" t="n">
        <f aca="false">Acquisitions!BI$115*'Assumption Setting'!$D$96/'Assumption Setting'!$E$96*'Assumption Setting'!$G$117</f>
        <v>2.58367783382001</v>
      </c>
      <c r="BJ8" s="96" t="n">
        <f aca="false">Acquisitions!BJ$115*'Assumption Setting'!$D$96/'Assumption Setting'!$E$96*'Assumption Setting'!$G$117</f>
        <v>2.63822558638235</v>
      </c>
      <c r="BK8" s="96" t="n">
        <f aca="false">Acquisitions!BK$115*'Assumption Setting'!$D$96/'Assumption Setting'!$E$96*'Assumption Setting'!$G$117</f>
        <v>2.69277333894469</v>
      </c>
      <c r="BL8" s="96" t="n">
        <f aca="false">Acquisitions!BL$115*'Assumption Setting'!$D$96/'Assumption Setting'!$E$96*'Assumption Setting'!$G$117</f>
        <v>2.74732109150702</v>
      </c>
      <c r="BM8" s="96" t="n">
        <f aca="false">Acquisitions!BM$115*'Assumption Setting'!$D$96/'Assumption Setting'!$E$96*'Assumption Setting'!$G$117</f>
        <v>2.80186884406936</v>
      </c>
      <c r="BN8" s="96" t="n">
        <f aca="false">Acquisitions!BN$115*'Assumption Setting'!$D$96/'Assumption Setting'!$E$96*'Assumption Setting'!$G$117</f>
        <v>2.8564165966317</v>
      </c>
    </row>
    <row r="9" customFormat="false" ht="15" hidden="false" customHeight="false" outlineLevel="0" collapsed="false">
      <c r="A9" s="12" t="s">
        <v>321</v>
      </c>
      <c r="B9" s="80" t="n">
        <f aca="false">SUM(C9:N9)</f>
        <v>0.0749684300112846</v>
      </c>
      <c r="C9" s="96" t="n">
        <f aca="false">Acquisitions!C$117*'Assumption Setting'!$D$97/'Assumption Setting'!$E$97*'Assumption Setting'!$C$117</f>
        <v>0</v>
      </c>
      <c r="D9" s="96" t="n">
        <f aca="false">Acquisitions!D$117*'Assumption Setting'!$D$97/'Assumption Setting'!$E$97*'Assumption Setting'!$C$117</f>
        <v>0</v>
      </c>
      <c r="E9" s="96" t="n">
        <f aca="false">Acquisitions!E$117*'Assumption Setting'!$D$97/'Assumption Setting'!$E$97*'Assumption Setting'!$C$117</f>
        <v>0</v>
      </c>
      <c r="F9" s="96" t="n">
        <f aca="false">Acquisitions!F$117*'Assumption Setting'!$D$97/'Assumption Setting'!$E$97*'Assumption Setting'!$C$117</f>
        <v>0.00166596511136188</v>
      </c>
      <c r="G9" s="96" t="n">
        <f aca="false">Acquisitions!G$117*'Assumption Setting'!$D$97/'Assumption Setting'!$E$97*'Assumption Setting'!$C$117</f>
        <v>0.00333193022272376</v>
      </c>
      <c r="H9" s="96" t="n">
        <f aca="false">Acquisitions!H$117*'Assumption Setting'!$D$97/'Assumption Setting'!$E$97*'Assumption Setting'!$C$117</f>
        <v>0.00499789533408564</v>
      </c>
      <c r="I9" s="96" t="n">
        <f aca="false">Acquisitions!I$117*'Assumption Setting'!$D$97/'Assumption Setting'!$E$97*'Assumption Setting'!$C$117</f>
        <v>0.00666386044544752</v>
      </c>
      <c r="J9" s="96" t="n">
        <f aca="false">Acquisitions!J$117*'Assumption Setting'!$D$97/'Assumption Setting'!$E$97*'Assumption Setting'!$C$117</f>
        <v>0.0083298255568094</v>
      </c>
      <c r="K9" s="96" t="n">
        <f aca="false">Acquisitions!K$117*'Assumption Setting'!$D$97/'Assumption Setting'!$E$97*'Assumption Setting'!$C$117</f>
        <v>0.00999579066817128</v>
      </c>
      <c r="L9" s="96" t="n">
        <f aca="false">Acquisitions!L$117*'Assumption Setting'!$D$97/'Assumption Setting'!$E$97*'Assumption Setting'!$C$117</f>
        <v>0.0116617557795332</v>
      </c>
      <c r="M9" s="96" t="n">
        <f aca="false">Acquisitions!M$117*'Assumption Setting'!$D$97/'Assumption Setting'!$E$97*'Assumption Setting'!$C$117</f>
        <v>0.013327720890895</v>
      </c>
      <c r="N9" s="96" t="n">
        <f aca="false">Acquisitions!N$117*'Assumption Setting'!$D$97/'Assumption Setting'!$E$97*'Assumption Setting'!$C$117</f>
        <v>0.0149936860022569</v>
      </c>
      <c r="O9" s="80" t="n">
        <f aca="false">SUM(P9:AA9)</f>
        <v>0.758587277675878</v>
      </c>
      <c r="P9" s="96" t="n">
        <f aca="false">Acquisitions!P$117*'Assumption Setting'!$D$97/'Assumption Setting'!$E$97*'Assumption Setting'!$D$117</f>
        <v>0.0438411871411021</v>
      </c>
      <c r="Q9" s="96" t="n">
        <f aca="false">Acquisitions!Q$117*'Assumption Setting'!$D$97/'Assumption Setting'!$E$97*'Assumption Setting'!$D$117</f>
        <v>0.0482253058552123</v>
      </c>
      <c r="R9" s="96" t="n">
        <f aca="false">Acquisitions!R$117*'Assumption Setting'!$D$97/'Assumption Setting'!$E$97*'Assumption Setting'!$D$117</f>
        <v>0.0530478364407336</v>
      </c>
      <c r="S9" s="96" t="n">
        <f aca="false">Acquisitions!S$117*'Assumption Setting'!$D$97/'Assumption Setting'!$E$97*'Assumption Setting'!$D$117</f>
        <v>0.056071001335672</v>
      </c>
      <c r="T9" s="96" t="n">
        <f aca="false">Acquisitions!T$117*'Assumption Setting'!$D$97/'Assumption Setting'!$E$97*'Assumption Setting'!$D$117</f>
        <v>0.0590941662306104</v>
      </c>
      <c r="U9" s="96" t="n">
        <f aca="false">Acquisitions!U$117*'Assumption Setting'!$D$97/'Assumption Setting'!$E$97*'Assumption Setting'!$D$117</f>
        <v>0.0621173311255488</v>
      </c>
      <c r="V9" s="96" t="n">
        <f aca="false">Acquisitions!V$117*'Assumption Setting'!$D$97/'Assumption Setting'!$E$97*'Assumption Setting'!$D$117</f>
        <v>0.0651404960204872</v>
      </c>
      <c r="W9" s="96" t="n">
        <f aca="false">Acquisitions!W$117*'Assumption Setting'!$D$97/'Assumption Setting'!$E$97*'Assumption Setting'!$D$117</f>
        <v>0.0681636609154256</v>
      </c>
      <c r="X9" s="96" t="n">
        <f aca="false">Acquisitions!X$117*'Assumption Setting'!$D$97/'Assumption Setting'!$E$97*'Assumption Setting'!$D$117</f>
        <v>0.071186825810364</v>
      </c>
      <c r="Y9" s="96" t="n">
        <f aca="false">Acquisitions!Y$117*'Assumption Setting'!$D$97/'Assumption Setting'!$E$97*'Assumption Setting'!$D$117</f>
        <v>0.0742099907053024</v>
      </c>
      <c r="Z9" s="96" t="n">
        <f aca="false">Acquisitions!Z$117*'Assumption Setting'!$D$97/'Assumption Setting'!$E$97*'Assumption Setting'!$D$117</f>
        <v>0.0772331556002408</v>
      </c>
      <c r="AA9" s="96" t="n">
        <f aca="false">Acquisitions!AA$117*'Assumption Setting'!$D$97/'Assumption Setting'!$E$97*'Assumption Setting'!$D$117</f>
        <v>0.0802563204951792</v>
      </c>
      <c r="AB9" s="80" t="n">
        <f aca="false">SUM(AC9:AN9)</f>
        <v>1.27723667805955</v>
      </c>
      <c r="AC9" s="96" t="n">
        <f aca="false">Acquisitions!AC$117*'Assumption Setting'!$D$97/'Assumption Setting'!$E$97*'Assumption Setting'!$E$117</f>
        <v>0.0832794853901176</v>
      </c>
      <c r="AD9" s="96" t="n">
        <f aca="false">Acquisitions!AD$117*'Assumption Setting'!$D$97/'Assumption Setting'!$E$97*'Assumption Setting'!$E$117</f>
        <v>0.086302650285056</v>
      </c>
      <c r="AE9" s="96" t="n">
        <f aca="false">Acquisitions!AE$117*'Assumption Setting'!$D$97/'Assumption Setting'!$E$97*'Assumption Setting'!$E$117</f>
        <v>0.0895607927275878</v>
      </c>
      <c r="AF9" s="96" t="n">
        <f aca="false">Acquisitions!AF$117*'Assumption Setting'!$D$97/'Assumption Setting'!$E$97*'Assumption Setting'!$E$117</f>
        <v>0.0942729397299988</v>
      </c>
      <c r="AG9" s="96" t="n">
        <f aca="false">Acquisitions!AG$117*'Assumption Setting'!$D$97/'Assumption Setting'!$E$97*'Assumption Setting'!$E$117</f>
        <v>0.0989850867324098</v>
      </c>
      <c r="AH9" s="96" t="n">
        <f aca="false">Acquisitions!AH$117*'Assumption Setting'!$D$97/'Assumption Setting'!$E$97*'Assumption Setting'!$E$117</f>
        <v>0.103697233734821</v>
      </c>
      <c r="AI9" s="96" t="n">
        <f aca="false">Acquisitions!AI$117*'Assumption Setting'!$D$97/'Assumption Setting'!$E$97*'Assumption Setting'!$E$117</f>
        <v>0.108409380737232</v>
      </c>
      <c r="AJ9" s="96" t="n">
        <f aca="false">Acquisitions!AJ$117*'Assumption Setting'!$D$97/'Assumption Setting'!$E$97*'Assumption Setting'!$E$117</f>
        <v>0.113121527739643</v>
      </c>
      <c r="AK9" s="96" t="n">
        <f aca="false">Acquisitions!AK$117*'Assumption Setting'!$D$97/'Assumption Setting'!$E$97*'Assumption Setting'!$E$117</f>
        <v>0.117833674742054</v>
      </c>
      <c r="AL9" s="96" t="n">
        <f aca="false">Acquisitions!AL$117*'Assumption Setting'!$D$97/'Assumption Setting'!$E$97*'Assumption Setting'!$E$117</f>
        <v>0.122545821744465</v>
      </c>
      <c r="AM9" s="96" t="n">
        <f aca="false">Acquisitions!AM$117*'Assumption Setting'!$D$97/'Assumption Setting'!$E$97*'Assumption Setting'!$E$117</f>
        <v>0.127257968746876</v>
      </c>
      <c r="AN9" s="96" t="n">
        <f aca="false">Acquisitions!AN$117*'Assumption Setting'!$D$97/'Assumption Setting'!$E$97*'Assumption Setting'!$E$117</f>
        <v>0.131970115749287</v>
      </c>
      <c r="AO9" s="80" t="n">
        <f aca="false">SUM(AP9:BA9)</f>
        <v>1.92884250091988</v>
      </c>
      <c r="AP9" s="96" t="n">
        <f aca="false">Acquisitions!AP$117*'Assumption Setting'!$D$97/'Assumption Setting'!$E$97*'Assumption Setting'!$F$117</f>
        <v>0.136682262751698</v>
      </c>
      <c r="AQ9" s="96" t="n">
        <f aca="false">Acquisitions!AQ$117*'Assumption Setting'!$D$97/'Assumption Setting'!$E$97*'Assumption Setting'!$F$117</f>
        <v>0.141394409754109</v>
      </c>
      <c r="AR9" s="96" t="n">
        <f aca="false">Acquisitions!AR$117*'Assumption Setting'!$D$97/'Assumption Setting'!$E$97*'Assumption Setting'!$F$117</f>
        <v>0.145938143612993</v>
      </c>
      <c r="AS9" s="96" t="n">
        <f aca="false">Acquisitions!AS$117*'Assumption Setting'!$D$97/'Assumption Setting'!$E$97*'Assumption Setting'!$F$117</f>
        <v>0.150191130108196</v>
      </c>
      <c r="AT9" s="96" t="n">
        <f aca="false">Acquisitions!AT$117*'Assumption Setting'!$D$97/'Assumption Setting'!$E$97*'Assumption Setting'!$F$117</f>
        <v>0.154444116603399</v>
      </c>
      <c r="AU9" s="96" t="n">
        <f aca="false">Acquisitions!AU$117*'Assumption Setting'!$D$97/'Assumption Setting'!$E$97*'Assumption Setting'!$F$117</f>
        <v>0.158697103098603</v>
      </c>
      <c r="AV9" s="96" t="n">
        <f aca="false">Acquisitions!AV$117*'Assumption Setting'!$D$97/'Assumption Setting'!$E$97*'Assumption Setting'!$F$117</f>
        <v>0.162950089593806</v>
      </c>
      <c r="AW9" s="96" t="n">
        <f aca="false">Acquisitions!AW$117*'Assumption Setting'!$D$97/'Assumption Setting'!$E$97*'Assumption Setting'!$F$117</f>
        <v>0.167203076089009</v>
      </c>
      <c r="AX9" s="96" t="n">
        <f aca="false">Acquisitions!AX$117*'Assumption Setting'!$D$97/'Assumption Setting'!$E$97*'Assumption Setting'!$F$117</f>
        <v>0.171456062584213</v>
      </c>
      <c r="AY9" s="96" t="n">
        <f aca="false">Acquisitions!AY$117*'Assumption Setting'!$D$97/'Assumption Setting'!$E$97*'Assumption Setting'!$F$117</f>
        <v>0.175709049079416</v>
      </c>
      <c r="AZ9" s="96" t="n">
        <f aca="false">Acquisitions!AZ$117*'Assumption Setting'!$D$97/'Assumption Setting'!$E$97*'Assumption Setting'!$F$117</f>
        <v>0.179962035574619</v>
      </c>
      <c r="BA9" s="96" t="n">
        <f aca="false">Acquisitions!BA$117*'Assumption Setting'!$D$97/'Assumption Setting'!$E$97*'Assumption Setting'!$F$117</f>
        <v>0.184215022069823</v>
      </c>
      <c r="BB9" s="80" t="n">
        <f aca="false">SUM(BC9:BN9)</f>
        <v>2.55698209537624</v>
      </c>
      <c r="BC9" s="96" t="n">
        <f aca="false">Acquisitions!BC$117*'Assumption Setting'!$D$97/'Assumption Setting'!$E$97*'Assumption Setting'!$G$117</f>
        <v>0.188468008565026</v>
      </c>
      <c r="BD9" s="96" t="n">
        <f aca="false">Acquisitions!BD$117*'Assumption Setting'!$D$97/'Assumption Setting'!$E$97*'Assumption Setting'!$G$117</f>
        <v>0.192720995060229</v>
      </c>
      <c r="BE9" s="96" t="n">
        <f aca="false">Acquisitions!BE$117*'Assumption Setting'!$D$97/'Assumption Setting'!$E$97*'Assumption Setting'!$G$117</f>
        <v>0.197123901964222</v>
      </c>
      <c r="BF9" s="96" t="n">
        <f aca="false">Acquisitions!BF$117*'Assumption Setting'!$D$97/'Assumption Setting'!$E$97*'Assumption Setting'!$G$117</f>
        <v>0.201669548011083</v>
      </c>
      <c r="BG9" s="96" t="n">
        <f aca="false">Acquisitions!BG$117*'Assumption Setting'!$D$97/'Assumption Setting'!$E$97*'Assumption Setting'!$G$117</f>
        <v>0.206215194057945</v>
      </c>
      <c r="BH9" s="96" t="n">
        <f aca="false">Acquisitions!BH$117*'Assumption Setting'!$D$97/'Assumption Setting'!$E$97*'Assumption Setting'!$G$117</f>
        <v>0.210760840104806</v>
      </c>
      <c r="BI9" s="96" t="n">
        <f aca="false">Acquisitions!BI$117*'Assumption Setting'!$D$97/'Assumption Setting'!$E$97*'Assumption Setting'!$G$117</f>
        <v>0.215306486151668</v>
      </c>
      <c r="BJ9" s="96" t="n">
        <f aca="false">Acquisitions!BJ$117*'Assumption Setting'!$D$97/'Assumption Setting'!$E$97*'Assumption Setting'!$G$117</f>
        <v>0.219852132198529</v>
      </c>
      <c r="BK9" s="96" t="n">
        <f aca="false">Acquisitions!BK$117*'Assumption Setting'!$D$97/'Assumption Setting'!$E$97*'Assumption Setting'!$G$117</f>
        <v>0.22439777824539</v>
      </c>
      <c r="BL9" s="96" t="n">
        <f aca="false">Acquisitions!BL$117*'Assumption Setting'!$D$97/'Assumption Setting'!$E$97*'Assumption Setting'!$G$117</f>
        <v>0.228943424292252</v>
      </c>
      <c r="BM9" s="96" t="n">
        <f aca="false">Acquisitions!BM$117*'Assumption Setting'!$D$97/'Assumption Setting'!$E$97*'Assumption Setting'!$G$117</f>
        <v>0.233489070339113</v>
      </c>
      <c r="BN9" s="96" t="n">
        <f aca="false">Acquisitions!BN$117*'Assumption Setting'!$D$97/'Assumption Setting'!$E$97*'Assumption Setting'!$G$117</f>
        <v>0.238034716385975</v>
      </c>
    </row>
    <row r="10" customFormat="false" ht="15" hidden="false" customHeight="false" outlineLevel="0" collapsed="false">
      <c r="A10" s="12" t="s">
        <v>323</v>
      </c>
      <c r="B10" s="80" t="n">
        <f aca="false">SUM(C10:N10)</f>
        <v>1.31194752519748</v>
      </c>
      <c r="C10" s="96" t="n">
        <f aca="false">Acquisitions!C$119*'Assumption Setting'!$D$98/'Assumption Setting'!$E$98*'Assumption Setting'!$C$117</f>
        <v>0</v>
      </c>
      <c r="D10" s="96" t="n">
        <f aca="false">Acquisitions!D$119*'Assumption Setting'!$D$98/'Assumption Setting'!$E$98*'Assumption Setting'!$C$117</f>
        <v>0</v>
      </c>
      <c r="E10" s="96" t="n">
        <f aca="false">Acquisitions!E$119*'Assumption Setting'!$D$98/'Assumption Setting'!$E$98*'Assumption Setting'!$C$117</f>
        <v>0</v>
      </c>
      <c r="F10" s="96" t="n">
        <f aca="false">Acquisitions!F$119*'Assumption Setting'!$D$98/'Assumption Setting'!$E$98*'Assumption Setting'!$C$117</f>
        <v>0.0291543894488329</v>
      </c>
      <c r="G10" s="96" t="n">
        <f aca="false">Acquisitions!G$119*'Assumption Setting'!$D$98/'Assumption Setting'!$E$98*'Assumption Setting'!$C$117</f>
        <v>0.0583087788976658</v>
      </c>
      <c r="H10" s="96" t="n">
        <f aca="false">Acquisitions!H$119*'Assumption Setting'!$D$98/'Assumption Setting'!$E$98*'Assumption Setting'!$C$117</f>
        <v>0.0874631683464987</v>
      </c>
      <c r="I10" s="96" t="n">
        <f aca="false">Acquisitions!I$119*'Assumption Setting'!$D$98/'Assumption Setting'!$E$98*'Assumption Setting'!$C$117</f>
        <v>0.116617557795332</v>
      </c>
      <c r="J10" s="96" t="n">
        <f aca="false">Acquisitions!J$119*'Assumption Setting'!$D$98/'Assumption Setting'!$E$98*'Assumption Setting'!$C$117</f>
        <v>0.145771947244165</v>
      </c>
      <c r="K10" s="96" t="n">
        <f aca="false">Acquisitions!K$119*'Assumption Setting'!$D$98/'Assumption Setting'!$E$98*'Assumption Setting'!$C$117</f>
        <v>0.174926336692997</v>
      </c>
      <c r="L10" s="96" t="n">
        <f aca="false">Acquisitions!L$119*'Assumption Setting'!$D$98/'Assumption Setting'!$E$98*'Assumption Setting'!$C$117</f>
        <v>0.20408072614183</v>
      </c>
      <c r="M10" s="96" t="n">
        <f aca="false">Acquisitions!M$119*'Assumption Setting'!$D$98/'Assumption Setting'!$E$98*'Assumption Setting'!$C$117</f>
        <v>0.233235115590663</v>
      </c>
      <c r="N10" s="96" t="n">
        <f aca="false">Acquisitions!N$119*'Assumption Setting'!$D$98/'Assumption Setting'!$E$98*'Assumption Setting'!$C$117</f>
        <v>0.262389505039496</v>
      </c>
      <c r="O10" s="80" t="n">
        <f aca="false">SUM(P10:AA10)</f>
        <v>13.2752773593279</v>
      </c>
      <c r="P10" s="96" t="n">
        <f aca="false">Acquisitions!P$119*'Assumption Setting'!$D$98/'Assumption Setting'!$E$98*'Assumption Setting'!$D$117</f>
        <v>0.767220774969287</v>
      </c>
      <c r="Q10" s="96" t="n">
        <f aca="false">Acquisitions!Q$119*'Assumption Setting'!$D$98/'Assumption Setting'!$E$98*'Assumption Setting'!$D$117</f>
        <v>0.843942852466216</v>
      </c>
      <c r="R10" s="96" t="n">
        <f aca="false">Acquisitions!R$119*'Assumption Setting'!$D$98/'Assumption Setting'!$E$98*'Assumption Setting'!$D$117</f>
        <v>0.928337137712837</v>
      </c>
      <c r="S10" s="96" t="n">
        <f aca="false">Acquisitions!S$119*'Assumption Setting'!$D$98/'Assumption Setting'!$E$98*'Assumption Setting'!$D$117</f>
        <v>0.981242523374259</v>
      </c>
      <c r="T10" s="96" t="n">
        <f aca="false">Acquisitions!T$119*'Assumption Setting'!$D$98/'Assumption Setting'!$E$98*'Assumption Setting'!$D$117</f>
        <v>1.03414790903568</v>
      </c>
      <c r="U10" s="96" t="n">
        <f aca="false">Acquisitions!U$119*'Assumption Setting'!$D$98/'Assumption Setting'!$E$98*'Assumption Setting'!$D$117</f>
        <v>1.0870532946971</v>
      </c>
      <c r="V10" s="96" t="n">
        <f aca="false">Acquisitions!V$119*'Assumption Setting'!$D$98/'Assumption Setting'!$E$98*'Assumption Setting'!$D$117</f>
        <v>1.13995868035853</v>
      </c>
      <c r="W10" s="96" t="n">
        <f aca="false">Acquisitions!W$119*'Assumption Setting'!$D$98/'Assumption Setting'!$E$98*'Assumption Setting'!$D$117</f>
        <v>1.19286406601995</v>
      </c>
      <c r="X10" s="96" t="n">
        <f aca="false">Acquisitions!X$119*'Assumption Setting'!$D$98/'Assumption Setting'!$E$98*'Assumption Setting'!$D$117</f>
        <v>1.24576945168137</v>
      </c>
      <c r="Y10" s="96" t="n">
        <f aca="false">Acquisitions!Y$119*'Assumption Setting'!$D$98/'Assumption Setting'!$E$98*'Assumption Setting'!$D$117</f>
        <v>1.29867483734279</v>
      </c>
      <c r="Z10" s="96" t="n">
        <f aca="false">Acquisitions!Z$119*'Assumption Setting'!$D$98/'Assumption Setting'!$E$98*'Assumption Setting'!$D$117</f>
        <v>1.35158022300421</v>
      </c>
      <c r="AA10" s="96" t="n">
        <f aca="false">Acquisitions!AA$119*'Assumption Setting'!$D$98/'Assumption Setting'!$E$98*'Assumption Setting'!$D$117</f>
        <v>1.40448560866564</v>
      </c>
      <c r="AB10" s="80" t="n">
        <f aca="false">SUM(AC10:AN10)</f>
        <v>22.351641866042</v>
      </c>
      <c r="AC10" s="96" t="n">
        <f aca="false">Acquisitions!AC$119*'Assumption Setting'!$D$98/'Assumption Setting'!$E$98*'Assumption Setting'!$E$117</f>
        <v>1.45739099432706</v>
      </c>
      <c r="AD10" s="96" t="n">
        <f aca="false">Acquisitions!AD$119*'Assumption Setting'!$D$98/'Assumption Setting'!$E$98*'Assumption Setting'!$E$117</f>
        <v>1.51029637998848</v>
      </c>
      <c r="AE10" s="96" t="n">
        <f aca="false">Acquisitions!AE$119*'Assumption Setting'!$D$98/'Assumption Setting'!$E$98*'Assumption Setting'!$E$117</f>
        <v>1.56731387273279</v>
      </c>
      <c r="AF10" s="96" t="n">
        <f aca="false">Acquisitions!AF$119*'Assumption Setting'!$D$98/'Assumption Setting'!$E$98*'Assumption Setting'!$E$117</f>
        <v>1.64977644527498</v>
      </c>
      <c r="AG10" s="96" t="n">
        <f aca="false">Acquisitions!AG$119*'Assumption Setting'!$D$98/'Assumption Setting'!$E$98*'Assumption Setting'!$E$117</f>
        <v>1.73223901781717</v>
      </c>
      <c r="AH10" s="96" t="n">
        <f aca="false">Acquisitions!AH$119*'Assumption Setting'!$D$98/'Assumption Setting'!$E$98*'Assumption Setting'!$E$117</f>
        <v>1.81470159035936</v>
      </c>
      <c r="AI10" s="96" t="n">
        <f aca="false">Acquisitions!AI$119*'Assumption Setting'!$D$98/'Assumption Setting'!$E$98*'Assumption Setting'!$E$117</f>
        <v>1.89716416290155</v>
      </c>
      <c r="AJ10" s="96" t="n">
        <f aca="false">Acquisitions!AJ$119*'Assumption Setting'!$D$98/'Assumption Setting'!$E$98*'Assumption Setting'!$E$117</f>
        <v>1.97962673544375</v>
      </c>
      <c r="AK10" s="96" t="n">
        <f aca="false">Acquisitions!AK$119*'Assumption Setting'!$D$98/'Assumption Setting'!$E$98*'Assumption Setting'!$E$117</f>
        <v>2.06208930798594</v>
      </c>
      <c r="AL10" s="96" t="n">
        <f aca="false">Acquisitions!AL$119*'Assumption Setting'!$D$98/'Assumption Setting'!$E$98*'Assumption Setting'!$E$117</f>
        <v>2.14455188052813</v>
      </c>
      <c r="AM10" s="96" t="n">
        <f aca="false">Acquisitions!AM$119*'Assumption Setting'!$D$98/'Assumption Setting'!$E$98*'Assumption Setting'!$E$117</f>
        <v>2.22701445307032</v>
      </c>
      <c r="AN10" s="96" t="n">
        <f aca="false">Acquisitions!AN$119*'Assumption Setting'!$D$98/'Assumption Setting'!$E$98*'Assumption Setting'!$E$117</f>
        <v>2.30947702561251</v>
      </c>
      <c r="AO10" s="80" t="n">
        <f aca="false">SUM(AP10:BA10)</f>
        <v>33.7547437660979</v>
      </c>
      <c r="AP10" s="96" t="n">
        <f aca="false">Acquisitions!AP$119*'Assumption Setting'!$D$98/'Assumption Setting'!$E$98*'Assumption Setting'!$F$117</f>
        <v>2.39193959815471</v>
      </c>
      <c r="AQ10" s="96" t="n">
        <f aca="false">Acquisitions!AQ$119*'Assumption Setting'!$D$98/'Assumption Setting'!$E$98*'Assumption Setting'!$F$117</f>
        <v>2.4744021706969</v>
      </c>
      <c r="AR10" s="96" t="n">
        <f aca="false">Acquisitions!AR$119*'Assumption Setting'!$D$98/'Assumption Setting'!$E$98*'Assumption Setting'!$F$117</f>
        <v>2.55391751322737</v>
      </c>
      <c r="AS10" s="96" t="n">
        <f aca="false">Acquisitions!AS$119*'Assumption Setting'!$D$98/'Assumption Setting'!$E$98*'Assumption Setting'!$F$117</f>
        <v>2.62834477689343</v>
      </c>
      <c r="AT10" s="96" t="n">
        <f aca="false">Acquisitions!AT$119*'Assumption Setting'!$D$98/'Assumption Setting'!$E$98*'Assumption Setting'!$F$117</f>
        <v>2.70277204055949</v>
      </c>
      <c r="AU10" s="96" t="n">
        <f aca="false">Acquisitions!AU$119*'Assumption Setting'!$D$98/'Assumption Setting'!$E$98*'Assumption Setting'!$F$117</f>
        <v>2.77719930422555</v>
      </c>
      <c r="AV10" s="96" t="n">
        <f aca="false">Acquisitions!AV$119*'Assumption Setting'!$D$98/'Assumption Setting'!$E$98*'Assumption Setting'!$F$117</f>
        <v>2.8516265678916</v>
      </c>
      <c r="AW10" s="96" t="n">
        <f aca="false">Acquisitions!AW$119*'Assumption Setting'!$D$98/'Assumption Setting'!$E$98*'Assumption Setting'!$F$117</f>
        <v>2.92605383155766</v>
      </c>
      <c r="AX10" s="96" t="n">
        <f aca="false">Acquisitions!AX$119*'Assumption Setting'!$D$98/'Assumption Setting'!$E$98*'Assumption Setting'!$F$117</f>
        <v>3.00048109522372</v>
      </c>
      <c r="AY10" s="96" t="n">
        <f aca="false">Acquisitions!AY$119*'Assumption Setting'!$D$98/'Assumption Setting'!$E$98*'Assumption Setting'!$F$117</f>
        <v>3.07490835888978</v>
      </c>
      <c r="AZ10" s="96" t="n">
        <f aca="false">Acquisitions!AZ$119*'Assumption Setting'!$D$98/'Assumption Setting'!$E$98*'Assumption Setting'!$F$117</f>
        <v>3.14933562255584</v>
      </c>
      <c r="BA10" s="96" t="n">
        <f aca="false">Acquisitions!BA$119*'Assumption Setting'!$D$98/'Assumption Setting'!$E$98*'Assumption Setting'!$F$117</f>
        <v>3.2237628862219</v>
      </c>
      <c r="BB10" s="80" t="n">
        <f aca="false">SUM(BC10:BN10)</f>
        <v>44.7471866690842</v>
      </c>
      <c r="BC10" s="96" t="n">
        <f aca="false">Acquisitions!BC$119*'Assumption Setting'!$D$98/'Assumption Setting'!$E$98*'Assumption Setting'!$G$117</f>
        <v>3.29819014988796</v>
      </c>
      <c r="BD10" s="96" t="n">
        <f aca="false">Acquisitions!BD$119*'Assumption Setting'!$D$98/'Assumption Setting'!$E$98*'Assumption Setting'!$G$117</f>
        <v>3.37261741355402</v>
      </c>
      <c r="BE10" s="96" t="n">
        <f aca="false">Acquisitions!BE$119*'Assumption Setting'!$D$98/'Assumption Setting'!$E$98*'Assumption Setting'!$G$117</f>
        <v>3.44966828437388</v>
      </c>
      <c r="BF10" s="96" t="n">
        <f aca="false">Acquisitions!BF$119*'Assumption Setting'!$D$98/'Assumption Setting'!$E$98*'Assumption Setting'!$G$117</f>
        <v>3.52921709019396</v>
      </c>
      <c r="BG10" s="96" t="n">
        <f aca="false">Acquisitions!BG$119*'Assumption Setting'!$D$98/'Assumption Setting'!$E$98*'Assumption Setting'!$G$117</f>
        <v>3.60876589601403</v>
      </c>
      <c r="BH10" s="96" t="n">
        <f aca="false">Acquisitions!BH$119*'Assumption Setting'!$D$98/'Assumption Setting'!$E$98*'Assumption Setting'!$G$117</f>
        <v>3.68831470183411</v>
      </c>
      <c r="BI10" s="96" t="n">
        <f aca="false">Acquisitions!BI$119*'Assumption Setting'!$D$98/'Assumption Setting'!$E$98*'Assumption Setting'!$G$117</f>
        <v>3.76786350765418</v>
      </c>
      <c r="BJ10" s="96" t="n">
        <f aca="false">Acquisitions!BJ$119*'Assumption Setting'!$D$98/'Assumption Setting'!$E$98*'Assumption Setting'!$G$117</f>
        <v>3.84741231347426</v>
      </c>
      <c r="BK10" s="96" t="n">
        <f aca="false">Acquisitions!BK$119*'Assumption Setting'!$D$98/'Assumption Setting'!$E$98*'Assumption Setting'!$G$117</f>
        <v>3.92696111929433</v>
      </c>
      <c r="BL10" s="96" t="n">
        <f aca="false">Acquisitions!BL$119*'Assumption Setting'!$D$98/'Assumption Setting'!$E$98*'Assumption Setting'!$G$117</f>
        <v>4.00650992511441</v>
      </c>
      <c r="BM10" s="96" t="n">
        <f aca="false">Acquisitions!BM$119*'Assumption Setting'!$D$98/'Assumption Setting'!$E$98*'Assumption Setting'!$G$117</f>
        <v>4.08605873093448</v>
      </c>
      <c r="BN10" s="96" t="n">
        <f aca="false">Acquisitions!BN$119*'Assumption Setting'!$D$98/'Assumption Setting'!$E$98*'Assumption Setting'!$G$117</f>
        <v>4.16560753675455</v>
      </c>
    </row>
    <row r="11" customFormat="false" ht="15" hidden="false" customHeight="false" outlineLevel="0" collapsed="false">
      <c r="A11" s="12" t="s">
        <v>324</v>
      </c>
      <c r="B11" s="80" t="n">
        <f aca="false">SUM(C11:N11)</f>
        <v>0.0374842150056423</v>
      </c>
      <c r="C11" s="96" t="n">
        <f aca="false">Acquisitions!C$121*'Assumption Setting'!$D$99/'Assumption Setting'!$E$99*'Assumption Setting'!$C$117</f>
        <v>0</v>
      </c>
      <c r="D11" s="96" t="n">
        <f aca="false">Acquisitions!D$121*'Assumption Setting'!$D$99/'Assumption Setting'!$E$99*'Assumption Setting'!$C$117</f>
        <v>0</v>
      </c>
      <c r="E11" s="96" t="n">
        <f aca="false">Acquisitions!E$121*'Assumption Setting'!$D$99/'Assumption Setting'!$E$99*'Assumption Setting'!$C$117</f>
        <v>0</v>
      </c>
      <c r="F11" s="96" t="n">
        <f aca="false">Acquisitions!F$121*'Assumption Setting'!$D$99/'Assumption Setting'!$E$99*'Assumption Setting'!$C$117</f>
        <v>0.00083298255568094</v>
      </c>
      <c r="G11" s="96" t="n">
        <f aca="false">Acquisitions!G$121*'Assumption Setting'!$D$99/'Assumption Setting'!$E$99*'Assumption Setting'!$C$117</f>
        <v>0.00166596511136188</v>
      </c>
      <c r="H11" s="96" t="n">
        <f aca="false">Acquisitions!H$121*'Assumption Setting'!$D$99/'Assumption Setting'!$E$99*'Assumption Setting'!$C$117</f>
        <v>0.00249894766704282</v>
      </c>
      <c r="I11" s="96" t="n">
        <f aca="false">Acquisitions!I$121*'Assumption Setting'!$D$99/'Assumption Setting'!$E$99*'Assumption Setting'!$C$117</f>
        <v>0.00333193022272376</v>
      </c>
      <c r="J11" s="96" t="n">
        <f aca="false">Acquisitions!J$121*'Assumption Setting'!$D$99/'Assumption Setting'!$E$99*'Assumption Setting'!$C$117</f>
        <v>0.0041649127784047</v>
      </c>
      <c r="K11" s="96" t="n">
        <f aca="false">Acquisitions!K$121*'Assumption Setting'!$D$99/'Assumption Setting'!$E$99*'Assumption Setting'!$C$117</f>
        <v>0.00499789533408564</v>
      </c>
      <c r="L11" s="96" t="n">
        <f aca="false">Acquisitions!L$121*'Assumption Setting'!$D$99/'Assumption Setting'!$E$99*'Assumption Setting'!$C$117</f>
        <v>0.00583087788976658</v>
      </c>
      <c r="M11" s="96" t="n">
        <f aca="false">Acquisitions!M$121*'Assumption Setting'!$D$99/'Assumption Setting'!$E$99*'Assumption Setting'!$C$117</f>
        <v>0.00666386044544752</v>
      </c>
      <c r="N11" s="96" t="n">
        <f aca="false">Acquisitions!N$121*'Assumption Setting'!$D$99/'Assumption Setting'!$E$99*'Assumption Setting'!$C$117</f>
        <v>0.00749684300112846</v>
      </c>
      <c r="O11" s="80" t="n">
        <f aca="false">SUM(P11:AA11)</f>
        <v>0.379293638837939</v>
      </c>
      <c r="P11" s="96" t="n">
        <f aca="false">Acquisitions!P$121*'Assumption Setting'!$D$99/'Assumption Setting'!$E$99*'Assumption Setting'!$D$117</f>
        <v>0.0219205935705511</v>
      </c>
      <c r="Q11" s="96" t="n">
        <f aca="false">Acquisitions!Q$121*'Assumption Setting'!$D$99/'Assumption Setting'!$E$99*'Assumption Setting'!$D$117</f>
        <v>0.0241126529276062</v>
      </c>
      <c r="R11" s="96" t="n">
        <f aca="false">Acquisitions!R$121*'Assumption Setting'!$D$99/'Assumption Setting'!$E$99*'Assumption Setting'!$D$117</f>
        <v>0.0265239182203668</v>
      </c>
      <c r="S11" s="96" t="n">
        <f aca="false">Acquisitions!S$121*'Assumption Setting'!$D$99/'Assumption Setting'!$E$99*'Assumption Setting'!$D$117</f>
        <v>0.028035500667836</v>
      </c>
      <c r="T11" s="96" t="n">
        <f aca="false">Acquisitions!T$121*'Assumption Setting'!$D$99/'Assumption Setting'!$E$99*'Assumption Setting'!$D$117</f>
        <v>0.0295470831153052</v>
      </c>
      <c r="U11" s="96" t="n">
        <f aca="false">Acquisitions!U$121*'Assumption Setting'!$D$99/'Assumption Setting'!$E$99*'Assumption Setting'!$D$117</f>
        <v>0.0310586655627744</v>
      </c>
      <c r="V11" s="96" t="n">
        <f aca="false">Acquisitions!V$121*'Assumption Setting'!$D$99/'Assumption Setting'!$E$99*'Assumption Setting'!$D$117</f>
        <v>0.0325702480102436</v>
      </c>
      <c r="W11" s="96" t="n">
        <f aca="false">Acquisitions!W$121*'Assumption Setting'!$D$99/'Assumption Setting'!$E$99*'Assumption Setting'!$D$117</f>
        <v>0.0340818304577128</v>
      </c>
      <c r="X11" s="96" t="n">
        <f aca="false">Acquisitions!X$121*'Assumption Setting'!$D$99/'Assumption Setting'!$E$99*'Assumption Setting'!$D$117</f>
        <v>0.035593412905182</v>
      </c>
      <c r="Y11" s="96" t="n">
        <f aca="false">Acquisitions!Y$121*'Assumption Setting'!$D$99/'Assumption Setting'!$E$99*'Assumption Setting'!$D$117</f>
        <v>0.0371049953526512</v>
      </c>
      <c r="Z11" s="96" t="n">
        <f aca="false">Acquisitions!Z$121*'Assumption Setting'!$D$99/'Assumption Setting'!$E$99*'Assumption Setting'!$D$117</f>
        <v>0.0386165778001204</v>
      </c>
      <c r="AA11" s="96" t="n">
        <f aca="false">Acquisitions!AA$121*'Assumption Setting'!$D$99/'Assumption Setting'!$E$99*'Assumption Setting'!$D$117</f>
        <v>0.0401281602475896</v>
      </c>
      <c r="AB11" s="80" t="n">
        <f aca="false">SUM(AC11:AN11)</f>
        <v>0.638618339029773</v>
      </c>
      <c r="AC11" s="96" t="n">
        <f aca="false">Acquisitions!AC$121*'Assumption Setting'!$D$99/'Assumption Setting'!$E$99*'Assumption Setting'!$E$117</f>
        <v>0.0416397426950588</v>
      </c>
      <c r="AD11" s="96" t="n">
        <f aca="false">Acquisitions!AD$121*'Assumption Setting'!$D$99/'Assumption Setting'!$E$99*'Assumption Setting'!$E$117</f>
        <v>0.043151325142528</v>
      </c>
      <c r="AE11" s="96" t="n">
        <f aca="false">Acquisitions!AE$121*'Assumption Setting'!$D$99/'Assumption Setting'!$E$99*'Assumption Setting'!$E$117</f>
        <v>0.0447803963637939</v>
      </c>
      <c r="AF11" s="96" t="n">
        <f aca="false">Acquisitions!AF$121*'Assumption Setting'!$D$99/'Assumption Setting'!$E$99*'Assumption Setting'!$E$117</f>
        <v>0.0471364698649994</v>
      </c>
      <c r="AG11" s="96" t="n">
        <f aca="false">Acquisitions!AG$121*'Assumption Setting'!$D$99/'Assumption Setting'!$E$99*'Assumption Setting'!$E$117</f>
        <v>0.0494925433662049</v>
      </c>
      <c r="AH11" s="96" t="n">
        <f aca="false">Acquisitions!AH$121*'Assumption Setting'!$D$99/'Assumption Setting'!$E$99*'Assumption Setting'!$E$117</f>
        <v>0.0518486168674104</v>
      </c>
      <c r="AI11" s="96" t="n">
        <f aca="false">Acquisitions!AI$121*'Assumption Setting'!$D$99/'Assumption Setting'!$E$99*'Assumption Setting'!$E$117</f>
        <v>0.0542046903686159</v>
      </c>
      <c r="AJ11" s="96" t="n">
        <f aca="false">Acquisitions!AJ$121*'Assumption Setting'!$D$99/'Assumption Setting'!$E$99*'Assumption Setting'!$E$117</f>
        <v>0.0565607638698214</v>
      </c>
      <c r="AK11" s="96" t="n">
        <f aca="false">Acquisitions!AK$121*'Assumption Setting'!$D$99/'Assumption Setting'!$E$99*'Assumption Setting'!$E$117</f>
        <v>0.0589168373710269</v>
      </c>
      <c r="AL11" s="96" t="n">
        <f aca="false">Acquisitions!AL$121*'Assumption Setting'!$D$99/'Assumption Setting'!$E$99*'Assumption Setting'!$E$117</f>
        <v>0.0612729108722323</v>
      </c>
      <c r="AM11" s="96" t="n">
        <f aca="false">Acquisitions!AM$121*'Assumption Setting'!$D$99/'Assumption Setting'!$E$99*'Assumption Setting'!$E$117</f>
        <v>0.0636289843734378</v>
      </c>
      <c r="AN11" s="96" t="n">
        <f aca="false">Acquisitions!AN$121*'Assumption Setting'!$D$99/'Assumption Setting'!$E$99*'Assumption Setting'!$E$117</f>
        <v>0.0659850578746433</v>
      </c>
      <c r="AO11" s="80" t="n">
        <f aca="false">SUM(AP11:BA11)</f>
        <v>0.964421250459941</v>
      </c>
      <c r="AP11" s="96" t="n">
        <f aca="false">Acquisitions!AP$121*'Assumption Setting'!$D$99/'Assumption Setting'!$E$99*'Assumption Setting'!$F$117</f>
        <v>0.0683411313758488</v>
      </c>
      <c r="AQ11" s="96" t="n">
        <f aca="false">Acquisitions!AQ$121*'Assumption Setting'!$D$99/'Assumption Setting'!$E$99*'Assumption Setting'!$F$117</f>
        <v>0.0706972048770543</v>
      </c>
      <c r="AR11" s="96" t="n">
        <f aca="false">Acquisitions!AR$121*'Assumption Setting'!$D$99/'Assumption Setting'!$E$99*'Assumption Setting'!$F$117</f>
        <v>0.0729690718064963</v>
      </c>
      <c r="AS11" s="96" t="n">
        <f aca="false">Acquisitions!AS$121*'Assumption Setting'!$D$99/'Assumption Setting'!$E$99*'Assumption Setting'!$F$117</f>
        <v>0.075095565054098</v>
      </c>
      <c r="AT11" s="96" t="n">
        <f aca="false">Acquisitions!AT$121*'Assumption Setting'!$D$99/'Assumption Setting'!$E$99*'Assumption Setting'!$F$117</f>
        <v>0.0772220583016997</v>
      </c>
      <c r="AU11" s="96" t="n">
        <f aca="false">Acquisitions!AU$121*'Assumption Setting'!$D$99/'Assumption Setting'!$E$99*'Assumption Setting'!$F$117</f>
        <v>0.0793485515493013</v>
      </c>
      <c r="AV11" s="96" t="n">
        <f aca="false">Acquisitions!AV$121*'Assumption Setting'!$D$99/'Assumption Setting'!$E$99*'Assumption Setting'!$F$117</f>
        <v>0.081475044796903</v>
      </c>
      <c r="AW11" s="96" t="n">
        <f aca="false">Acquisitions!AW$121*'Assumption Setting'!$D$99/'Assumption Setting'!$E$99*'Assumption Setting'!$F$117</f>
        <v>0.0836015380445047</v>
      </c>
      <c r="AX11" s="96" t="n">
        <f aca="false">Acquisitions!AX$121*'Assumption Setting'!$D$99/'Assumption Setting'!$E$99*'Assumption Setting'!$F$117</f>
        <v>0.0857280312921063</v>
      </c>
      <c r="AY11" s="96" t="n">
        <f aca="false">Acquisitions!AY$121*'Assumption Setting'!$D$99/'Assumption Setting'!$E$99*'Assumption Setting'!$F$117</f>
        <v>0.087854524539708</v>
      </c>
      <c r="AZ11" s="96" t="n">
        <f aca="false">Acquisitions!AZ$121*'Assumption Setting'!$D$99/'Assumption Setting'!$E$99*'Assumption Setting'!$F$117</f>
        <v>0.0899810177873097</v>
      </c>
      <c r="BA11" s="96" t="n">
        <f aca="false">Acquisitions!BA$121*'Assumption Setting'!$D$99/'Assumption Setting'!$E$99*'Assumption Setting'!$F$117</f>
        <v>0.0921075110349113</v>
      </c>
      <c r="BB11" s="80" t="n">
        <f aca="false">SUM(BC11:BN11)</f>
        <v>1.27849104768812</v>
      </c>
      <c r="BC11" s="96" t="n">
        <f aca="false">Acquisitions!BC$121*'Assumption Setting'!$D$99/'Assumption Setting'!$E$99*'Assumption Setting'!$G$117</f>
        <v>0.094234004282513</v>
      </c>
      <c r="BD11" s="96" t="n">
        <f aca="false">Acquisitions!BD$121*'Assumption Setting'!$D$99/'Assumption Setting'!$E$99*'Assumption Setting'!$G$117</f>
        <v>0.0963604975301147</v>
      </c>
      <c r="BE11" s="96" t="n">
        <f aca="false">Acquisitions!BE$121*'Assumption Setting'!$D$99/'Assumption Setting'!$E$99*'Assumption Setting'!$G$117</f>
        <v>0.0985619509821109</v>
      </c>
      <c r="BF11" s="96" t="n">
        <f aca="false">Acquisitions!BF$121*'Assumption Setting'!$D$99/'Assumption Setting'!$E$99*'Assumption Setting'!$G$117</f>
        <v>0.100834774005542</v>
      </c>
      <c r="BG11" s="96" t="n">
        <f aca="false">Acquisitions!BG$121*'Assumption Setting'!$D$99/'Assumption Setting'!$E$99*'Assumption Setting'!$G$117</f>
        <v>0.103107597028972</v>
      </c>
      <c r="BH11" s="96" t="n">
        <f aca="false">Acquisitions!BH$121*'Assumption Setting'!$D$99/'Assumption Setting'!$E$99*'Assumption Setting'!$G$117</f>
        <v>0.105380420052403</v>
      </c>
      <c r="BI11" s="96" t="n">
        <f aca="false">Acquisitions!BI$121*'Assumption Setting'!$D$99/'Assumption Setting'!$E$99*'Assumption Setting'!$G$117</f>
        <v>0.107653243075834</v>
      </c>
      <c r="BJ11" s="96" t="n">
        <f aca="false">Acquisitions!BJ$121*'Assumption Setting'!$D$99/'Assumption Setting'!$E$99*'Assumption Setting'!$G$117</f>
        <v>0.109926066099264</v>
      </c>
      <c r="BK11" s="96" t="n">
        <f aca="false">Acquisitions!BK$121*'Assumption Setting'!$D$99/'Assumption Setting'!$E$99*'Assumption Setting'!$G$117</f>
        <v>0.112198889122695</v>
      </c>
      <c r="BL11" s="96" t="n">
        <f aca="false">Acquisitions!BL$121*'Assumption Setting'!$D$99/'Assumption Setting'!$E$99*'Assumption Setting'!$G$117</f>
        <v>0.114471712146126</v>
      </c>
      <c r="BM11" s="96" t="n">
        <f aca="false">Acquisitions!BM$121*'Assumption Setting'!$D$99/'Assumption Setting'!$E$99*'Assumption Setting'!$G$117</f>
        <v>0.116744535169557</v>
      </c>
      <c r="BN11" s="96" t="n">
        <f aca="false">Acquisitions!BN$121*'Assumption Setting'!$D$99/'Assumption Setting'!$E$99*'Assumption Setting'!$G$117</f>
        <v>0.119017358192987</v>
      </c>
    </row>
    <row r="12" customFormat="false" ht="15" hidden="false" customHeight="false" outlineLevel="0" collapsed="false">
      <c r="A12" s="12" t="s">
        <v>325</v>
      </c>
      <c r="B12" s="80" t="n">
        <f aca="false">SUM(C12:N12)</f>
        <v>0.337357935050781</v>
      </c>
      <c r="C12" s="96" t="n">
        <f aca="false">Acquisitions!C$123*'Assumption Setting'!$D$100/'Assumption Setting'!$E$100*'Assumption Setting'!$C$117</f>
        <v>0</v>
      </c>
      <c r="D12" s="96" t="n">
        <f aca="false">Acquisitions!D$123*'Assumption Setting'!$D$100/'Assumption Setting'!$E$100*'Assumption Setting'!$C$117</f>
        <v>0</v>
      </c>
      <c r="E12" s="96" t="n">
        <f aca="false">Acquisitions!E$123*'Assumption Setting'!$D$100/'Assumption Setting'!$E$100*'Assumption Setting'!$C$117</f>
        <v>0</v>
      </c>
      <c r="F12" s="96" t="n">
        <f aca="false">Acquisitions!F$123*'Assumption Setting'!$D$100/'Assumption Setting'!$E$100*'Assumption Setting'!$C$117</f>
        <v>0.00749684300112846</v>
      </c>
      <c r="G12" s="96" t="n">
        <f aca="false">Acquisitions!G$123*'Assumption Setting'!$D$100/'Assumption Setting'!$E$100*'Assumption Setting'!$C$117</f>
        <v>0.0149936860022569</v>
      </c>
      <c r="H12" s="96" t="n">
        <f aca="false">Acquisitions!H$123*'Assumption Setting'!$D$100/'Assumption Setting'!$E$100*'Assumption Setting'!$C$117</f>
        <v>0.0224905290033854</v>
      </c>
      <c r="I12" s="96" t="n">
        <f aca="false">Acquisitions!I$123*'Assumption Setting'!$D$100/'Assumption Setting'!$E$100*'Assumption Setting'!$C$117</f>
        <v>0.0299873720045139</v>
      </c>
      <c r="J12" s="96" t="n">
        <f aca="false">Acquisitions!J$123*'Assumption Setting'!$D$100/'Assumption Setting'!$E$100*'Assumption Setting'!$C$117</f>
        <v>0.0374842150056423</v>
      </c>
      <c r="K12" s="96" t="n">
        <f aca="false">Acquisitions!K$123*'Assumption Setting'!$D$100/'Assumption Setting'!$E$100*'Assumption Setting'!$C$117</f>
        <v>0.0449810580067708</v>
      </c>
      <c r="L12" s="96" t="n">
        <f aca="false">Acquisitions!L$123*'Assumption Setting'!$D$100/'Assumption Setting'!$E$100*'Assumption Setting'!$C$117</f>
        <v>0.0524779010078992</v>
      </c>
      <c r="M12" s="96" t="n">
        <f aca="false">Acquisitions!M$123*'Assumption Setting'!$D$100/'Assumption Setting'!$E$100*'Assumption Setting'!$C$117</f>
        <v>0.0599747440090277</v>
      </c>
      <c r="N12" s="96" t="n">
        <f aca="false">Acquisitions!N$123*'Assumption Setting'!$D$100/'Assumption Setting'!$E$100*'Assumption Setting'!$C$117</f>
        <v>0.0674715870101562</v>
      </c>
      <c r="O12" s="80" t="n">
        <f aca="false">SUM(P12:AA12)</f>
        <v>3.41364274954145</v>
      </c>
      <c r="P12" s="96" t="n">
        <f aca="false">Acquisitions!P$123*'Assumption Setting'!$D$100/'Assumption Setting'!$E$100*'Assumption Setting'!$D$117</f>
        <v>0.19728534213496</v>
      </c>
      <c r="Q12" s="96" t="n">
        <f aca="false">Acquisitions!Q$123*'Assumption Setting'!$D$100/'Assumption Setting'!$E$100*'Assumption Setting'!$D$117</f>
        <v>0.217013876348456</v>
      </c>
      <c r="R12" s="96" t="n">
        <f aca="false">Acquisitions!R$123*'Assumption Setting'!$D$100/'Assumption Setting'!$E$100*'Assumption Setting'!$D$117</f>
        <v>0.238715263983301</v>
      </c>
      <c r="S12" s="96" t="n">
        <f aca="false">Acquisitions!S$123*'Assumption Setting'!$D$100/'Assumption Setting'!$E$100*'Assumption Setting'!$D$117</f>
        <v>0.252319506010524</v>
      </c>
      <c r="T12" s="96" t="n">
        <f aca="false">Acquisitions!T$123*'Assumption Setting'!$D$100/'Assumption Setting'!$E$100*'Assumption Setting'!$D$117</f>
        <v>0.265923748037747</v>
      </c>
      <c r="U12" s="96" t="n">
        <f aca="false">Acquisitions!U$123*'Assumption Setting'!$D$100/'Assumption Setting'!$E$100*'Assumption Setting'!$D$117</f>
        <v>0.27952799006497</v>
      </c>
      <c r="V12" s="96" t="n">
        <f aca="false">Acquisitions!V$123*'Assumption Setting'!$D$100/'Assumption Setting'!$E$100*'Assumption Setting'!$D$117</f>
        <v>0.293132232092192</v>
      </c>
      <c r="W12" s="96" t="n">
        <f aca="false">Acquisitions!W$123*'Assumption Setting'!$D$100/'Assumption Setting'!$E$100*'Assumption Setting'!$D$117</f>
        <v>0.306736474119415</v>
      </c>
      <c r="X12" s="96" t="n">
        <f aca="false">Acquisitions!X$123*'Assumption Setting'!$D$100/'Assumption Setting'!$E$100*'Assumption Setting'!$D$117</f>
        <v>0.320340716146638</v>
      </c>
      <c r="Y12" s="96" t="n">
        <f aca="false">Acquisitions!Y$123*'Assumption Setting'!$D$100/'Assumption Setting'!$E$100*'Assumption Setting'!$D$117</f>
        <v>0.333944958173861</v>
      </c>
      <c r="Z12" s="96" t="n">
        <f aca="false">Acquisitions!Z$123*'Assumption Setting'!$D$100/'Assumption Setting'!$E$100*'Assumption Setting'!$D$117</f>
        <v>0.347549200201084</v>
      </c>
      <c r="AA12" s="96" t="n">
        <f aca="false">Acquisitions!AA$123*'Assumption Setting'!$D$100/'Assumption Setting'!$E$100*'Assumption Setting'!$D$117</f>
        <v>0.361153442228307</v>
      </c>
      <c r="AB12" s="80" t="n">
        <f aca="false">SUM(AC12:AN12)</f>
        <v>5.74756505126796</v>
      </c>
      <c r="AC12" s="96" t="n">
        <f aca="false">Acquisitions!AC$123*'Assumption Setting'!$D$100/'Assumption Setting'!$E$100*'Assumption Setting'!$E$117</f>
        <v>0.374757684255529</v>
      </c>
      <c r="AD12" s="96" t="n">
        <f aca="false">Acquisitions!AD$123*'Assumption Setting'!$D$100/'Assumption Setting'!$E$100*'Assumption Setting'!$E$117</f>
        <v>0.388361926282752</v>
      </c>
      <c r="AE12" s="96" t="n">
        <f aca="false">Acquisitions!AE$123*'Assumption Setting'!$D$100/'Assumption Setting'!$E$100*'Assumption Setting'!$E$117</f>
        <v>0.403023567274145</v>
      </c>
      <c r="AF12" s="96" t="n">
        <f aca="false">Acquisitions!AF$123*'Assumption Setting'!$D$100/'Assumption Setting'!$E$100*'Assumption Setting'!$E$117</f>
        <v>0.424228228784995</v>
      </c>
      <c r="AG12" s="96" t="n">
        <f aca="false">Acquisitions!AG$123*'Assumption Setting'!$D$100/'Assumption Setting'!$E$100*'Assumption Setting'!$E$117</f>
        <v>0.445432890295844</v>
      </c>
      <c r="AH12" s="96" t="n">
        <f aca="false">Acquisitions!AH$123*'Assumption Setting'!$D$100/'Assumption Setting'!$E$100*'Assumption Setting'!$E$117</f>
        <v>0.466637551806693</v>
      </c>
      <c r="AI12" s="96" t="n">
        <f aca="false">Acquisitions!AI$123*'Assumption Setting'!$D$100/'Assumption Setting'!$E$100*'Assumption Setting'!$E$117</f>
        <v>0.487842213317543</v>
      </c>
      <c r="AJ12" s="96" t="n">
        <f aca="false">Acquisitions!AJ$123*'Assumption Setting'!$D$100/'Assumption Setting'!$E$100*'Assumption Setting'!$E$117</f>
        <v>0.509046874828392</v>
      </c>
      <c r="AK12" s="96" t="n">
        <f aca="false">Acquisitions!AK$123*'Assumption Setting'!$D$100/'Assumption Setting'!$E$100*'Assumption Setting'!$E$117</f>
        <v>0.530251536339241</v>
      </c>
      <c r="AL12" s="96" t="n">
        <f aca="false">Acquisitions!AL$123*'Assumption Setting'!$D$100/'Assumption Setting'!$E$100*'Assumption Setting'!$E$117</f>
        <v>0.551456197850091</v>
      </c>
      <c r="AM12" s="96" t="n">
        <f aca="false">Acquisitions!AM$123*'Assumption Setting'!$D$100/'Assumption Setting'!$E$100*'Assumption Setting'!$E$117</f>
        <v>0.57266085936094</v>
      </c>
      <c r="AN12" s="96" t="n">
        <f aca="false">Acquisitions!AN$123*'Assumption Setting'!$D$100/'Assumption Setting'!$E$100*'Assumption Setting'!$E$117</f>
        <v>0.59386552087179</v>
      </c>
      <c r="AO12" s="80" t="n">
        <f aca="false">SUM(AP12:BA12)</f>
        <v>8.67979125413947</v>
      </c>
      <c r="AP12" s="96" t="n">
        <f aca="false">Acquisitions!AP$123*'Assumption Setting'!$D$100/'Assumption Setting'!$E$100*'Assumption Setting'!$F$117</f>
        <v>0.615070182382639</v>
      </c>
      <c r="AQ12" s="96" t="n">
        <f aca="false">Acquisitions!AQ$123*'Assumption Setting'!$D$100/'Assumption Setting'!$E$100*'Assumption Setting'!$F$117</f>
        <v>0.636274843893489</v>
      </c>
      <c r="AR12" s="96" t="n">
        <f aca="false">Acquisitions!AR$123*'Assumption Setting'!$D$100/'Assumption Setting'!$E$100*'Assumption Setting'!$F$117</f>
        <v>0.656721646258467</v>
      </c>
      <c r="AS12" s="96" t="n">
        <f aca="false">Acquisitions!AS$123*'Assumption Setting'!$D$100/'Assumption Setting'!$E$100*'Assumption Setting'!$F$117</f>
        <v>0.675860085486882</v>
      </c>
      <c r="AT12" s="96" t="n">
        <f aca="false">Acquisitions!AT$123*'Assumption Setting'!$D$100/'Assumption Setting'!$E$100*'Assumption Setting'!$F$117</f>
        <v>0.694998524715297</v>
      </c>
      <c r="AU12" s="96" t="n">
        <f aca="false">Acquisitions!AU$123*'Assumption Setting'!$D$100/'Assumption Setting'!$E$100*'Assumption Setting'!$F$117</f>
        <v>0.714136963943712</v>
      </c>
      <c r="AV12" s="96" t="n">
        <f aca="false">Acquisitions!AV$123*'Assumption Setting'!$D$100/'Assumption Setting'!$E$100*'Assumption Setting'!$F$117</f>
        <v>0.733275403172127</v>
      </c>
      <c r="AW12" s="96" t="n">
        <f aca="false">Acquisitions!AW$123*'Assumption Setting'!$D$100/'Assumption Setting'!$E$100*'Assumption Setting'!$F$117</f>
        <v>0.752413842400542</v>
      </c>
      <c r="AX12" s="96" t="n">
        <f aca="false">Acquisitions!AX$123*'Assumption Setting'!$D$100/'Assumption Setting'!$E$100*'Assumption Setting'!$F$117</f>
        <v>0.771552281628957</v>
      </c>
      <c r="AY12" s="96" t="n">
        <f aca="false">Acquisitions!AY$123*'Assumption Setting'!$D$100/'Assumption Setting'!$E$100*'Assumption Setting'!$F$117</f>
        <v>0.790690720857372</v>
      </c>
      <c r="AZ12" s="96" t="n">
        <f aca="false">Acquisitions!AZ$123*'Assumption Setting'!$D$100/'Assumption Setting'!$E$100*'Assumption Setting'!$F$117</f>
        <v>0.809829160085787</v>
      </c>
      <c r="BA12" s="96" t="n">
        <f aca="false">Acquisitions!BA$123*'Assumption Setting'!$D$100/'Assumption Setting'!$E$100*'Assumption Setting'!$F$117</f>
        <v>0.828967599314202</v>
      </c>
      <c r="BB12" s="80" t="n">
        <f aca="false">SUM(BC12:BN12)</f>
        <v>11.5064194291931</v>
      </c>
      <c r="BC12" s="96" t="n">
        <f aca="false">Acquisitions!BC$123*'Assumption Setting'!$D$100/'Assumption Setting'!$E$100*'Assumption Setting'!$G$117</f>
        <v>0.848106038542618</v>
      </c>
      <c r="BD12" s="96" t="n">
        <f aca="false">Acquisitions!BD$123*'Assumption Setting'!$D$100/'Assumption Setting'!$E$100*'Assumption Setting'!$G$117</f>
        <v>0.867244477771033</v>
      </c>
      <c r="BE12" s="96" t="n">
        <f aca="false">Acquisitions!BE$123*'Assumption Setting'!$D$100/'Assumption Setting'!$E$100*'Assumption Setting'!$G$117</f>
        <v>0.887057558838998</v>
      </c>
      <c r="BF12" s="96" t="n">
        <f aca="false">Acquisitions!BF$123*'Assumption Setting'!$D$100/'Assumption Setting'!$E$100*'Assumption Setting'!$G$117</f>
        <v>0.907512966049875</v>
      </c>
      <c r="BG12" s="96" t="n">
        <f aca="false">Acquisitions!BG$123*'Assumption Setting'!$D$100/'Assumption Setting'!$E$100*'Assumption Setting'!$G$117</f>
        <v>0.927968373260751</v>
      </c>
      <c r="BH12" s="96" t="n">
        <f aca="false">Acquisitions!BH$123*'Assumption Setting'!$D$100/'Assumption Setting'!$E$100*'Assumption Setting'!$G$117</f>
        <v>0.948423780471628</v>
      </c>
      <c r="BI12" s="96" t="n">
        <f aca="false">Acquisitions!BI$123*'Assumption Setting'!$D$100/'Assumption Setting'!$E$100*'Assumption Setting'!$G$117</f>
        <v>0.968879187682504</v>
      </c>
      <c r="BJ12" s="96" t="n">
        <f aca="false">Acquisitions!BJ$123*'Assumption Setting'!$D$100/'Assumption Setting'!$E$100*'Assumption Setting'!$G$117</f>
        <v>0.989334594893381</v>
      </c>
      <c r="BK12" s="96" t="n">
        <f aca="false">Acquisitions!BK$123*'Assumption Setting'!$D$100/'Assumption Setting'!$E$100*'Assumption Setting'!$G$117</f>
        <v>1.00979000210426</v>
      </c>
      <c r="BL12" s="96" t="n">
        <f aca="false">Acquisitions!BL$123*'Assumption Setting'!$D$100/'Assumption Setting'!$E$100*'Assumption Setting'!$G$117</f>
        <v>1.03024540931513</v>
      </c>
      <c r="BM12" s="96" t="n">
        <f aca="false">Acquisitions!BM$123*'Assumption Setting'!$D$100/'Assumption Setting'!$E$100*'Assumption Setting'!$G$117</f>
        <v>1.05070081652601</v>
      </c>
      <c r="BN12" s="96" t="n">
        <f aca="false">Acquisitions!BN$123*'Assumption Setting'!$D$100/'Assumption Setting'!$E$100*'Assumption Setting'!$G$117</f>
        <v>1.07115622373689</v>
      </c>
    </row>
    <row r="13" customFormat="false" ht="15" hidden="false" customHeight="false" outlineLevel="0" collapsed="false">
      <c r="A13" s="12" t="s">
        <v>326</v>
      </c>
      <c r="B13" s="78" t="n">
        <f aca="false">SUM(C13:N13)</f>
        <v>937.105375141057</v>
      </c>
      <c r="C13" s="95" t="n">
        <f aca="false">Acquisitions!C$125*'Assumption Setting'!$D$101/'Assumption Setting'!$E$101*'Assumption Setting'!$C$117</f>
        <v>0</v>
      </c>
      <c r="D13" s="95" t="n">
        <f aca="false">Acquisitions!D$125*'Assumption Setting'!$D$101/'Assumption Setting'!$E$101*'Assumption Setting'!$C$117</f>
        <v>0</v>
      </c>
      <c r="E13" s="95" t="n">
        <f aca="false">Acquisitions!E$125*'Assumption Setting'!$D$101/'Assumption Setting'!$E$101*'Assumption Setting'!$C$117</f>
        <v>0</v>
      </c>
      <c r="F13" s="95" t="n">
        <f aca="false">Acquisitions!F$125*'Assumption Setting'!$D$101/'Assumption Setting'!$E$101*'Assumption Setting'!$C$117</f>
        <v>0</v>
      </c>
      <c r="G13" s="95" t="n">
        <f aca="false">Acquisitions!G$125*'Assumption Setting'!$D$101/'Assumption Setting'!$E$101*'Assumption Setting'!$C$117</f>
        <v>26.0307048650294</v>
      </c>
      <c r="H13" s="95" t="n">
        <f aca="false">Acquisitions!H$125*'Assumption Setting'!$D$101/'Assumption Setting'!$E$101*'Assumption Setting'!$C$117</f>
        <v>52.0614097300587</v>
      </c>
      <c r="I13" s="95" t="n">
        <f aca="false">Acquisitions!I$125*'Assumption Setting'!$D$101/'Assumption Setting'!$E$101*'Assumption Setting'!$C$117</f>
        <v>78.0921145950881</v>
      </c>
      <c r="J13" s="95" t="n">
        <f aca="false">Acquisitions!J$125*'Assumption Setting'!$D$101/'Assumption Setting'!$E$101*'Assumption Setting'!$C$117</f>
        <v>104.122819460117</v>
      </c>
      <c r="K13" s="95" t="n">
        <f aca="false">Acquisitions!K$125*'Assumption Setting'!$D$101/'Assumption Setting'!$E$101*'Assumption Setting'!$C$117</f>
        <v>130.153524325147</v>
      </c>
      <c r="L13" s="95" t="n">
        <f aca="false">Acquisitions!L$125*'Assumption Setting'!$D$101/'Assumption Setting'!$E$101*'Assumption Setting'!$C$117</f>
        <v>156.184229190176</v>
      </c>
      <c r="M13" s="95" t="n">
        <f aca="false">Acquisitions!M$125*'Assumption Setting'!$D$101/'Assumption Setting'!$E$101*'Assumption Setting'!$C$117</f>
        <v>182.214934055206</v>
      </c>
      <c r="N13" s="95" t="n">
        <f aca="false">Acquisitions!N$125*'Assumption Setting'!$D$101/'Assumption Setting'!$E$101*'Assumption Setting'!$C$117</f>
        <v>208.245638920235</v>
      </c>
      <c r="O13" s="78" t="n">
        <f aca="false">SUM(P13:AA13)</f>
        <v>11215.4379001202</v>
      </c>
      <c r="P13" s="95" t="n">
        <f aca="false">Acquisitions!P$125*'Assumption Setting'!$D$101/'Assumption Setting'!$E$101*'Assumption Setting'!$D$117</f>
        <v>616.516694171748</v>
      </c>
      <c r="Q13" s="95" t="n">
        <f aca="false">Acquisitions!Q$125*'Assumption Setting'!$D$101/'Assumption Setting'!$E$101*'Assumption Setting'!$D$117</f>
        <v>685.01854907972</v>
      </c>
      <c r="R13" s="95" t="n">
        <f aca="false">Acquisitions!R$125*'Assumption Setting'!$D$101/'Assumption Setting'!$E$101*'Assumption Setting'!$D$117</f>
        <v>753.520403987693</v>
      </c>
      <c r="S13" s="95" t="n">
        <f aca="false">Acquisitions!S$125*'Assumption Setting'!$D$101/'Assumption Setting'!$E$101*'Assumption Setting'!$D$117</f>
        <v>828.872444386462</v>
      </c>
      <c r="T13" s="95" t="n">
        <f aca="false">Acquisitions!T$125*'Assumption Setting'!$D$101/'Assumption Setting'!$E$101*'Assumption Setting'!$D$117</f>
        <v>876.109395869874</v>
      </c>
      <c r="U13" s="95" t="n">
        <f aca="false">Acquisitions!U$125*'Assumption Setting'!$D$101/'Assumption Setting'!$E$101*'Assumption Setting'!$D$117</f>
        <v>923.346347353287</v>
      </c>
      <c r="V13" s="95" t="n">
        <f aca="false">Acquisitions!V$125*'Assumption Setting'!$D$101/'Assumption Setting'!$E$101*'Assumption Setting'!$D$117</f>
        <v>970.583298836699</v>
      </c>
      <c r="W13" s="95" t="n">
        <f aca="false">Acquisitions!W$125*'Assumption Setting'!$D$101/'Assumption Setting'!$E$101*'Assumption Setting'!$D$117</f>
        <v>1017.82025032011</v>
      </c>
      <c r="X13" s="95" t="n">
        <f aca="false">Acquisitions!X$125*'Assumption Setting'!$D$101/'Assumption Setting'!$E$101*'Assumption Setting'!$D$117</f>
        <v>1065.05720180352</v>
      </c>
      <c r="Y13" s="95" t="n">
        <f aca="false">Acquisitions!Y$125*'Assumption Setting'!$D$101/'Assumption Setting'!$E$101*'Assumption Setting'!$D$117</f>
        <v>1112.29415328694</v>
      </c>
      <c r="Z13" s="95" t="n">
        <f aca="false">Acquisitions!Z$125*'Assumption Setting'!$D$101/'Assumption Setting'!$E$101*'Assumption Setting'!$D$117</f>
        <v>1159.53110477035</v>
      </c>
      <c r="AA13" s="95" t="n">
        <f aca="false">Acquisitions!AA$125*'Assumption Setting'!$D$101/'Assumption Setting'!$E$101*'Assumption Setting'!$D$117</f>
        <v>1206.76805625376</v>
      </c>
      <c r="AB13" s="78" t="n">
        <f aca="false">SUM(AC13:AN13)</f>
        <v>19148.795043835</v>
      </c>
      <c r="AC13" s="95" t="n">
        <f aca="false">Acquisitions!AC$125*'Assumption Setting'!$D$101/'Assumption Setting'!$E$101*'Assumption Setting'!$E$117</f>
        <v>1254.00500773717</v>
      </c>
      <c r="AD13" s="95" t="n">
        <f aca="false">Acquisitions!AD$125*'Assumption Setting'!$D$101/'Assumption Setting'!$E$101*'Assumption Setting'!$E$117</f>
        <v>1301.24195922059</v>
      </c>
      <c r="AE13" s="95" t="n">
        <f aca="false">Acquisitions!AE$125*'Assumption Setting'!$D$101/'Assumption Setting'!$E$101*'Assumption Setting'!$E$117</f>
        <v>1348.478910704</v>
      </c>
      <c r="AF13" s="95" t="n">
        <f aca="false">Acquisitions!AF$125*'Assumption Setting'!$D$101/'Assumption Setting'!$E$101*'Assumption Setting'!$E$117</f>
        <v>1399.38738636856</v>
      </c>
      <c r="AG13" s="95" t="n">
        <f aca="false">Acquisitions!AG$125*'Assumption Setting'!$D$101/'Assumption Setting'!$E$101*'Assumption Setting'!$E$117</f>
        <v>1473.01468328123</v>
      </c>
      <c r="AH13" s="95" t="n">
        <f aca="false">Acquisitions!AH$125*'Assumption Setting'!$D$101/'Assumption Setting'!$E$101*'Assumption Setting'!$E$117</f>
        <v>1546.6419801939</v>
      </c>
      <c r="AI13" s="95" t="n">
        <f aca="false">Acquisitions!AI$125*'Assumption Setting'!$D$101/'Assumption Setting'!$E$101*'Assumption Setting'!$E$117</f>
        <v>1620.26927710657</v>
      </c>
      <c r="AJ13" s="95" t="n">
        <f aca="false">Acquisitions!AJ$125*'Assumption Setting'!$D$101/'Assumption Setting'!$E$101*'Assumption Setting'!$E$117</f>
        <v>1693.89657401924</v>
      </c>
      <c r="AK13" s="95" t="n">
        <f aca="false">Acquisitions!AK$125*'Assumption Setting'!$D$101/'Assumption Setting'!$E$101*'Assumption Setting'!$E$117</f>
        <v>1767.52387093192</v>
      </c>
      <c r="AL13" s="95" t="n">
        <f aca="false">Acquisitions!AL$125*'Assumption Setting'!$D$101/'Assumption Setting'!$E$101*'Assumption Setting'!$E$117</f>
        <v>1841.15116784459</v>
      </c>
      <c r="AM13" s="95" t="n">
        <f aca="false">Acquisitions!AM$125*'Assumption Setting'!$D$101/'Assumption Setting'!$E$101*'Assumption Setting'!$E$117</f>
        <v>1914.77846475726</v>
      </c>
      <c r="AN13" s="95" t="n">
        <f aca="false">Acquisitions!AN$125*'Assumption Setting'!$D$101/'Assumption Setting'!$E$101*'Assumption Setting'!$E$117</f>
        <v>1988.40576166993</v>
      </c>
      <c r="AO13" s="78" t="n">
        <f aca="false">SUM(AP13:BA13)</f>
        <v>29321.8374156148</v>
      </c>
      <c r="AP13" s="95" t="n">
        <f aca="false">Acquisitions!AP$125*'Assumption Setting'!$D$101/'Assumption Setting'!$E$101*'Assumption Setting'!$F$117</f>
        <v>2062.0330585826</v>
      </c>
      <c r="AQ13" s="95" t="n">
        <f aca="false">Acquisitions!AQ$125*'Assumption Setting'!$D$101/'Assumption Setting'!$E$101*'Assumption Setting'!$F$117</f>
        <v>2135.66035549527</v>
      </c>
      <c r="AR13" s="95" t="n">
        <f aca="false">Acquisitions!AR$125*'Assumption Setting'!$D$101/'Assumption Setting'!$E$101*'Assumption Setting'!$F$117</f>
        <v>2209.28765240794</v>
      </c>
      <c r="AS13" s="95" t="n">
        <f aca="false">Acquisitions!AS$125*'Assumption Setting'!$D$101/'Assumption Setting'!$E$101*'Assumption Setting'!$F$117</f>
        <v>2280.28349395301</v>
      </c>
      <c r="AT13" s="95" t="n">
        <f aca="false">Acquisitions!AT$125*'Assumption Setting'!$D$101/'Assumption Setting'!$E$101*'Assumption Setting'!$F$117</f>
        <v>2346.73640794056</v>
      </c>
      <c r="AU13" s="95" t="n">
        <f aca="false">Acquisitions!AU$125*'Assumption Setting'!$D$101/'Assumption Setting'!$E$101*'Assumption Setting'!$F$117</f>
        <v>2413.18932192811</v>
      </c>
      <c r="AV13" s="95" t="n">
        <f aca="false">Acquisitions!AV$125*'Assumption Setting'!$D$101/'Assumption Setting'!$E$101*'Assumption Setting'!$F$117</f>
        <v>2479.64223591566</v>
      </c>
      <c r="AW13" s="95" t="n">
        <f aca="false">Acquisitions!AW$125*'Assumption Setting'!$D$101/'Assumption Setting'!$E$101*'Assumption Setting'!$F$117</f>
        <v>2546.09514990322</v>
      </c>
      <c r="AX13" s="95" t="n">
        <f aca="false">Acquisitions!AX$125*'Assumption Setting'!$D$101/'Assumption Setting'!$E$101*'Assumption Setting'!$F$117</f>
        <v>2612.54806389077</v>
      </c>
      <c r="AY13" s="95" t="n">
        <f aca="false">Acquisitions!AY$125*'Assumption Setting'!$D$101/'Assumption Setting'!$E$101*'Assumption Setting'!$F$117</f>
        <v>2679.00097787832</v>
      </c>
      <c r="AZ13" s="95" t="n">
        <f aca="false">Acquisitions!AZ$125*'Assumption Setting'!$D$101/'Assumption Setting'!$E$101*'Assumption Setting'!$F$117</f>
        <v>2745.45389186587</v>
      </c>
      <c r="BA13" s="95" t="n">
        <f aca="false">Acquisitions!BA$125*'Assumption Setting'!$D$101/'Assumption Setting'!$E$101*'Assumption Setting'!$F$117</f>
        <v>2811.90680585342</v>
      </c>
      <c r="BB13" s="78" t="n">
        <f aca="false">SUM(BC13:BN13)</f>
        <v>39111.9125165638</v>
      </c>
      <c r="BC13" s="95" t="n">
        <f aca="false">Acquisitions!BC$125*'Assumption Setting'!$D$101/'Assumption Setting'!$E$101*'Assumption Setting'!$G$117</f>
        <v>2878.35971984098</v>
      </c>
      <c r="BD13" s="95" t="n">
        <f aca="false">Acquisitions!BD$125*'Assumption Setting'!$D$101/'Assumption Setting'!$E$101*'Assumption Setting'!$G$117</f>
        <v>2944.81263382853</v>
      </c>
      <c r="BE13" s="95" t="n">
        <f aca="false">Acquisitions!BE$125*'Assumption Setting'!$D$101/'Assumption Setting'!$E$101*'Assumption Setting'!$G$117</f>
        <v>3011.26554781608</v>
      </c>
      <c r="BF13" s="95" t="n">
        <f aca="false">Acquisitions!BF$125*'Assumption Setting'!$D$101/'Assumption Setting'!$E$101*'Assumption Setting'!$G$117</f>
        <v>3080.06096819096</v>
      </c>
      <c r="BG13" s="95" t="n">
        <f aca="false">Acquisitions!BG$125*'Assumption Setting'!$D$101/'Assumption Setting'!$E$101*'Assumption Setting'!$G$117</f>
        <v>3151.08668767317</v>
      </c>
      <c r="BH13" s="95" t="n">
        <f aca="false">Acquisitions!BH$125*'Assumption Setting'!$D$101/'Assumption Setting'!$E$101*'Assumption Setting'!$G$117</f>
        <v>3222.11240715538</v>
      </c>
      <c r="BI13" s="95" t="n">
        <f aca="false">Acquisitions!BI$125*'Assumption Setting'!$D$101/'Assumption Setting'!$E$101*'Assumption Setting'!$G$117</f>
        <v>3293.13812663759</v>
      </c>
      <c r="BJ13" s="95" t="n">
        <f aca="false">Acquisitions!BJ$125*'Assumption Setting'!$D$101/'Assumption Setting'!$E$101*'Assumption Setting'!$G$117</f>
        <v>3364.1638461198</v>
      </c>
      <c r="BK13" s="95" t="n">
        <f aca="false">Acquisitions!BK$125*'Assumption Setting'!$D$101/'Assumption Setting'!$E$101*'Assumption Setting'!$G$117</f>
        <v>3435.18956560201</v>
      </c>
      <c r="BL13" s="95" t="n">
        <f aca="false">Acquisitions!BL$125*'Assumption Setting'!$D$101/'Assumption Setting'!$E$101*'Assumption Setting'!$G$117</f>
        <v>3506.21528508422</v>
      </c>
      <c r="BM13" s="95" t="n">
        <f aca="false">Acquisitions!BM$125*'Assumption Setting'!$D$101/'Assumption Setting'!$E$101*'Assumption Setting'!$G$117</f>
        <v>3577.24100456643</v>
      </c>
      <c r="BN13" s="95" t="n">
        <f aca="false">Acquisitions!BN$125*'Assumption Setting'!$D$101/'Assumption Setting'!$E$101*'Assumption Setting'!$G$117</f>
        <v>3648.26672404864</v>
      </c>
    </row>
    <row r="14" customFormat="false" ht="15" hidden="false" customHeight="false" outlineLevel="0" collapsed="false">
      <c r="A14" s="12" t="s">
        <v>328</v>
      </c>
      <c r="B14" s="80" t="n">
        <f aca="false">SUM(C14:N14)</f>
        <v>0.0602424884019251</v>
      </c>
      <c r="C14" s="96" t="n">
        <f aca="false">Acquisitions!C$127*'Assumption Setting'!$D$102/'Assumption Setting'!$E$102*'Assumption Setting'!$C$117</f>
        <v>0</v>
      </c>
      <c r="D14" s="96" t="n">
        <f aca="false">Acquisitions!D$127*'Assumption Setting'!$D$102/'Assumption Setting'!$E$102*'Assumption Setting'!$C$117</f>
        <v>0</v>
      </c>
      <c r="E14" s="96" t="n">
        <f aca="false">Acquisitions!E$127*'Assumption Setting'!$D$102/'Assumption Setting'!$E$102*'Assumption Setting'!$C$117</f>
        <v>0</v>
      </c>
      <c r="F14" s="96" t="n">
        <f aca="false">Acquisitions!F$127*'Assumption Setting'!$D$102/'Assumption Setting'!$E$102*'Assumption Setting'!$C$117</f>
        <v>0</v>
      </c>
      <c r="G14" s="96" t="n">
        <f aca="false">Acquisitions!G$127*'Assumption Setting'!$D$102/'Assumption Setting'!$E$102*'Assumption Setting'!$C$117</f>
        <v>0.00167340245560903</v>
      </c>
      <c r="H14" s="96" t="n">
        <f aca="false">Acquisitions!H$127*'Assumption Setting'!$D$102/'Assumption Setting'!$E$102*'Assumption Setting'!$C$117</f>
        <v>0.00334680491121806</v>
      </c>
      <c r="I14" s="96" t="n">
        <f aca="false">Acquisitions!I$127*'Assumption Setting'!$D$102/'Assumption Setting'!$E$102*'Assumption Setting'!$C$117</f>
        <v>0.00502020736682709</v>
      </c>
      <c r="J14" s="96" t="n">
        <f aca="false">Acquisitions!J$127*'Assumption Setting'!$D$102/'Assumption Setting'!$E$102*'Assumption Setting'!$C$117</f>
        <v>0.00669360982243613</v>
      </c>
      <c r="K14" s="96" t="n">
        <f aca="false">Acquisitions!K$127*'Assumption Setting'!$D$102/'Assumption Setting'!$E$102*'Assumption Setting'!$C$117</f>
        <v>0.00836701227804516</v>
      </c>
      <c r="L14" s="96" t="n">
        <f aca="false">Acquisitions!L$127*'Assumption Setting'!$D$102/'Assumption Setting'!$E$102*'Assumption Setting'!$C$117</f>
        <v>0.0100404147336542</v>
      </c>
      <c r="M14" s="96" t="n">
        <f aca="false">Acquisitions!M$127*'Assumption Setting'!$D$102/'Assumption Setting'!$E$102*'Assumption Setting'!$C$117</f>
        <v>0.0117138171892632</v>
      </c>
      <c r="N14" s="96" t="n">
        <f aca="false">Acquisitions!N$127*'Assumption Setting'!$D$102/'Assumption Setting'!$E$102*'Assumption Setting'!$C$117</f>
        <v>0.0133872196448723</v>
      </c>
      <c r="O14" s="80" t="n">
        <f aca="false">SUM(P14:AA14)</f>
        <v>0.720992436436297</v>
      </c>
      <c r="P14" s="96" t="n">
        <f aca="false">Acquisitions!P$127*'Assumption Setting'!$D$102/'Assumption Setting'!$E$102*'Assumption Setting'!$D$117</f>
        <v>0.0396332160538981</v>
      </c>
      <c r="Q14" s="96" t="n">
        <f aca="false">Acquisitions!Q$127*'Assumption Setting'!$D$102/'Assumption Setting'!$E$102*'Assumption Setting'!$D$117</f>
        <v>0.0440369067265535</v>
      </c>
      <c r="R14" s="96" t="n">
        <f aca="false">Acquisitions!R$127*'Assumption Setting'!$D$102/'Assumption Setting'!$E$102*'Assumption Setting'!$D$117</f>
        <v>0.0484405973992088</v>
      </c>
      <c r="S14" s="96" t="n">
        <f aca="false">Acquisitions!S$127*'Assumption Setting'!$D$102/'Assumption Setting'!$E$102*'Assumption Setting'!$D$117</f>
        <v>0.0532846571391297</v>
      </c>
      <c r="T14" s="96" t="n">
        <f aca="false">Acquisitions!T$127*'Assumption Setting'!$D$102/'Assumption Setting'!$E$102*'Assumption Setting'!$D$117</f>
        <v>0.0563213183059205</v>
      </c>
      <c r="U14" s="96" t="n">
        <f aca="false">Acquisitions!U$127*'Assumption Setting'!$D$102/'Assumption Setting'!$E$102*'Assumption Setting'!$D$117</f>
        <v>0.0593579794727113</v>
      </c>
      <c r="V14" s="96" t="n">
        <f aca="false">Acquisitions!V$127*'Assumption Setting'!$D$102/'Assumption Setting'!$E$102*'Assumption Setting'!$D$117</f>
        <v>0.0623946406395021</v>
      </c>
      <c r="W14" s="96" t="n">
        <f aca="false">Acquisitions!W$127*'Assumption Setting'!$D$102/'Assumption Setting'!$E$102*'Assumption Setting'!$D$117</f>
        <v>0.0654313018062929</v>
      </c>
      <c r="X14" s="96" t="n">
        <f aca="false">Acquisitions!X$127*'Assumption Setting'!$D$102/'Assumption Setting'!$E$102*'Assumption Setting'!$D$117</f>
        <v>0.0684679629730837</v>
      </c>
      <c r="Y14" s="96" t="n">
        <f aca="false">Acquisitions!Y$127*'Assumption Setting'!$D$102/'Assumption Setting'!$E$102*'Assumption Setting'!$D$117</f>
        <v>0.0715046241398745</v>
      </c>
      <c r="Z14" s="96" t="n">
        <f aca="false">Acquisitions!Z$127*'Assumption Setting'!$D$102/'Assumption Setting'!$E$102*'Assumption Setting'!$D$117</f>
        <v>0.0745412853066653</v>
      </c>
      <c r="AA14" s="96" t="n">
        <f aca="false">Acquisitions!AA$127*'Assumption Setting'!$D$102/'Assumption Setting'!$E$102*'Assumption Setting'!$D$117</f>
        <v>0.0775779464734561</v>
      </c>
      <c r="AB14" s="80" t="n">
        <f aca="false">SUM(AC14:AN14)</f>
        <v>1.23099396710368</v>
      </c>
      <c r="AC14" s="96" t="n">
        <f aca="false">Acquisitions!AC$127*'Assumption Setting'!$D$102/'Assumption Setting'!$E$102*'Assumption Setting'!$E$117</f>
        <v>0.0806146076402469</v>
      </c>
      <c r="AD14" s="96" t="n">
        <f aca="false">Acquisitions!AD$127*'Assumption Setting'!$D$102/'Assumption Setting'!$E$102*'Assumption Setting'!$E$117</f>
        <v>0.0836512688070377</v>
      </c>
      <c r="AE14" s="96" t="n">
        <f aca="false">Acquisitions!AE$127*'Assumption Setting'!$D$102/'Assumption Setting'!$E$102*'Assumption Setting'!$E$117</f>
        <v>0.0866879299738285</v>
      </c>
      <c r="AF14" s="96" t="n">
        <f aca="false">Acquisitions!AF$127*'Assumption Setting'!$D$102/'Assumption Setting'!$E$102*'Assumption Setting'!$E$117</f>
        <v>0.0899606176951216</v>
      </c>
      <c r="AG14" s="96" t="n">
        <f aca="false">Acquisitions!AG$127*'Assumption Setting'!$D$102/'Assumption Setting'!$E$102*'Assumption Setting'!$E$117</f>
        <v>0.0946938010680791</v>
      </c>
      <c r="AH14" s="96" t="n">
        <f aca="false">Acquisitions!AH$127*'Assumption Setting'!$D$102/'Assumption Setting'!$E$102*'Assumption Setting'!$E$117</f>
        <v>0.0994269844410365</v>
      </c>
      <c r="AI14" s="96" t="n">
        <f aca="false">Acquisitions!AI$127*'Assumption Setting'!$D$102/'Assumption Setting'!$E$102*'Assumption Setting'!$E$117</f>
        <v>0.104160167813994</v>
      </c>
      <c r="AJ14" s="96" t="n">
        <f aca="false">Acquisitions!AJ$127*'Assumption Setting'!$D$102/'Assumption Setting'!$E$102*'Assumption Setting'!$E$117</f>
        <v>0.108893351186951</v>
      </c>
      <c r="AK14" s="96" t="n">
        <f aca="false">Acquisitions!AK$127*'Assumption Setting'!$D$102/'Assumption Setting'!$E$102*'Assumption Setting'!$E$117</f>
        <v>0.113626534559909</v>
      </c>
      <c r="AL14" s="96" t="n">
        <f aca="false">Acquisitions!AL$127*'Assumption Setting'!$D$102/'Assumption Setting'!$E$102*'Assumption Setting'!$E$117</f>
        <v>0.118359717932866</v>
      </c>
      <c r="AM14" s="96" t="n">
        <f aca="false">Acquisitions!AM$127*'Assumption Setting'!$D$102/'Assumption Setting'!$E$102*'Assumption Setting'!$E$117</f>
        <v>0.123092901305824</v>
      </c>
      <c r="AN14" s="96" t="n">
        <f aca="false">Acquisitions!AN$127*'Assumption Setting'!$D$102/'Assumption Setting'!$E$102*'Assumption Setting'!$E$117</f>
        <v>0.127826084678781</v>
      </c>
      <c r="AO14" s="80" t="n">
        <f aca="false">SUM(AP14:BA14)</f>
        <v>1.88497526243238</v>
      </c>
      <c r="AP14" s="96" t="n">
        <f aca="false">Acquisitions!AP$127*'Assumption Setting'!$D$102/'Assumption Setting'!$E$102*'Assumption Setting'!$F$117</f>
        <v>0.132559268051739</v>
      </c>
      <c r="AQ14" s="96" t="n">
        <f aca="false">Acquisitions!AQ$127*'Assumption Setting'!$D$102/'Assumption Setting'!$E$102*'Assumption Setting'!$F$117</f>
        <v>0.137292451424696</v>
      </c>
      <c r="AR14" s="96" t="n">
        <f aca="false">Acquisitions!AR$127*'Assumption Setting'!$D$102/'Assumption Setting'!$E$102*'Assumption Setting'!$F$117</f>
        <v>0.142025634797654</v>
      </c>
      <c r="AS14" s="96" t="n">
        <f aca="false">Acquisitions!AS$127*'Assumption Setting'!$D$102/'Assumption Setting'!$E$102*'Assumption Setting'!$F$117</f>
        <v>0.146589653182693</v>
      </c>
      <c r="AT14" s="96" t="n">
        <f aca="false">Acquisitions!AT$127*'Assumption Setting'!$D$102/'Assumption Setting'!$E$102*'Assumption Setting'!$F$117</f>
        <v>0.15086162622475</v>
      </c>
      <c r="AU14" s="96" t="n">
        <f aca="false">Acquisitions!AU$127*'Assumption Setting'!$D$102/'Assumption Setting'!$E$102*'Assumption Setting'!$F$117</f>
        <v>0.155133599266807</v>
      </c>
      <c r="AV14" s="96" t="n">
        <f aca="false">Acquisitions!AV$127*'Assumption Setting'!$D$102/'Assumption Setting'!$E$102*'Assumption Setting'!$F$117</f>
        <v>0.159405572308864</v>
      </c>
      <c r="AW14" s="96" t="n">
        <f aca="false">Acquisitions!AW$127*'Assumption Setting'!$D$102/'Assumption Setting'!$E$102*'Assumption Setting'!$F$117</f>
        <v>0.163677545350921</v>
      </c>
      <c r="AX14" s="96" t="n">
        <f aca="false">Acquisitions!AX$127*'Assumption Setting'!$D$102/'Assumption Setting'!$E$102*'Assumption Setting'!$F$117</f>
        <v>0.167949518392978</v>
      </c>
      <c r="AY14" s="96" t="n">
        <f aca="false">Acquisitions!AY$127*'Assumption Setting'!$D$102/'Assumption Setting'!$E$102*'Assumption Setting'!$F$117</f>
        <v>0.172221491435035</v>
      </c>
      <c r="AZ14" s="96" t="n">
        <f aca="false">Acquisitions!AZ$127*'Assumption Setting'!$D$102/'Assumption Setting'!$E$102*'Assumption Setting'!$F$117</f>
        <v>0.176493464477092</v>
      </c>
      <c r="BA14" s="96" t="n">
        <f aca="false">Acquisitions!BA$127*'Assumption Setting'!$D$102/'Assumption Setting'!$E$102*'Assumption Setting'!$F$117</f>
        <v>0.180765437519149</v>
      </c>
      <c r="BB14" s="80" t="n">
        <f aca="false">SUM(BC14:BN14)</f>
        <v>2.51433723320767</v>
      </c>
      <c r="BC14" s="96" t="n">
        <f aca="false">Acquisitions!BC$127*'Assumption Setting'!$D$102/'Assumption Setting'!$E$102*'Assumption Setting'!$G$117</f>
        <v>0.185037410561206</v>
      </c>
      <c r="BD14" s="96" t="n">
        <f aca="false">Acquisitions!BD$127*'Assumption Setting'!$D$102/'Assumption Setting'!$E$102*'Assumption Setting'!$G$117</f>
        <v>0.189309383603263</v>
      </c>
      <c r="BE14" s="96" t="n">
        <f aca="false">Acquisitions!BE$127*'Assumption Setting'!$D$102/'Assumption Setting'!$E$102*'Assumption Setting'!$G$117</f>
        <v>0.193581356645319</v>
      </c>
      <c r="BF14" s="96" t="n">
        <f aca="false">Acquisitions!BF$127*'Assumption Setting'!$D$102/'Assumption Setting'!$E$102*'Assumption Setting'!$G$117</f>
        <v>0.198003919383705</v>
      </c>
      <c r="BG14" s="96" t="n">
        <f aca="false">Acquisitions!BG$127*'Assumption Setting'!$D$102/'Assumption Setting'!$E$102*'Assumption Setting'!$G$117</f>
        <v>0.202569858493275</v>
      </c>
      <c r="BH14" s="96" t="n">
        <f aca="false">Acquisitions!BH$127*'Assumption Setting'!$D$102/'Assumption Setting'!$E$102*'Assumption Setting'!$G$117</f>
        <v>0.207135797602846</v>
      </c>
      <c r="BI14" s="96" t="n">
        <f aca="false">Acquisitions!BI$127*'Assumption Setting'!$D$102/'Assumption Setting'!$E$102*'Assumption Setting'!$G$117</f>
        <v>0.211701736712417</v>
      </c>
      <c r="BJ14" s="96" t="n">
        <f aca="false">Acquisitions!BJ$127*'Assumption Setting'!$D$102/'Assumption Setting'!$E$102*'Assumption Setting'!$G$117</f>
        <v>0.216267675821987</v>
      </c>
      <c r="BK14" s="96" t="n">
        <f aca="false">Acquisitions!BK$127*'Assumption Setting'!$D$102/'Assumption Setting'!$E$102*'Assumption Setting'!$G$117</f>
        <v>0.220833614931558</v>
      </c>
      <c r="BL14" s="96" t="n">
        <f aca="false">Acquisitions!BL$127*'Assumption Setting'!$D$102/'Assumption Setting'!$E$102*'Assumption Setting'!$G$117</f>
        <v>0.225399554041128</v>
      </c>
      <c r="BM14" s="96" t="n">
        <f aca="false">Acquisitions!BM$127*'Assumption Setting'!$D$102/'Assumption Setting'!$E$102*'Assumption Setting'!$G$117</f>
        <v>0.229965493150699</v>
      </c>
      <c r="BN14" s="96" t="n">
        <f aca="false">Acquisitions!BN$127*'Assumption Setting'!$D$102/'Assumption Setting'!$E$102*'Assumption Setting'!$G$117</f>
        <v>0.23453143226027</v>
      </c>
    </row>
    <row r="15" customFormat="false" ht="15" hidden="false" customHeight="false" outlineLevel="0" collapsed="false">
      <c r="A15" s="12" t="s">
        <v>330</v>
      </c>
      <c r="B15" s="80" t="n">
        <f aca="false">SUM(C15:N15)</f>
        <v>0.32798688129937</v>
      </c>
      <c r="C15" s="96" t="n">
        <f aca="false">Acquisitions!C$129*'Assumption Setting'!$D$103/'Assumption Setting'!$E$103*'Assumption Setting'!$C$117</f>
        <v>0</v>
      </c>
      <c r="D15" s="96" t="n">
        <f aca="false">Acquisitions!D$129*'Assumption Setting'!$D$103/'Assumption Setting'!$E$103*'Assumption Setting'!$C$117</f>
        <v>0</v>
      </c>
      <c r="E15" s="96" t="n">
        <f aca="false">Acquisitions!E$129*'Assumption Setting'!$D$103/'Assumption Setting'!$E$103*'Assumption Setting'!$C$117</f>
        <v>0</v>
      </c>
      <c r="F15" s="96" t="n">
        <f aca="false">Acquisitions!F$129*'Assumption Setting'!$D$103/'Assumption Setting'!$E$103*'Assumption Setting'!$C$117</f>
        <v>0</v>
      </c>
      <c r="G15" s="96" t="n">
        <f aca="false">Acquisitions!G$129*'Assumption Setting'!$D$103/'Assumption Setting'!$E$103*'Assumption Setting'!$C$117</f>
        <v>0.00911074670276028</v>
      </c>
      <c r="H15" s="96" t="n">
        <f aca="false">Acquisitions!H$129*'Assumption Setting'!$D$103/'Assumption Setting'!$E$103*'Assumption Setting'!$C$117</f>
        <v>0.0182214934055206</v>
      </c>
      <c r="I15" s="96" t="n">
        <f aca="false">Acquisitions!I$129*'Assumption Setting'!$D$103/'Assumption Setting'!$E$103*'Assumption Setting'!$C$117</f>
        <v>0.0273322401082808</v>
      </c>
      <c r="J15" s="96" t="n">
        <f aca="false">Acquisitions!J$129*'Assumption Setting'!$D$103/'Assumption Setting'!$E$103*'Assumption Setting'!$C$117</f>
        <v>0.0364429868110411</v>
      </c>
      <c r="K15" s="96" t="n">
        <f aca="false">Acquisitions!K$129*'Assumption Setting'!$D$103/'Assumption Setting'!$E$103*'Assumption Setting'!$C$117</f>
        <v>0.0455537335138014</v>
      </c>
      <c r="L15" s="96" t="n">
        <f aca="false">Acquisitions!L$129*'Assumption Setting'!$D$103/'Assumption Setting'!$E$103*'Assumption Setting'!$C$117</f>
        <v>0.0546644802165617</v>
      </c>
      <c r="M15" s="96" t="n">
        <f aca="false">Acquisitions!M$129*'Assumption Setting'!$D$103/'Assumption Setting'!$E$103*'Assumption Setting'!$C$117</f>
        <v>0.063775226919322</v>
      </c>
      <c r="N15" s="96" t="n">
        <f aca="false">Acquisitions!N$129*'Assumption Setting'!$D$103/'Assumption Setting'!$E$103*'Assumption Setting'!$C$117</f>
        <v>0.0728859736220823</v>
      </c>
      <c r="O15" s="80" t="n">
        <f aca="false">SUM(P15:AA15)</f>
        <v>3.92540326504206</v>
      </c>
      <c r="P15" s="96" t="n">
        <f aca="false">Acquisitions!P$129*'Assumption Setting'!$D$103/'Assumption Setting'!$E$103*'Assumption Setting'!$D$117</f>
        <v>0.215780842960112</v>
      </c>
      <c r="Q15" s="96" t="n">
        <f aca="false">Acquisitions!Q$129*'Assumption Setting'!$D$103/'Assumption Setting'!$E$103*'Assumption Setting'!$D$117</f>
        <v>0.239756492177902</v>
      </c>
      <c r="R15" s="96" t="n">
        <f aca="false">Acquisitions!R$129*'Assumption Setting'!$D$103/'Assumption Setting'!$E$103*'Assumption Setting'!$D$117</f>
        <v>0.263732141395692</v>
      </c>
      <c r="S15" s="96" t="n">
        <f aca="false">Acquisitions!S$129*'Assumption Setting'!$D$103/'Assumption Setting'!$E$103*'Assumption Setting'!$D$117</f>
        <v>0.290105355535262</v>
      </c>
      <c r="T15" s="96" t="n">
        <f aca="false">Acquisitions!T$129*'Assumption Setting'!$D$103/'Assumption Setting'!$E$103*'Assumption Setting'!$D$117</f>
        <v>0.306638288554456</v>
      </c>
      <c r="U15" s="96" t="n">
        <f aca="false">Acquisitions!U$129*'Assumption Setting'!$D$103/'Assumption Setting'!$E$103*'Assumption Setting'!$D$117</f>
        <v>0.32317122157365</v>
      </c>
      <c r="V15" s="96" t="n">
        <f aca="false">Acquisitions!V$129*'Assumption Setting'!$D$103/'Assumption Setting'!$E$103*'Assumption Setting'!$D$117</f>
        <v>0.339704154592845</v>
      </c>
      <c r="W15" s="96" t="n">
        <f aca="false">Acquisitions!W$129*'Assumption Setting'!$D$103/'Assumption Setting'!$E$103*'Assumption Setting'!$D$117</f>
        <v>0.356237087612039</v>
      </c>
      <c r="X15" s="96" t="n">
        <f aca="false">Acquisitions!X$129*'Assumption Setting'!$D$103/'Assumption Setting'!$E$103*'Assumption Setting'!$D$117</f>
        <v>0.372770020631234</v>
      </c>
      <c r="Y15" s="96" t="n">
        <f aca="false">Acquisitions!Y$129*'Assumption Setting'!$D$103/'Assumption Setting'!$E$103*'Assumption Setting'!$D$117</f>
        <v>0.389302953650428</v>
      </c>
      <c r="Z15" s="96" t="n">
        <f aca="false">Acquisitions!Z$129*'Assumption Setting'!$D$103/'Assumption Setting'!$E$103*'Assumption Setting'!$D$117</f>
        <v>0.405835886669622</v>
      </c>
      <c r="AA15" s="96" t="n">
        <f aca="false">Acquisitions!AA$129*'Assumption Setting'!$D$103/'Assumption Setting'!$E$103*'Assumption Setting'!$D$117</f>
        <v>0.422368819688817</v>
      </c>
      <c r="AB15" s="80" t="n">
        <f aca="false">SUM(AC15:AN15)</f>
        <v>6.70207826534224</v>
      </c>
      <c r="AC15" s="96" t="n">
        <f aca="false">Acquisitions!AC$129*'Assumption Setting'!$D$103/'Assumption Setting'!$E$103*'Assumption Setting'!$E$117</f>
        <v>0.438901752708011</v>
      </c>
      <c r="AD15" s="96" t="n">
        <f aca="false">Acquisitions!AD$129*'Assumption Setting'!$D$103/'Assumption Setting'!$E$103*'Assumption Setting'!$E$117</f>
        <v>0.455434685727206</v>
      </c>
      <c r="AE15" s="96" t="n">
        <f aca="false">Acquisitions!AE$129*'Assumption Setting'!$D$103/'Assumption Setting'!$E$103*'Assumption Setting'!$E$117</f>
        <v>0.4719676187464</v>
      </c>
      <c r="AF15" s="96" t="n">
        <f aca="false">Acquisitions!AF$129*'Assumption Setting'!$D$103/'Assumption Setting'!$E$103*'Assumption Setting'!$E$117</f>
        <v>0.489785585228996</v>
      </c>
      <c r="AG15" s="96" t="n">
        <f aca="false">Acquisitions!AG$129*'Assumption Setting'!$D$103/'Assumption Setting'!$E$103*'Assumption Setting'!$E$117</f>
        <v>0.515555139148431</v>
      </c>
      <c r="AH15" s="96" t="n">
        <f aca="false">Acquisitions!AH$129*'Assumption Setting'!$D$103/'Assumption Setting'!$E$103*'Assumption Setting'!$E$117</f>
        <v>0.541324693067866</v>
      </c>
      <c r="AI15" s="96" t="n">
        <f aca="false">Acquisitions!AI$129*'Assumption Setting'!$D$103/'Assumption Setting'!$E$103*'Assumption Setting'!$E$117</f>
        <v>0.567094246987301</v>
      </c>
      <c r="AJ15" s="96" t="n">
        <f aca="false">Acquisitions!AJ$129*'Assumption Setting'!$D$103/'Assumption Setting'!$E$103*'Assumption Setting'!$E$117</f>
        <v>0.592863800906736</v>
      </c>
      <c r="AK15" s="96" t="n">
        <f aca="false">Acquisitions!AK$129*'Assumption Setting'!$D$103/'Assumption Setting'!$E$103*'Assumption Setting'!$E$117</f>
        <v>0.61863335482617</v>
      </c>
      <c r="AL15" s="96" t="n">
        <f aca="false">Acquisitions!AL$129*'Assumption Setting'!$D$103/'Assumption Setting'!$E$103*'Assumption Setting'!$E$117</f>
        <v>0.644402908745605</v>
      </c>
      <c r="AM15" s="96" t="n">
        <f aca="false">Acquisitions!AM$129*'Assumption Setting'!$D$103/'Assumption Setting'!$E$103*'Assumption Setting'!$E$117</f>
        <v>0.67017246266504</v>
      </c>
      <c r="AN15" s="96" t="n">
        <f aca="false">Acquisitions!AN$129*'Assumption Setting'!$D$103/'Assumption Setting'!$E$103*'Assumption Setting'!$E$117</f>
        <v>0.695942016584475</v>
      </c>
      <c r="AO15" s="80" t="n">
        <f aca="false">SUM(AP15:BA15)</f>
        <v>10.2626430954652</v>
      </c>
      <c r="AP15" s="96" t="n">
        <f aca="false">Acquisitions!AP$129*'Assumption Setting'!$D$103/'Assumption Setting'!$E$103*'Assumption Setting'!$F$117</f>
        <v>0.72171157050391</v>
      </c>
      <c r="AQ15" s="96" t="n">
        <f aca="false">Acquisitions!AQ$129*'Assumption Setting'!$D$103/'Assumption Setting'!$E$103*'Assumption Setting'!$F$117</f>
        <v>0.747481124423345</v>
      </c>
      <c r="AR15" s="96" t="n">
        <f aca="false">Acquisitions!AR$129*'Assumption Setting'!$D$103/'Assumption Setting'!$E$103*'Assumption Setting'!$F$117</f>
        <v>0.77325067834278</v>
      </c>
      <c r="AS15" s="96" t="n">
        <f aca="false">Acquisitions!AS$129*'Assumption Setting'!$D$103/'Assumption Setting'!$E$103*'Assumption Setting'!$F$117</f>
        <v>0.798099222883552</v>
      </c>
      <c r="AT15" s="96" t="n">
        <f aca="false">Acquisitions!AT$129*'Assumption Setting'!$D$103/'Assumption Setting'!$E$103*'Assumption Setting'!$F$117</f>
        <v>0.821357742779195</v>
      </c>
      <c r="AU15" s="96" t="n">
        <f aca="false">Acquisitions!AU$129*'Assumption Setting'!$D$103/'Assumption Setting'!$E$103*'Assumption Setting'!$F$117</f>
        <v>0.844616262674839</v>
      </c>
      <c r="AV15" s="96" t="n">
        <f aca="false">Acquisitions!AV$129*'Assumption Setting'!$D$103/'Assumption Setting'!$E$103*'Assumption Setting'!$F$117</f>
        <v>0.867874782570482</v>
      </c>
      <c r="AW15" s="96" t="n">
        <f aca="false">Acquisitions!AW$129*'Assumption Setting'!$D$103/'Assumption Setting'!$E$103*'Assumption Setting'!$F$117</f>
        <v>0.891133302466126</v>
      </c>
      <c r="AX15" s="96" t="n">
        <f aca="false">Acquisitions!AX$129*'Assumption Setting'!$D$103/'Assumption Setting'!$E$103*'Assumption Setting'!$F$117</f>
        <v>0.914391822361769</v>
      </c>
      <c r="AY15" s="96" t="n">
        <f aca="false">Acquisitions!AY$129*'Assumption Setting'!$D$103/'Assumption Setting'!$E$103*'Assumption Setting'!$F$117</f>
        <v>0.937650342257413</v>
      </c>
      <c r="AZ15" s="96" t="n">
        <f aca="false">Acquisitions!AZ$129*'Assumption Setting'!$D$103/'Assumption Setting'!$E$103*'Assumption Setting'!$F$117</f>
        <v>0.960908862153056</v>
      </c>
      <c r="BA15" s="96" t="n">
        <f aca="false">Acquisitions!BA$129*'Assumption Setting'!$D$103/'Assumption Setting'!$E$103*'Assumption Setting'!$F$117</f>
        <v>0.984167382048699</v>
      </c>
      <c r="BB15" s="80" t="n">
        <f aca="false">SUM(BC15:BN15)</f>
        <v>13.6891693807973</v>
      </c>
      <c r="BC15" s="96" t="n">
        <f aca="false">Acquisitions!BC$129*'Assumption Setting'!$D$103/'Assumption Setting'!$E$103*'Assumption Setting'!$G$117</f>
        <v>1.00742590194434</v>
      </c>
      <c r="BD15" s="96" t="n">
        <f aca="false">Acquisitions!BD$129*'Assumption Setting'!$D$103/'Assumption Setting'!$E$103*'Assumption Setting'!$G$117</f>
        <v>1.03068442183999</v>
      </c>
      <c r="BE15" s="96" t="n">
        <f aca="false">Acquisitions!BE$129*'Assumption Setting'!$D$103/'Assumption Setting'!$E$103*'Assumption Setting'!$G$117</f>
        <v>1.05394294173563</v>
      </c>
      <c r="BF15" s="96" t="n">
        <f aca="false">Acquisitions!BF$129*'Assumption Setting'!$D$103/'Assumption Setting'!$E$103*'Assumption Setting'!$G$117</f>
        <v>1.07802133886684</v>
      </c>
      <c r="BG15" s="96" t="n">
        <f aca="false">Acquisitions!BG$129*'Assumption Setting'!$D$103/'Assumption Setting'!$E$103*'Assumption Setting'!$G$117</f>
        <v>1.10288034068561</v>
      </c>
      <c r="BH15" s="96" t="n">
        <f aca="false">Acquisitions!BH$129*'Assumption Setting'!$D$103/'Assumption Setting'!$E$103*'Assumption Setting'!$G$117</f>
        <v>1.12773934250438</v>
      </c>
      <c r="BI15" s="96" t="n">
        <f aca="false">Acquisitions!BI$129*'Assumption Setting'!$D$103/'Assumption Setting'!$E$103*'Assumption Setting'!$G$117</f>
        <v>1.15259834432316</v>
      </c>
      <c r="BJ15" s="96" t="n">
        <f aca="false">Acquisitions!BJ$129*'Assumption Setting'!$D$103/'Assumption Setting'!$E$103*'Assumption Setting'!$G$117</f>
        <v>1.17745734614193</v>
      </c>
      <c r="BK15" s="96" t="n">
        <f aca="false">Acquisitions!BK$129*'Assumption Setting'!$D$103/'Assumption Setting'!$E$103*'Assumption Setting'!$G$117</f>
        <v>1.2023163479607</v>
      </c>
      <c r="BL15" s="96" t="n">
        <f aca="false">Acquisitions!BL$129*'Assumption Setting'!$D$103/'Assumption Setting'!$E$103*'Assumption Setting'!$G$117</f>
        <v>1.22717534977948</v>
      </c>
      <c r="BM15" s="96" t="n">
        <f aca="false">Acquisitions!BM$129*'Assumption Setting'!$D$103/'Assumption Setting'!$E$103*'Assumption Setting'!$G$117</f>
        <v>1.25203435159825</v>
      </c>
      <c r="BN15" s="96" t="n">
        <f aca="false">Acquisitions!BN$129*'Assumption Setting'!$D$103/'Assumption Setting'!$E$103*'Assumption Setting'!$G$117</f>
        <v>1.27689335341702</v>
      </c>
    </row>
    <row r="16" customFormat="false" ht="15" hidden="false" customHeight="false" outlineLevel="0" collapsed="false">
      <c r="A16" s="12" t="s">
        <v>332</v>
      </c>
      <c r="B16" s="80" t="n">
        <f aca="false">SUM(C16:N16)</f>
        <v>0.620398465949867</v>
      </c>
      <c r="C16" s="96" t="n">
        <f aca="false">Acquisitions!C$131*'Assumption Setting'!$D$104/'Assumption Setting'!$E$104*'Assumption Setting'!$C$117</f>
        <v>0</v>
      </c>
      <c r="D16" s="96" t="n">
        <f aca="false">Acquisitions!D$131*'Assumption Setting'!$D$104/'Assumption Setting'!$E$104*'Assumption Setting'!$C$117</f>
        <v>0</v>
      </c>
      <c r="E16" s="96" t="n">
        <f aca="false">Acquisitions!E$131*'Assumption Setting'!$D$104/'Assumption Setting'!$E$104*'Assumption Setting'!$C$117</f>
        <v>0.0112799721081794</v>
      </c>
      <c r="F16" s="96" t="n">
        <f aca="false">Acquisitions!F$131*'Assumption Setting'!$D$104/'Assumption Setting'!$E$104*'Assumption Setting'!$C$117</f>
        <v>0.0225599442163588</v>
      </c>
      <c r="G16" s="96" t="n">
        <f aca="false">Acquisitions!G$131*'Assumption Setting'!$D$104/'Assumption Setting'!$E$104*'Assumption Setting'!$C$117</f>
        <v>0.0338399163245382</v>
      </c>
      <c r="H16" s="96" t="n">
        <f aca="false">Acquisitions!H$131*'Assumption Setting'!$D$104/'Assumption Setting'!$E$104*'Assumption Setting'!$C$117</f>
        <v>0.0451198884327176</v>
      </c>
      <c r="I16" s="96" t="n">
        <f aca="false">Acquisitions!I$131*'Assumption Setting'!$D$104/'Assumption Setting'!$E$104*'Assumption Setting'!$C$117</f>
        <v>0.056399860540897</v>
      </c>
      <c r="J16" s="96" t="n">
        <f aca="false">Acquisitions!J$131*'Assumption Setting'!$D$104/'Assumption Setting'!$E$104*'Assumption Setting'!$C$117</f>
        <v>0.0676798326490764</v>
      </c>
      <c r="K16" s="96" t="n">
        <f aca="false">Acquisitions!K$131*'Assumption Setting'!$D$104/'Assumption Setting'!$E$104*'Assumption Setting'!$C$117</f>
        <v>0.0789598047572558</v>
      </c>
      <c r="L16" s="96" t="n">
        <f aca="false">Acquisitions!L$131*'Assumption Setting'!$D$104/'Assumption Setting'!$E$104*'Assumption Setting'!$C$117</f>
        <v>0.0902397768654352</v>
      </c>
      <c r="M16" s="96" t="n">
        <f aca="false">Acquisitions!M$131*'Assumption Setting'!$D$104/'Assumption Setting'!$E$104*'Assumption Setting'!$C$117</f>
        <v>0.101519748973615</v>
      </c>
      <c r="N16" s="96" t="n">
        <f aca="false">Acquisitions!N$131*'Assumption Setting'!$D$104/'Assumption Setting'!$E$104*'Assumption Setting'!$C$117</f>
        <v>0.112799721081794</v>
      </c>
      <c r="O16" s="80" t="n">
        <f aca="false">SUM(P16:AA16)</f>
        <v>5.4032981703248</v>
      </c>
      <c r="P16" s="96" t="n">
        <f aca="false">Acquisitions!P$131*'Assumption Setting'!$D$104/'Assumption Setting'!$E$104*'Assumption Setting'!$D$117</f>
        <v>0.326525508394667</v>
      </c>
      <c r="Q16" s="96" t="n">
        <f aca="false">Acquisitions!Q$131*'Assumption Setting'!$D$104/'Assumption Setting'!$E$104*'Assumption Setting'!$D$117</f>
        <v>0.359178059234133</v>
      </c>
      <c r="R16" s="96" t="n">
        <f aca="false">Acquisitions!R$131*'Assumption Setting'!$D$104/'Assumption Setting'!$E$104*'Assumption Setting'!$D$117</f>
        <v>0.379647404876945</v>
      </c>
      <c r="S16" s="96" t="n">
        <f aca="false">Acquisitions!S$131*'Assumption Setting'!$D$104/'Assumption Setting'!$E$104*'Assumption Setting'!$D$117</f>
        <v>0.400116750519758</v>
      </c>
      <c r="T16" s="96" t="n">
        <f aca="false">Acquisitions!T$131*'Assumption Setting'!$D$104/'Assumption Setting'!$E$104*'Assumption Setting'!$D$117</f>
        <v>0.42058609616257</v>
      </c>
      <c r="U16" s="96" t="n">
        <f aca="false">Acquisitions!U$131*'Assumption Setting'!$D$104/'Assumption Setting'!$E$104*'Assumption Setting'!$D$117</f>
        <v>0.441055441805382</v>
      </c>
      <c r="V16" s="96" t="n">
        <f aca="false">Acquisitions!V$131*'Assumption Setting'!$D$104/'Assumption Setting'!$E$104*'Assumption Setting'!$D$117</f>
        <v>0.461524787448194</v>
      </c>
      <c r="W16" s="96" t="n">
        <f aca="false">Acquisitions!W$131*'Assumption Setting'!$D$104/'Assumption Setting'!$E$104*'Assumption Setting'!$D$117</f>
        <v>0.481994133091006</v>
      </c>
      <c r="X16" s="96" t="n">
        <f aca="false">Acquisitions!X$131*'Assumption Setting'!$D$104/'Assumption Setting'!$E$104*'Assumption Setting'!$D$117</f>
        <v>0.502463478733818</v>
      </c>
      <c r="Y16" s="96" t="n">
        <f aca="false">Acquisitions!Y$131*'Assumption Setting'!$D$104/'Assumption Setting'!$E$104*'Assumption Setting'!$D$117</f>
        <v>0.522932824376631</v>
      </c>
      <c r="Z16" s="96" t="n">
        <f aca="false">Acquisitions!Z$131*'Assumption Setting'!$D$104/'Assumption Setting'!$E$104*'Assumption Setting'!$D$117</f>
        <v>0.543402170019443</v>
      </c>
      <c r="AA16" s="96" t="n">
        <f aca="false">Acquisitions!AA$131*'Assumption Setting'!$D$104/'Assumption Setting'!$E$104*'Assumption Setting'!$D$117</f>
        <v>0.563871515662255</v>
      </c>
      <c r="AB16" s="80" t="n">
        <f aca="false">SUM(AC16:AN16)</f>
        <v>9.00953797941387</v>
      </c>
      <c r="AC16" s="96" t="n">
        <f aca="false">Acquisitions!AC$131*'Assumption Setting'!$D$104/'Assumption Setting'!$E$104*'Assumption Setting'!$E$117</f>
        <v>0.584340861305067</v>
      </c>
      <c r="AD16" s="96" t="n">
        <f aca="false">Acquisitions!AD$131*'Assumption Setting'!$D$104/'Assumption Setting'!$E$104*'Assumption Setting'!$E$117</f>
        <v>0.606401200759709</v>
      </c>
      <c r="AE16" s="96" t="n">
        <f aca="false">Acquisitions!AE$131*'Assumption Setting'!$D$104/'Assumption Setting'!$E$104*'Assumption Setting'!$E$117</f>
        <v>0.6383063627552</v>
      </c>
      <c r="AF16" s="96" t="n">
        <f aca="false">Acquisitions!AF$131*'Assumption Setting'!$D$104/'Assumption Setting'!$E$104*'Assumption Setting'!$E$117</f>
        <v>0.670211524750691</v>
      </c>
      <c r="AG16" s="96" t="n">
        <f aca="false">Acquisitions!AG$131*'Assumption Setting'!$D$104/'Assumption Setting'!$E$104*'Assumption Setting'!$E$117</f>
        <v>0.702116686746182</v>
      </c>
      <c r="AH16" s="96" t="n">
        <f aca="false">Acquisitions!AH$131*'Assumption Setting'!$D$104/'Assumption Setting'!$E$104*'Assumption Setting'!$E$117</f>
        <v>0.734021848741673</v>
      </c>
      <c r="AI16" s="96" t="n">
        <f aca="false">Acquisitions!AI$131*'Assumption Setting'!$D$104/'Assumption Setting'!$E$104*'Assumption Setting'!$E$117</f>
        <v>0.765927010737164</v>
      </c>
      <c r="AJ16" s="96" t="n">
        <f aca="false">Acquisitions!AJ$131*'Assumption Setting'!$D$104/'Assumption Setting'!$E$104*'Assumption Setting'!$E$117</f>
        <v>0.797832172732655</v>
      </c>
      <c r="AK16" s="96" t="n">
        <f aca="false">Acquisitions!AK$131*'Assumption Setting'!$D$104/'Assumption Setting'!$E$104*'Assumption Setting'!$E$117</f>
        <v>0.829737334728146</v>
      </c>
      <c r="AL16" s="96" t="n">
        <f aca="false">Acquisitions!AL$131*'Assumption Setting'!$D$104/'Assumption Setting'!$E$104*'Assumption Setting'!$E$117</f>
        <v>0.861642496723637</v>
      </c>
      <c r="AM16" s="96" t="n">
        <f aca="false">Acquisitions!AM$131*'Assumption Setting'!$D$104/'Assumption Setting'!$E$104*'Assumption Setting'!$E$117</f>
        <v>0.893547658719128</v>
      </c>
      <c r="AN16" s="96" t="n">
        <f aca="false">Acquisitions!AN$131*'Assumption Setting'!$D$104/'Assumption Setting'!$E$104*'Assumption Setting'!$E$117</f>
        <v>0.925452820714619</v>
      </c>
      <c r="AO16" s="80" t="n">
        <f aca="false">SUM(AP16:BA16)</f>
        <v>13.4105037539228</v>
      </c>
      <c r="AP16" s="96" t="n">
        <f aca="false">Acquisitions!AP$131*'Assumption Setting'!$D$104/'Assumption Setting'!$E$104*'Assumption Setting'!$F$117</f>
        <v>0.95735798271011</v>
      </c>
      <c r="AQ16" s="96" t="n">
        <f aca="false">Acquisitions!AQ$131*'Assumption Setting'!$D$104/'Assumption Setting'!$E$104*'Assumption Setting'!$F$117</f>
        <v>0.988122847379637</v>
      </c>
      <c r="AR16" s="96" t="n">
        <f aca="false">Acquisitions!AR$131*'Assumption Setting'!$D$104/'Assumption Setting'!$E$104*'Assumption Setting'!$F$117</f>
        <v>1.01691911010758</v>
      </c>
      <c r="AS16" s="96" t="n">
        <f aca="false">Acquisitions!AS$131*'Assumption Setting'!$D$104/'Assumption Setting'!$E$104*'Assumption Setting'!$F$117</f>
        <v>1.04571537283552</v>
      </c>
      <c r="AT16" s="96" t="n">
        <f aca="false">Acquisitions!AT$131*'Assumption Setting'!$D$104/'Assumption Setting'!$E$104*'Assumption Setting'!$F$117</f>
        <v>1.07451163556346</v>
      </c>
      <c r="AU16" s="96" t="n">
        <f aca="false">Acquisitions!AU$131*'Assumption Setting'!$D$104/'Assumption Setting'!$E$104*'Assumption Setting'!$F$117</f>
        <v>1.1033078982914</v>
      </c>
      <c r="AV16" s="96" t="n">
        <f aca="false">Acquisitions!AV$131*'Assumption Setting'!$D$104/'Assumption Setting'!$E$104*'Assumption Setting'!$F$117</f>
        <v>1.13210416101933</v>
      </c>
      <c r="AW16" s="96" t="n">
        <f aca="false">Acquisitions!AW$131*'Assumption Setting'!$D$104/'Assumption Setting'!$E$104*'Assumption Setting'!$F$117</f>
        <v>1.16090042374727</v>
      </c>
      <c r="AX16" s="96" t="n">
        <f aca="false">Acquisitions!AX$131*'Assumption Setting'!$D$104/'Assumption Setting'!$E$104*'Assumption Setting'!$F$117</f>
        <v>1.18969668647521</v>
      </c>
      <c r="AY16" s="96" t="n">
        <f aca="false">Acquisitions!AY$131*'Assumption Setting'!$D$104/'Assumption Setting'!$E$104*'Assumption Setting'!$F$117</f>
        <v>1.21849294920315</v>
      </c>
      <c r="AZ16" s="96" t="n">
        <f aca="false">Acquisitions!AZ$131*'Assumption Setting'!$D$104/'Assumption Setting'!$E$104*'Assumption Setting'!$F$117</f>
        <v>1.24728921193109</v>
      </c>
      <c r="BA16" s="96" t="n">
        <f aca="false">Acquisitions!BA$131*'Assumption Setting'!$D$104/'Assumption Setting'!$E$104*'Assumption Setting'!$F$117</f>
        <v>1.27608547465903</v>
      </c>
      <c r="BB16" s="80" t="n">
        <f aca="false">SUM(BC16:BN16)</f>
        <v>17.6792853334233</v>
      </c>
      <c r="BC16" s="96" t="n">
        <f aca="false">Acquisitions!BC$131*'Assumption Setting'!$D$104/'Assumption Setting'!$E$104*'Assumption Setting'!$G$117</f>
        <v>1.30488173738697</v>
      </c>
      <c r="BD16" s="96" t="n">
        <f aca="false">Acquisitions!BD$131*'Assumption Setting'!$D$104/'Assumption Setting'!$E$104*'Assumption Setting'!$G$117</f>
        <v>1.33469308621609</v>
      </c>
      <c r="BE16" s="96" t="n">
        <f aca="false">Acquisitions!BE$131*'Assumption Setting'!$D$104/'Assumption Setting'!$E$104*'Assumption Setting'!$G$117</f>
        <v>1.36547089799171</v>
      </c>
      <c r="BF16" s="96" t="n">
        <f aca="false">Acquisitions!BF$131*'Assumption Setting'!$D$104/'Assumption Setting'!$E$104*'Assumption Setting'!$G$117</f>
        <v>1.39624870976734</v>
      </c>
      <c r="BG16" s="96" t="n">
        <f aca="false">Acquisitions!BG$131*'Assumption Setting'!$D$104/'Assumption Setting'!$E$104*'Assumption Setting'!$G$117</f>
        <v>1.42702652154296</v>
      </c>
      <c r="BH16" s="96" t="n">
        <f aca="false">Acquisitions!BH$131*'Assumption Setting'!$D$104/'Assumption Setting'!$E$104*'Assumption Setting'!$G$117</f>
        <v>1.45780433331858</v>
      </c>
      <c r="BI16" s="96" t="n">
        <f aca="false">Acquisitions!BI$131*'Assumption Setting'!$D$104/'Assumption Setting'!$E$104*'Assumption Setting'!$G$117</f>
        <v>1.48858214509421</v>
      </c>
      <c r="BJ16" s="96" t="n">
        <f aca="false">Acquisitions!BJ$131*'Assumption Setting'!$D$104/'Assumption Setting'!$E$104*'Assumption Setting'!$G$117</f>
        <v>1.51935995686983</v>
      </c>
      <c r="BK16" s="96" t="n">
        <f aca="false">Acquisitions!BK$131*'Assumption Setting'!$D$104/'Assumption Setting'!$E$104*'Assumption Setting'!$G$117</f>
        <v>1.55013776864546</v>
      </c>
      <c r="BL16" s="96" t="n">
        <f aca="false">Acquisitions!BL$131*'Assumption Setting'!$D$104/'Assumption Setting'!$E$104*'Assumption Setting'!$G$117</f>
        <v>1.58091558042108</v>
      </c>
      <c r="BM16" s="96" t="n">
        <f aca="false">Acquisitions!BM$131*'Assumption Setting'!$D$104/'Assumption Setting'!$E$104*'Assumption Setting'!$G$117</f>
        <v>1.61169339219671</v>
      </c>
      <c r="BN16" s="96" t="n">
        <f aca="false">Acquisitions!BN$131*'Assumption Setting'!$D$104/'Assumption Setting'!$E$104*'Assumption Setting'!$G$117</f>
        <v>1.64247120397233</v>
      </c>
    </row>
    <row r="17" customFormat="false" ht="15" hidden="false" customHeight="false" outlineLevel="0" collapsed="false">
      <c r="A17" s="12" t="s">
        <v>335</v>
      </c>
      <c r="B17" s="80" t="n">
        <f aca="false">SUM(C17:N17)</f>
        <v>0.222707141623029</v>
      </c>
      <c r="C17" s="96" t="n">
        <f aca="false">MIN(Acquisitions!C$133*'Assumption Setting'!$D$105/'Assumption Setting'!$E$105*'Assumption Setting'!$C$117,'Assumption Setting'!$C$118/12)</f>
        <v>0</v>
      </c>
      <c r="D17" s="96" t="n">
        <f aca="false">MIN(Acquisitions!D$133*'Assumption Setting'!$D$105/'Assumption Setting'!$E$105*'Assumption Setting'!$C$117,'Assumption Setting'!$C$118/12)</f>
        <v>0</v>
      </c>
      <c r="E17" s="96" t="n">
        <f aca="false">MIN(Acquisitions!E$133*'Assumption Setting'!$D$105/'Assumption Setting'!$E$105*'Assumption Setting'!$C$117,'Assumption Setting'!$C$118/12)</f>
        <v>0.00404922075678235</v>
      </c>
      <c r="F17" s="96" t="n">
        <f aca="false">MIN(Acquisitions!F$133*'Assumption Setting'!$D$105/'Assumption Setting'!$E$105*'Assumption Setting'!$C$117,'Assumption Setting'!$C$118/12)</f>
        <v>0.00809844151356469</v>
      </c>
      <c r="G17" s="96" t="n">
        <f aca="false">MIN(Acquisitions!G$133*'Assumption Setting'!$D$105/'Assumption Setting'!$E$105*'Assumption Setting'!$C$117,'Assumption Setting'!$C$118/12)</f>
        <v>0.012147662270347</v>
      </c>
      <c r="H17" s="96" t="n">
        <f aca="false">MIN(Acquisitions!H$133*'Assumption Setting'!$D$105/'Assumption Setting'!$E$105*'Assumption Setting'!$C$117,'Assumption Setting'!$C$118/12)</f>
        <v>0.0161968830271294</v>
      </c>
      <c r="I17" s="96" t="n">
        <f aca="false">MIN(Acquisitions!I$133*'Assumption Setting'!$D$105/'Assumption Setting'!$E$105*'Assumption Setting'!$C$117,'Assumption Setting'!$C$118/12)</f>
        <v>0.0202461037839117</v>
      </c>
      <c r="J17" s="96" t="n">
        <f aca="false">MIN(Acquisitions!J$133*'Assumption Setting'!$D$105/'Assumption Setting'!$E$105*'Assumption Setting'!$C$117,'Assumption Setting'!$C$118/12)</f>
        <v>0.0242953245406941</v>
      </c>
      <c r="K17" s="96" t="n">
        <f aca="false">MIN(Acquisitions!K$133*'Assumption Setting'!$D$105/'Assumption Setting'!$E$105*'Assumption Setting'!$C$117,'Assumption Setting'!$C$118/12)</f>
        <v>0.0283445452974764</v>
      </c>
      <c r="L17" s="96" t="n">
        <f aca="false">MIN(Acquisitions!L$133*'Assumption Setting'!$D$105/'Assumption Setting'!$E$105*'Assumption Setting'!$C$117,'Assumption Setting'!$C$118/12)</f>
        <v>0.0323937660542588</v>
      </c>
      <c r="M17" s="96" t="n">
        <f aca="false">MIN(Acquisitions!M$133*'Assumption Setting'!$D$105/'Assumption Setting'!$E$105*'Assumption Setting'!$C$117,'Assumption Setting'!$C$118/12)</f>
        <v>0.0364429868110411</v>
      </c>
      <c r="N17" s="96" t="n">
        <f aca="false">MIN(Acquisitions!N$133*'Assumption Setting'!$D$105/'Assumption Setting'!$E$105*'Assumption Setting'!$C$117,'Assumption Setting'!$C$118/12)</f>
        <v>0.0404922075678235</v>
      </c>
      <c r="O17" s="80" t="n">
        <f aca="false">SUM(P17:AA17)</f>
        <v>1.83438145328675</v>
      </c>
      <c r="P17" s="96" t="n">
        <f aca="false">MIN(Acquisitions!P$133*'Assumption Setting'!$D$105/'Assumption Setting'!$E$105*'Assumption Setting'!$D$117,'Assumption Setting'!$D$118/12)</f>
        <v>0.117214285064752</v>
      </c>
      <c r="Q17" s="96" t="n">
        <f aca="false">MIN(Acquisitions!Q$133*'Assumption Setting'!$D$105/'Assumption Setting'!$E$105*'Assumption Setting'!$D$117,'Assumption Setting'!$D$118/12)</f>
        <v>0.128935713571227</v>
      </c>
      <c r="R17" s="96" t="n">
        <f aca="false">MIN(Acquisitions!R$133*'Assumption Setting'!$D$105/'Assumption Setting'!$E$105*'Assumption Setting'!$D$117,'Assumption Setting'!$D$118/12)</f>
        <v>0.13628368380198</v>
      </c>
      <c r="S17" s="96" t="n">
        <f aca="false">MIN(Acquisitions!S$133*'Assumption Setting'!$D$105/'Assumption Setting'!$E$105*'Assumption Setting'!$D$117,'Assumption Setting'!$D$118/12)</f>
        <v>0.143631654032734</v>
      </c>
      <c r="T17" s="96" t="n">
        <f aca="false">MIN(Acquisitions!T$133*'Assumption Setting'!$D$105/'Assumption Setting'!$E$105*'Assumption Setting'!$D$117,'Assumption Setting'!$D$118/12)</f>
        <v>0.150979624263487</v>
      </c>
      <c r="U17" s="96" t="n">
        <f aca="false">MIN(Acquisitions!U$133*'Assumption Setting'!$D$105/'Assumption Setting'!$E$105*'Assumption Setting'!$D$117,'Assumption Setting'!$D$118/12)</f>
        <v>0.15832759449424</v>
      </c>
      <c r="V17" s="96" t="n">
        <f aca="false">MIN(Acquisitions!V$133*'Assumption Setting'!$D$105/'Assumption Setting'!$E$105*'Assumption Setting'!$D$117,'Assumption Setting'!$D$118/12)</f>
        <v>0.165675564724993</v>
      </c>
      <c r="W17" s="96" t="n">
        <f aca="false">MIN(Acquisitions!W$133*'Assumption Setting'!$D$105/'Assumption Setting'!$E$105*'Assumption Setting'!$D$117,'Assumption Setting'!$D$118/12)</f>
        <v>0.166666666666667</v>
      </c>
      <c r="X17" s="96" t="n">
        <f aca="false">MIN(Acquisitions!X$133*'Assumption Setting'!$D$105/'Assumption Setting'!$E$105*'Assumption Setting'!$D$117,'Assumption Setting'!$D$118/12)</f>
        <v>0.166666666666667</v>
      </c>
      <c r="Y17" s="96" t="n">
        <f aca="false">MIN(Acquisitions!Y$133*'Assumption Setting'!$D$105/'Assumption Setting'!$E$105*'Assumption Setting'!$D$117,'Assumption Setting'!$D$118/12)</f>
        <v>0.166666666666667</v>
      </c>
      <c r="Z17" s="96" t="n">
        <f aca="false">MIN(Acquisitions!Z$133*'Assumption Setting'!$D$105/'Assumption Setting'!$E$105*'Assumption Setting'!$D$117,'Assumption Setting'!$D$118/12)</f>
        <v>0.166666666666667</v>
      </c>
      <c r="AA17" s="96" t="n">
        <f aca="false">MIN(Acquisitions!AA$133*'Assumption Setting'!$D$105/'Assumption Setting'!$E$105*'Assumption Setting'!$D$117,'Assumption Setting'!$D$118/12)</f>
        <v>0.166666666666667</v>
      </c>
      <c r="AB17" s="80" t="n">
        <f aca="false">SUM(AC17:AN17)</f>
        <v>2.89717023830742</v>
      </c>
      <c r="AC17" s="96" t="n">
        <f aca="false">MIN(Acquisitions!AC$133*'Assumption Setting'!$D$105/'Assumption Setting'!$E$105*'Assumption Setting'!$E$117,'Assumption Setting'!$E$118/12)</f>
        <v>0.209763386109511</v>
      </c>
      <c r="AD17" s="96" t="n">
        <f aca="false">MIN(Acquisitions!AD$133*'Assumption Setting'!$D$105/'Assumption Setting'!$E$105*'Assumption Setting'!$E$117,'Assumption Setting'!$E$118/12)</f>
        <v>0.217682482323998</v>
      </c>
      <c r="AE17" s="96" t="n">
        <f aca="false">MIN(Acquisitions!AE$133*'Assumption Setting'!$D$105/'Assumption Setting'!$E$105*'Assumption Setting'!$E$117,'Assumption Setting'!$E$118/12)</f>
        <v>0.229135617399303</v>
      </c>
      <c r="AF17" s="96" t="n">
        <f aca="false">MIN(Acquisitions!AF$133*'Assumption Setting'!$D$105/'Assumption Setting'!$E$105*'Assumption Setting'!$E$117,'Assumption Setting'!$E$118/12)</f>
        <v>0.240588752474607</v>
      </c>
      <c r="AG17" s="96" t="n">
        <f aca="false">MIN(Acquisitions!AG$133*'Assumption Setting'!$D$105/'Assumption Setting'!$E$105*'Assumption Setting'!$E$117,'Assumption Setting'!$E$118/12)</f>
        <v>0.25</v>
      </c>
      <c r="AH17" s="96" t="n">
        <f aca="false">MIN(Acquisitions!AH$133*'Assumption Setting'!$D$105/'Assumption Setting'!$E$105*'Assumption Setting'!$E$117,'Assumption Setting'!$E$118/12)</f>
        <v>0.25</v>
      </c>
      <c r="AI17" s="96" t="n">
        <f aca="false">MIN(Acquisitions!AI$133*'Assumption Setting'!$D$105/'Assumption Setting'!$E$105*'Assumption Setting'!$E$117,'Assumption Setting'!$E$118/12)</f>
        <v>0.25</v>
      </c>
      <c r="AJ17" s="96" t="n">
        <f aca="false">MIN(Acquisitions!AJ$133*'Assumption Setting'!$D$105/'Assumption Setting'!$E$105*'Assumption Setting'!$E$117,'Assumption Setting'!$E$118/12)</f>
        <v>0.25</v>
      </c>
      <c r="AK17" s="96" t="n">
        <f aca="false">MIN(Acquisitions!AK$133*'Assumption Setting'!$D$105/'Assumption Setting'!$E$105*'Assumption Setting'!$E$117,'Assumption Setting'!$E$118/12)</f>
        <v>0.25</v>
      </c>
      <c r="AL17" s="96" t="n">
        <f aca="false">MIN(Acquisitions!AL$133*'Assumption Setting'!$D$105/'Assumption Setting'!$E$105*'Assumption Setting'!$E$117,'Assumption Setting'!$E$118/12)</f>
        <v>0.25</v>
      </c>
      <c r="AM17" s="96" t="n">
        <f aca="false">MIN(Acquisitions!AM$133*'Assumption Setting'!$D$105/'Assumption Setting'!$E$105*'Assumption Setting'!$E$117,'Assumption Setting'!$E$118/12)</f>
        <v>0.25</v>
      </c>
      <c r="AN17" s="96" t="n">
        <f aca="false">MIN(Acquisitions!AN$133*'Assumption Setting'!$D$105/'Assumption Setting'!$E$105*'Assumption Setting'!$E$117,'Assumption Setting'!$E$118/12)</f>
        <v>0.25</v>
      </c>
      <c r="AO17" s="80" t="n">
        <f aca="false">SUM(AP17:BA17)</f>
        <v>3</v>
      </c>
      <c r="AP17" s="96" t="n">
        <f aca="false">MIN(Acquisitions!AP$133*'Assumption Setting'!$D$105/'Assumption Setting'!$E$105*'Assumption Setting'!$F$117,'Assumption Setting'!$F$118/12)</f>
        <v>0.25</v>
      </c>
      <c r="AQ17" s="96" t="n">
        <f aca="false">MIN(Acquisitions!AQ$133*'Assumption Setting'!$D$105/'Assumption Setting'!$E$105*'Assumption Setting'!$F$117,'Assumption Setting'!$F$118/12)</f>
        <v>0.25</v>
      </c>
      <c r="AR17" s="96" t="n">
        <f aca="false">MIN(Acquisitions!AR$133*'Assumption Setting'!$D$105/'Assumption Setting'!$E$105*'Assumption Setting'!$F$117,'Assumption Setting'!$F$118/12)</f>
        <v>0.25</v>
      </c>
      <c r="AS17" s="96" t="n">
        <f aca="false">MIN(Acquisitions!AS$133*'Assumption Setting'!$D$105/'Assumption Setting'!$E$105*'Assumption Setting'!$F$117,'Assumption Setting'!$F$118/12)</f>
        <v>0.25</v>
      </c>
      <c r="AT17" s="96" t="n">
        <f aca="false">MIN(Acquisitions!AT$133*'Assumption Setting'!$D$105/'Assumption Setting'!$E$105*'Assumption Setting'!$F$117,'Assumption Setting'!$F$118/12)</f>
        <v>0.25</v>
      </c>
      <c r="AU17" s="96" t="n">
        <f aca="false">MIN(Acquisitions!AU$133*'Assumption Setting'!$D$105/'Assumption Setting'!$E$105*'Assumption Setting'!$F$117,'Assumption Setting'!$F$118/12)</f>
        <v>0.25</v>
      </c>
      <c r="AV17" s="96" t="n">
        <f aca="false">MIN(Acquisitions!AV$133*'Assumption Setting'!$D$105/'Assumption Setting'!$E$105*'Assumption Setting'!$F$117,'Assumption Setting'!$F$118/12)</f>
        <v>0.25</v>
      </c>
      <c r="AW17" s="96" t="n">
        <f aca="false">MIN(Acquisitions!AW$133*'Assumption Setting'!$D$105/'Assumption Setting'!$E$105*'Assumption Setting'!$F$117,'Assumption Setting'!$F$118/12)</f>
        <v>0.25</v>
      </c>
      <c r="AX17" s="96" t="n">
        <f aca="false">MIN(Acquisitions!AX$133*'Assumption Setting'!$D$105/'Assumption Setting'!$E$105*'Assumption Setting'!$F$117,'Assumption Setting'!$F$118/12)</f>
        <v>0.25</v>
      </c>
      <c r="AY17" s="96" t="n">
        <f aca="false">MIN(Acquisitions!AY$133*'Assumption Setting'!$D$105/'Assumption Setting'!$E$105*'Assumption Setting'!$F$117,'Assumption Setting'!$F$118/12)</f>
        <v>0.25</v>
      </c>
      <c r="AZ17" s="96" t="n">
        <f aca="false">MIN(Acquisitions!AZ$133*'Assumption Setting'!$D$105/'Assumption Setting'!$E$105*'Assumption Setting'!$F$117,'Assumption Setting'!$F$118/12)</f>
        <v>0.25</v>
      </c>
      <c r="BA17" s="96" t="n">
        <f aca="false">MIN(Acquisitions!BA$133*'Assumption Setting'!$D$105/'Assumption Setting'!$E$105*'Assumption Setting'!$F$117,'Assumption Setting'!$F$118/12)</f>
        <v>0.25</v>
      </c>
      <c r="BB17" s="80" t="n">
        <f aca="false">SUM(BC17:BN17)</f>
        <v>3</v>
      </c>
      <c r="BC17" s="96" t="n">
        <f aca="false">MIN(Acquisitions!BC$133*'Assumption Setting'!$D$105/'Assumption Setting'!$E$105*'Assumption Setting'!$G$117,'Assumption Setting'!$G$118/12)</f>
        <v>0.25</v>
      </c>
      <c r="BD17" s="96" t="n">
        <f aca="false">MIN(Acquisitions!BD$133*'Assumption Setting'!$D$105/'Assumption Setting'!$E$105*'Assumption Setting'!$G$117,'Assumption Setting'!$G$118/12)</f>
        <v>0.25</v>
      </c>
      <c r="BE17" s="96" t="n">
        <f aca="false">MIN(Acquisitions!BE$133*'Assumption Setting'!$D$105/'Assumption Setting'!$E$105*'Assumption Setting'!$G$117,'Assumption Setting'!$G$118/12)</f>
        <v>0.25</v>
      </c>
      <c r="BF17" s="96" t="n">
        <f aca="false">MIN(Acquisitions!BF$133*'Assumption Setting'!$D$105/'Assumption Setting'!$E$105*'Assumption Setting'!$G$117,'Assumption Setting'!$G$118/12)</f>
        <v>0.25</v>
      </c>
      <c r="BG17" s="96" t="n">
        <f aca="false">MIN(Acquisitions!BG$133*'Assumption Setting'!$D$105/'Assumption Setting'!$E$105*'Assumption Setting'!$G$117,'Assumption Setting'!$G$118/12)</f>
        <v>0.25</v>
      </c>
      <c r="BH17" s="96" t="n">
        <f aca="false">MIN(Acquisitions!BH$133*'Assumption Setting'!$D$105/'Assumption Setting'!$E$105*'Assumption Setting'!$G$117,'Assumption Setting'!$G$118/12)</f>
        <v>0.25</v>
      </c>
      <c r="BI17" s="96" t="n">
        <f aca="false">MIN(Acquisitions!BI$133*'Assumption Setting'!$D$105/'Assumption Setting'!$E$105*'Assumption Setting'!$G$117,'Assumption Setting'!$G$118/12)</f>
        <v>0.25</v>
      </c>
      <c r="BJ17" s="96" t="n">
        <f aca="false">MIN(Acquisitions!BJ$133*'Assumption Setting'!$D$105/'Assumption Setting'!$E$105*'Assumption Setting'!$G$117,'Assumption Setting'!$G$118/12)</f>
        <v>0.25</v>
      </c>
      <c r="BK17" s="96" t="n">
        <f aca="false">MIN(Acquisitions!BK$133*'Assumption Setting'!$D$105/'Assumption Setting'!$E$105*'Assumption Setting'!$G$117,'Assumption Setting'!$G$118/12)</f>
        <v>0.25</v>
      </c>
      <c r="BL17" s="96" t="n">
        <f aca="false">MIN(Acquisitions!BL$133*'Assumption Setting'!$D$105/'Assumption Setting'!$E$105*'Assumption Setting'!$G$117,'Assumption Setting'!$G$118/12)</f>
        <v>0.25</v>
      </c>
      <c r="BM17" s="96" t="n">
        <f aca="false">MIN(Acquisitions!BM$133*'Assumption Setting'!$D$105/'Assumption Setting'!$E$105*'Assumption Setting'!$G$117,'Assumption Setting'!$G$118/12)</f>
        <v>0.25</v>
      </c>
      <c r="BN17" s="96" t="n">
        <f aca="false">MIN(Acquisitions!BN$133*'Assumption Setting'!$D$105/'Assumption Setting'!$E$105*'Assumption Setting'!$G$117,'Assumption Setting'!$G$118/12)</f>
        <v>0.25</v>
      </c>
    </row>
    <row r="18" customFormat="false" ht="15" hidden="false" customHeight="false" outlineLevel="0" collapsed="false">
      <c r="A18" s="12" t="s">
        <v>338</v>
      </c>
      <c r="B18" s="80" t="n">
        <f aca="false">SUM(C18:N18)</f>
        <v>0.322129972704739</v>
      </c>
      <c r="C18" s="96" t="n">
        <f aca="false">Acquisitions!C$135*'Assumption Setting'!$D$106/'Assumption Setting'!$E$106*'Assumption Setting'!$C$117</f>
        <v>0</v>
      </c>
      <c r="D18" s="96" t="n">
        <f aca="false">Acquisitions!D$135*'Assumption Setting'!$D$106/'Assumption Setting'!$E$106*'Assumption Setting'!$C$117</f>
        <v>0</v>
      </c>
      <c r="E18" s="96" t="n">
        <f aca="false">Acquisitions!E$135*'Assumption Setting'!$D$106/'Assumption Setting'!$E$106*'Assumption Setting'!$C$117</f>
        <v>0</v>
      </c>
      <c r="F18" s="96" t="n">
        <f aca="false">Acquisitions!F$135*'Assumption Setting'!$D$106/'Assumption Setting'!$E$106*'Assumption Setting'!$C$117</f>
        <v>0.00715844383788308</v>
      </c>
      <c r="G18" s="96" t="n">
        <f aca="false">Acquisitions!G$135*'Assumption Setting'!$D$106/'Assumption Setting'!$E$106*'Assumption Setting'!$C$117</f>
        <v>0.0143168876757662</v>
      </c>
      <c r="H18" s="96" t="n">
        <f aca="false">Acquisitions!H$135*'Assumption Setting'!$D$106/'Assumption Setting'!$E$106*'Assumption Setting'!$C$117</f>
        <v>0.0214753315136492</v>
      </c>
      <c r="I18" s="96" t="n">
        <f aca="false">Acquisitions!I$135*'Assumption Setting'!$D$106/'Assumption Setting'!$E$106*'Assumption Setting'!$C$117</f>
        <v>0.0286337753515323</v>
      </c>
      <c r="J18" s="96" t="n">
        <f aca="false">Acquisitions!J$135*'Assumption Setting'!$D$106/'Assumption Setting'!$E$106*'Assumption Setting'!$C$117</f>
        <v>0.0357922191894154</v>
      </c>
      <c r="K18" s="96" t="n">
        <f aca="false">Acquisitions!K$135*'Assumption Setting'!$D$106/'Assumption Setting'!$E$106*'Assumption Setting'!$C$117</f>
        <v>0.0429506630272985</v>
      </c>
      <c r="L18" s="96" t="n">
        <f aca="false">Acquisitions!L$135*'Assumption Setting'!$D$106/'Assumption Setting'!$E$106*'Assumption Setting'!$C$117</f>
        <v>0.0501091068651815</v>
      </c>
      <c r="M18" s="96" t="n">
        <f aca="false">Acquisitions!M$135*'Assumption Setting'!$D$106/'Assumption Setting'!$E$106*'Assumption Setting'!$C$117</f>
        <v>0.0572675507030646</v>
      </c>
      <c r="N18" s="96" t="n">
        <f aca="false">Acquisitions!N$135*'Assumption Setting'!$D$106/'Assumption Setting'!$E$106*'Assumption Setting'!$C$117</f>
        <v>0.0644259945409477</v>
      </c>
      <c r="O18" s="80" t="n">
        <f aca="false">SUM(P18:AA18)</f>
        <v>3.25955470876354</v>
      </c>
      <c r="P18" s="96" t="n">
        <f aca="false">Acquisitions!P$135*'Assumption Setting'!$D$106/'Assumption Setting'!$E$106*'Assumption Setting'!$D$117</f>
        <v>0.188380100996923</v>
      </c>
      <c r="Q18" s="96" t="n">
        <f aca="false">Acquisitions!Q$135*'Assumption Setting'!$D$106/'Assumption Setting'!$E$106*'Assumption Setting'!$D$117</f>
        <v>0.207218111096615</v>
      </c>
      <c r="R18" s="96" t="n">
        <f aca="false">Acquisitions!R$135*'Assumption Setting'!$D$106/'Assumption Setting'!$E$106*'Assumption Setting'!$D$117</f>
        <v>0.227939922206277</v>
      </c>
      <c r="S18" s="96" t="n">
        <f aca="false">Acquisitions!S$135*'Assumption Setting'!$D$106/'Assumption Setting'!$E$106*'Assumption Setting'!$D$117</f>
        <v>0.240930083864215</v>
      </c>
      <c r="T18" s="96" t="n">
        <f aca="false">Acquisitions!T$135*'Assumption Setting'!$D$106/'Assumption Setting'!$E$106*'Assumption Setting'!$D$117</f>
        <v>0.253920245522154</v>
      </c>
      <c r="U18" s="96" t="n">
        <f aca="false">Acquisitions!U$135*'Assumption Setting'!$D$106/'Assumption Setting'!$E$106*'Assumption Setting'!$D$117</f>
        <v>0.266910407180092</v>
      </c>
      <c r="V18" s="96" t="n">
        <f aca="false">Acquisitions!V$135*'Assumption Setting'!$D$106/'Assumption Setting'!$E$106*'Assumption Setting'!$D$117</f>
        <v>0.279900568838031</v>
      </c>
      <c r="W18" s="96" t="n">
        <f aca="false">Acquisitions!W$135*'Assumption Setting'!$D$106/'Assumption Setting'!$E$106*'Assumption Setting'!$D$117</f>
        <v>0.292890730495969</v>
      </c>
      <c r="X18" s="96" t="n">
        <f aca="false">Acquisitions!X$135*'Assumption Setting'!$D$106/'Assumption Setting'!$E$106*'Assumption Setting'!$D$117</f>
        <v>0.305880892153908</v>
      </c>
      <c r="Y18" s="96" t="n">
        <f aca="false">Acquisitions!Y$135*'Assumption Setting'!$D$106/'Assumption Setting'!$E$106*'Assumption Setting'!$D$117</f>
        <v>0.318871053811846</v>
      </c>
      <c r="Z18" s="96" t="n">
        <f aca="false">Acquisitions!Z$135*'Assumption Setting'!$D$106/'Assumption Setting'!$E$106*'Assumption Setting'!$D$117</f>
        <v>0.331861215469784</v>
      </c>
      <c r="AA18" s="96" t="n">
        <f aca="false">Acquisitions!AA$135*'Assumption Setting'!$D$106/'Assumption Setting'!$E$106*'Assumption Setting'!$D$117</f>
        <v>0.344851377127723</v>
      </c>
      <c r="AB18" s="80" t="n">
        <f aca="false">SUM(AC18:AN18)</f>
        <v>5.4881263510371</v>
      </c>
      <c r="AC18" s="96" t="n">
        <f aca="false">Acquisitions!AC$135*'Assumption Setting'!$D$106/'Assumption Setting'!$E$106*'Assumption Setting'!$E$117</f>
        <v>0.357841538785661</v>
      </c>
      <c r="AD18" s="96" t="n">
        <f aca="false">Acquisitions!AD$135*'Assumption Setting'!$D$106/'Assumption Setting'!$E$106*'Assumption Setting'!$E$117</f>
        <v>0.3708317004436</v>
      </c>
      <c r="AE18" s="96" t="n">
        <f aca="false">Acquisitions!AE$135*'Assumption Setting'!$D$106/'Assumption Setting'!$E$106*'Assumption Setting'!$E$117</f>
        <v>0.384831531251354</v>
      </c>
      <c r="AF18" s="96" t="n">
        <f aca="false">Acquisitions!AF$135*'Assumption Setting'!$D$106/'Assumption Setting'!$E$106*'Assumption Setting'!$E$117</f>
        <v>0.405079037902338</v>
      </c>
      <c r="AG18" s="96" t="n">
        <f aca="false">Acquisitions!AG$135*'Assumption Setting'!$D$106/'Assumption Setting'!$E$106*'Assumption Setting'!$E$117</f>
        <v>0.425326544553323</v>
      </c>
      <c r="AH18" s="96" t="n">
        <f aca="false">Acquisitions!AH$135*'Assumption Setting'!$D$106/'Assumption Setting'!$E$106*'Assumption Setting'!$E$117</f>
        <v>0.445574051204307</v>
      </c>
      <c r="AI18" s="96" t="n">
        <f aca="false">Acquisitions!AI$135*'Assumption Setting'!$D$106/'Assumption Setting'!$E$106*'Assumption Setting'!$E$117</f>
        <v>0.465821557855292</v>
      </c>
      <c r="AJ18" s="96" t="n">
        <f aca="false">Acquisitions!AJ$135*'Assumption Setting'!$D$106/'Assumption Setting'!$E$106*'Assumption Setting'!$E$117</f>
        <v>0.486069064506277</v>
      </c>
      <c r="AK18" s="96" t="n">
        <f aca="false">Acquisitions!AK$135*'Assumption Setting'!$D$106/'Assumption Setting'!$E$106*'Assumption Setting'!$E$117</f>
        <v>0.506316571157261</v>
      </c>
      <c r="AL18" s="96" t="n">
        <f aca="false">Acquisitions!AL$135*'Assumption Setting'!$D$106/'Assumption Setting'!$E$106*'Assumption Setting'!$E$117</f>
        <v>0.526564077808246</v>
      </c>
      <c r="AM18" s="96" t="n">
        <f aca="false">Acquisitions!AM$135*'Assumption Setting'!$D$106/'Assumption Setting'!$E$106*'Assumption Setting'!$E$117</f>
        <v>0.546811584459231</v>
      </c>
      <c r="AN18" s="96" t="n">
        <f aca="false">Acquisitions!AN$135*'Assumption Setting'!$D$106/'Assumption Setting'!$E$106*'Assumption Setting'!$E$117</f>
        <v>0.567059091110215</v>
      </c>
      <c r="AO18" s="80" t="n">
        <f aca="false">SUM(AP18:BA18)</f>
        <v>8.28799512114012</v>
      </c>
      <c r="AP18" s="96" t="n">
        <f aca="false">Acquisitions!AP$135*'Assumption Setting'!$D$106/'Assumption Setting'!$E$106*'Assumption Setting'!$F$117</f>
        <v>0.5873065977612</v>
      </c>
      <c r="AQ18" s="96" t="n">
        <f aca="false">Acquisitions!AQ$135*'Assumption Setting'!$D$106/'Assumption Setting'!$E$106*'Assumption Setting'!$F$117</f>
        <v>0.607554104412184</v>
      </c>
      <c r="AR18" s="96" t="n">
        <f aca="false">Acquisitions!AR$135*'Assumption Setting'!$D$106/'Assumption Setting'!$E$106*'Assumption Setting'!$F$117</f>
        <v>0.627077960837077</v>
      </c>
      <c r="AS18" s="96" t="n">
        <f aca="false">Acquisitions!AS$135*'Assumption Setting'!$D$106/'Assumption Setting'!$E$106*'Assumption Setting'!$F$117</f>
        <v>0.645352512183654</v>
      </c>
      <c r="AT18" s="96" t="n">
        <f aca="false">Acquisitions!AT$135*'Assumption Setting'!$D$106/'Assumption Setting'!$E$106*'Assumption Setting'!$F$117</f>
        <v>0.663627063530231</v>
      </c>
      <c r="AU18" s="96" t="n">
        <f aca="false">Acquisitions!AU$135*'Assumption Setting'!$D$106/'Assumption Setting'!$E$106*'Assumption Setting'!$F$117</f>
        <v>0.681901614876808</v>
      </c>
      <c r="AV18" s="96" t="n">
        <f aca="false">Acquisitions!AV$135*'Assumption Setting'!$D$106/'Assumption Setting'!$E$106*'Assumption Setting'!$F$117</f>
        <v>0.700176166223385</v>
      </c>
      <c r="AW18" s="96" t="n">
        <f aca="false">Acquisitions!AW$135*'Assumption Setting'!$D$106/'Assumption Setting'!$E$106*'Assumption Setting'!$F$117</f>
        <v>0.718450717569962</v>
      </c>
      <c r="AX18" s="96" t="n">
        <f aca="false">Acquisitions!AX$135*'Assumption Setting'!$D$106/'Assumption Setting'!$E$106*'Assumption Setting'!$F$117</f>
        <v>0.736725268916539</v>
      </c>
      <c r="AY18" s="96" t="n">
        <f aca="false">Acquisitions!AY$135*'Assumption Setting'!$D$106/'Assumption Setting'!$E$106*'Assumption Setting'!$F$117</f>
        <v>0.754999820263116</v>
      </c>
      <c r="AZ18" s="96" t="n">
        <f aca="false">Acquisitions!AZ$135*'Assumption Setting'!$D$106/'Assumption Setting'!$E$106*'Assumption Setting'!$F$117</f>
        <v>0.773274371609693</v>
      </c>
      <c r="BA18" s="96" t="n">
        <f aca="false">Acquisitions!BA$135*'Assumption Setting'!$D$106/'Assumption Setting'!$E$106*'Assumption Setting'!$F$117</f>
        <v>0.791548922956269</v>
      </c>
      <c r="BB18" s="80" t="n">
        <f aca="false">SUM(BC18:BN18)</f>
        <v>10.9870324410698</v>
      </c>
      <c r="BC18" s="96" t="n">
        <f aca="false">Acquisitions!BC$135*'Assumption Setting'!$D$106/'Assumption Setting'!$E$106*'Assumption Setting'!$G$117</f>
        <v>0.809823474302846</v>
      </c>
      <c r="BD18" s="96" t="n">
        <f aca="false">Acquisitions!BD$135*'Assumption Setting'!$D$106/'Assumption Setting'!$E$106*'Assumption Setting'!$G$117</f>
        <v>0.828098025649423</v>
      </c>
      <c r="BE18" s="96" t="n">
        <f aca="false">Acquisitions!BE$135*'Assumption Setting'!$D$106/'Assumption Setting'!$E$106*'Assumption Setting'!$G$117</f>
        <v>0.847016766252516</v>
      </c>
      <c r="BF18" s="96" t="n">
        <f aca="false">Acquisitions!BF$135*'Assumption Setting'!$D$106/'Assumption Setting'!$E$106*'Assumption Setting'!$G$117</f>
        <v>0.866548839110123</v>
      </c>
      <c r="BG18" s="96" t="n">
        <f aca="false">Acquisitions!BG$135*'Assumption Setting'!$D$106/'Assumption Setting'!$E$106*'Assumption Setting'!$G$117</f>
        <v>0.886080911967731</v>
      </c>
      <c r="BH18" s="96" t="n">
        <f aca="false">Acquisitions!BH$135*'Assumption Setting'!$D$106/'Assumption Setting'!$E$106*'Assumption Setting'!$G$117</f>
        <v>0.905612984825339</v>
      </c>
      <c r="BI18" s="96" t="n">
        <f aca="false">Acquisitions!BI$135*'Assumption Setting'!$D$106/'Assumption Setting'!$E$106*'Assumption Setting'!$G$117</f>
        <v>0.925145057682946</v>
      </c>
      <c r="BJ18" s="96" t="n">
        <f aca="false">Acquisitions!BJ$135*'Assumption Setting'!$D$106/'Assumption Setting'!$E$106*'Assumption Setting'!$G$117</f>
        <v>0.944677130540554</v>
      </c>
      <c r="BK18" s="96" t="n">
        <f aca="false">Acquisitions!BK$135*'Assumption Setting'!$D$106/'Assumption Setting'!$E$106*'Assumption Setting'!$G$117</f>
        <v>0.964209203398161</v>
      </c>
      <c r="BL18" s="96" t="n">
        <f aca="false">Acquisitions!BL$135*'Assumption Setting'!$D$106/'Assumption Setting'!$E$106*'Assumption Setting'!$G$117</f>
        <v>0.983741276255769</v>
      </c>
      <c r="BM18" s="96" t="n">
        <f aca="false">Acquisitions!BM$135*'Assumption Setting'!$D$106/'Assumption Setting'!$E$106*'Assumption Setting'!$G$117</f>
        <v>1.00327334911338</v>
      </c>
      <c r="BN18" s="96" t="n">
        <f aca="false">Acquisitions!BN$135*'Assumption Setting'!$D$106/'Assumption Setting'!$E$106*'Assumption Setting'!$G$117</f>
        <v>1.02280542197098</v>
      </c>
    </row>
    <row r="19" customFormat="false" ht="15" hidden="false" customHeight="false" outlineLevel="0" collapsed="false">
      <c r="A19" s="12" t="s">
        <v>339</v>
      </c>
      <c r="B19" s="78" t="n">
        <f aca="false">SUM(C19:N19)</f>
        <v>644.179972704739</v>
      </c>
      <c r="C19" s="95" t="n">
        <f aca="false">Acquisitions!C$137*'Assumption Setting'!$D$107/'Assumption Setting'!$E$107*'Assumption Setting'!$C$117</f>
        <v>14.25</v>
      </c>
      <c r="D19" s="95" t="n">
        <f aca="false">Acquisitions!D$137*'Assumption Setting'!$D$107/'Assumption Setting'!$E$107*'Assumption Setting'!$C$117</f>
        <v>22.8</v>
      </c>
      <c r="E19" s="95" t="n">
        <f aca="false">Acquisitions!E$137*'Assumption Setting'!$D$107/'Assumption Setting'!$E$107*'Assumption Setting'!$C$117</f>
        <v>34.3569085946316</v>
      </c>
      <c r="F19" s="95" t="n">
        <f aca="false">Acquisitions!F$137*'Assumption Setting'!$D$107/'Assumption Setting'!$E$107*'Assumption Setting'!$C$117</f>
        <v>40.2138171892632</v>
      </c>
      <c r="G19" s="95" t="n">
        <f aca="false">Acquisitions!G$137*'Assumption Setting'!$D$107/'Assumption Setting'!$E$107*'Assumption Setting'!$C$117</f>
        <v>46.0707257838948</v>
      </c>
      <c r="H19" s="95" t="n">
        <f aca="false">Acquisitions!H$137*'Assumption Setting'!$D$107/'Assumption Setting'!$E$107*'Assumption Setting'!$C$117</f>
        <v>51.9276343785264</v>
      </c>
      <c r="I19" s="95" t="n">
        <f aca="false">Acquisitions!I$137*'Assumption Setting'!$D$107/'Assumption Setting'!$E$107*'Assumption Setting'!$C$117</f>
        <v>57.7845429731581</v>
      </c>
      <c r="J19" s="95" t="n">
        <f aca="false">Acquisitions!J$137*'Assumption Setting'!$D$107/'Assumption Setting'!$E$107*'Assumption Setting'!$C$117</f>
        <v>63.6414515677897</v>
      </c>
      <c r="K19" s="95" t="n">
        <f aca="false">Acquisitions!K$137*'Assumption Setting'!$D$107/'Assumption Setting'!$E$107*'Assumption Setting'!$C$117</f>
        <v>69.4983601624213</v>
      </c>
      <c r="L19" s="95" t="n">
        <f aca="false">Acquisitions!L$137*'Assumption Setting'!$D$107/'Assumption Setting'!$E$107*'Assumption Setting'!$C$117</f>
        <v>75.3552687570529</v>
      </c>
      <c r="M19" s="95" t="n">
        <f aca="false">Acquisitions!M$137*'Assumption Setting'!$D$107/'Assumption Setting'!$E$107*'Assumption Setting'!$C$117</f>
        <v>81.2121773516845</v>
      </c>
      <c r="N19" s="95" t="n">
        <f aca="false">Acquisitions!N$137*'Assumption Setting'!$D$107/'Assumption Setting'!$E$107*'Assumption Setting'!$C$117</f>
        <v>87.0690859463161</v>
      </c>
      <c r="O19" s="78" t="n">
        <f aca="false">SUM(P19:AA19)</f>
        <v>2858.05866536096</v>
      </c>
      <c r="P19" s="95" t="n">
        <f aca="false">Acquisitions!P$137*'Assumption Setting'!$D$107/'Assumption Setting'!$E$107*'Assumption Setting'!$D$117</f>
        <v>207.042090897231</v>
      </c>
      <c r="Q19" s="95" t="n">
        <f aca="false">Acquisitions!Q$137*'Assumption Setting'!$D$107/'Assumption Setting'!$E$107*'Assumption Setting'!$D$117</f>
        <v>201.496299986954</v>
      </c>
      <c r="R19" s="95" t="n">
        <f aca="false">Acquisitions!R$137*'Assumption Setting'!$D$107/'Assumption Setting'!$E$107*'Assumption Setting'!$D$117</f>
        <v>197.124614070722</v>
      </c>
      <c r="S19" s="95" t="n">
        <f aca="false">Acquisitions!S$137*'Assumption Setting'!$D$107/'Assumption Setting'!$E$107*'Assumption Setting'!$D$117</f>
        <v>207.75292815449</v>
      </c>
      <c r="T19" s="95" t="n">
        <f aca="false">Acquisitions!T$137*'Assumption Setting'!$D$107/'Assumption Setting'!$E$107*'Assumption Setting'!$D$117</f>
        <v>218.381242238257</v>
      </c>
      <c r="U19" s="95" t="n">
        <f aca="false">Acquisitions!U$137*'Assumption Setting'!$D$107/'Assumption Setting'!$E$107*'Assumption Setting'!$D$117</f>
        <v>229.009556322025</v>
      </c>
      <c r="V19" s="95" t="n">
        <f aca="false">Acquisitions!V$137*'Assumption Setting'!$D$107/'Assumption Setting'!$E$107*'Assumption Setting'!$D$117</f>
        <v>239.637870405793</v>
      </c>
      <c r="W19" s="95" t="n">
        <f aca="false">Acquisitions!W$137*'Assumption Setting'!$D$107/'Assumption Setting'!$E$107*'Assumption Setting'!$D$117</f>
        <v>250.266184489561</v>
      </c>
      <c r="X19" s="95" t="n">
        <f aca="false">Acquisitions!X$137*'Assumption Setting'!$D$107/'Assumption Setting'!$E$107*'Assumption Setting'!$D$117</f>
        <v>260.894498573329</v>
      </c>
      <c r="Y19" s="95" t="n">
        <f aca="false">Acquisitions!Y$137*'Assumption Setting'!$D$107/'Assumption Setting'!$E$107*'Assumption Setting'!$D$117</f>
        <v>271.522812657097</v>
      </c>
      <c r="Z19" s="95" t="n">
        <f aca="false">Acquisitions!Z$137*'Assumption Setting'!$D$107/'Assumption Setting'!$E$107*'Assumption Setting'!$D$117</f>
        <v>282.151126740865</v>
      </c>
      <c r="AA19" s="95" t="n">
        <f aca="false">Acquisitions!AA$137*'Assumption Setting'!$D$107/'Assumption Setting'!$E$107*'Assumption Setting'!$D$117</f>
        <v>292.779440824632</v>
      </c>
      <c r="AB19" s="78" t="n">
        <f aca="false">SUM(AC19:AN19)</f>
        <v>4678.0293354649</v>
      </c>
      <c r="AC19" s="95" t="n">
        <f aca="false">Acquisitions!AC$137*'Assumption Setting'!$D$107/'Assumption Setting'!$E$107*'Assumption Setting'!$E$117</f>
        <v>303.4077549084</v>
      </c>
      <c r="AD19" s="95" t="n">
        <f aca="false">Acquisitions!AD$137*'Assumption Setting'!$D$107/'Assumption Setting'!$E$107*'Assumption Setting'!$E$117</f>
        <v>314.862161932926</v>
      </c>
      <c r="AE19" s="95" t="n">
        <f aca="false">Acquisitions!AE$137*'Assumption Setting'!$D$107/'Assumption Setting'!$E$107*'Assumption Setting'!$E$117</f>
        <v>331.428303738277</v>
      </c>
      <c r="AF19" s="95" t="n">
        <f aca="false">Acquisitions!AF$137*'Assumption Setting'!$D$107/'Assumption Setting'!$E$107*'Assumption Setting'!$E$117</f>
        <v>347.994445543628</v>
      </c>
      <c r="AG19" s="95" t="n">
        <f aca="false">Acquisitions!AG$137*'Assumption Setting'!$D$107/'Assumption Setting'!$E$107*'Assumption Setting'!$E$117</f>
        <v>364.560587348979</v>
      </c>
      <c r="AH19" s="95" t="n">
        <f aca="false">Acquisitions!AH$137*'Assumption Setting'!$D$107/'Assumption Setting'!$E$107*'Assumption Setting'!$E$117</f>
        <v>381.12672915433</v>
      </c>
      <c r="AI19" s="95" t="n">
        <f aca="false">Acquisitions!AI$137*'Assumption Setting'!$D$107/'Assumption Setting'!$E$107*'Assumption Setting'!$E$117</f>
        <v>397.692870959681</v>
      </c>
      <c r="AJ19" s="95" t="n">
        <f aca="false">Acquisitions!AJ$137*'Assumption Setting'!$D$107/'Assumption Setting'!$E$107*'Assumption Setting'!$E$117</f>
        <v>414.259012765032</v>
      </c>
      <c r="AK19" s="95" t="n">
        <f aca="false">Acquisitions!AK$137*'Assumption Setting'!$D$107/'Assumption Setting'!$E$107*'Assumption Setting'!$E$117</f>
        <v>430.825154570384</v>
      </c>
      <c r="AL19" s="95" t="n">
        <f aca="false">Acquisitions!AL$137*'Assumption Setting'!$D$107/'Assumption Setting'!$E$107*'Assumption Setting'!$E$117</f>
        <v>447.391296375735</v>
      </c>
      <c r="AM19" s="95" t="n">
        <f aca="false">Acquisitions!AM$137*'Assumption Setting'!$D$107/'Assumption Setting'!$E$107*'Assumption Setting'!$E$117</f>
        <v>463.957438181086</v>
      </c>
      <c r="AN19" s="95" t="n">
        <f aca="false">Acquisitions!AN$137*'Assumption Setting'!$D$107/'Assumption Setting'!$E$107*'Assumption Setting'!$E$117</f>
        <v>480.523579986437</v>
      </c>
      <c r="AO19" s="78" t="n">
        <f aca="false">SUM(AP19:BA19)</f>
        <v>6963.14617992145</v>
      </c>
      <c r="AP19" s="95" t="n">
        <f aca="false">Acquisitions!AP$137*'Assumption Setting'!$D$107/'Assumption Setting'!$E$107*'Assumption Setting'!$F$117</f>
        <v>497.089721791788</v>
      </c>
      <c r="AQ19" s="95" t="n">
        <f aca="false">Acquisitions!AQ$137*'Assumption Setting'!$D$107/'Assumption Setting'!$E$107*'Assumption Setting'!$F$117</f>
        <v>513.063786139427</v>
      </c>
      <c r="AR19" s="95" t="n">
        <f aca="false">Acquisitions!AR$137*'Assumption Setting'!$D$107/'Assumption Setting'!$E$107*'Assumption Setting'!$F$117</f>
        <v>528.015691786626</v>
      </c>
      <c r="AS19" s="95" t="n">
        <f aca="false">Acquisitions!AS$137*'Assumption Setting'!$D$107/'Assumption Setting'!$E$107*'Assumption Setting'!$F$117</f>
        <v>542.967597433826</v>
      </c>
      <c r="AT19" s="95" t="n">
        <f aca="false">Acquisitions!AT$137*'Assumption Setting'!$D$107/'Assumption Setting'!$E$107*'Assumption Setting'!$F$117</f>
        <v>557.919503081025</v>
      </c>
      <c r="AU19" s="95" t="n">
        <f aca="false">Acquisitions!AU$137*'Assumption Setting'!$D$107/'Assumption Setting'!$E$107*'Assumption Setting'!$F$117</f>
        <v>572.871408728224</v>
      </c>
      <c r="AV19" s="95" t="n">
        <f aca="false">Acquisitions!AV$137*'Assumption Setting'!$D$107/'Assumption Setting'!$E$107*'Assumption Setting'!$F$117</f>
        <v>587.823314375424</v>
      </c>
      <c r="AW19" s="95" t="n">
        <f aca="false">Acquisitions!AW$137*'Assumption Setting'!$D$107/'Assumption Setting'!$E$107*'Assumption Setting'!$F$117</f>
        <v>602.775220022623</v>
      </c>
      <c r="AX19" s="95" t="n">
        <f aca="false">Acquisitions!AX$137*'Assumption Setting'!$D$107/'Assumption Setting'!$E$107*'Assumption Setting'!$F$117</f>
        <v>617.727125669822</v>
      </c>
      <c r="AY19" s="95" t="n">
        <f aca="false">Acquisitions!AY$137*'Assumption Setting'!$D$107/'Assumption Setting'!$E$107*'Assumption Setting'!$F$117</f>
        <v>632.679031317021</v>
      </c>
      <c r="AZ19" s="95" t="n">
        <f aca="false">Acquisitions!AZ$137*'Assumption Setting'!$D$107/'Assumption Setting'!$E$107*'Assumption Setting'!$F$117</f>
        <v>647.630936964221</v>
      </c>
      <c r="BA19" s="95" t="n">
        <f aca="false">Acquisitions!BA$137*'Assumption Setting'!$D$107/'Assumption Setting'!$E$107*'Assumption Setting'!$F$117</f>
        <v>662.58284261142</v>
      </c>
      <c r="BB19" s="78" t="n">
        <f aca="false">SUM(BC19:BN19)</f>
        <v>9179.62892312361</v>
      </c>
      <c r="BC19" s="95" t="n">
        <f aca="false">Acquisitions!BC$137*'Assumption Setting'!$D$107/'Assumption Setting'!$E$107*'Assumption Setting'!$G$117</f>
        <v>677.534748258619</v>
      </c>
      <c r="BD19" s="95" t="n">
        <f aca="false">Acquisitions!BD$137*'Assumption Setting'!$D$107/'Assumption Setting'!$E$107*'Assumption Setting'!$G$117</f>
        <v>693.013717842967</v>
      </c>
      <c r="BE19" s="95" t="n">
        <f aca="false">Acquisitions!BE$137*'Assumption Setting'!$D$107/'Assumption Setting'!$E$107*'Assumption Setting'!$G$117</f>
        <v>708.994504726465</v>
      </c>
      <c r="BF19" s="95" t="n">
        <f aca="false">Acquisitions!BF$137*'Assumption Setting'!$D$107/'Assumption Setting'!$E$107*'Assumption Setting'!$G$117</f>
        <v>724.975291609962</v>
      </c>
      <c r="BG19" s="95" t="n">
        <f aca="false">Acquisitions!BG$137*'Assumption Setting'!$D$107/'Assumption Setting'!$E$107*'Assumption Setting'!$G$117</f>
        <v>740.956078493459</v>
      </c>
      <c r="BH19" s="95" t="n">
        <f aca="false">Acquisitions!BH$137*'Assumption Setting'!$D$107/'Assumption Setting'!$E$107*'Assumption Setting'!$G$117</f>
        <v>756.936865376957</v>
      </c>
      <c r="BI19" s="95" t="n">
        <f aca="false">Acquisitions!BI$137*'Assumption Setting'!$D$107/'Assumption Setting'!$E$107*'Assumption Setting'!$G$117</f>
        <v>772.917652260454</v>
      </c>
      <c r="BJ19" s="95" t="n">
        <f aca="false">Acquisitions!BJ$137*'Assumption Setting'!$D$107/'Assumption Setting'!$E$107*'Assumption Setting'!$G$117</f>
        <v>788.898439143951</v>
      </c>
      <c r="BK19" s="95" t="n">
        <f aca="false">Acquisitions!BK$137*'Assumption Setting'!$D$107/'Assumption Setting'!$E$107*'Assumption Setting'!$G$117</f>
        <v>804.879226027448</v>
      </c>
      <c r="BL19" s="95" t="n">
        <f aca="false">Acquisitions!BL$137*'Assumption Setting'!$D$107/'Assumption Setting'!$E$107*'Assumption Setting'!$G$117</f>
        <v>820.860012910945</v>
      </c>
      <c r="BM19" s="95" t="n">
        <f aca="false">Acquisitions!BM$137*'Assumption Setting'!$D$107/'Assumption Setting'!$E$107*'Assumption Setting'!$G$117</f>
        <v>836.840799794443</v>
      </c>
      <c r="BN19" s="95" t="n">
        <f aca="false">Acquisitions!BN$137*'Assumption Setting'!$D$107/'Assumption Setting'!$E$107*'Assumption Setting'!$G$117</f>
        <v>852.82158667794</v>
      </c>
    </row>
    <row r="20" customFormat="false" ht="15" hidden="false" customHeight="false" outlineLevel="0" collapsed="false">
      <c r="A20" s="12" t="s">
        <v>718</v>
      </c>
      <c r="B20" s="80" t="n">
        <f aca="false">SUM(C20:N20)</f>
        <v>1</v>
      </c>
      <c r="C20" s="96" t="n">
        <f aca="false">1</f>
        <v>1</v>
      </c>
      <c r="D20" s="96" t="n">
        <f aca="false">0</f>
        <v>0</v>
      </c>
      <c r="E20" s="96" t="n">
        <f aca="false">0</f>
        <v>0</v>
      </c>
      <c r="F20" s="96" t="n">
        <f aca="false">0</f>
        <v>0</v>
      </c>
      <c r="G20" s="96" t="n">
        <f aca="false">0</f>
        <v>0</v>
      </c>
      <c r="H20" s="96" t="n">
        <f aca="false">0</f>
        <v>0</v>
      </c>
      <c r="I20" s="96" t="n">
        <f aca="false">0</f>
        <v>0</v>
      </c>
      <c r="J20" s="96" t="n">
        <f aca="false">0</f>
        <v>0</v>
      </c>
      <c r="K20" s="96" t="n">
        <f aca="false">0</f>
        <v>0</v>
      </c>
      <c r="L20" s="96" t="n">
        <f aca="false">0</f>
        <v>0</v>
      </c>
      <c r="M20" s="96" t="n">
        <f aca="false">0</f>
        <v>0</v>
      </c>
      <c r="N20" s="96" t="n">
        <f aca="false">0</f>
        <v>0</v>
      </c>
      <c r="O20" s="80" t="n">
        <f aca="false">SUM(P20:AA20)</f>
        <v>0</v>
      </c>
      <c r="P20" s="96" t="n">
        <f aca="false">0</f>
        <v>0</v>
      </c>
      <c r="Q20" s="96" t="n">
        <f aca="false">0</f>
        <v>0</v>
      </c>
      <c r="R20" s="96" t="n">
        <f aca="false">0</f>
        <v>0</v>
      </c>
      <c r="S20" s="96" t="n">
        <f aca="false">0</f>
        <v>0</v>
      </c>
      <c r="T20" s="96" t="n">
        <f aca="false">0</f>
        <v>0</v>
      </c>
      <c r="U20" s="96" t="n">
        <f aca="false">0</f>
        <v>0</v>
      </c>
      <c r="V20" s="96" t="n">
        <f aca="false">0</f>
        <v>0</v>
      </c>
      <c r="W20" s="96" t="n">
        <f aca="false">0</f>
        <v>0</v>
      </c>
      <c r="X20" s="96" t="n">
        <f aca="false">0</f>
        <v>0</v>
      </c>
      <c r="Y20" s="96" t="n">
        <f aca="false">0</f>
        <v>0</v>
      </c>
      <c r="Z20" s="96" t="n">
        <f aca="false">0</f>
        <v>0</v>
      </c>
      <c r="AA20" s="96" t="n">
        <f aca="false">0</f>
        <v>0</v>
      </c>
      <c r="AB20" s="80" t="n">
        <f aca="false">SUM(AC20:AN20)</f>
        <v>0</v>
      </c>
      <c r="AC20" s="96" t="n">
        <f aca="false">0</f>
        <v>0</v>
      </c>
      <c r="AD20" s="96" t="n">
        <f aca="false">0</f>
        <v>0</v>
      </c>
      <c r="AE20" s="96" t="n">
        <f aca="false">0</f>
        <v>0</v>
      </c>
      <c r="AF20" s="96" t="n">
        <f aca="false">0</f>
        <v>0</v>
      </c>
      <c r="AG20" s="96" t="n">
        <f aca="false">0</f>
        <v>0</v>
      </c>
      <c r="AH20" s="96" t="n">
        <f aca="false">0</f>
        <v>0</v>
      </c>
      <c r="AI20" s="96" t="n">
        <f aca="false">0</f>
        <v>0</v>
      </c>
      <c r="AJ20" s="96" t="n">
        <f aca="false">0</f>
        <v>0</v>
      </c>
      <c r="AK20" s="96" t="n">
        <f aca="false">0</f>
        <v>0</v>
      </c>
      <c r="AL20" s="96" t="n">
        <f aca="false">0</f>
        <v>0</v>
      </c>
      <c r="AM20" s="96" t="n">
        <f aca="false">0</f>
        <v>0</v>
      </c>
      <c r="AN20" s="96" t="n">
        <f aca="false">0</f>
        <v>0</v>
      </c>
      <c r="AO20" s="80" t="n">
        <f aca="false">SUM(AP20:BA20)</f>
        <v>0</v>
      </c>
      <c r="AP20" s="96" t="n">
        <f aca="false">0</f>
        <v>0</v>
      </c>
      <c r="AQ20" s="96" t="n">
        <f aca="false">0</f>
        <v>0</v>
      </c>
      <c r="AR20" s="96" t="n">
        <f aca="false">0</f>
        <v>0</v>
      </c>
      <c r="AS20" s="96" t="n">
        <f aca="false">0</f>
        <v>0</v>
      </c>
      <c r="AT20" s="96" t="n">
        <f aca="false">0</f>
        <v>0</v>
      </c>
      <c r="AU20" s="96" t="n">
        <f aca="false">0</f>
        <v>0</v>
      </c>
      <c r="AV20" s="96" t="n">
        <f aca="false">0</f>
        <v>0</v>
      </c>
      <c r="AW20" s="96" t="n">
        <f aca="false">0</f>
        <v>0</v>
      </c>
      <c r="AX20" s="96" t="n">
        <f aca="false">0</f>
        <v>0</v>
      </c>
      <c r="AY20" s="96" t="n">
        <f aca="false">0</f>
        <v>0</v>
      </c>
      <c r="AZ20" s="96" t="n">
        <f aca="false">0</f>
        <v>0</v>
      </c>
      <c r="BA20" s="96" t="n">
        <f aca="false">0</f>
        <v>0</v>
      </c>
      <c r="BB20" s="80" t="n">
        <f aca="false">SUM(BC20:BN20)</f>
        <v>0</v>
      </c>
      <c r="BC20" s="96" t="n">
        <f aca="false">0</f>
        <v>0</v>
      </c>
      <c r="BD20" s="96" t="n">
        <f aca="false">0</f>
        <v>0</v>
      </c>
      <c r="BE20" s="96" t="n">
        <f aca="false">0</f>
        <v>0</v>
      </c>
      <c r="BF20" s="96" t="n">
        <f aca="false">0</f>
        <v>0</v>
      </c>
      <c r="BG20" s="96" t="n">
        <f aca="false">0</f>
        <v>0</v>
      </c>
      <c r="BH20" s="96" t="n">
        <f aca="false">0</f>
        <v>0</v>
      </c>
      <c r="BI20" s="96" t="n">
        <f aca="false">0</f>
        <v>0</v>
      </c>
      <c r="BJ20" s="96" t="n">
        <f aca="false">0</f>
        <v>0</v>
      </c>
      <c r="BK20" s="96" t="n">
        <f aca="false">0</f>
        <v>0</v>
      </c>
      <c r="BL20" s="96" t="n">
        <f aca="false">0</f>
        <v>0</v>
      </c>
      <c r="BM20" s="96" t="n">
        <f aca="false">0</f>
        <v>0</v>
      </c>
      <c r="BN20" s="96" t="n">
        <f aca="false">0</f>
        <v>0</v>
      </c>
    </row>
    <row r="21" customFormat="false" ht="15" hidden="false" customHeight="false" outlineLevel="0" collapsed="false">
      <c r="A21" s="18" t="s">
        <v>719</v>
      </c>
      <c r="B21" s="80" t="n">
        <f aca="false">SUM(C21:N21)</f>
        <v>20.6106814542812</v>
      </c>
      <c r="C21" s="83" t="n">
        <f aca="false">C7+C8+C10+C12</f>
        <v>0.633333333333333</v>
      </c>
      <c r="D21" s="83" t="n">
        <f aca="false">D7+D8+D10+D12</f>
        <v>1.01333333333333</v>
      </c>
      <c r="E21" s="83" t="n">
        <f aca="false">E7+E8+E10+E12</f>
        <v>1.26666666666667</v>
      </c>
      <c r="F21" s="83" t="n">
        <f aca="false">F7+F8+F10+F12</f>
        <v>1.40660773602106</v>
      </c>
      <c r="G21" s="83" t="n">
        <f aca="false">G7+G8+G10+G12</f>
        <v>1.54654880537546</v>
      </c>
      <c r="H21" s="83" t="n">
        <f aca="false">H7+H8+H10+H12</f>
        <v>1.68648987472986</v>
      </c>
      <c r="I21" s="83" t="n">
        <f aca="false">I7+I8+I10+I12</f>
        <v>1.82643094408426</v>
      </c>
      <c r="J21" s="83" t="n">
        <f aca="false">J7+J8+J10+J12</f>
        <v>1.96637201343866</v>
      </c>
      <c r="K21" s="83" t="n">
        <f aca="false">K7+K8+K10+K12</f>
        <v>2.10631308279305</v>
      </c>
      <c r="L21" s="83" t="n">
        <f aca="false">L7+L8+L10+L12</f>
        <v>2.24625415214745</v>
      </c>
      <c r="M21" s="83" t="n">
        <f aca="false">M7+M8+M10+M12</f>
        <v>2.38619522150185</v>
      </c>
      <c r="N21" s="83" t="n">
        <f aca="false">N7+N8+N10+N12</f>
        <v>2.52613629085625</v>
      </c>
      <c r="O21" s="80" t="n">
        <f aca="false">SUM(P21:AA21)</f>
        <v>66.0546646581071</v>
      </c>
      <c r="P21" s="83" t="n">
        <f aca="false">P7+P8+P10+P12</f>
        <v>5.34932638651925</v>
      </c>
      <c r="Q21" s="83" t="n">
        <f aca="false">Q7+Q8+Q10+Q12</f>
        <v>4.7175923585045</v>
      </c>
      <c r="R21" s="83" t="n">
        <f aca="false">R7+R8+R10+R12</f>
        <v>4.45601826102162</v>
      </c>
      <c r="S21" s="83" t="n">
        <f aca="false">S7+S8+S10+S12</f>
        <v>4.70996411219645</v>
      </c>
      <c r="T21" s="83" t="n">
        <f aca="false">T7+T8+T10+T12</f>
        <v>4.96390996337127</v>
      </c>
      <c r="U21" s="83" t="n">
        <f aca="false">U7+U8+U10+U12</f>
        <v>5.2178558145461</v>
      </c>
      <c r="V21" s="83" t="n">
        <f aca="false">V7+V8+V10+V12</f>
        <v>5.47180166572093</v>
      </c>
      <c r="W21" s="83" t="n">
        <f aca="false">W7+W8+W10+W12</f>
        <v>5.72574751689575</v>
      </c>
      <c r="X21" s="83" t="n">
        <f aca="false">X7+X8+X10+X12</f>
        <v>5.97969336807058</v>
      </c>
      <c r="Y21" s="83" t="n">
        <f aca="false">Y7+Y8+Y10+Y12</f>
        <v>6.2336392192454</v>
      </c>
      <c r="Z21" s="83" t="n">
        <f aca="false">Z7+Z8+Z10+Z12</f>
        <v>6.48758507042023</v>
      </c>
      <c r="AA21" s="83" t="n">
        <f aca="false">AA7+AA8+AA10+AA12</f>
        <v>6.74153092159505</v>
      </c>
      <c r="AB21" s="80" t="n">
        <f aca="false">SUM(AC21:AN21)</f>
        <v>107.287880957002</v>
      </c>
      <c r="AC21" s="83" t="n">
        <f aca="false">AC7+AC8+AC10+AC12</f>
        <v>6.99547677276988</v>
      </c>
      <c r="AD21" s="83" t="n">
        <f aca="false">AD7+AD8+AD10+AD12</f>
        <v>7.24942262394471</v>
      </c>
      <c r="AE21" s="83" t="n">
        <f aca="false">AE7+AE8+AE10+AE12</f>
        <v>7.52310658911738</v>
      </c>
      <c r="AF21" s="83" t="n">
        <f aca="false">AF7+AF8+AF10+AF12</f>
        <v>7.9189269373199</v>
      </c>
      <c r="AG21" s="83" t="n">
        <f aca="false">AG7+AG8+AG10+AG12</f>
        <v>8.31474728552242</v>
      </c>
      <c r="AH21" s="83" t="n">
        <f aca="false">AH7+AH8+AH10+AH12</f>
        <v>8.71056763372494</v>
      </c>
      <c r="AI21" s="83" t="n">
        <f aca="false">AI7+AI8+AI10+AI12</f>
        <v>9.10638798192746</v>
      </c>
      <c r="AJ21" s="83" t="n">
        <f aca="false">AJ7+AJ8+AJ10+AJ12</f>
        <v>9.50220833012998</v>
      </c>
      <c r="AK21" s="83" t="n">
        <f aca="false">AK7+AK8+AK10+AK12</f>
        <v>9.8980286783325</v>
      </c>
      <c r="AL21" s="83" t="n">
        <f aca="false">AL7+AL8+AL10+AL12</f>
        <v>10.293849026535</v>
      </c>
      <c r="AM21" s="83" t="n">
        <f aca="false">AM7+AM8+AM10+AM12</f>
        <v>10.6896693747375</v>
      </c>
      <c r="AN21" s="83" t="n">
        <f aca="false">AN7+AN8+AN10+AN12</f>
        <v>11.0854897229401</v>
      </c>
      <c r="AO21" s="80" t="n">
        <f aca="false">SUM(AP21:BA21)</f>
        <v>162.02277007727</v>
      </c>
      <c r="AP21" s="83" t="n">
        <f aca="false">AP7+AP8+AP10+AP12</f>
        <v>11.4813100711426</v>
      </c>
      <c r="AQ21" s="83" t="n">
        <f aca="false">AQ7+AQ8+AQ10+AQ12</f>
        <v>11.8771304193451</v>
      </c>
      <c r="AR21" s="83" t="n">
        <f aca="false">AR7+AR8+AR10+AR12</f>
        <v>12.2588040634914</v>
      </c>
      <c r="AS21" s="83" t="n">
        <f aca="false">AS7+AS8+AS10+AS12</f>
        <v>12.6160549290885</v>
      </c>
      <c r="AT21" s="83" t="n">
        <f aca="false">AT7+AT8+AT10+AT12</f>
        <v>12.9733057946855</v>
      </c>
      <c r="AU21" s="83" t="n">
        <f aca="false">AU7+AU8+AU10+AU12</f>
        <v>13.3305566602826</v>
      </c>
      <c r="AV21" s="83" t="n">
        <f aca="false">AV7+AV8+AV10+AV12</f>
        <v>13.6878075258797</v>
      </c>
      <c r="AW21" s="83" t="n">
        <f aca="false">AW7+AW8+AW10+AW12</f>
        <v>14.0450583914768</v>
      </c>
      <c r="AX21" s="83" t="n">
        <f aca="false">AX7+AX8+AX10+AX12</f>
        <v>14.4023092570739</v>
      </c>
      <c r="AY21" s="83" t="n">
        <f aca="false">AY7+AY8+AY10+AY12</f>
        <v>14.7595601226709</v>
      </c>
      <c r="AZ21" s="83" t="n">
        <f aca="false">AZ7+AZ8+AZ10+AZ12</f>
        <v>15.116810988268</v>
      </c>
      <c r="BA21" s="83" t="n">
        <f aca="false">BA7+BA8+BA10+BA12</f>
        <v>15.4740618538651</v>
      </c>
      <c r="BB21" s="80" t="n">
        <f aca="false">SUM(BC21:BN21)</f>
        <v>214.786496011604</v>
      </c>
      <c r="BC21" s="83" t="n">
        <f aca="false">BC7+BC8+BC10+BC12</f>
        <v>15.8313127194622</v>
      </c>
      <c r="BD21" s="83" t="n">
        <f aca="false">BD7+BD8+BD10+BD12</f>
        <v>16.1885635850593</v>
      </c>
      <c r="BE21" s="83" t="n">
        <f aca="false">BE7+BE8+BE10+BE12</f>
        <v>16.5584077649946</v>
      </c>
      <c r="BF21" s="83" t="n">
        <f aca="false">BF7+BF8+BF10+BF12</f>
        <v>16.940242032931</v>
      </c>
      <c r="BG21" s="83" t="n">
        <f aca="false">BG7+BG8+BG10+BG12</f>
        <v>17.3220763008673</v>
      </c>
      <c r="BH21" s="83" t="n">
        <f aca="false">BH7+BH8+BH10+BH12</f>
        <v>17.7039105688037</v>
      </c>
      <c r="BI21" s="83" t="n">
        <f aca="false">BI7+BI8+BI10+BI12</f>
        <v>18.0857448367401</v>
      </c>
      <c r="BJ21" s="83" t="n">
        <f aca="false">BJ7+BJ8+BJ10+BJ12</f>
        <v>18.4675791046764</v>
      </c>
      <c r="BK21" s="83" t="n">
        <f aca="false">BK7+BK8+BK10+BK12</f>
        <v>18.8494133726128</v>
      </c>
      <c r="BL21" s="83" t="n">
        <f aca="false">BL7+BL8+BL10+BL12</f>
        <v>19.2312476405492</v>
      </c>
      <c r="BM21" s="83" t="n">
        <f aca="false">BM7+BM8+BM10+BM12</f>
        <v>19.6130819084855</v>
      </c>
      <c r="BN21" s="83" t="n">
        <f aca="false">BN7+BN8+BN10+BN12</f>
        <v>19.9949161764219</v>
      </c>
    </row>
    <row r="23" customFormat="false" ht="16.5" hidden="false" customHeight="true" outlineLevel="0" collapsed="false">
      <c r="A23" s="15" t="s">
        <v>720</v>
      </c>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row>
    <row r="24" customFormat="false" ht="15" hidden="false" customHeight="true" outlineLevel="0" collapsed="false">
      <c r="A24" s="26" t="s">
        <v>481</v>
      </c>
      <c r="B24" s="61" t="s">
        <v>81</v>
      </c>
      <c r="C24" s="62" t="s">
        <v>482</v>
      </c>
      <c r="D24" s="62" t="s">
        <v>483</v>
      </c>
      <c r="E24" s="62" t="s">
        <v>484</v>
      </c>
      <c r="F24" s="62" t="s">
        <v>485</v>
      </c>
      <c r="G24" s="62" t="s">
        <v>486</v>
      </c>
      <c r="H24" s="62" t="s">
        <v>487</v>
      </c>
      <c r="I24" s="62" t="s">
        <v>488</v>
      </c>
      <c r="J24" s="62" t="s">
        <v>489</v>
      </c>
      <c r="K24" s="62" t="s">
        <v>490</v>
      </c>
      <c r="L24" s="62" t="s">
        <v>491</v>
      </c>
      <c r="M24" s="62" t="s">
        <v>492</v>
      </c>
      <c r="N24" s="62" t="s">
        <v>493</v>
      </c>
      <c r="O24" s="61" t="s">
        <v>82</v>
      </c>
      <c r="P24" s="63" t="s">
        <v>494</v>
      </c>
      <c r="Q24" s="63" t="s">
        <v>495</v>
      </c>
      <c r="R24" s="63" t="s">
        <v>496</v>
      </c>
      <c r="S24" s="63" t="s">
        <v>497</v>
      </c>
      <c r="T24" s="63" t="s">
        <v>498</v>
      </c>
      <c r="U24" s="63" t="s">
        <v>499</v>
      </c>
      <c r="V24" s="63" t="s">
        <v>500</v>
      </c>
      <c r="W24" s="63" t="s">
        <v>501</v>
      </c>
      <c r="X24" s="63" t="s">
        <v>502</v>
      </c>
      <c r="Y24" s="63" t="s">
        <v>503</v>
      </c>
      <c r="Z24" s="63" t="s">
        <v>504</v>
      </c>
      <c r="AA24" s="63" t="s">
        <v>505</v>
      </c>
      <c r="AB24" s="61" t="s">
        <v>83</v>
      </c>
      <c r="AC24" s="62" t="s">
        <v>506</v>
      </c>
      <c r="AD24" s="62" t="s">
        <v>507</v>
      </c>
      <c r="AE24" s="62" t="s">
        <v>508</v>
      </c>
      <c r="AF24" s="62" t="s">
        <v>509</v>
      </c>
      <c r="AG24" s="62" t="s">
        <v>510</v>
      </c>
      <c r="AH24" s="62" t="s">
        <v>511</v>
      </c>
      <c r="AI24" s="62" t="s">
        <v>512</v>
      </c>
      <c r="AJ24" s="62" t="s">
        <v>513</v>
      </c>
      <c r="AK24" s="62" t="s">
        <v>514</v>
      </c>
      <c r="AL24" s="62" t="s">
        <v>515</v>
      </c>
      <c r="AM24" s="62" t="s">
        <v>516</v>
      </c>
      <c r="AN24" s="62" t="s">
        <v>517</v>
      </c>
      <c r="AO24" s="61" t="s">
        <v>84</v>
      </c>
      <c r="AP24" s="63" t="s">
        <v>518</v>
      </c>
      <c r="AQ24" s="63" t="s">
        <v>519</v>
      </c>
      <c r="AR24" s="63" t="s">
        <v>520</v>
      </c>
      <c r="AS24" s="63" t="s">
        <v>521</v>
      </c>
      <c r="AT24" s="63" t="s">
        <v>522</v>
      </c>
      <c r="AU24" s="63" t="s">
        <v>523</v>
      </c>
      <c r="AV24" s="63" t="s">
        <v>524</v>
      </c>
      <c r="AW24" s="63" t="s">
        <v>525</v>
      </c>
      <c r="AX24" s="63" t="s">
        <v>526</v>
      </c>
      <c r="AY24" s="63" t="s">
        <v>527</v>
      </c>
      <c r="AZ24" s="63" t="s">
        <v>528</v>
      </c>
      <c r="BA24" s="63" t="s">
        <v>529</v>
      </c>
      <c r="BB24" s="61" t="s">
        <v>85</v>
      </c>
      <c r="BC24" s="62" t="s">
        <v>530</v>
      </c>
      <c r="BD24" s="62" t="s">
        <v>531</v>
      </c>
      <c r="BE24" s="62" t="s">
        <v>532</v>
      </c>
      <c r="BF24" s="62" t="s">
        <v>533</v>
      </c>
      <c r="BG24" s="62" t="s">
        <v>534</v>
      </c>
      <c r="BH24" s="62" t="s">
        <v>535</v>
      </c>
      <c r="BI24" s="62" t="s">
        <v>536</v>
      </c>
      <c r="BJ24" s="62" t="s">
        <v>537</v>
      </c>
      <c r="BK24" s="62" t="s">
        <v>538</v>
      </c>
      <c r="BL24" s="62" t="s">
        <v>539</v>
      </c>
      <c r="BM24" s="62" t="s">
        <v>540</v>
      </c>
      <c r="BN24" s="62" t="s">
        <v>541</v>
      </c>
    </row>
    <row r="25" customFormat="false" ht="15" hidden="false" customHeight="false" outlineLevel="0" collapsed="false">
      <c r="A25" s="12" t="s">
        <v>721</v>
      </c>
      <c r="B25" s="64" t="n">
        <f aca="false">SUM(C25:N25)</f>
        <v>66364.8159791154</v>
      </c>
      <c r="C25" s="65" t="n">
        <f aca="false">(C7+C8)*'Assumption Setting'!$C$122</f>
        <v>2216.66666666667</v>
      </c>
      <c r="D25" s="65" t="n">
        <f aca="false">(D7+D8)*'Assumption Setting'!$C$122</f>
        <v>3546.66666666667</v>
      </c>
      <c r="E25" s="65" t="n">
        <f aca="false">(E7+E8)*'Assumption Setting'!$C$122</f>
        <v>4433.33333333333</v>
      </c>
      <c r="F25" s="65" t="n">
        <f aca="false">(F7+F8)*'Assumption Setting'!$C$122</f>
        <v>4794.84776249886</v>
      </c>
      <c r="G25" s="65" t="n">
        <f aca="false">(G7+G8)*'Assumption Setting'!$C$122</f>
        <v>5156.36219166439</v>
      </c>
      <c r="H25" s="65" t="n">
        <f aca="false">(H7+H8)*'Assumption Setting'!$C$122</f>
        <v>5517.87662082992</v>
      </c>
      <c r="I25" s="65" t="n">
        <f aca="false">(I7+I8)*'Assumption Setting'!$C$122</f>
        <v>5879.39104999545</v>
      </c>
      <c r="J25" s="65" t="n">
        <f aca="false">(J7+J8)*'Assumption Setting'!$C$122</f>
        <v>6240.90547916097</v>
      </c>
      <c r="K25" s="65" t="n">
        <f aca="false">(K7+K8)*'Assumption Setting'!$C$122</f>
        <v>6602.4199083265</v>
      </c>
      <c r="L25" s="65" t="n">
        <f aca="false">(L7+L8)*'Assumption Setting'!$C$122</f>
        <v>6963.93433749203</v>
      </c>
      <c r="M25" s="65" t="n">
        <f aca="false">(M7+M8)*'Assumption Setting'!$C$122</f>
        <v>7325.44876665756</v>
      </c>
      <c r="N25" s="65" t="n">
        <f aca="false">(N7+N8)*'Assumption Setting'!$C$122</f>
        <v>7686.96319582309</v>
      </c>
      <c r="O25" s="64" t="n">
        <f aca="false">SUM(P25:AA25)</f>
        <v>187589.829287104</v>
      </c>
      <c r="P25" s="65" t="n">
        <f aca="false">(P7+P8)*'Assumption Setting'!$D$122</f>
        <v>16662.317023777</v>
      </c>
      <c r="Q25" s="65" t="n">
        <f aca="false">(Q7+Q8)*'Assumption Setting'!$D$122</f>
        <v>13895.2153928214</v>
      </c>
      <c r="R25" s="65" t="n">
        <f aca="false">(R7+R8)*'Assumption Setting'!$D$122</f>
        <v>12498.0702654368</v>
      </c>
      <c r="S25" s="65" t="n">
        <f aca="false">(S7+S8)*'Assumption Setting'!$D$122</f>
        <v>13210.3279146843</v>
      </c>
      <c r="T25" s="65" t="n">
        <f aca="false">(T7+T8)*'Assumption Setting'!$D$122</f>
        <v>13922.5855639318</v>
      </c>
      <c r="U25" s="65" t="n">
        <f aca="false">(U7+U8)*'Assumption Setting'!$D$122</f>
        <v>14634.8432131793</v>
      </c>
      <c r="V25" s="65" t="n">
        <f aca="false">(V7+V8)*'Assumption Setting'!$D$122</f>
        <v>15347.1008624268</v>
      </c>
      <c r="W25" s="65" t="n">
        <f aca="false">(W7+W8)*'Assumption Setting'!$D$122</f>
        <v>16059.3585116743</v>
      </c>
      <c r="X25" s="65" t="n">
        <f aca="false">(X7+X8)*'Assumption Setting'!$D$122</f>
        <v>16771.6161609218</v>
      </c>
      <c r="Y25" s="65" t="n">
        <f aca="false">(Y7+Y8)*'Assumption Setting'!$D$122</f>
        <v>17483.8738101692</v>
      </c>
      <c r="Z25" s="65" t="n">
        <f aca="false">(Z7+Z8)*'Assumption Setting'!$D$122</f>
        <v>18196.1314594167</v>
      </c>
      <c r="AA25" s="65" t="n">
        <f aca="false">(AA7+AA8)*'Assumption Setting'!$D$122</f>
        <v>18908.3891086642</v>
      </c>
      <c r="AB25" s="64" t="n">
        <f aca="false">SUM(AC25:AN25)</f>
        <v>332592.430966706</v>
      </c>
      <c r="AC25" s="65" t="n">
        <f aca="false">(AC7+AC8)*'Assumption Setting'!$E$122</f>
        <v>21685.9779955866</v>
      </c>
      <c r="AD25" s="65" t="n">
        <f aca="false">(AD7+AD8)*'Assumption Setting'!$E$122</f>
        <v>22473.2101342286</v>
      </c>
      <c r="AE25" s="65" t="n">
        <f aca="false">(AE7+AE8)*'Assumption Setting'!$E$122</f>
        <v>23321.6304262639</v>
      </c>
      <c r="AF25" s="65" t="n">
        <f aca="false">(AF7+AF8)*'Assumption Setting'!$E$122</f>
        <v>24548.6735056917</v>
      </c>
      <c r="AG25" s="65" t="n">
        <f aca="false">(AG7+AG8)*'Assumption Setting'!$E$122</f>
        <v>25775.7165851195</v>
      </c>
      <c r="AH25" s="65" t="n">
        <f aca="false">(AH7+AH8)*'Assumption Setting'!$E$122</f>
        <v>27002.7596645473</v>
      </c>
      <c r="AI25" s="65" t="n">
        <f aca="false">(AI7+AI8)*'Assumption Setting'!$E$122</f>
        <v>28229.8027439751</v>
      </c>
      <c r="AJ25" s="65" t="n">
        <f aca="false">(AJ7+AJ8)*'Assumption Setting'!$E$122</f>
        <v>29456.8458234029</v>
      </c>
      <c r="AK25" s="65" t="n">
        <f aca="false">(AK7+AK8)*'Assumption Setting'!$E$122</f>
        <v>30683.8889028308</v>
      </c>
      <c r="AL25" s="65" t="n">
        <f aca="false">(AL7+AL8)*'Assumption Setting'!$E$122</f>
        <v>31910.9319822586</v>
      </c>
      <c r="AM25" s="65" t="n">
        <f aca="false">(AM7+AM8)*'Assumption Setting'!$E$122</f>
        <v>33137.9750616864</v>
      </c>
      <c r="AN25" s="65" t="n">
        <f aca="false">(AN7+AN8)*'Assumption Setting'!$E$122</f>
        <v>34365.0181411142</v>
      </c>
      <c r="AO25" s="64" t="n">
        <f aca="false">SUM(AP25:BA25)</f>
        <v>538147.057756647</v>
      </c>
      <c r="AP25" s="65" t="n">
        <f aca="false">(AP7+AP8)*'Assumption Setting'!$F$122</f>
        <v>38134.3513077236</v>
      </c>
      <c r="AQ25" s="65" t="n">
        <f aca="false">(AQ7+AQ8)*'Assumption Setting'!$F$122</f>
        <v>39449.0403213963</v>
      </c>
      <c r="AR25" s="65" t="n">
        <f aca="false">(AR7+AR8)*'Assumption Setting'!$F$122</f>
        <v>40716.7420680249</v>
      </c>
      <c r="AS25" s="65" t="n">
        <f aca="false">(AS7+AS8)*'Assumption Setting'!$F$122</f>
        <v>41903.3253001866</v>
      </c>
      <c r="AT25" s="65" t="n">
        <f aca="false">(AT7+AT8)*'Assumption Setting'!$F$122</f>
        <v>43089.9085323484</v>
      </c>
      <c r="AU25" s="65" t="n">
        <f aca="false">(AU7+AU8)*'Assumption Setting'!$F$122</f>
        <v>44276.4917645101</v>
      </c>
      <c r="AV25" s="65" t="n">
        <f aca="false">(AV7+AV8)*'Assumption Setting'!$F$122</f>
        <v>45463.0749966718</v>
      </c>
      <c r="AW25" s="65" t="n">
        <f aca="false">(AW7+AW8)*'Assumption Setting'!$F$122</f>
        <v>46649.6582288336</v>
      </c>
      <c r="AX25" s="65" t="n">
        <f aca="false">(AX7+AX8)*'Assumption Setting'!$F$122</f>
        <v>47836.2414609953</v>
      </c>
      <c r="AY25" s="65" t="n">
        <f aca="false">(AY7+AY8)*'Assumption Setting'!$F$122</f>
        <v>49022.8246931571</v>
      </c>
      <c r="AZ25" s="65" t="n">
        <f aca="false">(AZ7+AZ8)*'Assumption Setting'!$F$122</f>
        <v>50209.4079253188</v>
      </c>
      <c r="BA25" s="65" t="n">
        <f aca="false">(BA7+BA8)*'Assumption Setting'!$F$122</f>
        <v>51395.9911574805</v>
      </c>
      <c r="BB25" s="64" t="n">
        <f aca="false">SUM(BC25:BN25)</f>
        <v>760957.871583968</v>
      </c>
      <c r="BC25" s="65" t="n">
        <f aca="false">(BC7+BC8)*'Assumption Setting'!$G$122</f>
        <v>56088.0793489517</v>
      </c>
      <c r="BD25" s="65" t="n">
        <f aca="false">(BD7+BD8)*'Assumption Setting'!$G$122</f>
        <v>57353.7681299243</v>
      </c>
      <c r="BE25" s="65" t="n">
        <f aca="false">(BE7+BE8)*'Assumption Setting'!$G$122</f>
        <v>58664.0732245524</v>
      </c>
      <c r="BF25" s="65" t="n">
        <f aca="false">(BF7+BF8)*'Assumption Setting'!$G$122</f>
        <v>60016.8574880984</v>
      </c>
      <c r="BG25" s="65" t="n">
        <f aca="false">(BG7+BG8)*'Assumption Setting'!$G$122</f>
        <v>61369.6417516443</v>
      </c>
      <c r="BH25" s="65" t="n">
        <f aca="false">(BH7+BH8)*'Assumption Setting'!$G$122</f>
        <v>62722.4260151903</v>
      </c>
      <c r="BI25" s="65" t="n">
        <f aca="false">(BI7+BI8)*'Assumption Setting'!$G$122</f>
        <v>64075.2102787362</v>
      </c>
      <c r="BJ25" s="65" t="n">
        <f aca="false">(BJ7+BJ8)*'Assumption Setting'!$G$122</f>
        <v>65427.9945422822</v>
      </c>
      <c r="BK25" s="65" t="n">
        <f aca="false">(BK7+BK8)*'Assumption Setting'!$G$122</f>
        <v>66780.7788058282</v>
      </c>
      <c r="BL25" s="65" t="n">
        <f aca="false">(BL7+BL8)*'Assumption Setting'!$G$122</f>
        <v>68133.5630693741</v>
      </c>
      <c r="BM25" s="65" t="n">
        <f aca="false">(BM7+BM8)*'Assumption Setting'!$G$122</f>
        <v>69486.3473329201</v>
      </c>
      <c r="BN25" s="65" t="n">
        <f aca="false">(BN7+BN8)*'Assumption Setting'!$G$122</f>
        <v>70839.1315964661</v>
      </c>
    </row>
    <row r="26" customFormat="false" ht="15" hidden="false" customHeight="false" outlineLevel="0" collapsed="false">
      <c r="A26" s="12" t="s">
        <v>321</v>
      </c>
      <c r="B26" s="64" t="n">
        <f aca="false">SUM(C26:N26)</f>
        <v>562.263225084635</v>
      </c>
      <c r="C26" s="65" t="n">
        <f aca="false">C9*'Assumption Setting'!$C$123</f>
        <v>0</v>
      </c>
      <c r="D26" s="65" t="n">
        <f aca="false">D9*'Assumption Setting'!$C$123</f>
        <v>0</v>
      </c>
      <c r="E26" s="65" t="n">
        <f aca="false">E9*'Assumption Setting'!$C$123</f>
        <v>0</v>
      </c>
      <c r="F26" s="65" t="n">
        <f aca="false">F9*'Assumption Setting'!$C$123</f>
        <v>12.4947383352141</v>
      </c>
      <c r="G26" s="65" t="n">
        <f aca="false">G9*'Assumption Setting'!$C$123</f>
        <v>24.9894766704282</v>
      </c>
      <c r="H26" s="65" t="n">
        <f aca="false">H9*'Assumption Setting'!$C$123</f>
        <v>37.4842150056423</v>
      </c>
      <c r="I26" s="65" t="n">
        <f aca="false">I9*'Assumption Setting'!$C$123</f>
        <v>49.9789533408564</v>
      </c>
      <c r="J26" s="65" t="n">
        <f aca="false">J9*'Assumption Setting'!$C$123</f>
        <v>62.4736916760705</v>
      </c>
      <c r="K26" s="65" t="n">
        <f aca="false">K9*'Assumption Setting'!$C$123</f>
        <v>74.9684300112846</v>
      </c>
      <c r="L26" s="65" t="n">
        <f aca="false">L9*'Assumption Setting'!$C$123</f>
        <v>87.4631683464987</v>
      </c>
      <c r="M26" s="65" t="n">
        <f aca="false">M9*'Assumption Setting'!$C$123</f>
        <v>99.9579066817128</v>
      </c>
      <c r="N26" s="65" t="n">
        <f aca="false">N9*'Assumption Setting'!$C$123</f>
        <v>112.452645016927</v>
      </c>
      <c r="O26" s="64" t="n">
        <f aca="false">SUM(P26:AA26)</f>
        <v>6068.69822140703</v>
      </c>
      <c r="P26" s="65" t="n">
        <f aca="false">P9*'Assumption Setting'!$D$123</f>
        <v>350.729497128817</v>
      </c>
      <c r="Q26" s="65" t="n">
        <f aca="false">Q9*'Assumption Setting'!$D$123</f>
        <v>385.802446841699</v>
      </c>
      <c r="R26" s="65" t="n">
        <f aca="false">R9*'Assumption Setting'!$D$123</f>
        <v>424.382691525868</v>
      </c>
      <c r="S26" s="65" t="n">
        <f aca="false">S9*'Assumption Setting'!$D$123</f>
        <v>448.568010685376</v>
      </c>
      <c r="T26" s="65" t="n">
        <f aca="false">T9*'Assumption Setting'!$D$123</f>
        <v>472.753329844883</v>
      </c>
      <c r="U26" s="65" t="n">
        <f aca="false">U9*'Assumption Setting'!$D$123</f>
        <v>496.93864900439</v>
      </c>
      <c r="V26" s="65" t="n">
        <f aca="false">V9*'Assumption Setting'!$D$123</f>
        <v>521.123968163897</v>
      </c>
      <c r="W26" s="65" t="n">
        <f aca="false">W9*'Assumption Setting'!$D$123</f>
        <v>545.309287323405</v>
      </c>
      <c r="X26" s="65" t="n">
        <f aca="false">X9*'Assumption Setting'!$D$123</f>
        <v>569.494606482912</v>
      </c>
      <c r="Y26" s="65" t="n">
        <f aca="false">Y9*'Assumption Setting'!$D$123</f>
        <v>593.679925642419</v>
      </c>
      <c r="Z26" s="65" t="n">
        <f aca="false">Z9*'Assumption Setting'!$D$123</f>
        <v>617.865244801926</v>
      </c>
      <c r="AA26" s="65" t="n">
        <f aca="false">AA9*'Assumption Setting'!$D$123</f>
        <v>642.050563961434</v>
      </c>
      <c r="AB26" s="64" t="n">
        <f aca="false">SUM(AC26:AN26)</f>
        <v>12133.7484415657</v>
      </c>
      <c r="AC26" s="65" t="n">
        <f aca="false">AC9*'Assumption Setting'!$E$123</f>
        <v>791.155111206117</v>
      </c>
      <c r="AD26" s="65" t="n">
        <f aca="false">AD9*'Assumption Setting'!$E$123</f>
        <v>819.875177708032</v>
      </c>
      <c r="AE26" s="65" t="n">
        <f aca="false">AE9*'Assumption Setting'!$E$123</f>
        <v>850.827530912084</v>
      </c>
      <c r="AF26" s="65" t="n">
        <f aca="false">AF9*'Assumption Setting'!$E$123</f>
        <v>895.592927434989</v>
      </c>
      <c r="AG26" s="65" t="n">
        <f aca="false">AG9*'Assumption Setting'!$E$123</f>
        <v>940.358323957893</v>
      </c>
      <c r="AH26" s="65" t="n">
        <f aca="false">AH9*'Assumption Setting'!$E$123</f>
        <v>985.123720480797</v>
      </c>
      <c r="AI26" s="65" t="n">
        <f aca="false">AI9*'Assumption Setting'!$E$123</f>
        <v>1029.8891170037</v>
      </c>
      <c r="AJ26" s="65" t="n">
        <f aca="false">AJ9*'Assumption Setting'!$E$123</f>
        <v>1074.65451352661</v>
      </c>
      <c r="AK26" s="65" t="n">
        <f aca="false">AK9*'Assumption Setting'!$E$123</f>
        <v>1119.41991004951</v>
      </c>
      <c r="AL26" s="65" t="n">
        <f aca="false">AL9*'Assumption Setting'!$E$123</f>
        <v>1164.18530657241</v>
      </c>
      <c r="AM26" s="65" t="n">
        <f aca="false">AM9*'Assumption Setting'!$E$123</f>
        <v>1208.95070309532</v>
      </c>
      <c r="AN26" s="65" t="n">
        <f aca="false">AN9*'Assumption Setting'!$E$123</f>
        <v>1253.71609961822</v>
      </c>
      <c r="AO26" s="64" t="n">
        <f aca="false">SUM(AP26:BA26)</f>
        <v>21217.2675101187</v>
      </c>
      <c r="AP26" s="65" t="n">
        <f aca="false">AP9*'Assumption Setting'!$F$123</f>
        <v>1503.50489026867</v>
      </c>
      <c r="AQ26" s="65" t="n">
        <f aca="false">AQ9*'Assumption Setting'!$F$123</f>
        <v>1555.33850729519</v>
      </c>
      <c r="AR26" s="65" t="n">
        <f aca="false">AR9*'Assumption Setting'!$F$123</f>
        <v>1605.31957974292</v>
      </c>
      <c r="AS26" s="65" t="n">
        <f aca="false">AS9*'Assumption Setting'!$F$123</f>
        <v>1652.10243119016</v>
      </c>
      <c r="AT26" s="65" t="n">
        <f aca="false">AT9*'Assumption Setting'!$F$123</f>
        <v>1698.88528263739</v>
      </c>
      <c r="AU26" s="65" t="n">
        <f aca="false">AU9*'Assumption Setting'!$F$123</f>
        <v>1745.66813408463</v>
      </c>
      <c r="AV26" s="65" t="n">
        <f aca="false">AV9*'Assumption Setting'!$F$123</f>
        <v>1792.45098553187</v>
      </c>
      <c r="AW26" s="65" t="n">
        <f aca="false">AW9*'Assumption Setting'!$F$123</f>
        <v>1839.2338369791</v>
      </c>
      <c r="AX26" s="65" t="n">
        <f aca="false">AX9*'Assumption Setting'!$F$123</f>
        <v>1886.01668842634</v>
      </c>
      <c r="AY26" s="65" t="n">
        <f aca="false">AY9*'Assumption Setting'!$F$123</f>
        <v>1932.79953987358</v>
      </c>
      <c r="AZ26" s="65" t="n">
        <f aca="false">AZ9*'Assumption Setting'!$F$123</f>
        <v>1979.58239132081</v>
      </c>
      <c r="BA26" s="65" t="n">
        <f aca="false">BA9*'Assumption Setting'!$F$123</f>
        <v>2026.36524276805</v>
      </c>
      <c r="BB26" s="64" t="n">
        <f aca="false">SUM(BC26:BN26)</f>
        <v>30683.7851445149</v>
      </c>
      <c r="BC26" s="65" t="n">
        <f aca="false">BC9*'Assumption Setting'!$G$123</f>
        <v>2261.61610278031</v>
      </c>
      <c r="BD26" s="65" t="n">
        <f aca="false">BD9*'Assumption Setting'!$G$123</f>
        <v>2312.65194072275</v>
      </c>
      <c r="BE26" s="65" t="n">
        <f aca="false">BE9*'Assumption Setting'!$G$123</f>
        <v>2365.48682357066</v>
      </c>
      <c r="BF26" s="65" t="n">
        <f aca="false">BF9*'Assumption Setting'!$G$123</f>
        <v>2420.034576133</v>
      </c>
      <c r="BG26" s="65" t="n">
        <f aca="false">BG9*'Assumption Setting'!$G$123</f>
        <v>2474.58232869534</v>
      </c>
      <c r="BH26" s="65" t="n">
        <f aca="false">BH9*'Assumption Setting'!$G$123</f>
        <v>2529.13008125767</v>
      </c>
      <c r="BI26" s="65" t="n">
        <f aca="false">BI9*'Assumption Setting'!$G$123</f>
        <v>2583.67783382001</v>
      </c>
      <c r="BJ26" s="65" t="n">
        <f aca="false">BJ9*'Assumption Setting'!$G$123</f>
        <v>2638.22558638235</v>
      </c>
      <c r="BK26" s="65" t="n">
        <f aca="false">BK9*'Assumption Setting'!$G$123</f>
        <v>2692.77333894469</v>
      </c>
      <c r="BL26" s="65" t="n">
        <f aca="false">BL9*'Assumption Setting'!$G$123</f>
        <v>2747.32109150702</v>
      </c>
      <c r="BM26" s="65" t="n">
        <f aca="false">BM9*'Assumption Setting'!$G$123</f>
        <v>2801.86884406936</v>
      </c>
      <c r="BN26" s="65" t="n">
        <f aca="false">BN9*'Assumption Setting'!$G$123</f>
        <v>2856.4165966317</v>
      </c>
    </row>
    <row r="27" customFormat="false" ht="15" hidden="false" customHeight="false" outlineLevel="0" collapsed="false">
      <c r="A27" s="12" t="s">
        <v>323</v>
      </c>
      <c r="B27" s="64" t="n">
        <f aca="false">SUM(C27:N27)</f>
        <v>3148.67406047395</v>
      </c>
      <c r="C27" s="65" t="n">
        <f aca="false">C10*'Assumption Setting'!$C$124</f>
        <v>0</v>
      </c>
      <c r="D27" s="65" t="n">
        <f aca="false">D10*'Assumption Setting'!$C$124</f>
        <v>0</v>
      </c>
      <c r="E27" s="65" t="n">
        <f aca="false">E10*'Assumption Setting'!$C$124</f>
        <v>0</v>
      </c>
      <c r="F27" s="65" t="n">
        <f aca="false">F10*'Assumption Setting'!$C$124</f>
        <v>69.970534677199</v>
      </c>
      <c r="G27" s="65" t="n">
        <f aca="false">G10*'Assumption Setting'!$C$124</f>
        <v>139.941069354398</v>
      </c>
      <c r="H27" s="65" t="n">
        <f aca="false">H10*'Assumption Setting'!$C$124</f>
        <v>209.911604031597</v>
      </c>
      <c r="I27" s="65" t="n">
        <f aca="false">I10*'Assumption Setting'!$C$124</f>
        <v>279.882138708796</v>
      </c>
      <c r="J27" s="65" t="n">
        <f aca="false">J10*'Assumption Setting'!$C$124</f>
        <v>349.852673385995</v>
      </c>
      <c r="K27" s="65" t="n">
        <f aca="false">K10*'Assumption Setting'!$C$124</f>
        <v>419.823208063194</v>
      </c>
      <c r="L27" s="65" t="n">
        <f aca="false">L10*'Assumption Setting'!$C$124</f>
        <v>489.793742740393</v>
      </c>
      <c r="M27" s="65" t="n">
        <f aca="false">M10*'Assumption Setting'!$C$124</f>
        <v>559.764277417592</v>
      </c>
      <c r="N27" s="65" t="n">
        <f aca="false">N10*'Assumption Setting'!$C$124</f>
        <v>629.734812094791</v>
      </c>
      <c r="O27" s="64" t="n">
        <f aca="false">SUM(P27:AA27)</f>
        <v>34515.7211342525</v>
      </c>
      <c r="P27" s="65" t="n">
        <f aca="false">P10*'Assumption Setting'!$D$124</f>
        <v>1994.77401492015</v>
      </c>
      <c r="Q27" s="65" t="n">
        <f aca="false">Q10*'Assumption Setting'!$D$124</f>
        <v>2194.25141641216</v>
      </c>
      <c r="R27" s="65" t="n">
        <f aca="false">R10*'Assumption Setting'!$D$124</f>
        <v>2413.67655805338</v>
      </c>
      <c r="S27" s="65" t="n">
        <f aca="false">S10*'Assumption Setting'!$D$124</f>
        <v>2551.23056077307</v>
      </c>
      <c r="T27" s="65" t="n">
        <f aca="false">T10*'Assumption Setting'!$D$124</f>
        <v>2688.78456349277</v>
      </c>
      <c r="U27" s="65" t="n">
        <f aca="false">U10*'Assumption Setting'!$D$124</f>
        <v>2826.33856621247</v>
      </c>
      <c r="V27" s="65" t="n">
        <f aca="false">V10*'Assumption Setting'!$D$124</f>
        <v>2963.89256893217</v>
      </c>
      <c r="W27" s="65" t="n">
        <f aca="false">W10*'Assumption Setting'!$D$124</f>
        <v>3101.44657165186</v>
      </c>
      <c r="X27" s="65" t="n">
        <f aca="false">X10*'Assumption Setting'!$D$124</f>
        <v>3239.00057437156</v>
      </c>
      <c r="Y27" s="65" t="n">
        <f aca="false">Y10*'Assumption Setting'!$D$124</f>
        <v>3376.55457709126</v>
      </c>
      <c r="Z27" s="65" t="n">
        <f aca="false">Z10*'Assumption Setting'!$D$124</f>
        <v>3514.10857981096</v>
      </c>
      <c r="AA27" s="65" t="n">
        <f aca="false">AA10*'Assumption Setting'!$D$124</f>
        <v>3651.66258253065</v>
      </c>
      <c r="AB27" s="64" t="n">
        <f aca="false">SUM(AC27:AN27)</f>
        <v>64819.7614115219</v>
      </c>
      <c r="AC27" s="65" t="n">
        <f aca="false">AC10*'Assumption Setting'!$E$124</f>
        <v>4226.43388354847</v>
      </c>
      <c r="AD27" s="65" t="n">
        <f aca="false">AD10*'Assumption Setting'!$E$124</f>
        <v>4379.85950196659</v>
      </c>
      <c r="AE27" s="65" t="n">
        <f aca="false">AE10*'Assumption Setting'!$E$124</f>
        <v>4545.21023092508</v>
      </c>
      <c r="AF27" s="65" t="n">
        <f aca="false">AF10*'Assumption Setting'!$E$124</f>
        <v>4784.35169129744</v>
      </c>
      <c r="AG27" s="65" t="n">
        <f aca="false">AG10*'Assumption Setting'!$E$124</f>
        <v>5023.49315166979</v>
      </c>
      <c r="AH27" s="65" t="n">
        <f aca="false">AH10*'Assumption Setting'!$E$124</f>
        <v>5262.63461204215</v>
      </c>
      <c r="AI27" s="65" t="n">
        <f aca="false">AI10*'Assumption Setting'!$E$124</f>
        <v>5501.77607241451</v>
      </c>
      <c r="AJ27" s="65" t="n">
        <f aca="false">AJ10*'Assumption Setting'!$E$124</f>
        <v>5740.91753278686</v>
      </c>
      <c r="AK27" s="65" t="n">
        <f aca="false">AK10*'Assumption Setting'!$E$124</f>
        <v>5980.05899315922</v>
      </c>
      <c r="AL27" s="65" t="n">
        <f aca="false">AL10*'Assumption Setting'!$E$124</f>
        <v>6219.20045353158</v>
      </c>
      <c r="AM27" s="65" t="n">
        <f aca="false">AM10*'Assumption Setting'!$E$124</f>
        <v>6458.34191390393</v>
      </c>
      <c r="AN27" s="65" t="n">
        <f aca="false">AN10*'Assumption Setting'!$E$124</f>
        <v>6697.48337427629</v>
      </c>
      <c r="AO27" s="64" t="n">
        <f aca="false">SUM(AP27:BA27)</f>
        <v>104639.705674904</v>
      </c>
      <c r="AP27" s="65" t="n">
        <f aca="false">AP10*'Assumption Setting'!$F$124</f>
        <v>7415.01275427959</v>
      </c>
      <c r="AQ27" s="65" t="n">
        <f aca="false">AQ10*'Assumption Setting'!$F$124</f>
        <v>7670.64672916039</v>
      </c>
      <c r="AR27" s="65" t="n">
        <f aca="false">AR10*'Assumption Setting'!$F$124</f>
        <v>7917.14429100484</v>
      </c>
      <c r="AS27" s="65" t="n">
        <f aca="false">AS10*'Assumption Setting'!$F$124</f>
        <v>8147.86880836963</v>
      </c>
      <c r="AT27" s="65" t="n">
        <f aca="false">AT10*'Assumption Setting'!$F$124</f>
        <v>8378.59332573441</v>
      </c>
      <c r="AU27" s="65" t="n">
        <f aca="false">AU10*'Assumption Setting'!$F$124</f>
        <v>8609.31784309919</v>
      </c>
      <c r="AV27" s="65" t="n">
        <f aca="false">AV10*'Assumption Setting'!$F$124</f>
        <v>8840.04236046397</v>
      </c>
      <c r="AW27" s="65" t="n">
        <f aca="false">AW10*'Assumption Setting'!$F$124</f>
        <v>9070.76687782876</v>
      </c>
      <c r="AX27" s="65" t="n">
        <f aca="false">AX10*'Assumption Setting'!$F$124</f>
        <v>9301.49139519354</v>
      </c>
      <c r="AY27" s="65" t="n">
        <f aca="false">AY10*'Assumption Setting'!$F$124</f>
        <v>9532.21591255832</v>
      </c>
      <c r="AZ27" s="65" t="n">
        <f aca="false">AZ10*'Assumption Setting'!$F$124</f>
        <v>9762.9404299231</v>
      </c>
      <c r="BA27" s="65" t="n">
        <f aca="false">BA10*'Assumption Setting'!$F$124</f>
        <v>9993.66494728788</v>
      </c>
      <c r="BB27" s="64" t="n">
        <f aca="false">SUM(BC27:BN27)</f>
        <v>147665.716007978</v>
      </c>
      <c r="BC27" s="65" t="n">
        <f aca="false">BC10*'Assumption Setting'!$G$124</f>
        <v>10884.0274946303</v>
      </c>
      <c r="BD27" s="65" t="n">
        <f aca="false">BD10*'Assumption Setting'!$G$124</f>
        <v>11129.6374647283</v>
      </c>
      <c r="BE27" s="65" t="n">
        <f aca="false">BE10*'Assumption Setting'!$G$124</f>
        <v>11383.9053384338</v>
      </c>
      <c r="BF27" s="65" t="n">
        <f aca="false">BF10*'Assumption Setting'!$G$124</f>
        <v>11646.4163976401</v>
      </c>
      <c r="BG27" s="65" t="n">
        <f aca="false">BG10*'Assumption Setting'!$G$124</f>
        <v>11908.9274568463</v>
      </c>
      <c r="BH27" s="65" t="n">
        <f aca="false">BH10*'Assumption Setting'!$G$124</f>
        <v>12171.4385160526</v>
      </c>
      <c r="BI27" s="65" t="n">
        <f aca="false">BI10*'Assumption Setting'!$G$124</f>
        <v>12433.9495752588</v>
      </c>
      <c r="BJ27" s="65" t="n">
        <f aca="false">BJ10*'Assumption Setting'!$G$124</f>
        <v>12696.460634465</v>
      </c>
      <c r="BK27" s="65" t="n">
        <f aca="false">BK10*'Assumption Setting'!$G$124</f>
        <v>12958.9716936713</v>
      </c>
      <c r="BL27" s="65" t="n">
        <f aca="false">BL10*'Assumption Setting'!$G$124</f>
        <v>13221.4827528775</v>
      </c>
      <c r="BM27" s="65" t="n">
        <f aca="false">BM10*'Assumption Setting'!$G$124</f>
        <v>13483.9938120838</v>
      </c>
      <c r="BN27" s="65" t="n">
        <f aca="false">BN10*'Assumption Setting'!$G$124</f>
        <v>13746.50487129</v>
      </c>
    </row>
    <row r="28" customFormat="false" ht="15" hidden="false" customHeight="false" outlineLevel="0" collapsed="false">
      <c r="A28" s="12" t="s">
        <v>324</v>
      </c>
      <c r="B28" s="64" t="n">
        <f aca="false">SUM(C28:N28)</f>
        <v>131.194752519748</v>
      </c>
      <c r="C28" s="65" t="n">
        <f aca="false">C11*'Assumption Setting'!$C$125</f>
        <v>0</v>
      </c>
      <c r="D28" s="65" t="n">
        <f aca="false">D11*'Assumption Setting'!$C$125</f>
        <v>0</v>
      </c>
      <c r="E28" s="65" t="n">
        <f aca="false">E11*'Assumption Setting'!$C$125</f>
        <v>0</v>
      </c>
      <c r="F28" s="65" t="n">
        <f aca="false">F11*'Assumption Setting'!$C$125</f>
        <v>2.91543894488329</v>
      </c>
      <c r="G28" s="65" t="n">
        <f aca="false">G11*'Assumption Setting'!$C$125</f>
        <v>5.83087788976658</v>
      </c>
      <c r="H28" s="65" t="n">
        <f aca="false">H11*'Assumption Setting'!$C$125</f>
        <v>8.74631683464987</v>
      </c>
      <c r="I28" s="65" t="n">
        <f aca="false">I11*'Assumption Setting'!$C$125</f>
        <v>11.6617557795332</v>
      </c>
      <c r="J28" s="65" t="n">
        <f aca="false">J11*'Assumption Setting'!$C$125</f>
        <v>14.5771947244165</v>
      </c>
      <c r="K28" s="65" t="n">
        <f aca="false">K11*'Assumption Setting'!$C$125</f>
        <v>17.4926336692997</v>
      </c>
      <c r="L28" s="65" t="n">
        <f aca="false">L11*'Assumption Setting'!$C$125</f>
        <v>20.408072614183</v>
      </c>
      <c r="M28" s="65" t="n">
        <f aca="false">M11*'Assumption Setting'!$C$125</f>
        <v>23.3235115590663</v>
      </c>
      <c r="N28" s="65" t="n">
        <f aca="false">N11*'Assumption Setting'!$C$125</f>
        <v>26.2389505039496</v>
      </c>
      <c r="O28" s="64" t="n">
        <f aca="false">SUM(P28:AA28)</f>
        <v>1896.4681941897</v>
      </c>
      <c r="P28" s="65" t="n">
        <f aca="false">P11*'Assumption Setting'!$D$125</f>
        <v>109.602967852755</v>
      </c>
      <c r="Q28" s="65" t="n">
        <f aca="false">Q11*'Assumption Setting'!$D$125</f>
        <v>120.563264638031</v>
      </c>
      <c r="R28" s="65" t="n">
        <f aca="false">R11*'Assumption Setting'!$D$125</f>
        <v>132.619591101834</v>
      </c>
      <c r="S28" s="65" t="n">
        <f aca="false">S11*'Assumption Setting'!$D$125</f>
        <v>140.17750333918</v>
      </c>
      <c r="T28" s="65" t="n">
        <f aca="false">T11*'Assumption Setting'!$D$125</f>
        <v>147.735415576526</v>
      </c>
      <c r="U28" s="65" t="n">
        <f aca="false">U11*'Assumption Setting'!$D$125</f>
        <v>155.293327813872</v>
      </c>
      <c r="V28" s="65" t="n">
        <f aca="false">V11*'Assumption Setting'!$D$125</f>
        <v>162.851240051218</v>
      </c>
      <c r="W28" s="65" t="n">
        <f aca="false">W11*'Assumption Setting'!$D$125</f>
        <v>170.409152288564</v>
      </c>
      <c r="X28" s="65" t="n">
        <f aca="false">X11*'Assumption Setting'!$D$125</f>
        <v>177.96706452591</v>
      </c>
      <c r="Y28" s="65" t="n">
        <f aca="false">Y11*'Assumption Setting'!$D$125</f>
        <v>185.524976763256</v>
      </c>
      <c r="Z28" s="65" t="n">
        <f aca="false">Z11*'Assumption Setting'!$D$125</f>
        <v>193.082889000602</v>
      </c>
      <c r="AA28" s="65" t="n">
        <f aca="false">AA11*'Assumption Setting'!$D$125</f>
        <v>200.640801237948</v>
      </c>
      <c r="AB28" s="64" t="n">
        <f aca="false">SUM(AC28:AN28)</f>
        <v>3831.71003417864</v>
      </c>
      <c r="AC28" s="65" t="n">
        <f aca="false">AC11*'Assumption Setting'!$E$125</f>
        <v>249.838456170353</v>
      </c>
      <c r="AD28" s="65" t="n">
        <f aca="false">AD11*'Assumption Setting'!$E$125</f>
        <v>258.907950855168</v>
      </c>
      <c r="AE28" s="65" t="n">
        <f aca="false">AE11*'Assumption Setting'!$E$125</f>
        <v>268.682378182763</v>
      </c>
      <c r="AF28" s="65" t="n">
        <f aca="false">AF11*'Assumption Setting'!$E$125</f>
        <v>282.818819189996</v>
      </c>
      <c r="AG28" s="65" t="n">
        <f aca="false">AG11*'Assumption Setting'!$E$125</f>
        <v>296.955260197229</v>
      </c>
      <c r="AH28" s="65" t="n">
        <f aca="false">AH11*'Assumption Setting'!$E$125</f>
        <v>311.091701204462</v>
      </c>
      <c r="AI28" s="65" t="n">
        <f aca="false">AI11*'Assumption Setting'!$E$125</f>
        <v>325.228142211695</v>
      </c>
      <c r="AJ28" s="65" t="n">
        <f aca="false">AJ11*'Assumption Setting'!$E$125</f>
        <v>339.364583218928</v>
      </c>
      <c r="AK28" s="65" t="n">
        <f aca="false">AK11*'Assumption Setting'!$E$125</f>
        <v>353.501024226161</v>
      </c>
      <c r="AL28" s="65" t="n">
        <f aca="false">AL11*'Assumption Setting'!$E$125</f>
        <v>367.637465233394</v>
      </c>
      <c r="AM28" s="65" t="n">
        <f aca="false">AM11*'Assumption Setting'!$E$125</f>
        <v>381.773906240627</v>
      </c>
      <c r="AN28" s="65" t="n">
        <f aca="false">AN11*'Assumption Setting'!$E$125</f>
        <v>395.91034724786</v>
      </c>
      <c r="AO28" s="64" t="n">
        <f aca="false">SUM(AP28:BA28)</f>
        <v>6268.73812798962</v>
      </c>
      <c r="AP28" s="65" t="n">
        <f aca="false">AP11*'Assumption Setting'!$F$125</f>
        <v>444.217353943017</v>
      </c>
      <c r="AQ28" s="65" t="n">
        <f aca="false">AQ11*'Assumption Setting'!$F$125</f>
        <v>459.531831700853</v>
      </c>
      <c r="AR28" s="65" t="n">
        <f aca="false">AR11*'Assumption Setting'!$F$125</f>
        <v>474.298966742226</v>
      </c>
      <c r="AS28" s="65" t="n">
        <f aca="false">AS11*'Assumption Setting'!$F$125</f>
        <v>488.121172851637</v>
      </c>
      <c r="AT28" s="65" t="n">
        <f aca="false">AT11*'Assumption Setting'!$F$125</f>
        <v>501.943378961048</v>
      </c>
      <c r="AU28" s="65" t="n">
        <f aca="false">AU11*'Assumption Setting'!$F$125</f>
        <v>515.765585070459</v>
      </c>
      <c r="AV28" s="65" t="n">
        <f aca="false">AV11*'Assumption Setting'!$F$125</f>
        <v>529.587791179869</v>
      </c>
      <c r="AW28" s="65" t="n">
        <f aca="false">AW11*'Assumption Setting'!$F$125</f>
        <v>543.40999728928</v>
      </c>
      <c r="AX28" s="65" t="n">
        <f aca="false">AX11*'Assumption Setting'!$F$125</f>
        <v>557.232203398691</v>
      </c>
      <c r="AY28" s="65" t="n">
        <f aca="false">AY11*'Assumption Setting'!$F$125</f>
        <v>571.054409508102</v>
      </c>
      <c r="AZ28" s="65" t="n">
        <f aca="false">AZ11*'Assumption Setting'!$F$125</f>
        <v>584.876615617513</v>
      </c>
      <c r="BA28" s="65" t="n">
        <f aca="false">BA11*'Assumption Setting'!$F$125</f>
        <v>598.698821726924</v>
      </c>
      <c r="BB28" s="64" t="n">
        <f aca="false">SUM(BC28:BN28)</f>
        <v>8949.43733381683</v>
      </c>
      <c r="BC28" s="65" t="n">
        <f aca="false">BC11*'Assumption Setting'!$G$125</f>
        <v>659.638029977591</v>
      </c>
      <c r="BD28" s="65" t="n">
        <f aca="false">BD11*'Assumption Setting'!$G$125</f>
        <v>674.523482710803</v>
      </c>
      <c r="BE28" s="65" t="n">
        <f aca="false">BE11*'Assumption Setting'!$G$125</f>
        <v>689.933656874776</v>
      </c>
      <c r="BF28" s="65" t="n">
        <f aca="false">BF11*'Assumption Setting'!$G$125</f>
        <v>705.843418038791</v>
      </c>
      <c r="BG28" s="65" t="n">
        <f aca="false">BG11*'Assumption Setting'!$G$125</f>
        <v>721.753179202806</v>
      </c>
      <c r="BH28" s="65" t="n">
        <f aca="false">BH11*'Assumption Setting'!$G$125</f>
        <v>737.662940366821</v>
      </c>
      <c r="BI28" s="65" t="n">
        <f aca="false">BI11*'Assumption Setting'!$G$125</f>
        <v>753.572701530836</v>
      </c>
      <c r="BJ28" s="65" t="n">
        <f aca="false">BJ11*'Assumption Setting'!$G$125</f>
        <v>769.482462694851</v>
      </c>
      <c r="BK28" s="65" t="n">
        <f aca="false">BK11*'Assumption Setting'!$G$125</f>
        <v>785.392223858866</v>
      </c>
      <c r="BL28" s="65" t="n">
        <f aca="false">BL11*'Assumption Setting'!$G$125</f>
        <v>801.301985022881</v>
      </c>
      <c r="BM28" s="65" t="n">
        <f aca="false">BM11*'Assumption Setting'!$G$125</f>
        <v>817.211746186896</v>
      </c>
      <c r="BN28" s="65" t="n">
        <f aca="false">BN11*'Assumption Setting'!$G$125</f>
        <v>833.121507350911</v>
      </c>
    </row>
    <row r="29" customFormat="false" ht="15" hidden="false" customHeight="false" outlineLevel="0" collapsed="false">
      <c r="A29" s="12" t="s">
        <v>325</v>
      </c>
      <c r="B29" s="64" t="n">
        <f aca="false">SUM(C29:N29)</f>
        <v>843.394837626952</v>
      </c>
      <c r="C29" s="65" t="n">
        <f aca="false">C12*'Assumption Setting'!$C$126</f>
        <v>0</v>
      </c>
      <c r="D29" s="65" t="n">
        <f aca="false">D12*'Assumption Setting'!$C$126</f>
        <v>0</v>
      </c>
      <c r="E29" s="65" t="n">
        <f aca="false">E12*'Assumption Setting'!$C$126</f>
        <v>0</v>
      </c>
      <c r="F29" s="65" t="n">
        <f aca="false">F12*'Assumption Setting'!$C$126</f>
        <v>18.7421075028212</v>
      </c>
      <c r="G29" s="65" t="n">
        <f aca="false">G12*'Assumption Setting'!$C$126</f>
        <v>37.4842150056423</v>
      </c>
      <c r="H29" s="65" t="n">
        <f aca="false">H12*'Assumption Setting'!$C$126</f>
        <v>56.2263225084635</v>
      </c>
      <c r="I29" s="65" t="n">
        <f aca="false">I12*'Assumption Setting'!$C$126</f>
        <v>74.9684300112846</v>
      </c>
      <c r="J29" s="65" t="n">
        <f aca="false">J12*'Assumption Setting'!$C$126</f>
        <v>93.7105375141058</v>
      </c>
      <c r="K29" s="65" t="n">
        <f aca="false">K12*'Assumption Setting'!$C$126</f>
        <v>112.452645016927</v>
      </c>
      <c r="L29" s="65" t="n">
        <f aca="false">L12*'Assumption Setting'!$C$126</f>
        <v>131.194752519748</v>
      </c>
      <c r="M29" s="65" t="n">
        <f aca="false">M12*'Assumption Setting'!$C$126</f>
        <v>149.936860022569</v>
      </c>
      <c r="N29" s="65" t="n">
        <f aca="false">N12*'Assumption Setting'!$C$126</f>
        <v>168.67896752539</v>
      </c>
      <c r="O29" s="64" t="n">
        <f aca="false">SUM(P29:AA29)</f>
        <v>9558.19969871607</v>
      </c>
      <c r="P29" s="65" t="n">
        <f aca="false">P12*'Assumption Setting'!$D$126</f>
        <v>552.398957977887</v>
      </c>
      <c r="Q29" s="65" t="n">
        <f aca="false">Q12*'Assumption Setting'!$D$126</f>
        <v>607.638853775675</v>
      </c>
      <c r="R29" s="65" t="n">
        <f aca="false">R12*'Assumption Setting'!$D$126</f>
        <v>668.402739153243</v>
      </c>
      <c r="S29" s="65" t="n">
        <f aca="false">S12*'Assumption Setting'!$D$126</f>
        <v>706.494616829467</v>
      </c>
      <c r="T29" s="65" t="n">
        <f aca="false">T12*'Assumption Setting'!$D$126</f>
        <v>744.586494505691</v>
      </c>
      <c r="U29" s="65" t="n">
        <f aca="false">U12*'Assumption Setting'!$D$126</f>
        <v>782.678372181915</v>
      </c>
      <c r="V29" s="65" t="n">
        <f aca="false">V12*'Assumption Setting'!$D$126</f>
        <v>820.770249858139</v>
      </c>
      <c r="W29" s="65" t="n">
        <f aca="false">W12*'Assumption Setting'!$D$126</f>
        <v>858.862127534363</v>
      </c>
      <c r="X29" s="65" t="n">
        <f aca="false">X12*'Assumption Setting'!$D$126</f>
        <v>896.954005210586</v>
      </c>
      <c r="Y29" s="65" t="n">
        <f aca="false">Y12*'Assumption Setting'!$D$126</f>
        <v>935.04588288681</v>
      </c>
      <c r="Z29" s="65" t="n">
        <f aca="false">Z12*'Assumption Setting'!$D$126</f>
        <v>973.137760563034</v>
      </c>
      <c r="AA29" s="65" t="n">
        <f aca="false">AA12*'Assumption Setting'!$D$126</f>
        <v>1011.22963823926</v>
      </c>
      <c r="AB29" s="64" t="n">
        <f aca="false">SUM(AC29:AN29)</f>
        <v>17817.4516589307</v>
      </c>
      <c r="AC29" s="65" t="n">
        <f aca="false">AC12*'Assumption Setting'!$E$126</f>
        <v>1161.74882119214</v>
      </c>
      <c r="AD29" s="65" t="n">
        <f aca="false">AD12*'Assumption Setting'!$E$126</f>
        <v>1203.92197147653</v>
      </c>
      <c r="AE29" s="65" t="n">
        <f aca="false">AE12*'Assumption Setting'!$E$126</f>
        <v>1249.37305854985</v>
      </c>
      <c r="AF29" s="65" t="n">
        <f aca="false">AF12*'Assumption Setting'!$E$126</f>
        <v>1315.10750923348</v>
      </c>
      <c r="AG29" s="65" t="n">
        <f aca="false">AG12*'Assumption Setting'!$E$126</f>
        <v>1380.84195991712</v>
      </c>
      <c r="AH29" s="65" t="n">
        <f aca="false">AH12*'Assumption Setting'!$E$126</f>
        <v>1446.57641060075</v>
      </c>
      <c r="AI29" s="65" t="n">
        <f aca="false">AI12*'Assumption Setting'!$E$126</f>
        <v>1512.31086128438</v>
      </c>
      <c r="AJ29" s="65" t="n">
        <f aca="false">AJ12*'Assumption Setting'!$E$126</f>
        <v>1578.04531196802</v>
      </c>
      <c r="AK29" s="65" t="n">
        <f aca="false">AK12*'Assumption Setting'!$E$126</f>
        <v>1643.77976265165</v>
      </c>
      <c r="AL29" s="65" t="n">
        <f aca="false">AL12*'Assumption Setting'!$E$126</f>
        <v>1709.51421333528</v>
      </c>
      <c r="AM29" s="65" t="n">
        <f aca="false">AM12*'Assumption Setting'!$E$126</f>
        <v>1775.24866401891</v>
      </c>
      <c r="AN29" s="65" t="n">
        <f aca="false">AN12*'Assumption Setting'!$E$126</f>
        <v>1840.98311470255</v>
      </c>
      <c r="AO29" s="64" t="n">
        <f aca="false">SUM(AP29:BA29)</f>
        <v>28643.3111386603</v>
      </c>
      <c r="AP29" s="65" t="n">
        <f aca="false">AP12*'Assumption Setting'!$F$126</f>
        <v>2029.73160186271</v>
      </c>
      <c r="AQ29" s="65" t="n">
        <f aca="false">AQ12*'Assumption Setting'!$F$126</f>
        <v>2099.70698484851</v>
      </c>
      <c r="AR29" s="65" t="n">
        <f aca="false">AR12*'Assumption Setting'!$F$126</f>
        <v>2167.18143265294</v>
      </c>
      <c r="AS29" s="65" t="n">
        <f aca="false">AS12*'Assumption Setting'!$F$126</f>
        <v>2230.33828210671</v>
      </c>
      <c r="AT29" s="65" t="n">
        <f aca="false">AT12*'Assumption Setting'!$F$126</f>
        <v>2293.49513156048</v>
      </c>
      <c r="AU29" s="65" t="n">
        <f aca="false">AU12*'Assumption Setting'!$F$126</f>
        <v>2356.65198101425</v>
      </c>
      <c r="AV29" s="65" t="n">
        <f aca="false">AV12*'Assumption Setting'!$F$126</f>
        <v>2419.80883046802</v>
      </c>
      <c r="AW29" s="65" t="n">
        <f aca="false">AW12*'Assumption Setting'!$F$126</f>
        <v>2482.96567992179</v>
      </c>
      <c r="AX29" s="65" t="n">
        <f aca="false">AX12*'Assumption Setting'!$F$126</f>
        <v>2546.12252937556</v>
      </c>
      <c r="AY29" s="65" t="n">
        <f aca="false">AY12*'Assumption Setting'!$F$126</f>
        <v>2609.27937882933</v>
      </c>
      <c r="AZ29" s="65" t="n">
        <f aca="false">AZ12*'Assumption Setting'!$F$126</f>
        <v>2672.4362282831</v>
      </c>
      <c r="BA29" s="65" t="n">
        <f aca="false">BA12*'Assumption Setting'!$F$126</f>
        <v>2735.59307773687</v>
      </c>
      <c r="BB29" s="64" t="n">
        <f aca="false">SUM(BC29:BN29)</f>
        <v>40272.4680021758</v>
      </c>
      <c r="BC29" s="65" t="n">
        <f aca="false">BC12*'Assumption Setting'!$G$126</f>
        <v>2968.37113489916</v>
      </c>
      <c r="BD29" s="65" t="n">
        <f aca="false">BD12*'Assumption Setting'!$G$126</f>
        <v>3035.35567219861</v>
      </c>
      <c r="BE29" s="65" t="n">
        <f aca="false">BE12*'Assumption Setting'!$G$126</f>
        <v>3104.70145593649</v>
      </c>
      <c r="BF29" s="65" t="n">
        <f aca="false">BF12*'Assumption Setting'!$G$126</f>
        <v>3176.29538117456</v>
      </c>
      <c r="BG29" s="65" t="n">
        <f aca="false">BG12*'Assumption Setting'!$G$126</f>
        <v>3247.88930641263</v>
      </c>
      <c r="BH29" s="65" t="n">
        <f aca="false">BH12*'Assumption Setting'!$G$126</f>
        <v>3319.4832316507</v>
      </c>
      <c r="BI29" s="65" t="n">
        <f aca="false">BI12*'Assumption Setting'!$G$126</f>
        <v>3391.07715688876</v>
      </c>
      <c r="BJ29" s="65" t="n">
        <f aca="false">BJ12*'Assumption Setting'!$G$126</f>
        <v>3462.67108212683</v>
      </c>
      <c r="BK29" s="65" t="n">
        <f aca="false">BK12*'Assumption Setting'!$G$126</f>
        <v>3534.2650073649</v>
      </c>
      <c r="BL29" s="65" t="n">
        <f aca="false">BL12*'Assumption Setting'!$G$126</f>
        <v>3605.85893260297</v>
      </c>
      <c r="BM29" s="65" t="n">
        <f aca="false">BM12*'Assumption Setting'!$G$126</f>
        <v>3677.45285784103</v>
      </c>
      <c r="BN29" s="65" t="n">
        <f aca="false">BN12*'Assumption Setting'!$G$126</f>
        <v>3749.0467830791</v>
      </c>
    </row>
    <row r="30" customFormat="false" ht="15" hidden="false" customHeight="false" outlineLevel="0" collapsed="false">
      <c r="A30" s="12" t="s">
        <v>326</v>
      </c>
      <c r="B30" s="64" t="n">
        <f aca="false">SUM(C30:N30)</f>
        <v>4685.52687570529</v>
      </c>
      <c r="C30" s="65" t="n">
        <f aca="false">C13*'Assumption Setting'!$C$127</f>
        <v>0</v>
      </c>
      <c r="D30" s="65" t="n">
        <f aca="false">D13*'Assumption Setting'!$C$127</f>
        <v>0</v>
      </c>
      <c r="E30" s="65" t="n">
        <f aca="false">E13*'Assumption Setting'!$C$127</f>
        <v>0</v>
      </c>
      <c r="F30" s="65" t="n">
        <f aca="false">F13*'Assumption Setting'!$C$127</f>
        <v>0</v>
      </c>
      <c r="G30" s="65" t="n">
        <f aca="false">G13*'Assumption Setting'!$C$127</f>
        <v>130.153524325147</v>
      </c>
      <c r="H30" s="65" t="n">
        <f aca="false">H13*'Assumption Setting'!$C$127</f>
        <v>260.307048650294</v>
      </c>
      <c r="I30" s="65" t="n">
        <f aca="false">I13*'Assumption Setting'!$C$127</f>
        <v>390.460572975441</v>
      </c>
      <c r="J30" s="65" t="n">
        <f aca="false">J13*'Assumption Setting'!$C$127</f>
        <v>520.614097300587</v>
      </c>
      <c r="K30" s="65" t="n">
        <f aca="false">K13*'Assumption Setting'!$C$127</f>
        <v>650.767621625734</v>
      </c>
      <c r="L30" s="65" t="n">
        <f aca="false">L13*'Assumption Setting'!$C$127</f>
        <v>780.921145950881</v>
      </c>
      <c r="M30" s="65" t="n">
        <f aca="false">M13*'Assumption Setting'!$C$127</f>
        <v>911.074670276028</v>
      </c>
      <c r="N30" s="65" t="n">
        <f aca="false">N13*'Assumption Setting'!$C$127</f>
        <v>1041.22819460118</v>
      </c>
      <c r="O30" s="64" t="n">
        <f aca="false">SUM(P30:AA30)</f>
        <v>89723.5032009614</v>
      </c>
      <c r="P30" s="65" t="n">
        <f aca="false">P13*'Assumption Setting'!$D$127</f>
        <v>4932.13355337399</v>
      </c>
      <c r="Q30" s="65" t="n">
        <f aca="false">Q13*'Assumption Setting'!$D$127</f>
        <v>5480.14839263776</v>
      </c>
      <c r="R30" s="65" t="n">
        <f aca="false">R13*'Assumption Setting'!$D$127</f>
        <v>6028.16323190154</v>
      </c>
      <c r="S30" s="65" t="n">
        <f aca="false">S13*'Assumption Setting'!$D$127</f>
        <v>6630.97955509169</v>
      </c>
      <c r="T30" s="65" t="n">
        <f aca="false">T13*'Assumption Setting'!$D$127</f>
        <v>7008.87516695899</v>
      </c>
      <c r="U30" s="65" t="n">
        <f aca="false">U13*'Assumption Setting'!$D$127</f>
        <v>7386.77077882629</v>
      </c>
      <c r="V30" s="65" t="n">
        <f aca="false">V13*'Assumption Setting'!$D$127</f>
        <v>7764.6663906936</v>
      </c>
      <c r="W30" s="65" t="n">
        <f aca="false">W13*'Assumption Setting'!$D$127</f>
        <v>8142.5620025609</v>
      </c>
      <c r="X30" s="65" t="n">
        <f aca="false">X13*'Assumption Setting'!$D$127</f>
        <v>8520.4576144282</v>
      </c>
      <c r="Y30" s="65" t="n">
        <f aca="false">Y13*'Assumption Setting'!$D$127</f>
        <v>8898.3532262955</v>
      </c>
      <c r="Z30" s="65" t="n">
        <f aca="false">Z13*'Assumption Setting'!$D$127</f>
        <v>9276.2488381628</v>
      </c>
      <c r="AA30" s="65" t="n">
        <f aca="false">AA13*'Assumption Setting'!$D$127</f>
        <v>9654.1444500301</v>
      </c>
      <c r="AB30" s="64" t="n">
        <f aca="false">SUM(AC30:AN30)</f>
        <v>134041.565306845</v>
      </c>
      <c r="AC30" s="65" t="n">
        <f aca="false">AC13*'Assumption Setting'!$E$127</f>
        <v>8778.03505416022</v>
      </c>
      <c r="AD30" s="65" t="n">
        <f aca="false">AD13*'Assumption Setting'!$E$127</f>
        <v>9108.69371454411</v>
      </c>
      <c r="AE30" s="65" t="n">
        <f aca="false">AE13*'Assumption Setting'!$E$127</f>
        <v>9439.352374928</v>
      </c>
      <c r="AF30" s="65" t="n">
        <f aca="false">AF13*'Assumption Setting'!$E$127</f>
        <v>9795.71170457992</v>
      </c>
      <c r="AG30" s="65" t="n">
        <f aca="false">AG13*'Assumption Setting'!$E$127</f>
        <v>10311.1027829686</v>
      </c>
      <c r="AH30" s="65" t="n">
        <f aca="false">AH13*'Assumption Setting'!$E$127</f>
        <v>10826.4938613573</v>
      </c>
      <c r="AI30" s="65" t="n">
        <f aca="false">AI13*'Assumption Setting'!$E$127</f>
        <v>11341.884939746</v>
      </c>
      <c r="AJ30" s="65" t="n">
        <f aca="false">AJ13*'Assumption Setting'!$E$127</f>
        <v>11857.2760181347</v>
      </c>
      <c r="AK30" s="65" t="n">
        <f aca="false">AK13*'Assumption Setting'!$E$127</f>
        <v>12372.6670965234</v>
      </c>
      <c r="AL30" s="65" t="n">
        <f aca="false">AL13*'Assumption Setting'!$E$127</f>
        <v>12888.0581749121</v>
      </c>
      <c r="AM30" s="65" t="n">
        <f aca="false">AM13*'Assumption Setting'!$E$127</f>
        <v>13403.4492533008</v>
      </c>
      <c r="AN30" s="65" t="n">
        <f aca="false">AN13*'Assumption Setting'!$E$127</f>
        <v>13918.8403316895</v>
      </c>
      <c r="AO30" s="64" t="n">
        <f aca="false">SUM(AP30:BA30)</f>
        <v>190591.943201496</v>
      </c>
      <c r="AP30" s="65" t="n">
        <f aca="false">AP13*'Assumption Setting'!$F$127</f>
        <v>13403.2148807869</v>
      </c>
      <c r="AQ30" s="65" t="n">
        <f aca="false">AQ13*'Assumption Setting'!$F$127</f>
        <v>13881.7923107193</v>
      </c>
      <c r="AR30" s="65" t="n">
        <f aca="false">AR13*'Assumption Setting'!$F$127</f>
        <v>14360.3697406516</v>
      </c>
      <c r="AS30" s="65" t="n">
        <f aca="false">AS13*'Assumption Setting'!$F$127</f>
        <v>14821.8427106945</v>
      </c>
      <c r="AT30" s="65" t="n">
        <f aca="false">AT13*'Assumption Setting'!$F$127</f>
        <v>15253.7866516136</v>
      </c>
      <c r="AU30" s="65" t="n">
        <f aca="false">AU13*'Assumption Setting'!$F$127</f>
        <v>15685.7305925327</v>
      </c>
      <c r="AV30" s="65" t="n">
        <f aca="false">AV13*'Assumption Setting'!$F$127</f>
        <v>16117.6745334518</v>
      </c>
      <c r="AW30" s="65" t="n">
        <f aca="false">AW13*'Assumption Setting'!$F$127</f>
        <v>16549.6184743709</v>
      </c>
      <c r="AX30" s="65" t="n">
        <f aca="false">AX13*'Assumption Setting'!$F$127</f>
        <v>16981.56241529</v>
      </c>
      <c r="AY30" s="65" t="n">
        <f aca="false">AY13*'Assumption Setting'!$F$127</f>
        <v>17413.5063562091</v>
      </c>
      <c r="AZ30" s="65" t="n">
        <f aca="false">AZ13*'Assumption Setting'!$F$127</f>
        <v>17845.4502971282</v>
      </c>
      <c r="BA30" s="65" t="n">
        <f aca="false">BA13*'Assumption Setting'!$F$127</f>
        <v>18277.3942380473</v>
      </c>
      <c r="BB30" s="64" t="n">
        <f aca="false">SUM(BC30:BN30)</f>
        <v>234671.475099383</v>
      </c>
      <c r="BC30" s="65" t="n">
        <f aca="false">BC13*'Assumption Setting'!$G$127</f>
        <v>17270.1583190459</v>
      </c>
      <c r="BD30" s="65" t="n">
        <f aca="false">BD13*'Assumption Setting'!$G$127</f>
        <v>17668.8758029712</v>
      </c>
      <c r="BE30" s="65" t="n">
        <f aca="false">BE13*'Assumption Setting'!$G$127</f>
        <v>18067.5932868965</v>
      </c>
      <c r="BF30" s="65" t="n">
        <f aca="false">BF13*'Assumption Setting'!$G$127</f>
        <v>18480.3658091458</v>
      </c>
      <c r="BG30" s="65" t="n">
        <f aca="false">BG13*'Assumption Setting'!$G$127</f>
        <v>18906.520126039</v>
      </c>
      <c r="BH30" s="65" t="n">
        <f aca="false">BH13*'Assumption Setting'!$G$127</f>
        <v>19332.6744429323</v>
      </c>
      <c r="BI30" s="65" t="n">
        <f aca="false">BI13*'Assumption Setting'!$G$127</f>
        <v>19758.8287598255</v>
      </c>
      <c r="BJ30" s="65" t="n">
        <f aca="false">BJ13*'Assumption Setting'!$G$127</f>
        <v>20184.9830767188</v>
      </c>
      <c r="BK30" s="65" t="n">
        <f aca="false">BK13*'Assumption Setting'!$G$127</f>
        <v>20611.1373936121</v>
      </c>
      <c r="BL30" s="65" t="n">
        <f aca="false">BL13*'Assumption Setting'!$G$127</f>
        <v>21037.2917105053</v>
      </c>
      <c r="BM30" s="65" t="n">
        <f aca="false">BM13*'Assumption Setting'!$G$127</f>
        <v>21463.4460273986</v>
      </c>
      <c r="BN30" s="65" t="n">
        <f aca="false">BN13*'Assumption Setting'!$G$127</f>
        <v>21889.6003442918</v>
      </c>
    </row>
    <row r="31" customFormat="false" ht="15" hidden="false" customHeight="false" outlineLevel="0" collapsed="false">
      <c r="A31" s="12" t="s">
        <v>328</v>
      </c>
      <c r="B31" s="64" t="n">
        <f aca="false">SUM(C31:N31)</f>
        <v>240.969953607701</v>
      </c>
      <c r="C31" s="65" t="n">
        <f aca="false">C14*'Assumption Setting'!$C$128</f>
        <v>0</v>
      </c>
      <c r="D31" s="65" t="n">
        <f aca="false">D14*'Assumption Setting'!$C$128</f>
        <v>0</v>
      </c>
      <c r="E31" s="65" t="n">
        <f aca="false">E14*'Assumption Setting'!$C$128</f>
        <v>0</v>
      </c>
      <c r="F31" s="65" t="n">
        <f aca="false">F14*'Assumption Setting'!$C$128</f>
        <v>0</v>
      </c>
      <c r="G31" s="65" t="n">
        <f aca="false">G14*'Assumption Setting'!$C$128</f>
        <v>6.69360982243613</v>
      </c>
      <c r="H31" s="65" t="n">
        <f aca="false">H14*'Assumption Setting'!$C$128</f>
        <v>13.3872196448723</v>
      </c>
      <c r="I31" s="65" t="n">
        <f aca="false">I14*'Assumption Setting'!$C$128</f>
        <v>20.0808294673084</v>
      </c>
      <c r="J31" s="65" t="n">
        <f aca="false">J14*'Assumption Setting'!$C$128</f>
        <v>26.7744392897445</v>
      </c>
      <c r="K31" s="65" t="n">
        <f aca="false">K14*'Assumption Setting'!$C$128</f>
        <v>33.4680491121806</v>
      </c>
      <c r="L31" s="65" t="n">
        <f aca="false">L14*'Assumption Setting'!$C$128</f>
        <v>40.1616589346168</v>
      </c>
      <c r="M31" s="65" t="n">
        <f aca="false">M14*'Assumption Setting'!$C$128</f>
        <v>46.8552687570529</v>
      </c>
      <c r="N31" s="65" t="n">
        <f aca="false">N14*'Assumption Setting'!$C$128</f>
        <v>53.548878579489</v>
      </c>
      <c r="O31" s="64" t="n">
        <f aca="false">SUM(P31:AA31)</f>
        <v>4325.95461861778</v>
      </c>
      <c r="P31" s="65" t="n">
        <f aca="false">P14*'Assumption Setting'!$D$128</f>
        <v>237.799296323389</v>
      </c>
      <c r="Q31" s="65" t="n">
        <f aca="false">Q14*'Assumption Setting'!$D$128</f>
        <v>264.221440359321</v>
      </c>
      <c r="R31" s="65" t="n">
        <f aca="false">R14*'Assumption Setting'!$D$128</f>
        <v>290.643584395253</v>
      </c>
      <c r="S31" s="65" t="n">
        <f aca="false">S14*'Assumption Setting'!$D$128</f>
        <v>319.707942834778</v>
      </c>
      <c r="T31" s="65" t="n">
        <f aca="false">T14*'Assumption Setting'!$D$128</f>
        <v>337.927909835523</v>
      </c>
      <c r="U31" s="65" t="n">
        <f aca="false">U14*'Assumption Setting'!$D$128</f>
        <v>356.147876836268</v>
      </c>
      <c r="V31" s="65" t="n">
        <f aca="false">V14*'Assumption Setting'!$D$128</f>
        <v>374.367843837013</v>
      </c>
      <c r="W31" s="65" t="n">
        <f aca="false">W14*'Assumption Setting'!$D$128</f>
        <v>392.587810837758</v>
      </c>
      <c r="X31" s="65" t="n">
        <f aca="false">X14*'Assumption Setting'!$D$128</f>
        <v>410.807777838502</v>
      </c>
      <c r="Y31" s="65" t="n">
        <f aca="false">Y14*'Assumption Setting'!$D$128</f>
        <v>429.027744839247</v>
      </c>
      <c r="Z31" s="65" t="n">
        <f aca="false">Z14*'Assumption Setting'!$D$128</f>
        <v>447.247711839992</v>
      </c>
      <c r="AA31" s="65" t="n">
        <f aca="false">AA14*'Assumption Setting'!$D$128</f>
        <v>465.467678840737</v>
      </c>
      <c r="AB31" s="64" t="n">
        <f aca="false">SUM(AC31:AN31)</f>
        <v>8370.758976305</v>
      </c>
      <c r="AC31" s="65" t="n">
        <f aca="false">AC14*'Assumption Setting'!$E$128</f>
        <v>548.179331953679</v>
      </c>
      <c r="AD31" s="65" t="n">
        <f aca="false">AD14*'Assumption Setting'!$E$128</f>
        <v>568.828627887856</v>
      </c>
      <c r="AE31" s="65" t="n">
        <f aca="false">AE14*'Assumption Setting'!$E$128</f>
        <v>589.477923822034</v>
      </c>
      <c r="AF31" s="65" t="n">
        <f aca="false">AF14*'Assumption Setting'!$E$128</f>
        <v>611.732200326827</v>
      </c>
      <c r="AG31" s="65" t="n">
        <f aca="false">AG14*'Assumption Setting'!$E$128</f>
        <v>643.917847262938</v>
      </c>
      <c r="AH31" s="65" t="n">
        <f aca="false">AH14*'Assumption Setting'!$E$128</f>
        <v>676.103494199048</v>
      </c>
      <c r="AI31" s="65" t="n">
        <f aca="false">AI14*'Assumption Setting'!$E$128</f>
        <v>708.289141135159</v>
      </c>
      <c r="AJ31" s="65" t="n">
        <f aca="false">AJ14*'Assumption Setting'!$E$128</f>
        <v>740.474788071269</v>
      </c>
      <c r="AK31" s="65" t="n">
        <f aca="false">AK14*'Assumption Setting'!$E$128</f>
        <v>772.66043500738</v>
      </c>
      <c r="AL31" s="65" t="n">
        <f aca="false">AL14*'Assumption Setting'!$E$128</f>
        <v>804.846081943491</v>
      </c>
      <c r="AM31" s="65" t="n">
        <f aca="false">AM14*'Assumption Setting'!$E$128</f>
        <v>837.031728879602</v>
      </c>
      <c r="AN31" s="65" t="n">
        <f aca="false">AN14*'Assumption Setting'!$E$128</f>
        <v>869.217375815712</v>
      </c>
      <c r="AO31" s="64" t="n">
        <f aca="false">SUM(AP31:BA31)</f>
        <v>13571.8218895131</v>
      </c>
      <c r="AP31" s="65" t="n">
        <f aca="false">AP14*'Assumption Setting'!$F$128</f>
        <v>954.426729972518</v>
      </c>
      <c r="AQ31" s="65" t="n">
        <f aca="false">AQ14*'Assumption Setting'!$F$128</f>
        <v>988.505650257812</v>
      </c>
      <c r="AR31" s="65" t="n">
        <f aca="false">AR14*'Assumption Setting'!$F$128</f>
        <v>1022.58457054311</v>
      </c>
      <c r="AS31" s="65" t="n">
        <f aca="false">AS14*'Assumption Setting'!$F$128</f>
        <v>1055.44550291539</v>
      </c>
      <c r="AT31" s="65" t="n">
        <f aca="false">AT14*'Assumption Setting'!$F$128</f>
        <v>1086.2037088182</v>
      </c>
      <c r="AU31" s="65" t="n">
        <f aca="false">AU14*'Assumption Setting'!$F$128</f>
        <v>1116.96191472101</v>
      </c>
      <c r="AV31" s="65" t="n">
        <f aca="false">AV14*'Assumption Setting'!$F$128</f>
        <v>1147.72012062382</v>
      </c>
      <c r="AW31" s="65" t="n">
        <f aca="false">AW14*'Assumption Setting'!$F$128</f>
        <v>1178.47832652663</v>
      </c>
      <c r="AX31" s="65" t="n">
        <f aca="false">AX14*'Assumption Setting'!$F$128</f>
        <v>1209.23653242944</v>
      </c>
      <c r="AY31" s="65" t="n">
        <f aca="false">AY14*'Assumption Setting'!$F$128</f>
        <v>1239.99473833225</v>
      </c>
      <c r="AZ31" s="65" t="n">
        <f aca="false">AZ14*'Assumption Setting'!$F$128</f>
        <v>1270.75294423506</v>
      </c>
      <c r="BA31" s="65" t="n">
        <f aca="false">BA14*'Assumption Setting'!$F$128</f>
        <v>1301.51115013787</v>
      </c>
      <c r="BB31" s="64" t="n">
        <f aca="false">SUM(BC31:BN31)</f>
        <v>19108.9629723783</v>
      </c>
      <c r="BC31" s="65" t="n">
        <f aca="false">BC14*'Assumption Setting'!$G$128</f>
        <v>1406.28432026516</v>
      </c>
      <c r="BD31" s="65" t="n">
        <f aca="false">BD14*'Assumption Setting'!$G$128</f>
        <v>1438.7513153848</v>
      </c>
      <c r="BE31" s="65" t="n">
        <f aca="false">BE14*'Assumption Setting'!$G$128</f>
        <v>1471.21831050443</v>
      </c>
      <c r="BF31" s="65" t="n">
        <f aca="false">BF14*'Assumption Setting'!$G$128</f>
        <v>1504.82978731616</v>
      </c>
      <c r="BG31" s="65" t="n">
        <f aca="false">BG14*'Assumption Setting'!$G$128</f>
        <v>1539.53092454889</v>
      </c>
      <c r="BH31" s="65" t="n">
        <f aca="false">BH14*'Assumption Setting'!$G$128</f>
        <v>1574.23206178163</v>
      </c>
      <c r="BI31" s="65" t="n">
        <f aca="false">BI14*'Assumption Setting'!$G$128</f>
        <v>1608.93319901437</v>
      </c>
      <c r="BJ31" s="65" t="n">
        <f aca="false">BJ14*'Assumption Setting'!$G$128</f>
        <v>1643.6343362471</v>
      </c>
      <c r="BK31" s="65" t="n">
        <f aca="false">BK14*'Assumption Setting'!$G$128</f>
        <v>1678.33547347984</v>
      </c>
      <c r="BL31" s="65" t="n">
        <f aca="false">BL14*'Assumption Setting'!$G$128</f>
        <v>1713.03661071258</v>
      </c>
      <c r="BM31" s="65" t="n">
        <f aca="false">BM14*'Assumption Setting'!$G$128</f>
        <v>1747.73774794531</v>
      </c>
      <c r="BN31" s="65" t="n">
        <f aca="false">BN14*'Assumption Setting'!$G$128</f>
        <v>1782.43888517805</v>
      </c>
    </row>
    <row r="32" customFormat="false" ht="15" hidden="false" customHeight="false" outlineLevel="0" collapsed="false">
      <c r="A32" s="12" t="s">
        <v>330</v>
      </c>
      <c r="B32" s="64" t="n">
        <f aca="false">SUM(C32:N32)</f>
        <v>3935.84257559244</v>
      </c>
      <c r="C32" s="65" t="n">
        <f aca="false">C15*'Assumption Setting'!$C$129</f>
        <v>0</v>
      </c>
      <c r="D32" s="65" t="n">
        <f aca="false">D15*'Assumption Setting'!$C$129</f>
        <v>0</v>
      </c>
      <c r="E32" s="65" t="n">
        <f aca="false">E15*'Assumption Setting'!$C$129</f>
        <v>0</v>
      </c>
      <c r="F32" s="65" t="n">
        <f aca="false">F15*'Assumption Setting'!$C$129</f>
        <v>0</v>
      </c>
      <c r="G32" s="65" t="n">
        <f aca="false">G15*'Assumption Setting'!$C$129</f>
        <v>109.328960433123</v>
      </c>
      <c r="H32" s="65" t="n">
        <f aca="false">H15*'Assumption Setting'!$C$129</f>
        <v>218.657920866247</v>
      </c>
      <c r="I32" s="65" t="n">
        <f aca="false">I15*'Assumption Setting'!$C$129</f>
        <v>327.98688129937</v>
      </c>
      <c r="J32" s="65" t="n">
        <f aca="false">J15*'Assumption Setting'!$C$129</f>
        <v>437.315841732494</v>
      </c>
      <c r="K32" s="65" t="n">
        <f aca="false">K15*'Assumption Setting'!$C$129</f>
        <v>546.644802165617</v>
      </c>
      <c r="L32" s="65" t="n">
        <f aca="false">L15*'Assumption Setting'!$C$129</f>
        <v>655.97376259874</v>
      </c>
      <c r="M32" s="65" t="n">
        <f aca="false">M15*'Assumption Setting'!$C$129</f>
        <v>765.302723031864</v>
      </c>
      <c r="N32" s="65" t="n">
        <f aca="false">N15*'Assumption Setting'!$C$129</f>
        <v>874.631683464987</v>
      </c>
      <c r="O32" s="64" t="n">
        <f aca="false">SUM(P32:AA32)</f>
        <v>62806.4522406729</v>
      </c>
      <c r="P32" s="65" t="n">
        <f aca="false">P15*'Assumption Setting'!$D$129</f>
        <v>3452.49348736179</v>
      </c>
      <c r="Q32" s="65" t="n">
        <f aca="false">Q15*'Assumption Setting'!$D$129</f>
        <v>3836.10387484643</v>
      </c>
      <c r="R32" s="65" t="n">
        <f aca="false">R15*'Assumption Setting'!$D$129</f>
        <v>4219.71426233108</v>
      </c>
      <c r="S32" s="65" t="n">
        <f aca="false">S15*'Assumption Setting'!$D$129</f>
        <v>4641.68568856419</v>
      </c>
      <c r="T32" s="65" t="n">
        <f aca="false">T15*'Assumption Setting'!$D$129</f>
        <v>4906.2126168713</v>
      </c>
      <c r="U32" s="65" t="n">
        <f aca="false">U15*'Assumption Setting'!$D$129</f>
        <v>5170.73954517841</v>
      </c>
      <c r="V32" s="65" t="n">
        <f aca="false">V15*'Assumption Setting'!$D$129</f>
        <v>5435.26647348552</v>
      </c>
      <c r="W32" s="65" t="n">
        <f aca="false">W15*'Assumption Setting'!$D$129</f>
        <v>5699.79340179263</v>
      </c>
      <c r="X32" s="65" t="n">
        <f aca="false">X15*'Assumption Setting'!$D$129</f>
        <v>5964.32033009974</v>
      </c>
      <c r="Y32" s="65" t="n">
        <f aca="false">Y15*'Assumption Setting'!$D$129</f>
        <v>6228.84725840685</v>
      </c>
      <c r="Z32" s="65" t="n">
        <f aca="false">Z15*'Assumption Setting'!$D$129</f>
        <v>6493.37418671396</v>
      </c>
      <c r="AA32" s="65" t="n">
        <f aca="false">AA15*'Assumption Setting'!$D$129</f>
        <v>6757.90111502107</v>
      </c>
      <c r="AB32" s="64" t="n">
        <f aca="false">SUM(AC32:AN32)</f>
        <v>120637.40877616</v>
      </c>
      <c r="AC32" s="65" t="n">
        <f aca="false">AC15*'Assumption Setting'!$E$129</f>
        <v>7900.2315487442</v>
      </c>
      <c r="AD32" s="65" t="n">
        <f aca="false">AD15*'Assumption Setting'!$E$129</f>
        <v>8197.8243430897</v>
      </c>
      <c r="AE32" s="65" t="n">
        <f aca="false">AE15*'Assumption Setting'!$E$129</f>
        <v>8495.4171374352</v>
      </c>
      <c r="AF32" s="65" t="n">
        <f aca="false">AF15*'Assumption Setting'!$E$129</f>
        <v>8816.14053412192</v>
      </c>
      <c r="AG32" s="65" t="n">
        <f aca="false">AG15*'Assumption Setting'!$E$129</f>
        <v>9279.99250467175</v>
      </c>
      <c r="AH32" s="65" t="n">
        <f aca="false">AH15*'Assumption Setting'!$E$129</f>
        <v>9743.84447522158</v>
      </c>
      <c r="AI32" s="65" t="n">
        <f aca="false">AI15*'Assumption Setting'!$E$129</f>
        <v>10207.6964457714</v>
      </c>
      <c r="AJ32" s="65" t="n">
        <f aca="false">AJ15*'Assumption Setting'!$E$129</f>
        <v>10671.5484163212</v>
      </c>
      <c r="AK32" s="65" t="n">
        <f aca="false">AK15*'Assumption Setting'!$E$129</f>
        <v>11135.4003868711</v>
      </c>
      <c r="AL32" s="65" t="n">
        <f aca="false">AL15*'Assumption Setting'!$E$129</f>
        <v>11599.2523574209</v>
      </c>
      <c r="AM32" s="65" t="n">
        <f aca="false">AM15*'Assumption Setting'!$E$129</f>
        <v>12063.1043279707</v>
      </c>
      <c r="AN32" s="65" t="n">
        <f aca="false">AN15*'Assumption Setting'!$E$129</f>
        <v>12526.9562985206</v>
      </c>
      <c r="AO32" s="64" t="n">
        <f aca="false">SUM(AP32:BA32)</f>
        <v>205252.861909303</v>
      </c>
      <c r="AP32" s="65" t="n">
        <f aca="false">AP15*'Assumption Setting'!$F$129</f>
        <v>14434.2314100782</v>
      </c>
      <c r="AQ32" s="65" t="n">
        <f aca="false">AQ15*'Assumption Setting'!$F$129</f>
        <v>14949.6224884669</v>
      </c>
      <c r="AR32" s="65" t="n">
        <f aca="false">AR15*'Assumption Setting'!$F$129</f>
        <v>15465.0135668556</v>
      </c>
      <c r="AS32" s="65" t="n">
        <f aca="false">AS15*'Assumption Setting'!$F$129</f>
        <v>15961.984457671</v>
      </c>
      <c r="AT32" s="65" t="n">
        <f aca="false">AT15*'Assumption Setting'!$F$129</f>
        <v>16427.1548555839</v>
      </c>
      <c r="AU32" s="65" t="n">
        <f aca="false">AU15*'Assumption Setting'!$F$129</f>
        <v>16892.3252534968</v>
      </c>
      <c r="AV32" s="65" t="n">
        <f aca="false">AV15*'Assumption Setting'!$F$129</f>
        <v>17357.4956514096</v>
      </c>
      <c r="AW32" s="65" t="n">
        <f aca="false">AW15*'Assumption Setting'!$F$129</f>
        <v>17822.6660493225</v>
      </c>
      <c r="AX32" s="65" t="n">
        <f aca="false">AX15*'Assumption Setting'!$F$129</f>
        <v>18287.8364472354</v>
      </c>
      <c r="AY32" s="65" t="n">
        <f aca="false">AY15*'Assumption Setting'!$F$129</f>
        <v>18753.0068451483</v>
      </c>
      <c r="AZ32" s="65" t="n">
        <f aca="false">AZ15*'Assumption Setting'!$F$129</f>
        <v>19218.1772430611</v>
      </c>
      <c r="BA32" s="65" t="n">
        <f aca="false">BA15*'Assumption Setting'!$F$129</f>
        <v>19683.347640974</v>
      </c>
      <c r="BB32" s="64" t="n">
        <f aca="false">SUM(BC32:BN32)</f>
        <v>301161.726377542</v>
      </c>
      <c r="BC32" s="65" t="n">
        <f aca="false">BC15*'Assumption Setting'!$G$129</f>
        <v>22163.3698427755</v>
      </c>
      <c r="BD32" s="65" t="n">
        <f aca="false">BD15*'Assumption Setting'!$G$129</f>
        <v>22675.0572804797</v>
      </c>
      <c r="BE32" s="65" t="n">
        <f aca="false">BE15*'Assumption Setting'!$G$129</f>
        <v>23186.7447181839</v>
      </c>
      <c r="BF32" s="65" t="n">
        <f aca="false">BF15*'Assumption Setting'!$G$129</f>
        <v>23716.4694550704</v>
      </c>
      <c r="BG32" s="65" t="n">
        <f aca="false">BG15*'Assumption Setting'!$G$129</f>
        <v>24263.3674950835</v>
      </c>
      <c r="BH32" s="65" t="n">
        <f aca="false">BH15*'Assumption Setting'!$G$129</f>
        <v>24810.2655350965</v>
      </c>
      <c r="BI32" s="65" t="n">
        <f aca="false">BI15*'Assumption Setting'!$G$129</f>
        <v>25357.1635751095</v>
      </c>
      <c r="BJ32" s="65" t="n">
        <f aca="false">BJ15*'Assumption Setting'!$G$129</f>
        <v>25904.0616151225</v>
      </c>
      <c r="BK32" s="65" t="n">
        <f aca="false">BK15*'Assumption Setting'!$G$129</f>
        <v>26450.9596551355</v>
      </c>
      <c r="BL32" s="65" t="n">
        <f aca="false">BL15*'Assumption Setting'!$G$129</f>
        <v>26997.8576951485</v>
      </c>
      <c r="BM32" s="65" t="n">
        <f aca="false">BM15*'Assumption Setting'!$G$129</f>
        <v>27544.7557351615</v>
      </c>
      <c r="BN32" s="65" t="n">
        <f aca="false">BN15*'Assumption Setting'!$G$129</f>
        <v>28091.6537751745</v>
      </c>
    </row>
    <row r="33" customFormat="false" ht="15" hidden="false" customHeight="false" outlineLevel="0" collapsed="false">
      <c r="A33" s="12" t="s">
        <v>722</v>
      </c>
      <c r="B33" s="64" t="n">
        <f aca="false">SUM(C33:N33)</f>
        <v>6203.98465949867</v>
      </c>
      <c r="C33" s="65" t="n">
        <f aca="false">C16*'Assumption Setting'!$C$130</f>
        <v>0</v>
      </c>
      <c r="D33" s="65" t="n">
        <f aca="false">D16*'Assumption Setting'!$C$130</f>
        <v>0</v>
      </c>
      <c r="E33" s="65" t="n">
        <f aca="false">E16*'Assumption Setting'!$C$130</f>
        <v>112.799721081794</v>
      </c>
      <c r="F33" s="65" t="n">
        <f aca="false">F16*'Assumption Setting'!$C$130</f>
        <v>225.599442163588</v>
      </c>
      <c r="G33" s="65" t="n">
        <f aca="false">G16*'Assumption Setting'!$C$130</f>
        <v>338.399163245382</v>
      </c>
      <c r="H33" s="65" t="n">
        <f aca="false">H16*'Assumption Setting'!$C$130</f>
        <v>451.198884327176</v>
      </c>
      <c r="I33" s="65" t="n">
        <f aca="false">I16*'Assumption Setting'!$C$130</f>
        <v>563.99860540897</v>
      </c>
      <c r="J33" s="65" t="n">
        <f aca="false">J16*'Assumption Setting'!$C$130</f>
        <v>676.798326490764</v>
      </c>
      <c r="K33" s="65" t="n">
        <f aca="false">K16*'Assumption Setting'!$C$130</f>
        <v>789.598047572558</v>
      </c>
      <c r="L33" s="65" t="n">
        <f aca="false">L16*'Assumption Setting'!$C$130</f>
        <v>902.397768654352</v>
      </c>
      <c r="M33" s="65" t="n">
        <f aca="false">M16*'Assumption Setting'!$C$130</f>
        <v>1015.19748973615</v>
      </c>
      <c r="N33" s="65" t="n">
        <f aca="false">N16*'Assumption Setting'!$C$130</f>
        <v>1127.99721081794</v>
      </c>
      <c r="O33" s="64" t="n">
        <f aca="false">SUM(P33:AA33)</f>
        <v>64839.5780438976</v>
      </c>
      <c r="P33" s="65" t="n">
        <f aca="false">P16*'Assumption Setting'!$D$130</f>
        <v>3918.306100736</v>
      </c>
      <c r="Q33" s="65" t="n">
        <f aca="false">Q16*'Assumption Setting'!$D$130</f>
        <v>4310.1367108096</v>
      </c>
      <c r="R33" s="65" t="n">
        <f aca="false">R16*'Assumption Setting'!$D$130</f>
        <v>4555.76885852335</v>
      </c>
      <c r="S33" s="65" t="n">
        <f aca="false">S16*'Assumption Setting'!$D$130</f>
        <v>4801.40100623709</v>
      </c>
      <c r="T33" s="65" t="n">
        <f aca="false">T16*'Assumption Setting'!$D$130</f>
        <v>5047.03315395084</v>
      </c>
      <c r="U33" s="65" t="n">
        <f aca="false">U16*'Assumption Setting'!$D$130</f>
        <v>5292.66530166458</v>
      </c>
      <c r="V33" s="65" t="n">
        <f aca="false">V16*'Assumption Setting'!$D$130</f>
        <v>5538.29744937833</v>
      </c>
      <c r="W33" s="65" t="n">
        <f aca="false">W16*'Assumption Setting'!$D$130</f>
        <v>5783.92959709208</v>
      </c>
      <c r="X33" s="65" t="n">
        <f aca="false">X16*'Assumption Setting'!$D$130</f>
        <v>6029.56174480582</v>
      </c>
      <c r="Y33" s="65" t="n">
        <f aca="false">Y16*'Assumption Setting'!$D$130</f>
        <v>6275.19389251957</v>
      </c>
      <c r="Z33" s="65" t="n">
        <f aca="false">Z16*'Assumption Setting'!$D$130</f>
        <v>6520.82604023331</v>
      </c>
      <c r="AA33" s="65" t="n">
        <f aca="false">AA16*'Assumption Setting'!$D$130</f>
        <v>6766.45818794706</v>
      </c>
      <c r="AB33" s="64" t="n">
        <f aca="false">SUM(AC33:AN33)</f>
        <v>126133.531711794</v>
      </c>
      <c r="AC33" s="65" t="n">
        <f aca="false">AC16*'Assumption Setting'!$E$130</f>
        <v>8180.77205827094</v>
      </c>
      <c r="AD33" s="65" t="n">
        <f aca="false">AD16*'Assumption Setting'!$E$130</f>
        <v>8489.61681063593</v>
      </c>
      <c r="AE33" s="65" t="n">
        <f aca="false">AE16*'Assumption Setting'!$E$130</f>
        <v>8936.2890785728</v>
      </c>
      <c r="AF33" s="65" t="n">
        <f aca="false">AF16*'Assumption Setting'!$E$130</f>
        <v>9382.96134650968</v>
      </c>
      <c r="AG33" s="65" t="n">
        <f aca="false">AG16*'Assumption Setting'!$E$130</f>
        <v>9829.63361444655</v>
      </c>
      <c r="AH33" s="65" t="n">
        <f aca="false">AH16*'Assumption Setting'!$E$130</f>
        <v>10276.3058823834</v>
      </c>
      <c r="AI33" s="65" t="n">
        <f aca="false">AI16*'Assumption Setting'!$E$130</f>
        <v>10722.9781503203</v>
      </c>
      <c r="AJ33" s="65" t="n">
        <f aca="false">AJ16*'Assumption Setting'!$E$130</f>
        <v>11169.6504182572</v>
      </c>
      <c r="AK33" s="65" t="n">
        <f aca="false">AK16*'Assumption Setting'!$E$130</f>
        <v>11616.322686194</v>
      </c>
      <c r="AL33" s="65" t="n">
        <f aca="false">AL16*'Assumption Setting'!$E$130</f>
        <v>12062.9949541309</v>
      </c>
      <c r="AM33" s="65" t="n">
        <f aca="false">AM16*'Assumption Setting'!$E$130</f>
        <v>12509.6672220678</v>
      </c>
      <c r="AN33" s="65" t="n">
        <f aca="false">AN16*'Assumption Setting'!$E$130</f>
        <v>12956.3394900047</v>
      </c>
      <c r="AO33" s="64" t="n">
        <f aca="false">SUM(AP33:BA33)</f>
        <v>214568.060062765</v>
      </c>
      <c r="AP33" s="65" t="n">
        <f aca="false">AP16*'Assumption Setting'!$F$130</f>
        <v>15317.7277233618</v>
      </c>
      <c r="AQ33" s="65" t="n">
        <f aca="false">AQ16*'Assumption Setting'!$F$130</f>
        <v>15809.9655580742</v>
      </c>
      <c r="AR33" s="65" t="n">
        <f aca="false">AR16*'Assumption Setting'!$F$130</f>
        <v>16270.7057617212</v>
      </c>
      <c r="AS33" s="65" t="n">
        <f aca="false">AS16*'Assumption Setting'!$F$130</f>
        <v>16731.4459653683</v>
      </c>
      <c r="AT33" s="65" t="n">
        <f aca="false">AT16*'Assumption Setting'!$F$130</f>
        <v>17192.1861690153</v>
      </c>
      <c r="AU33" s="65" t="n">
        <f aca="false">AU16*'Assumption Setting'!$F$130</f>
        <v>17652.9263726623</v>
      </c>
      <c r="AV33" s="65" t="n">
        <f aca="false">AV16*'Assumption Setting'!$F$130</f>
        <v>18113.6665763094</v>
      </c>
      <c r="AW33" s="65" t="n">
        <f aca="false">AW16*'Assumption Setting'!$F$130</f>
        <v>18574.4067799564</v>
      </c>
      <c r="AX33" s="65" t="n">
        <f aca="false">AX16*'Assumption Setting'!$F$130</f>
        <v>19035.1469836034</v>
      </c>
      <c r="AY33" s="65" t="n">
        <f aca="false">AY16*'Assumption Setting'!$F$130</f>
        <v>19495.8871872504</v>
      </c>
      <c r="AZ33" s="65" t="n">
        <f aca="false">AZ16*'Assumption Setting'!$F$130</f>
        <v>19956.6273908975</v>
      </c>
      <c r="BA33" s="65" t="n">
        <f aca="false">BA16*'Assumption Setting'!$F$130</f>
        <v>20417.3675945445</v>
      </c>
      <c r="BB33" s="64" t="n">
        <f aca="false">SUM(BC33:BN33)</f>
        <v>318227.136001619</v>
      </c>
      <c r="BC33" s="65" t="n">
        <f aca="false">BC16*'Assumption Setting'!$G$130</f>
        <v>23487.8712729655</v>
      </c>
      <c r="BD33" s="65" t="n">
        <f aca="false">BD16*'Assumption Setting'!$G$130</f>
        <v>24024.4755518896</v>
      </c>
      <c r="BE33" s="65" t="n">
        <f aca="false">BE16*'Assumption Setting'!$G$130</f>
        <v>24578.4761638508</v>
      </c>
      <c r="BF33" s="65" t="n">
        <f aca="false">BF16*'Assumption Setting'!$G$130</f>
        <v>25132.476775812</v>
      </c>
      <c r="BG33" s="65" t="n">
        <f aca="false">BG16*'Assumption Setting'!$G$130</f>
        <v>25686.4773877733</v>
      </c>
      <c r="BH33" s="65" t="n">
        <f aca="false">BH16*'Assumption Setting'!$G$130</f>
        <v>26240.4779997345</v>
      </c>
      <c r="BI33" s="65" t="n">
        <f aca="false">BI16*'Assumption Setting'!$G$130</f>
        <v>26794.4786116957</v>
      </c>
      <c r="BJ33" s="65" t="n">
        <f aca="false">BJ16*'Assumption Setting'!$G$130</f>
        <v>27348.479223657</v>
      </c>
      <c r="BK33" s="65" t="n">
        <f aca="false">BK16*'Assumption Setting'!$G$130</f>
        <v>27902.4798356182</v>
      </c>
      <c r="BL33" s="65" t="n">
        <f aca="false">BL16*'Assumption Setting'!$G$130</f>
        <v>28456.4804475795</v>
      </c>
      <c r="BM33" s="65" t="n">
        <f aca="false">BM16*'Assumption Setting'!$G$130</f>
        <v>29010.4810595407</v>
      </c>
      <c r="BN33" s="65" t="n">
        <f aca="false">BN16*'Assumption Setting'!$G$130</f>
        <v>29564.4816715019</v>
      </c>
    </row>
    <row r="34" customFormat="false" ht="15" hidden="false" customHeight="false" outlineLevel="0" collapsed="false">
      <c r="A34" s="12" t="s">
        <v>338</v>
      </c>
      <c r="B34" s="64" t="n">
        <f aca="false">SUM(C34:N34)</f>
        <v>3865.55967245686</v>
      </c>
      <c r="C34" s="65" t="n">
        <f aca="false">C18*'Assumption Setting'!$C$131</f>
        <v>0</v>
      </c>
      <c r="D34" s="65" t="n">
        <f aca="false">D18*'Assumption Setting'!$C$131</f>
        <v>0</v>
      </c>
      <c r="E34" s="65" t="n">
        <f aca="false">E18*'Assumption Setting'!$C$131</f>
        <v>0</v>
      </c>
      <c r="F34" s="65" t="n">
        <f aca="false">F18*'Assumption Setting'!$C$131</f>
        <v>85.9013260545969</v>
      </c>
      <c r="G34" s="65" t="n">
        <f aca="false">G18*'Assumption Setting'!$C$131</f>
        <v>171.802652109194</v>
      </c>
      <c r="H34" s="65" t="n">
        <f aca="false">H18*'Assumption Setting'!$C$131</f>
        <v>257.703978163791</v>
      </c>
      <c r="I34" s="65" t="n">
        <f aca="false">I18*'Assumption Setting'!$C$131</f>
        <v>343.605304218388</v>
      </c>
      <c r="J34" s="65" t="n">
        <f aca="false">J18*'Assumption Setting'!$C$131</f>
        <v>429.506630272985</v>
      </c>
      <c r="K34" s="65" t="n">
        <f aca="false">K18*'Assumption Setting'!$C$131</f>
        <v>515.407956327582</v>
      </c>
      <c r="L34" s="65" t="n">
        <f aca="false">L18*'Assumption Setting'!$C$131</f>
        <v>601.309282382179</v>
      </c>
      <c r="M34" s="65" t="n">
        <f aca="false">M18*'Assumption Setting'!$C$131</f>
        <v>687.210608436776</v>
      </c>
      <c r="N34" s="65" t="n">
        <f aca="false">N18*'Assumption Setting'!$C$131</f>
        <v>773.111934491373</v>
      </c>
      <c r="O34" s="64" t="n">
        <f aca="false">SUM(P34:AA34)</f>
        <v>58671.9847577437</v>
      </c>
      <c r="P34" s="65" t="n">
        <f aca="false">P18*'Assumption Setting'!$D$131</f>
        <v>3390.84181794462</v>
      </c>
      <c r="Q34" s="65" t="n">
        <f aca="false">Q18*'Assumption Setting'!$D$131</f>
        <v>3729.92599973908</v>
      </c>
      <c r="R34" s="65" t="n">
        <f aca="false">R18*'Assumption Setting'!$D$131</f>
        <v>4102.91859971298</v>
      </c>
      <c r="S34" s="65" t="n">
        <f aca="false">S18*'Assumption Setting'!$D$131</f>
        <v>4336.74150955588</v>
      </c>
      <c r="T34" s="65" t="n">
        <f aca="false">T18*'Assumption Setting'!$D$131</f>
        <v>4570.56441939877</v>
      </c>
      <c r="U34" s="65" t="n">
        <f aca="false">U18*'Assumption Setting'!$D$131</f>
        <v>4804.38732924166</v>
      </c>
      <c r="V34" s="65" t="n">
        <f aca="false">V18*'Assumption Setting'!$D$131</f>
        <v>5038.21023908455</v>
      </c>
      <c r="W34" s="65" t="n">
        <f aca="false">W18*'Assumption Setting'!$D$131</f>
        <v>5272.03314892744</v>
      </c>
      <c r="X34" s="65" t="n">
        <f aca="false">X18*'Assumption Setting'!$D$131</f>
        <v>5505.85605877034</v>
      </c>
      <c r="Y34" s="65" t="n">
        <f aca="false">Y18*'Assumption Setting'!$D$131</f>
        <v>5739.67896861323</v>
      </c>
      <c r="Z34" s="65" t="n">
        <f aca="false">Z18*'Assumption Setting'!$D$131</f>
        <v>5973.50187845612</v>
      </c>
      <c r="AA34" s="65" t="n">
        <f aca="false">AA18*'Assumption Setting'!$D$131</f>
        <v>6207.32478829901</v>
      </c>
      <c r="AB34" s="64" t="n">
        <f aca="false">SUM(AC34:AN34)</f>
        <v>115250.653371779</v>
      </c>
      <c r="AC34" s="65" t="n">
        <f aca="false">AC18*'Assumption Setting'!$E$131</f>
        <v>7514.67231449889</v>
      </c>
      <c r="AD34" s="65" t="n">
        <f aca="false">AD18*'Assumption Setting'!$E$131</f>
        <v>7787.46570931559</v>
      </c>
      <c r="AE34" s="65" t="n">
        <f aca="false">AE18*'Assumption Setting'!$E$131</f>
        <v>8081.46215627842</v>
      </c>
      <c r="AF34" s="65" t="n">
        <f aca="false">AF18*'Assumption Setting'!$E$131</f>
        <v>8506.6597959491</v>
      </c>
      <c r="AG34" s="65" t="n">
        <f aca="false">AG18*'Assumption Setting'!$E$131</f>
        <v>8931.85743561978</v>
      </c>
      <c r="AH34" s="65" t="n">
        <f aca="false">AH18*'Assumption Setting'!$E$131</f>
        <v>9357.05507529046</v>
      </c>
      <c r="AI34" s="65" t="n">
        <f aca="false">AI18*'Assumption Setting'!$E$131</f>
        <v>9782.25271496113</v>
      </c>
      <c r="AJ34" s="65" t="n">
        <f aca="false">AJ18*'Assumption Setting'!$E$131</f>
        <v>10207.4503546318</v>
      </c>
      <c r="AK34" s="65" t="n">
        <f aca="false">AK18*'Assumption Setting'!$E$131</f>
        <v>10632.6479943025</v>
      </c>
      <c r="AL34" s="65" t="n">
        <f aca="false">AL18*'Assumption Setting'!$E$131</f>
        <v>11057.8456339732</v>
      </c>
      <c r="AM34" s="65" t="n">
        <f aca="false">AM18*'Assumption Setting'!$E$131</f>
        <v>11483.0432736438</v>
      </c>
      <c r="AN34" s="65" t="n">
        <f aca="false">AN18*'Assumption Setting'!$E$131</f>
        <v>11908.2409133145</v>
      </c>
      <c r="AO34" s="64" t="n">
        <f aca="false">SUM(AP34:BA34)</f>
        <v>198911.882907363</v>
      </c>
      <c r="AP34" s="65" t="n">
        <f aca="false">AP18*'Assumption Setting'!$F$131</f>
        <v>14095.3583462688</v>
      </c>
      <c r="AQ34" s="65" t="n">
        <f aca="false">AQ18*'Assumption Setting'!$F$131</f>
        <v>14581.2985058924</v>
      </c>
      <c r="AR34" s="65" t="n">
        <f aca="false">AR18*'Assumption Setting'!$F$131</f>
        <v>15049.8710600898</v>
      </c>
      <c r="AS34" s="65" t="n">
        <f aca="false">AS18*'Assumption Setting'!$F$131</f>
        <v>15488.4602924077</v>
      </c>
      <c r="AT34" s="65" t="n">
        <f aca="false">AT18*'Assumption Setting'!$F$131</f>
        <v>15927.0495247255</v>
      </c>
      <c r="AU34" s="65" t="n">
        <f aca="false">AU18*'Assumption Setting'!$F$131</f>
        <v>16365.6387570434</v>
      </c>
      <c r="AV34" s="65" t="n">
        <f aca="false">AV18*'Assumption Setting'!$F$131</f>
        <v>16804.2279893612</v>
      </c>
      <c r="AW34" s="65" t="n">
        <f aca="false">AW18*'Assumption Setting'!$F$131</f>
        <v>17242.8172216791</v>
      </c>
      <c r="AX34" s="65" t="n">
        <f aca="false">AX18*'Assumption Setting'!$F$131</f>
        <v>17681.4064539969</v>
      </c>
      <c r="AY34" s="65" t="n">
        <f aca="false">AY18*'Assumption Setting'!$F$131</f>
        <v>18119.9956863148</v>
      </c>
      <c r="AZ34" s="65" t="n">
        <f aca="false">AZ18*'Assumption Setting'!$F$131</f>
        <v>18558.5849186326</v>
      </c>
      <c r="BA34" s="65" t="n">
        <f aca="false">BA18*'Assumption Setting'!$F$131</f>
        <v>18997.1741509505</v>
      </c>
      <c r="BB34" s="64" t="n">
        <f aca="false">SUM(BC34:BN34)</f>
        <v>285662.843467814</v>
      </c>
      <c r="BC34" s="65" t="n">
        <f aca="false">BC18*'Assumption Setting'!$G$131</f>
        <v>21055.410331874</v>
      </c>
      <c r="BD34" s="65" t="n">
        <f aca="false">BD18*'Assumption Setting'!$G$131</f>
        <v>21530.548666885</v>
      </c>
      <c r="BE34" s="65" t="n">
        <f aca="false">BE18*'Assumption Setting'!$G$131</f>
        <v>22022.4359225654</v>
      </c>
      <c r="BF34" s="65" t="n">
        <f aca="false">BF18*'Assumption Setting'!$G$131</f>
        <v>22530.2698168632</v>
      </c>
      <c r="BG34" s="65" t="n">
        <f aca="false">BG18*'Assumption Setting'!$G$131</f>
        <v>23038.103711161</v>
      </c>
      <c r="BH34" s="65" t="n">
        <f aca="false">BH18*'Assumption Setting'!$G$131</f>
        <v>23545.9376054588</v>
      </c>
      <c r="BI34" s="65" t="n">
        <f aca="false">BI18*'Assumption Setting'!$G$131</f>
        <v>24053.7714997566</v>
      </c>
      <c r="BJ34" s="65" t="n">
        <f aca="false">BJ18*'Assumption Setting'!$G$131</f>
        <v>24561.6053940544</v>
      </c>
      <c r="BK34" s="65" t="n">
        <f aca="false">BK18*'Assumption Setting'!$G$131</f>
        <v>25069.4392883522</v>
      </c>
      <c r="BL34" s="65" t="n">
        <f aca="false">BL18*'Assumption Setting'!$G$131</f>
        <v>25577.27318265</v>
      </c>
      <c r="BM34" s="65" t="n">
        <f aca="false">BM18*'Assumption Setting'!$G$131</f>
        <v>26085.1070769478</v>
      </c>
      <c r="BN34" s="65" t="n">
        <f aca="false">BN18*'Assumption Setting'!$G$131</f>
        <v>26592.9409712456</v>
      </c>
    </row>
    <row r="35" customFormat="false" ht="15" hidden="false" customHeight="false" outlineLevel="0" collapsed="false">
      <c r="A35" s="12" t="s">
        <v>339</v>
      </c>
      <c r="B35" s="64" t="n">
        <f aca="false">SUM(C35:N35)</f>
        <v>11595.2395086853</v>
      </c>
      <c r="C35" s="65" t="n">
        <f aca="false">C19*'Assumption Setting'!$C$132</f>
        <v>256.5</v>
      </c>
      <c r="D35" s="65" t="n">
        <f aca="false">D19*'Assumption Setting'!$C$132</f>
        <v>410.4</v>
      </c>
      <c r="E35" s="65" t="n">
        <f aca="false">E19*'Assumption Setting'!$C$132</f>
        <v>618.424354703369</v>
      </c>
      <c r="F35" s="65" t="n">
        <f aca="false">F19*'Assumption Setting'!$C$132</f>
        <v>723.848709406738</v>
      </c>
      <c r="G35" s="65" t="n">
        <f aca="false">G19*'Assumption Setting'!$C$132</f>
        <v>829.273064110107</v>
      </c>
      <c r="H35" s="65" t="n">
        <f aca="false">H19*'Assumption Setting'!$C$132</f>
        <v>934.697418813476</v>
      </c>
      <c r="I35" s="65" t="n">
        <f aca="false">I19*'Assumption Setting'!$C$132</f>
        <v>1040.12177351685</v>
      </c>
      <c r="J35" s="65" t="n">
        <f aca="false">J19*'Assumption Setting'!$C$132</f>
        <v>1145.54612822021</v>
      </c>
      <c r="K35" s="65" t="n">
        <f aca="false">K19*'Assumption Setting'!$C$132</f>
        <v>1250.97048292358</v>
      </c>
      <c r="L35" s="65" t="n">
        <f aca="false">L19*'Assumption Setting'!$C$132</f>
        <v>1356.39483762695</v>
      </c>
      <c r="M35" s="65" t="n">
        <f aca="false">M19*'Assumption Setting'!$C$132</f>
        <v>1461.81919233032</v>
      </c>
      <c r="N35" s="65" t="n">
        <f aca="false">N19*'Assumption Setting'!$C$132</f>
        <v>1567.24354703369</v>
      </c>
      <c r="O35" s="64" t="n">
        <f aca="false">SUM(P35:AA35)</f>
        <v>57161.1733072191</v>
      </c>
      <c r="P35" s="65" t="n">
        <f aca="false">P19*'Assumption Setting'!$D$132</f>
        <v>4140.84181794462</v>
      </c>
      <c r="Q35" s="65" t="n">
        <f aca="false">Q19*'Assumption Setting'!$D$132</f>
        <v>4029.92599973908</v>
      </c>
      <c r="R35" s="65" t="n">
        <f aca="false">R19*'Assumption Setting'!$D$132</f>
        <v>3942.49228141444</v>
      </c>
      <c r="S35" s="65" t="n">
        <f aca="false">S19*'Assumption Setting'!$D$132</f>
        <v>4155.05856308979</v>
      </c>
      <c r="T35" s="65" t="n">
        <f aca="false">T19*'Assumption Setting'!$D$132</f>
        <v>4367.62484476515</v>
      </c>
      <c r="U35" s="65" t="n">
        <f aca="false">U19*'Assumption Setting'!$D$132</f>
        <v>4580.19112644051</v>
      </c>
      <c r="V35" s="65" t="n">
        <f aca="false">V19*'Assumption Setting'!$D$132</f>
        <v>4792.75740811586</v>
      </c>
      <c r="W35" s="65" t="n">
        <f aca="false">W19*'Assumption Setting'!$D$132</f>
        <v>5005.32368979122</v>
      </c>
      <c r="X35" s="65" t="n">
        <f aca="false">X19*'Assumption Setting'!$D$132</f>
        <v>5217.88997146658</v>
      </c>
      <c r="Y35" s="65" t="n">
        <f aca="false">Y19*'Assumption Setting'!$D$132</f>
        <v>5430.45625314193</v>
      </c>
      <c r="Z35" s="65" t="n">
        <f aca="false">Z19*'Assumption Setting'!$D$132</f>
        <v>5643.02253481729</v>
      </c>
      <c r="AA35" s="65" t="n">
        <f aca="false">AA19*'Assumption Setting'!$D$132</f>
        <v>5855.58881649265</v>
      </c>
      <c r="AB35" s="64" t="n">
        <f aca="false">SUM(AC35:AN35)</f>
        <v>102916.645380228</v>
      </c>
      <c r="AC35" s="65" t="n">
        <f aca="false">AC19*'Assumption Setting'!$E$132</f>
        <v>6674.9706079848</v>
      </c>
      <c r="AD35" s="65" t="n">
        <f aca="false">AD19*'Assumption Setting'!$E$132</f>
        <v>6926.96756252437</v>
      </c>
      <c r="AE35" s="65" t="n">
        <f aca="false">AE19*'Assumption Setting'!$E$132</f>
        <v>7291.4226822421</v>
      </c>
      <c r="AF35" s="65" t="n">
        <f aca="false">AF19*'Assumption Setting'!$E$132</f>
        <v>7655.87780195982</v>
      </c>
      <c r="AG35" s="65" t="n">
        <f aca="false">AG19*'Assumption Setting'!$E$132</f>
        <v>8020.33292167754</v>
      </c>
      <c r="AH35" s="65" t="n">
        <f aca="false">AH19*'Assumption Setting'!$E$132</f>
        <v>8384.78804139526</v>
      </c>
      <c r="AI35" s="65" t="n">
        <f aca="false">AI19*'Assumption Setting'!$E$132</f>
        <v>8749.24316111299</v>
      </c>
      <c r="AJ35" s="65" t="n">
        <f aca="false">AJ19*'Assumption Setting'!$E$132</f>
        <v>9113.69828083071</v>
      </c>
      <c r="AK35" s="65" t="n">
        <f aca="false">AK19*'Assumption Setting'!$E$132</f>
        <v>9478.15340054844</v>
      </c>
      <c r="AL35" s="65" t="n">
        <f aca="false">AL19*'Assumption Setting'!$E$132</f>
        <v>9842.60852026616</v>
      </c>
      <c r="AM35" s="65" t="n">
        <f aca="false">AM19*'Assumption Setting'!$E$132</f>
        <v>10207.0636399839</v>
      </c>
      <c r="AN35" s="65" t="n">
        <f aca="false">AN19*'Assumption Setting'!$E$132</f>
        <v>10571.5187597016</v>
      </c>
      <c r="AO35" s="64" t="n">
        <f aca="false">SUM(AP35:BA35)</f>
        <v>167115.508318115</v>
      </c>
      <c r="AP35" s="65" t="n">
        <f aca="false">AP19*'Assumption Setting'!$F$132</f>
        <v>11930.1533230029</v>
      </c>
      <c r="AQ35" s="65" t="n">
        <f aca="false">AQ19*'Assumption Setting'!$F$132</f>
        <v>12313.5308673462</v>
      </c>
      <c r="AR35" s="65" t="n">
        <f aca="false">AR19*'Assumption Setting'!$F$132</f>
        <v>12672.376602879</v>
      </c>
      <c r="AS35" s="65" t="n">
        <f aca="false">AS19*'Assumption Setting'!$F$132</f>
        <v>13031.2223384118</v>
      </c>
      <c r="AT35" s="65" t="n">
        <f aca="false">AT19*'Assumption Setting'!$F$132</f>
        <v>13390.0680739446</v>
      </c>
      <c r="AU35" s="65" t="n">
        <f aca="false">AU19*'Assumption Setting'!$F$132</f>
        <v>13748.9138094774</v>
      </c>
      <c r="AV35" s="65" t="n">
        <f aca="false">AV19*'Assumption Setting'!$F$132</f>
        <v>14107.7595450102</v>
      </c>
      <c r="AW35" s="65" t="n">
        <f aca="false">AW19*'Assumption Setting'!$F$132</f>
        <v>14466.6052805429</v>
      </c>
      <c r="AX35" s="65" t="n">
        <f aca="false">AX19*'Assumption Setting'!$F$132</f>
        <v>14825.4510160757</v>
      </c>
      <c r="AY35" s="65" t="n">
        <f aca="false">AY19*'Assumption Setting'!$F$132</f>
        <v>15184.2967516085</v>
      </c>
      <c r="AZ35" s="65" t="n">
        <f aca="false">AZ19*'Assumption Setting'!$F$132</f>
        <v>15543.1424871413</v>
      </c>
      <c r="BA35" s="65" t="n">
        <f aca="false">BA19*'Assumption Setting'!$F$132</f>
        <v>15901.9882226741</v>
      </c>
      <c r="BB35" s="64" t="n">
        <f aca="false">SUM(BC35:BN35)</f>
        <v>238670.352001214</v>
      </c>
      <c r="BC35" s="65" t="n">
        <f aca="false">BC19*'Assumption Setting'!$G$132</f>
        <v>17615.9034547241</v>
      </c>
      <c r="BD35" s="65" t="n">
        <f aca="false">BD19*'Assumption Setting'!$G$132</f>
        <v>18018.3566639171</v>
      </c>
      <c r="BE35" s="65" t="n">
        <f aca="false">BE19*'Assumption Setting'!$G$132</f>
        <v>18433.8571228881</v>
      </c>
      <c r="BF35" s="65" t="n">
        <f aca="false">BF19*'Assumption Setting'!$G$132</f>
        <v>18849.357581859</v>
      </c>
      <c r="BG35" s="65" t="n">
        <f aca="false">BG19*'Assumption Setting'!$G$132</f>
        <v>19264.8580408299</v>
      </c>
      <c r="BH35" s="65" t="n">
        <f aca="false">BH19*'Assumption Setting'!$G$132</f>
        <v>19680.3584998009</v>
      </c>
      <c r="BI35" s="65" t="n">
        <f aca="false">BI19*'Assumption Setting'!$G$132</f>
        <v>20095.8589587718</v>
      </c>
      <c r="BJ35" s="65" t="n">
        <f aca="false">BJ19*'Assumption Setting'!$G$132</f>
        <v>20511.3594177427</v>
      </c>
      <c r="BK35" s="65" t="n">
        <f aca="false">BK19*'Assumption Setting'!$G$132</f>
        <v>20926.8598767137</v>
      </c>
      <c r="BL35" s="65" t="n">
        <f aca="false">BL19*'Assumption Setting'!$G$132</f>
        <v>21342.3603356846</v>
      </c>
      <c r="BM35" s="65" t="n">
        <f aca="false">BM19*'Assumption Setting'!$G$132</f>
        <v>21757.8607946555</v>
      </c>
      <c r="BN35" s="65" t="n">
        <f aca="false">BN19*'Assumption Setting'!$G$132</f>
        <v>22173.3612536264</v>
      </c>
    </row>
    <row r="36" customFormat="false" ht="15" hidden="false" customHeight="false" outlineLevel="0" collapsed="false">
      <c r="A36" s="12" t="s">
        <v>723</v>
      </c>
      <c r="B36" s="64" t="n">
        <f aca="false">SUM(C36:N36)</f>
        <v>1113.53570811515</v>
      </c>
      <c r="C36" s="65" t="n">
        <f aca="false">C17*'Assumption Setting'!$C$133</f>
        <v>0</v>
      </c>
      <c r="D36" s="65" t="n">
        <f aca="false">D17*'Assumption Setting'!$C$133</f>
        <v>0</v>
      </c>
      <c r="E36" s="65" t="n">
        <f aca="false">E17*'Assumption Setting'!$C$133</f>
        <v>20.2461037839117</v>
      </c>
      <c r="F36" s="65" t="n">
        <f aca="false">F17*'Assumption Setting'!$C$133</f>
        <v>40.4922075678235</v>
      </c>
      <c r="G36" s="65" t="n">
        <f aca="false">G17*'Assumption Setting'!$C$133</f>
        <v>60.7383113517352</v>
      </c>
      <c r="H36" s="65" t="n">
        <f aca="false">H17*'Assumption Setting'!$C$133</f>
        <v>80.9844151356469</v>
      </c>
      <c r="I36" s="65" t="n">
        <f aca="false">I17*'Assumption Setting'!$C$133</f>
        <v>101.230518919559</v>
      </c>
      <c r="J36" s="65" t="n">
        <f aca="false">J17*'Assumption Setting'!$C$133</f>
        <v>121.47662270347</v>
      </c>
      <c r="K36" s="65" t="n">
        <f aca="false">K17*'Assumption Setting'!$C$133</f>
        <v>141.722726487382</v>
      </c>
      <c r="L36" s="65" t="n">
        <f aca="false">L17*'Assumption Setting'!$C$133</f>
        <v>161.968830271294</v>
      </c>
      <c r="M36" s="65" t="n">
        <f aca="false">M17*'Assumption Setting'!$C$133</f>
        <v>182.214934055206</v>
      </c>
      <c r="N36" s="65" t="n">
        <f aca="false">N17*'Assumption Setting'!$C$133</f>
        <v>202.461037839117</v>
      </c>
      <c r="O36" s="64" t="n">
        <f aca="false">SUM(P36:AA36)</f>
        <v>12840.6701730072</v>
      </c>
      <c r="P36" s="65" t="n">
        <f aca="false">P17*'Assumption Setting'!$D$133</f>
        <v>820.499995453265</v>
      </c>
      <c r="Q36" s="65" t="n">
        <f aca="false">Q17*'Assumption Setting'!$D$133</f>
        <v>902.549994998592</v>
      </c>
      <c r="R36" s="65" t="n">
        <f aca="false">R17*'Assumption Setting'!$D$133</f>
        <v>953.985786613863</v>
      </c>
      <c r="S36" s="65" t="n">
        <f aca="false">S17*'Assumption Setting'!$D$133</f>
        <v>1005.42157822913</v>
      </c>
      <c r="T36" s="65" t="n">
        <f aca="false">T17*'Assumption Setting'!$D$133</f>
        <v>1056.85736984441</v>
      </c>
      <c r="U36" s="65" t="n">
        <f aca="false">U17*'Assumption Setting'!$D$133</f>
        <v>1108.29316145968</v>
      </c>
      <c r="V36" s="65" t="n">
        <f aca="false">V17*'Assumption Setting'!$D$133</f>
        <v>1159.72895307495</v>
      </c>
      <c r="W36" s="65" t="n">
        <f aca="false">W17*'Assumption Setting'!$D$133</f>
        <v>1166.66666666667</v>
      </c>
      <c r="X36" s="65" t="n">
        <f aca="false">X17*'Assumption Setting'!$D$133</f>
        <v>1166.66666666667</v>
      </c>
      <c r="Y36" s="65" t="n">
        <f aca="false">Y17*'Assumption Setting'!$D$133</f>
        <v>1166.66666666667</v>
      </c>
      <c r="Z36" s="65" t="n">
        <f aca="false">Z17*'Assumption Setting'!$D$133</f>
        <v>1166.66666666667</v>
      </c>
      <c r="AA36" s="65" t="n">
        <f aca="false">AA17*'Assumption Setting'!$D$133</f>
        <v>1166.66666666667</v>
      </c>
      <c r="AB36" s="64" t="n">
        <f aca="false">SUM(AC36:AN36)</f>
        <v>26074.5321447668</v>
      </c>
      <c r="AC36" s="65" t="n">
        <f aca="false">AC17*'Assumption Setting'!$E$133</f>
        <v>1887.8704749856</v>
      </c>
      <c r="AD36" s="65" t="n">
        <f aca="false">AD17*'Assumption Setting'!$E$133</f>
        <v>1959.14234091598</v>
      </c>
      <c r="AE36" s="65" t="n">
        <f aca="false">AE17*'Assumption Setting'!$E$133</f>
        <v>2062.22055659372</v>
      </c>
      <c r="AF36" s="65" t="n">
        <f aca="false">AF17*'Assumption Setting'!$E$133</f>
        <v>2165.29877227146</v>
      </c>
      <c r="AG36" s="65" t="n">
        <f aca="false">AG17*'Assumption Setting'!$E$133</f>
        <v>2250</v>
      </c>
      <c r="AH36" s="65" t="n">
        <f aca="false">AH17*'Assumption Setting'!$E$133</f>
        <v>2250</v>
      </c>
      <c r="AI36" s="65" t="n">
        <f aca="false">AI17*'Assumption Setting'!$E$133</f>
        <v>2250</v>
      </c>
      <c r="AJ36" s="65" t="n">
        <f aca="false">AJ17*'Assumption Setting'!$E$133</f>
        <v>2250</v>
      </c>
      <c r="AK36" s="65" t="n">
        <f aca="false">AK17*'Assumption Setting'!$E$133</f>
        <v>2250</v>
      </c>
      <c r="AL36" s="65" t="n">
        <f aca="false">AL17*'Assumption Setting'!$E$133</f>
        <v>2250</v>
      </c>
      <c r="AM36" s="65" t="n">
        <f aca="false">AM17*'Assumption Setting'!$E$133</f>
        <v>2250</v>
      </c>
      <c r="AN36" s="65" t="n">
        <f aca="false">AN17*'Assumption Setting'!$E$133</f>
        <v>2250</v>
      </c>
      <c r="AO36" s="64" t="n">
        <f aca="false">SUM(AP36:BA36)</f>
        <v>33000</v>
      </c>
      <c r="AP36" s="65" t="n">
        <f aca="false">AP17*'Assumption Setting'!$F$133</f>
        <v>2750</v>
      </c>
      <c r="AQ36" s="65" t="n">
        <f aca="false">AQ17*'Assumption Setting'!$F$133</f>
        <v>2750</v>
      </c>
      <c r="AR36" s="65" t="n">
        <f aca="false">AR17*'Assumption Setting'!$F$133</f>
        <v>2750</v>
      </c>
      <c r="AS36" s="65" t="n">
        <f aca="false">AS17*'Assumption Setting'!$F$133</f>
        <v>2750</v>
      </c>
      <c r="AT36" s="65" t="n">
        <f aca="false">AT17*'Assumption Setting'!$F$133</f>
        <v>2750</v>
      </c>
      <c r="AU36" s="65" t="n">
        <f aca="false">AU17*'Assumption Setting'!$F$133</f>
        <v>2750</v>
      </c>
      <c r="AV36" s="65" t="n">
        <f aca="false">AV17*'Assumption Setting'!$F$133</f>
        <v>2750</v>
      </c>
      <c r="AW36" s="65" t="n">
        <f aca="false">AW17*'Assumption Setting'!$F$133</f>
        <v>2750</v>
      </c>
      <c r="AX36" s="65" t="n">
        <f aca="false">AX17*'Assumption Setting'!$F$133</f>
        <v>2750</v>
      </c>
      <c r="AY36" s="65" t="n">
        <f aca="false">AY17*'Assumption Setting'!$F$133</f>
        <v>2750</v>
      </c>
      <c r="AZ36" s="65" t="n">
        <f aca="false">AZ17*'Assumption Setting'!$F$133</f>
        <v>2750</v>
      </c>
      <c r="BA36" s="65" t="n">
        <f aca="false">BA17*'Assumption Setting'!$F$133</f>
        <v>2750</v>
      </c>
      <c r="BB36" s="64" t="n">
        <f aca="false">SUM(BC36:BN36)</f>
        <v>39000</v>
      </c>
      <c r="BC36" s="65" t="n">
        <f aca="false">BC17*'Assumption Setting'!$G$133</f>
        <v>3250</v>
      </c>
      <c r="BD36" s="65" t="n">
        <f aca="false">BD17*'Assumption Setting'!$G$133</f>
        <v>3250</v>
      </c>
      <c r="BE36" s="65" t="n">
        <f aca="false">BE17*'Assumption Setting'!$G$133</f>
        <v>3250</v>
      </c>
      <c r="BF36" s="65" t="n">
        <f aca="false">BF17*'Assumption Setting'!$G$133</f>
        <v>3250</v>
      </c>
      <c r="BG36" s="65" t="n">
        <f aca="false">BG17*'Assumption Setting'!$G$133</f>
        <v>3250</v>
      </c>
      <c r="BH36" s="65" t="n">
        <f aca="false">BH17*'Assumption Setting'!$G$133</f>
        <v>3250</v>
      </c>
      <c r="BI36" s="65" t="n">
        <f aca="false">BI17*'Assumption Setting'!$G$133</f>
        <v>3250</v>
      </c>
      <c r="BJ36" s="65" t="n">
        <f aca="false">BJ17*'Assumption Setting'!$G$133</f>
        <v>3250</v>
      </c>
      <c r="BK36" s="65" t="n">
        <f aca="false">BK17*'Assumption Setting'!$G$133</f>
        <v>3250</v>
      </c>
      <c r="BL36" s="65" t="n">
        <f aca="false">BL17*'Assumption Setting'!$G$133</f>
        <v>3250</v>
      </c>
      <c r="BM36" s="65" t="n">
        <f aca="false">BM17*'Assumption Setting'!$G$133</f>
        <v>3250</v>
      </c>
      <c r="BN36" s="65" t="n">
        <f aca="false">BN17*'Assumption Setting'!$G$133</f>
        <v>3250</v>
      </c>
    </row>
    <row r="37" customFormat="false" ht="15" hidden="false" customHeight="false" outlineLevel="0" collapsed="false">
      <c r="A37" s="69" t="s">
        <v>724</v>
      </c>
      <c r="B37" s="64" t="n">
        <f aca="false">SUM(C37:N37)</f>
        <v>102691.001808482</v>
      </c>
      <c r="C37" s="70" t="n">
        <f aca="false">SUM(C25:C36)</f>
        <v>2473.16666666667</v>
      </c>
      <c r="D37" s="70" t="n">
        <f aca="false">SUM(D25:D36)</f>
        <v>3957.06666666667</v>
      </c>
      <c r="E37" s="70" t="n">
        <f aca="false">SUM(E25:E36)</f>
        <v>5184.80351290241</v>
      </c>
      <c r="F37" s="70" t="n">
        <f aca="false">SUM(F25:F36)</f>
        <v>5974.81226715173</v>
      </c>
      <c r="G37" s="70" t="n">
        <f aca="false">SUM(G25:G36)</f>
        <v>7010.99711598175</v>
      </c>
      <c r="H37" s="70" t="n">
        <f aca="false">SUM(H25:H36)</f>
        <v>8047.18196481177</v>
      </c>
      <c r="I37" s="70" t="n">
        <f aca="false">SUM(I25:I36)</f>
        <v>9083.3668136418</v>
      </c>
      <c r="J37" s="70" t="n">
        <f aca="false">SUM(J25:J36)</f>
        <v>10119.5516624718</v>
      </c>
      <c r="K37" s="70" t="n">
        <f aca="false">SUM(K25:K36)</f>
        <v>11155.7365113018</v>
      </c>
      <c r="L37" s="70" t="n">
        <f aca="false">SUM(L25:L36)</f>
        <v>12191.9213601319</v>
      </c>
      <c r="M37" s="70" t="n">
        <f aca="false">SUM(M25:M36)</f>
        <v>13228.1062089619</v>
      </c>
      <c r="N37" s="70" t="n">
        <f aca="false">SUM(N25:N36)</f>
        <v>14264.2910577919</v>
      </c>
      <c r="O37" s="64" t="n">
        <f aca="false">SUM(P37:AA37)</f>
        <v>589998.232877789</v>
      </c>
      <c r="P37" s="70" t="n">
        <f aca="false">SUM(P25:P36)</f>
        <v>40562.7385307943</v>
      </c>
      <c r="Q37" s="70" t="n">
        <f aca="false">SUM(Q25:Q36)</f>
        <v>39756.4837876188</v>
      </c>
      <c r="R37" s="70" t="n">
        <f aca="false">SUM(R25:R36)</f>
        <v>40230.8384501637</v>
      </c>
      <c r="S37" s="70" t="n">
        <f aca="false">SUM(S25:S36)</f>
        <v>42947.794449914</v>
      </c>
      <c r="T37" s="70" t="n">
        <f aca="false">SUM(T25:T36)</f>
        <v>45271.5408489767</v>
      </c>
      <c r="U37" s="70" t="n">
        <f aca="false">SUM(U25:U36)</f>
        <v>47595.2872480393</v>
      </c>
      <c r="V37" s="70" t="n">
        <f aca="false">SUM(V25:V36)</f>
        <v>49919.033647102</v>
      </c>
      <c r="W37" s="70" t="n">
        <f aca="false">SUM(W25:W36)</f>
        <v>52198.2819681412</v>
      </c>
      <c r="X37" s="70" t="n">
        <f aca="false">SUM(X25:X36)</f>
        <v>54470.5925755886</v>
      </c>
      <c r="Y37" s="70" t="n">
        <f aca="false">SUM(Y25:Y36)</f>
        <v>56742.903183036</v>
      </c>
      <c r="Z37" s="70" t="n">
        <f aca="false">SUM(Z25:Z36)</f>
        <v>59015.2137904834</v>
      </c>
      <c r="AA37" s="70" t="n">
        <f aca="false">SUM(AA25:AA36)</f>
        <v>61287.5243979308</v>
      </c>
      <c r="AB37" s="64" t="n">
        <f aca="false">SUM(AC37:AN37)</f>
        <v>1064620.19818078</v>
      </c>
      <c r="AC37" s="70" t="n">
        <f aca="false">SUM(AC25:AC36)</f>
        <v>69599.885658302</v>
      </c>
      <c r="AD37" s="70" t="n">
        <f aca="false">SUM(AD25:AD36)</f>
        <v>72174.3138451484</v>
      </c>
      <c r="AE37" s="70" t="n">
        <f aca="false">SUM(AE25:AE36)</f>
        <v>75131.3655347059</v>
      </c>
      <c r="AF37" s="70" t="n">
        <f aca="false">SUM(AF25:AF36)</f>
        <v>78760.9266085663</v>
      </c>
      <c r="AG37" s="70" t="n">
        <f aca="false">SUM(AG25:AG36)</f>
        <v>82684.2023875087</v>
      </c>
      <c r="AH37" s="70" t="n">
        <f aca="false">SUM(AH25:AH36)</f>
        <v>86522.7769387226</v>
      </c>
      <c r="AI37" s="70" t="n">
        <f aca="false">SUM(AI25:AI36)</f>
        <v>90361.3514899364</v>
      </c>
      <c r="AJ37" s="70" t="n">
        <f aca="false">SUM(AJ25:AJ36)</f>
        <v>94199.9260411503</v>
      </c>
      <c r="AK37" s="70" t="n">
        <f aca="false">SUM(AK25:AK36)</f>
        <v>98038.5005923641</v>
      </c>
      <c r="AL37" s="70" t="n">
        <f aca="false">SUM(AL25:AL36)</f>
        <v>101877.075143578</v>
      </c>
      <c r="AM37" s="70" t="n">
        <f aca="false">SUM(AM25:AM36)</f>
        <v>105715.649694792</v>
      </c>
      <c r="AN37" s="70" t="n">
        <f aca="false">SUM(AN25:AN36)</f>
        <v>109554.224246006</v>
      </c>
      <c r="AO37" s="64" t="n">
        <f aca="false">SUM(AP37:BA37)</f>
        <v>1721928.15849687</v>
      </c>
      <c r="AP37" s="70" t="n">
        <f aca="false">SUM(AP25:AP36)</f>
        <v>122411.930321549</v>
      </c>
      <c r="AQ37" s="70" t="n">
        <f aca="false">SUM(AQ25:AQ36)</f>
        <v>126508.979755158</v>
      </c>
      <c r="AR37" s="70" t="n">
        <f aca="false">SUM(AR25:AR36)</f>
        <v>130471.607640908</v>
      </c>
      <c r="AS37" s="70" t="n">
        <f aca="false">SUM(AS25:AS36)</f>
        <v>134262.157262174</v>
      </c>
      <c r="AT37" s="70" t="n">
        <f aca="false">SUM(AT25:AT36)</f>
        <v>137989.274634943</v>
      </c>
      <c r="AU37" s="70" t="n">
        <f aca="false">SUM(AU25:AU36)</f>
        <v>141716.392007712</v>
      </c>
      <c r="AV37" s="70" t="n">
        <f aca="false">SUM(AV25:AV36)</f>
        <v>145443.509380482</v>
      </c>
      <c r="AW37" s="70" t="n">
        <f aca="false">SUM(AW25:AW36)</f>
        <v>149170.626753251</v>
      </c>
      <c r="AX37" s="70" t="n">
        <f aca="false">SUM(AX25:AX36)</f>
        <v>152897.74412602</v>
      </c>
      <c r="AY37" s="70" t="n">
        <f aca="false">SUM(AY25:AY36)</f>
        <v>156624.86149879</v>
      </c>
      <c r="AZ37" s="70" t="n">
        <f aca="false">SUM(AZ25:AZ36)</f>
        <v>160351.978871559</v>
      </c>
      <c r="BA37" s="70" t="n">
        <f aca="false">SUM(BA25:BA36)</f>
        <v>164079.096244328</v>
      </c>
      <c r="BB37" s="64" t="n">
        <f aca="false">SUM(BC37:BN37)</f>
        <v>2425031.7739924</v>
      </c>
      <c r="BC37" s="70" t="n">
        <f aca="false">SUM(BC25:BC36)</f>
        <v>179110.729652889</v>
      </c>
      <c r="BD37" s="70" t="n">
        <f aca="false">SUM(BD25:BD36)</f>
        <v>183112.001971812</v>
      </c>
      <c r="BE37" s="70" t="n">
        <f aca="false">SUM(BE25:BE36)</f>
        <v>187218.426024257</v>
      </c>
      <c r="BF37" s="70" t="n">
        <f aca="false">SUM(BF25:BF36)</f>
        <v>191429.216487151</v>
      </c>
      <c r="BG37" s="70" t="n">
        <f aca="false">SUM(BG25:BG36)</f>
        <v>195671.651708237</v>
      </c>
      <c r="BH37" s="70" t="n">
        <f aca="false">SUM(BH25:BH36)</f>
        <v>199914.086929323</v>
      </c>
      <c r="BI37" s="70" t="n">
        <f aca="false">SUM(BI25:BI36)</f>
        <v>204156.522150408</v>
      </c>
      <c r="BJ37" s="70" t="n">
        <f aca="false">SUM(BJ25:BJ36)</f>
        <v>208398.957371494</v>
      </c>
      <c r="BK37" s="70" t="n">
        <f aca="false">SUM(BK25:BK36)</f>
        <v>212641.392592579</v>
      </c>
      <c r="BL37" s="70" t="n">
        <f aca="false">SUM(BL25:BL36)</f>
        <v>216883.827813665</v>
      </c>
      <c r="BM37" s="70" t="n">
        <f aca="false">SUM(BM25:BM36)</f>
        <v>221126.263034751</v>
      </c>
      <c r="BN37" s="70" t="n">
        <f aca="false">SUM(BN25:BN36)</f>
        <v>225368.698255836</v>
      </c>
    </row>
    <row r="39" customFormat="false" ht="16.5" hidden="false" customHeight="true" outlineLevel="0" collapsed="false">
      <c r="A39" s="15" t="s">
        <v>725</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true" outlineLevel="0" collapsed="false">
      <c r="A40" s="26" t="s">
        <v>481</v>
      </c>
      <c r="B40" s="61" t="s">
        <v>81</v>
      </c>
      <c r="C40" s="62" t="s">
        <v>482</v>
      </c>
      <c r="D40" s="62" t="s">
        <v>483</v>
      </c>
      <c r="E40" s="62" t="s">
        <v>484</v>
      </c>
      <c r="F40" s="62" t="s">
        <v>485</v>
      </c>
      <c r="G40" s="62" t="s">
        <v>486</v>
      </c>
      <c r="H40" s="62" t="s">
        <v>487</v>
      </c>
      <c r="I40" s="62" t="s">
        <v>488</v>
      </c>
      <c r="J40" s="62" t="s">
        <v>489</v>
      </c>
      <c r="K40" s="62" t="s">
        <v>490</v>
      </c>
      <c r="L40" s="62" t="s">
        <v>491</v>
      </c>
      <c r="M40" s="62" t="s">
        <v>492</v>
      </c>
      <c r="N40" s="62" t="s">
        <v>493</v>
      </c>
      <c r="O40" s="61" t="s">
        <v>82</v>
      </c>
      <c r="P40" s="63" t="s">
        <v>494</v>
      </c>
      <c r="Q40" s="63" t="s">
        <v>495</v>
      </c>
      <c r="R40" s="63" t="s">
        <v>496</v>
      </c>
      <c r="S40" s="63" t="s">
        <v>497</v>
      </c>
      <c r="T40" s="63" t="s">
        <v>498</v>
      </c>
      <c r="U40" s="63" t="s">
        <v>499</v>
      </c>
      <c r="V40" s="63" t="s">
        <v>500</v>
      </c>
      <c r="W40" s="63" t="s">
        <v>501</v>
      </c>
      <c r="X40" s="63" t="s">
        <v>502</v>
      </c>
      <c r="Y40" s="63" t="s">
        <v>503</v>
      </c>
      <c r="Z40" s="63" t="s">
        <v>504</v>
      </c>
      <c r="AA40" s="63" t="s">
        <v>505</v>
      </c>
      <c r="AB40" s="61" t="s">
        <v>83</v>
      </c>
      <c r="AC40" s="62" t="s">
        <v>506</v>
      </c>
      <c r="AD40" s="62" t="s">
        <v>507</v>
      </c>
      <c r="AE40" s="62" t="s">
        <v>508</v>
      </c>
      <c r="AF40" s="62" t="s">
        <v>509</v>
      </c>
      <c r="AG40" s="62" t="s">
        <v>510</v>
      </c>
      <c r="AH40" s="62" t="s">
        <v>511</v>
      </c>
      <c r="AI40" s="62" t="s">
        <v>512</v>
      </c>
      <c r="AJ40" s="62" t="s">
        <v>513</v>
      </c>
      <c r="AK40" s="62" t="s">
        <v>514</v>
      </c>
      <c r="AL40" s="62" t="s">
        <v>515</v>
      </c>
      <c r="AM40" s="62" t="s">
        <v>516</v>
      </c>
      <c r="AN40" s="62" t="s">
        <v>517</v>
      </c>
      <c r="AO40" s="61" t="s">
        <v>84</v>
      </c>
      <c r="AP40" s="63" t="s">
        <v>518</v>
      </c>
      <c r="AQ40" s="63" t="s">
        <v>519</v>
      </c>
      <c r="AR40" s="63" t="s">
        <v>520</v>
      </c>
      <c r="AS40" s="63" t="s">
        <v>521</v>
      </c>
      <c r="AT40" s="63" t="s">
        <v>522</v>
      </c>
      <c r="AU40" s="63" t="s">
        <v>523</v>
      </c>
      <c r="AV40" s="63" t="s">
        <v>524</v>
      </c>
      <c r="AW40" s="63" t="s">
        <v>525</v>
      </c>
      <c r="AX40" s="63" t="s">
        <v>526</v>
      </c>
      <c r="AY40" s="63" t="s">
        <v>527</v>
      </c>
      <c r="AZ40" s="63" t="s">
        <v>528</v>
      </c>
      <c r="BA40" s="63" t="s">
        <v>529</v>
      </c>
      <c r="BB40" s="61" t="s">
        <v>85</v>
      </c>
      <c r="BC40" s="62" t="s">
        <v>530</v>
      </c>
      <c r="BD40" s="62" t="s">
        <v>531</v>
      </c>
      <c r="BE40" s="62" t="s">
        <v>532</v>
      </c>
      <c r="BF40" s="62" t="s">
        <v>533</v>
      </c>
      <c r="BG40" s="62" t="s">
        <v>534</v>
      </c>
      <c r="BH40" s="62" t="s">
        <v>535</v>
      </c>
      <c r="BI40" s="62" t="s">
        <v>536</v>
      </c>
      <c r="BJ40" s="62" t="s">
        <v>537</v>
      </c>
      <c r="BK40" s="62" t="s">
        <v>538</v>
      </c>
      <c r="BL40" s="62" t="s">
        <v>539</v>
      </c>
      <c r="BM40" s="62" t="s">
        <v>540</v>
      </c>
      <c r="BN40" s="62" t="s">
        <v>541</v>
      </c>
    </row>
    <row r="41" customFormat="false" ht="15" hidden="false" customHeight="false" outlineLevel="0" collapsed="false">
      <c r="A41" s="12" t="s">
        <v>726</v>
      </c>
      <c r="B41" s="78" t="n">
        <f aca="false">SUM(C41:N41)</f>
        <v>108.373569133677</v>
      </c>
      <c r="C41" s="95" t="n">
        <f aca="false">Acquisitions!C$148</f>
        <v>15.8928130295038</v>
      </c>
      <c r="D41" s="95" t="n">
        <f aca="false">Acquisitions!D$148</f>
        <v>2.52456302950383</v>
      </c>
      <c r="E41" s="95" t="n">
        <f aca="false">Acquisitions!E$148</f>
        <v>3.30864110649712</v>
      </c>
      <c r="F41" s="95" t="n">
        <f aca="false">Acquisitions!F$148</f>
        <v>3.81294219490387</v>
      </c>
      <c r="G41" s="95" t="n">
        <f aca="false">Acquisitions!G$148</f>
        <v>5.26658308973825</v>
      </c>
      <c r="H41" s="95" t="n">
        <f aca="false">Acquisitions!H$148</f>
        <v>6.72022398457262</v>
      </c>
      <c r="I41" s="95" t="n">
        <f aca="false">Acquisitions!I$148</f>
        <v>8.173864879407</v>
      </c>
      <c r="J41" s="95" t="n">
        <f aca="false">Acquisitions!J$148</f>
        <v>9.62750577424137</v>
      </c>
      <c r="K41" s="95" t="n">
        <f aca="false">Acquisitions!K$148</f>
        <v>11.0811466690758</v>
      </c>
      <c r="L41" s="95" t="n">
        <f aca="false">Acquisitions!L$148</f>
        <v>12.5347875639101</v>
      </c>
      <c r="M41" s="95" t="n">
        <f aca="false">Acquisitions!M$148</f>
        <v>13.9884284587445</v>
      </c>
      <c r="N41" s="95" t="n">
        <f aca="false">Acquisitions!N$148</f>
        <v>15.4420693535789</v>
      </c>
      <c r="O41" s="78" t="n">
        <f aca="false">SUM(P41:AA41)</f>
        <v>791.472163393772</v>
      </c>
      <c r="P41" s="95" t="n">
        <f aca="false">Acquisitions!P$148</f>
        <v>49.0653317518597</v>
      </c>
      <c r="Q41" s="95" t="n">
        <f aca="false">Acquisitions!Q$148</f>
        <v>51.6463303559711</v>
      </c>
      <c r="R41" s="95" t="n">
        <f aca="false">Acquisitions!R$148</f>
        <v>54.4552184214838</v>
      </c>
      <c r="S41" s="95" t="n">
        <f aca="false">Acquisitions!S$148</f>
        <v>58.6417616589686</v>
      </c>
      <c r="T41" s="95" t="n">
        <f aca="false">Acquisitions!T$148</f>
        <v>61.6564679904614</v>
      </c>
      <c r="U41" s="95" t="n">
        <f aca="false">Acquisitions!U$148</f>
        <v>64.6711743219542</v>
      </c>
      <c r="V41" s="95" t="n">
        <f aca="false">Acquisitions!V$148</f>
        <v>67.685880653447</v>
      </c>
      <c r="W41" s="95" t="n">
        <f aca="false">Acquisitions!W$148</f>
        <v>70.7005869849397</v>
      </c>
      <c r="X41" s="95" t="n">
        <f aca="false">Acquisitions!X$148</f>
        <v>73.7152933164325</v>
      </c>
      <c r="Y41" s="95" t="n">
        <f aca="false">Acquisitions!Y$148</f>
        <v>76.7299996479253</v>
      </c>
      <c r="Z41" s="95" t="n">
        <f aca="false">Acquisitions!Z$148</f>
        <v>79.7447059794181</v>
      </c>
      <c r="AA41" s="95" t="n">
        <f aca="false">Acquisitions!AA$148</f>
        <v>82.7594123109108</v>
      </c>
      <c r="AB41" s="78" t="n">
        <f aca="false">SUM(AC41:AN41)</f>
        <v>1529.96201065425</v>
      </c>
      <c r="AC41" s="95" t="n">
        <f aca="false">Acquisitions!AC$148</f>
        <v>102.06094552153</v>
      </c>
      <c r="AD41" s="95" t="n">
        <f aca="false">Acquisitions!AD$148</f>
        <v>105.518302215407</v>
      </c>
      <c r="AE41" s="95" t="n">
        <f aca="false">Acquisitions!AE$148</f>
        <v>109.408534052851</v>
      </c>
      <c r="AF41" s="95" t="n">
        <f aca="false">Acquisitions!AF$148</f>
        <v>113.629581683276</v>
      </c>
      <c r="AG41" s="95" t="n">
        <f aca="false">Acquisitions!AG$148</f>
        <v>118.915914842025</v>
      </c>
      <c r="AH41" s="95" t="n">
        <f aca="false">Acquisitions!AH$148</f>
        <v>124.202248000775</v>
      </c>
      <c r="AI41" s="95" t="n">
        <f aca="false">Acquisitions!AI$148</f>
        <v>129.488581159524</v>
      </c>
      <c r="AJ41" s="95" t="n">
        <f aca="false">Acquisitions!AJ$148</f>
        <v>134.774914318273</v>
      </c>
      <c r="AK41" s="95" t="n">
        <f aca="false">Acquisitions!AK$148</f>
        <v>140.061247477022</v>
      </c>
      <c r="AL41" s="95" t="n">
        <f aca="false">Acquisitions!AL$148</f>
        <v>145.347580635772</v>
      </c>
      <c r="AM41" s="95" t="n">
        <f aca="false">Acquisitions!AM$148</f>
        <v>150.633913794521</v>
      </c>
      <c r="AN41" s="95" t="n">
        <f aca="false">Acquisitions!AN$148</f>
        <v>155.92024695327</v>
      </c>
      <c r="AO41" s="78" t="n">
        <f aca="false">SUM(AP41:BA41)</f>
        <v>2584.37040508186</v>
      </c>
      <c r="AP41" s="95" t="n">
        <f aca="false">Acquisitions!AP$148</f>
        <v>185.211741916019</v>
      </c>
      <c r="AQ41" s="95" t="n">
        <f aca="false">Acquisitions!AQ$148</f>
        <v>191.033035606336</v>
      </c>
      <c r="AR41" s="95" t="n">
        <f aca="false">Acquisitions!AR$148</f>
        <v>196.743430544874</v>
      </c>
      <c r="AS41" s="95" t="n">
        <f aca="false">Acquisitions!AS$148</f>
        <v>202.281475812376</v>
      </c>
      <c r="AT41" s="95" t="n">
        <f aca="false">Acquisitions!AT$148</f>
        <v>207.582834554133</v>
      </c>
      <c r="AU41" s="95" t="n">
        <f aca="false">Acquisitions!AU$148</f>
        <v>212.88419329589</v>
      </c>
      <c r="AV41" s="95" t="n">
        <f aca="false">Acquisitions!AV$148</f>
        <v>218.185552037646</v>
      </c>
      <c r="AW41" s="95" t="n">
        <f aca="false">Acquisitions!AW$148</f>
        <v>223.486910779403</v>
      </c>
      <c r="AX41" s="95" t="n">
        <f aca="false">Acquisitions!AX$148</f>
        <v>228.78826952116</v>
      </c>
      <c r="AY41" s="95" t="n">
        <f aca="false">Acquisitions!AY$148</f>
        <v>234.089628262916</v>
      </c>
      <c r="AZ41" s="95" t="n">
        <f aca="false">Acquisitions!AZ$148</f>
        <v>239.390987004673</v>
      </c>
      <c r="BA41" s="95" t="n">
        <f aca="false">Acquisitions!BA$148</f>
        <v>244.69234574643</v>
      </c>
      <c r="BB41" s="78" t="n">
        <f aca="false">SUM(BC41:BN41)</f>
        <v>3786.78357226678</v>
      </c>
      <c r="BC41" s="95" t="n">
        <f aca="false">Acquisitions!BC$148</f>
        <v>281.935946327025</v>
      </c>
      <c r="BD41" s="95" t="n">
        <f aca="false">Acquisitions!BD$148</f>
        <v>287.818761353726</v>
      </c>
      <c r="BE41" s="95" t="n">
        <f aca="false">Acquisitions!BE$148</f>
        <v>293.770432862848</v>
      </c>
      <c r="BF41" s="95" t="n">
        <f aca="false">Acquisitions!BF$148</f>
        <v>299.875390019543</v>
      </c>
      <c r="BG41" s="95" t="n">
        <f aca="false">Acquisitions!BG$148</f>
        <v>306.108165618079</v>
      </c>
      <c r="BH41" s="95" t="n">
        <f aca="false">Acquisitions!BH$148</f>
        <v>312.340941216614</v>
      </c>
      <c r="BI41" s="95" t="n">
        <f aca="false">Acquisitions!BI$148</f>
        <v>318.57371681515</v>
      </c>
      <c r="BJ41" s="95" t="n">
        <f aca="false">Acquisitions!BJ$148</f>
        <v>324.806492413686</v>
      </c>
      <c r="BK41" s="95" t="n">
        <f aca="false">Acquisitions!BK$148</f>
        <v>331.039268012222</v>
      </c>
      <c r="BL41" s="95" t="n">
        <f aca="false">Acquisitions!BL$148</f>
        <v>337.272043610758</v>
      </c>
      <c r="BM41" s="95" t="n">
        <f aca="false">Acquisitions!BM$148</f>
        <v>343.504819209294</v>
      </c>
      <c r="BN41" s="95" t="n">
        <f aca="false">Acquisitions!BN$148</f>
        <v>349.73759480783</v>
      </c>
    </row>
    <row r="42" customFormat="false" ht="15" hidden="false" customHeight="false" outlineLevel="0" collapsed="false">
      <c r="A42" s="12" t="s">
        <v>727</v>
      </c>
      <c r="B42" s="78" t="n">
        <f aca="false">N42</f>
        <v>85.0765437825624</v>
      </c>
      <c r="C42" s="95" t="n">
        <f aca="false">Acquisitions!C$149</f>
        <v>17.8928130295038</v>
      </c>
      <c r="D42" s="95" t="n">
        <f aca="false">Acquisitions!D$149</f>
        <v>19.3438072772374</v>
      </c>
      <c r="E42" s="95" t="n">
        <f aca="false">Acquisitions!E$149</f>
        <v>21.4918199471003</v>
      </c>
      <c r="F42" s="95" t="n">
        <f aca="false">Acquisitions!F$149</f>
        <v>24.0152529451781</v>
      </c>
      <c r="G42" s="95" t="n">
        <f aca="false">Acquisitions!G$149</f>
        <v>27.8409208582057</v>
      </c>
      <c r="H42" s="95" t="n">
        <f aca="false">Acquisitions!H$149</f>
        <v>32.890689591286</v>
      </c>
      <c r="I42" s="95" t="n">
        <f aca="false">Acquisitions!I$149</f>
        <v>39.0911130952158</v>
      </c>
      <c r="J42" s="95" t="n">
        <f aca="false">Acquisitions!J$149</f>
        <v>46.3731520837442</v>
      </c>
      <c r="K42" s="95" t="n">
        <f aca="false">Acquisitions!K$149</f>
        <v>54.6719096277953</v>
      </c>
      <c r="L42" s="95" t="n">
        <f aca="false">Acquisitions!L$149</f>
        <v>63.9263826140377</v>
      </c>
      <c r="M42" s="95" t="n">
        <f aca="false">Acquisitions!M$149</f>
        <v>74.07922811594</v>
      </c>
      <c r="N42" s="95" t="n">
        <f aca="false">Acquisitions!N$149</f>
        <v>85.0765437825624</v>
      </c>
      <c r="O42" s="78" t="n">
        <f aca="false">AA42</f>
        <v>636.314276174524</v>
      </c>
      <c r="P42" s="95" t="n">
        <f aca="false">Acquisitions!P$149</f>
        <v>129.037282907468</v>
      </c>
      <c r="Q42" s="95" t="n">
        <f aca="false">Acquisitions!Q$149</f>
        <v>172.941376288991</v>
      </c>
      <c r="R42" s="95" t="n">
        <f aca="false">Acquisitions!R$149</f>
        <v>217.020112133136</v>
      </c>
      <c r="S42" s="95" t="n">
        <f aca="false">Acquisitions!S$149</f>
        <v>262.640667064116</v>
      </c>
      <c r="T42" s="95" t="n">
        <f aca="false">Acquisitions!T$149</f>
        <v>308.538695030731</v>
      </c>
      <c r="U42" s="95" t="n">
        <f aca="false">Acquisitions!U$149</f>
        <v>354.697547650841</v>
      </c>
      <c r="V42" s="95" t="n">
        <f aca="false">Acquisitions!V$149</f>
        <v>401.101575445237</v>
      </c>
      <c r="W42" s="95" t="n">
        <f aca="false">Acquisitions!W$149</f>
        <v>447.736067903463</v>
      </c>
      <c r="X42" s="95" t="n">
        <f aca="false">Acquisitions!X$149</f>
        <v>494.587197145687</v>
      </c>
      <c r="Y42" s="95" t="n">
        <f aca="false">Acquisitions!Y$149</f>
        <v>541.641964964871</v>
      </c>
      <c r="Z42" s="95" t="n">
        <f aca="false">Acquisitions!Z$149</f>
        <v>588.888153046397</v>
      </c>
      <c r="AA42" s="95" t="n">
        <f aca="false">Acquisitions!AA$149</f>
        <v>636.314276174524</v>
      </c>
      <c r="AB42" s="78" t="n">
        <f aca="false">AN42</f>
        <v>1448.63062970082</v>
      </c>
      <c r="AC42" s="95" t="n">
        <f aca="false">Acquisitions!AC$149</f>
        <v>700.196365125583</v>
      </c>
      <c r="AD42" s="95" t="n">
        <f aca="false">Acquisitions!AD$149</f>
        <v>763.702885433455</v>
      </c>
      <c r="AE42" s="95" t="n">
        <f aca="false">Acquisitions!AE$149</f>
        <v>827.289246360298</v>
      </c>
      <c r="AF42" s="95" t="n">
        <f aca="false">Acquisitions!AF$149</f>
        <v>891.281473261956</v>
      </c>
      <c r="AG42" s="95" t="n">
        <f aca="false">Acquisitions!AG$149</f>
        <v>956.720499708264</v>
      </c>
      <c r="AH42" s="95" t="n">
        <f aca="false">Acquisitions!AH$149</f>
        <v>1023.51951772654</v>
      </c>
      <c r="AI42" s="95" t="n">
        <f aca="false">Acquisitions!AI$149</f>
        <v>1091.59692782247</v>
      </c>
      <c r="AJ42" s="95" t="n">
        <f aca="false">Acquisitions!AJ$149</f>
        <v>1160.8760264714</v>
      </c>
      <c r="AK42" s="95" t="n">
        <f aca="false">Acquisitions!AK$149</f>
        <v>1231.28471236014</v>
      </c>
      <c r="AL42" s="95" t="n">
        <f aca="false">Acquisitions!AL$149</f>
        <v>1302.7552102543</v>
      </c>
      <c r="AM42" s="95" t="n">
        <f aca="false">Acquisitions!AM$149</f>
        <v>1375.22381143356</v>
      </c>
      <c r="AN42" s="95" t="n">
        <f aca="false">Acquisitions!AN$149</f>
        <v>1448.63062970082</v>
      </c>
      <c r="AO42" s="78" t="n">
        <f aca="false">BA42</f>
        <v>2604.81482758888</v>
      </c>
      <c r="AP42" s="95" t="n">
        <f aca="false">Acquisitions!AP$149</f>
        <v>1546.92453383479</v>
      </c>
      <c r="AQ42" s="95" t="n">
        <f aca="false">Acquisitions!AQ$149</f>
        <v>1645.14209741104</v>
      </c>
      <c r="AR42" s="95" t="n">
        <f aca="false">Acquisitions!AR$149</f>
        <v>1743.17700211125</v>
      </c>
      <c r="AS42" s="95" t="n">
        <f aca="false">Acquisitions!AS$149</f>
        <v>1840.86785779695</v>
      </c>
      <c r="AT42" s="95" t="n">
        <f aca="false">Acquisitions!AT$149</f>
        <v>1937.99862088327</v>
      </c>
      <c r="AU42" s="95" t="n">
        <f aca="false">Acquisitions!AU$149</f>
        <v>2034.60289692616</v>
      </c>
      <c r="AV42" s="95" t="n">
        <f aca="false">Acquisitions!AV$149</f>
        <v>2130.71227514824</v>
      </c>
      <c r="AW42" s="95" t="n">
        <f aca="false">Acquisitions!AW$149</f>
        <v>2226.35644941875</v>
      </c>
      <c r="AX42" s="95" t="n">
        <f aca="false">Acquisitions!AX$149</f>
        <v>2321.56333197478</v>
      </c>
      <c r="AY42" s="95" t="n">
        <f aca="false">Acquisitions!AY$149</f>
        <v>2416.35916031921</v>
      </c>
      <c r="AZ42" s="95" t="n">
        <f aca="false">Acquisitions!AZ$149</f>
        <v>2510.76859770473</v>
      </c>
      <c r="BA42" s="95" t="n">
        <f aca="false">Acquisitions!BA$149</f>
        <v>2604.81482758888</v>
      </c>
      <c r="BB42" s="78" t="n">
        <f aca="false">BN42</f>
        <v>4035.55049508742</v>
      </c>
      <c r="BC42" s="95" t="n">
        <f aca="false">Acquisitions!BC$149</f>
        <v>2730.46188426057</v>
      </c>
      <c r="BD42" s="95" t="n">
        <f aca="false">Acquisitions!BD$149</f>
        <v>2854.45293255866</v>
      </c>
      <c r="BE42" s="95" t="n">
        <f aca="false">Acquisitions!BE$149</f>
        <v>2976.95618946799</v>
      </c>
      <c r="BF42" s="95" t="n">
        <f aca="false">Acquisitions!BF$149</f>
        <v>3098.21420811945</v>
      </c>
      <c r="BG42" s="95" t="n">
        <f aca="false">Acquisitions!BG$149</f>
        <v>3218.42952125036</v>
      </c>
      <c r="BH42" s="95" t="n">
        <f aca="false">Acquisitions!BH$149</f>
        <v>3337.66469119195</v>
      </c>
      <c r="BI42" s="95" t="n">
        <f aca="false">Acquisitions!BI$149</f>
        <v>3455.97852653559</v>
      </c>
      <c r="BJ42" s="95" t="n">
        <f aca="false">Acquisitions!BJ$149</f>
        <v>3573.42630735714</v>
      </c>
      <c r="BK42" s="95" t="n">
        <f aca="false">Acquisitions!BK$149</f>
        <v>3690.05999692793</v>
      </c>
      <c r="BL42" s="95" t="n">
        <f aca="false">Acquisitions!BL$149</f>
        <v>3805.92844072301</v>
      </c>
      <c r="BM42" s="95" t="n">
        <f aca="false">Acquisitions!BM$149</f>
        <v>3921.07755348893</v>
      </c>
      <c r="BN42" s="95" t="n">
        <f aca="false">Acquisitions!BN$149</f>
        <v>4035.55049508742</v>
      </c>
    </row>
    <row r="43" customFormat="false" ht="15" hidden="false" customHeight="false" outlineLevel="0" collapsed="false">
      <c r="A43" s="12" t="s">
        <v>728</v>
      </c>
      <c r="B43" s="84" t="n">
        <f aca="false">IFERROR(AVERAGE(C43:N43),0)</f>
        <v>18</v>
      </c>
      <c r="C43" s="85" t="n">
        <f aca="false">'Assumption Setting'!$C$135*(1-'Assumption Setting'!$C$137)+'Assumption Setting'!$C$136*'Assumption Setting'!$C$137</f>
        <v>18</v>
      </c>
      <c r="D43" s="85" t="n">
        <f aca="false">'Assumption Setting'!$C$135*(1-'Assumption Setting'!$C$137)+'Assumption Setting'!$C$136*'Assumption Setting'!$C$137</f>
        <v>18</v>
      </c>
      <c r="E43" s="85" t="n">
        <f aca="false">'Assumption Setting'!$C$135*(1-'Assumption Setting'!$C$137)+'Assumption Setting'!$C$136*'Assumption Setting'!$C$137</f>
        <v>18</v>
      </c>
      <c r="F43" s="85" t="n">
        <f aca="false">'Assumption Setting'!$C$135*(1-'Assumption Setting'!$C$137)+'Assumption Setting'!$C$136*'Assumption Setting'!$C$137</f>
        <v>18</v>
      </c>
      <c r="G43" s="85" t="n">
        <f aca="false">'Assumption Setting'!$C$135*(1-'Assumption Setting'!$C$137)+'Assumption Setting'!$C$136*'Assumption Setting'!$C$137</f>
        <v>18</v>
      </c>
      <c r="H43" s="85" t="n">
        <f aca="false">'Assumption Setting'!$C$135*(1-'Assumption Setting'!$C$137)+'Assumption Setting'!$C$136*'Assumption Setting'!$C$137</f>
        <v>18</v>
      </c>
      <c r="I43" s="85" t="n">
        <f aca="false">'Assumption Setting'!$C$135*(1-'Assumption Setting'!$C$137)+'Assumption Setting'!$C$136*'Assumption Setting'!$C$137</f>
        <v>18</v>
      </c>
      <c r="J43" s="85" t="n">
        <f aca="false">'Assumption Setting'!$C$135*(1-'Assumption Setting'!$C$137)+'Assumption Setting'!$C$136*'Assumption Setting'!$C$137</f>
        <v>18</v>
      </c>
      <c r="K43" s="85" t="n">
        <f aca="false">'Assumption Setting'!$C$135*(1-'Assumption Setting'!$C$137)+'Assumption Setting'!$C$136*'Assumption Setting'!$C$137</f>
        <v>18</v>
      </c>
      <c r="L43" s="85" t="n">
        <f aca="false">'Assumption Setting'!$C$135*(1-'Assumption Setting'!$C$137)+'Assumption Setting'!$C$136*'Assumption Setting'!$C$137</f>
        <v>18</v>
      </c>
      <c r="M43" s="85" t="n">
        <f aca="false">'Assumption Setting'!$C$135*(1-'Assumption Setting'!$C$137)+'Assumption Setting'!$C$136*'Assumption Setting'!$C$137</f>
        <v>18</v>
      </c>
      <c r="N43" s="85" t="n">
        <f aca="false">'Assumption Setting'!$C$135*(1-'Assumption Setting'!$C$137)+'Assumption Setting'!$C$136*'Assumption Setting'!$C$137</f>
        <v>18</v>
      </c>
      <c r="O43" s="84" t="n">
        <f aca="false">IFERROR(AVERAGE(P43:AA43),0)</f>
        <v>18</v>
      </c>
      <c r="P43" s="85" t="n">
        <f aca="false">'Assumption Setting'!$C$135*(1-'Assumption Setting'!$C$137)+'Assumption Setting'!$C$136*'Assumption Setting'!$C$137</f>
        <v>18</v>
      </c>
      <c r="Q43" s="85" t="n">
        <f aca="false">'Assumption Setting'!$C$135*(1-'Assumption Setting'!$C$137)+'Assumption Setting'!$C$136*'Assumption Setting'!$C$137</f>
        <v>18</v>
      </c>
      <c r="R43" s="85" t="n">
        <f aca="false">'Assumption Setting'!$C$135*(1-'Assumption Setting'!$C$137)+'Assumption Setting'!$C$136*'Assumption Setting'!$C$137</f>
        <v>18</v>
      </c>
      <c r="S43" s="85" t="n">
        <f aca="false">'Assumption Setting'!$C$135*(1-'Assumption Setting'!$C$137)+'Assumption Setting'!$C$136*'Assumption Setting'!$C$137</f>
        <v>18</v>
      </c>
      <c r="T43" s="85" t="n">
        <f aca="false">'Assumption Setting'!$C$135*(1-'Assumption Setting'!$C$137)+'Assumption Setting'!$C$136*'Assumption Setting'!$C$137</f>
        <v>18</v>
      </c>
      <c r="U43" s="85" t="n">
        <f aca="false">'Assumption Setting'!$C$135*(1-'Assumption Setting'!$C$137)+'Assumption Setting'!$C$136*'Assumption Setting'!$C$137</f>
        <v>18</v>
      </c>
      <c r="V43" s="85" t="n">
        <f aca="false">'Assumption Setting'!$C$135*(1-'Assumption Setting'!$C$137)+'Assumption Setting'!$C$136*'Assumption Setting'!$C$137</f>
        <v>18</v>
      </c>
      <c r="W43" s="85" t="n">
        <f aca="false">'Assumption Setting'!$C$135*(1-'Assumption Setting'!$C$137)+'Assumption Setting'!$C$136*'Assumption Setting'!$C$137</f>
        <v>18</v>
      </c>
      <c r="X43" s="85" t="n">
        <f aca="false">'Assumption Setting'!$C$135*(1-'Assumption Setting'!$C$137)+'Assumption Setting'!$C$136*'Assumption Setting'!$C$137</f>
        <v>18</v>
      </c>
      <c r="Y43" s="85" t="n">
        <f aca="false">'Assumption Setting'!$C$135*(1-'Assumption Setting'!$C$137)+'Assumption Setting'!$C$136*'Assumption Setting'!$C$137</f>
        <v>18</v>
      </c>
      <c r="Z43" s="85" t="n">
        <f aca="false">'Assumption Setting'!$C$135*(1-'Assumption Setting'!$C$137)+'Assumption Setting'!$C$136*'Assumption Setting'!$C$137</f>
        <v>18</v>
      </c>
      <c r="AA43" s="85" t="n">
        <f aca="false">'Assumption Setting'!$C$135*(1-'Assumption Setting'!$C$137)+'Assumption Setting'!$C$136*'Assumption Setting'!$C$137</f>
        <v>18</v>
      </c>
      <c r="AB43" s="84" t="n">
        <f aca="false">IFERROR(AVERAGE(AC43:AN43),0)</f>
        <v>18</v>
      </c>
      <c r="AC43" s="85" t="n">
        <f aca="false">'Assumption Setting'!$C$135*(1-'Assumption Setting'!$C$137)+'Assumption Setting'!$C$136*'Assumption Setting'!$C$137</f>
        <v>18</v>
      </c>
      <c r="AD43" s="85" t="n">
        <f aca="false">'Assumption Setting'!$C$135*(1-'Assumption Setting'!$C$137)+'Assumption Setting'!$C$136*'Assumption Setting'!$C$137</f>
        <v>18</v>
      </c>
      <c r="AE43" s="85" t="n">
        <f aca="false">'Assumption Setting'!$C$135*(1-'Assumption Setting'!$C$137)+'Assumption Setting'!$C$136*'Assumption Setting'!$C$137</f>
        <v>18</v>
      </c>
      <c r="AF43" s="85" t="n">
        <f aca="false">'Assumption Setting'!$C$135*(1-'Assumption Setting'!$C$137)+'Assumption Setting'!$C$136*'Assumption Setting'!$C$137</f>
        <v>18</v>
      </c>
      <c r="AG43" s="85" t="n">
        <f aca="false">'Assumption Setting'!$C$135*(1-'Assumption Setting'!$C$137)+'Assumption Setting'!$C$136*'Assumption Setting'!$C$137</f>
        <v>18</v>
      </c>
      <c r="AH43" s="85" t="n">
        <f aca="false">'Assumption Setting'!$C$135*(1-'Assumption Setting'!$C$137)+'Assumption Setting'!$C$136*'Assumption Setting'!$C$137</f>
        <v>18</v>
      </c>
      <c r="AI43" s="85" t="n">
        <f aca="false">'Assumption Setting'!$C$135*(1-'Assumption Setting'!$C$137)+'Assumption Setting'!$C$136*'Assumption Setting'!$C$137</f>
        <v>18</v>
      </c>
      <c r="AJ43" s="85" t="n">
        <f aca="false">'Assumption Setting'!$C$135*(1-'Assumption Setting'!$C$137)+'Assumption Setting'!$C$136*'Assumption Setting'!$C$137</f>
        <v>18</v>
      </c>
      <c r="AK43" s="85" t="n">
        <f aca="false">'Assumption Setting'!$C$135*(1-'Assumption Setting'!$C$137)+'Assumption Setting'!$C$136*'Assumption Setting'!$C$137</f>
        <v>18</v>
      </c>
      <c r="AL43" s="85" t="n">
        <f aca="false">'Assumption Setting'!$C$135*(1-'Assumption Setting'!$C$137)+'Assumption Setting'!$C$136*'Assumption Setting'!$C$137</f>
        <v>18</v>
      </c>
      <c r="AM43" s="85" t="n">
        <f aca="false">'Assumption Setting'!$C$135*(1-'Assumption Setting'!$C$137)+'Assumption Setting'!$C$136*'Assumption Setting'!$C$137</f>
        <v>18</v>
      </c>
      <c r="AN43" s="85" t="n">
        <f aca="false">'Assumption Setting'!$C$135*(1-'Assumption Setting'!$C$137)+'Assumption Setting'!$C$136*'Assumption Setting'!$C$137</f>
        <v>18</v>
      </c>
      <c r="AO43" s="84" t="n">
        <f aca="false">IFERROR(AVERAGE(AP43:BA43),0)</f>
        <v>18</v>
      </c>
      <c r="AP43" s="85" t="n">
        <f aca="false">'Assumption Setting'!$C$135*(1-'Assumption Setting'!$C$137)+'Assumption Setting'!$C$136*'Assumption Setting'!$C$137</f>
        <v>18</v>
      </c>
      <c r="AQ43" s="85" t="n">
        <f aca="false">'Assumption Setting'!$C$135*(1-'Assumption Setting'!$C$137)+'Assumption Setting'!$C$136*'Assumption Setting'!$C$137</f>
        <v>18</v>
      </c>
      <c r="AR43" s="85" t="n">
        <f aca="false">'Assumption Setting'!$C$135*(1-'Assumption Setting'!$C$137)+'Assumption Setting'!$C$136*'Assumption Setting'!$C$137</f>
        <v>18</v>
      </c>
      <c r="AS43" s="85" t="n">
        <f aca="false">'Assumption Setting'!$C$135*(1-'Assumption Setting'!$C$137)+'Assumption Setting'!$C$136*'Assumption Setting'!$C$137</f>
        <v>18</v>
      </c>
      <c r="AT43" s="85" t="n">
        <f aca="false">'Assumption Setting'!$C$135*(1-'Assumption Setting'!$C$137)+'Assumption Setting'!$C$136*'Assumption Setting'!$C$137</f>
        <v>18</v>
      </c>
      <c r="AU43" s="85" t="n">
        <f aca="false">'Assumption Setting'!$C$135*(1-'Assumption Setting'!$C$137)+'Assumption Setting'!$C$136*'Assumption Setting'!$C$137</f>
        <v>18</v>
      </c>
      <c r="AV43" s="85" t="n">
        <f aca="false">'Assumption Setting'!$C$135*(1-'Assumption Setting'!$C$137)+'Assumption Setting'!$C$136*'Assumption Setting'!$C$137</f>
        <v>18</v>
      </c>
      <c r="AW43" s="85" t="n">
        <f aca="false">'Assumption Setting'!$C$135*(1-'Assumption Setting'!$C$137)+'Assumption Setting'!$C$136*'Assumption Setting'!$C$137</f>
        <v>18</v>
      </c>
      <c r="AX43" s="85" t="n">
        <f aca="false">'Assumption Setting'!$C$135*(1-'Assumption Setting'!$C$137)+'Assumption Setting'!$C$136*'Assumption Setting'!$C$137</f>
        <v>18</v>
      </c>
      <c r="AY43" s="85" t="n">
        <f aca="false">'Assumption Setting'!$C$135*(1-'Assumption Setting'!$C$137)+'Assumption Setting'!$C$136*'Assumption Setting'!$C$137</f>
        <v>18</v>
      </c>
      <c r="AZ43" s="85" t="n">
        <f aca="false">'Assumption Setting'!$C$135*(1-'Assumption Setting'!$C$137)+'Assumption Setting'!$C$136*'Assumption Setting'!$C$137</f>
        <v>18</v>
      </c>
      <c r="BA43" s="85" t="n">
        <f aca="false">'Assumption Setting'!$C$135*(1-'Assumption Setting'!$C$137)+'Assumption Setting'!$C$136*'Assumption Setting'!$C$137</f>
        <v>18</v>
      </c>
      <c r="BB43" s="84" t="n">
        <f aca="false">IFERROR(AVERAGE(BC43:BN43),0)</f>
        <v>18</v>
      </c>
      <c r="BC43" s="85" t="n">
        <f aca="false">'Assumption Setting'!$C$135*(1-'Assumption Setting'!$C$137)+'Assumption Setting'!$C$136*'Assumption Setting'!$C$137</f>
        <v>18</v>
      </c>
      <c r="BD43" s="85" t="n">
        <f aca="false">'Assumption Setting'!$C$135*(1-'Assumption Setting'!$C$137)+'Assumption Setting'!$C$136*'Assumption Setting'!$C$137</f>
        <v>18</v>
      </c>
      <c r="BE43" s="85" t="n">
        <f aca="false">'Assumption Setting'!$C$135*(1-'Assumption Setting'!$C$137)+'Assumption Setting'!$C$136*'Assumption Setting'!$C$137</f>
        <v>18</v>
      </c>
      <c r="BF43" s="85" t="n">
        <f aca="false">'Assumption Setting'!$C$135*(1-'Assumption Setting'!$C$137)+'Assumption Setting'!$C$136*'Assumption Setting'!$C$137</f>
        <v>18</v>
      </c>
      <c r="BG43" s="85" t="n">
        <f aca="false">'Assumption Setting'!$C$135*(1-'Assumption Setting'!$C$137)+'Assumption Setting'!$C$136*'Assumption Setting'!$C$137</f>
        <v>18</v>
      </c>
      <c r="BH43" s="85" t="n">
        <f aca="false">'Assumption Setting'!$C$135*(1-'Assumption Setting'!$C$137)+'Assumption Setting'!$C$136*'Assumption Setting'!$C$137</f>
        <v>18</v>
      </c>
      <c r="BI43" s="85" t="n">
        <f aca="false">'Assumption Setting'!$C$135*(1-'Assumption Setting'!$C$137)+'Assumption Setting'!$C$136*'Assumption Setting'!$C$137</f>
        <v>18</v>
      </c>
      <c r="BJ43" s="85" t="n">
        <f aca="false">'Assumption Setting'!$C$135*(1-'Assumption Setting'!$C$137)+'Assumption Setting'!$C$136*'Assumption Setting'!$C$137</f>
        <v>18</v>
      </c>
      <c r="BK43" s="85" t="n">
        <f aca="false">'Assumption Setting'!$C$135*(1-'Assumption Setting'!$C$137)+'Assumption Setting'!$C$136*'Assumption Setting'!$C$137</f>
        <v>18</v>
      </c>
      <c r="BL43" s="85" t="n">
        <f aca="false">'Assumption Setting'!$C$135*(1-'Assumption Setting'!$C$137)+'Assumption Setting'!$C$136*'Assumption Setting'!$C$137</f>
        <v>18</v>
      </c>
      <c r="BM43" s="85" t="n">
        <f aca="false">'Assumption Setting'!$C$135*(1-'Assumption Setting'!$C$137)+'Assumption Setting'!$C$136*'Assumption Setting'!$C$137</f>
        <v>18</v>
      </c>
      <c r="BN43" s="85" t="n">
        <f aca="false">'Assumption Setting'!$C$135*(1-'Assumption Setting'!$C$137)+'Assumption Setting'!$C$136*'Assumption Setting'!$C$137</f>
        <v>18</v>
      </c>
    </row>
    <row r="44" customFormat="false" ht="15" hidden="false" customHeight="false" outlineLevel="0" collapsed="false">
      <c r="A44" s="12" t="s">
        <v>729</v>
      </c>
      <c r="B44" s="64" t="n">
        <f aca="false">SUM(C44:N44)</f>
        <v>1950.72424440619</v>
      </c>
      <c r="C44" s="65" t="n">
        <f aca="false">C41*C43</f>
        <v>286.070634531069</v>
      </c>
      <c r="D44" s="65" t="n">
        <f aca="false">D41*D43</f>
        <v>45.4421345310689</v>
      </c>
      <c r="E44" s="65" t="n">
        <f aca="false">E41*E43</f>
        <v>59.5555399169481</v>
      </c>
      <c r="F44" s="65" t="n">
        <f aca="false">F41*F43</f>
        <v>68.6329595082697</v>
      </c>
      <c r="G44" s="65" t="n">
        <f aca="false">G41*G43</f>
        <v>94.7984956152884</v>
      </c>
      <c r="H44" s="65" t="n">
        <f aca="false">H41*H43</f>
        <v>120.964031722307</v>
      </c>
      <c r="I44" s="65" t="n">
        <f aca="false">I41*I43</f>
        <v>147.129567829326</v>
      </c>
      <c r="J44" s="65" t="n">
        <f aca="false">J41*J43</f>
        <v>173.295103936345</v>
      </c>
      <c r="K44" s="65" t="n">
        <f aca="false">K41*K43</f>
        <v>199.460640043364</v>
      </c>
      <c r="L44" s="65" t="n">
        <f aca="false">L41*L43</f>
        <v>225.626176150382</v>
      </c>
      <c r="M44" s="65" t="n">
        <f aca="false">M41*M43</f>
        <v>251.791712257401</v>
      </c>
      <c r="N44" s="65" t="n">
        <f aca="false">N41*N43</f>
        <v>277.95724836442</v>
      </c>
      <c r="O44" s="64" t="n">
        <f aca="false">SUM(P44:AA44)</f>
        <v>14246.4989410879</v>
      </c>
      <c r="P44" s="65" t="n">
        <f aca="false">P41*P43</f>
        <v>883.175971533474</v>
      </c>
      <c r="Q44" s="65" t="n">
        <f aca="false">Q41*Q43</f>
        <v>929.633946407479</v>
      </c>
      <c r="R44" s="65" t="n">
        <f aca="false">R41*R43</f>
        <v>980.193931586708</v>
      </c>
      <c r="S44" s="65" t="n">
        <f aca="false">S41*S43</f>
        <v>1055.55170986144</v>
      </c>
      <c r="T44" s="65" t="n">
        <f aca="false">T41*T43</f>
        <v>1109.81642382831</v>
      </c>
      <c r="U44" s="65" t="n">
        <f aca="false">U41*U43</f>
        <v>1164.08113779518</v>
      </c>
      <c r="V44" s="65" t="n">
        <f aca="false">V41*V43</f>
        <v>1218.34585176205</v>
      </c>
      <c r="W44" s="65" t="n">
        <f aca="false">W41*W43</f>
        <v>1272.61056572892</v>
      </c>
      <c r="X44" s="65" t="n">
        <f aca="false">X41*X43</f>
        <v>1326.87527969579</v>
      </c>
      <c r="Y44" s="65" t="n">
        <f aca="false">Y41*Y43</f>
        <v>1381.13999366266</v>
      </c>
      <c r="Z44" s="65" t="n">
        <f aca="false">Z41*Z43</f>
        <v>1435.40470762953</v>
      </c>
      <c r="AA44" s="65" t="n">
        <f aca="false">AA41*AA43</f>
        <v>1489.66942159639</v>
      </c>
      <c r="AB44" s="64" t="n">
        <f aca="false">SUM(AC44:AN44)</f>
        <v>27539.3161917764</v>
      </c>
      <c r="AC44" s="65" t="n">
        <f aca="false">AC41*AC43</f>
        <v>1837.09701938754</v>
      </c>
      <c r="AD44" s="65" t="n">
        <f aca="false">AD41*AD43</f>
        <v>1899.32943987732</v>
      </c>
      <c r="AE44" s="65" t="n">
        <f aca="false">AE41*AE43</f>
        <v>1969.35361295131</v>
      </c>
      <c r="AF44" s="65" t="n">
        <f aca="false">AF41*AF43</f>
        <v>2045.33247029897</v>
      </c>
      <c r="AG44" s="65" t="n">
        <f aca="false">AG41*AG43</f>
        <v>2140.48646715646</v>
      </c>
      <c r="AH44" s="65" t="n">
        <f aca="false">AH41*AH43</f>
        <v>2235.64046401394</v>
      </c>
      <c r="AI44" s="65" t="n">
        <f aca="false">AI41*AI43</f>
        <v>2330.79446087143</v>
      </c>
      <c r="AJ44" s="65" t="n">
        <f aca="false">AJ41*AJ43</f>
        <v>2425.94845772892</v>
      </c>
      <c r="AK44" s="65" t="n">
        <f aca="false">AK41*AK43</f>
        <v>2521.1024545864</v>
      </c>
      <c r="AL44" s="65" t="n">
        <f aca="false">AL41*AL43</f>
        <v>2616.25645144389</v>
      </c>
      <c r="AM44" s="65" t="n">
        <f aca="false">AM41*AM43</f>
        <v>2711.41044830138</v>
      </c>
      <c r="AN44" s="65" t="n">
        <f aca="false">AN41*AN43</f>
        <v>2806.56444515887</v>
      </c>
      <c r="AO44" s="64" t="n">
        <f aca="false">SUM(AP44:BA44)</f>
        <v>46518.6672914734</v>
      </c>
      <c r="AP44" s="65" t="n">
        <f aca="false">AP41*AP43</f>
        <v>3333.81135448834</v>
      </c>
      <c r="AQ44" s="65" t="n">
        <f aca="false">AQ41*AQ43</f>
        <v>3438.59464091404</v>
      </c>
      <c r="AR44" s="65" t="n">
        <f aca="false">AR41*AR43</f>
        <v>3541.38174980772</v>
      </c>
      <c r="AS44" s="65" t="n">
        <f aca="false">AS41*AS43</f>
        <v>3641.06656462278</v>
      </c>
      <c r="AT44" s="65" t="n">
        <f aca="false">AT41*AT43</f>
        <v>3736.4910219744</v>
      </c>
      <c r="AU44" s="65" t="n">
        <f aca="false">AU41*AU43</f>
        <v>3831.91547932602</v>
      </c>
      <c r="AV44" s="65" t="n">
        <f aca="false">AV41*AV43</f>
        <v>3927.33993667763</v>
      </c>
      <c r="AW44" s="65" t="n">
        <f aca="false">AW41*AW43</f>
        <v>4022.76439402925</v>
      </c>
      <c r="AX44" s="65" t="n">
        <f aca="false">AX41*AX43</f>
        <v>4118.18885138087</v>
      </c>
      <c r="AY44" s="65" t="n">
        <f aca="false">AY41*AY43</f>
        <v>4213.61330873249</v>
      </c>
      <c r="AZ44" s="65" t="n">
        <f aca="false">AZ41*AZ43</f>
        <v>4309.03776608411</v>
      </c>
      <c r="BA44" s="65" t="n">
        <f aca="false">BA41*BA43</f>
        <v>4404.46222343573</v>
      </c>
      <c r="BB44" s="64" t="n">
        <f aca="false">SUM(BC44:BN44)</f>
        <v>68162.104300802</v>
      </c>
      <c r="BC44" s="65" t="n">
        <f aca="false">BC41*BC43</f>
        <v>5074.84703388645</v>
      </c>
      <c r="BD44" s="65" t="n">
        <f aca="false">BD41*BD43</f>
        <v>5180.73770436707</v>
      </c>
      <c r="BE44" s="65" t="n">
        <f aca="false">BE41*BE43</f>
        <v>5287.86779153126</v>
      </c>
      <c r="BF44" s="65" t="n">
        <f aca="false">BF41*BF43</f>
        <v>5397.75702035177</v>
      </c>
      <c r="BG44" s="65" t="n">
        <f aca="false">BG41*BG43</f>
        <v>5509.94698112541</v>
      </c>
      <c r="BH44" s="65" t="n">
        <f aca="false">BH41*BH43</f>
        <v>5622.13694189906</v>
      </c>
      <c r="BI44" s="65" t="n">
        <f aca="false">BI41*BI43</f>
        <v>5734.32690267271</v>
      </c>
      <c r="BJ44" s="65" t="n">
        <f aca="false">BJ41*BJ43</f>
        <v>5846.51686344635</v>
      </c>
      <c r="BK44" s="65" t="n">
        <f aca="false">BK41*BK43</f>
        <v>5958.70682422</v>
      </c>
      <c r="BL44" s="65" t="n">
        <f aca="false">BL41*BL43</f>
        <v>6070.89678499365</v>
      </c>
      <c r="BM44" s="65" t="n">
        <f aca="false">BM41*BM43</f>
        <v>6183.08674576729</v>
      </c>
      <c r="BN44" s="65" t="n">
        <f aca="false">BN41*BN43</f>
        <v>6295.27670654094</v>
      </c>
    </row>
    <row r="45" customFormat="false" ht="15" hidden="false" customHeight="false" outlineLevel="0" collapsed="false">
      <c r="A45" s="12" t="s">
        <v>730</v>
      </c>
      <c r="B45" s="64" t="n">
        <f aca="false">SUM(C45:N45)</f>
        <v>896.384500341538</v>
      </c>
      <c r="C45" s="65" t="n">
        <f aca="false">(C44)/12</f>
        <v>23.8392195442557</v>
      </c>
      <c r="D45" s="65" t="n">
        <f aca="false">(C44+D44)/12</f>
        <v>27.6260640885115</v>
      </c>
      <c r="E45" s="65" t="n">
        <f aca="false">(C44+D44+E44)/12</f>
        <v>32.5890257482572</v>
      </c>
      <c r="F45" s="65" t="n">
        <f aca="false">(C44+D44+E44+F44)/12</f>
        <v>38.308439040613</v>
      </c>
      <c r="G45" s="65" t="n">
        <f aca="false">(C44+D44+E44+F44+G44)/12</f>
        <v>46.2083136752203</v>
      </c>
      <c r="H45" s="65" t="n">
        <f aca="false">(C44+D44+E44+F44+G44+H44)/12</f>
        <v>56.2886496520793</v>
      </c>
      <c r="I45" s="65" t="n">
        <f aca="false">(C44+D44+E44+F44+G44+H44+I44)/12</f>
        <v>68.5494469711898</v>
      </c>
      <c r="J45" s="65" t="n">
        <f aca="false">(C44+D44+E44+F44+G44+H44+I44+J44)/12</f>
        <v>82.9907056325518</v>
      </c>
      <c r="K45" s="65" t="n">
        <f aca="false">(C44+D44+E44+F44+G44+H44+I44+J44+K44)/12</f>
        <v>99.6124256361654</v>
      </c>
      <c r="L45" s="65" t="n">
        <f aca="false">(C44+D44+E44+F44+G44+H44+I44+J44+K44+L44)/12</f>
        <v>118.414606982031</v>
      </c>
      <c r="M45" s="65" t="n">
        <f aca="false">(C44+D44+E44+F44+G44+H44+I44+J44+K44+L44+M44)/12</f>
        <v>139.397249670147</v>
      </c>
      <c r="N45" s="65" t="n">
        <f aca="false">(C44+D44+E44+F44+G44+H44+I44+J44+K44+L44+M44+N44)/12</f>
        <v>162.560353700516</v>
      </c>
      <c r="O45" s="64" t="n">
        <f aca="false">SUM(P45:AA45)</f>
        <v>8107.47449444299</v>
      </c>
      <c r="P45" s="65" t="n">
        <f aca="false">(D44+E44+F44+G44+H44+I44+J44+K44+L44+M44+N44+P44)/12</f>
        <v>212.319131784049</v>
      </c>
      <c r="Q45" s="65" t="n">
        <f aca="false">(E44+F44+G44+H44+I44+J44+K44+L44+M44+N44+P44+Q44)/12</f>
        <v>286.00178277375</v>
      </c>
      <c r="R45" s="65" t="n">
        <f aca="false">(F44+G44+H44+I44+J44+K44+L44+M44+N44+P44+Q44+R44)/12</f>
        <v>362.72164874623</v>
      </c>
      <c r="S45" s="65" t="n">
        <f aca="false">(G44+H44+I44+J44+K44+L44+M44+N44+P44+Q44+R44+S44)/12</f>
        <v>444.964877942328</v>
      </c>
      <c r="T45" s="65" t="n">
        <f aca="false">(H44+I44+J44+K44+L44+M44+N44+P44+Q44+R44+S44+T44)/12</f>
        <v>529.549705293412</v>
      </c>
      <c r="U45" s="65" t="n">
        <f aca="false">(I44+J44+K44+L44+M44+N44+P44+Q44+R44+S44+T44+U44)/12</f>
        <v>616.476130799484</v>
      </c>
      <c r="V45" s="65" t="n">
        <f aca="false">(J44+K44+L44+M44+N44+P44+Q44+R44+S44+T44+U44+V44)/12</f>
        <v>705.744154460545</v>
      </c>
      <c r="W45" s="65" t="n">
        <f aca="false">(K44+L44+M44+N44+P44+Q44+R44+S44+T44+U44+V44+W44)/12</f>
        <v>797.353776276592</v>
      </c>
      <c r="X45" s="65" t="n">
        <f aca="false">(L44+M44+N44+P44+Q44+R44+S44+T44+U44+V44+W44+X44)/12</f>
        <v>891.304996247627</v>
      </c>
      <c r="Y45" s="65" t="n">
        <f aca="false">(M44+N44+P44+Q44+R44+S44+T44+U44+V44+W44+X44+Y44)/12</f>
        <v>987.59781437365</v>
      </c>
      <c r="Z45" s="65" t="n">
        <f aca="false">(N44+P44+Q44+R44+S44+T44+U44+V44+W44+X44+Y44+Z44)/12</f>
        <v>1086.23223065466</v>
      </c>
      <c r="AA45" s="65" t="n">
        <f aca="false">(P44+Q44+R44+S44+T44+U44+V44+W44+X44+Y44+Z44+AA44)/12</f>
        <v>1187.20824509066</v>
      </c>
      <c r="AB45" s="64" t="n">
        <f aca="false">SUM(AC45:AN45)</f>
        <v>21034.1779396401</v>
      </c>
      <c r="AC45" s="65" t="n">
        <f aca="false">(Q44+R44+S44+T44+U44+V44+W44+X44+Y44+Z44+AA44+AC44)/12</f>
        <v>1266.70166574516</v>
      </c>
      <c r="AD45" s="65" t="n">
        <f aca="false">(R44+S44+T44+U44+V44+W44+X44+Y44+Z44+AA44+AC44+AD44)/12</f>
        <v>1347.50962353432</v>
      </c>
      <c r="AE45" s="65" t="n">
        <f aca="false">(S44+T44+U44+V44+W44+X44+Y44+Z44+AA44+AC44+AD44+AE44)/12</f>
        <v>1429.93959698137</v>
      </c>
      <c r="AF45" s="65" t="n">
        <f aca="false">(T44+U44+V44+W44+X44+Y44+Z44+AA44+AC44+AD44+AE44+AF44)/12</f>
        <v>1512.42132701783</v>
      </c>
      <c r="AG45" s="65" t="n">
        <f aca="false">(U44+V44+W44+X44+Y44+Z44+AA44+AC44+AD44+AE44+AF44+AG44)/12</f>
        <v>1598.31049729517</v>
      </c>
      <c r="AH45" s="65" t="n">
        <f aca="false">(V44+W44+X44+Y44+Z44+AA44+AC44+AD44+AE44+AF44+AG44+AH44)/12</f>
        <v>1687.60710781341</v>
      </c>
      <c r="AI45" s="65" t="n">
        <f aca="false">(W44+X44+Y44+Z44+AA44+AC44+AD44+AE44+AF44+AG44+AH44+AI44)/12</f>
        <v>1780.31115857252</v>
      </c>
      <c r="AJ45" s="65" t="n">
        <f aca="false">(X44+Y44+Z44+AA44+AC44+AD44+AE44+AF44+AG44+AH44+AI44+AJ44)/12</f>
        <v>1876.42264957252</v>
      </c>
      <c r="AK45" s="65" t="n">
        <f aca="false">(Y44+Z44+AA44+AC44+AD44+AE44+AF44+AG44+AH44+AI44+AJ44+AK44)/12</f>
        <v>1975.94158081341</v>
      </c>
      <c r="AL45" s="65" t="n">
        <f aca="false">(Z44+AA44+AC44+AD44+AE44+AF44+AG44+AH44+AI44+AJ44+AK44+AL44)/12</f>
        <v>2078.86795229518</v>
      </c>
      <c r="AM45" s="65" t="n">
        <f aca="false">(AA44+AC44+AD44+AE44+AF44+AG44+AH44+AI44+AJ44+AK44+AL44+AM44)/12</f>
        <v>2185.20176401783</v>
      </c>
      <c r="AN45" s="65" t="n">
        <f aca="false">(AC44+AD44+AE44+AF44+AG44+AH44+AI44+AJ44+AK44+AL44+AM44+AN44)/12</f>
        <v>2294.94301598137</v>
      </c>
      <c r="AO45" s="64" t="n">
        <f aca="false">SUM(AP45:BA45)</f>
        <v>37743.7545338635</v>
      </c>
      <c r="AP45" s="65" t="n">
        <f aca="false">(AD44+AE44+AF44+AG44+AH44+AI44+AJ44+AK44+AL44+AM44+AN44+AP44)/12</f>
        <v>2419.6692105731</v>
      </c>
      <c r="AQ45" s="65" t="n">
        <f aca="false">(AE44+AF44+AG44+AH44+AI44+AJ44+AK44+AL44+AM44+AN44+AP44+AQ44)/12</f>
        <v>2547.9413106595</v>
      </c>
      <c r="AR45" s="65" t="n">
        <f aca="false">(AF44+AG44+AH44+AI44+AJ44+AK44+AL44+AM44+AN44+AP44+AQ44+AR44)/12</f>
        <v>2678.94365539753</v>
      </c>
      <c r="AS45" s="65" t="n">
        <f aca="false">(AG44+AH44+AI44+AJ44+AK44+AL44+AM44+AN44+AP44+AQ44+AR44+AS44)/12</f>
        <v>2811.92149659118</v>
      </c>
      <c r="AT45" s="65" t="n">
        <f aca="false">(AH44+AI44+AJ44+AK44+AL44+AM44+AN44+AP44+AQ44+AR44+AS44+AT44)/12</f>
        <v>2944.92187615934</v>
      </c>
      <c r="AU45" s="65" t="n">
        <f aca="false">(AI44+AJ44+AK44+AL44+AM44+AN44+AP44+AQ44+AR44+AS44+AT44+AU44)/12</f>
        <v>3077.94479410202</v>
      </c>
      <c r="AV45" s="65" t="n">
        <f aca="false">(AJ44+AK44+AL44+AM44+AN44+AP44+AQ44+AR44+AS44+AT44+AU44+AV44)/12</f>
        <v>3210.9902504192</v>
      </c>
      <c r="AW45" s="65" t="n">
        <f aca="false">(AK44+AL44+AM44+AN44+AP44+AQ44+AR44+AS44+AT44+AU44+AV44+AW44)/12</f>
        <v>3344.05824511089</v>
      </c>
      <c r="AX45" s="65" t="n">
        <f aca="false">(AL44+AM44+AN44+AP44+AQ44+AR44+AS44+AT44+AU44+AV44+AW44+AX44)/12</f>
        <v>3477.1487781771</v>
      </c>
      <c r="AY45" s="65" t="n">
        <f aca="false">(AM44+AN44+AP44+AQ44+AR44+AS44+AT44+AU44+AV44+AW44+AX44+AY44)/12</f>
        <v>3610.26184961782</v>
      </c>
      <c r="AZ45" s="65" t="n">
        <f aca="false">(AN44+AP44+AQ44+AR44+AS44+AT44+AU44+AV44+AW44+AX44+AY44+AZ44)/12</f>
        <v>3743.39745943304</v>
      </c>
      <c r="BA45" s="65" t="n">
        <f aca="false">(AP44+AQ44+AR44+AS44+AT44+AU44+AV44+AW44+AX44+AY44+AZ44+BA44)/12</f>
        <v>3876.55560762278</v>
      </c>
      <c r="BB45" s="64" t="n">
        <f aca="false">SUM(BC45:BN45)</f>
        <v>58067.316723677</v>
      </c>
      <c r="BC45" s="65" t="n">
        <f aca="false">(AQ44+AR44+AS44+AT44+AU44+AV44+AW44+AX44+AY44+AZ44+BA44+BC44)/12</f>
        <v>4021.64191423929</v>
      </c>
      <c r="BD45" s="65" t="n">
        <f aca="false">(AR44+AS44+AT44+AU44+AV44+AW44+AX44+AY44+AZ44+BA44+BC44+BD44)/12</f>
        <v>4166.82050286038</v>
      </c>
      <c r="BE45" s="65" t="n">
        <f aca="false">(AS44+AT44+AU44+AV44+AW44+AX44+AY44+AZ44+BA44+BC44+BD44+BE44)/12</f>
        <v>4312.36100633734</v>
      </c>
      <c r="BF45" s="65" t="n">
        <f aca="false">(AT44+AU44+AV44+AW44+AX44+AY44+AZ44+BA44+BC44+BD44+BE44+BF44)/12</f>
        <v>4458.75187764809</v>
      </c>
      <c r="BG45" s="65" t="n">
        <f aca="false">(AU44+AV44+AW44+AX44+AY44+AZ44+BA44+BC44+BD44+BE44+BF44+BG44)/12</f>
        <v>4606.53987424401</v>
      </c>
      <c r="BH45" s="65" t="n">
        <f aca="false">(AV44+AW44+AX44+AY44+AZ44+BA44+BC44+BD44+BE44+BF44+BG44+BH44)/12</f>
        <v>4755.72499612509</v>
      </c>
      <c r="BI45" s="65" t="n">
        <f aca="false">(AW44+AX44+AY44+AZ44+BA44+BC44+BD44+BE44+BF44+BG44+BH44+BI44)/12</f>
        <v>4906.30724329135</v>
      </c>
      <c r="BJ45" s="65" t="n">
        <f aca="false">(AX44+AY44+AZ44+BA44+BC44+BD44+BE44+BF44+BG44+BH44+BI44+BJ44)/12</f>
        <v>5058.28661574277</v>
      </c>
      <c r="BK45" s="65" t="n">
        <f aca="false">(AY44+AZ44+BA44+BC44+BD44+BE44+BF44+BG44+BH44+BI44+BJ44+BK44)/12</f>
        <v>5211.66311347937</v>
      </c>
      <c r="BL45" s="65" t="n">
        <f aca="false">(AZ44+BA44+BC44+BD44+BE44+BF44+BG44+BH44+BI44+BJ44+BK44+BL44)/12</f>
        <v>5366.43673650113</v>
      </c>
      <c r="BM45" s="65" t="n">
        <f aca="false">(BA44+BC44+BD44+BE44+BF44+BG44+BH44+BI44+BJ44+BK44+BL44+BM44)/12</f>
        <v>5522.60748480806</v>
      </c>
      <c r="BN45" s="65" t="n">
        <f aca="false">(BC44+BD44+BE44+BF44+BG44+BH44+BI44+BJ44+BK44+BL44+BM44+BN44)/12</f>
        <v>5680.17535840016</v>
      </c>
    </row>
    <row r="46" customFormat="false" ht="15" hidden="false" customHeight="false" outlineLevel="0" collapsed="false">
      <c r="A46" s="12" t="s">
        <v>731</v>
      </c>
      <c r="B46" s="64" t="n">
        <f aca="false">N46</f>
        <v>1054.33974406465</v>
      </c>
      <c r="C46" s="65" t="n">
        <f aca="false">C44-C45</f>
        <v>262.231414986813</v>
      </c>
      <c r="D46" s="65" t="n">
        <f aca="false">C46+D44-D45</f>
        <v>280.047485429371</v>
      </c>
      <c r="E46" s="65" t="n">
        <f aca="false">D46+E44-E45</f>
        <v>307.013999598062</v>
      </c>
      <c r="F46" s="65" t="n">
        <f aca="false">E46+F44-F45</f>
        <v>337.338520065718</v>
      </c>
      <c r="G46" s="65" t="n">
        <f aca="false">F46+G44-G45</f>
        <v>385.928702005786</v>
      </c>
      <c r="H46" s="65" t="n">
        <f aca="false">G46+H44-H45</f>
        <v>450.604084076014</v>
      </c>
      <c r="I46" s="65" t="n">
        <f aca="false">H46+I44-I45</f>
        <v>529.184204934151</v>
      </c>
      <c r="J46" s="65" t="n">
        <f aca="false">I46+J44-J45</f>
        <v>619.488603237944</v>
      </c>
      <c r="K46" s="65" t="n">
        <f aca="false">J46+K44-K45</f>
        <v>719.336817645142</v>
      </c>
      <c r="L46" s="65" t="n">
        <f aca="false">K46+L44-L45</f>
        <v>826.548386813493</v>
      </c>
      <c r="M46" s="65" t="n">
        <f aca="false">L46+M44-M45</f>
        <v>938.942849400747</v>
      </c>
      <c r="N46" s="65" t="n">
        <f aca="false">M46+N44-N45</f>
        <v>1054.33974406465</v>
      </c>
      <c r="O46" s="64" t="n">
        <f aca="false">AA46</f>
        <v>7193.36419070956</v>
      </c>
      <c r="P46" s="65" t="n">
        <f aca="false">N46+P44-P45</f>
        <v>1725.19658381408</v>
      </c>
      <c r="Q46" s="65" t="n">
        <f aca="false">P46+Q44-Q45</f>
        <v>2368.8287474478</v>
      </c>
      <c r="R46" s="65" t="n">
        <f aca="false">Q46+R44-R45</f>
        <v>2986.30103028828</v>
      </c>
      <c r="S46" s="65" t="n">
        <f aca="false">R46+S44-S45</f>
        <v>3596.88786220739</v>
      </c>
      <c r="T46" s="65" t="n">
        <f aca="false">S46+T44-T45</f>
        <v>4177.15458074228</v>
      </c>
      <c r="U46" s="65" t="n">
        <f aca="false">T46+U44-U45</f>
        <v>4724.75958773797</v>
      </c>
      <c r="V46" s="65" t="n">
        <f aca="false">U46+V44-V45</f>
        <v>5237.36128503948</v>
      </c>
      <c r="W46" s="65" t="n">
        <f aca="false">V46+W44-W45</f>
        <v>5712.6180744918</v>
      </c>
      <c r="X46" s="65" t="n">
        <f aca="false">W46+X44-X45</f>
        <v>6148.18835793996</v>
      </c>
      <c r="Y46" s="65" t="n">
        <f aca="false">X46+Y44-Y45</f>
        <v>6541.73053722896</v>
      </c>
      <c r="Z46" s="65" t="n">
        <f aca="false">Y46+Z44-Z45</f>
        <v>6890.90301420383</v>
      </c>
      <c r="AA46" s="65" t="n">
        <f aca="false">Z46+AA44-AA45</f>
        <v>7193.36419070956</v>
      </c>
      <c r="AB46" s="64" t="n">
        <f aca="false">AN46</f>
        <v>13698.5024428459</v>
      </c>
      <c r="AC46" s="65" t="n">
        <f aca="false">AA46+AC44-AC45</f>
        <v>7763.75954435194</v>
      </c>
      <c r="AD46" s="65" t="n">
        <f aca="false">AC46+AD44-AD45</f>
        <v>8315.57936069495</v>
      </c>
      <c r="AE46" s="65" t="n">
        <f aca="false">AD46+AE44-AE45</f>
        <v>8854.99337666489</v>
      </c>
      <c r="AF46" s="65" t="n">
        <f aca="false">AE46+AF44-AF45</f>
        <v>9387.90451994603</v>
      </c>
      <c r="AG46" s="65" t="n">
        <f aca="false">AF46+AG44-AG45</f>
        <v>9930.08048980731</v>
      </c>
      <c r="AH46" s="65" t="n">
        <f aca="false">AG46+AH44-AH45</f>
        <v>10478.1138460079</v>
      </c>
      <c r="AI46" s="65" t="n">
        <f aca="false">AH46+AI44-AI45</f>
        <v>11028.5971483068</v>
      </c>
      <c r="AJ46" s="65" t="n">
        <f aca="false">AI46+AJ44-AJ45</f>
        <v>11578.1229564632</v>
      </c>
      <c r="AK46" s="65" t="n">
        <f aca="false">AJ46+AK44-AK45</f>
        <v>12123.2838302362</v>
      </c>
      <c r="AL46" s="65" t="n">
        <f aca="false">AK46+AL44-AL45</f>
        <v>12660.6723293849</v>
      </c>
      <c r="AM46" s="65" t="n">
        <f aca="false">AL46+AM44-AM45</f>
        <v>13186.8810136684</v>
      </c>
      <c r="AN46" s="65" t="n">
        <f aca="false">AM46+AN44-AN45</f>
        <v>13698.5024428459</v>
      </c>
      <c r="AO46" s="64" t="n">
        <f aca="false">BA46</f>
        <v>22473.4152004558</v>
      </c>
      <c r="AP46" s="65" t="n">
        <f aca="false">AN46+AP44-AP45</f>
        <v>14612.6445867612</v>
      </c>
      <c r="AQ46" s="65" t="n">
        <f aca="false">AP46+AQ44-AQ45</f>
        <v>15503.2979170157</v>
      </c>
      <c r="AR46" s="65" t="n">
        <f aca="false">AQ46+AR44-AR45</f>
        <v>16365.7360114259</v>
      </c>
      <c r="AS46" s="65" t="n">
        <f aca="false">AR46+AS44-AS45</f>
        <v>17194.8810794575</v>
      </c>
      <c r="AT46" s="65" t="n">
        <f aca="false">AS46+AT44-AT45</f>
        <v>17986.4502252725</v>
      </c>
      <c r="AU46" s="65" t="n">
        <f aca="false">AT46+AU44-AU45</f>
        <v>18740.4209104965</v>
      </c>
      <c r="AV46" s="65" t="n">
        <f aca="false">AU46+AV44-AV45</f>
        <v>19456.770596755</v>
      </c>
      <c r="AW46" s="65" t="n">
        <f aca="false">AV46+AW44-AW45</f>
        <v>20135.4767456733</v>
      </c>
      <c r="AX46" s="65" t="n">
        <f aca="false">AW46+AX44-AX45</f>
        <v>20776.5168188771</v>
      </c>
      <c r="AY46" s="65" t="n">
        <f aca="false">AX46+AY44-AY45</f>
        <v>21379.8682779918</v>
      </c>
      <c r="AZ46" s="65" t="n">
        <f aca="false">AY46+AZ44-AZ45</f>
        <v>21945.5085846429</v>
      </c>
      <c r="BA46" s="65" t="n">
        <f aca="false">AZ46+BA44-BA45</f>
        <v>22473.4152004558</v>
      </c>
      <c r="BB46" s="64" t="n">
        <f aca="false">BN46</f>
        <v>32568.2027775807</v>
      </c>
      <c r="BC46" s="65" t="n">
        <f aca="false">BA46+BC44-BC45</f>
        <v>23526.620320103</v>
      </c>
      <c r="BD46" s="65" t="n">
        <f aca="false">BC46+BD44-BD45</f>
        <v>24540.5375216097</v>
      </c>
      <c r="BE46" s="65" t="n">
        <f aca="false">BD46+BE44-BE45</f>
        <v>25516.0443068036</v>
      </c>
      <c r="BF46" s="65" t="n">
        <f aca="false">BE46+BF44-BF45</f>
        <v>26455.0494495073</v>
      </c>
      <c r="BG46" s="65" t="n">
        <f aca="false">BF46+BG44-BG45</f>
        <v>27358.4565563887</v>
      </c>
      <c r="BH46" s="65" t="n">
        <f aca="false">BG46+BH44-BH45</f>
        <v>28224.8685021626</v>
      </c>
      <c r="BI46" s="65" t="n">
        <f aca="false">BH46+BI44-BI45</f>
        <v>29052.888161544</v>
      </c>
      <c r="BJ46" s="65" t="n">
        <f aca="false">BI46+BJ44-BJ45</f>
        <v>29841.1184092476</v>
      </c>
      <c r="BK46" s="65" t="n">
        <f aca="false">BJ46+BK44-BK45</f>
        <v>30588.1621199882</v>
      </c>
      <c r="BL46" s="65" t="n">
        <f aca="false">BK46+BL44-BL45</f>
        <v>31292.6221684807</v>
      </c>
      <c r="BM46" s="65" t="n">
        <f aca="false">BL46+BM44-BM45</f>
        <v>31953.1014294399</v>
      </c>
      <c r="BN46" s="65" t="n">
        <f aca="false">BM46+BN44-BN45</f>
        <v>32568.2027775807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590</v>
      </c>
    </row>
    <row r="2" customFormat="false" ht="13.5" hidden="false" customHeight="true" outlineLevel="0" collapsed="false">
      <c r="A2" s="6" t="s">
        <v>732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733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8" t="s">
        <v>734</v>
      </c>
      <c r="B7" s="64" t="n">
        <f aca="false">SUM(C7:N7)</f>
        <v>82645.582363506</v>
      </c>
      <c r="C7" s="77" t="n">
        <f aca="false">'Revenue Streams'!C$25+'Revenue Streams'!C$26+'Revenue Streams'!C$27+'Revenue Streams'!C$28+'Revenue Streams'!C$29+'Revenue Streams'!C$35</f>
        <v>2473.16666666667</v>
      </c>
      <c r="D7" s="77" t="n">
        <f aca="false">'Revenue Streams'!D$25+'Revenue Streams'!D$26+'Revenue Streams'!D$27+'Revenue Streams'!D$28+'Revenue Streams'!D$29+'Revenue Streams'!D$35</f>
        <v>3957.06666666667</v>
      </c>
      <c r="E7" s="77" t="n">
        <f aca="false">'Revenue Streams'!E$25+'Revenue Streams'!E$26+'Revenue Streams'!E$27+'Revenue Streams'!E$28+'Revenue Streams'!E$29+'Revenue Streams'!E$35</f>
        <v>5051.7576880367</v>
      </c>
      <c r="F7" s="77" t="n">
        <f aca="false">'Revenue Streams'!F$25+'Revenue Streams'!F$26+'Revenue Streams'!F$27+'Revenue Streams'!F$28+'Revenue Streams'!F$29+'Revenue Streams'!F$35</f>
        <v>5622.81929136572</v>
      </c>
      <c r="G7" s="77" t="n">
        <f aca="false">'Revenue Streams'!G$25+'Revenue Streams'!G$26+'Revenue Streams'!G$27+'Revenue Streams'!G$28+'Revenue Streams'!G$29+'Revenue Streams'!G$35</f>
        <v>6193.88089469473</v>
      </c>
      <c r="H7" s="77" t="n">
        <f aca="false">'Revenue Streams'!H$25+'Revenue Streams'!H$26+'Revenue Streams'!H$27+'Revenue Streams'!H$28+'Revenue Streams'!H$29+'Revenue Streams'!H$35</f>
        <v>6764.94249802375</v>
      </c>
      <c r="I7" s="77" t="n">
        <f aca="false">'Revenue Streams'!I$25+'Revenue Streams'!I$26+'Revenue Streams'!I$27+'Revenue Streams'!I$28+'Revenue Streams'!I$29+'Revenue Streams'!I$35</f>
        <v>7336.00410135276</v>
      </c>
      <c r="J7" s="77" t="n">
        <f aca="false">'Revenue Streams'!J$25+'Revenue Streams'!J$26+'Revenue Streams'!J$27+'Revenue Streams'!J$28+'Revenue Streams'!J$29+'Revenue Streams'!J$35</f>
        <v>7907.06570468177</v>
      </c>
      <c r="K7" s="77" t="n">
        <f aca="false">'Revenue Streams'!K$25+'Revenue Streams'!K$26+'Revenue Streams'!K$27+'Revenue Streams'!K$28+'Revenue Streams'!K$29+'Revenue Streams'!K$35</f>
        <v>8478.12730801079</v>
      </c>
      <c r="L7" s="77" t="n">
        <f aca="false">'Revenue Streams'!L$25+'Revenue Streams'!L$26+'Revenue Streams'!L$27+'Revenue Streams'!L$28+'Revenue Streams'!L$29+'Revenue Streams'!L$35</f>
        <v>9049.18891133981</v>
      </c>
      <c r="M7" s="77" t="n">
        <f aca="false">'Revenue Streams'!M$25+'Revenue Streams'!M$26+'Revenue Streams'!M$27+'Revenue Streams'!M$28+'Revenue Streams'!M$29+'Revenue Streams'!M$35</f>
        <v>9620.25051466882</v>
      </c>
      <c r="N7" s="77" t="n">
        <f aca="false">'Revenue Streams'!N$25+'Revenue Streams'!N$26+'Revenue Streams'!N$27+'Revenue Streams'!N$28+'Revenue Streams'!N$29+'Revenue Streams'!N$35</f>
        <v>10191.3121179978</v>
      </c>
      <c r="O7" s="64" t="n">
        <f aca="false">SUM(P7:AA7)</f>
        <v>296790.089842888</v>
      </c>
      <c r="P7" s="77" t="n">
        <f aca="false">'Revenue Streams'!P$25+'Revenue Streams'!P$26+'Revenue Streams'!P$27+'Revenue Streams'!P$28+'Revenue Streams'!P$29+'Revenue Streams'!P$35</f>
        <v>23810.6642796012</v>
      </c>
      <c r="Q7" s="77" t="n">
        <f aca="false">'Revenue Streams'!Q$25+'Revenue Streams'!Q$26+'Revenue Streams'!Q$27+'Revenue Streams'!Q$28+'Revenue Streams'!Q$29+'Revenue Streams'!Q$35</f>
        <v>21233.397374228</v>
      </c>
      <c r="R7" s="77" t="n">
        <f aca="false">'Revenue Streams'!R$25+'Revenue Streams'!R$26+'Revenue Streams'!R$27+'Revenue Streams'!R$28+'Revenue Streams'!R$29+'Revenue Streams'!R$35</f>
        <v>20079.6441266856</v>
      </c>
      <c r="S7" s="77" t="n">
        <f aca="false">'Revenue Streams'!S$25+'Revenue Streams'!S$26+'Revenue Streams'!S$27+'Revenue Streams'!S$28+'Revenue Streams'!S$29+'Revenue Streams'!S$35</f>
        <v>21211.8571694012</v>
      </c>
      <c r="T7" s="77" t="n">
        <f aca="false">'Revenue Streams'!T$25+'Revenue Streams'!T$26+'Revenue Streams'!T$27+'Revenue Streams'!T$28+'Revenue Streams'!T$29+'Revenue Streams'!T$35</f>
        <v>22344.0702121168</v>
      </c>
      <c r="U7" s="77" t="n">
        <f aca="false">'Revenue Streams'!U$25+'Revenue Streams'!U$26+'Revenue Streams'!U$27+'Revenue Streams'!U$28+'Revenue Streams'!U$29+'Revenue Streams'!U$35</f>
        <v>23476.2832548324</v>
      </c>
      <c r="V7" s="77" t="n">
        <f aca="false">'Revenue Streams'!V$25+'Revenue Streams'!V$26+'Revenue Streams'!V$27+'Revenue Streams'!V$28+'Revenue Streams'!V$29+'Revenue Streams'!V$35</f>
        <v>24608.4962975481</v>
      </c>
      <c r="W7" s="77" t="n">
        <f aca="false">'Revenue Streams'!W$25+'Revenue Streams'!W$26+'Revenue Streams'!W$27+'Revenue Streams'!W$28+'Revenue Streams'!W$29+'Revenue Streams'!W$35</f>
        <v>25740.7093402637</v>
      </c>
      <c r="X7" s="77" t="n">
        <f aca="false">'Revenue Streams'!X$25+'Revenue Streams'!X$26+'Revenue Streams'!X$27+'Revenue Streams'!X$28+'Revenue Streams'!X$29+'Revenue Streams'!X$35</f>
        <v>26872.9223829793</v>
      </c>
      <c r="Y7" s="77" t="n">
        <f aca="false">'Revenue Streams'!Y$25+'Revenue Streams'!Y$26+'Revenue Streams'!Y$27+'Revenue Streams'!Y$28+'Revenue Streams'!Y$29+'Revenue Streams'!Y$35</f>
        <v>28005.1354256949</v>
      </c>
      <c r="Z7" s="77" t="n">
        <f aca="false">'Revenue Streams'!Z$25+'Revenue Streams'!Z$26+'Revenue Streams'!Z$27+'Revenue Streams'!Z$28+'Revenue Streams'!Z$29+'Revenue Streams'!Z$35</f>
        <v>29137.3484684105</v>
      </c>
      <c r="AA7" s="77" t="n">
        <f aca="false">'Revenue Streams'!AA$25+'Revenue Streams'!AA$26+'Revenue Streams'!AA$27+'Revenue Streams'!AA$28+'Revenue Streams'!AA$29+'Revenue Streams'!AA$35</f>
        <v>30269.5615111262</v>
      </c>
      <c r="AB7" s="64" t="n">
        <f aca="false">SUM(AC7:AN7)</f>
        <v>534111.74789313</v>
      </c>
      <c r="AC7" s="77" t="n">
        <f aca="false">'Revenue Streams'!AC$25+'Revenue Streams'!AC$26+'Revenue Streams'!AC$27+'Revenue Streams'!AC$28+'Revenue Streams'!AC$29+'Revenue Streams'!AC$35</f>
        <v>34790.1248756885</v>
      </c>
      <c r="AD7" s="77" t="n">
        <f aca="false">'Revenue Streams'!AD$25+'Revenue Streams'!AD$26+'Revenue Streams'!AD$27+'Revenue Streams'!AD$28+'Revenue Streams'!AD$29+'Revenue Streams'!AD$35</f>
        <v>36062.7422987593</v>
      </c>
      <c r="AE7" s="77" t="n">
        <f aca="false">'Revenue Streams'!AE$25+'Revenue Streams'!AE$26+'Revenue Streams'!AE$27+'Revenue Streams'!AE$28+'Revenue Streams'!AE$29+'Revenue Streams'!AE$35</f>
        <v>37527.1463070757</v>
      </c>
      <c r="AF7" s="77" t="n">
        <f aca="false">'Revenue Streams'!AF$25+'Revenue Streams'!AF$26+'Revenue Streams'!AF$27+'Revenue Streams'!AF$28+'Revenue Streams'!AF$29+'Revenue Streams'!AF$35</f>
        <v>39482.4222548074</v>
      </c>
      <c r="AG7" s="77" t="n">
        <f aca="false">'Revenue Streams'!AG$25+'Revenue Streams'!AG$26+'Revenue Streams'!AG$27+'Revenue Streams'!AG$28+'Revenue Streams'!AG$29+'Revenue Streams'!AG$35</f>
        <v>41437.6982025391</v>
      </c>
      <c r="AH7" s="77" t="n">
        <f aca="false">'Revenue Streams'!AH$25+'Revenue Streams'!AH$26+'Revenue Streams'!AH$27+'Revenue Streams'!AH$28+'Revenue Streams'!AH$29+'Revenue Streams'!AH$35</f>
        <v>43392.9741502707</v>
      </c>
      <c r="AI7" s="77" t="n">
        <f aca="false">'Revenue Streams'!AI$25+'Revenue Streams'!AI$26+'Revenue Streams'!AI$27+'Revenue Streams'!AI$28+'Revenue Streams'!AI$29+'Revenue Streams'!AI$35</f>
        <v>45348.2500980024</v>
      </c>
      <c r="AJ7" s="77" t="n">
        <f aca="false">'Revenue Streams'!AJ$25+'Revenue Streams'!AJ$26+'Revenue Streams'!AJ$27+'Revenue Streams'!AJ$28+'Revenue Streams'!AJ$29+'Revenue Streams'!AJ$35</f>
        <v>47303.5260457341</v>
      </c>
      <c r="AK7" s="77" t="n">
        <f aca="false">'Revenue Streams'!AK$25+'Revenue Streams'!AK$26+'Revenue Streams'!AK$27+'Revenue Streams'!AK$28+'Revenue Streams'!AK$29+'Revenue Streams'!AK$35</f>
        <v>49258.8019934657</v>
      </c>
      <c r="AL7" s="77" t="n">
        <f aca="false">'Revenue Streams'!AL$25+'Revenue Streams'!AL$26+'Revenue Streams'!AL$27+'Revenue Streams'!AL$28+'Revenue Streams'!AL$29+'Revenue Streams'!AL$35</f>
        <v>51214.0779411974</v>
      </c>
      <c r="AM7" s="77" t="n">
        <f aca="false">'Revenue Streams'!AM$25+'Revenue Streams'!AM$26+'Revenue Streams'!AM$27+'Revenue Streams'!AM$28+'Revenue Streams'!AM$29+'Revenue Streams'!AM$35</f>
        <v>53169.3538889291</v>
      </c>
      <c r="AN7" s="77" t="n">
        <f aca="false">'Revenue Streams'!AN$25+'Revenue Streams'!AN$26+'Revenue Streams'!AN$27+'Revenue Streams'!AN$28+'Revenue Streams'!AN$29+'Revenue Streams'!AN$35</f>
        <v>55124.6298366607</v>
      </c>
      <c r="AO7" s="64" t="n">
        <f aca="false">SUM(AP7:BA7)</f>
        <v>866031.588526434</v>
      </c>
      <c r="AP7" s="77" t="n">
        <f aca="false">'Revenue Streams'!AP$25+'Revenue Streams'!AP$26+'Revenue Streams'!AP$27+'Revenue Streams'!AP$28+'Revenue Streams'!AP$29+'Revenue Streams'!AP$35</f>
        <v>61456.9712310805</v>
      </c>
      <c r="AQ7" s="77" t="n">
        <f aca="false">'Revenue Streams'!AQ$25+'Revenue Streams'!AQ$26+'Revenue Streams'!AQ$27+'Revenue Streams'!AQ$28+'Revenue Streams'!AQ$29+'Revenue Streams'!AQ$35</f>
        <v>63547.7952417474</v>
      </c>
      <c r="AR7" s="77" t="n">
        <f aca="false">'Revenue Streams'!AR$25+'Revenue Streams'!AR$26+'Revenue Streams'!AR$27+'Revenue Streams'!AR$28+'Revenue Streams'!AR$29+'Revenue Streams'!AR$35</f>
        <v>65553.0629410469</v>
      </c>
      <c r="AS7" s="77" t="n">
        <f aca="false">'Revenue Streams'!AS$25+'Revenue Streams'!AS$26+'Revenue Streams'!AS$27+'Revenue Streams'!AS$28+'Revenue Streams'!AS$29+'Revenue Streams'!AS$35</f>
        <v>67452.9783331166</v>
      </c>
      <c r="AT7" s="77" t="n">
        <f aca="false">'Revenue Streams'!AT$25+'Revenue Streams'!AT$26+'Revenue Streams'!AT$27+'Revenue Streams'!AT$28+'Revenue Streams'!AT$29+'Revenue Streams'!AT$35</f>
        <v>69352.8937251863</v>
      </c>
      <c r="AU7" s="77" t="n">
        <f aca="false">'Revenue Streams'!AU$25+'Revenue Streams'!AU$26+'Revenue Streams'!AU$27+'Revenue Streams'!AU$28+'Revenue Streams'!AU$29+'Revenue Streams'!AU$35</f>
        <v>71252.809117256</v>
      </c>
      <c r="AV7" s="77" t="n">
        <f aca="false">'Revenue Streams'!AV$25+'Revenue Streams'!AV$26+'Revenue Streams'!AV$27+'Revenue Streams'!AV$28+'Revenue Streams'!AV$29+'Revenue Streams'!AV$35</f>
        <v>73152.7245093257</v>
      </c>
      <c r="AW7" s="77" t="n">
        <f aca="false">'Revenue Streams'!AW$25+'Revenue Streams'!AW$26+'Revenue Streams'!AW$27+'Revenue Streams'!AW$28+'Revenue Streams'!AW$29+'Revenue Streams'!AW$35</f>
        <v>75052.6399013955</v>
      </c>
      <c r="AX7" s="77" t="n">
        <f aca="false">'Revenue Streams'!AX$25+'Revenue Streams'!AX$26+'Revenue Streams'!AX$27+'Revenue Streams'!AX$28+'Revenue Streams'!AX$29+'Revenue Streams'!AX$35</f>
        <v>76952.5552934652</v>
      </c>
      <c r="AY7" s="77" t="n">
        <f aca="false">'Revenue Streams'!AY$25+'Revenue Streams'!AY$26+'Revenue Streams'!AY$27+'Revenue Streams'!AY$28+'Revenue Streams'!AY$29+'Revenue Streams'!AY$35</f>
        <v>78852.4706855349</v>
      </c>
      <c r="AZ7" s="77" t="n">
        <f aca="false">'Revenue Streams'!AZ$25+'Revenue Streams'!AZ$26+'Revenue Streams'!AZ$27+'Revenue Streams'!AZ$28+'Revenue Streams'!AZ$29+'Revenue Streams'!AZ$35</f>
        <v>80752.3860776046</v>
      </c>
      <c r="BA7" s="77" t="n">
        <f aca="false">'Revenue Streams'!BA$25+'Revenue Streams'!BA$26+'Revenue Streams'!BA$27+'Revenue Streams'!BA$28+'Revenue Streams'!BA$29+'Revenue Streams'!BA$35</f>
        <v>82652.3014696743</v>
      </c>
      <c r="BB7" s="64" t="n">
        <f aca="false">SUM(BC7:BN7)</f>
        <v>1227199.63007367</v>
      </c>
      <c r="BC7" s="77" t="n">
        <f aca="false">'Revenue Streams'!BC$25+'Revenue Streams'!BC$26+'Revenue Streams'!BC$27+'Revenue Streams'!BC$28+'Revenue Streams'!BC$29+'Revenue Streams'!BC$35</f>
        <v>90477.6355659632</v>
      </c>
      <c r="BD7" s="77" t="n">
        <f aca="false">'Revenue Streams'!BD$25+'Revenue Streams'!BD$26+'Revenue Streams'!BD$27+'Revenue Streams'!BD$28+'Revenue Streams'!BD$29+'Revenue Streams'!BD$35</f>
        <v>92524.2933542018</v>
      </c>
      <c r="BE7" s="77" t="n">
        <f aca="false">'Revenue Streams'!BE$25+'Revenue Streams'!BE$26+'Revenue Streams'!BE$27+'Revenue Streams'!BE$28+'Revenue Streams'!BE$29+'Revenue Streams'!BE$35</f>
        <v>94641.9576222562</v>
      </c>
      <c r="BF7" s="77" t="n">
        <f aca="false">'Revenue Streams'!BF$25+'Revenue Streams'!BF$26+'Revenue Streams'!BF$27+'Revenue Streams'!BF$28+'Revenue Streams'!BF$29+'Revenue Streams'!BF$35</f>
        <v>96814.8048429438</v>
      </c>
      <c r="BG7" s="77" t="n">
        <f aca="false">'Revenue Streams'!BG$25+'Revenue Streams'!BG$26+'Revenue Streams'!BG$27+'Revenue Streams'!BG$28+'Revenue Streams'!BG$29+'Revenue Streams'!BG$35</f>
        <v>98987.6520636313</v>
      </c>
      <c r="BH7" s="77" t="n">
        <f aca="false">'Revenue Streams'!BH$25+'Revenue Streams'!BH$26+'Revenue Streams'!BH$27+'Revenue Streams'!BH$28+'Revenue Streams'!BH$29+'Revenue Streams'!BH$35</f>
        <v>101160.499284319</v>
      </c>
      <c r="BI7" s="77" t="n">
        <f aca="false">'Revenue Streams'!BI$25+'Revenue Streams'!BI$26+'Revenue Streams'!BI$27+'Revenue Streams'!BI$28+'Revenue Streams'!BI$29+'Revenue Streams'!BI$35</f>
        <v>103333.346505006</v>
      </c>
      <c r="BJ7" s="77" t="n">
        <f aca="false">'Revenue Streams'!BJ$25+'Revenue Streams'!BJ$26+'Revenue Streams'!BJ$27+'Revenue Streams'!BJ$28+'Revenue Streams'!BJ$29+'Revenue Streams'!BJ$35</f>
        <v>105506.193725694</v>
      </c>
      <c r="BK7" s="77" t="n">
        <f aca="false">'Revenue Streams'!BK$25+'Revenue Streams'!BK$26+'Revenue Streams'!BK$27+'Revenue Streams'!BK$28+'Revenue Streams'!BK$29+'Revenue Streams'!BK$35</f>
        <v>107679.040946382</v>
      </c>
      <c r="BL7" s="77" t="n">
        <f aca="false">'Revenue Streams'!BL$25+'Revenue Streams'!BL$26+'Revenue Streams'!BL$27+'Revenue Streams'!BL$28+'Revenue Streams'!BL$29+'Revenue Streams'!BL$35</f>
        <v>109851.888167069</v>
      </c>
      <c r="BM7" s="77" t="n">
        <f aca="false">'Revenue Streams'!BM$25+'Revenue Streams'!BM$26+'Revenue Streams'!BM$27+'Revenue Streams'!BM$28+'Revenue Streams'!BM$29+'Revenue Streams'!BM$35</f>
        <v>112024.735387757</v>
      </c>
      <c r="BN7" s="77" t="n">
        <f aca="false">'Revenue Streams'!BN$25+'Revenue Streams'!BN$26+'Revenue Streams'!BN$27+'Revenue Streams'!BN$28+'Revenue Streams'!BN$29+'Revenue Streams'!BN$35</f>
        <v>114197.582608444</v>
      </c>
    </row>
    <row r="8" customFormat="false" ht="15" hidden="false" customHeight="false" outlineLevel="0" collapsed="false">
      <c r="A8" s="12" t="s">
        <v>735</v>
      </c>
      <c r="B8" s="64" t="n">
        <f aca="false">SUM(C8:N8)</f>
        <v>66364.8159791154</v>
      </c>
      <c r="C8" s="76" t="n">
        <f aca="false">'Revenue Streams'!C$25</f>
        <v>2216.66666666667</v>
      </c>
      <c r="D8" s="76" t="n">
        <f aca="false">'Revenue Streams'!D$25</f>
        <v>3546.66666666667</v>
      </c>
      <c r="E8" s="76" t="n">
        <f aca="false">'Revenue Streams'!E$25</f>
        <v>4433.33333333333</v>
      </c>
      <c r="F8" s="76" t="n">
        <f aca="false">'Revenue Streams'!F$25</f>
        <v>4794.84776249886</v>
      </c>
      <c r="G8" s="76" t="n">
        <f aca="false">'Revenue Streams'!G$25</f>
        <v>5156.36219166439</v>
      </c>
      <c r="H8" s="76" t="n">
        <f aca="false">'Revenue Streams'!H$25</f>
        <v>5517.87662082992</v>
      </c>
      <c r="I8" s="76" t="n">
        <f aca="false">'Revenue Streams'!I$25</f>
        <v>5879.39104999545</v>
      </c>
      <c r="J8" s="76" t="n">
        <f aca="false">'Revenue Streams'!J$25</f>
        <v>6240.90547916097</v>
      </c>
      <c r="K8" s="76" t="n">
        <f aca="false">'Revenue Streams'!K$25</f>
        <v>6602.4199083265</v>
      </c>
      <c r="L8" s="76" t="n">
        <f aca="false">'Revenue Streams'!L$25</f>
        <v>6963.93433749203</v>
      </c>
      <c r="M8" s="76" t="n">
        <f aca="false">'Revenue Streams'!M$25</f>
        <v>7325.44876665756</v>
      </c>
      <c r="N8" s="76" t="n">
        <f aca="false">'Revenue Streams'!N$25</f>
        <v>7686.96319582309</v>
      </c>
      <c r="O8" s="64" t="n">
        <f aca="false">SUM(P8:AA8)</f>
        <v>187589.829287104</v>
      </c>
      <c r="P8" s="76" t="n">
        <f aca="false">'Revenue Streams'!P$25</f>
        <v>16662.317023777</v>
      </c>
      <c r="Q8" s="76" t="n">
        <f aca="false">'Revenue Streams'!Q$25</f>
        <v>13895.2153928214</v>
      </c>
      <c r="R8" s="76" t="n">
        <f aca="false">'Revenue Streams'!R$25</f>
        <v>12498.0702654368</v>
      </c>
      <c r="S8" s="76" t="n">
        <f aca="false">'Revenue Streams'!S$25</f>
        <v>13210.3279146843</v>
      </c>
      <c r="T8" s="76" t="n">
        <f aca="false">'Revenue Streams'!T$25</f>
        <v>13922.5855639318</v>
      </c>
      <c r="U8" s="76" t="n">
        <f aca="false">'Revenue Streams'!U$25</f>
        <v>14634.8432131793</v>
      </c>
      <c r="V8" s="76" t="n">
        <f aca="false">'Revenue Streams'!V$25</f>
        <v>15347.1008624268</v>
      </c>
      <c r="W8" s="76" t="n">
        <f aca="false">'Revenue Streams'!W$25</f>
        <v>16059.3585116743</v>
      </c>
      <c r="X8" s="76" t="n">
        <f aca="false">'Revenue Streams'!X$25</f>
        <v>16771.6161609218</v>
      </c>
      <c r="Y8" s="76" t="n">
        <f aca="false">'Revenue Streams'!Y$25</f>
        <v>17483.8738101692</v>
      </c>
      <c r="Z8" s="76" t="n">
        <f aca="false">'Revenue Streams'!Z$25</f>
        <v>18196.1314594167</v>
      </c>
      <c r="AA8" s="76" t="n">
        <f aca="false">'Revenue Streams'!AA$25</f>
        <v>18908.3891086642</v>
      </c>
      <c r="AB8" s="64" t="n">
        <f aca="false">SUM(AC8:AN8)</f>
        <v>332592.430966706</v>
      </c>
      <c r="AC8" s="76" t="n">
        <f aca="false">'Revenue Streams'!AC$25</f>
        <v>21685.9779955866</v>
      </c>
      <c r="AD8" s="76" t="n">
        <f aca="false">'Revenue Streams'!AD$25</f>
        <v>22473.2101342286</v>
      </c>
      <c r="AE8" s="76" t="n">
        <f aca="false">'Revenue Streams'!AE$25</f>
        <v>23321.6304262639</v>
      </c>
      <c r="AF8" s="76" t="n">
        <f aca="false">'Revenue Streams'!AF$25</f>
        <v>24548.6735056917</v>
      </c>
      <c r="AG8" s="76" t="n">
        <f aca="false">'Revenue Streams'!AG$25</f>
        <v>25775.7165851195</v>
      </c>
      <c r="AH8" s="76" t="n">
        <f aca="false">'Revenue Streams'!AH$25</f>
        <v>27002.7596645473</v>
      </c>
      <c r="AI8" s="76" t="n">
        <f aca="false">'Revenue Streams'!AI$25</f>
        <v>28229.8027439751</v>
      </c>
      <c r="AJ8" s="76" t="n">
        <f aca="false">'Revenue Streams'!AJ$25</f>
        <v>29456.8458234029</v>
      </c>
      <c r="AK8" s="76" t="n">
        <f aca="false">'Revenue Streams'!AK$25</f>
        <v>30683.8889028308</v>
      </c>
      <c r="AL8" s="76" t="n">
        <f aca="false">'Revenue Streams'!AL$25</f>
        <v>31910.9319822586</v>
      </c>
      <c r="AM8" s="76" t="n">
        <f aca="false">'Revenue Streams'!AM$25</f>
        <v>33137.9750616864</v>
      </c>
      <c r="AN8" s="76" t="n">
        <f aca="false">'Revenue Streams'!AN$25</f>
        <v>34365.0181411142</v>
      </c>
      <c r="AO8" s="64" t="n">
        <f aca="false">SUM(AP8:BA8)</f>
        <v>538147.057756647</v>
      </c>
      <c r="AP8" s="76" t="n">
        <f aca="false">'Revenue Streams'!AP$25</f>
        <v>38134.3513077236</v>
      </c>
      <c r="AQ8" s="76" t="n">
        <f aca="false">'Revenue Streams'!AQ$25</f>
        <v>39449.0403213963</v>
      </c>
      <c r="AR8" s="76" t="n">
        <f aca="false">'Revenue Streams'!AR$25</f>
        <v>40716.7420680249</v>
      </c>
      <c r="AS8" s="76" t="n">
        <f aca="false">'Revenue Streams'!AS$25</f>
        <v>41903.3253001866</v>
      </c>
      <c r="AT8" s="76" t="n">
        <f aca="false">'Revenue Streams'!AT$25</f>
        <v>43089.9085323484</v>
      </c>
      <c r="AU8" s="76" t="n">
        <f aca="false">'Revenue Streams'!AU$25</f>
        <v>44276.4917645101</v>
      </c>
      <c r="AV8" s="76" t="n">
        <f aca="false">'Revenue Streams'!AV$25</f>
        <v>45463.0749966718</v>
      </c>
      <c r="AW8" s="76" t="n">
        <f aca="false">'Revenue Streams'!AW$25</f>
        <v>46649.6582288336</v>
      </c>
      <c r="AX8" s="76" t="n">
        <f aca="false">'Revenue Streams'!AX$25</f>
        <v>47836.2414609953</v>
      </c>
      <c r="AY8" s="76" t="n">
        <f aca="false">'Revenue Streams'!AY$25</f>
        <v>49022.8246931571</v>
      </c>
      <c r="AZ8" s="76" t="n">
        <f aca="false">'Revenue Streams'!AZ$25</f>
        <v>50209.4079253188</v>
      </c>
      <c r="BA8" s="76" t="n">
        <f aca="false">'Revenue Streams'!BA$25</f>
        <v>51395.9911574805</v>
      </c>
      <c r="BB8" s="64" t="n">
        <f aca="false">SUM(BC8:BN8)</f>
        <v>760957.871583968</v>
      </c>
      <c r="BC8" s="76" t="n">
        <f aca="false">'Revenue Streams'!BC$25</f>
        <v>56088.0793489517</v>
      </c>
      <c r="BD8" s="76" t="n">
        <f aca="false">'Revenue Streams'!BD$25</f>
        <v>57353.7681299243</v>
      </c>
      <c r="BE8" s="76" t="n">
        <f aca="false">'Revenue Streams'!BE$25</f>
        <v>58664.0732245524</v>
      </c>
      <c r="BF8" s="76" t="n">
        <f aca="false">'Revenue Streams'!BF$25</f>
        <v>60016.8574880984</v>
      </c>
      <c r="BG8" s="76" t="n">
        <f aca="false">'Revenue Streams'!BG$25</f>
        <v>61369.6417516443</v>
      </c>
      <c r="BH8" s="76" t="n">
        <f aca="false">'Revenue Streams'!BH$25</f>
        <v>62722.4260151903</v>
      </c>
      <c r="BI8" s="76" t="n">
        <f aca="false">'Revenue Streams'!BI$25</f>
        <v>64075.2102787362</v>
      </c>
      <c r="BJ8" s="76" t="n">
        <f aca="false">'Revenue Streams'!BJ$25</f>
        <v>65427.9945422822</v>
      </c>
      <c r="BK8" s="76" t="n">
        <f aca="false">'Revenue Streams'!BK$25</f>
        <v>66780.7788058282</v>
      </c>
      <c r="BL8" s="76" t="n">
        <f aca="false">'Revenue Streams'!BL$25</f>
        <v>68133.5630693741</v>
      </c>
      <c r="BM8" s="76" t="n">
        <f aca="false">'Revenue Streams'!BM$25</f>
        <v>69486.3473329201</v>
      </c>
      <c r="BN8" s="76" t="n">
        <f aca="false">'Revenue Streams'!BN$25</f>
        <v>70839.1315964661</v>
      </c>
    </row>
    <row r="9" customFormat="false" ht="15" hidden="false" customHeight="false" outlineLevel="0" collapsed="false">
      <c r="A9" s="12" t="s">
        <v>736</v>
      </c>
      <c r="B9" s="64" t="n">
        <f aca="false">SUM(C9:N9)</f>
        <v>562.263225084635</v>
      </c>
      <c r="C9" s="76" t="n">
        <f aca="false">'Revenue Streams'!C$26</f>
        <v>0</v>
      </c>
      <c r="D9" s="76" t="n">
        <f aca="false">'Revenue Streams'!D$26</f>
        <v>0</v>
      </c>
      <c r="E9" s="76" t="n">
        <f aca="false">'Revenue Streams'!E$26</f>
        <v>0</v>
      </c>
      <c r="F9" s="76" t="n">
        <f aca="false">'Revenue Streams'!F$26</f>
        <v>12.4947383352141</v>
      </c>
      <c r="G9" s="76" t="n">
        <f aca="false">'Revenue Streams'!G$26</f>
        <v>24.9894766704282</v>
      </c>
      <c r="H9" s="76" t="n">
        <f aca="false">'Revenue Streams'!H$26</f>
        <v>37.4842150056423</v>
      </c>
      <c r="I9" s="76" t="n">
        <f aca="false">'Revenue Streams'!I$26</f>
        <v>49.9789533408564</v>
      </c>
      <c r="J9" s="76" t="n">
        <f aca="false">'Revenue Streams'!J$26</f>
        <v>62.4736916760705</v>
      </c>
      <c r="K9" s="76" t="n">
        <f aca="false">'Revenue Streams'!K$26</f>
        <v>74.9684300112846</v>
      </c>
      <c r="L9" s="76" t="n">
        <f aca="false">'Revenue Streams'!L$26</f>
        <v>87.4631683464987</v>
      </c>
      <c r="M9" s="76" t="n">
        <f aca="false">'Revenue Streams'!M$26</f>
        <v>99.9579066817128</v>
      </c>
      <c r="N9" s="76" t="n">
        <f aca="false">'Revenue Streams'!N$26</f>
        <v>112.452645016927</v>
      </c>
      <c r="O9" s="64" t="n">
        <f aca="false">SUM(P9:AA9)</f>
        <v>6068.69822140703</v>
      </c>
      <c r="P9" s="76" t="n">
        <f aca="false">'Revenue Streams'!P$26</f>
        <v>350.729497128817</v>
      </c>
      <c r="Q9" s="76" t="n">
        <f aca="false">'Revenue Streams'!Q$26</f>
        <v>385.802446841699</v>
      </c>
      <c r="R9" s="76" t="n">
        <f aca="false">'Revenue Streams'!R$26</f>
        <v>424.382691525868</v>
      </c>
      <c r="S9" s="76" t="n">
        <f aca="false">'Revenue Streams'!S$26</f>
        <v>448.568010685376</v>
      </c>
      <c r="T9" s="76" t="n">
        <f aca="false">'Revenue Streams'!T$26</f>
        <v>472.753329844883</v>
      </c>
      <c r="U9" s="76" t="n">
        <f aca="false">'Revenue Streams'!U$26</f>
        <v>496.93864900439</v>
      </c>
      <c r="V9" s="76" t="n">
        <f aca="false">'Revenue Streams'!V$26</f>
        <v>521.123968163897</v>
      </c>
      <c r="W9" s="76" t="n">
        <f aca="false">'Revenue Streams'!W$26</f>
        <v>545.309287323405</v>
      </c>
      <c r="X9" s="76" t="n">
        <f aca="false">'Revenue Streams'!X$26</f>
        <v>569.494606482912</v>
      </c>
      <c r="Y9" s="76" t="n">
        <f aca="false">'Revenue Streams'!Y$26</f>
        <v>593.679925642419</v>
      </c>
      <c r="Z9" s="76" t="n">
        <f aca="false">'Revenue Streams'!Z$26</f>
        <v>617.865244801926</v>
      </c>
      <c r="AA9" s="76" t="n">
        <f aca="false">'Revenue Streams'!AA$26</f>
        <v>642.050563961434</v>
      </c>
      <c r="AB9" s="64" t="n">
        <f aca="false">SUM(AC9:AN9)</f>
        <v>12133.7484415657</v>
      </c>
      <c r="AC9" s="76" t="n">
        <f aca="false">'Revenue Streams'!AC$26</f>
        <v>791.155111206117</v>
      </c>
      <c r="AD9" s="76" t="n">
        <f aca="false">'Revenue Streams'!AD$26</f>
        <v>819.875177708032</v>
      </c>
      <c r="AE9" s="76" t="n">
        <f aca="false">'Revenue Streams'!AE$26</f>
        <v>850.827530912084</v>
      </c>
      <c r="AF9" s="76" t="n">
        <f aca="false">'Revenue Streams'!AF$26</f>
        <v>895.592927434989</v>
      </c>
      <c r="AG9" s="76" t="n">
        <f aca="false">'Revenue Streams'!AG$26</f>
        <v>940.358323957893</v>
      </c>
      <c r="AH9" s="76" t="n">
        <f aca="false">'Revenue Streams'!AH$26</f>
        <v>985.123720480797</v>
      </c>
      <c r="AI9" s="76" t="n">
        <f aca="false">'Revenue Streams'!AI$26</f>
        <v>1029.8891170037</v>
      </c>
      <c r="AJ9" s="76" t="n">
        <f aca="false">'Revenue Streams'!AJ$26</f>
        <v>1074.65451352661</v>
      </c>
      <c r="AK9" s="76" t="n">
        <f aca="false">'Revenue Streams'!AK$26</f>
        <v>1119.41991004951</v>
      </c>
      <c r="AL9" s="76" t="n">
        <f aca="false">'Revenue Streams'!AL$26</f>
        <v>1164.18530657241</v>
      </c>
      <c r="AM9" s="76" t="n">
        <f aca="false">'Revenue Streams'!AM$26</f>
        <v>1208.95070309532</v>
      </c>
      <c r="AN9" s="76" t="n">
        <f aca="false">'Revenue Streams'!AN$26</f>
        <v>1253.71609961822</v>
      </c>
      <c r="AO9" s="64" t="n">
        <f aca="false">SUM(AP9:BA9)</f>
        <v>21217.2675101187</v>
      </c>
      <c r="AP9" s="76" t="n">
        <f aca="false">'Revenue Streams'!AP$26</f>
        <v>1503.50489026867</v>
      </c>
      <c r="AQ9" s="76" t="n">
        <f aca="false">'Revenue Streams'!AQ$26</f>
        <v>1555.33850729519</v>
      </c>
      <c r="AR9" s="76" t="n">
        <f aca="false">'Revenue Streams'!AR$26</f>
        <v>1605.31957974292</v>
      </c>
      <c r="AS9" s="76" t="n">
        <f aca="false">'Revenue Streams'!AS$26</f>
        <v>1652.10243119016</v>
      </c>
      <c r="AT9" s="76" t="n">
        <f aca="false">'Revenue Streams'!AT$26</f>
        <v>1698.88528263739</v>
      </c>
      <c r="AU9" s="76" t="n">
        <f aca="false">'Revenue Streams'!AU$26</f>
        <v>1745.66813408463</v>
      </c>
      <c r="AV9" s="76" t="n">
        <f aca="false">'Revenue Streams'!AV$26</f>
        <v>1792.45098553187</v>
      </c>
      <c r="AW9" s="76" t="n">
        <f aca="false">'Revenue Streams'!AW$26</f>
        <v>1839.2338369791</v>
      </c>
      <c r="AX9" s="76" t="n">
        <f aca="false">'Revenue Streams'!AX$26</f>
        <v>1886.01668842634</v>
      </c>
      <c r="AY9" s="76" t="n">
        <f aca="false">'Revenue Streams'!AY$26</f>
        <v>1932.79953987358</v>
      </c>
      <c r="AZ9" s="76" t="n">
        <f aca="false">'Revenue Streams'!AZ$26</f>
        <v>1979.58239132081</v>
      </c>
      <c r="BA9" s="76" t="n">
        <f aca="false">'Revenue Streams'!BA$26</f>
        <v>2026.36524276805</v>
      </c>
      <c r="BB9" s="64" t="n">
        <f aca="false">SUM(BC9:BN9)</f>
        <v>30683.7851445149</v>
      </c>
      <c r="BC9" s="76" t="n">
        <f aca="false">'Revenue Streams'!BC$26</f>
        <v>2261.61610278031</v>
      </c>
      <c r="BD9" s="76" t="n">
        <f aca="false">'Revenue Streams'!BD$26</f>
        <v>2312.65194072275</v>
      </c>
      <c r="BE9" s="76" t="n">
        <f aca="false">'Revenue Streams'!BE$26</f>
        <v>2365.48682357066</v>
      </c>
      <c r="BF9" s="76" t="n">
        <f aca="false">'Revenue Streams'!BF$26</f>
        <v>2420.034576133</v>
      </c>
      <c r="BG9" s="76" t="n">
        <f aca="false">'Revenue Streams'!BG$26</f>
        <v>2474.58232869534</v>
      </c>
      <c r="BH9" s="76" t="n">
        <f aca="false">'Revenue Streams'!BH$26</f>
        <v>2529.13008125767</v>
      </c>
      <c r="BI9" s="76" t="n">
        <f aca="false">'Revenue Streams'!BI$26</f>
        <v>2583.67783382001</v>
      </c>
      <c r="BJ9" s="76" t="n">
        <f aca="false">'Revenue Streams'!BJ$26</f>
        <v>2638.22558638235</v>
      </c>
      <c r="BK9" s="76" t="n">
        <f aca="false">'Revenue Streams'!BK$26</f>
        <v>2692.77333894469</v>
      </c>
      <c r="BL9" s="76" t="n">
        <f aca="false">'Revenue Streams'!BL$26</f>
        <v>2747.32109150702</v>
      </c>
      <c r="BM9" s="76" t="n">
        <f aca="false">'Revenue Streams'!BM$26</f>
        <v>2801.86884406936</v>
      </c>
      <c r="BN9" s="76" t="n">
        <f aca="false">'Revenue Streams'!BN$26</f>
        <v>2856.4165966317</v>
      </c>
    </row>
    <row r="10" customFormat="false" ht="15" hidden="false" customHeight="false" outlineLevel="0" collapsed="false">
      <c r="A10" s="12" t="s">
        <v>737</v>
      </c>
      <c r="B10" s="64" t="n">
        <f aca="false">SUM(C10:N10)</f>
        <v>3148.67406047395</v>
      </c>
      <c r="C10" s="76" t="n">
        <f aca="false">'Revenue Streams'!C$27</f>
        <v>0</v>
      </c>
      <c r="D10" s="76" t="n">
        <f aca="false">'Revenue Streams'!D$27</f>
        <v>0</v>
      </c>
      <c r="E10" s="76" t="n">
        <f aca="false">'Revenue Streams'!E$27</f>
        <v>0</v>
      </c>
      <c r="F10" s="76" t="n">
        <f aca="false">'Revenue Streams'!F$27</f>
        <v>69.970534677199</v>
      </c>
      <c r="G10" s="76" t="n">
        <f aca="false">'Revenue Streams'!G$27</f>
        <v>139.941069354398</v>
      </c>
      <c r="H10" s="76" t="n">
        <f aca="false">'Revenue Streams'!H$27</f>
        <v>209.911604031597</v>
      </c>
      <c r="I10" s="76" t="n">
        <f aca="false">'Revenue Streams'!I$27</f>
        <v>279.882138708796</v>
      </c>
      <c r="J10" s="76" t="n">
        <f aca="false">'Revenue Streams'!J$27</f>
        <v>349.852673385995</v>
      </c>
      <c r="K10" s="76" t="n">
        <f aca="false">'Revenue Streams'!K$27</f>
        <v>419.823208063194</v>
      </c>
      <c r="L10" s="76" t="n">
        <f aca="false">'Revenue Streams'!L$27</f>
        <v>489.793742740393</v>
      </c>
      <c r="M10" s="76" t="n">
        <f aca="false">'Revenue Streams'!M$27</f>
        <v>559.764277417592</v>
      </c>
      <c r="N10" s="76" t="n">
        <f aca="false">'Revenue Streams'!N$27</f>
        <v>629.734812094791</v>
      </c>
      <c r="O10" s="64" t="n">
        <f aca="false">SUM(P10:AA10)</f>
        <v>34515.7211342525</v>
      </c>
      <c r="P10" s="76" t="n">
        <f aca="false">'Revenue Streams'!P$27</f>
        <v>1994.77401492015</v>
      </c>
      <c r="Q10" s="76" t="n">
        <f aca="false">'Revenue Streams'!Q$27</f>
        <v>2194.25141641216</v>
      </c>
      <c r="R10" s="76" t="n">
        <f aca="false">'Revenue Streams'!R$27</f>
        <v>2413.67655805338</v>
      </c>
      <c r="S10" s="76" t="n">
        <f aca="false">'Revenue Streams'!S$27</f>
        <v>2551.23056077307</v>
      </c>
      <c r="T10" s="76" t="n">
        <f aca="false">'Revenue Streams'!T$27</f>
        <v>2688.78456349277</v>
      </c>
      <c r="U10" s="76" t="n">
        <f aca="false">'Revenue Streams'!U$27</f>
        <v>2826.33856621247</v>
      </c>
      <c r="V10" s="76" t="n">
        <f aca="false">'Revenue Streams'!V$27</f>
        <v>2963.89256893217</v>
      </c>
      <c r="W10" s="76" t="n">
        <f aca="false">'Revenue Streams'!W$27</f>
        <v>3101.44657165186</v>
      </c>
      <c r="X10" s="76" t="n">
        <f aca="false">'Revenue Streams'!X$27</f>
        <v>3239.00057437156</v>
      </c>
      <c r="Y10" s="76" t="n">
        <f aca="false">'Revenue Streams'!Y$27</f>
        <v>3376.55457709126</v>
      </c>
      <c r="Z10" s="76" t="n">
        <f aca="false">'Revenue Streams'!Z$27</f>
        <v>3514.10857981096</v>
      </c>
      <c r="AA10" s="76" t="n">
        <f aca="false">'Revenue Streams'!AA$27</f>
        <v>3651.66258253065</v>
      </c>
      <c r="AB10" s="64" t="n">
        <f aca="false">SUM(AC10:AN10)</f>
        <v>64819.7614115219</v>
      </c>
      <c r="AC10" s="76" t="n">
        <f aca="false">'Revenue Streams'!AC$27</f>
        <v>4226.43388354847</v>
      </c>
      <c r="AD10" s="76" t="n">
        <f aca="false">'Revenue Streams'!AD$27</f>
        <v>4379.85950196659</v>
      </c>
      <c r="AE10" s="76" t="n">
        <f aca="false">'Revenue Streams'!AE$27</f>
        <v>4545.21023092508</v>
      </c>
      <c r="AF10" s="76" t="n">
        <f aca="false">'Revenue Streams'!AF$27</f>
        <v>4784.35169129744</v>
      </c>
      <c r="AG10" s="76" t="n">
        <f aca="false">'Revenue Streams'!AG$27</f>
        <v>5023.49315166979</v>
      </c>
      <c r="AH10" s="76" t="n">
        <f aca="false">'Revenue Streams'!AH$27</f>
        <v>5262.63461204215</v>
      </c>
      <c r="AI10" s="76" t="n">
        <f aca="false">'Revenue Streams'!AI$27</f>
        <v>5501.77607241451</v>
      </c>
      <c r="AJ10" s="76" t="n">
        <f aca="false">'Revenue Streams'!AJ$27</f>
        <v>5740.91753278686</v>
      </c>
      <c r="AK10" s="76" t="n">
        <f aca="false">'Revenue Streams'!AK$27</f>
        <v>5980.05899315922</v>
      </c>
      <c r="AL10" s="76" t="n">
        <f aca="false">'Revenue Streams'!AL$27</f>
        <v>6219.20045353158</v>
      </c>
      <c r="AM10" s="76" t="n">
        <f aca="false">'Revenue Streams'!AM$27</f>
        <v>6458.34191390393</v>
      </c>
      <c r="AN10" s="76" t="n">
        <f aca="false">'Revenue Streams'!AN$27</f>
        <v>6697.48337427629</v>
      </c>
      <c r="AO10" s="64" t="n">
        <f aca="false">SUM(AP10:BA10)</f>
        <v>104639.705674904</v>
      </c>
      <c r="AP10" s="76" t="n">
        <f aca="false">'Revenue Streams'!AP$27</f>
        <v>7415.01275427959</v>
      </c>
      <c r="AQ10" s="76" t="n">
        <f aca="false">'Revenue Streams'!AQ$27</f>
        <v>7670.64672916039</v>
      </c>
      <c r="AR10" s="76" t="n">
        <f aca="false">'Revenue Streams'!AR$27</f>
        <v>7917.14429100484</v>
      </c>
      <c r="AS10" s="76" t="n">
        <f aca="false">'Revenue Streams'!AS$27</f>
        <v>8147.86880836963</v>
      </c>
      <c r="AT10" s="76" t="n">
        <f aca="false">'Revenue Streams'!AT$27</f>
        <v>8378.59332573441</v>
      </c>
      <c r="AU10" s="76" t="n">
        <f aca="false">'Revenue Streams'!AU$27</f>
        <v>8609.31784309919</v>
      </c>
      <c r="AV10" s="76" t="n">
        <f aca="false">'Revenue Streams'!AV$27</f>
        <v>8840.04236046397</v>
      </c>
      <c r="AW10" s="76" t="n">
        <f aca="false">'Revenue Streams'!AW$27</f>
        <v>9070.76687782876</v>
      </c>
      <c r="AX10" s="76" t="n">
        <f aca="false">'Revenue Streams'!AX$27</f>
        <v>9301.49139519354</v>
      </c>
      <c r="AY10" s="76" t="n">
        <f aca="false">'Revenue Streams'!AY$27</f>
        <v>9532.21591255832</v>
      </c>
      <c r="AZ10" s="76" t="n">
        <f aca="false">'Revenue Streams'!AZ$27</f>
        <v>9762.9404299231</v>
      </c>
      <c r="BA10" s="76" t="n">
        <f aca="false">'Revenue Streams'!BA$27</f>
        <v>9993.66494728788</v>
      </c>
      <c r="BB10" s="64" t="n">
        <f aca="false">SUM(BC10:BN10)</f>
        <v>147665.716007978</v>
      </c>
      <c r="BC10" s="76" t="n">
        <f aca="false">'Revenue Streams'!BC$27</f>
        <v>10884.0274946303</v>
      </c>
      <c r="BD10" s="76" t="n">
        <f aca="false">'Revenue Streams'!BD$27</f>
        <v>11129.6374647283</v>
      </c>
      <c r="BE10" s="76" t="n">
        <f aca="false">'Revenue Streams'!BE$27</f>
        <v>11383.9053384338</v>
      </c>
      <c r="BF10" s="76" t="n">
        <f aca="false">'Revenue Streams'!BF$27</f>
        <v>11646.4163976401</v>
      </c>
      <c r="BG10" s="76" t="n">
        <f aca="false">'Revenue Streams'!BG$27</f>
        <v>11908.9274568463</v>
      </c>
      <c r="BH10" s="76" t="n">
        <f aca="false">'Revenue Streams'!BH$27</f>
        <v>12171.4385160526</v>
      </c>
      <c r="BI10" s="76" t="n">
        <f aca="false">'Revenue Streams'!BI$27</f>
        <v>12433.9495752588</v>
      </c>
      <c r="BJ10" s="76" t="n">
        <f aca="false">'Revenue Streams'!BJ$27</f>
        <v>12696.460634465</v>
      </c>
      <c r="BK10" s="76" t="n">
        <f aca="false">'Revenue Streams'!BK$27</f>
        <v>12958.9716936713</v>
      </c>
      <c r="BL10" s="76" t="n">
        <f aca="false">'Revenue Streams'!BL$27</f>
        <v>13221.4827528775</v>
      </c>
      <c r="BM10" s="76" t="n">
        <f aca="false">'Revenue Streams'!BM$27</f>
        <v>13483.9938120838</v>
      </c>
      <c r="BN10" s="76" t="n">
        <f aca="false">'Revenue Streams'!BN$27</f>
        <v>13746.50487129</v>
      </c>
    </row>
    <row r="11" customFormat="false" ht="15" hidden="false" customHeight="false" outlineLevel="0" collapsed="false">
      <c r="A11" s="12" t="s">
        <v>738</v>
      </c>
      <c r="B11" s="64" t="n">
        <f aca="false">SUM(C11:N11)</f>
        <v>131.194752519748</v>
      </c>
      <c r="C11" s="76" t="n">
        <f aca="false">'Revenue Streams'!C$28</f>
        <v>0</v>
      </c>
      <c r="D11" s="76" t="n">
        <f aca="false">'Revenue Streams'!D$28</f>
        <v>0</v>
      </c>
      <c r="E11" s="76" t="n">
        <f aca="false">'Revenue Streams'!E$28</f>
        <v>0</v>
      </c>
      <c r="F11" s="76" t="n">
        <f aca="false">'Revenue Streams'!F$28</f>
        <v>2.91543894488329</v>
      </c>
      <c r="G11" s="76" t="n">
        <f aca="false">'Revenue Streams'!G$28</f>
        <v>5.83087788976658</v>
      </c>
      <c r="H11" s="76" t="n">
        <f aca="false">'Revenue Streams'!H$28</f>
        <v>8.74631683464987</v>
      </c>
      <c r="I11" s="76" t="n">
        <f aca="false">'Revenue Streams'!I$28</f>
        <v>11.6617557795332</v>
      </c>
      <c r="J11" s="76" t="n">
        <f aca="false">'Revenue Streams'!J$28</f>
        <v>14.5771947244165</v>
      </c>
      <c r="K11" s="76" t="n">
        <f aca="false">'Revenue Streams'!K$28</f>
        <v>17.4926336692997</v>
      </c>
      <c r="L11" s="76" t="n">
        <f aca="false">'Revenue Streams'!L$28</f>
        <v>20.408072614183</v>
      </c>
      <c r="M11" s="76" t="n">
        <f aca="false">'Revenue Streams'!M$28</f>
        <v>23.3235115590663</v>
      </c>
      <c r="N11" s="76" t="n">
        <f aca="false">'Revenue Streams'!N$28</f>
        <v>26.2389505039496</v>
      </c>
      <c r="O11" s="64" t="n">
        <f aca="false">SUM(P11:AA11)</f>
        <v>1896.4681941897</v>
      </c>
      <c r="P11" s="76" t="n">
        <f aca="false">'Revenue Streams'!P$28</f>
        <v>109.602967852755</v>
      </c>
      <c r="Q11" s="76" t="n">
        <f aca="false">'Revenue Streams'!Q$28</f>
        <v>120.563264638031</v>
      </c>
      <c r="R11" s="76" t="n">
        <f aca="false">'Revenue Streams'!R$28</f>
        <v>132.619591101834</v>
      </c>
      <c r="S11" s="76" t="n">
        <f aca="false">'Revenue Streams'!S$28</f>
        <v>140.17750333918</v>
      </c>
      <c r="T11" s="76" t="n">
        <f aca="false">'Revenue Streams'!T$28</f>
        <v>147.735415576526</v>
      </c>
      <c r="U11" s="76" t="n">
        <f aca="false">'Revenue Streams'!U$28</f>
        <v>155.293327813872</v>
      </c>
      <c r="V11" s="76" t="n">
        <f aca="false">'Revenue Streams'!V$28</f>
        <v>162.851240051218</v>
      </c>
      <c r="W11" s="76" t="n">
        <f aca="false">'Revenue Streams'!W$28</f>
        <v>170.409152288564</v>
      </c>
      <c r="X11" s="76" t="n">
        <f aca="false">'Revenue Streams'!X$28</f>
        <v>177.96706452591</v>
      </c>
      <c r="Y11" s="76" t="n">
        <f aca="false">'Revenue Streams'!Y$28</f>
        <v>185.524976763256</v>
      </c>
      <c r="Z11" s="76" t="n">
        <f aca="false">'Revenue Streams'!Z$28</f>
        <v>193.082889000602</v>
      </c>
      <c r="AA11" s="76" t="n">
        <f aca="false">'Revenue Streams'!AA$28</f>
        <v>200.640801237948</v>
      </c>
      <c r="AB11" s="64" t="n">
        <f aca="false">SUM(AC11:AN11)</f>
        <v>3831.71003417864</v>
      </c>
      <c r="AC11" s="76" t="n">
        <f aca="false">'Revenue Streams'!AC$28</f>
        <v>249.838456170353</v>
      </c>
      <c r="AD11" s="76" t="n">
        <f aca="false">'Revenue Streams'!AD$28</f>
        <v>258.907950855168</v>
      </c>
      <c r="AE11" s="76" t="n">
        <f aca="false">'Revenue Streams'!AE$28</f>
        <v>268.682378182763</v>
      </c>
      <c r="AF11" s="76" t="n">
        <f aca="false">'Revenue Streams'!AF$28</f>
        <v>282.818819189996</v>
      </c>
      <c r="AG11" s="76" t="n">
        <f aca="false">'Revenue Streams'!AG$28</f>
        <v>296.955260197229</v>
      </c>
      <c r="AH11" s="76" t="n">
        <f aca="false">'Revenue Streams'!AH$28</f>
        <v>311.091701204462</v>
      </c>
      <c r="AI11" s="76" t="n">
        <f aca="false">'Revenue Streams'!AI$28</f>
        <v>325.228142211695</v>
      </c>
      <c r="AJ11" s="76" t="n">
        <f aca="false">'Revenue Streams'!AJ$28</f>
        <v>339.364583218928</v>
      </c>
      <c r="AK11" s="76" t="n">
        <f aca="false">'Revenue Streams'!AK$28</f>
        <v>353.501024226161</v>
      </c>
      <c r="AL11" s="76" t="n">
        <f aca="false">'Revenue Streams'!AL$28</f>
        <v>367.637465233394</v>
      </c>
      <c r="AM11" s="76" t="n">
        <f aca="false">'Revenue Streams'!AM$28</f>
        <v>381.773906240627</v>
      </c>
      <c r="AN11" s="76" t="n">
        <f aca="false">'Revenue Streams'!AN$28</f>
        <v>395.91034724786</v>
      </c>
      <c r="AO11" s="64" t="n">
        <f aca="false">SUM(AP11:BA11)</f>
        <v>6268.73812798962</v>
      </c>
      <c r="AP11" s="76" t="n">
        <f aca="false">'Revenue Streams'!AP$28</f>
        <v>444.217353943017</v>
      </c>
      <c r="AQ11" s="76" t="n">
        <f aca="false">'Revenue Streams'!AQ$28</f>
        <v>459.531831700853</v>
      </c>
      <c r="AR11" s="76" t="n">
        <f aca="false">'Revenue Streams'!AR$28</f>
        <v>474.298966742226</v>
      </c>
      <c r="AS11" s="76" t="n">
        <f aca="false">'Revenue Streams'!AS$28</f>
        <v>488.121172851637</v>
      </c>
      <c r="AT11" s="76" t="n">
        <f aca="false">'Revenue Streams'!AT$28</f>
        <v>501.943378961048</v>
      </c>
      <c r="AU11" s="76" t="n">
        <f aca="false">'Revenue Streams'!AU$28</f>
        <v>515.765585070459</v>
      </c>
      <c r="AV11" s="76" t="n">
        <f aca="false">'Revenue Streams'!AV$28</f>
        <v>529.587791179869</v>
      </c>
      <c r="AW11" s="76" t="n">
        <f aca="false">'Revenue Streams'!AW$28</f>
        <v>543.40999728928</v>
      </c>
      <c r="AX11" s="76" t="n">
        <f aca="false">'Revenue Streams'!AX$28</f>
        <v>557.232203398691</v>
      </c>
      <c r="AY11" s="76" t="n">
        <f aca="false">'Revenue Streams'!AY$28</f>
        <v>571.054409508102</v>
      </c>
      <c r="AZ11" s="76" t="n">
        <f aca="false">'Revenue Streams'!AZ$28</f>
        <v>584.876615617513</v>
      </c>
      <c r="BA11" s="76" t="n">
        <f aca="false">'Revenue Streams'!BA$28</f>
        <v>598.698821726924</v>
      </c>
      <c r="BB11" s="64" t="n">
        <f aca="false">SUM(BC11:BN11)</f>
        <v>8949.43733381683</v>
      </c>
      <c r="BC11" s="76" t="n">
        <f aca="false">'Revenue Streams'!BC$28</f>
        <v>659.638029977591</v>
      </c>
      <c r="BD11" s="76" t="n">
        <f aca="false">'Revenue Streams'!BD$28</f>
        <v>674.523482710803</v>
      </c>
      <c r="BE11" s="76" t="n">
        <f aca="false">'Revenue Streams'!BE$28</f>
        <v>689.933656874776</v>
      </c>
      <c r="BF11" s="76" t="n">
        <f aca="false">'Revenue Streams'!BF$28</f>
        <v>705.843418038791</v>
      </c>
      <c r="BG11" s="76" t="n">
        <f aca="false">'Revenue Streams'!BG$28</f>
        <v>721.753179202806</v>
      </c>
      <c r="BH11" s="76" t="n">
        <f aca="false">'Revenue Streams'!BH$28</f>
        <v>737.662940366821</v>
      </c>
      <c r="BI11" s="76" t="n">
        <f aca="false">'Revenue Streams'!BI$28</f>
        <v>753.572701530836</v>
      </c>
      <c r="BJ11" s="76" t="n">
        <f aca="false">'Revenue Streams'!BJ$28</f>
        <v>769.482462694851</v>
      </c>
      <c r="BK11" s="76" t="n">
        <f aca="false">'Revenue Streams'!BK$28</f>
        <v>785.392223858866</v>
      </c>
      <c r="BL11" s="76" t="n">
        <f aca="false">'Revenue Streams'!BL$28</f>
        <v>801.301985022881</v>
      </c>
      <c r="BM11" s="76" t="n">
        <f aca="false">'Revenue Streams'!BM$28</f>
        <v>817.211746186896</v>
      </c>
      <c r="BN11" s="76" t="n">
        <f aca="false">'Revenue Streams'!BN$28</f>
        <v>833.121507350911</v>
      </c>
    </row>
    <row r="12" customFormat="false" ht="15" hidden="false" customHeight="false" outlineLevel="0" collapsed="false">
      <c r="A12" s="12" t="s">
        <v>739</v>
      </c>
      <c r="B12" s="64" t="n">
        <f aca="false">SUM(C12:N12)</f>
        <v>843.394837626952</v>
      </c>
      <c r="C12" s="76" t="n">
        <f aca="false">'Revenue Streams'!C$29</f>
        <v>0</v>
      </c>
      <c r="D12" s="76" t="n">
        <f aca="false">'Revenue Streams'!D$29</f>
        <v>0</v>
      </c>
      <c r="E12" s="76" t="n">
        <f aca="false">'Revenue Streams'!E$29</f>
        <v>0</v>
      </c>
      <c r="F12" s="76" t="n">
        <f aca="false">'Revenue Streams'!F$29</f>
        <v>18.7421075028212</v>
      </c>
      <c r="G12" s="76" t="n">
        <f aca="false">'Revenue Streams'!G$29</f>
        <v>37.4842150056423</v>
      </c>
      <c r="H12" s="76" t="n">
        <f aca="false">'Revenue Streams'!H$29</f>
        <v>56.2263225084635</v>
      </c>
      <c r="I12" s="76" t="n">
        <f aca="false">'Revenue Streams'!I$29</f>
        <v>74.9684300112846</v>
      </c>
      <c r="J12" s="76" t="n">
        <f aca="false">'Revenue Streams'!J$29</f>
        <v>93.7105375141058</v>
      </c>
      <c r="K12" s="76" t="n">
        <f aca="false">'Revenue Streams'!K$29</f>
        <v>112.452645016927</v>
      </c>
      <c r="L12" s="76" t="n">
        <f aca="false">'Revenue Streams'!L$29</f>
        <v>131.194752519748</v>
      </c>
      <c r="M12" s="76" t="n">
        <f aca="false">'Revenue Streams'!M$29</f>
        <v>149.936860022569</v>
      </c>
      <c r="N12" s="76" t="n">
        <f aca="false">'Revenue Streams'!N$29</f>
        <v>168.67896752539</v>
      </c>
      <c r="O12" s="64" t="n">
        <f aca="false">SUM(P12:AA12)</f>
        <v>9558.19969871607</v>
      </c>
      <c r="P12" s="76" t="n">
        <f aca="false">'Revenue Streams'!P$29</f>
        <v>552.398957977887</v>
      </c>
      <c r="Q12" s="76" t="n">
        <f aca="false">'Revenue Streams'!Q$29</f>
        <v>607.638853775675</v>
      </c>
      <c r="R12" s="76" t="n">
        <f aca="false">'Revenue Streams'!R$29</f>
        <v>668.402739153243</v>
      </c>
      <c r="S12" s="76" t="n">
        <f aca="false">'Revenue Streams'!S$29</f>
        <v>706.494616829467</v>
      </c>
      <c r="T12" s="76" t="n">
        <f aca="false">'Revenue Streams'!T$29</f>
        <v>744.586494505691</v>
      </c>
      <c r="U12" s="76" t="n">
        <f aca="false">'Revenue Streams'!U$29</f>
        <v>782.678372181915</v>
      </c>
      <c r="V12" s="76" t="n">
        <f aca="false">'Revenue Streams'!V$29</f>
        <v>820.770249858139</v>
      </c>
      <c r="W12" s="76" t="n">
        <f aca="false">'Revenue Streams'!W$29</f>
        <v>858.862127534363</v>
      </c>
      <c r="X12" s="76" t="n">
        <f aca="false">'Revenue Streams'!X$29</f>
        <v>896.954005210586</v>
      </c>
      <c r="Y12" s="76" t="n">
        <f aca="false">'Revenue Streams'!Y$29</f>
        <v>935.04588288681</v>
      </c>
      <c r="Z12" s="76" t="n">
        <f aca="false">'Revenue Streams'!Z$29</f>
        <v>973.137760563034</v>
      </c>
      <c r="AA12" s="76" t="n">
        <f aca="false">'Revenue Streams'!AA$29</f>
        <v>1011.22963823926</v>
      </c>
      <c r="AB12" s="64" t="n">
        <f aca="false">SUM(AC12:AN12)</f>
        <v>17817.4516589307</v>
      </c>
      <c r="AC12" s="76" t="n">
        <f aca="false">'Revenue Streams'!AC$29</f>
        <v>1161.74882119214</v>
      </c>
      <c r="AD12" s="76" t="n">
        <f aca="false">'Revenue Streams'!AD$29</f>
        <v>1203.92197147653</v>
      </c>
      <c r="AE12" s="76" t="n">
        <f aca="false">'Revenue Streams'!AE$29</f>
        <v>1249.37305854985</v>
      </c>
      <c r="AF12" s="76" t="n">
        <f aca="false">'Revenue Streams'!AF$29</f>
        <v>1315.10750923348</v>
      </c>
      <c r="AG12" s="76" t="n">
        <f aca="false">'Revenue Streams'!AG$29</f>
        <v>1380.84195991712</v>
      </c>
      <c r="AH12" s="76" t="n">
        <f aca="false">'Revenue Streams'!AH$29</f>
        <v>1446.57641060075</v>
      </c>
      <c r="AI12" s="76" t="n">
        <f aca="false">'Revenue Streams'!AI$29</f>
        <v>1512.31086128438</v>
      </c>
      <c r="AJ12" s="76" t="n">
        <f aca="false">'Revenue Streams'!AJ$29</f>
        <v>1578.04531196802</v>
      </c>
      <c r="AK12" s="76" t="n">
        <f aca="false">'Revenue Streams'!AK$29</f>
        <v>1643.77976265165</v>
      </c>
      <c r="AL12" s="76" t="n">
        <f aca="false">'Revenue Streams'!AL$29</f>
        <v>1709.51421333528</v>
      </c>
      <c r="AM12" s="76" t="n">
        <f aca="false">'Revenue Streams'!AM$29</f>
        <v>1775.24866401891</v>
      </c>
      <c r="AN12" s="76" t="n">
        <f aca="false">'Revenue Streams'!AN$29</f>
        <v>1840.98311470255</v>
      </c>
      <c r="AO12" s="64" t="n">
        <f aca="false">SUM(AP12:BA12)</f>
        <v>28643.3111386603</v>
      </c>
      <c r="AP12" s="76" t="n">
        <f aca="false">'Revenue Streams'!AP$29</f>
        <v>2029.73160186271</v>
      </c>
      <c r="AQ12" s="76" t="n">
        <f aca="false">'Revenue Streams'!AQ$29</f>
        <v>2099.70698484851</v>
      </c>
      <c r="AR12" s="76" t="n">
        <f aca="false">'Revenue Streams'!AR$29</f>
        <v>2167.18143265294</v>
      </c>
      <c r="AS12" s="76" t="n">
        <f aca="false">'Revenue Streams'!AS$29</f>
        <v>2230.33828210671</v>
      </c>
      <c r="AT12" s="76" t="n">
        <f aca="false">'Revenue Streams'!AT$29</f>
        <v>2293.49513156048</v>
      </c>
      <c r="AU12" s="76" t="n">
        <f aca="false">'Revenue Streams'!AU$29</f>
        <v>2356.65198101425</v>
      </c>
      <c r="AV12" s="76" t="n">
        <f aca="false">'Revenue Streams'!AV$29</f>
        <v>2419.80883046802</v>
      </c>
      <c r="AW12" s="76" t="n">
        <f aca="false">'Revenue Streams'!AW$29</f>
        <v>2482.96567992179</v>
      </c>
      <c r="AX12" s="76" t="n">
        <f aca="false">'Revenue Streams'!AX$29</f>
        <v>2546.12252937556</v>
      </c>
      <c r="AY12" s="76" t="n">
        <f aca="false">'Revenue Streams'!AY$29</f>
        <v>2609.27937882933</v>
      </c>
      <c r="AZ12" s="76" t="n">
        <f aca="false">'Revenue Streams'!AZ$29</f>
        <v>2672.4362282831</v>
      </c>
      <c r="BA12" s="76" t="n">
        <f aca="false">'Revenue Streams'!BA$29</f>
        <v>2735.59307773687</v>
      </c>
      <c r="BB12" s="64" t="n">
        <f aca="false">SUM(BC12:BN12)</f>
        <v>40272.4680021758</v>
      </c>
      <c r="BC12" s="76" t="n">
        <f aca="false">'Revenue Streams'!BC$29</f>
        <v>2968.37113489916</v>
      </c>
      <c r="BD12" s="76" t="n">
        <f aca="false">'Revenue Streams'!BD$29</f>
        <v>3035.35567219861</v>
      </c>
      <c r="BE12" s="76" t="n">
        <f aca="false">'Revenue Streams'!BE$29</f>
        <v>3104.70145593649</v>
      </c>
      <c r="BF12" s="76" t="n">
        <f aca="false">'Revenue Streams'!BF$29</f>
        <v>3176.29538117456</v>
      </c>
      <c r="BG12" s="76" t="n">
        <f aca="false">'Revenue Streams'!BG$29</f>
        <v>3247.88930641263</v>
      </c>
      <c r="BH12" s="76" t="n">
        <f aca="false">'Revenue Streams'!BH$29</f>
        <v>3319.4832316507</v>
      </c>
      <c r="BI12" s="76" t="n">
        <f aca="false">'Revenue Streams'!BI$29</f>
        <v>3391.07715688876</v>
      </c>
      <c r="BJ12" s="76" t="n">
        <f aca="false">'Revenue Streams'!BJ$29</f>
        <v>3462.67108212683</v>
      </c>
      <c r="BK12" s="76" t="n">
        <f aca="false">'Revenue Streams'!BK$29</f>
        <v>3534.2650073649</v>
      </c>
      <c r="BL12" s="76" t="n">
        <f aca="false">'Revenue Streams'!BL$29</f>
        <v>3605.85893260297</v>
      </c>
      <c r="BM12" s="76" t="n">
        <f aca="false">'Revenue Streams'!BM$29</f>
        <v>3677.45285784103</v>
      </c>
      <c r="BN12" s="76" t="n">
        <f aca="false">'Revenue Streams'!BN$29</f>
        <v>3749.0467830791</v>
      </c>
    </row>
    <row r="13" customFormat="false" ht="15" hidden="false" customHeight="false" outlineLevel="0" collapsed="false">
      <c r="A13" s="12" t="s">
        <v>740</v>
      </c>
      <c r="B13" s="64" t="n">
        <f aca="false">SUM(C13:N13)</f>
        <v>11595.2395086853</v>
      </c>
      <c r="C13" s="76" t="n">
        <f aca="false">'Revenue Streams'!C$35</f>
        <v>256.5</v>
      </c>
      <c r="D13" s="76" t="n">
        <f aca="false">'Revenue Streams'!D$35</f>
        <v>410.4</v>
      </c>
      <c r="E13" s="76" t="n">
        <f aca="false">'Revenue Streams'!E$35</f>
        <v>618.424354703369</v>
      </c>
      <c r="F13" s="76" t="n">
        <f aca="false">'Revenue Streams'!F$35</f>
        <v>723.848709406738</v>
      </c>
      <c r="G13" s="76" t="n">
        <f aca="false">'Revenue Streams'!G$35</f>
        <v>829.273064110107</v>
      </c>
      <c r="H13" s="76" t="n">
        <f aca="false">'Revenue Streams'!H$35</f>
        <v>934.697418813476</v>
      </c>
      <c r="I13" s="76" t="n">
        <f aca="false">'Revenue Streams'!I$35</f>
        <v>1040.12177351685</v>
      </c>
      <c r="J13" s="76" t="n">
        <f aca="false">'Revenue Streams'!J$35</f>
        <v>1145.54612822021</v>
      </c>
      <c r="K13" s="76" t="n">
        <f aca="false">'Revenue Streams'!K$35</f>
        <v>1250.97048292358</v>
      </c>
      <c r="L13" s="76" t="n">
        <f aca="false">'Revenue Streams'!L$35</f>
        <v>1356.39483762695</v>
      </c>
      <c r="M13" s="76" t="n">
        <f aca="false">'Revenue Streams'!M$35</f>
        <v>1461.81919233032</v>
      </c>
      <c r="N13" s="76" t="n">
        <f aca="false">'Revenue Streams'!N$35</f>
        <v>1567.24354703369</v>
      </c>
      <c r="O13" s="64" t="n">
        <f aca="false">SUM(P13:AA13)</f>
        <v>57161.1733072191</v>
      </c>
      <c r="P13" s="76" t="n">
        <f aca="false">'Revenue Streams'!P$35</f>
        <v>4140.84181794462</v>
      </c>
      <c r="Q13" s="76" t="n">
        <f aca="false">'Revenue Streams'!Q$35</f>
        <v>4029.92599973908</v>
      </c>
      <c r="R13" s="76" t="n">
        <f aca="false">'Revenue Streams'!R$35</f>
        <v>3942.49228141444</v>
      </c>
      <c r="S13" s="76" t="n">
        <f aca="false">'Revenue Streams'!S$35</f>
        <v>4155.05856308979</v>
      </c>
      <c r="T13" s="76" t="n">
        <f aca="false">'Revenue Streams'!T$35</f>
        <v>4367.62484476515</v>
      </c>
      <c r="U13" s="76" t="n">
        <f aca="false">'Revenue Streams'!U$35</f>
        <v>4580.19112644051</v>
      </c>
      <c r="V13" s="76" t="n">
        <f aca="false">'Revenue Streams'!V$35</f>
        <v>4792.75740811586</v>
      </c>
      <c r="W13" s="76" t="n">
        <f aca="false">'Revenue Streams'!W$35</f>
        <v>5005.32368979122</v>
      </c>
      <c r="X13" s="76" t="n">
        <f aca="false">'Revenue Streams'!X$35</f>
        <v>5217.88997146658</v>
      </c>
      <c r="Y13" s="76" t="n">
        <f aca="false">'Revenue Streams'!Y$35</f>
        <v>5430.45625314193</v>
      </c>
      <c r="Z13" s="76" t="n">
        <f aca="false">'Revenue Streams'!Z$35</f>
        <v>5643.02253481729</v>
      </c>
      <c r="AA13" s="76" t="n">
        <f aca="false">'Revenue Streams'!AA$35</f>
        <v>5855.58881649265</v>
      </c>
      <c r="AB13" s="64" t="n">
        <f aca="false">SUM(AC13:AN13)</f>
        <v>102916.645380228</v>
      </c>
      <c r="AC13" s="76" t="n">
        <f aca="false">'Revenue Streams'!AC$35</f>
        <v>6674.9706079848</v>
      </c>
      <c r="AD13" s="76" t="n">
        <f aca="false">'Revenue Streams'!AD$35</f>
        <v>6926.96756252437</v>
      </c>
      <c r="AE13" s="76" t="n">
        <f aca="false">'Revenue Streams'!AE$35</f>
        <v>7291.4226822421</v>
      </c>
      <c r="AF13" s="76" t="n">
        <f aca="false">'Revenue Streams'!AF$35</f>
        <v>7655.87780195982</v>
      </c>
      <c r="AG13" s="76" t="n">
        <f aca="false">'Revenue Streams'!AG$35</f>
        <v>8020.33292167754</v>
      </c>
      <c r="AH13" s="76" t="n">
        <f aca="false">'Revenue Streams'!AH$35</f>
        <v>8384.78804139526</v>
      </c>
      <c r="AI13" s="76" t="n">
        <f aca="false">'Revenue Streams'!AI$35</f>
        <v>8749.24316111299</v>
      </c>
      <c r="AJ13" s="76" t="n">
        <f aca="false">'Revenue Streams'!AJ$35</f>
        <v>9113.69828083071</v>
      </c>
      <c r="AK13" s="76" t="n">
        <f aca="false">'Revenue Streams'!AK$35</f>
        <v>9478.15340054844</v>
      </c>
      <c r="AL13" s="76" t="n">
        <f aca="false">'Revenue Streams'!AL$35</f>
        <v>9842.60852026616</v>
      </c>
      <c r="AM13" s="76" t="n">
        <f aca="false">'Revenue Streams'!AM$35</f>
        <v>10207.0636399839</v>
      </c>
      <c r="AN13" s="76" t="n">
        <f aca="false">'Revenue Streams'!AN$35</f>
        <v>10571.5187597016</v>
      </c>
      <c r="AO13" s="64" t="n">
        <f aca="false">SUM(AP13:BA13)</f>
        <v>167115.508318115</v>
      </c>
      <c r="AP13" s="76" t="n">
        <f aca="false">'Revenue Streams'!AP$35</f>
        <v>11930.1533230029</v>
      </c>
      <c r="AQ13" s="76" t="n">
        <f aca="false">'Revenue Streams'!AQ$35</f>
        <v>12313.5308673462</v>
      </c>
      <c r="AR13" s="76" t="n">
        <f aca="false">'Revenue Streams'!AR$35</f>
        <v>12672.376602879</v>
      </c>
      <c r="AS13" s="76" t="n">
        <f aca="false">'Revenue Streams'!AS$35</f>
        <v>13031.2223384118</v>
      </c>
      <c r="AT13" s="76" t="n">
        <f aca="false">'Revenue Streams'!AT$35</f>
        <v>13390.0680739446</v>
      </c>
      <c r="AU13" s="76" t="n">
        <f aca="false">'Revenue Streams'!AU$35</f>
        <v>13748.9138094774</v>
      </c>
      <c r="AV13" s="76" t="n">
        <f aca="false">'Revenue Streams'!AV$35</f>
        <v>14107.7595450102</v>
      </c>
      <c r="AW13" s="76" t="n">
        <f aca="false">'Revenue Streams'!AW$35</f>
        <v>14466.6052805429</v>
      </c>
      <c r="AX13" s="76" t="n">
        <f aca="false">'Revenue Streams'!AX$35</f>
        <v>14825.4510160757</v>
      </c>
      <c r="AY13" s="76" t="n">
        <f aca="false">'Revenue Streams'!AY$35</f>
        <v>15184.2967516085</v>
      </c>
      <c r="AZ13" s="76" t="n">
        <f aca="false">'Revenue Streams'!AZ$35</f>
        <v>15543.1424871413</v>
      </c>
      <c r="BA13" s="76" t="n">
        <f aca="false">'Revenue Streams'!BA$35</f>
        <v>15901.9882226741</v>
      </c>
      <c r="BB13" s="64" t="n">
        <f aca="false">SUM(BC13:BN13)</f>
        <v>238670.352001214</v>
      </c>
      <c r="BC13" s="76" t="n">
        <f aca="false">'Revenue Streams'!BC$35</f>
        <v>17615.9034547241</v>
      </c>
      <c r="BD13" s="76" t="n">
        <f aca="false">'Revenue Streams'!BD$35</f>
        <v>18018.3566639171</v>
      </c>
      <c r="BE13" s="76" t="n">
        <f aca="false">'Revenue Streams'!BE$35</f>
        <v>18433.8571228881</v>
      </c>
      <c r="BF13" s="76" t="n">
        <f aca="false">'Revenue Streams'!BF$35</f>
        <v>18849.357581859</v>
      </c>
      <c r="BG13" s="76" t="n">
        <f aca="false">'Revenue Streams'!BG$35</f>
        <v>19264.8580408299</v>
      </c>
      <c r="BH13" s="76" t="n">
        <f aca="false">'Revenue Streams'!BH$35</f>
        <v>19680.3584998009</v>
      </c>
      <c r="BI13" s="76" t="n">
        <f aca="false">'Revenue Streams'!BI$35</f>
        <v>20095.8589587718</v>
      </c>
      <c r="BJ13" s="76" t="n">
        <f aca="false">'Revenue Streams'!BJ$35</f>
        <v>20511.3594177427</v>
      </c>
      <c r="BK13" s="76" t="n">
        <f aca="false">'Revenue Streams'!BK$35</f>
        <v>20926.8598767137</v>
      </c>
      <c r="BL13" s="76" t="n">
        <f aca="false">'Revenue Streams'!BL$35</f>
        <v>21342.3603356846</v>
      </c>
      <c r="BM13" s="76" t="n">
        <f aca="false">'Revenue Streams'!BM$35</f>
        <v>21757.8607946555</v>
      </c>
      <c r="BN13" s="76" t="n">
        <f aca="false">'Revenue Streams'!BN$35</f>
        <v>22173.3612536264</v>
      </c>
    </row>
    <row r="14" customFormat="false" ht="15" hidden="false" customHeight="false" outlineLevel="0" collapsed="false">
      <c r="A14" s="18" t="s">
        <v>741</v>
      </c>
      <c r="B14" s="64" t="n">
        <f aca="false">SUM(C14:N14)</f>
        <v>8862.33940490543</v>
      </c>
      <c r="C14" s="77" t="n">
        <f aca="false">'Revenue Streams'!C$30+'Revenue Streams'!C$31+'Revenue Streams'!C$32</f>
        <v>0</v>
      </c>
      <c r="D14" s="77" t="n">
        <f aca="false">'Revenue Streams'!D$30+'Revenue Streams'!D$31+'Revenue Streams'!D$32</f>
        <v>0</v>
      </c>
      <c r="E14" s="77" t="n">
        <f aca="false">'Revenue Streams'!E$30+'Revenue Streams'!E$31+'Revenue Streams'!E$32</f>
        <v>0</v>
      </c>
      <c r="F14" s="77" t="n">
        <f aca="false">'Revenue Streams'!F$30+'Revenue Streams'!F$31+'Revenue Streams'!F$32</f>
        <v>0</v>
      </c>
      <c r="G14" s="77" t="n">
        <f aca="false">'Revenue Streams'!G$30+'Revenue Streams'!G$31+'Revenue Streams'!G$32</f>
        <v>246.176094580706</v>
      </c>
      <c r="H14" s="77" t="n">
        <f aca="false">'Revenue Streams'!H$30+'Revenue Streams'!H$31+'Revenue Streams'!H$32</f>
        <v>492.352189161413</v>
      </c>
      <c r="I14" s="77" t="n">
        <f aca="false">'Revenue Streams'!I$30+'Revenue Streams'!I$31+'Revenue Streams'!I$32</f>
        <v>738.528283742119</v>
      </c>
      <c r="J14" s="77" t="n">
        <f aca="false">'Revenue Streams'!J$30+'Revenue Streams'!J$31+'Revenue Streams'!J$32</f>
        <v>984.704378322826</v>
      </c>
      <c r="K14" s="77" t="n">
        <f aca="false">'Revenue Streams'!K$30+'Revenue Streams'!K$31+'Revenue Streams'!K$32</f>
        <v>1230.88047290353</v>
      </c>
      <c r="L14" s="77" t="n">
        <f aca="false">'Revenue Streams'!L$30+'Revenue Streams'!L$31+'Revenue Streams'!L$32</f>
        <v>1477.05656748424</v>
      </c>
      <c r="M14" s="77" t="n">
        <f aca="false">'Revenue Streams'!M$30+'Revenue Streams'!M$31+'Revenue Streams'!M$32</f>
        <v>1723.23266206494</v>
      </c>
      <c r="N14" s="77" t="n">
        <f aca="false">'Revenue Streams'!N$30+'Revenue Streams'!N$31+'Revenue Streams'!N$32</f>
        <v>1969.40875664565</v>
      </c>
      <c r="O14" s="64" t="n">
        <f aca="false">SUM(P14:AA14)</f>
        <v>156855.910060252</v>
      </c>
      <c r="P14" s="77" t="n">
        <f aca="false">'Revenue Streams'!P$30+'Revenue Streams'!P$31+'Revenue Streams'!P$32</f>
        <v>8622.42633705917</v>
      </c>
      <c r="Q14" s="77" t="n">
        <f aca="false">'Revenue Streams'!Q$30+'Revenue Streams'!Q$31+'Revenue Streams'!Q$32</f>
        <v>9580.47370784352</v>
      </c>
      <c r="R14" s="77" t="n">
        <f aca="false">'Revenue Streams'!R$30+'Revenue Streams'!R$31+'Revenue Streams'!R$32</f>
        <v>10538.5210786279</v>
      </c>
      <c r="S14" s="77" t="n">
        <f aca="false">'Revenue Streams'!S$30+'Revenue Streams'!S$31+'Revenue Streams'!S$32</f>
        <v>11592.3731864907</v>
      </c>
      <c r="T14" s="77" t="n">
        <f aca="false">'Revenue Streams'!T$30+'Revenue Streams'!T$31+'Revenue Streams'!T$32</f>
        <v>12253.0156936658</v>
      </c>
      <c r="U14" s="77" t="n">
        <f aca="false">'Revenue Streams'!U$30+'Revenue Streams'!U$31+'Revenue Streams'!U$32</f>
        <v>12913.658200841</v>
      </c>
      <c r="V14" s="77" t="n">
        <f aca="false">'Revenue Streams'!V$30+'Revenue Streams'!V$31+'Revenue Streams'!V$32</f>
        <v>13574.3007080161</v>
      </c>
      <c r="W14" s="77" t="n">
        <f aca="false">'Revenue Streams'!W$30+'Revenue Streams'!W$31+'Revenue Streams'!W$32</f>
        <v>14234.9432151913</v>
      </c>
      <c r="X14" s="77" t="n">
        <f aca="false">'Revenue Streams'!X$30+'Revenue Streams'!X$31+'Revenue Streams'!X$32</f>
        <v>14895.5857223664</v>
      </c>
      <c r="Y14" s="77" t="n">
        <f aca="false">'Revenue Streams'!Y$30+'Revenue Streams'!Y$31+'Revenue Streams'!Y$32</f>
        <v>15556.2282295416</v>
      </c>
      <c r="Z14" s="77" t="n">
        <f aca="false">'Revenue Streams'!Z$30+'Revenue Streams'!Z$31+'Revenue Streams'!Z$32</f>
        <v>16216.8707367167</v>
      </c>
      <c r="AA14" s="77" t="n">
        <f aca="false">'Revenue Streams'!AA$30+'Revenue Streams'!AA$31+'Revenue Streams'!AA$32</f>
        <v>16877.5132438919</v>
      </c>
      <c r="AB14" s="64" t="n">
        <f aca="false">SUM(AC14:AN14)</f>
        <v>263049.73305931</v>
      </c>
      <c r="AC14" s="77" t="n">
        <f aca="false">'Revenue Streams'!AC$30+'Revenue Streams'!AC$31+'Revenue Streams'!AC$32</f>
        <v>17226.4459348581</v>
      </c>
      <c r="AD14" s="77" t="n">
        <f aca="false">'Revenue Streams'!AD$30+'Revenue Streams'!AD$31+'Revenue Streams'!AD$32</f>
        <v>17875.3466855217</v>
      </c>
      <c r="AE14" s="77" t="n">
        <f aca="false">'Revenue Streams'!AE$30+'Revenue Streams'!AE$31+'Revenue Streams'!AE$32</f>
        <v>18524.2474361852</v>
      </c>
      <c r="AF14" s="77" t="n">
        <f aca="false">'Revenue Streams'!AF$30+'Revenue Streams'!AF$31+'Revenue Streams'!AF$32</f>
        <v>19223.5844390287</v>
      </c>
      <c r="AG14" s="77" t="n">
        <f aca="false">'Revenue Streams'!AG$30+'Revenue Streams'!AG$31+'Revenue Streams'!AG$32</f>
        <v>20235.0131349033</v>
      </c>
      <c r="AH14" s="77" t="n">
        <f aca="false">'Revenue Streams'!AH$30+'Revenue Streams'!AH$31+'Revenue Streams'!AH$32</f>
        <v>21246.4418307779</v>
      </c>
      <c r="AI14" s="77" t="n">
        <f aca="false">'Revenue Streams'!AI$30+'Revenue Streams'!AI$31+'Revenue Streams'!AI$32</f>
        <v>22257.8705266526</v>
      </c>
      <c r="AJ14" s="77" t="n">
        <f aca="false">'Revenue Streams'!AJ$30+'Revenue Streams'!AJ$31+'Revenue Streams'!AJ$32</f>
        <v>23269.2992225272</v>
      </c>
      <c r="AK14" s="77" t="n">
        <f aca="false">'Revenue Streams'!AK$30+'Revenue Streams'!AK$31+'Revenue Streams'!AK$32</f>
        <v>24280.7279184019</v>
      </c>
      <c r="AL14" s="77" t="n">
        <f aca="false">'Revenue Streams'!AL$30+'Revenue Streams'!AL$31+'Revenue Streams'!AL$32</f>
        <v>25292.1566142765</v>
      </c>
      <c r="AM14" s="77" t="n">
        <f aca="false">'Revenue Streams'!AM$30+'Revenue Streams'!AM$31+'Revenue Streams'!AM$32</f>
        <v>26303.5853101511</v>
      </c>
      <c r="AN14" s="77" t="n">
        <f aca="false">'Revenue Streams'!AN$30+'Revenue Streams'!AN$31+'Revenue Streams'!AN$32</f>
        <v>27315.0140060258</v>
      </c>
      <c r="AO14" s="64" t="n">
        <f aca="false">SUM(AP14:BA14)</f>
        <v>409416.627000312</v>
      </c>
      <c r="AP14" s="77" t="n">
        <f aca="false">'Revenue Streams'!AP$30+'Revenue Streams'!AP$31+'Revenue Streams'!AP$32</f>
        <v>28791.8730208376</v>
      </c>
      <c r="AQ14" s="77" t="n">
        <f aca="false">'Revenue Streams'!AQ$30+'Revenue Streams'!AQ$31+'Revenue Streams'!AQ$32</f>
        <v>29819.920449444</v>
      </c>
      <c r="AR14" s="77" t="n">
        <f aca="false">'Revenue Streams'!AR$30+'Revenue Streams'!AR$31+'Revenue Streams'!AR$32</f>
        <v>30847.9678780503</v>
      </c>
      <c r="AS14" s="77" t="n">
        <f aca="false">'Revenue Streams'!AS$30+'Revenue Streams'!AS$31+'Revenue Streams'!AS$32</f>
        <v>31839.272671281</v>
      </c>
      <c r="AT14" s="77" t="n">
        <f aca="false">'Revenue Streams'!AT$30+'Revenue Streams'!AT$31+'Revenue Streams'!AT$32</f>
        <v>32767.1452160157</v>
      </c>
      <c r="AU14" s="77" t="n">
        <f aca="false">'Revenue Streams'!AU$30+'Revenue Streams'!AU$31+'Revenue Streams'!AU$32</f>
        <v>33695.0177607505</v>
      </c>
      <c r="AV14" s="77" t="n">
        <f aca="false">'Revenue Streams'!AV$30+'Revenue Streams'!AV$31+'Revenue Streams'!AV$32</f>
        <v>34622.8903054853</v>
      </c>
      <c r="AW14" s="77" t="n">
        <f aca="false">'Revenue Streams'!AW$30+'Revenue Streams'!AW$31+'Revenue Streams'!AW$32</f>
        <v>35550.76285022</v>
      </c>
      <c r="AX14" s="77" t="n">
        <f aca="false">'Revenue Streams'!AX$30+'Revenue Streams'!AX$31+'Revenue Streams'!AX$32</f>
        <v>36478.6353949548</v>
      </c>
      <c r="AY14" s="77" t="n">
        <f aca="false">'Revenue Streams'!AY$30+'Revenue Streams'!AY$31+'Revenue Streams'!AY$32</f>
        <v>37406.5079396896</v>
      </c>
      <c r="AZ14" s="77" t="n">
        <f aca="false">'Revenue Streams'!AZ$30+'Revenue Streams'!AZ$31+'Revenue Streams'!AZ$32</f>
        <v>38334.3804844244</v>
      </c>
      <c r="BA14" s="77" t="n">
        <f aca="false">'Revenue Streams'!BA$30+'Revenue Streams'!BA$31+'Revenue Streams'!BA$32</f>
        <v>39262.2530291591</v>
      </c>
      <c r="BB14" s="64" t="n">
        <f aca="false">SUM(BC14:BN14)</f>
        <v>554942.164449303</v>
      </c>
      <c r="BC14" s="77" t="n">
        <f aca="false">'Revenue Streams'!BC$30+'Revenue Streams'!BC$31+'Revenue Streams'!BC$32</f>
        <v>40839.8124820866</v>
      </c>
      <c r="BD14" s="77" t="n">
        <f aca="false">'Revenue Streams'!BD$30+'Revenue Streams'!BD$31+'Revenue Streams'!BD$32</f>
        <v>41782.6843988357</v>
      </c>
      <c r="BE14" s="77" t="n">
        <f aca="false">'Revenue Streams'!BE$30+'Revenue Streams'!BE$31+'Revenue Streams'!BE$32</f>
        <v>42725.5563155848</v>
      </c>
      <c r="BF14" s="77" t="n">
        <f aca="false">'Revenue Streams'!BF$30+'Revenue Streams'!BF$31+'Revenue Streams'!BF$32</f>
        <v>43701.6650515324</v>
      </c>
      <c r="BG14" s="77" t="n">
        <f aca="false">'Revenue Streams'!BG$30+'Revenue Streams'!BG$31+'Revenue Streams'!BG$32</f>
        <v>44709.4185456714</v>
      </c>
      <c r="BH14" s="77" t="n">
        <f aca="false">'Revenue Streams'!BH$30+'Revenue Streams'!BH$31+'Revenue Streams'!BH$32</f>
        <v>45717.1720398104</v>
      </c>
      <c r="BI14" s="77" t="n">
        <f aca="false">'Revenue Streams'!BI$30+'Revenue Streams'!BI$31+'Revenue Streams'!BI$32</f>
        <v>46724.9255339494</v>
      </c>
      <c r="BJ14" s="77" t="n">
        <f aca="false">'Revenue Streams'!BJ$30+'Revenue Streams'!BJ$31+'Revenue Streams'!BJ$32</f>
        <v>47732.6790280884</v>
      </c>
      <c r="BK14" s="77" t="n">
        <f aca="false">'Revenue Streams'!BK$30+'Revenue Streams'!BK$31+'Revenue Streams'!BK$32</f>
        <v>48740.4325222274</v>
      </c>
      <c r="BL14" s="77" t="n">
        <f aca="false">'Revenue Streams'!BL$30+'Revenue Streams'!BL$31+'Revenue Streams'!BL$32</f>
        <v>49748.1860163664</v>
      </c>
      <c r="BM14" s="77" t="n">
        <f aca="false">'Revenue Streams'!BM$30+'Revenue Streams'!BM$31+'Revenue Streams'!BM$32</f>
        <v>50755.9395105054</v>
      </c>
      <c r="BN14" s="77" t="n">
        <f aca="false">'Revenue Streams'!BN$30+'Revenue Streams'!BN$31+'Revenue Streams'!BN$32</f>
        <v>51763.6930046444</v>
      </c>
    </row>
    <row r="15" customFormat="false" ht="15" hidden="false" customHeight="false" outlineLevel="0" collapsed="false">
      <c r="A15" s="12" t="s">
        <v>742</v>
      </c>
      <c r="B15" s="64" t="n">
        <f aca="false">SUM(C15:N15)</f>
        <v>4685.52687570529</v>
      </c>
      <c r="C15" s="76" t="n">
        <f aca="false">'Revenue Streams'!C$30</f>
        <v>0</v>
      </c>
      <c r="D15" s="76" t="n">
        <f aca="false">'Revenue Streams'!D$30</f>
        <v>0</v>
      </c>
      <c r="E15" s="76" t="n">
        <f aca="false">'Revenue Streams'!E$30</f>
        <v>0</v>
      </c>
      <c r="F15" s="76" t="n">
        <f aca="false">'Revenue Streams'!F$30</f>
        <v>0</v>
      </c>
      <c r="G15" s="76" t="n">
        <f aca="false">'Revenue Streams'!G$30</f>
        <v>130.153524325147</v>
      </c>
      <c r="H15" s="76" t="n">
        <f aca="false">'Revenue Streams'!H$30</f>
        <v>260.307048650294</v>
      </c>
      <c r="I15" s="76" t="n">
        <f aca="false">'Revenue Streams'!I$30</f>
        <v>390.460572975441</v>
      </c>
      <c r="J15" s="76" t="n">
        <f aca="false">'Revenue Streams'!J$30</f>
        <v>520.614097300587</v>
      </c>
      <c r="K15" s="76" t="n">
        <f aca="false">'Revenue Streams'!K$30</f>
        <v>650.767621625734</v>
      </c>
      <c r="L15" s="76" t="n">
        <f aca="false">'Revenue Streams'!L$30</f>
        <v>780.921145950881</v>
      </c>
      <c r="M15" s="76" t="n">
        <f aca="false">'Revenue Streams'!M$30</f>
        <v>911.074670276028</v>
      </c>
      <c r="N15" s="76" t="n">
        <f aca="false">'Revenue Streams'!N$30</f>
        <v>1041.22819460118</v>
      </c>
      <c r="O15" s="64" t="n">
        <f aca="false">SUM(P15:AA15)</f>
        <v>89723.5032009614</v>
      </c>
      <c r="P15" s="76" t="n">
        <f aca="false">'Revenue Streams'!P$30</f>
        <v>4932.13355337399</v>
      </c>
      <c r="Q15" s="76" t="n">
        <f aca="false">'Revenue Streams'!Q$30</f>
        <v>5480.14839263776</v>
      </c>
      <c r="R15" s="76" t="n">
        <f aca="false">'Revenue Streams'!R$30</f>
        <v>6028.16323190154</v>
      </c>
      <c r="S15" s="76" t="n">
        <f aca="false">'Revenue Streams'!S$30</f>
        <v>6630.97955509169</v>
      </c>
      <c r="T15" s="76" t="n">
        <f aca="false">'Revenue Streams'!T$30</f>
        <v>7008.87516695899</v>
      </c>
      <c r="U15" s="76" t="n">
        <f aca="false">'Revenue Streams'!U$30</f>
        <v>7386.77077882629</v>
      </c>
      <c r="V15" s="76" t="n">
        <f aca="false">'Revenue Streams'!V$30</f>
        <v>7764.6663906936</v>
      </c>
      <c r="W15" s="76" t="n">
        <f aca="false">'Revenue Streams'!W$30</f>
        <v>8142.5620025609</v>
      </c>
      <c r="X15" s="76" t="n">
        <f aca="false">'Revenue Streams'!X$30</f>
        <v>8520.4576144282</v>
      </c>
      <c r="Y15" s="76" t="n">
        <f aca="false">'Revenue Streams'!Y$30</f>
        <v>8898.3532262955</v>
      </c>
      <c r="Z15" s="76" t="n">
        <f aca="false">'Revenue Streams'!Z$30</f>
        <v>9276.2488381628</v>
      </c>
      <c r="AA15" s="76" t="n">
        <f aca="false">'Revenue Streams'!AA$30</f>
        <v>9654.1444500301</v>
      </c>
      <c r="AB15" s="64" t="n">
        <f aca="false">SUM(AC15:AN15)</f>
        <v>134041.565306845</v>
      </c>
      <c r="AC15" s="76" t="n">
        <f aca="false">'Revenue Streams'!AC$30</f>
        <v>8778.03505416022</v>
      </c>
      <c r="AD15" s="76" t="n">
        <f aca="false">'Revenue Streams'!AD$30</f>
        <v>9108.69371454411</v>
      </c>
      <c r="AE15" s="76" t="n">
        <f aca="false">'Revenue Streams'!AE$30</f>
        <v>9439.352374928</v>
      </c>
      <c r="AF15" s="76" t="n">
        <f aca="false">'Revenue Streams'!AF$30</f>
        <v>9795.71170457992</v>
      </c>
      <c r="AG15" s="76" t="n">
        <f aca="false">'Revenue Streams'!AG$30</f>
        <v>10311.1027829686</v>
      </c>
      <c r="AH15" s="76" t="n">
        <f aca="false">'Revenue Streams'!AH$30</f>
        <v>10826.4938613573</v>
      </c>
      <c r="AI15" s="76" t="n">
        <f aca="false">'Revenue Streams'!AI$30</f>
        <v>11341.884939746</v>
      </c>
      <c r="AJ15" s="76" t="n">
        <f aca="false">'Revenue Streams'!AJ$30</f>
        <v>11857.2760181347</v>
      </c>
      <c r="AK15" s="76" t="n">
        <f aca="false">'Revenue Streams'!AK$30</f>
        <v>12372.6670965234</v>
      </c>
      <c r="AL15" s="76" t="n">
        <f aca="false">'Revenue Streams'!AL$30</f>
        <v>12888.0581749121</v>
      </c>
      <c r="AM15" s="76" t="n">
        <f aca="false">'Revenue Streams'!AM$30</f>
        <v>13403.4492533008</v>
      </c>
      <c r="AN15" s="76" t="n">
        <f aca="false">'Revenue Streams'!AN$30</f>
        <v>13918.8403316895</v>
      </c>
      <c r="AO15" s="64" t="n">
        <f aca="false">SUM(AP15:BA15)</f>
        <v>190591.943201496</v>
      </c>
      <c r="AP15" s="76" t="n">
        <f aca="false">'Revenue Streams'!AP$30</f>
        <v>13403.2148807869</v>
      </c>
      <c r="AQ15" s="76" t="n">
        <f aca="false">'Revenue Streams'!AQ$30</f>
        <v>13881.7923107193</v>
      </c>
      <c r="AR15" s="76" t="n">
        <f aca="false">'Revenue Streams'!AR$30</f>
        <v>14360.3697406516</v>
      </c>
      <c r="AS15" s="76" t="n">
        <f aca="false">'Revenue Streams'!AS$30</f>
        <v>14821.8427106945</v>
      </c>
      <c r="AT15" s="76" t="n">
        <f aca="false">'Revenue Streams'!AT$30</f>
        <v>15253.7866516136</v>
      </c>
      <c r="AU15" s="76" t="n">
        <f aca="false">'Revenue Streams'!AU$30</f>
        <v>15685.7305925327</v>
      </c>
      <c r="AV15" s="76" t="n">
        <f aca="false">'Revenue Streams'!AV$30</f>
        <v>16117.6745334518</v>
      </c>
      <c r="AW15" s="76" t="n">
        <f aca="false">'Revenue Streams'!AW$30</f>
        <v>16549.6184743709</v>
      </c>
      <c r="AX15" s="76" t="n">
        <f aca="false">'Revenue Streams'!AX$30</f>
        <v>16981.56241529</v>
      </c>
      <c r="AY15" s="76" t="n">
        <f aca="false">'Revenue Streams'!AY$30</f>
        <v>17413.5063562091</v>
      </c>
      <c r="AZ15" s="76" t="n">
        <f aca="false">'Revenue Streams'!AZ$30</f>
        <v>17845.4502971282</v>
      </c>
      <c r="BA15" s="76" t="n">
        <f aca="false">'Revenue Streams'!BA$30</f>
        <v>18277.3942380473</v>
      </c>
      <c r="BB15" s="64" t="n">
        <f aca="false">SUM(BC15:BN15)</f>
        <v>234671.475099383</v>
      </c>
      <c r="BC15" s="76" t="n">
        <f aca="false">'Revenue Streams'!BC$30</f>
        <v>17270.1583190459</v>
      </c>
      <c r="BD15" s="76" t="n">
        <f aca="false">'Revenue Streams'!BD$30</f>
        <v>17668.8758029712</v>
      </c>
      <c r="BE15" s="76" t="n">
        <f aca="false">'Revenue Streams'!BE$30</f>
        <v>18067.5932868965</v>
      </c>
      <c r="BF15" s="76" t="n">
        <f aca="false">'Revenue Streams'!BF$30</f>
        <v>18480.3658091458</v>
      </c>
      <c r="BG15" s="76" t="n">
        <f aca="false">'Revenue Streams'!BG$30</f>
        <v>18906.520126039</v>
      </c>
      <c r="BH15" s="76" t="n">
        <f aca="false">'Revenue Streams'!BH$30</f>
        <v>19332.6744429323</v>
      </c>
      <c r="BI15" s="76" t="n">
        <f aca="false">'Revenue Streams'!BI$30</f>
        <v>19758.8287598255</v>
      </c>
      <c r="BJ15" s="76" t="n">
        <f aca="false">'Revenue Streams'!BJ$30</f>
        <v>20184.9830767188</v>
      </c>
      <c r="BK15" s="76" t="n">
        <f aca="false">'Revenue Streams'!BK$30</f>
        <v>20611.1373936121</v>
      </c>
      <c r="BL15" s="76" t="n">
        <f aca="false">'Revenue Streams'!BL$30</f>
        <v>21037.2917105053</v>
      </c>
      <c r="BM15" s="76" t="n">
        <f aca="false">'Revenue Streams'!BM$30</f>
        <v>21463.4460273986</v>
      </c>
      <c r="BN15" s="76" t="n">
        <f aca="false">'Revenue Streams'!BN$30</f>
        <v>21889.6003442918</v>
      </c>
    </row>
    <row r="16" customFormat="false" ht="15" hidden="false" customHeight="false" outlineLevel="0" collapsed="false">
      <c r="A16" s="12" t="s">
        <v>743</v>
      </c>
      <c r="B16" s="64" t="n">
        <f aca="false">SUM(C16:N16)</f>
        <v>240.969953607701</v>
      </c>
      <c r="C16" s="76" t="n">
        <f aca="false">'Revenue Streams'!C$31</f>
        <v>0</v>
      </c>
      <c r="D16" s="76" t="n">
        <f aca="false">'Revenue Streams'!D$31</f>
        <v>0</v>
      </c>
      <c r="E16" s="76" t="n">
        <f aca="false">'Revenue Streams'!E$31</f>
        <v>0</v>
      </c>
      <c r="F16" s="76" t="n">
        <f aca="false">'Revenue Streams'!F$31</f>
        <v>0</v>
      </c>
      <c r="G16" s="76" t="n">
        <f aca="false">'Revenue Streams'!G$31</f>
        <v>6.69360982243613</v>
      </c>
      <c r="H16" s="76" t="n">
        <f aca="false">'Revenue Streams'!H$31</f>
        <v>13.3872196448723</v>
      </c>
      <c r="I16" s="76" t="n">
        <f aca="false">'Revenue Streams'!I$31</f>
        <v>20.0808294673084</v>
      </c>
      <c r="J16" s="76" t="n">
        <f aca="false">'Revenue Streams'!J$31</f>
        <v>26.7744392897445</v>
      </c>
      <c r="K16" s="76" t="n">
        <f aca="false">'Revenue Streams'!K$31</f>
        <v>33.4680491121806</v>
      </c>
      <c r="L16" s="76" t="n">
        <f aca="false">'Revenue Streams'!L$31</f>
        <v>40.1616589346168</v>
      </c>
      <c r="M16" s="76" t="n">
        <f aca="false">'Revenue Streams'!M$31</f>
        <v>46.8552687570529</v>
      </c>
      <c r="N16" s="76" t="n">
        <f aca="false">'Revenue Streams'!N$31</f>
        <v>53.548878579489</v>
      </c>
      <c r="O16" s="64" t="n">
        <f aca="false">SUM(P16:AA16)</f>
        <v>4325.95461861778</v>
      </c>
      <c r="P16" s="76" t="n">
        <f aca="false">'Revenue Streams'!P$31</f>
        <v>237.799296323389</v>
      </c>
      <c r="Q16" s="76" t="n">
        <f aca="false">'Revenue Streams'!Q$31</f>
        <v>264.221440359321</v>
      </c>
      <c r="R16" s="76" t="n">
        <f aca="false">'Revenue Streams'!R$31</f>
        <v>290.643584395253</v>
      </c>
      <c r="S16" s="76" t="n">
        <f aca="false">'Revenue Streams'!S$31</f>
        <v>319.707942834778</v>
      </c>
      <c r="T16" s="76" t="n">
        <f aca="false">'Revenue Streams'!T$31</f>
        <v>337.927909835523</v>
      </c>
      <c r="U16" s="76" t="n">
        <f aca="false">'Revenue Streams'!U$31</f>
        <v>356.147876836268</v>
      </c>
      <c r="V16" s="76" t="n">
        <f aca="false">'Revenue Streams'!V$31</f>
        <v>374.367843837013</v>
      </c>
      <c r="W16" s="76" t="n">
        <f aca="false">'Revenue Streams'!W$31</f>
        <v>392.587810837758</v>
      </c>
      <c r="X16" s="76" t="n">
        <f aca="false">'Revenue Streams'!X$31</f>
        <v>410.807777838502</v>
      </c>
      <c r="Y16" s="76" t="n">
        <f aca="false">'Revenue Streams'!Y$31</f>
        <v>429.027744839247</v>
      </c>
      <c r="Z16" s="76" t="n">
        <f aca="false">'Revenue Streams'!Z$31</f>
        <v>447.247711839992</v>
      </c>
      <c r="AA16" s="76" t="n">
        <f aca="false">'Revenue Streams'!AA$31</f>
        <v>465.467678840737</v>
      </c>
      <c r="AB16" s="64" t="n">
        <f aca="false">SUM(AC16:AN16)</f>
        <v>8370.758976305</v>
      </c>
      <c r="AC16" s="76" t="n">
        <f aca="false">'Revenue Streams'!AC$31</f>
        <v>548.179331953679</v>
      </c>
      <c r="AD16" s="76" t="n">
        <f aca="false">'Revenue Streams'!AD$31</f>
        <v>568.828627887856</v>
      </c>
      <c r="AE16" s="76" t="n">
        <f aca="false">'Revenue Streams'!AE$31</f>
        <v>589.477923822034</v>
      </c>
      <c r="AF16" s="76" t="n">
        <f aca="false">'Revenue Streams'!AF$31</f>
        <v>611.732200326827</v>
      </c>
      <c r="AG16" s="76" t="n">
        <f aca="false">'Revenue Streams'!AG$31</f>
        <v>643.917847262938</v>
      </c>
      <c r="AH16" s="76" t="n">
        <f aca="false">'Revenue Streams'!AH$31</f>
        <v>676.103494199048</v>
      </c>
      <c r="AI16" s="76" t="n">
        <f aca="false">'Revenue Streams'!AI$31</f>
        <v>708.289141135159</v>
      </c>
      <c r="AJ16" s="76" t="n">
        <f aca="false">'Revenue Streams'!AJ$31</f>
        <v>740.474788071269</v>
      </c>
      <c r="AK16" s="76" t="n">
        <f aca="false">'Revenue Streams'!AK$31</f>
        <v>772.66043500738</v>
      </c>
      <c r="AL16" s="76" t="n">
        <f aca="false">'Revenue Streams'!AL$31</f>
        <v>804.846081943491</v>
      </c>
      <c r="AM16" s="76" t="n">
        <f aca="false">'Revenue Streams'!AM$31</f>
        <v>837.031728879602</v>
      </c>
      <c r="AN16" s="76" t="n">
        <f aca="false">'Revenue Streams'!AN$31</f>
        <v>869.217375815712</v>
      </c>
      <c r="AO16" s="64" t="n">
        <f aca="false">SUM(AP16:BA16)</f>
        <v>13571.8218895131</v>
      </c>
      <c r="AP16" s="76" t="n">
        <f aca="false">'Revenue Streams'!AP$31</f>
        <v>954.426729972518</v>
      </c>
      <c r="AQ16" s="76" t="n">
        <f aca="false">'Revenue Streams'!AQ$31</f>
        <v>988.505650257812</v>
      </c>
      <c r="AR16" s="76" t="n">
        <f aca="false">'Revenue Streams'!AR$31</f>
        <v>1022.58457054311</v>
      </c>
      <c r="AS16" s="76" t="n">
        <f aca="false">'Revenue Streams'!AS$31</f>
        <v>1055.44550291539</v>
      </c>
      <c r="AT16" s="76" t="n">
        <f aca="false">'Revenue Streams'!AT$31</f>
        <v>1086.2037088182</v>
      </c>
      <c r="AU16" s="76" t="n">
        <f aca="false">'Revenue Streams'!AU$31</f>
        <v>1116.96191472101</v>
      </c>
      <c r="AV16" s="76" t="n">
        <f aca="false">'Revenue Streams'!AV$31</f>
        <v>1147.72012062382</v>
      </c>
      <c r="AW16" s="76" t="n">
        <f aca="false">'Revenue Streams'!AW$31</f>
        <v>1178.47832652663</v>
      </c>
      <c r="AX16" s="76" t="n">
        <f aca="false">'Revenue Streams'!AX$31</f>
        <v>1209.23653242944</v>
      </c>
      <c r="AY16" s="76" t="n">
        <f aca="false">'Revenue Streams'!AY$31</f>
        <v>1239.99473833225</v>
      </c>
      <c r="AZ16" s="76" t="n">
        <f aca="false">'Revenue Streams'!AZ$31</f>
        <v>1270.75294423506</v>
      </c>
      <c r="BA16" s="76" t="n">
        <f aca="false">'Revenue Streams'!BA$31</f>
        <v>1301.51115013787</v>
      </c>
      <c r="BB16" s="64" t="n">
        <f aca="false">SUM(BC16:BN16)</f>
        <v>19108.9629723783</v>
      </c>
      <c r="BC16" s="76" t="n">
        <f aca="false">'Revenue Streams'!BC$31</f>
        <v>1406.28432026516</v>
      </c>
      <c r="BD16" s="76" t="n">
        <f aca="false">'Revenue Streams'!BD$31</f>
        <v>1438.7513153848</v>
      </c>
      <c r="BE16" s="76" t="n">
        <f aca="false">'Revenue Streams'!BE$31</f>
        <v>1471.21831050443</v>
      </c>
      <c r="BF16" s="76" t="n">
        <f aca="false">'Revenue Streams'!BF$31</f>
        <v>1504.82978731616</v>
      </c>
      <c r="BG16" s="76" t="n">
        <f aca="false">'Revenue Streams'!BG$31</f>
        <v>1539.53092454889</v>
      </c>
      <c r="BH16" s="76" t="n">
        <f aca="false">'Revenue Streams'!BH$31</f>
        <v>1574.23206178163</v>
      </c>
      <c r="BI16" s="76" t="n">
        <f aca="false">'Revenue Streams'!BI$31</f>
        <v>1608.93319901437</v>
      </c>
      <c r="BJ16" s="76" t="n">
        <f aca="false">'Revenue Streams'!BJ$31</f>
        <v>1643.6343362471</v>
      </c>
      <c r="BK16" s="76" t="n">
        <f aca="false">'Revenue Streams'!BK$31</f>
        <v>1678.33547347984</v>
      </c>
      <c r="BL16" s="76" t="n">
        <f aca="false">'Revenue Streams'!BL$31</f>
        <v>1713.03661071258</v>
      </c>
      <c r="BM16" s="76" t="n">
        <f aca="false">'Revenue Streams'!BM$31</f>
        <v>1747.73774794531</v>
      </c>
      <c r="BN16" s="76" t="n">
        <f aca="false">'Revenue Streams'!BN$31</f>
        <v>1782.43888517805</v>
      </c>
    </row>
    <row r="17" customFormat="false" ht="15" hidden="false" customHeight="false" outlineLevel="0" collapsed="false">
      <c r="A17" s="12" t="s">
        <v>744</v>
      </c>
      <c r="B17" s="64" t="n">
        <f aca="false">SUM(C17:N17)</f>
        <v>3935.84257559244</v>
      </c>
      <c r="C17" s="76" t="n">
        <f aca="false">'Revenue Streams'!C$32</f>
        <v>0</v>
      </c>
      <c r="D17" s="76" t="n">
        <f aca="false">'Revenue Streams'!D$32</f>
        <v>0</v>
      </c>
      <c r="E17" s="76" t="n">
        <f aca="false">'Revenue Streams'!E$32</f>
        <v>0</v>
      </c>
      <c r="F17" s="76" t="n">
        <f aca="false">'Revenue Streams'!F$32</f>
        <v>0</v>
      </c>
      <c r="G17" s="76" t="n">
        <f aca="false">'Revenue Streams'!G$32</f>
        <v>109.328960433123</v>
      </c>
      <c r="H17" s="76" t="n">
        <f aca="false">'Revenue Streams'!H$32</f>
        <v>218.657920866247</v>
      </c>
      <c r="I17" s="76" t="n">
        <f aca="false">'Revenue Streams'!I$32</f>
        <v>327.98688129937</v>
      </c>
      <c r="J17" s="76" t="n">
        <f aca="false">'Revenue Streams'!J$32</f>
        <v>437.315841732494</v>
      </c>
      <c r="K17" s="76" t="n">
        <f aca="false">'Revenue Streams'!K$32</f>
        <v>546.644802165617</v>
      </c>
      <c r="L17" s="76" t="n">
        <f aca="false">'Revenue Streams'!L$32</f>
        <v>655.97376259874</v>
      </c>
      <c r="M17" s="76" t="n">
        <f aca="false">'Revenue Streams'!M$32</f>
        <v>765.302723031864</v>
      </c>
      <c r="N17" s="76" t="n">
        <f aca="false">'Revenue Streams'!N$32</f>
        <v>874.631683464987</v>
      </c>
      <c r="O17" s="64" t="n">
        <f aca="false">SUM(P17:AA17)</f>
        <v>62806.4522406729</v>
      </c>
      <c r="P17" s="76" t="n">
        <f aca="false">'Revenue Streams'!P$32</f>
        <v>3452.49348736179</v>
      </c>
      <c r="Q17" s="76" t="n">
        <f aca="false">'Revenue Streams'!Q$32</f>
        <v>3836.10387484643</v>
      </c>
      <c r="R17" s="76" t="n">
        <f aca="false">'Revenue Streams'!R$32</f>
        <v>4219.71426233108</v>
      </c>
      <c r="S17" s="76" t="n">
        <f aca="false">'Revenue Streams'!S$32</f>
        <v>4641.68568856419</v>
      </c>
      <c r="T17" s="76" t="n">
        <f aca="false">'Revenue Streams'!T$32</f>
        <v>4906.2126168713</v>
      </c>
      <c r="U17" s="76" t="n">
        <f aca="false">'Revenue Streams'!U$32</f>
        <v>5170.73954517841</v>
      </c>
      <c r="V17" s="76" t="n">
        <f aca="false">'Revenue Streams'!V$32</f>
        <v>5435.26647348552</v>
      </c>
      <c r="W17" s="76" t="n">
        <f aca="false">'Revenue Streams'!W$32</f>
        <v>5699.79340179263</v>
      </c>
      <c r="X17" s="76" t="n">
        <f aca="false">'Revenue Streams'!X$32</f>
        <v>5964.32033009974</v>
      </c>
      <c r="Y17" s="76" t="n">
        <f aca="false">'Revenue Streams'!Y$32</f>
        <v>6228.84725840685</v>
      </c>
      <c r="Z17" s="76" t="n">
        <f aca="false">'Revenue Streams'!Z$32</f>
        <v>6493.37418671396</v>
      </c>
      <c r="AA17" s="76" t="n">
        <f aca="false">'Revenue Streams'!AA$32</f>
        <v>6757.90111502107</v>
      </c>
      <c r="AB17" s="64" t="n">
        <f aca="false">SUM(AC17:AN17)</f>
        <v>120637.40877616</v>
      </c>
      <c r="AC17" s="76" t="n">
        <f aca="false">'Revenue Streams'!AC$32</f>
        <v>7900.2315487442</v>
      </c>
      <c r="AD17" s="76" t="n">
        <f aca="false">'Revenue Streams'!AD$32</f>
        <v>8197.8243430897</v>
      </c>
      <c r="AE17" s="76" t="n">
        <f aca="false">'Revenue Streams'!AE$32</f>
        <v>8495.4171374352</v>
      </c>
      <c r="AF17" s="76" t="n">
        <f aca="false">'Revenue Streams'!AF$32</f>
        <v>8816.14053412192</v>
      </c>
      <c r="AG17" s="76" t="n">
        <f aca="false">'Revenue Streams'!AG$32</f>
        <v>9279.99250467175</v>
      </c>
      <c r="AH17" s="76" t="n">
        <f aca="false">'Revenue Streams'!AH$32</f>
        <v>9743.84447522158</v>
      </c>
      <c r="AI17" s="76" t="n">
        <f aca="false">'Revenue Streams'!AI$32</f>
        <v>10207.6964457714</v>
      </c>
      <c r="AJ17" s="76" t="n">
        <f aca="false">'Revenue Streams'!AJ$32</f>
        <v>10671.5484163212</v>
      </c>
      <c r="AK17" s="76" t="n">
        <f aca="false">'Revenue Streams'!AK$32</f>
        <v>11135.4003868711</v>
      </c>
      <c r="AL17" s="76" t="n">
        <f aca="false">'Revenue Streams'!AL$32</f>
        <v>11599.2523574209</v>
      </c>
      <c r="AM17" s="76" t="n">
        <f aca="false">'Revenue Streams'!AM$32</f>
        <v>12063.1043279707</v>
      </c>
      <c r="AN17" s="76" t="n">
        <f aca="false">'Revenue Streams'!AN$32</f>
        <v>12526.9562985206</v>
      </c>
      <c r="AO17" s="64" t="n">
        <f aca="false">SUM(AP17:BA17)</f>
        <v>205252.861909303</v>
      </c>
      <c r="AP17" s="76" t="n">
        <f aca="false">'Revenue Streams'!AP$32</f>
        <v>14434.2314100782</v>
      </c>
      <c r="AQ17" s="76" t="n">
        <f aca="false">'Revenue Streams'!AQ$32</f>
        <v>14949.6224884669</v>
      </c>
      <c r="AR17" s="76" t="n">
        <f aca="false">'Revenue Streams'!AR$32</f>
        <v>15465.0135668556</v>
      </c>
      <c r="AS17" s="76" t="n">
        <f aca="false">'Revenue Streams'!AS$32</f>
        <v>15961.984457671</v>
      </c>
      <c r="AT17" s="76" t="n">
        <f aca="false">'Revenue Streams'!AT$32</f>
        <v>16427.1548555839</v>
      </c>
      <c r="AU17" s="76" t="n">
        <f aca="false">'Revenue Streams'!AU$32</f>
        <v>16892.3252534968</v>
      </c>
      <c r="AV17" s="76" t="n">
        <f aca="false">'Revenue Streams'!AV$32</f>
        <v>17357.4956514096</v>
      </c>
      <c r="AW17" s="76" t="n">
        <f aca="false">'Revenue Streams'!AW$32</f>
        <v>17822.6660493225</v>
      </c>
      <c r="AX17" s="76" t="n">
        <f aca="false">'Revenue Streams'!AX$32</f>
        <v>18287.8364472354</v>
      </c>
      <c r="AY17" s="76" t="n">
        <f aca="false">'Revenue Streams'!AY$32</f>
        <v>18753.0068451483</v>
      </c>
      <c r="AZ17" s="76" t="n">
        <f aca="false">'Revenue Streams'!AZ$32</f>
        <v>19218.1772430611</v>
      </c>
      <c r="BA17" s="76" t="n">
        <f aca="false">'Revenue Streams'!BA$32</f>
        <v>19683.347640974</v>
      </c>
      <c r="BB17" s="64" t="n">
        <f aca="false">SUM(BC17:BN17)</f>
        <v>301161.726377542</v>
      </c>
      <c r="BC17" s="76" t="n">
        <f aca="false">'Revenue Streams'!BC$32</f>
        <v>22163.3698427755</v>
      </c>
      <c r="BD17" s="76" t="n">
        <f aca="false">'Revenue Streams'!BD$32</f>
        <v>22675.0572804797</v>
      </c>
      <c r="BE17" s="76" t="n">
        <f aca="false">'Revenue Streams'!BE$32</f>
        <v>23186.7447181839</v>
      </c>
      <c r="BF17" s="76" t="n">
        <f aca="false">'Revenue Streams'!BF$32</f>
        <v>23716.4694550704</v>
      </c>
      <c r="BG17" s="76" t="n">
        <f aca="false">'Revenue Streams'!BG$32</f>
        <v>24263.3674950835</v>
      </c>
      <c r="BH17" s="76" t="n">
        <f aca="false">'Revenue Streams'!BH$32</f>
        <v>24810.2655350965</v>
      </c>
      <c r="BI17" s="76" t="n">
        <f aca="false">'Revenue Streams'!BI$32</f>
        <v>25357.1635751095</v>
      </c>
      <c r="BJ17" s="76" t="n">
        <f aca="false">'Revenue Streams'!BJ$32</f>
        <v>25904.0616151225</v>
      </c>
      <c r="BK17" s="76" t="n">
        <f aca="false">'Revenue Streams'!BK$32</f>
        <v>26450.9596551355</v>
      </c>
      <c r="BL17" s="76" t="n">
        <f aca="false">'Revenue Streams'!BL$32</f>
        <v>26997.8576951485</v>
      </c>
      <c r="BM17" s="76" t="n">
        <f aca="false">'Revenue Streams'!BM$32</f>
        <v>27544.7557351615</v>
      </c>
      <c r="BN17" s="76" t="n">
        <f aca="false">'Revenue Streams'!BN$32</f>
        <v>28091.6537751745</v>
      </c>
    </row>
    <row r="18" customFormat="false" ht="15" hidden="false" customHeight="false" outlineLevel="0" collapsed="false">
      <c r="A18" s="18" t="s">
        <v>745</v>
      </c>
      <c r="B18" s="64" t="n">
        <f aca="false">SUM(C18:N18)</f>
        <v>11183.0800400707</v>
      </c>
      <c r="C18" s="77" t="n">
        <f aca="false">'Revenue Streams'!C$33+'Revenue Streams'!C$34+'Revenue Streams'!C$36</f>
        <v>0</v>
      </c>
      <c r="D18" s="77" t="n">
        <f aca="false">'Revenue Streams'!D$33+'Revenue Streams'!D$34+'Revenue Streams'!D$36</f>
        <v>0</v>
      </c>
      <c r="E18" s="77" t="n">
        <f aca="false">'Revenue Streams'!E$33+'Revenue Streams'!E$34+'Revenue Streams'!E$36</f>
        <v>133.045824865706</v>
      </c>
      <c r="F18" s="77" t="n">
        <f aca="false">'Revenue Streams'!F$33+'Revenue Streams'!F$34+'Revenue Streams'!F$36</f>
        <v>351.992975786008</v>
      </c>
      <c r="G18" s="77" t="n">
        <f aca="false">'Revenue Streams'!G$33+'Revenue Streams'!G$34+'Revenue Streams'!G$36</f>
        <v>570.940126706311</v>
      </c>
      <c r="H18" s="77" t="n">
        <f aca="false">'Revenue Streams'!H$33+'Revenue Streams'!H$34+'Revenue Streams'!H$36</f>
        <v>789.887277626614</v>
      </c>
      <c r="I18" s="77" t="n">
        <f aca="false">'Revenue Streams'!I$33+'Revenue Streams'!I$34+'Revenue Streams'!I$36</f>
        <v>1008.83442854692</v>
      </c>
      <c r="J18" s="77" t="n">
        <f aca="false">'Revenue Streams'!J$33+'Revenue Streams'!J$34+'Revenue Streams'!J$36</f>
        <v>1227.78157946722</v>
      </c>
      <c r="K18" s="77" t="n">
        <f aca="false">'Revenue Streams'!K$33+'Revenue Streams'!K$34+'Revenue Streams'!K$36</f>
        <v>1446.72873038752</v>
      </c>
      <c r="L18" s="77" t="n">
        <f aca="false">'Revenue Streams'!L$33+'Revenue Streams'!L$34+'Revenue Streams'!L$36</f>
        <v>1665.67588130782</v>
      </c>
      <c r="M18" s="77" t="n">
        <f aca="false">'Revenue Streams'!M$33+'Revenue Streams'!M$34+'Revenue Streams'!M$36</f>
        <v>1884.62303222813</v>
      </c>
      <c r="N18" s="77" t="n">
        <f aca="false">'Revenue Streams'!N$33+'Revenue Streams'!N$34+'Revenue Streams'!N$36</f>
        <v>2103.57018314843</v>
      </c>
      <c r="O18" s="64" t="n">
        <f aca="false">SUM(P18:AA18)</f>
        <v>136352.232974649</v>
      </c>
      <c r="P18" s="77" t="n">
        <f aca="false">'Revenue Streams'!P$33+'Revenue Streams'!P$34+'Revenue Streams'!P$36</f>
        <v>8129.64791413388</v>
      </c>
      <c r="Q18" s="77" t="n">
        <f aca="false">'Revenue Streams'!Q$33+'Revenue Streams'!Q$34+'Revenue Streams'!Q$36</f>
        <v>8942.61270554727</v>
      </c>
      <c r="R18" s="77" t="n">
        <f aca="false">'Revenue Streams'!R$33+'Revenue Streams'!R$34+'Revenue Streams'!R$36</f>
        <v>9612.67324485019</v>
      </c>
      <c r="S18" s="77" t="n">
        <f aca="false">'Revenue Streams'!S$33+'Revenue Streams'!S$34+'Revenue Streams'!S$36</f>
        <v>10143.5640940221</v>
      </c>
      <c r="T18" s="77" t="n">
        <f aca="false">'Revenue Streams'!T$33+'Revenue Streams'!T$34+'Revenue Streams'!T$36</f>
        <v>10674.454943194</v>
      </c>
      <c r="U18" s="77" t="n">
        <f aca="false">'Revenue Streams'!U$33+'Revenue Streams'!U$34+'Revenue Streams'!U$36</f>
        <v>11205.3457923659</v>
      </c>
      <c r="V18" s="77" t="n">
        <f aca="false">'Revenue Streams'!V$33+'Revenue Streams'!V$34+'Revenue Streams'!V$36</f>
        <v>11736.2366415378</v>
      </c>
      <c r="W18" s="77" t="n">
        <f aca="false">'Revenue Streams'!W$33+'Revenue Streams'!W$34+'Revenue Streams'!W$36</f>
        <v>12222.6294126862</v>
      </c>
      <c r="X18" s="77" t="n">
        <f aca="false">'Revenue Streams'!X$33+'Revenue Streams'!X$34+'Revenue Streams'!X$36</f>
        <v>12702.0844702428</v>
      </c>
      <c r="Y18" s="77" t="n">
        <f aca="false">'Revenue Streams'!Y$33+'Revenue Streams'!Y$34+'Revenue Streams'!Y$36</f>
        <v>13181.5395277995</v>
      </c>
      <c r="Z18" s="77" t="n">
        <f aca="false">'Revenue Streams'!Z$33+'Revenue Streams'!Z$34+'Revenue Streams'!Z$36</f>
        <v>13660.9945853561</v>
      </c>
      <c r="AA18" s="77" t="n">
        <f aca="false">'Revenue Streams'!AA$33+'Revenue Streams'!AA$34+'Revenue Streams'!AA$36</f>
        <v>14140.4496429127</v>
      </c>
      <c r="AB18" s="64" t="n">
        <f aca="false">SUM(AC18:AN18)</f>
        <v>267458.71722834</v>
      </c>
      <c r="AC18" s="77" t="n">
        <f aca="false">'Revenue Streams'!AC$33+'Revenue Streams'!AC$34+'Revenue Streams'!AC$36</f>
        <v>17583.3148477554</v>
      </c>
      <c r="AD18" s="77" t="n">
        <f aca="false">'Revenue Streams'!AD$33+'Revenue Streams'!AD$34+'Revenue Streams'!AD$36</f>
        <v>18236.2248608675</v>
      </c>
      <c r="AE18" s="77" t="n">
        <f aca="false">'Revenue Streams'!AE$33+'Revenue Streams'!AE$34+'Revenue Streams'!AE$36</f>
        <v>19079.9717914449</v>
      </c>
      <c r="AF18" s="77" t="n">
        <f aca="false">'Revenue Streams'!AF$33+'Revenue Streams'!AF$34+'Revenue Streams'!AF$36</f>
        <v>20054.9199147302</v>
      </c>
      <c r="AG18" s="77" t="n">
        <f aca="false">'Revenue Streams'!AG$33+'Revenue Streams'!AG$34+'Revenue Streams'!AG$36</f>
        <v>21011.4910500663</v>
      </c>
      <c r="AH18" s="77" t="n">
        <f aca="false">'Revenue Streams'!AH$33+'Revenue Streams'!AH$34+'Revenue Streams'!AH$36</f>
        <v>21883.3609576739</v>
      </c>
      <c r="AI18" s="77" t="n">
        <f aca="false">'Revenue Streams'!AI$33+'Revenue Streams'!AI$34+'Revenue Streams'!AI$36</f>
        <v>22755.2308652814</v>
      </c>
      <c r="AJ18" s="77" t="n">
        <f aca="false">'Revenue Streams'!AJ$33+'Revenue Streams'!AJ$34+'Revenue Streams'!AJ$36</f>
        <v>23627.100772889</v>
      </c>
      <c r="AK18" s="77" t="n">
        <f aca="false">'Revenue Streams'!AK$33+'Revenue Streams'!AK$34+'Revenue Streams'!AK$36</f>
        <v>24498.9706804965</v>
      </c>
      <c r="AL18" s="77" t="n">
        <f aca="false">'Revenue Streams'!AL$33+'Revenue Streams'!AL$34+'Revenue Streams'!AL$36</f>
        <v>25370.8405881041</v>
      </c>
      <c r="AM18" s="77" t="n">
        <f aca="false">'Revenue Streams'!AM$33+'Revenue Streams'!AM$34+'Revenue Streams'!AM$36</f>
        <v>26242.7104957116</v>
      </c>
      <c r="AN18" s="77" t="n">
        <f aca="false">'Revenue Streams'!AN$33+'Revenue Streams'!AN$34+'Revenue Streams'!AN$36</f>
        <v>27114.5804033192</v>
      </c>
      <c r="AO18" s="64" t="n">
        <f aca="false">SUM(AP18:BA18)</f>
        <v>446479.942970127</v>
      </c>
      <c r="AP18" s="77" t="n">
        <f aca="false">'Revenue Streams'!AP$33+'Revenue Streams'!AP$34+'Revenue Streams'!AP$36</f>
        <v>32163.0860696306</v>
      </c>
      <c r="AQ18" s="77" t="n">
        <f aca="false">'Revenue Streams'!AQ$33+'Revenue Streams'!AQ$34+'Revenue Streams'!AQ$36</f>
        <v>33141.2640639666</v>
      </c>
      <c r="AR18" s="77" t="n">
        <f aca="false">'Revenue Streams'!AR$33+'Revenue Streams'!AR$34+'Revenue Streams'!AR$36</f>
        <v>34070.5768218111</v>
      </c>
      <c r="AS18" s="77" t="n">
        <f aca="false">'Revenue Streams'!AS$33+'Revenue Streams'!AS$34+'Revenue Streams'!AS$36</f>
        <v>34969.906257776</v>
      </c>
      <c r="AT18" s="77" t="n">
        <f aca="false">'Revenue Streams'!AT$33+'Revenue Streams'!AT$34+'Revenue Streams'!AT$36</f>
        <v>35869.2356937408</v>
      </c>
      <c r="AU18" s="77" t="n">
        <f aca="false">'Revenue Streams'!AU$33+'Revenue Streams'!AU$34+'Revenue Streams'!AU$36</f>
        <v>36768.5651297057</v>
      </c>
      <c r="AV18" s="77" t="n">
        <f aca="false">'Revenue Streams'!AV$33+'Revenue Streams'!AV$34+'Revenue Streams'!AV$36</f>
        <v>37667.8945656706</v>
      </c>
      <c r="AW18" s="77" t="n">
        <f aca="false">'Revenue Streams'!AW$33+'Revenue Streams'!AW$34+'Revenue Streams'!AW$36</f>
        <v>38567.2240016355</v>
      </c>
      <c r="AX18" s="77" t="n">
        <f aca="false">'Revenue Streams'!AX$33+'Revenue Streams'!AX$34+'Revenue Streams'!AX$36</f>
        <v>39466.5534376003</v>
      </c>
      <c r="AY18" s="77" t="n">
        <f aca="false">'Revenue Streams'!AY$33+'Revenue Streams'!AY$34+'Revenue Streams'!AY$36</f>
        <v>40365.8828735652</v>
      </c>
      <c r="AZ18" s="77" t="n">
        <f aca="false">'Revenue Streams'!AZ$33+'Revenue Streams'!AZ$34+'Revenue Streams'!AZ$36</f>
        <v>41265.2123095301</v>
      </c>
      <c r="BA18" s="77" t="n">
        <f aca="false">'Revenue Streams'!BA$33+'Revenue Streams'!BA$34+'Revenue Streams'!BA$36</f>
        <v>42164.541745495</v>
      </c>
      <c r="BB18" s="64" t="n">
        <f aca="false">SUM(BC18:BN18)</f>
        <v>642889.979469433</v>
      </c>
      <c r="BC18" s="77" t="n">
        <f aca="false">'Revenue Streams'!BC$33+'Revenue Streams'!BC$34+'Revenue Streams'!BC$36</f>
        <v>47793.2816048395</v>
      </c>
      <c r="BD18" s="77" t="n">
        <f aca="false">'Revenue Streams'!BD$33+'Revenue Streams'!BD$34+'Revenue Streams'!BD$36</f>
        <v>48805.0242187746</v>
      </c>
      <c r="BE18" s="77" t="n">
        <f aca="false">'Revenue Streams'!BE$33+'Revenue Streams'!BE$34+'Revenue Streams'!BE$36</f>
        <v>49850.9120864162</v>
      </c>
      <c r="BF18" s="77" t="n">
        <f aca="false">'Revenue Streams'!BF$33+'Revenue Streams'!BF$34+'Revenue Streams'!BF$36</f>
        <v>50912.7465926752</v>
      </c>
      <c r="BG18" s="77" t="n">
        <f aca="false">'Revenue Streams'!BG$33+'Revenue Streams'!BG$34+'Revenue Streams'!BG$36</f>
        <v>51974.5810989343</v>
      </c>
      <c r="BH18" s="77" t="n">
        <f aca="false">'Revenue Streams'!BH$33+'Revenue Streams'!BH$34+'Revenue Streams'!BH$36</f>
        <v>53036.4156051933</v>
      </c>
      <c r="BI18" s="77" t="n">
        <f aca="false">'Revenue Streams'!BI$33+'Revenue Streams'!BI$34+'Revenue Streams'!BI$36</f>
        <v>54098.2501114523</v>
      </c>
      <c r="BJ18" s="77" t="n">
        <f aca="false">'Revenue Streams'!BJ$33+'Revenue Streams'!BJ$34+'Revenue Streams'!BJ$36</f>
        <v>55160.0846177114</v>
      </c>
      <c r="BK18" s="77" t="n">
        <f aca="false">'Revenue Streams'!BK$33+'Revenue Streams'!BK$34+'Revenue Streams'!BK$36</f>
        <v>56221.9191239704</v>
      </c>
      <c r="BL18" s="77" t="n">
        <f aca="false">'Revenue Streams'!BL$33+'Revenue Streams'!BL$34+'Revenue Streams'!BL$36</f>
        <v>57283.7536302295</v>
      </c>
      <c r="BM18" s="77" t="n">
        <f aca="false">'Revenue Streams'!BM$33+'Revenue Streams'!BM$34+'Revenue Streams'!BM$36</f>
        <v>58345.5881364885</v>
      </c>
      <c r="BN18" s="77" t="n">
        <f aca="false">'Revenue Streams'!BN$33+'Revenue Streams'!BN$34+'Revenue Streams'!BN$36</f>
        <v>59407.4226427475</v>
      </c>
    </row>
    <row r="19" customFormat="false" ht="15" hidden="false" customHeight="false" outlineLevel="0" collapsed="false">
      <c r="A19" s="12" t="s">
        <v>746</v>
      </c>
      <c r="B19" s="64" t="n">
        <f aca="false">SUM(C19:N19)</f>
        <v>6203.98465949867</v>
      </c>
      <c r="C19" s="76" t="n">
        <f aca="false">'Revenue Streams'!C$33</f>
        <v>0</v>
      </c>
      <c r="D19" s="76" t="n">
        <f aca="false">'Revenue Streams'!D$33</f>
        <v>0</v>
      </c>
      <c r="E19" s="76" t="n">
        <f aca="false">'Revenue Streams'!E$33</f>
        <v>112.799721081794</v>
      </c>
      <c r="F19" s="76" t="n">
        <f aca="false">'Revenue Streams'!F$33</f>
        <v>225.599442163588</v>
      </c>
      <c r="G19" s="76" t="n">
        <f aca="false">'Revenue Streams'!G$33</f>
        <v>338.399163245382</v>
      </c>
      <c r="H19" s="76" t="n">
        <f aca="false">'Revenue Streams'!H$33</f>
        <v>451.198884327176</v>
      </c>
      <c r="I19" s="76" t="n">
        <f aca="false">'Revenue Streams'!I$33</f>
        <v>563.99860540897</v>
      </c>
      <c r="J19" s="76" t="n">
        <f aca="false">'Revenue Streams'!J$33</f>
        <v>676.798326490764</v>
      </c>
      <c r="K19" s="76" t="n">
        <f aca="false">'Revenue Streams'!K$33</f>
        <v>789.598047572558</v>
      </c>
      <c r="L19" s="76" t="n">
        <f aca="false">'Revenue Streams'!L$33</f>
        <v>902.397768654352</v>
      </c>
      <c r="M19" s="76" t="n">
        <f aca="false">'Revenue Streams'!M$33</f>
        <v>1015.19748973615</v>
      </c>
      <c r="N19" s="76" t="n">
        <f aca="false">'Revenue Streams'!N$33</f>
        <v>1127.99721081794</v>
      </c>
      <c r="O19" s="64" t="n">
        <f aca="false">SUM(P19:AA19)</f>
        <v>64839.5780438976</v>
      </c>
      <c r="P19" s="76" t="n">
        <f aca="false">'Revenue Streams'!P$33</f>
        <v>3918.306100736</v>
      </c>
      <c r="Q19" s="76" t="n">
        <f aca="false">'Revenue Streams'!Q$33</f>
        <v>4310.1367108096</v>
      </c>
      <c r="R19" s="76" t="n">
        <f aca="false">'Revenue Streams'!R$33</f>
        <v>4555.76885852335</v>
      </c>
      <c r="S19" s="76" t="n">
        <f aca="false">'Revenue Streams'!S$33</f>
        <v>4801.40100623709</v>
      </c>
      <c r="T19" s="76" t="n">
        <f aca="false">'Revenue Streams'!T$33</f>
        <v>5047.03315395084</v>
      </c>
      <c r="U19" s="76" t="n">
        <f aca="false">'Revenue Streams'!U$33</f>
        <v>5292.66530166458</v>
      </c>
      <c r="V19" s="76" t="n">
        <f aca="false">'Revenue Streams'!V$33</f>
        <v>5538.29744937833</v>
      </c>
      <c r="W19" s="76" t="n">
        <f aca="false">'Revenue Streams'!W$33</f>
        <v>5783.92959709208</v>
      </c>
      <c r="X19" s="76" t="n">
        <f aca="false">'Revenue Streams'!X$33</f>
        <v>6029.56174480582</v>
      </c>
      <c r="Y19" s="76" t="n">
        <f aca="false">'Revenue Streams'!Y$33</f>
        <v>6275.19389251957</v>
      </c>
      <c r="Z19" s="76" t="n">
        <f aca="false">'Revenue Streams'!Z$33</f>
        <v>6520.82604023331</v>
      </c>
      <c r="AA19" s="76" t="n">
        <f aca="false">'Revenue Streams'!AA$33</f>
        <v>6766.45818794706</v>
      </c>
      <c r="AB19" s="64" t="n">
        <f aca="false">SUM(AC19:AN19)</f>
        <v>126133.531711794</v>
      </c>
      <c r="AC19" s="76" t="n">
        <f aca="false">'Revenue Streams'!AC$33</f>
        <v>8180.77205827094</v>
      </c>
      <c r="AD19" s="76" t="n">
        <f aca="false">'Revenue Streams'!AD$33</f>
        <v>8489.61681063593</v>
      </c>
      <c r="AE19" s="76" t="n">
        <f aca="false">'Revenue Streams'!AE$33</f>
        <v>8936.2890785728</v>
      </c>
      <c r="AF19" s="76" t="n">
        <f aca="false">'Revenue Streams'!AF$33</f>
        <v>9382.96134650968</v>
      </c>
      <c r="AG19" s="76" t="n">
        <f aca="false">'Revenue Streams'!AG$33</f>
        <v>9829.63361444655</v>
      </c>
      <c r="AH19" s="76" t="n">
        <f aca="false">'Revenue Streams'!AH$33</f>
        <v>10276.3058823834</v>
      </c>
      <c r="AI19" s="76" t="n">
        <f aca="false">'Revenue Streams'!AI$33</f>
        <v>10722.9781503203</v>
      </c>
      <c r="AJ19" s="76" t="n">
        <f aca="false">'Revenue Streams'!AJ$33</f>
        <v>11169.6504182572</v>
      </c>
      <c r="AK19" s="76" t="n">
        <f aca="false">'Revenue Streams'!AK$33</f>
        <v>11616.322686194</v>
      </c>
      <c r="AL19" s="76" t="n">
        <f aca="false">'Revenue Streams'!AL$33</f>
        <v>12062.9949541309</v>
      </c>
      <c r="AM19" s="76" t="n">
        <f aca="false">'Revenue Streams'!AM$33</f>
        <v>12509.6672220678</v>
      </c>
      <c r="AN19" s="76" t="n">
        <f aca="false">'Revenue Streams'!AN$33</f>
        <v>12956.3394900047</v>
      </c>
      <c r="AO19" s="64" t="n">
        <f aca="false">SUM(AP19:BA19)</f>
        <v>214568.060062765</v>
      </c>
      <c r="AP19" s="76" t="n">
        <f aca="false">'Revenue Streams'!AP$33</f>
        <v>15317.7277233618</v>
      </c>
      <c r="AQ19" s="76" t="n">
        <f aca="false">'Revenue Streams'!AQ$33</f>
        <v>15809.9655580742</v>
      </c>
      <c r="AR19" s="76" t="n">
        <f aca="false">'Revenue Streams'!AR$33</f>
        <v>16270.7057617212</v>
      </c>
      <c r="AS19" s="76" t="n">
        <f aca="false">'Revenue Streams'!AS$33</f>
        <v>16731.4459653683</v>
      </c>
      <c r="AT19" s="76" t="n">
        <f aca="false">'Revenue Streams'!AT$33</f>
        <v>17192.1861690153</v>
      </c>
      <c r="AU19" s="76" t="n">
        <f aca="false">'Revenue Streams'!AU$33</f>
        <v>17652.9263726623</v>
      </c>
      <c r="AV19" s="76" t="n">
        <f aca="false">'Revenue Streams'!AV$33</f>
        <v>18113.6665763094</v>
      </c>
      <c r="AW19" s="76" t="n">
        <f aca="false">'Revenue Streams'!AW$33</f>
        <v>18574.4067799564</v>
      </c>
      <c r="AX19" s="76" t="n">
        <f aca="false">'Revenue Streams'!AX$33</f>
        <v>19035.1469836034</v>
      </c>
      <c r="AY19" s="76" t="n">
        <f aca="false">'Revenue Streams'!AY$33</f>
        <v>19495.8871872504</v>
      </c>
      <c r="AZ19" s="76" t="n">
        <f aca="false">'Revenue Streams'!AZ$33</f>
        <v>19956.6273908975</v>
      </c>
      <c r="BA19" s="76" t="n">
        <f aca="false">'Revenue Streams'!BA$33</f>
        <v>20417.3675945445</v>
      </c>
      <c r="BB19" s="64" t="n">
        <f aca="false">SUM(BC19:BN19)</f>
        <v>318227.136001619</v>
      </c>
      <c r="BC19" s="76" t="n">
        <f aca="false">'Revenue Streams'!BC$33</f>
        <v>23487.8712729655</v>
      </c>
      <c r="BD19" s="76" t="n">
        <f aca="false">'Revenue Streams'!BD$33</f>
        <v>24024.4755518896</v>
      </c>
      <c r="BE19" s="76" t="n">
        <f aca="false">'Revenue Streams'!BE$33</f>
        <v>24578.4761638508</v>
      </c>
      <c r="BF19" s="76" t="n">
        <f aca="false">'Revenue Streams'!BF$33</f>
        <v>25132.476775812</v>
      </c>
      <c r="BG19" s="76" t="n">
        <f aca="false">'Revenue Streams'!BG$33</f>
        <v>25686.4773877733</v>
      </c>
      <c r="BH19" s="76" t="n">
        <f aca="false">'Revenue Streams'!BH$33</f>
        <v>26240.4779997345</v>
      </c>
      <c r="BI19" s="76" t="n">
        <f aca="false">'Revenue Streams'!BI$33</f>
        <v>26794.4786116957</v>
      </c>
      <c r="BJ19" s="76" t="n">
        <f aca="false">'Revenue Streams'!BJ$33</f>
        <v>27348.479223657</v>
      </c>
      <c r="BK19" s="76" t="n">
        <f aca="false">'Revenue Streams'!BK$33</f>
        <v>27902.4798356182</v>
      </c>
      <c r="BL19" s="76" t="n">
        <f aca="false">'Revenue Streams'!BL$33</f>
        <v>28456.4804475795</v>
      </c>
      <c r="BM19" s="76" t="n">
        <f aca="false">'Revenue Streams'!BM$33</f>
        <v>29010.4810595407</v>
      </c>
      <c r="BN19" s="76" t="n">
        <f aca="false">'Revenue Streams'!BN$33</f>
        <v>29564.4816715019</v>
      </c>
    </row>
    <row r="20" customFormat="false" ht="15" hidden="false" customHeight="false" outlineLevel="0" collapsed="false">
      <c r="A20" s="12" t="s">
        <v>747</v>
      </c>
      <c r="B20" s="64" t="n">
        <f aca="false">SUM(C20:N20)</f>
        <v>3865.55967245686</v>
      </c>
      <c r="C20" s="76" t="n">
        <f aca="false">'Revenue Streams'!C$34</f>
        <v>0</v>
      </c>
      <c r="D20" s="76" t="n">
        <f aca="false">'Revenue Streams'!D$34</f>
        <v>0</v>
      </c>
      <c r="E20" s="76" t="n">
        <f aca="false">'Revenue Streams'!E$34</f>
        <v>0</v>
      </c>
      <c r="F20" s="76" t="n">
        <f aca="false">'Revenue Streams'!F$34</f>
        <v>85.9013260545969</v>
      </c>
      <c r="G20" s="76" t="n">
        <f aca="false">'Revenue Streams'!G$34</f>
        <v>171.802652109194</v>
      </c>
      <c r="H20" s="76" t="n">
        <f aca="false">'Revenue Streams'!H$34</f>
        <v>257.703978163791</v>
      </c>
      <c r="I20" s="76" t="n">
        <f aca="false">'Revenue Streams'!I$34</f>
        <v>343.605304218388</v>
      </c>
      <c r="J20" s="76" t="n">
        <f aca="false">'Revenue Streams'!J$34</f>
        <v>429.506630272985</v>
      </c>
      <c r="K20" s="76" t="n">
        <f aca="false">'Revenue Streams'!K$34</f>
        <v>515.407956327582</v>
      </c>
      <c r="L20" s="76" t="n">
        <f aca="false">'Revenue Streams'!L$34</f>
        <v>601.309282382179</v>
      </c>
      <c r="M20" s="76" t="n">
        <f aca="false">'Revenue Streams'!M$34</f>
        <v>687.210608436776</v>
      </c>
      <c r="N20" s="76" t="n">
        <f aca="false">'Revenue Streams'!N$34</f>
        <v>773.111934491373</v>
      </c>
      <c r="O20" s="64" t="n">
        <f aca="false">SUM(P20:AA20)</f>
        <v>58671.9847577437</v>
      </c>
      <c r="P20" s="76" t="n">
        <f aca="false">'Revenue Streams'!P$34</f>
        <v>3390.84181794462</v>
      </c>
      <c r="Q20" s="76" t="n">
        <f aca="false">'Revenue Streams'!Q$34</f>
        <v>3729.92599973908</v>
      </c>
      <c r="R20" s="76" t="n">
        <f aca="false">'Revenue Streams'!R$34</f>
        <v>4102.91859971298</v>
      </c>
      <c r="S20" s="76" t="n">
        <f aca="false">'Revenue Streams'!S$34</f>
        <v>4336.74150955588</v>
      </c>
      <c r="T20" s="76" t="n">
        <f aca="false">'Revenue Streams'!T$34</f>
        <v>4570.56441939877</v>
      </c>
      <c r="U20" s="76" t="n">
        <f aca="false">'Revenue Streams'!U$34</f>
        <v>4804.38732924166</v>
      </c>
      <c r="V20" s="76" t="n">
        <f aca="false">'Revenue Streams'!V$34</f>
        <v>5038.21023908455</v>
      </c>
      <c r="W20" s="76" t="n">
        <f aca="false">'Revenue Streams'!W$34</f>
        <v>5272.03314892744</v>
      </c>
      <c r="X20" s="76" t="n">
        <f aca="false">'Revenue Streams'!X$34</f>
        <v>5505.85605877034</v>
      </c>
      <c r="Y20" s="76" t="n">
        <f aca="false">'Revenue Streams'!Y$34</f>
        <v>5739.67896861323</v>
      </c>
      <c r="Z20" s="76" t="n">
        <f aca="false">'Revenue Streams'!Z$34</f>
        <v>5973.50187845612</v>
      </c>
      <c r="AA20" s="76" t="n">
        <f aca="false">'Revenue Streams'!AA$34</f>
        <v>6207.32478829901</v>
      </c>
      <c r="AB20" s="64" t="n">
        <f aca="false">SUM(AC20:AN20)</f>
        <v>115250.653371779</v>
      </c>
      <c r="AC20" s="76" t="n">
        <f aca="false">'Revenue Streams'!AC$34</f>
        <v>7514.67231449889</v>
      </c>
      <c r="AD20" s="76" t="n">
        <f aca="false">'Revenue Streams'!AD$34</f>
        <v>7787.46570931559</v>
      </c>
      <c r="AE20" s="76" t="n">
        <f aca="false">'Revenue Streams'!AE$34</f>
        <v>8081.46215627842</v>
      </c>
      <c r="AF20" s="76" t="n">
        <f aca="false">'Revenue Streams'!AF$34</f>
        <v>8506.6597959491</v>
      </c>
      <c r="AG20" s="76" t="n">
        <f aca="false">'Revenue Streams'!AG$34</f>
        <v>8931.85743561978</v>
      </c>
      <c r="AH20" s="76" t="n">
        <f aca="false">'Revenue Streams'!AH$34</f>
        <v>9357.05507529046</v>
      </c>
      <c r="AI20" s="76" t="n">
        <f aca="false">'Revenue Streams'!AI$34</f>
        <v>9782.25271496113</v>
      </c>
      <c r="AJ20" s="76" t="n">
        <f aca="false">'Revenue Streams'!AJ$34</f>
        <v>10207.4503546318</v>
      </c>
      <c r="AK20" s="76" t="n">
        <f aca="false">'Revenue Streams'!AK$34</f>
        <v>10632.6479943025</v>
      </c>
      <c r="AL20" s="76" t="n">
        <f aca="false">'Revenue Streams'!AL$34</f>
        <v>11057.8456339732</v>
      </c>
      <c r="AM20" s="76" t="n">
        <f aca="false">'Revenue Streams'!AM$34</f>
        <v>11483.0432736438</v>
      </c>
      <c r="AN20" s="76" t="n">
        <f aca="false">'Revenue Streams'!AN$34</f>
        <v>11908.2409133145</v>
      </c>
      <c r="AO20" s="64" t="n">
        <f aca="false">SUM(AP20:BA20)</f>
        <v>198911.882907363</v>
      </c>
      <c r="AP20" s="76" t="n">
        <f aca="false">'Revenue Streams'!AP$34</f>
        <v>14095.3583462688</v>
      </c>
      <c r="AQ20" s="76" t="n">
        <f aca="false">'Revenue Streams'!AQ$34</f>
        <v>14581.2985058924</v>
      </c>
      <c r="AR20" s="76" t="n">
        <f aca="false">'Revenue Streams'!AR$34</f>
        <v>15049.8710600898</v>
      </c>
      <c r="AS20" s="76" t="n">
        <f aca="false">'Revenue Streams'!AS$34</f>
        <v>15488.4602924077</v>
      </c>
      <c r="AT20" s="76" t="n">
        <f aca="false">'Revenue Streams'!AT$34</f>
        <v>15927.0495247255</v>
      </c>
      <c r="AU20" s="76" t="n">
        <f aca="false">'Revenue Streams'!AU$34</f>
        <v>16365.6387570434</v>
      </c>
      <c r="AV20" s="76" t="n">
        <f aca="false">'Revenue Streams'!AV$34</f>
        <v>16804.2279893612</v>
      </c>
      <c r="AW20" s="76" t="n">
        <f aca="false">'Revenue Streams'!AW$34</f>
        <v>17242.8172216791</v>
      </c>
      <c r="AX20" s="76" t="n">
        <f aca="false">'Revenue Streams'!AX$34</f>
        <v>17681.4064539969</v>
      </c>
      <c r="AY20" s="76" t="n">
        <f aca="false">'Revenue Streams'!AY$34</f>
        <v>18119.9956863148</v>
      </c>
      <c r="AZ20" s="76" t="n">
        <f aca="false">'Revenue Streams'!AZ$34</f>
        <v>18558.5849186326</v>
      </c>
      <c r="BA20" s="76" t="n">
        <f aca="false">'Revenue Streams'!BA$34</f>
        <v>18997.1741509505</v>
      </c>
      <c r="BB20" s="64" t="n">
        <f aca="false">SUM(BC20:BN20)</f>
        <v>285662.843467814</v>
      </c>
      <c r="BC20" s="76" t="n">
        <f aca="false">'Revenue Streams'!BC$34</f>
        <v>21055.410331874</v>
      </c>
      <c r="BD20" s="76" t="n">
        <f aca="false">'Revenue Streams'!BD$34</f>
        <v>21530.548666885</v>
      </c>
      <c r="BE20" s="76" t="n">
        <f aca="false">'Revenue Streams'!BE$34</f>
        <v>22022.4359225654</v>
      </c>
      <c r="BF20" s="76" t="n">
        <f aca="false">'Revenue Streams'!BF$34</f>
        <v>22530.2698168632</v>
      </c>
      <c r="BG20" s="76" t="n">
        <f aca="false">'Revenue Streams'!BG$34</f>
        <v>23038.103711161</v>
      </c>
      <c r="BH20" s="76" t="n">
        <f aca="false">'Revenue Streams'!BH$34</f>
        <v>23545.9376054588</v>
      </c>
      <c r="BI20" s="76" t="n">
        <f aca="false">'Revenue Streams'!BI$34</f>
        <v>24053.7714997566</v>
      </c>
      <c r="BJ20" s="76" t="n">
        <f aca="false">'Revenue Streams'!BJ$34</f>
        <v>24561.6053940544</v>
      </c>
      <c r="BK20" s="76" t="n">
        <f aca="false">'Revenue Streams'!BK$34</f>
        <v>25069.4392883522</v>
      </c>
      <c r="BL20" s="76" t="n">
        <f aca="false">'Revenue Streams'!BL$34</f>
        <v>25577.27318265</v>
      </c>
      <c r="BM20" s="76" t="n">
        <f aca="false">'Revenue Streams'!BM$34</f>
        <v>26085.1070769478</v>
      </c>
      <c r="BN20" s="76" t="n">
        <f aca="false">'Revenue Streams'!BN$34</f>
        <v>26592.9409712456</v>
      </c>
    </row>
    <row r="21" customFormat="false" ht="15" hidden="false" customHeight="false" outlineLevel="0" collapsed="false">
      <c r="A21" s="12" t="s">
        <v>748</v>
      </c>
      <c r="B21" s="64" t="n">
        <f aca="false">SUM(C21:N21)</f>
        <v>1113.53570811515</v>
      </c>
      <c r="C21" s="76" t="n">
        <f aca="false">'Revenue Streams'!C$36</f>
        <v>0</v>
      </c>
      <c r="D21" s="76" t="n">
        <f aca="false">'Revenue Streams'!D$36</f>
        <v>0</v>
      </c>
      <c r="E21" s="76" t="n">
        <f aca="false">'Revenue Streams'!E$36</f>
        <v>20.2461037839117</v>
      </c>
      <c r="F21" s="76" t="n">
        <f aca="false">'Revenue Streams'!F$36</f>
        <v>40.4922075678235</v>
      </c>
      <c r="G21" s="76" t="n">
        <f aca="false">'Revenue Streams'!G$36</f>
        <v>60.7383113517352</v>
      </c>
      <c r="H21" s="76" t="n">
        <f aca="false">'Revenue Streams'!H$36</f>
        <v>80.9844151356469</v>
      </c>
      <c r="I21" s="76" t="n">
        <f aca="false">'Revenue Streams'!I$36</f>
        <v>101.230518919559</v>
      </c>
      <c r="J21" s="76" t="n">
        <f aca="false">'Revenue Streams'!J$36</f>
        <v>121.47662270347</v>
      </c>
      <c r="K21" s="76" t="n">
        <f aca="false">'Revenue Streams'!K$36</f>
        <v>141.722726487382</v>
      </c>
      <c r="L21" s="76" t="n">
        <f aca="false">'Revenue Streams'!L$36</f>
        <v>161.968830271294</v>
      </c>
      <c r="M21" s="76" t="n">
        <f aca="false">'Revenue Streams'!M$36</f>
        <v>182.214934055206</v>
      </c>
      <c r="N21" s="76" t="n">
        <f aca="false">'Revenue Streams'!N$36</f>
        <v>202.461037839117</v>
      </c>
      <c r="O21" s="64" t="n">
        <f aca="false">SUM(P21:AA21)</f>
        <v>12840.6701730072</v>
      </c>
      <c r="P21" s="76" t="n">
        <f aca="false">'Revenue Streams'!P$36</f>
        <v>820.499995453265</v>
      </c>
      <c r="Q21" s="76" t="n">
        <f aca="false">'Revenue Streams'!Q$36</f>
        <v>902.549994998592</v>
      </c>
      <c r="R21" s="76" t="n">
        <f aca="false">'Revenue Streams'!R$36</f>
        <v>953.985786613863</v>
      </c>
      <c r="S21" s="76" t="n">
        <f aca="false">'Revenue Streams'!S$36</f>
        <v>1005.42157822913</v>
      </c>
      <c r="T21" s="76" t="n">
        <f aca="false">'Revenue Streams'!T$36</f>
        <v>1056.85736984441</v>
      </c>
      <c r="U21" s="76" t="n">
        <f aca="false">'Revenue Streams'!U$36</f>
        <v>1108.29316145968</v>
      </c>
      <c r="V21" s="76" t="n">
        <f aca="false">'Revenue Streams'!V$36</f>
        <v>1159.72895307495</v>
      </c>
      <c r="W21" s="76" t="n">
        <f aca="false">'Revenue Streams'!W$36</f>
        <v>1166.66666666667</v>
      </c>
      <c r="X21" s="76" t="n">
        <f aca="false">'Revenue Streams'!X$36</f>
        <v>1166.66666666667</v>
      </c>
      <c r="Y21" s="76" t="n">
        <f aca="false">'Revenue Streams'!Y$36</f>
        <v>1166.66666666667</v>
      </c>
      <c r="Z21" s="76" t="n">
        <f aca="false">'Revenue Streams'!Z$36</f>
        <v>1166.66666666667</v>
      </c>
      <c r="AA21" s="76" t="n">
        <f aca="false">'Revenue Streams'!AA$36</f>
        <v>1166.66666666667</v>
      </c>
      <c r="AB21" s="64" t="n">
        <f aca="false">SUM(AC21:AN21)</f>
        <v>26074.5321447668</v>
      </c>
      <c r="AC21" s="76" t="n">
        <f aca="false">'Revenue Streams'!AC$36</f>
        <v>1887.8704749856</v>
      </c>
      <c r="AD21" s="76" t="n">
        <f aca="false">'Revenue Streams'!AD$36</f>
        <v>1959.14234091598</v>
      </c>
      <c r="AE21" s="76" t="n">
        <f aca="false">'Revenue Streams'!AE$36</f>
        <v>2062.22055659372</v>
      </c>
      <c r="AF21" s="76" t="n">
        <f aca="false">'Revenue Streams'!AF$36</f>
        <v>2165.29877227146</v>
      </c>
      <c r="AG21" s="76" t="n">
        <f aca="false">'Revenue Streams'!AG$36</f>
        <v>2250</v>
      </c>
      <c r="AH21" s="76" t="n">
        <f aca="false">'Revenue Streams'!AH$36</f>
        <v>2250</v>
      </c>
      <c r="AI21" s="76" t="n">
        <f aca="false">'Revenue Streams'!AI$36</f>
        <v>2250</v>
      </c>
      <c r="AJ21" s="76" t="n">
        <f aca="false">'Revenue Streams'!AJ$36</f>
        <v>2250</v>
      </c>
      <c r="AK21" s="76" t="n">
        <f aca="false">'Revenue Streams'!AK$36</f>
        <v>2250</v>
      </c>
      <c r="AL21" s="76" t="n">
        <f aca="false">'Revenue Streams'!AL$36</f>
        <v>2250</v>
      </c>
      <c r="AM21" s="76" t="n">
        <f aca="false">'Revenue Streams'!AM$36</f>
        <v>2250</v>
      </c>
      <c r="AN21" s="76" t="n">
        <f aca="false">'Revenue Streams'!AN$36</f>
        <v>2250</v>
      </c>
      <c r="AO21" s="64" t="n">
        <f aca="false">SUM(AP21:BA21)</f>
        <v>33000</v>
      </c>
      <c r="AP21" s="76" t="n">
        <f aca="false">'Revenue Streams'!AP$36</f>
        <v>2750</v>
      </c>
      <c r="AQ21" s="76" t="n">
        <f aca="false">'Revenue Streams'!AQ$36</f>
        <v>2750</v>
      </c>
      <c r="AR21" s="76" t="n">
        <f aca="false">'Revenue Streams'!AR$36</f>
        <v>2750</v>
      </c>
      <c r="AS21" s="76" t="n">
        <f aca="false">'Revenue Streams'!AS$36</f>
        <v>2750</v>
      </c>
      <c r="AT21" s="76" t="n">
        <f aca="false">'Revenue Streams'!AT$36</f>
        <v>2750</v>
      </c>
      <c r="AU21" s="76" t="n">
        <f aca="false">'Revenue Streams'!AU$36</f>
        <v>2750</v>
      </c>
      <c r="AV21" s="76" t="n">
        <f aca="false">'Revenue Streams'!AV$36</f>
        <v>2750</v>
      </c>
      <c r="AW21" s="76" t="n">
        <f aca="false">'Revenue Streams'!AW$36</f>
        <v>2750</v>
      </c>
      <c r="AX21" s="76" t="n">
        <f aca="false">'Revenue Streams'!AX$36</f>
        <v>2750</v>
      </c>
      <c r="AY21" s="76" t="n">
        <f aca="false">'Revenue Streams'!AY$36</f>
        <v>2750</v>
      </c>
      <c r="AZ21" s="76" t="n">
        <f aca="false">'Revenue Streams'!AZ$36</f>
        <v>2750</v>
      </c>
      <c r="BA21" s="76" t="n">
        <f aca="false">'Revenue Streams'!BA$36</f>
        <v>2750</v>
      </c>
      <c r="BB21" s="64" t="n">
        <f aca="false">SUM(BC21:BN21)</f>
        <v>39000</v>
      </c>
      <c r="BC21" s="76" t="n">
        <f aca="false">'Revenue Streams'!BC$36</f>
        <v>3250</v>
      </c>
      <c r="BD21" s="76" t="n">
        <f aca="false">'Revenue Streams'!BD$36</f>
        <v>3250</v>
      </c>
      <c r="BE21" s="76" t="n">
        <f aca="false">'Revenue Streams'!BE$36</f>
        <v>3250</v>
      </c>
      <c r="BF21" s="76" t="n">
        <f aca="false">'Revenue Streams'!BF$36</f>
        <v>3250</v>
      </c>
      <c r="BG21" s="76" t="n">
        <f aca="false">'Revenue Streams'!BG$36</f>
        <v>3250</v>
      </c>
      <c r="BH21" s="76" t="n">
        <f aca="false">'Revenue Streams'!BH$36</f>
        <v>3250</v>
      </c>
      <c r="BI21" s="76" t="n">
        <f aca="false">'Revenue Streams'!BI$36</f>
        <v>3250</v>
      </c>
      <c r="BJ21" s="76" t="n">
        <f aca="false">'Revenue Streams'!BJ$36</f>
        <v>3250</v>
      </c>
      <c r="BK21" s="76" t="n">
        <f aca="false">'Revenue Streams'!BK$36</f>
        <v>3250</v>
      </c>
      <c r="BL21" s="76" t="n">
        <f aca="false">'Revenue Streams'!BL$36</f>
        <v>3250</v>
      </c>
      <c r="BM21" s="76" t="n">
        <f aca="false">'Revenue Streams'!BM$36</f>
        <v>3250</v>
      </c>
      <c r="BN21" s="76" t="n">
        <f aca="false">'Revenue Streams'!BN$36</f>
        <v>3250</v>
      </c>
    </row>
    <row r="22" customFormat="false" ht="15" hidden="false" customHeight="false" outlineLevel="0" collapsed="false">
      <c r="A22" s="18" t="s">
        <v>749</v>
      </c>
      <c r="B22" s="64" t="n">
        <f aca="false">SUM(C22:N22)</f>
        <v>896.384500341538</v>
      </c>
      <c r="C22" s="77" t="n">
        <f aca="false">'Revenue Streams'!C$45</f>
        <v>23.8392195442557</v>
      </c>
      <c r="D22" s="77" t="n">
        <f aca="false">'Revenue Streams'!D$45</f>
        <v>27.6260640885115</v>
      </c>
      <c r="E22" s="77" t="n">
        <f aca="false">'Revenue Streams'!E$45</f>
        <v>32.5890257482572</v>
      </c>
      <c r="F22" s="77" t="n">
        <f aca="false">'Revenue Streams'!F$45</f>
        <v>38.308439040613</v>
      </c>
      <c r="G22" s="77" t="n">
        <f aca="false">'Revenue Streams'!G$45</f>
        <v>46.2083136752203</v>
      </c>
      <c r="H22" s="77" t="n">
        <f aca="false">'Revenue Streams'!H$45</f>
        <v>56.2886496520793</v>
      </c>
      <c r="I22" s="77" t="n">
        <f aca="false">'Revenue Streams'!I$45</f>
        <v>68.5494469711898</v>
      </c>
      <c r="J22" s="77" t="n">
        <f aca="false">'Revenue Streams'!J$45</f>
        <v>82.9907056325518</v>
      </c>
      <c r="K22" s="77" t="n">
        <f aca="false">'Revenue Streams'!K$45</f>
        <v>99.6124256361654</v>
      </c>
      <c r="L22" s="77" t="n">
        <f aca="false">'Revenue Streams'!L$45</f>
        <v>118.414606982031</v>
      </c>
      <c r="M22" s="77" t="n">
        <f aca="false">'Revenue Streams'!M$45</f>
        <v>139.397249670147</v>
      </c>
      <c r="N22" s="77" t="n">
        <f aca="false">'Revenue Streams'!N$45</f>
        <v>162.560353700516</v>
      </c>
      <c r="O22" s="64" t="n">
        <f aca="false">SUM(P22:AA22)</f>
        <v>8107.47449444299</v>
      </c>
      <c r="P22" s="77" t="n">
        <f aca="false">'Revenue Streams'!P$45</f>
        <v>212.319131784049</v>
      </c>
      <c r="Q22" s="77" t="n">
        <f aca="false">'Revenue Streams'!Q$45</f>
        <v>286.00178277375</v>
      </c>
      <c r="R22" s="77" t="n">
        <f aca="false">'Revenue Streams'!R$45</f>
        <v>362.72164874623</v>
      </c>
      <c r="S22" s="77" t="n">
        <f aca="false">'Revenue Streams'!S$45</f>
        <v>444.964877942328</v>
      </c>
      <c r="T22" s="77" t="n">
        <f aca="false">'Revenue Streams'!T$45</f>
        <v>529.549705293412</v>
      </c>
      <c r="U22" s="77" t="n">
        <f aca="false">'Revenue Streams'!U$45</f>
        <v>616.476130799484</v>
      </c>
      <c r="V22" s="77" t="n">
        <f aca="false">'Revenue Streams'!V$45</f>
        <v>705.744154460545</v>
      </c>
      <c r="W22" s="77" t="n">
        <f aca="false">'Revenue Streams'!W$45</f>
        <v>797.353776276592</v>
      </c>
      <c r="X22" s="77" t="n">
        <f aca="false">'Revenue Streams'!X$45</f>
        <v>891.304996247627</v>
      </c>
      <c r="Y22" s="77" t="n">
        <f aca="false">'Revenue Streams'!Y$45</f>
        <v>987.59781437365</v>
      </c>
      <c r="Z22" s="77" t="n">
        <f aca="false">'Revenue Streams'!Z$45</f>
        <v>1086.23223065466</v>
      </c>
      <c r="AA22" s="77" t="n">
        <f aca="false">'Revenue Streams'!AA$45</f>
        <v>1187.20824509066</v>
      </c>
      <c r="AB22" s="64" t="n">
        <f aca="false">SUM(AC22:AN22)</f>
        <v>21034.1779396401</v>
      </c>
      <c r="AC22" s="77" t="n">
        <f aca="false">'Revenue Streams'!AC$45</f>
        <v>1266.70166574516</v>
      </c>
      <c r="AD22" s="77" t="n">
        <f aca="false">'Revenue Streams'!AD$45</f>
        <v>1347.50962353432</v>
      </c>
      <c r="AE22" s="77" t="n">
        <f aca="false">'Revenue Streams'!AE$45</f>
        <v>1429.93959698137</v>
      </c>
      <c r="AF22" s="77" t="n">
        <f aca="false">'Revenue Streams'!AF$45</f>
        <v>1512.42132701783</v>
      </c>
      <c r="AG22" s="77" t="n">
        <f aca="false">'Revenue Streams'!AG$45</f>
        <v>1598.31049729517</v>
      </c>
      <c r="AH22" s="77" t="n">
        <f aca="false">'Revenue Streams'!AH$45</f>
        <v>1687.60710781341</v>
      </c>
      <c r="AI22" s="77" t="n">
        <f aca="false">'Revenue Streams'!AI$45</f>
        <v>1780.31115857252</v>
      </c>
      <c r="AJ22" s="77" t="n">
        <f aca="false">'Revenue Streams'!AJ$45</f>
        <v>1876.42264957252</v>
      </c>
      <c r="AK22" s="77" t="n">
        <f aca="false">'Revenue Streams'!AK$45</f>
        <v>1975.94158081341</v>
      </c>
      <c r="AL22" s="77" t="n">
        <f aca="false">'Revenue Streams'!AL$45</f>
        <v>2078.86795229518</v>
      </c>
      <c r="AM22" s="77" t="n">
        <f aca="false">'Revenue Streams'!AM$45</f>
        <v>2185.20176401783</v>
      </c>
      <c r="AN22" s="77" t="n">
        <f aca="false">'Revenue Streams'!AN$45</f>
        <v>2294.94301598137</v>
      </c>
      <c r="AO22" s="64" t="n">
        <f aca="false">SUM(AP22:BA22)</f>
        <v>37743.7545338635</v>
      </c>
      <c r="AP22" s="77" t="n">
        <f aca="false">'Revenue Streams'!AP$45</f>
        <v>2419.6692105731</v>
      </c>
      <c r="AQ22" s="77" t="n">
        <f aca="false">'Revenue Streams'!AQ$45</f>
        <v>2547.9413106595</v>
      </c>
      <c r="AR22" s="77" t="n">
        <f aca="false">'Revenue Streams'!AR$45</f>
        <v>2678.94365539753</v>
      </c>
      <c r="AS22" s="77" t="n">
        <f aca="false">'Revenue Streams'!AS$45</f>
        <v>2811.92149659118</v>
      </c>
      <c r="AT22" s="77" t="n">
        <f aca="false">'Revenue Streams'!AT$45</f>
        <v>2944.92187615934</v>
      </c>
      <c r="AU22" s="77" t="n">
        <f aca="false">'Revenue Streams'!AU$45</f>
        <v>3077.94479410202</v>
      </c>
      <c r="AV22" s="77" t="n">
        <f aca="false">'Revenue Streams'!AV$45</f>
        <v>3210.9902504192</v>
      </c>
      <c r="AW22" s="77" t="n">
        <f aca="false">'Revenue Streams'!AW$45</f>
        <v>3344.05824511089</v>
      </c>
      <c r="AX22" s="77" t="n">
        <f aca="false">'Revenue Streams'!AX$45</f>
        <v>3477.1487781771</v>
      </c>
      <c r="AY22" s="77" t="n">
        <f aca="false">'Revenue Streams'!AY$45</f>
        <v>3610.26184961782</v>
      </c>
      <c r="AZ22" s="77" t="n">
        <f aca="false">'Revenue Streams'!AZ$45</f>
        <v>3743.39745943304</v>
      </c>
      <c r="BA22" s="77" t="n">
        <f aca="false">'Revenue Streams'!BA$45</f>
        <v>3876.55560762278</v>
      </c>
      <c r="BB22" s="64" t="n">
        <f aca="false">SUM(BC22:BN22)</f>
        <v>58067.316723677</v>
      </c>
      <c r="BC22" s="77" t="n">
        <f aca="false">'Revenue Streams'!BC$45</f>
        <v>4021.64191423929</v>
      </c>
      <c r="BD22" s="77" t="n">
        <f aca="false">'Revenue Streams'!BD$45</f>
        <v>4166.82050286038</v>
      </c>
      <c r="BE22" s="77" t="n">
        <f aca="false">'Revenue Streams'!BE$45</f>
        <v>4312.36100633734</v>
      </c>
      <c r="BF22" s="77" t="n">
        <f aca="false">'Revenue Streams'!BF$45</f>
        <v>4458.75187764809</v>
      </c>
      <c r="BG22" s="77" t="n">
        <f aca="false">'Revenue Streams'!BG$45</f>
        <v>4606.53987424401</v>
      </c>
      <c r="BH22" s="77" t="n">
        <f aca="false">'Revenue Streams'!BH$45</f>
        <v>4755.72499612509</v>
      </c>
      <c r="BI22" s="77" t="n">
        <f aca="false">'Revenue Streams'!BI$45</f>
        <v>4906.30724329135</v>
      </c>
      <c r="BJ22" s="77" t="n">
        <f aca="false">'Revenue Streams'!BJ$45</f>
        <v>5058.28661574277</v>
      </c>
      <c r="BK22" s="77" t="n">
        <f aca="false">'Revenue Streams'!BK$45</f>
        <v>5211.66311347937</v>
      </c>
      <c r="BL22" s="77" t="n">
        <f aca="false">'Revenue Streams'!BL$45</f>
        <v>5366.43673650113</v>
      </c>
      <c r="BM22" s="77" t="n">
        <f aca="false">'Revenue Streams'!BM$45</f>
        <v>5522.60748480806</v>
      </c>
      <c r="BN22" s="77" t="n">
        <f aca="false">'Revenue Streams'!BN$45</f>
        <v>5680.17535840016</v>
      </c>
    </row>
    <row r="23" customFormat="false" ht="15" hidden="false" customHeight="false" outlineLevel="0" collapsed="false">
      <c r="A23" s="12" t="s">
        <v>750</v>
      </c>
      <c r="B23" s="64" t="n">
        <f aca="false">SUM(C23:N23)</f>
        <v>896.384500341538</v>
      </c>
      <c r="C23" s="76" t="n">
        <f aca="false">'Revenue Streams'!C$45</f>
        <v>23.8392195442557</v>
      </c>
      <c r="D23" s="76" t="n">
        <f aca="false">'Revenue Streams'!D$45</f>
        <v>27.6260640885115</v>
      </c>
      <c r="E23" s="76" t="n">
        <f aca="false">'Revenue Streams'!E$45</f>
        <v>32.5890257482572</v>
      </c>
      <c r="F23" s="76" t="n">
        <f aca="false">'Revenue Streams'!F$45</f>
        <v>38.308439040613</v>
      </c>
      <c r="G23" s="76" t="n">
        <f aca="false">'Revenue Streams'!G$45</f>
        <v>46.2083136752203</v>
      </c>
      <c r="H23" s="76" t="n">
        <f aca="false">'Revenue Streams'!H$45</f>
        <v>56.2886496520793</v>
      </c>
      <c r="I23" s="76" t="n">
        <f aca="false">'Revenue Streams'!I$45</f>
        <v>68.5494469711898</v>
      </c>
      <c r="J23" s="76" t="n">
        <f aca="false">'Revenue Streams'!J$45</f>
        <v>82.9907056325518</v>
      </c>
      <c r="K23" s="76" t="n">
        <f aca="false">'Revenue Streams'!K$45</f>
        <v>99.6124256361654</v>
      </c>
      <c r="L23" s="76" t="n">
        <f aca="false">'Revenue Streams'!L$45</f>
        <v>118.414606982031</v>
      </c>
      <c r="M23" s="76" t="n">
        <f aca="false">'Revenue Streams'!M$45</f>
        <v>139.397249670147</v>
      </c>
      <c r="N23" s="76" t="n">
        <f aca="false">'Revenue Streams'!N$45</f>
        <v>162.560353700516</v>
      </c>
      <c r="O23" s="64" t="n">
        <f aca="false">SUM(P23:AA23)</f>
        <v>8107.47449444299</v>
      </c>
      <c r="P23" s="76" t="n">
        <f aca="false">'Revenue Streams'!P$45</f>
        <v>212.319131784049</v>
      </c>
      <c r="Q23" s="76" t="n">
        <f aca="false">'Revenue Streams'!Q$45</f>
        <v>286.00178277375</v>
      </c>
      <c r="R23" s="76" t="n">
        <f aca="false">'Revenue Streams'!R$45</f>
        <v>362.72164874623</v>
      </c>
      <c r="S23" s="76" t="n">
        <f aca="false">'Revenue Streams'!S$45</f>
        <v>444.964877942328</v>
      </c>
      <c r="T23" s="76" t="n">
        <f aca="false">'Revenue Streams'!T$45</f>
        <v>529.549705293412</v>
      </c>
      <c r="U23" s="76" t="n">
        <f aca="false">'Revenue Streams'!U$45</f>
        <v>616.476130799484</v>
      </c>
      <c r="V23" s="76" t="n">
        <f aca="false">'Revenue Streams'!V$45</f>
        <v>705.744154460545</v>
      </c>
      <c r="W23" s="76" t="n">
        <f aca="false">'Revenue Streams'!W$45</f>
        <v>797.353776276592</v>
      </c>
      <c r="X23" s="76" t="n">
        <f aca="false">'Revenue Streams'!X$45</f>
        <v>891.304996247627</v>
      </c>
      <c r="Y23" s="76" t="n">
        <f aca="false">'Revenue Streams'!Y$45</f>
        <v>987.59781437365</v>
      </c>
      <c r="Z23" s="76" t="n">
        <f aca="false">'Revenue Streams'!Z$45</f>
        <v>1086.23223065466</v>
      </c>
      <c r="AA23" s="76" t="n">
        <f aca="false">'Revenue Streams'!AA$45</f>
        <v>1187.20824509066</v>
      </c>
      <c r="AB23" s="64" t="n">
        <f aca="false">SUM(AC23:AN23)</f>
        <v>21034.1779396401</v>
      </c>
      <c r="AC23" s="76" t="n">
        <f aca="false">'Revenue Streams'!AC$45</f>
        <v>1266.70166574516</v>
      </c>
      <c r="AD23" s="76" t="n">
        <f aca="false">'Revenue Streams'!AD$45</f>
        <v>1347.50962353432</v>
      </c>
      <c r="AE23" s="76" t="n">
        <f aca="false">'Revenue Streams'!AE$45</f>
        <v>1429.93959698137</v>
      </c>
      <c r="AF23" s="76" t="n">
        <f aca="false">'Revenue Streams'!AF$45</f>
        <v>1512.42132701783</v>
      </c>
      <c r="AG23" s="76" t="n">
        <f aca="false">'Revenue Streams'!AG$45</f>
        <v>1598.31049729517</v>
      </c>
      <c r="AH23" s="76" t="n">
        <f aca="false">'Revenue Streams'!AH$45</f>
        <v>1687.60710781341</v>
      </c>
      <c r="AI23" s="76" t="n">
        <f aca="false">'Revenue Streams'!AI$45</f>
        <v>1780.31115857252</v>
      </c>
      <c r="AJ23" s="76" t="n">
        <f aca="false">'Revenue Streams'!AJ$45</f>
        <v>1876.42264957252</v>
      </c>
      <c r="AK23" s="76" t="n">
        <f aca="false">'Revenue Streams'!AK$45</f>
        <v>1975.94158081341</v>
      </c>
      <c r="AL23" s="76" t="n">
        <f aca="false">'Revenue Streams'!AL$45</f>
        <v>2078.86795229518</v>
      </c>
      <c r="AM23" s="76" t="n">
        <f aca="false">'Revenue Streams'!AM$45</f>
        <v>2185.20176401783</v>
      </c>
      <c r="AN23" s="76" t="n">
        <f aca="false">'Revenue Streams'!AN$45</f>
        <v>2294.94301598137</v>
      </c>
      <c r="AO23" s="64" t="n">
        <f aca="false">SUM(AP23:BA23)</f>
        <v>37743.7545338635</v>
      </c>
      <c r="AP23" s="76" t="n">
        <f aca="false">'Revenue Streams'!AP$45</f>
        <v>2419.6692105731</v>
      </c>
      <c r="AQ23" s="76" t="n">
        <f aca="false">'Revenue Streams'!AQ$45</f>
        <v>2547.9413106595</v>
      </c>
      <c r="AR23" s="76" t="n">
        <f aca="false">'Revenue Streams'!AR$45</f>
        <v>2678.94365539753</v>
      </c>
      <c r="AS23" s="76" t="n">
        <f aca="false">'Revenue Streams'!AS$45</f>
        <v>2811.92149659118</v>
      </c>
      <c r="AT23" s="76" t="n">
        <f aca="false">'Revenue Streams'!AT$45</f>
        <v>2944.92187615934</v>
      </c>
      <c r="AU23" s="76" t="n">
        <f aca="false">'Revenue Streams'!AU$45</f>
        <v>3077.94479410202</v>
      </c>
      <c r="AV23" s="76" t="n">
        <f aca="false">'Revenue Streams'!AV$45</f>
        <v>3210.9902504192</v>
      </c>
      <c r="AW23" s="76" t="n">
        <f aca="false">'Revenue Streams'!AW$45</f>
        <v>3344.05824511089</v>
      </c>
      <c r="AX23" s="76" t="n">
        <f aca="false">'Revenue Streams'!AX$45</f>
        <v>3477.1487781771</v>
      </c>
      <c r="AY23" s="76" t="n">
        <f aca="false">'Revenue Streams'!AY$45</f>
        <v>3610.26184961782</v>
      </c>
      <c r="AZ23" s="76" t="n">
        <f aca="false">'Revenue Streams'!AZ$45</f>
        <v>3743.39745943304</v>
      </c>
      <c r="BA23" s="76" t="n">
        <f aca="false">'Revenue Streams'!BA$45</f>
        <v>3876.55560762278</v>
      </c>
      <c r="BB23" s="64" t="n">
        <f aca="false">SUM(BC23:BN23)</f>
        <v>58067.316723677</v>
      </c>
      <c r="BC23" s="76" t="n">
        <f aca="false">'Revenue Streams'!BC$45</f>
        <v>4021.64191423929</v>
      </c>
      <c r="BD23" s="76" t="n">
        <f aca="false">'Revenue Streams'!BD$45</f>
        <v>4166.82050286038</v>
      </c>
      <c r="BE23" s="76" t="n">
        <f aca="false">'Revenue Streams'!BE$45</f>
        <v>4312.36100633734</v>
      </c>
      <c r="BF23" s="76" t="n">
        <f aca="false">'Revenue Streams'!BF$45</f>
        <v>4458.75187764809</v>
      </c>
      <c r="BG23" s="76" t="n">
        <f aca="false">'Revenue Streams'!BG$45</f>
        <v>4606.53987424401</v>
      </c>
      <c r="BH23" s="76" t="n">
        <f aca="false">'Revenue Streams'!BH$45</f>
        <v>4755.72499612509</v>
      </c>
      <c r="BI23" s="76" t="n">
        <f aca="false">'Revenue Streams'!BI$45</f>
        <v>4906.30724329135</v>
      </c>
      <c r="BJ23" s="76" t="n">
        <f aca="false">'Revenue Streams'!BJ$45</f>
        <v>5058.28661574277</v>
      </c>
      <c r="BK23" s="76" t="n">
        <f aca="false">'Revenue Streams'!BK$45</f>
        <v>5211.66311347937</v>
      </c>
      <c r="BL23" s="76" t="n">
        <f aca="false">'Revenue Streams'!BL$45</f>
        <v>5366.43673650113</v>
      </c>
      <c r="BM23" s="76" t="n">
        <f aca="false">'Revenue Streams'!BM$45</f>
        <v>5522.60748480806</v>
      </c>
      <c r="BN23" s="76" t="n">
        <f aca="false">'Revenue Streams'!BN$45</f>
        <v>5680.17535840016</v>
      </c>
    </row>
    <row r="25" customFormat="false" ht="15" hidden="false" customHeight="false" outlineLevel="0" collapsed="false">
      <c r="A25" s="66" t="s">
        <v>86</v>
      </c>
      <c r="B25" s="67" t="n">
        <f aca="false">SUM(C25:N25)</f>
        <v>103587.386308824</v>
      </c>
      <c r="C25" s="68" t="n">
        <f aca="false">C7+C14+C18+C22</f>
        <v>2497.00588621092</v>
      </c>
      <c r="D25" s="68" t="n">
        <f aca="false">D7+D14+D18+D22</f>
        <v>3984.69273075518</v>
      </c>
      <c r="E25" s="68" t="n">
        <f aca="false">E7+E14+E18+E22</f>
        <v>5217.39253865067</v>
      </c>
      <c r="F25" s="68" t="n">
        <f aca="false">F7+F14+F18+F22</f>
        <v>6013.12070619234</v>
      </c>
      <c r="G25" s="68" t="n">
        <f aca="false">G7+G14+G18+G22</f>
        <v>7057.20542965697</v>
      </c>
      <c r="H25" s="68" t="n">
        <f aca="false">H7+H14+H18+H22</f>
        <v>8103.47061446385</v>
      </c>
      <c r="I25" s="68" t="n">
        <f aca="false">I7+I14+I18+I22</f>
        <v>9151.91626061299</v>
      </c>
      <c r="J25" s="68" t="n">
        <f aca="false">J7+J14+J18+J22</f>
        <v>10202.5423681044</v>
      </c>
      <c r="K25" s="68" t="n">
        <f aca="false">K7+K14+K18+K22</f>
        <v>11255.348936938</v>
      </c>
      <c r="L25" s="68" t="n">
        <f aca="false">L7+L14+L18+L22</f>
        <v>12310.3359671139</v>
      </c>
      <c r="M25" s="68" t="n">
        <f aca="false">M7+M14+M18+M22</f>
        <v>13367.503458632</v>
      </c>
      <c r="N25" s="68" t="n">
        <f aca="false">N7+N14+N18+N22</f>
        <v>14426.8514114924</v>
      </c>
      <c r="O25" s="67" t="n">
        <f aca="false">SUM(P25:AA25)</f>
        <v>598105.707372232</v>
      </c>
      <c r="P25" s="68" t="n">
        <f aca="false">P7+P14+P18+P22</f>
        <v>40775.0576625783</v>
      </c>
      <c r="Q25" s="68" t="n">
        <f aca="false">Q7+Q14+Q18+Q22</f>
        <v>40042.4855703926</v>
      </c>
      <c r="R25" s="68" t="n">
        <f aca="false">R7+R14+R18+R22</f>
        <v>40593.5600989099</v>
      </c>
      <c r="S25" s="68" t="n">
        <f aca="false">S7+S14+S18+S22</f>
        <v>43392.7593278563</v>
      </c>
      <c r="T25" s="68" t="n">
        <f aca="false">T7+T14+T18+T22</f>
        <v>45801.0905542701</v>
      </c>
      <c r="U25" s="68" t="n">
        <f aca="false">U7+U14+U18+U22</f>
        <v>48211.7633788388</v>
      </c>
      <c r="V25" s="68" t="n">
        <f aca="false">V7+V14+V18+V22</f>
        <v>50624.7778015626</v>
      </c>
      <c r="W25" s="68" t="n">
        <f aca="false">W7+W14+W18+W22</f>
        <v>52995.6357444177</v>
      </c>
      <c r="X25" s="68" t="n">
        <f aca="false">X7+X14+X18+X22</f>
        <v>55361.8975718362</v>
      </c>
      <c r="Y25" s="68" t="n">
        <f aca="false">Y7+Y14+Y18+Y22</f>
        <v>57730.5009974096</v>
      </c>
      <c r="Z25" s="68" t="n">
        <f aca="false">Z7+Z14+Z18+Z22</f>
        <v>60101.446021138</v>
      </c>
      <c r="AA25" s="68" t="n">
        <f aca="false">AA7+AA14+AA18+AA22</f>
        <v>62474.7326430215</v>
      </c>
      <c r="AB25" s="67" t="n">
        <f aca="false">SUM(AC25:AN25)</f>
        <v>1085654.37612042</v>
      </c>
      <c r="AC25" s="68" t="n">
        <f aca="false">AC7+AC14+AC18+AC22</f>
        <v>70866.5873240472</v>
      </c>
      <c r="AD25" s="68" t="n">
        <f aca="false">AD7+AD14+AD18+AD22</f>
        <v>73521.8234686828</v>
      </c>
      <c r="AE25" s="68" t="n">
        <f aca="false">AE7+AE14+AE18+AE22</f>
        <v>76561.3051316873</v>
      </c>
      <c r="AF25" s="68" t="n">
        <f aca="false">AF7+AF14+AF18+AF22</f>
        <v>80273.3479355842</v>
      </c>
      <c r="AG25" s="68" t="n">
        <f aca="false">AG7+AG14+AG18+AG22</f>
        <v>84282.5128848039</v>
      </c>
      <c r="AH25" s="68" t="n">
        <f aca="false">AH7+AH14+AH18+AH22</f>
        <v>88210.384046536</v>
      </c>
      <c r="AI25" s="68" t="n">
        <f aca="false">AI7+AI14+AI18+AI22</f>
        <v>92141.6626485089</v>
      </c>
      <c r="AJ25" s="68" t="n">
        <f aca="false">AJ7+AJ14+AJ18+AJ22</f>
        <v>96076.3486907228</v>
      </c>
      <c r="AK25" s="68" t="n">
        <f aca="false">AK7+AK14+AK18+AK22</f>
        <v>100014.442173178</v>
      </c>
      <c r="AL25" s="68" t="n">
        <f aca="false">AL7+AL14+AL18+AL22</f>
        <v>103955.943095873</v>
      </c>
      <c r="AM25" s="68" t="n">
        <f aca="false">AM7+AM14+AM18+AM22</f>
        <v>107900.85145881</v>
      </c>
      <c r="AN25" s="68" t="n">
        <f aca="false">AN7+AN14+AN18+AN22</f>
        <v>111849.167261987</v>
      </c>
      <c r="AO25" s="67" t="n">
        <f aca="false">SUM(AP25:BA25)</f>
        <v>1759671.91303074</v>
      </c>
      <c r="AP25" s="68" t="n">
        <f aca="false">AP7+AP14+AP18+AP22</f>
        <v>124831.599532122</v>
      </c>
      <c r="AQ25" s="68" t="n">
        <f aca="false">AQ7+AQ14+AQ18+AQ22</f>
        <v>129056.921065818</v>
      </c>
      <c r="AR25" s="68" t="n">
        <f aca="false">AR7+AR14+AR18+AR22</f>
        <v>133150.551296306</v>
      </c>
      <c r="AS25" s="68" t="n">
        <f aca="false">AS7+AS14+AS18+AS22</f>
        <v>137074.078758765</v>
      </c>
      <c r="AT25" s="68" t="n">
        <f aca="false">AT7+AT14+AT18+AT22</f>
        <v>140934.196511102</v>
      </c>
      <c r="AU25" s="68" t="n">
        <f aca="false">AU7+AU14+AU18+AU22</f>
        <v>144794.336801814</v>
      </c>
      <c r="AV25" s="68" t="n">
        <f aca="false">AV7+AV14+AV18+AV22</f>
        <v>148654.499630901</v>
      </c>
      <c r="AW25" s="68" t="n">
        <f aca="false">AW7+AW14+AW18+AW22</f>
        <v>152514.684998362</v>
      </c>
      <c r="AX25" s="68" t="n">
        <f aca="false">AX7+AX14+AX18+AX22</f>
        <v>156374.892904197</v>
      </c>
      <c r="AY25" s="68" t="n">
        <f aca="false">AY7+AY14+AY18+AY22</f>
        <v>160235.123348408</v>
      </c>
      <c r="AZ25" s="68" t="n">
        <f aca="false">AZ7+AZ14+AZ18+AZ22</f>
        <v>164095.376330992</v>
      </c>
      <c r="BA25" s="68" t="n">
        <f aca="false">BA7+BA14+BA18+BA22</f>
        <v>167955.651851951</v>
      </c>
      <c r="BB25" s="67" t="n">
        <f aca="false">SUM(BC25:BN25)</f>
        <v>2483099.09071608</v>
      </c>
      <c r="BC25" s="68" t="n">
        <f aca="false">BC7+BC14+BC18+BC22</f>
        <v>183132.371567129</v>
      </c>
      <c r="BD25" s="68" t="n">
        <f aca="false">BD7+BD14+BD18+BD22</f>
        <v>187278.822474672</v>
      </c>
      <c r="BE25" s="68" t="n">
        <f aca="false">BE7+BE14+BE18+BE22</f>
        <v>191530.787030595</v>
      </c>
      <c r="BF25" s="68" t="n">
        <f aca="false">BF7+BF14+BF18+BF22</f>
        <v>195887.968364799</v>
      </c>
      <c r="BG25" s="68" t="n">
        <f aca="false">BG7+BG14+BG18+BG22</f>
        <v>200278.191582481</v>
      </c>
      <c r="BH25" s="68" t="n">
        <f aca="false">BH7+BH14+BH18+BH22</f>
        <v>204669.811925448</v>
      </c>
      <c r="BI25" s="68" t="n">
        <f aca="false">BI7+BI14+BI18+BI22</f>
        <v>209062.8293937</v>
      </c>
      <c r="BJ25" s="68" t="n">
        <f aca="false">BJ7+BJ14+BJ18+BJ22</f>
        <v>213457.243987237</v>
      </c>
      <c r="BK25" s="68" t="n">
        <f aca="false">BK7+BK14+BK18+BK22</f>
        <v>217853.055706059</v>
      </c>
      <c r="BL25" s="68" t="n">
        <f aca="false">BL7+BL14+BL18+BL22</f>
        <v>222250.264550166</v>
      </c>
      <c r="BM25" s="68" t="n">
        <f aca="false">BM7+BM14+BM18+BM22</f>
        <v>226648.870519559</v>
      </c>
      <c r="BN25" s="68" t="n">
        <f aca="false">BN7+BN14+BN18+BN22</f>
        <v>231048.873614236</v>
      </c>
    </row>
    <row r="26" customFormat="false" ht="15" hidden="false" customHeight="false" outlineLevel="0" collapsed="false">
      <c r="A26" s="12" t="s">
        <v>751</v>
      </c>
      <c r="B26" s="89" t="n">
        <f aca="false">IFERROR(AVERAGE(C26:N26),0)</f>
        <v>0.991801588582709</v>
      </c>
      <c r="C26" s="90" t="n">
        <f aca="false">IFERROR('Revenue Streams'!C$37/C25,0)</f>
        <v>0.990452878114585</v>
      </c>
      <c r="D26" s="90" t="n">
        <f aca="false">IFERROR('Revenue Streams'!D$37/D25,0)</f>
        <v>0.993066952471571</v>
      </c>
      <c r="E26" s="90" t="n">
        <f aca="false">IFERROR('Revenue Streams'!E$37/E25,0)</f>
        <v>0.993753771542617</v>
      </c>
      <c r="F26" s="90" t="n">
        <f aca="false">IFERROR('Revenue Streams'!F$37/F25,0)</f>
        <v>0.993629191743788</v>
      </c>
      <c r="G26" s="90" t="n">
        <f aca="false">IFERROR('Revenue Streams'!G$37/G25,0)</f>
        <v>0.993452321299726</v>
      </c>
      <c r="H26" s="90" t="n">
        <f aca="false">IFERROR('Revenue Streams'!H$37/H25,0)</f>
        <v>0.993053760255314</v>
      </c>
      <c r="I26" s="90" t="n">
        <f aca="false">IFERROR('Revenue Streams'!I$37/I25,0)</f>
        <v>0.992509825809245</v>
      </c>
      <c r="J26" s="90" t="n">
        <f aca="false">IFERROR('Revenue Streams'!J$37/J25,0)</f>
        <v>0.991865683803284</v>
      </c>
      <c r="K26" s="90" t="n">
        <f aca="false">IFERROR('Revenue Streams'!K$37/K25,0)</f>
        <v>0.991149770105371</v>
      </c>
      <c r="L26" s="90" t="n">
        <f aca="false">IFERROR('Revenue Streams'!L$37/L25,0)</f>
        <v>0.990380879344125</v>
      </c>
      <c r="M26" s="90" t="n">
        <f aca="false">IFERROR('Revenue Streams'!M$37/M25,0)</f>
        <v>0.989571930906804</v>
      </c>
      <c r="N26" s="90" t="n">
        <f aca="false">IFERROR('Revenue Streams'!N$37/N25,0)</f>
        <v>0.988732097596082</v>
      </c>
      <c r="O26" s="89" t="n">
        <f aca="false">IFERROR(AVERAGE(P26:AA26),0)</f>
        <v>0.987070212950816</v>
      </c>
      <c r="P26" s="90" t="n">
        <f aca="false">IFERROR('Revenue Streams'!P$37/P25,0)</f>
        <v>0.994792916455422</v>
      </c>
      <c r="Q26" s="90" t="n">
        <f aca="false">IFERROR('Revenue Streams'!Q$37/Q25,0)</f>
        <v>0.992857541716011</v>
      </c>
      <c r="R26" s="90" t="n">
        <f aca="false">IFERROR('Revenue Streams'!R$37/R25,0)</f>
        <v>0.991064551917535</v>
      </c>
      <c r="S26" s="90" t="n">
        <f aca="false">IFERROR('Revenue Streams'!S$37/S25,0)</f>
        <v>0.989745642249197</v>
      </c>
      <c r="T26" s="90" t="n">
        <f aca="false">IFERROR('Revenue Streams'!T$37/T25,0)</f>
        <v>0.98843805466453</v>
      </c>
      <c r="U26" s="90" t="n">
        <f aca="false">IFERROR('Revenue Streams'!U$37/U25,0)</f>
        <v>0.98721315945332</v>
      </c>
      <c r="V26" s="90" t="n">
        <f aca="false">IFERROR('Revenue Streams'!V$37/V25,0)</f>
        <v>0.986059313539569</v>
      </c>
      <c r="W26" s="90" t="n">
        <f aca="false">IFERROR('Revenue Streams'!W$37/W25,0)</f>
        <v>0.984954350201175</v>
      </c>
      <c r="X26" s="90" t="n">
        <f aca="false">IFERROR('Revenue Streams'!X$37/X25,0)</f>
        <v>0.983900389341043</v>
      </c>
      <c r="Y26" s="90" t="n">
        <f aca="false">IFERROR('Revenue Streams'!Y$37/Y25,0)</f>
        <v>0.982892963038412</v>
      </c>
      <c r="Z26" s="90" t="n">
        <f aca="false">IFERROR('Revenue Streams'!Z$37/Z25,0)</f>
        <v>0.98192668725021</v>
      </c>
      <c r="AA26" s="90" t="n">
        <f aca="false">IFERROR('Revenue Streams'!AA$37/AA25,0)</f>
        <v>0.980996985583366</v>
      </c>
      <c r="AB26" s="89" t="n">
        <f aca="false">IFERROR(AVERAGE(AC26:AN26),0)</f>
        <v>0.980733996506076</v>
      </c>
      <c r="AC26" s="90" t="n">
        <f aca="false">IFERROR('Revenue Streams'!AC$37/AC25,0)</f>
        <v>0.982125544440951</v>
      </c>
      <c r="AD26" s="90" t="n">
        <f aca="false">IFERROR('Revenue Streams'!AD$37/AD25,0)</f>
        <v>0.981671977652889</v>
      </c>
      <c r="AE26" s="90" t="n">
        <f aca="false">IFERROR('Revenue Streams'!AE$37/AE25,0)</f>
        <v>0.981322946434601</v>
      </c>
      <c r="AF26" s="90" t="n">
        <f aca="false">IFERROR('Revenue Streams'!AF$37/AF25,0)</f>
        <v>0.98115910989247</v>
      </c>
      <c r="AG26" s="90" t="n">
        <f aca="false">IFERROR('Revenue Streams'!AG$37/AG25,0)</f>
        <v>0.981036273805935</v>
      </c>
      <c r="AH26" s="90" t="n">
        <f aca="false">IFERROR('Revenue Streams'!AH$37/AH25,0)</f>
        <v>0.980868384986023</v>
      </c>
      <c r="AI26" s="90" t="n">
        <f aca="false">IFERROR('Revenue Streams'!AI$37/AI25,0)</f>
        <v>0.980678543154101</v>
      </c>
      <c r="AJ26" s="90" t="n">
        <f aca="false">IFERROR('Revenue Streams'!AJ$37/AJ25,0)</f>
        <v>0.980469463347188</v>
      </c>
      <c r="AK26" s="90" t="n">
        <f aca="false">IFERROR('Revenue Streams'!AK$37/AK25,0)</f>
        <v>0.980243437468841</v>
      </c>
      <c r="AL26" s="90" t="n">
        <f aca="false">IFERROR('Revenue Streams'!AL$37/AL25,0)</f>
        <v>0.980002413614987</v>
      </c>
      <c r="AM26" s="90" t="n">
        <f aca="false">IFERROR('Revenue Streams'!AM$37/AM25,0)</f>
        <v>0.97974805819904</v>
      </c>
      <c r="AN26" s="90" t="n">
        <f aca="false">IFERROR('Revenue Streams'!AN$37/AN25,0)</f>
        <v>0.979481805075885</v>
      </c>
      <c r="AO26" s="89" t="n">
        <f aca="false">IFERROR(AVERAGE(AP26:BA26),0)</f>
        <v>0.978658373651547</v>
      </c>
      <c r="AP26" s="90" t="n">
        <f aca="false">IFERROR('Revenue Streams'!AP$37/AP25,0)</f>
        <v>0.980616532835899</v>
      </c>
      <c r="AQ26" s="90" t="n">
        <f aca="false">IFERROR('Revenue Streams'!AQ$37/AQ25,0)</f>
        <v>0.980257228441394</v>
      </c>
      <c r="AR26" s="90" t="n">
        <f aca="false">IFERROR('Revenue Streams'!AR$37/AR25,0)</f>
        <v>0.979880341242929</v>
      </c>
      <c r="AS26" s="90" t="n">
        <f aca="false">IFERROR('Revenue Streams'!AS$37/AS25,0)</f>
        <v>0.979486117856463</v>
      </c>
      <c r="AT26" s="90" t="n">
        <f aca="false">IFERROR('Revenue Streams'!AT$37/AT25,0)</f>
        <v>0.979104277392837</v>
      </c>
      <c r="AU26" s="90" t="n">
        <f aca="false">IFERROR('Revenue Streams'!AU$37/AU25,0)</f>
        <v>0.978742643793349</v>
      </c>
      <c r="AV26" s="90" t="n">
        <f aca="false">IFERROR('Revenue Streams'!AV$37/AV25,0)</f>
        <v>0.978399643075777</v>
      </c>
      <c r="AW26" s="90" t="n">
        <f aca="false">IFERROR('Revenue Streams'!AW$37/AW25,0)</f>
        <v>0.978073860591544</v>
      </c>
      <c r="AX26" s="90" t="n">
        <f aca="false">IFERROR('Revenue Streams'!AX$37/AX25,0)</f>
        <v>0.977764021361745</v>
      </c>
      <c r="AY26" s="90" t="n">
        <f aca="false">IFERROR('Revenue Streams'!AY$37/AY25,0)</f>
        <v>0.977468973255209</v>
      </c>
      <c r="AZ26" s="90" t="n">
        <f aca="false">IFERROR('Revenue Streams'!AZ$37/AZ25,0)</f>
        <v>0.977187672540618</v>
      </c>
      <c r="BA26" s="90" t="n">
        <f aca="false">IFERROR('Revenue Streams'!BA$37/BA25,0)</f>
        <v>0.976919171430802</v>
      </c>
      <c r="BB26" s="89" t="n">
        <f aca="false">IFERROR(AVERAGE(BC26:BN26),0)</f>
        <v>0.976674347516761</v>
      </c>
      <c r="BC26" s="90" t="n">
        <f aca="false">IFERROR('Revenue Streams'!BC$37/BC25,0)</f>
        <v>0.978039699481721</v>
      </c>
      <c r="BD26" s="90" t="n">
        <f aca="false">IFERROR('Revenue Streams'!BD$37/BD25,0)</f>
        <v>0.977750711758005</v>
      </c>
      <c r="BE26" s="90" t="n">
        <f aca="false">IFERROR('Revenue Streams'!BE$37/BE25,0)</f>
        <v>0.977484763294746</v>
      </c>
      <c r="BF26" s="90" t="n">
        <f aca="false">IFERROR('Revenue Streams'!BF$37/BF25,0)</f>
        <v>0.977238255545411</v>
      </c>
      <c r="BG26" s="90" t="n">
        <f aca="false">IFERROR('Revenue Streams'!BG$37/BG25,0)</f>
        <v>0.976999293643278</v>
      </c>
      <c r="BH26" s="90" t="n">
        <f aca="false">IFERROR('Revenue Streams'!BH$37/BH25,0)</f>
        <v>0.97676391573635</v>
      </c>
      <c r="BI26" s="90" t="n">
        <f aca="false">IFERROR('Revenue Streams'!BI$37/BI25,0)</f>
        <v>0.976531900684976</v>
      </c>
      <c r="BJ26" s="90" t="n">
        <f aca="false">IFERROR('Revenue Streams'!BJ$37/BJ25,0)</f>
        <v>0.976303045419039</v>
      </c>
      <c r="BK26" s="90" t="n">
        <f aca="false">IFERROR('Revenue Streams'!BK$37/BK25,0)</f>
        <v>0.976077163129117</v>
      </c>
      <c r="BL26" s="90" t="n">
        <f aca="false">IFERROR('Revenue Streams'!BL$37/BL25,0)</f>
        <v>0.975854081670666</v>
      </c>
      <c r="BM26" s="90" t="n">
        <f aca="false">IFERROR('Revenue Streams'!BM$37/BM25,0)</f>
        <v>0.975633642152514</v>
      </c>
      <c r="BN26" s="90" t="n">
        <f aca="false">IFERROR('Revenue Streams'!BN$37/BN25,0)</f>
        <v>0.975415697685314</v>
      </c>
    </row>
    <row r="27" customFormat="false" ht="15" hidden="false" customHeight="false" outlineLevel="0" collapsed="false">
      <c r="A27" s="12" t="s">
        <v>752</v>
      </c>
      <c r="B27" s="89" t="n">
        <f aca="false">IFERROR(AVERAGE(C27:N27),0)</f>
        <v>0.165481566053761</v>
      </c>
      <c r="C27" s="90" t="n">
        <f aca="false">0</f>
        <v>0</v>
      </c>
      <c r="D27" s="90" t="n">
        <f aca="false">IFERROR(D25/C25-1,0)</f>
        <v>0.595788280980684</v>
      </c>
      <c r="E27" s="90" t="n">
        <f aca="false">IFERROR(E25/D25-1,0)</f>
        <v>0.30935881162959</v>
      </c>
      <c r="F27" s="90" t="n">
        <f aca="false">IFERROR(F25/E25-1,0)</f>
        <v>0.152514529364406</v>
      </c>
      <c r="G27" s="90" t="n">
        <f aca="false">IFERROR(G25/F25-1,0)</f>
        <v>0.173634419543488</v>
      </c>
      <c r="H27" s="90" t="n">
        <f aca="false">IFERROR(H25/G25-1,0)</f>
        <v>0.148254885766835</v>
      </c>
      <c r="I27" s="90" t="n">
        <f aca="false">IFERROR(I25/H25-1,0)</f>
        <v>0.129382297540237</v>
      </c>
      <c r="J27" s="90" t="n">
        <f aca="false">IFERROR(J25/I25-1,0)</f>
        <v>0.114798483462196</v>
      </c>
      <c r="K27" s="90" t="n">
        <f aca="false">IFERROR(K25/J25-1,0)</f>
        <v>0.103190609835149</v>
      </c>
      <c r="L27" s="90" t="n">
        <f aca="false">IFERROR(L25/K25-1,0)</f>
        <v>0.0937320589603057</v>
      </c>
      <c r="M27" s="90" t="n">
        <f aca="false">IFERROR(M25/L25-1,0)</f>
        <v>0.0858764126618705</v>
      </c>
      <c r="N27" s="90" t="n">
        <f aca="false">IFERROR(N25/M25-1,0)</f>
        <v>0.0792480029003713</v>
      </c>
      <c r="O27" s="89" t="n">
        <f aca="false">IFERROR(AVERAGE(P27:AA27),0)</f>
        <v>0.188674310420641</v>
      </c>
      <c r="P27" s="90" t="n">
        <f aca="false">IFERROR(P25/N25-1,0)</f>
        <v>1.82633101981607</v>
      </c>
      <c r="Q27" s="90" t="n">
        <f aca="false">IFERROR(Q25/P25-1,0)</f>
        <v>-0.0179661816360368</v>
      </c>
      <c r="R27" s="90" t="n">
        <f aca="false">IFERROR(R25/Q25-1,0)</f>
        <v>0.0137622457913751</v>
      </c>
      <c r="S27" s="90" t="n">
        <f aca="false">IFERROR(S25/R25-1,0)</f>
        <v>0.0689567316127464</v>
      </c>
      <c r="T27" s="90" t="n">
        <f aca="false">IFERROR(T25/S25-1,0)</f>
        <v>0.0555007624248434</v>
      </c>
      <c r="U27" s="90" t="n">
        <f aca="false">IFERROR(U25/T25-1,0)</f>
        <v>0.0526335245601268</v>
      </c>
      <c r="V27" s="90" t="n">
        <f aca="false">IFERROR(V25/U25-1,0)</f>
        <v>0.0500503249334141</v>
      </c>
      <c r="W27" s="90" t="n">
        <f aca="false">IFERROR(W25/V25-1,0)</f>
        <v>0.0468319673845952</v>
      </c>
      <c r="X27" s="90" t="n">
        <f aca="false">IFERROR(X25/W25-1,0)</f>
        <v>0.0446501262637973</v>
      </c>
      <c r="Y27" s="90" t="n">
        <f aca="false">IFERROR(Y25/X25-1,0)</f>
        <v>0.0427839999974711</v>
      </c>
      <c r="Z27" s="90" t="n">
        <f aca="false">IFERROR(Z25/Y25-1,0)</f>
        <v>0.0410691918962354</v>
      </c>
      <c r="AA27" s="90" t="n">
        <f aca="false">IFERROR(AA25/Z25-1,0)</f>
        <v>0.039488012003051</v>
      </c>
      <c r="AB27" s="89" t="n">
        <f aca="false">IFERROR(AVERAGE(AC27:AN27),0)</f>
        <v>0.0500311289432087</v>
      </c>
      <c r="AC27" s="90" t="n">
        <f aca="false">IFERROR(AC25/AA25-1,0)</f>
        <v>0.134323979087298</v>
      </c>
      <c r="AD27" s="90" t="n">
        <f aca="false">IFERROR(AD25/AC25-1,0)</f>
        <v>0.0374680966714844</v>
      </c>
      <c r="AE27" s="90" t="n">
        <f aca="false">IFERROR(AE25/AD25-1,0)</f>
        <v>0.0413412170646066</v>
      </c>
      <c r="AF27" s="90" t="n">
        <f aca="false">IFERROR(AF25/AE25-1,0)</f>
        <v>0.0484845810492922</v>
      </c>
      <c r="AG27" s="90" t="n">
        <f aca="false">IFERROR(AG25/AF25-1,0)</f>
        <v>0.0499439110529796</v>
      </c>
      <c r="AH27" s="90" t="n">
        <f aca="false">IFERROR(AH25/AG25-1,0)</f>
        <v>0.0466036313736951</v>
      </c>
      <c r="AI27" s="90" t="n">
        <f aca="false">IFERROR(AI25/AH25-1,0)</f>
        <v>0.0445670727371394</v>
      </c>
      <c r="AJ27" s="90" t="n">
        <f aca="false">IFERROR(AJ25/AI25-1,0)</f>
        <v>0.0427025726377808</v>
      </c>
      <c r="AK27" s="90" t="n">
        <f aca="false">IFERROR(AK25/AJ25-1,0)</f>
        <v>0.040989208438091</v>
      </c>
      <c r="AL27" s="90" t="n">
        <f aca="false">IFERROR(AL25/AK25-1,0)</f>
        <v>0.039409317665051</v>
      </c>
      <c r="AM27" s="90" t="n">
        <f aca="false">IFERROR(AM25/AL25-1,0)</f>
        <v>0.0379478868206535</v>
      </c>
      <c r="AN27" s="90" t="n">
        <f aca="false">IFERROR(AN25/AM25-1,0)</f>
        <v>0.0365920727204332</v>
      </c>
      <c r="AO27" s="89" t="n">
        <f aca="false">IFERROR(AVERAGE(AP27:BA27),0)</f>
        <v>0.0347412494968322</v>
      </c>
      <c r="AP27" s="90" t="n">
        <f aca="false">IFERROR(AP25/AN25-1,0)</f>
        <v>0.116070888929603</v>
      </c>
      <c r="AQ27" s="90" t="n">
        <f aca="false">IFERROR(AQ25/AP25-1,0)</f>
        <v>0.0338481726544608</v>
      </c>
      <c r="AR27" s="90" t="n">
        <f aca="false">IFERROR(AR25/AQ25-1,0)</f>
        <v>0.0317195714625838</v>
      </c>
      <c r="AS27" s="90" t="n">
        <f aca="false">IFERROR(AS25/AR25-1,0)</f>
        <v>0.0294668510513914</v>
      </c>
      <c r="AT27" s="90" t="n">
        <f aca="false">IFERROR(AT25/AS25-1,0)</f>
        <v>0.0281608148476487</v>
      </c>
      <c r="AU27" s="90" t="n">
        <f aca="false">IFERROR(AU25/AT25-1,0)</f>
        <v>0.0273896640153475</v>
      </c>
      <c r="AV27" s="90" t="n">
        <f aca="false">IFERROR(AV25/AU25-1,0)</f>
        <v>0.0266596257446869</v>
      </c>
      <c r="AW27" s="90" t="n">
        <f aca="false">IFERROR(AW25/AV25-1,0)</f>
        <v>0.0259674976340822</v>
      </c>
      <c r="AX27" s="90" t="n">
        <f aca="false">IFERROR(AX25/AW25-1,0)</f>
        <v>0.0253104014598793</v>
      </c>
      <c r="AY27" s="90" t="n">
        <f aca="false">IFERROR(AY25/AX25-1,0)</f>
        <v>0.0246857431683425</v>
      </c>
      <c r="AZ27" s="90" t="n">
        <f aca="false">IFERROR(AZ25/AY25-1,0)</f>
        <v>0.0240911786499582</v>
      </c>
      <c r="BA27" s="90" t="n">
        <f aca="false">IFERROR(BA25/AZ25-1,0)</f>
        <v>0.0235245843440017</v>
      </c>
      <c r="BB27" s="89" t="n">
        <f aca="false">IFERROR(AVERAGE(BC27:BN27),0)</f>
        <v>0.0271051431425196</v>
      </c>
      <c r="BC27" s="90" t="n">
        <f aca="false">IFERROR(BC25/BA25-1,0)</f>
        <v>0.0903614707086797</v>
      </c>
      <c r="BD27" s="90" t="n">
        <f aca="false">IFERROR(BD25/BC25-1,0)</f>
        <v>0.0226418239007187</v>
      </c>
      <c r="BE27" s="90" t="n">
        <f aca="false">IFERROR(BE25/BD25-1,0)</f>
        <v>0.0227039261553299</v>
      </c>
      <c r="BF27" s="90" t="n">
        <f aca="false">IFERROR(BF25/BE25-1,0)</f>
        <v>0.0227492477933009</v>
      </c>
      <c r="BG27" s="90" t="n">
        <f aca="false">IFERROR(BG25/BF25-1,0)</f>
        <v>0.0224119084716101</v>
      </c>
      <c r="BH27" s="90" t="n">
        <f aca="false">IFERROR(BH25/BG25-1,0)</f>
        <v>0.0219276013442433</v>
      </c>
      <c r="BI27" s="90" t="n">
        <f aca="false">IFERROR(BI25/BH25-1,0)</f>
        <v>0.0214639248794153</v>
      </c>
      <c r="BJ27" s="90" t="n">
        <f aca="false">IFERROR(BJ25/BI25-1,0)</f>
        <v>0.0210195882562252</v>
      </c>
      <c r="BK27" s="90" t="n">
        <f aca="false">IFERROR(BK25/BJ25-1,0)</f>
        <v>0.0205934061393815</v>
      </c>
      <c r="BL27" s="90" t="n">
        <f aca="false">IFERROR(BL25/BK25-1,0)</f>
        <v>0.0201842881196046</v>
      </c>
      <c r="BM27" s="90" t="n">
        <f aca="false">IFERROR(BM25/BL25-1,0)</f>
        <v>0.0197912293976132</v>
      </c>
      <c r="BN27" s="90" t="n">
        <f aca="false">IFERROR(BN25/BM25-1,0)</f>
        <v>0.019413302544113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591</v>
      </c>
    </row>
    <row r="2" customFormat="false" ht="13.5" hidden="false" customHeight="true" outlineLevel="0" collapsed="false">
      <c r="A2" s="6" t="s">
        <v>753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754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109" t="s">
        <v>755</v>
      </c>
      <c r="B6" s="109" t="s">
        <v>756</v>
      </c>
      <c r="C6" s="109" t="s">
        <v>757</v>
      </c>
      <c r="D6" s="109" t="s">
        <v>758</v>
      </c>
      <c r="E6" s="109" t="s">
        <v>248</v>
      </c>
      <c r="F6" s="109" t="s">
        <v>249</v>
      </c>
      <c r="G6" s="109" t="s">
        <v>250</v>
      </c>
      <c r="H6" s="109" t="s">
        <v>251</v>
      </c>
      <c r="I6" s="109" t="s">
        <v>759</v>
      </c>
      <c r="J6" s="109" t="s">
        <v>248</v>
      </c>
      <c r="K6" s="109" t="s">
        <v>249</v>
      </c>
      <c r="L6" s="109" t="s">
        <v>250</v>
      </c>
      <c r="M6" s="109" t="s">
        <v>251</v>
      </c>
    </row>
    <row r="7" customFormat="false" ht="15" hidden="false" customHeight="false" outlineLevel="0" collapsed="false">
      <c r="A7" s="49" t="s">
        <v>760</v>
      </c>
      <c r="B7" s="22" t="s">
        <v>671</v>
      </c>
      <c r="C7" s="110" t="n">
        <v>1</v>
      </c>
      <c r="D7" s="111" t="n">
        <v>900</v>
      </c>
      <c r="E7" s="111" t="n">
        <v>1400</v>
      </c>
      <c r="F7" s="111" t="n">
        <v>1700</v>
      </c>
      <c r="G7" s="111" t="n">
        <v>1900</v>
      </c>
      <c r="H7" s="111" t="n">
        <v>2000</v>
      </c>
      <c r="I7" s="110" t="n">
        <v>1</v>
      </c>
      <c r="J7" s="110" t="n">
        <v>1</v>
      </c>
      <c r="K7" s="110" t="n">
        <v>1</v>
      </c>
      <c r="L7" s="110" t="n">
        <v>1</v>
      </c>
      <c r="M7" s="110" t="n">
        <v>1</v>
      </c>
    </row>
    <row r="8" customFormat="false" ht="15" hidden="false" customHeight="false" outlineLevel="0" collapsed="false">
      <c r="A8" s="49" t="s">
        <v>761</v>
      </c>
      <c r="B8" s="22" t="s">
        <v>671</v>
      </c>
      <c r="C8" s="110" t="n">
        <v>1</v>
      </c>
      <c r="D8" s="111" t="n">
        <v>900</v>
      </c>
      <c r="E8" s="111" t="n">
        <v>1400</v>
      </c>
      <c r="F8" s="111" t="n">
        <v>1700</v>
      </c>
      <c r="G8" s="111" t="n">
        <v>1900</v>
      </c>
      <c r="H8" s="111" t="n">
        <v>2000</v>
      </c>
      <c r="I8" s="110" t="n">
        <v>1</v>
      </c>
      <c r="J8" s="110" t="n">
        <v>1</v>
      </c>
      <c r="K8" s="110" t="n">
        <v>1</v>
      </c>
      <c r="L8" s="110" t="n">
        <v>1</v>
      </c>
      <c r="M8" s="110" t="n">
        <v>1</v>
      </c>
    </row>
    <row r="9" customFormat="false" ht="15" hidden="false" customHeight="false" outlineLevel="0" collapsed="false">
      <c r="A9" s="49" t="s">
        <v>762</v>
      </c>
      <c r="B9" s="22" t="s">
        <v>671</v>
      </c>
      <c r="C9" s="110" t="n">
        <v>1</v>
      </c>
      <c r="D9" s="111" t="n">
        <v>800</v>
      </c>
      <c r="E9" s="111" t="n">
        <v>1300</v>
      </c>
      <c r="F9" s="111" t="n">
        <v>1600</v>
      </c>
      <c r="G9" s="111" t="n">
        <v>1800</v>
      </c>
      <c r="H9" s="111" t="n">
        <v>1900</v>
      </c>
      <c r="I9" s="110" t="n">
        <v>1</v>
      </c>
      <c r="J9" s="110" t="n">
        <v>1</v>
      </c>
      <c r="K9" s="110" t="n">
        <v>1</v>
      </c>
      <c r="L9" s="110" t="n">
        <v>1</v>
      </c>
      <c r="M9" s="110" t="n">
        <v>1</v>
      </c>
    </row>
    <row r="10" customFormat="false" ht="15" hidden="false" customHeight="false" outlineLevel="0" collapsed="false">
      <c r="A10" s="49" t="s">
        <v>763</v>
      </c>
      <c r="B10" s="22" t="s">
        <v>304</v>
      </c>
      <c r="C10" s="110" t="n">
        <v>1</v>
      </c>
      <c r="D10" s="111" t="n">
        <v>600</v>
      </c>
      <c r="E10" s="111" t="n">
        <v>800</v>
      </c>
      <c r="F10" s="111" t="n">
        <v>1000</v>
      </c>
      <c r="G10" s="111" t="n">
        <v>1100</v>
      </c>
      <c r="H10" s="111" t="n">
        <v>1200</v>
      </c>
      <c r="I10" s="110" t="n">
        <v>1</v>
      </c>
      <c r="J10" s="110" t="n">
        <v>1</v>
      </c>
      <c r="K10" s="110" t="n">
        <v>1</v>
      </c>
      <c r="L10" s="110" t="n">
        <v>2</v>
      </c>
      <c r="M10" s="110" t="n">
        <v>3</v>
      </c>
    </row>
    <row r="11" customFormat="false" ht="15" hidden="false" customHeight="false" outlineLevel="0" collapsed="false">
      <c r="A11" s="49" t="s">
        <v>764</v>
      </c>
      <c r="B11" s="22" t="s">
        <v>304</v>
      </c>
      <c r="C11" s="110" t="n">
        <v>1</v>
      </c>
      <c r="D11" s="111" t="n">
        <v>600</v>
      </c>
      <c r="E11" s="111" t="n">
        <v>800</v>
      </c>
      <c r="F11" s="111" t="n">
        <v>1000</v>
      </c>
      <c r="G11" s="111" t="n">
        <v>1100</v>
      </c>
      <c r="H11" s="111" t="n">
        <v>1200</v>
      </c>
      <c r="I11" s="110" t="n">
        <v>1</v>
      </c>
      <c r="J11" s="110" t="n">
        <v>1</v>
      </c>
      <c r="K11" s="110" t="n">
        <v>1</v>
      </c>
      <c r="L11" s="110" t="n">
        <v>2</v>
      </c>
      <c r="M11" s="110" t="n">
        <v>2</v>
      </c>
    </row>
    <row r="12" customFormat="false" ht="15" hidden="false" customHeight="false" outlineLevel="0" collapsed="false">
      <c r="A12" s="49" t="s">
        <v>765</v>
      </c>
      <c r="B12" s="22" t="s">
        <v>304</v>
      </c>
      <c r="C12" s="110" t="n">
        <v>13</v>
      </c>
      <c r="D12" s="111" t="n">
        <v>0</v>
      </c>
      <c r="E12" s="111" t="n">
        <v>900</v>
      </c>
      <c r="F12" s="111" t="n">
        <v>1100</v>
      </c>
      <c r="G12" s="111" t="n">
        <v>1200</v>
      </c>
      <c r="H12" s="111" t="n">
        <v>1300</v>
      </c>
      <c r="I12" s="110" t="n">
        <v>0</v>
      </c>
      <c r="J12" s="110" t="n">
        <v>1</v>
      </c>
      <c r="K12" s="110" t="n">
        <v>1</v>
      </c>
      <c r="L12" s="110" t="n">
        <v>1</v>
      </c>
      <c r="M12" s="110" t="n">
        <v>1</v>
      </c>
    </row>
    <row r="13" customFormat="false" ht="15" hidden="false" customHeight="false" outlineLevel="0" collapsed="false">
      <c r="A13" s="49" t="s">
        <v>766</v>
      </c>
      <c r="B13" s="22" t="s">
        <v>304</v>
      </c>
      <c r="C13" s="110" t="n">
        <v>25</v>
      </c>
      <c r="D13" s="111" t="n">
        <v>0</v>
      </c>
      <c r="E13" s="111" t="n">
        <v>0</v>
      </c>
      <c r="F13" s="111" t="n">
        <v>2200</v>
      </c>
      <c r="G13" s="111" t="n">
        <v>2400</v>
      </c>
      <c r="H13" s="111" t="n">
        <v>2500</v>
      </c>
      <c r="I13" s="110" t="n">
        <v>0</v>
      </c>
      <c r="J13" s="110" t="n">
        <v>0</v>
      </c>
      <c r="K13" s="110" t="n">
        <v>1</v>
      </c>
      <c r="L13" s="110" t="n">
        <v>1</v>
      </c>
      <c r="M13" s="110" t="n">
        <v>1</v>
      </c>
    </row>
    <row r="14" customFormat="false" ht="15" hidden="false" customHeight="false" outlineLevel="0" collapsed="false">
      <c r="A14" s="49" t="s">
        <v>767</v>
      </c>
      <c r="B14" s="22" t="s">
        <v>304</v>
      </c>
      <c r="C14" s="110" t="n">
        <v>49</v>
      </c>
      <c r="D14" s="111" t="n">
        <v>0</v>
      </c>
      <c r="E14" s="111" t="n">
        <v>0</v>
      </c>
      <c r="F14" s="111" t="n">
        <v>0</v>
      </c>
      <c r="G14" s="111" t="n">
        <v>0</v>
      </c>
      <c r="H14" s="111" t="n">
        <v>1000</v>
      </c>
      <c r="I14" s="110" t="n">
        <v>0</v>
      </c>
      <c r="J14" s="110" t="n">
        <v>0</v>
      </c>
      <c r="K14" s="110" t="n">
        <v>0</v>
      </c>
      <c r="L14" s="110" t="n">
        <v>0</v>
      </c>
      <c r="M14" s="110" t="n">
        <v>1</v>
      </c>
    </row>
    <row r="15" customFormat="false" ht="15" hidden="false" customHeight="false" outlineLevel="0" collapsed="false">
      <c r="A15" s="49" t="s">
        <v>768</v>
      </c>
      <c r="B15" s="22" t="s">
        <v>303</v>
      </c>
      <c r="C15" s="110" t="n">
        <v>1</v>
      </c>
      <c r="D15" s="111" t="n">
        <v>600</v>
      </c>
      <c r="E15" s="111" t="n">
        <v>800</v>
      </c>
      <c r="F15" s="111" t="n">
        <v>1000</v>
      </c>
      <c r="G15" s="111" t="n">
        <v>1100</v>
      </c>
      <c r="H15" s="111" t="n">
        <v>1200</v>
      </c>
      <c r="I15" s="110" t="n">
        <v>1</v>
      </c>
      <c r="J15" s="110" t="n">
        <v>1</v>
      </c>
      <c r="K15" s="110" t="n">
        <v>1</v>
      </c>
      <c r="L15" s="110" t="n">
        <v>1</v>
      </c>
      <c r="M15" s="110" t="n">
        <v>1</v>
      </c>
    </row>
    <row r="16" customFormat="false" ht="15" hidden="false" customHeight="false" outlineLevel="0" collapsed="false">
      <c r="A16" s="49" t="s">
        <v>769</v>
      </c>
      <c r="B16" s="22" t="s">
        <v>303</v>
      </c>
      <c r="C16" s="110" t="n">
        <v>49</v>
      </c>
      <c r="D16" s="111" t="n">
        <v>0</v>
      </c>
      <c r="E16" s="111" t="n">
        <v>0</v>
      </c>
      <c r="F16" s="111" t="n">
        <v>0</v>
      </c>
      <c r="G16" s="111" t="n">
        <v>0</v>
      </c>
      <c r="H16" s="111" t="n">
        <v>800</v>
      </c>
      <c r="I16" s="110" t="n">
        <v>0</v>
      </c>
      <c r="J16" s="110" t="n">
        <v>0</v>
      </c>
      <c r="K16" s="110" t="n">
        <v>0</v>
      </c>
      <c r="L16" s="110" t="n">
        <v>0</v>
      </c>
      <c r="M16" s="110" t="n">
        <v>1</v>
      </c>
    </row>
    <row r="17" customFormat="false" ht="15" hidden="false" customHeight="false" outlineLevel="0" collapsed="false">
      <c r="A17" s="49" t="s">
        <v>770</v>
      </c>
      <c r="B17" s="22" t="s">
        <v>672</v>
      </c>
      <c r="C17" s="110" t="n">
        <v>13</v>
      </c>
      <c r="D17" s="111" t="n">
        <v>0</v>
      </c>
      <c r="E17" s="111" t="n">
        <v>900</v>
      </c>
      <c r="F17" s="111" t="n">
        <v>1100</v>
      </c>
      <c r="G17" s="111" t="n">
        <v>1200</v>
      </c>
      <c r="H17" s="111" t="n">
        <v>1300</v>
      </c>
      <c r="I17" s="110" t="n">
        <v>0</v>
      </c>
      <c r="J17" s="110" t="n">
        <v>1</v>
      </c>
      <c r="K17" s="110" t="n">
        <v>2</v>
      </c>
      <c r="L17" s="110" t="n">
        <v>2</v>
      </c>
      <c r="M17" s="110" t="n">
        <v>2</v>
      </c>
    </row>
    <row r="18" customFormat="false" ht="15" hidden="false" customHeight="false" outlineLevel="0" collapsed="false">
      <c r="A18" s="49" t="s">
        <v>771</v>
      </c>
      <c r="B18" s="22" t="s">
        <v>672</v>
      </c>
      <c r="C18" s="110" t="n">
        <v>37</v>
      </c>
      <c r="D18" s="111" t="n">
        <v>0</v>
      </c>
      <c r="E18" s="111" t="n">
        <v>0</v>
      </c>
      <c r="F18" s="111" t="n">
        <v>0</v>
      </c>
      <c r="G18" s="111" t="n">
        <v>1300</v>
      </c>
      <c r="H18" s="111" t="n">
        <v>1400</v>
      </c>
      <c r="I18" s="110" t="n">
        <v>0</v>
      </c>
      <c r="J18" s="110" t="n">
        <v>0</v>
      </c>
      <c r="K18" s="110" t="n">
        <v>0</v>
      </c>
      <c r="L18" s="110" t="n">
        <v>1</v>
      </c>
      <c r="M18" s="110" t="n">
        <v>1</v>
      </c>
    </row>
    <row r="19" customFormat="false" ht="15" hidden="false" customHeight="false" outlineLevel="0" collapsed="false">
      <c r="A19" s="49" t="s">
        <v>772</v>
      </c>
      <c r="B19" s="22" t="s">
        <v>301</v>
      </c>
      <c r="C19" s="110" t="n">
        <v>13</v>
      </c>
      <c r="D19" s="111" t="n">
        <v>0</v>
      </c>
      <c r="E19" s="111" t="n">
        <v>900</v>
      </c>
      <c r="F19" s="111" t="n">
        <v>1200</v>
      </c>
      <c r="G19" s="111" t="n">
        <v>1300</v>
      </c>
      <c r="H19" s="111" t="n">
        <v>1400</v>
      </c>
      <c r="I19" s="110" t="n">
        <v>0</v>
      </c>
      <c r="J19" s="110" t="n">
        <v>1</v>
      </c>
      <c r="K19" s="110" t="n">
        <v>1</v>
      </c>
      <c r="L19" s="110" t="n">
        <v>1</v>
      </c>
      <c r="M19" s="110" t="n">
        <v>1</v>
      </c>
    </row>
    <row r="20" customFormat="false" ht="15" hidden="false" customHeight="false" outlineLevel="0" collapsed="false">
      <c r="A20" s="49" t="s">
        <v>773</v>
      </c>
      <c r="B20" s="22" t="s">
        <v>301</v>
      </c>
      <c r="C20" s="110" t="n">
        <v>25</v>
      </c>
      <c r="D20" s="111" t="n">
        <v>0</v>
      </c>
      <c r="E20" s="111" t="n">
        <v>0</v>
      </c>
      <c r="F20" s="111" t="n">
        <v>900</v>
      </c>
      <c r="G20" s="111" t="n">
        <v>1000</v>
      </c>
      <c r="H20" s="111" t="n">
        <v>1100</v>
      </c>
      <c r="I20" s="110" t="n">
        <v>0</v>
      </c>
      <c r="J20" s="110" t="n">
        <v>0</v>
      </c>
      <c r="K20" s="110" t="n">
        <v>1</v>
      </c>
      <c r="L20" s="110" t="n">
        <v>1</v>
      </c>
      <c r="M20" s="110" t="n">
        <v>1</v>
      </c>
    </row>
    <row r="21" customFormat="false" ht="15" hidden="false" customHeight="false" outlineLevel="0" collapsed="false">
      <c r="A21" s="49" t="s">
        <v>774</v>
      </c>
      <c r="B21" s="22" t="s">
        <v>301</v>
      </c>
      <c r="C21" s="110" t="n">
        <v>37</v>
      </c>
      <c r="D21" s="111" t="n">
        <v>0</v>
      </c>
      <c r="E21" s="111" t="n">
        <v>0</v>
      </c>
      <c r="F21" s="111" t="n">
        <v>0</v>
      </c>
      <c r="G21" s="111" t="n">
        <v>800</v>
      </c>
      <c r="H21" s="111" t="n">
        <v>900</v>
      </c>
      <c r="I21" s="110" t="n">
        <v>0</v>
      </c>
      <c r="J21" s="110" t="n">
        <v>0</v>
      </c>
      <c r="K21" s="110" t="n">
        <v>0</v>
      </c>
      <c r="L21" s="110" t="n">
        <v>1</v>
      </c>
      <c r="M21" s="110" t="n">
        <v>2</v>
      </c>
    </row>
    <row r="22" customFormat="false" ht="15" hidden="false" customHeight="false" outlineLevel="0" collapsed="false">
      <c r="A22" s="18" t="s">
        <v>775</v>
      </c>
      <c r="I22" s="112" t="n">
        <f aca="false">SUM(I7:I21)</f>
        <v>6</v>
      </c>
      <c r="J22" s="112" t="n">
        <f aca="false">SUM(J7:J21)</f>
        <v>9</v>
      </c>
      <c r="K22" s="112" t="n">
        <f aca="false">SUM(K7:K21)</f>
        <v>12</v>
      </c>
      <c r="L22" s="112" t="n">
        <f aca="false">SUM(L7:L21)</f>
        <v>16</v>
      </c>
      <c r="M22" s="112" t="n">
        <f aca="false">SUM(M7:M21)</f>
        <v>20</v>
      </c>
    </row>
    <row r="23" customFormat="false" ht="15" hidden="false" customHeight="false" outlineLevel="0" collapsed="false">
      <c r="A23" s="113" t="s">
        <v>776</v>
      </c>
      <c r="I23" s="114" t="n">
        <v>6</v>
      </c>
      <c r="J23" s="114" t="n">
        <v>9</v>
      </c>
      <c r="K23" s="114" t="n">
        <v>12</v>
      </c>
      <c r="L23" s="114" t="n">
        <v>16</v>
      </c>
      <c r="M23" s="114" t="n">
        <v>20</v>
      </c>
    </row>
    <row r="24" customFormat="false" ht="15" hidden="false" customHeight="false" outlineLevel="0" collapsed="false">
      <c r="A24" s="18" t="s">
        <v>777</v>
      </c>
      <c r="I24" s="115" t="n">
        <f aca="false">I23-I22</f>
        <v>0</v>
      </c>
      <c r="J24" s="115" t="n">
        <f aca="false">J23-J22</f>
        <v>0</v>
      </c>
      <c r="K24" s="115" t="n">
        <f aca="false">K23-K22</f>
        <v>0</v>
      </c>
      <c r="L24" s="115" t="n">
        <f aca="false">L23-L22</f>
        <v>0</v>
      </c>
      <c r="M24" s="115" t="n">
        <f aca="false">M23-M22</f>
        <v>0</v>
      </c>
    </row>
    <row r="26" customFormat="false" ht="15" hidden="false" customHeight="false" outlineLevel="0" collapsed="false">
      <c r="A26" s="12" t="s">
        <v>778</v>
      </c>
      <c r="B26" s="22" t="s">
        <v>779</v>
      </c>
      <c r="C26" s="50" t="n">
        <v>0.155</v>
      </c>
    </row>
    <row r="28" customFormat="false" ht="16.5" hidden="false" customHeight="true" outlineLevel="0" collapsed="false">
      <c r="A28" s="15" t="s">
        <v>780</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760</v>
      </c>
      <c r="B30" s="64" t="n">
        <f aca="false">SUM(C30:N30)</f>
        <v>12474</v>
      </c>
      <c r="C30" s="65" t="n">
        <f aca="false">IF(1&lt;$C$7,0,$I$7*$D$7*(1+$C$26))</f>
        <v>1039.5</v>
      </c>
      <c r="D30" s="65" t="n">
        <f aca="false">IF(2&lt;$C$7,0,$I$7*$D$7*(1+$C$26))</f>
        <v>1039.5</v>
      </c>
      <c r="E30" s="65" t="n">
        <f aca="false">IF(3&lt;$C$7,0,$I$7*$D$7*(1+$C$26))</f>
        <v>1039.5</v>
      </c>
      <c r="F30" s="65" t="n">
        <f aca="false">IF(4&lt;$C$7,0,$I$7*$D$7*(1+$C$26))</f>
        <v>1039.5</v>
      </c>
      <c r="G30" s="65" t="n">
        <f aca="false">IF(5&lt;$C$7,0,$I$7*$D$7*(1+$C$26))</f>
        <v>1039.5</v>
      </c>
      <c r="H30" s="65" t="n">
        <f aca="false">IF(6&lt;$C$7,0,$I$7*$D$7*(1+$C$26))</f>
        <v>1039.5</v>
      </c>
      <c r="I30" s="65" t="n">
        <f aca="false">IF(7&lt;$C$7,0,$I$7*$D$7*(1+$C$26))</f>
        <v>1039.5</v>
      </c>
      <c r="J30" s="65" t="n">
        <f aca="false">IF(8&lt;$C$7,0,$I$7*$D$7*(1+$C$26))</f>
        <v>1039.5</v>
      </c>
      <c r="K30" s="65" t="n">
        <f aca="false">IF(9&lt;$C$7,0,$I$7*$D$7*(1+$C$26))</f>
        <v>1039.5</v>
      </c>
      <c r="L30" s="65" t="n">
        <f aca="false">IF(10&lt;$C$7,0,$I$7*$D$7*(1+$C$26))</f>
        <v>1039.5</v>
      </c>
      <c r="M30" s="65" t="n">
        <f aca="false">IF(11&lt;$C$7,0,$I$7*$D$7*(1+$C$26))</f>
        <v>1039.5</v>
      </c>
      <c r="N30" s="65" t="n">
        <f aca="false">IF(12&lt;$C$7,0,$I$7*$D$7*(1+$C$26))</f>
        <v>1039.5</v>
      </c>
      <c r="O30" s="64" t="n">
        <f aca="false">SUM(P30:AA30)</f>
        <v>19404</v>
      </c>
      <c r="P30" s="65" t="n">
        <f aca="false">IF(13&lt;$C$7,0,$J$7*$E$7*(1+$C$26))</f>
        <v>1617</v>
      </c>
      <c r="Q30" s="65" t="n">
        <f aca="false">IF(14&lt;$C$7,0,$J$7*$E$7*(1+$C$26))</f>
        <v>1617</v>
      </c>
      <c r="R30" s="65" t="n">
        <f aca="false">IF(15&lt;$C$7,0,$J$7*$E$7*(1+$C$26))</f>
        <v>1617</v>
      </c>
      <c r="S30" s="65" t="n">
        <f aca="false">IF(16&lt;$C$7,0,$J$7*$E$7*(1+$C$26))</f>
        <v>1617</v>
      </c>
      <c r="T30" s="65" t="n">
        <f aca="false">IF(17&lt;$C$7,0,$J$7*$E$7*(1+$C$26))</f>
        <v>1617</v>
      </c>
      <c r="U30" s="65" t="n">
        <f aca="false">IF(18&lt;$C$7,0,$J$7*$E$7*(1+$C$26))</f>
        <v>1617</v>
      </c>
      <c r="V30" s="65" t="n">
        <f aca="false">IF(19&lt;$C$7,0,$J$7*$E$7*(1+$C$26))</f>
        <v>1617</v>
      </c>
      <c r="W30" s="65" t="n">
        <f aca="false">IF(20&lt;$C$7,0,$J$7*$E$7*(1+$C$26))</f>
        <v>1617</v>
      </c>
      <c r="X30" s="65" t="n">
        <f aca="false">IF(21&lt;$C$7,0,$J$7*$E$7*(1+$C$26))</f>
        <v>1617</v>
      </c>
      <c r="Y30" s="65" t="n">
        <f aca="false">IF(22&lt;$C$7,0,$J$7*$E$7*(1+$C$26))</f>
        <v>1617</v>
      </c>
      <c r="Z30" s="65" t="n">
        <f aca="false">IF(23&lt;$C$7,0,$J$7*$E$7*(1+$C$26))</f>
        <v>1617</v>
      </c>
      <c r="AA30" s="65" t="n">
        <f aca="false">IF(24&lt;$C$7,0,$J$7*$E$7*(1+$C$26))</f>
        <v>1617</v>
      </c>
      <c r="AB30" s="64" t="n">
        <f aca="false">SUM(AC30:AN30)</f>
        <v>23562</v>
      </c>
      <c r="AC30" s="65" t="n">
        <f aca="false">IF(25&lt;$C$7,0,$K$7*$F$7*(1+$C$26))</f>
        <v>1963.5</v>
      </c>
      <c r="AD30" s="65" t="n">
        <f aca="false">IF(26&lt;$C$7,0,$K$7*$F$7*(1+$C$26))</f>
        <v>1963.5</v>
      </c>
      <c r="AE30" s="65" t="n">
        <f aca="false">IF(27&lt;$C$7,0,$K$7*$F$7*(1+$C$26))</f>
        <v>1963.5</v>
      </c>
      <c r="AF30" s="65" t="n">
        <f aca="false">IF(28&lt;$C$7,0,$K$7*$F$7*(1+$C$26))</f>
        <v>1963.5</v>
      </c>
      <c r="AG30" s="65" t="n">
        <f aca="false">IF(29&lt;$C$7,0,$K$7*$F$7*(1+$C$26))</f>
        <v>1963.5</v>
      </c>
      <c r="AH30" s="65" t="n">
        <f aca="false">IF(30&lt;$C$7,0,$K$7*$F$7*(1+$C$26))</f>
        <v>1963.5</v>
      </c>
      <c r="AI30" s="65" t="n">
        <f aca="false">IF(31&lt;$C$7,0,$K$7*$F$7*(1+$C$26))</f>
        <v>1963.5</v>
      </c>
      <c r="AJ30" s="65" t="n">
        <f aca="false">IF(32&lt;$C$7,0,$K$7*$F$7*(1+$C$26))</f>
        <v>1963.5</v>
      </c>
      <c r="AK30" s="65" t="n">
        <f aca="false">IF(33&lt;$C$7,0,$K$7*$F$7*(1+$C$26))</f>
        <v>1963.5</v>
      </c>
      <c r="AL30" s="65" t="n">
        <f aca="false">IF(34&lt;$C$7,0,$K$7*$F$7*(1+$C$26))</f>
        <v>1963.5</v>
      </c>
      <c r="AM30" s="65" t="n">
        <f aca="false">IF(35&lt;$C$7,0,$K$7*$F$7*(1+$C$26))</f>
        <v>1963.5</v>
      </c>
      <c r="AN30" s="65" t="n">
        <f aca="false">IF(36&lt;$C$7,0,$K$7*$F$7*(1+$C$26))</f>
        <v>1963.5</v>
      </c>
      <c r="AO30" s="64" t="n">
        <f aca="false">SUM(AP30:BA30)</f>
        <v>26334</v>
      </c>
      <c r="AP30" s="65" t="n">
        <f aca="false">IF(37&lt;$C$7,0,$L$7*$G$7*(1+$C$26))</f>
        <v>2194.5</v>
      </c>
      <c r="AQ30" s="65" t="n">
        <f aca="false">IF(38&lt;$C$7,0,$L$7*$G$7*(1+$C$26))</f>
        <v>2194.5</v>
      </c>
      <c r="AR30" s="65" t="n">
        <f aca="false">IF(39&lt;$C$7,0,$L$7*$G$7*(1+$C$26))</f>
        <v>2194.5</v>
      </c>
      <c r="AS30" s="65" t="n">
        <f aca="false">IF(40&lt;$C$7,0,$L$7*$G$7*(1+$C$26))</f>
        <v>2194.5</v>
      </c>
      <c r="AT30" s="65" t="n">
        <f aca="false">IF(41&lt;$C$7,0,$L$7*$G$7*(1+$C$26))</f>
        <v>2194.5</v>
      </c>
      <c r="AU30" s="65" t="n">
        <f aca="false">IF(42&lt;$C$7,0,$L$7*$G$7*(1+$C$26))</f>
        <v>2194.5</v>
      </c>
      <c r="AV30" s="65" t="n">
        <f aca="false">IF(43&lt;$C$7,0,$L$7*$G$7*(1+$C$26))</f>
        <v>2194.5</v>
      </c>
      <c r="AW30" s="65" t="n">
        <f aca="false">IF(44&lt;$C$7,0,$L$7*$G$7*(1+$C$26))</f>
        <v>2194.5</v>
      </c>
      <c r="AX30" s="65" t="n">
        <f aca="false">IF(45&lt;$C$7,0,$L$7*$G$7*(1+$C$26))</f>
        <v>2194.5</v>
      </c>
      <c r="AY30" s="65" t="n">
        <f aca="false">IF(46&lt;$C$7,0,$L$7*$G$7*(1+$C$26))</f>
        <v>2194.5</v>
      </c>
      <c r="AZ30" s="65" t="n">
        <f aca="false">IF(47&lt;$C$7,0,$L$7*$G$7*(1+$C$26))</f>
        <v>2194.5</v>
      </c>
      <c r="BA30" s="65" t="n">
        <f aca="false">IF(48&lt;$C$7,0,$L$7*$G$7*(1+$C$26))</f>
        <v>2194.5</v>
      </c>
      <c r="BB30" s="64" t="n">
        <f aca="false">SUM(BC30:BN30)</f>
        <v>27720</v>
      </c>
      <c r="BC30" s="65" t="n">
        <f aca="false">IF(49&lt;$C$7,0,$M$7*$H$7*(1+$C$26))</f>
        <v>2310</v>
      </c>
      <c r="BD30" s="65" t="n">
        <f aca="false">IF(50&lt;$C$7,0,$M$7*$H$7*(1+$C$26))</f>
        <v>2310</v>
      </c>
      <c r="BE30" s="65" t="n">
        <f aca="false">IF(51&lt;$C$7,0,$M$7*$H$7*(1+$C$26))</f>
        <v>2310</v>
      </c>
      <c r="BF30" s="65" t="n">
        <f aca="false">IF(52&lt;$C$7,0,$M$7*$H$7*(1+$C$26))</f>
        <v>2310</v>
      </c>
      <c r="BG30" s="65" t="n">
        <f aca="false">IF(53&lt;$C$7,0,$M$7*$H$7*(1+$C$26))</f>
        <v>2310</v>
      </c>
      <c r="BH30" s="65" t="n">
        <f aca="false">IF(54&lt;$C$7,0,$M$7*$H$7*(1+$C$26))</f>
        <v>2310</v>
      </c>
      <c r="BI30" s="65" t="n">
        <f aca="false">IF(55&lt;$C$7,0,$M$7*$H$7*(1+$C$26))</f>
        <v>2310</v>
      </c>
      <c r="BJ30" s="65" t="n">
        <f aca="false">IF(56&lt;$C$7,0,$M$7*$H$7*(1+$C$26))</f>
        <v>2310</v>
      </c>
      <c r="BK30" s="65" t="n">
        <f aca="false">IF(57&lt;$C$7,0,$M$7*$H$7*(1+$C$26))</f>
        <v>2310</v>
      </c>
      <c r="BL30" s="65" t="n">
        <f aca="false">IF(58&lt;$C$7,0,$M$7*$H$7*(1+$C$26))</f>
        <v>2310</v>
      </c>
      <c r="BM30" s="65" t="n">
        <f aca="false">IF(59&lt;$C$7,0,$M$7*$H$7*(1+$C$26))</f>
        <v>2310</v>
      </c>
      <c r="BN30" s="65" t="n">
        <f aca="false">IF(60&lt;$C$7,0,$M$7*$H$7*(1+$C$26))</f>
        <v>2310</v>
      </c>
    </row>
    <row r="31" customFormat="false" ht="15" hidden="false" customHeight="false" outlineLevel="0" collapsed="false">
      <c r="A31" s="12" t="s">
        <v>761</v>
      </c>
      <c r="B31" s="64" t="n">
        <f aca="false">SUM(C31:N31)</f>
        <v>12474</v>
      </c>
      <c r="C31" s="65" t="n">
        <f aca="false">IF(1&lt;$C$8,0,$I$8*$D$8*(1+$C$26))</f>
        <v>1039.5</v>
      </c>
      <c r="D31" s="65" t="n">
        <f aca="false">IF(2&lt;$C$8,0,$I$8*$D$8*(1+$C$26))</f>
        <v>1039.5</v>
      </c>
      <c r="E31" s="65" t="n">
        <f aca="false">IF(3&lt;$C$8,0,$I$8*$D$8*(1+$C$26))</f>
        <v>1039.5</v>
      </c>
      <c r="F31" s="65" t="n">
        <f aca="false">IF(4&lt;$C$8,0,$I$8*$D$8*(1+$C$26))</f>
        <v>1039.5</v>
      </c>
      <c r="G31" s="65" t="n">
        <f aca="false">IF(5&lt;$C$8,0,$I$8*$D$8*(1+$C$26))</f>
        <v>1039.5</v>
      </c>
      <c r="H31" s="65" t="n">
        <f aca="false">IF(6&lt;$C$8,0,$I$8*$D$8*(1+$C$26))</f>
        <v>1039.5</v>
      </c>
      <c r="I31" s="65" t="n">
        <f aca="false">IF(7&lt;$C$8,0,$I$8*$D$8*(1+$C$26))</f>
        <v>1039.5</v>
      </c>
      <c r="J31" s="65" t="n">
        <f aca="false">IF(8&lt;$C$8,0,$I$8*$D$8*(1+$C$26))</f>
        <v>1039.5</v>
      </c>
      <c r="K31" s="65" t="n">
        <f aca="false">IF(9&lt;$C$8,0,$I$8*$D$8*(1+$C$26))</f>
        <v>1039.5</v>
      </c>
      <c r="L31" s="65" t="n">
        <f aca="false">IF(10&lt;$C$8,0,$I$8*$D$8*(1+$C$26))</f>
        <v>1039.5</v>
      </c>
      <c r="M31" s="65" t="n">
        <f aca="false">IF(11&lt;$C$8,0,$I$8*$D$8*(1+$C$26))</f>
        <v>1039.5</v>
      </c>
      <c r="N31" s="65" t="n">
        <f aca="false">IF(12&lt;$C$8,0,$I$8*$D$8*(1+$C$26))</f>
        <v>1039.5</v>
      </c>
      <c r="O31" s="64" t="n">
        <f aca="false">SUM(P31:AA31)</f>
        <v>19404</v>
      </c>
      <c r="P31" s="65" t="n">
        <f aca="false">IF(13&lt;$C$8,0,$J$8*$E$8*(1+$C$26))</f>
        <v>1617</v>
      </c>
      <c r="Q31" s="65" t="n">
        <f aca="false">IF(14&lt;$C$8,0,$J$8*$E$8*(1+$C$26))</f>
        <v>1617</v>
      </c>
      <c r="R31" s="65" t="n">
        <f aca="false">IF(15&lt;$C$8,0,$J$8*$E$8*(1+$C$26))</f>
        <v>1617</v>
      </c>
      <c r="S31" s="65" t="n">
        <f aca="false">IF(16&lt;$C$8,0,$J$8*$E$8*(1+$C$26))</f>
        <v>1617</v>
      </c>
      <c r="T31" s="65" t="n">
        <f aca="false">IF(17&lt;$C$8,0,$J$8*$E$8*(1+$C$26))</f>
        <v>1617</v>
      </c>
      <c r="U31" s="65" t="n">
        <f aca="false">IF(18&lt;$C$8,0,$J$8*$E$8*(1+$C$26))</f>
        <v>1617</v>
      </c>
      <c r="V31" s="65" t="n">
        <f aca="false">IF(19&lt;$C$8,0,$J$8*$E$8*(1+$C$26))</f>
        <v>1617</v>
      </c>
      <c r="W31" s="65" t="n">
        <f aca="false">IF(20&lt;$C$8,0,$J$8*$E$8*(1+$C$26))</f>
        <v>1617</v>
      </c>
      <c r="X31" s="65" t="n">
        <f aca="false">IF(21&lt;$C$8,0,$J$8*$E$8*(1+$C$26))</f>
        <v>1617</v>
      </c>
      <c r="Y31" s="65" t="n">
        <f aca="false">IF(22&lt;$C$8,0,$J$8*$E$8*(1+$C$26))</f>
        <v>1617</v>
      </c>
      <c r="Z31" s="65" t="n">
        <f aca="false">IF(23&lt;$C$8,0,$J$8*$E$8*(1+$C$26))</f>
        <v>1617</v>
      </c>
      <c r="AA31" s="65" t="n">
        <f aca="false">IF(24&lt;$C$8,0,$J$8*$E$8*(1+$C$26))</f>
        <v>1617</v>
      </c>
      <c r="AB31" s="64" t="n">
        <f aca="false">SUM(AC31:AN31)</f>
        <v>23562</v>
      </c>
      <c r="AC31" s="65" t="n">
        <f aca="false">IF(25&lt;$C$8,0,$K$8*$F$8*(1+$C$26))</f>
        <v>1963.5</v>
      </c>
      <c r="AD31" s="65" t="n">
        <f aca="false">IF(26&lt;$C$8,0,$K$8*$F$8*(1+$C$26))</f>
        <v>1963.5</v>
      </c>
      <c r="AE31" s="65" t="n">
        <f aca="false">IF(27&lt;$C$8,0,$K$8*$F$8*(1+$C$26))</f>
        <v>1963.5</v>
      </c>
      <c r="AF31" s="65" t="n">
        <f aca="false">IF(28&lt;$C$8,0,$K$8*$F$8*(1+$C$26))</f>
        <v>1963.5</v>
      </c>
      <c r="AG31" s="65" t="n">
        <f aca="false">IF(29&lt;$C$8,0,$K$8*$F$8*(1+$C$26))</f>
        <v>1963.5</v>
      </c>
      <c r="AH31" s="65" t="n">
        <f aca="false">IF(30&lt;$C$8,0,$K$8*$F$8*(1+$C$26))</f>
        <v>1963.5</v>
      </c>
      <c r="AI31" s="65" t="n">
        <f aca="false">IF(31&lt;$C$8,0,$K$8*$F$8*(1+$C$26))</f>
        <v>1963.5</v>
      </c>
      <c r="AJ31" s="65" t="n">
        <f aca="false">IF(32&lt;$C$8,0,$K$8*$F$8*(1+$C$26))</f>
        <v>1963.5</v>
      </c>
      <c r="AK31" s="65" t="n">
        <f aca="false">IF(33&lt;$C$8,0,$K$8*$F$8*(1+$C$26))</f>
        <v>1963.5</v>
      </c>
      <c r="AL31" s="65" t="n">
        <f aca="false">IF(34&lt;$C$8,0,$K$8*$F$8*(1+$C$26))</f>
        <v>1963.5</v>
      </c>
      <c r="AM31" s="65" t="n">
        <f aca="false">IF(35&lt;$C$8,0,$K$8*$F$8*(1+$C$26))</f>
        <v>1963.5</v>
      </c>
      <c r="AN31" s="65" t="n">
        <f aca="false">IF(36&lt;$C$8,0,$K$8*$F$8*(1+$C$26))</f>
        <v>1963.5</v>
      </c>
      <c r="AO31" s="64" t="n">
        <f aca="false">SUM(AP31:BA31)</f>
        <v>26334</v>
      </c>
      <c r="AP31" s="65" t="n">
        <f aca="false">IF(37&lt;$C$8,0,$L$8*$G$8*(1+$C$26))</f>
        <v>2194.5</v>
      </c>
      <c r="AQ31" s="65" t="n">
        <f aca="false">IF(38&lt;$C$8,0,$L$8*$G$8*(1+$C$26))</f>
        <v>2194.5</v>
      </c>
      <c r="AR31" s="65" t="n">
        <f aca="false">IF(39&lt;$C$8,0,$L$8*$G$8*(1+$C$26))</f>
        <v>2194.5</v>
      </c>
      <c r="AS31" s="65" t="n">
        <f aca="false">IF(40&lt;$C$8,0,$L$8*$G$8*(1+$C$26))</f>
        <v>2194.5</v>
      </c>
      <c r="AT31" s="65" t="n">
        <f aca="false">IF(41&lt;$C$8,0,$L$8*$G$8*(1+$C$26))</f>
        <v>2194.5</v>
      </c>
      <c r="AU31" s="65" t="n">
        <f aca="false">IF(42&lt;$C$8,0,$L$8*$G$8*(1+$C$26))</f>
        <v>2194.5</v>
      </c>
      <c r="AV31" s="65" t="n">
        <f aca="false">IF(43&lt;$C$8,0,$L$8*$G$8*(1+$C$26))</f>
        <v>2194.5</v>
      </c>
      <c r="AW31" s="65" t="n">
        <f aca="false">IF(44&lt;$C$8,0,$L$8*$G$8*(1+$C$26))</f>
        <v>2194.5</v>
      </c>
      <c r="AX31" s="65" t="n">
        <f aca="false">IF(45&lt;$C$8,0,$L$8*$G$8*(1+$C$26))</f>
        <v>2194.5</v>
      </c>
      <c r="AY31" s="65" t="n">
        <f aca="false">IF(46&lt;$C$8,0,$L$8*$G$8*(1+$C$26))</f>
        <v>2194.5</v>
      </c>
      <c r="AZ31" s="65" t="n">
        <f aca="false">IF(47&lt;$C$8,0,$L$8*$G$8*(1+$C$26))</f>
        <v>2194.5</v>
      </c>
      <c r="BA31" s="65" t="n">
        <f aca="false">IF(48&lt;$C$8,0,$L$8*$G$8*(1+$C$26))</f>
        <v>2194.5</v>
      </c>
      <c r="BB31" s="64" t="n">
        <f aca="false">SUM(BC31:BN31)</f>
        <v>27720</v>
      </c>
      <c r="BC31" s="65" t="n">
        <f aca="false">IF(49&lt;$C$8,0,$M$8*$H$8*(1+$C$26))</f>
        <v>2310</v>
      </c>
      <c r="BD31" s="65" t="n">
        <f aca="false">IF(50&lt;$C$8,0,$M$8*$H$8*(1+$C$26))</f>
        <v>2310</v>
      </c>
      <c r="BE31" s="65" t="n">
        <f aca="false">IF(51&lt;$C$8,0,$M$8*$H$8*(1+$C$26))</f>
        <v>2310</v>
      </c>
      <c r="BF31" s="65" t="n">
        <f aca="false">IF(52&lt;$C$8,0,$M$8*$H$8*(1+$C$26))</f>
        <v>2310</v>
      </c>
      <c r="BG31" s="65" t="n">
        <f aca="false">IF(53&lt;$C$8,0,$M$8*$H$8*(1+$C$26))</f>
        <v>2310</v>
      </c>
      <c r="BH31" s="65" t="n">
        <f aca="false">IF(54&lt;$C$8,0,$M$8*$H$8*(1+$C$26))</f>
        <v>2310</v>
      </c>
      <c r="BI31" s="65" t="n">
        <f aca="false">IF(55&lt;$C$8,0,$M$8*$H$8*(1+$C$26))</f>
        <v>2310</v>
      </c>
      <c r="BJ31" s="65" t="n">
        <f aca="false">IF(56&lt;$C$8,0,$M$8*$H$8*(1+$C$26))</f>
        <v>2310</v>
      </c>
      <c r="BK31" s="65" t="n">
        <f aca="false">IF(57&lt;$C$8,0,$M$8*$H$8*(1+$C$26))</f>
        <v>2310</v>
      </c>
      <c r="BL31" s="65" t="n">
        <f aca="false">IF(58&lt;$C$8,0,$M$8*$H$8*(1+$C$26))</f>
        <v>2310</v>
      </c>
      <c r="BM31" s="65" t="n">
        <f aca="false">IF(59&lt;$C$8,0,$M$8*$H$8*(1+$C$26))</f>
        <v>2310</v>
      </c>
      <c r="BN31" s="65" t="n">
        <f aca="false">IF(60&lt;$C$8,0,$M$8*$H$8*(1+$C$26))</f>
        <v>2310</v>
      </c>
    </row>
    <row r="32" customFormat="false" ht="15" hidden="false" customHeight="false" outlineLevel="0" collapsed="false">
      <c r="A32" s="12" t="s">
        <v>762</v>
      </c>
      <c r="B32" s="64" t="n">
        <f aca="false">SUM(C32:N32)</f>
        <v>11088</v>
      </c>
      <c r="C32" s="65" t="n">
        <f aca="false">IF(1&lt;$C$9,0,$I$9*$D$9*(1+$C$26))</f>
        <v>924</v>
      </c>
      <c r="D32" s="65" t="n">
        <f aca="false">IF(2&lt;$C$9,0,$I$9*$D$9*(1+$C$26))</f>
        <v>924</v>
      </c>
      <c r="E32" s="65" t="n">
        <f aca="false">IF(3&lt;$C$9,0,$I$9*$D$9*(1+$C$26))</f>
        <v>924</v>
      </c>
      <c r="F32" s="65" t="n">
        <f aca="false">IF(4&lt;$C$9,0,$I$9*$D$9*(1+$C$26))</f>
        <v>924</v>
      </c>
      <c r="G32" s="65" t="n">
        <f aca="false">IF(5&lt;$C$9,0,$I$9*$D$9*(1+$C$26))</f>
        <v>924</v>
      </c>
      <c r="H32" s="65" t="n">
        <f aca="false">IF(6&lt;$C$9,0,$I$9*$D$9*(1+$C$26))</f>
        <v>924</v>
      </c>
      <c r="I32" s="65" t="n">
        <f aca="false">IF(7&lt;$C$9,0,$I$9*$D$9*(1+$C$26))</f>
        <v>924</v>
      </c>
      <c r="J32" s="65" t="n">
        <f aca="false">IF(8&lt;$C$9,0,$I$9*$D$9*(1+$C$26))</f>
        <v>924</v>
      </c>
      <c r="K32" s="65" t="n">
        <f aca="false">IF(9&lt;$C$9,0,$I$9*$D$9*(1+$C$26))</f>
        <v>924</v>
      </c>
      <c r="L32" s="65" t="n">
        <f aca="false">IF(10&lt;$C$9,0,$I$9*$D$9*(1+$C$26))</f>
        <v>924</v>
      </c>
      <c r="M32" s="65" t="n">
        <f aca="false">IF(11&lt;$C$9,0,$I$9*$D$9*(1+$C$26))</f>
        <v>924</v>
      </c>
      <c r="N32" s="65" t="n">
        <f aca="false">IF(12&lt;$C$9,0,$I$9*$D$9*(1+$C$26))</f>
        <v>924</v>
      </c>
      <c r="O32" s="64" t="n">
        <f aca="false">SUM(P32:AA32)</f>
        <v>18018</v>
      </c>
      <c r="P32" s="65" t="n">
        <f aca="false">IF(13&lt;$C$9,0,$J$9*$E$9*(1+$C$26))</f>
        <v>1501.5</v>
      </c>
      <c r="Q32" s="65" t="n">
        <f aca="false">IF(14&lt;$C$9,0,$J$9*$E$9*(1+$C$26))</f>
        <v>1501.5</v>
      </c>
      <c r="R32" s="65" t="n">
        <f aca="false">IF(15&lt;$C$9,0,$J$9*$E$9*(1+$C$26))</f>
        <v>1501.5</v>
      </c>
      <c r="S32" s="65" t="n">
        <f aca="false">IF(16&lt;$C$9,0,$J$9*$E$9*(1+$C$26))</f>
        <v>1501.5</v>
      </c>
      <c r="T32" s="65" t="n">
        <f aca="false">IF(17&lt;$C$9,0,$J$9*$E$9*(1+$C$26))</f>
        <v>1501.5</v>
      </c>
      <c r="U32" s="65" t="n">
        <f aca="false">IF(18&lt;$C$9,0,$J$9*$E$9*(1+$C$26))</f>
        <v>1501.5</v>
      </c>
      <c r="V32" s="65" t="n">
        <f aca="false">IF(19&lt;$C$9,0,$J$9*$E$9*(1+$C$26))</f>
        <v>1501.5</v>
      </c>
      <c r="W32" s="65" t="n">
        <f aca="false">IF(20&lt;$C$9,0,$J$9*$E$9*(1+$C$26))</f>
        <v>1501.5</v>
      </c>
      <c r="X32" s="65" t="n">
        <f aca="false">IF(21&lt;$C$9,0,$J$9*$E$9*(1+$C$26))</f>
        <v>1501.5</v>
      </c>
      <c r="Y32" s="65" t="n">
        <f aca="false">IF(22&lt;$C$9,0,$J$9*$E$9*(1+$C$26))</f>
        <v>1501.5</v>
      </c>
      <c r="Z32" s="65" t="n">
        <f aca="false">IF(23&lt;$C$9,0,$J$9*$E$9*(1+$C$26))</f>
        <v>1501.5</v>
      </c>
      <c r="AA32" s="65" t="n">
        <f aca="false">IF(24&lt;$C$9,0,$J$9*$E$9*(1+$C$26))</f>
        <v>1501.5</v>
      </c>
      <c r="AB32" s="64" t="n">
        <f aca="false">SUM(AC32:AN32)</f>
        <v>22176</v>
      </c>
      <c r="AC32" s="65" t="n">
        <f aca="false">IF(25&lt;$C$9,0,$K$9*$F$9*(1+$C$26))</f>
        <v>1848</v>
      </c>
      <c r="AD32" s="65" t="n">
        <f aca="false">IF(26&lt;$C$9,0,$K$9*$F$9*(1+$C$26))</f>
        <v>1848</v>
      </c>
      <c r="AE32" s="65" t="n">
        <f aca="false">IF(27&lt;$C$9,0,$K$9*$F$9*(1+$C$26))</f>
        <v>1848</v>
      </c>
      <c r="AF32" s="65" t="n">
        <f aca="false">IF(28&lt;$C$9,0,$K$9*$F$9*(1+$C$26))</f>
        <v>1848</v>
      </c>
      <c r="AG32" s="65" t="n">
        <f aca="false">IF(29&lt;$C$9,0,$K$9*$F$9*(1+$C$26))</f>
        <v>1848</v>
      </c>
      <c r="AH32" s="65" t="n">
        <f aca="false">IF(30&lt;$C$9,0,$K$9*$F$9*(1+$C$26))</f>
        <v>1848</v>
      </c>
      <c r="AI32" s="65" t="n">
        <f aca="false">IF(31&lt;$C$9,0,$K$9*$F$9*(1+$C$26))</f>
        <v>1848</v>
      </c>
      <c r="AJ32" s="65" t="n">
        <f aca="false">IF(32&lt;$C$9,0,$K$9*$F$9*(1+$C$26))</f>
        <v>1848</v>
      </c>
      <c r="AK32" s="65" t="n">
        <f aca="false">IF(33&lt;$C$9,0,$K$9*$F$9*(1+$C$26))</f>
        <v>1848</v>
      </c>
      <c r="AL32" s="65" t="n">
        <f aca="false">IF(34&lt;$C$9,0,$K$9*$F$9*(1+$C$26))</f>
        <v>1848</v>
      </c>
      <c r="AM32" s="65" t="n">
        <f aca="false">IF(35&lt;$C$9,0,$K$9*$F$9*(1+$C$26))</f>
        <v>1848</v>
      </c>
      <c r="AN32" s="65" t="n">
        <f aca="false">IF(36&lt;$C$9,0,$K$9*$F$9*(1+$C$26))</f>
        <v>1848</v>
      </c>
      <c r="AO32" s="64" t="n">
        <f aca="false">SUM(AP32:BA32)</f>
        <v>24948</v>
      </c>
      <c r="AP32" s="65" t="n">
        <f aca="false">IF(37&lt;$C$9,0,$L$9*$G$9*(1+$C$26))</f>
        <v>2079</v>
      </c>
      <c r="AQ32" s="65" t="n">
        <f aca="false">IF(38&lt;$C$9,0,$L$9*$G$9*(1+$C$26))</f>
        <v>2079</v>
      </c>
      <c r="AR32" s="65" t="n">
        <f aca="false">IF(39&lt;$C$9,0,$L$9*$G$9*(1+$C$26))</f>
        <v>2079</v>
      </c>
      <c r="AS32" s="65" t="n">
        <f aca="false">IF(40&lt;$C$9,0,$L$9*$G$9*(1+$C$26))</f>
        <v>2079</v>
      </c>
      <c r="AT32" s="65" t="n">
        <f aca="false">IF(41&lt;$C$9,0,$L$9*$G$9*(1+$C$26))</f>
        <v>2079</v>
      </c>
      <c r="AU32" s="65" t="n">
        <f aca="false">IF(42&lt;$C$9,0,$L$9*$G$9*(1+$C$26))</f>
        <v>2079</v>
      </c>
      <c r="AV32" s="65" t="n">
        <f aca="false">IF(43&lt;$C$9,0,$L$9*$G$9*(1+$C$26))</f>
        <v>2079</v>
      </c>
      <c r="AW32" s="65" t="n">
        <f aca="false">IF(44&lt;$C$9,0,$L$9*$G$9*(1+$C$26))</f>
        <v>2079</v>
      </c>
      <c r="AX32" s="65" t="n">
        <f aca="false">IF(45&lt;$C$9,0,$L$9*$G$9*(1+$C$26))</f>
        <v>2079</v>
      </c>
      <c r="AY32" s="65" t="n">
        <f aca="false">IF(46&lt;$C$9,0,$L$9*$G$9*(1+$C$26))</f>
        <v>2079</v>
      </c>
      <c r="AZ32" s="65" t="n">
        <f aca="false">IF(47&lt;$C$9,0,$L$9*$G$9*(1+$C$26))</f>
        <v>2079</v>
      </c>
      <c r="BA32" s="65" t="n">
        <f aca="false">IF(48&lt;$C$9,0,$L$9*$G$9*(1+$C$26))</f>
        <v>2079</v>
      </c>
      <c r="BB32" s="64" t="n">
        <f aca="false">SUM(BC32:BN32)</f>
        <v>26334</v>
      </c>
      <c r="BC32" s="65" t="n">
        <f aca="false">IF(49&lt;$C$9,0,$M$9*$H$9*(1+$C$26))</f>
        <v>2194.5</v>
      </c>
      <c r="BD32" s="65" t="n">
        <f aca="false">IF(50&lt;$C$9,0,$M$9*$H$9*(1+$C$26))</f>
        <v>2194.5</v>
      </c>
      <c r="BE32" s="65" t="n">
        <f aca="false">IF(51&lt;$C$9,0,$M$9*$H$9*(1+$C$26))</f>
        <v>2194.5</v>
      </c>
      <c r="BF32" s="65" t="n">
        <f aca="false">IF(52&lt;$C$9,0,$M$9*$H$9*(1+$C$26))</f>
        <v>2194.5</v>
      </c>
      <c r="BG32" s="65" t="n">
        <f aca="false">IF(53&lt;$C$9,0,$M$9*$H$9*(1+$C$26))</f>
        <v>2194.5</v>
      </c>
      <c r="BH32" s="65" t="n">
        <f aca="false">IF(54&lt;$C$9,0,$M$9*$H$9*(1+$C$26))</f>
        <v>2194.5</v>
      </c>
      <c r="BI32" s="65" t="n">
        <f aca="false">IF(55&lt;$C$9,0,$M$9*$H$9*(1+$C$26))</f>
        <v>2194.5</v>
      </c>
      <c r="BJ32" s="65" t="n">
        <f aca="false">IF(56&lt;$C$9,0,$M$9*$H$9*(1+$C$26))</f>
        <v>2194.5</v>
      </c>
      <c r="BK32" s="65" t="n">
        <f aca="false">IF(57&lt;$C$9,0,$M$9*$H$9*(1+$C$26))</f>
        <v>2194.5</v>
      </c>
      <c r="BL32" s="65" t="n">
        <f aca="false">IF(58&lt;$C$9,0,$M$9*$H$9*(1+$C$26))</f>
        <v>2194.5</v>
      </c>
      <c r="BM32" s="65" t="n">
        <f aca="false">IF(59&lt;$C$9,0,$M$9*$H$9*(1+$C$26))</f>
        <v>2194.5</v>
      </c>
      <c r="BN32" s="65" t="n">
        <f aca="false">IF(60&lt;$C$9,0,$M$9*$H$9*(1+$C$26))</f>
        <v>2194.5</v>
      </c>
    </row>
    <row r="33" customFormat="false" ht="15" hidden="false" customHeight="false" outlineLevel="0" collapsed="false">
      <c r="A33" s="12" t="s">
        <v>763</v>
      </c>
      <c r="B33" s="64" t="n">
        <f aca="false">SUM(C33:N33)</f>
        <v>8316</v>
      </c>
      <c r="C33" s="65" t="n">
        <f aca="false">IF(1&lt;$C$10,0,$I$10*$D$10*(1+$C$26))</f>
        <v>693</v>
      </c>
      <c r="D33" s="65" t="n">
        <f aca="false">IF(2&lt;$C$10,0,$I$10*$D$10*(1+$C$26))</f>
        <v>693</v>
      </c>
      <c r="E33" s="65" t="n">
        <f aca="false">IF(3&lt;$C$10,0,$I$10*$D$10*(1+$C$26))</f>
        <v>693</v>
      </c>
      <c r="F33" s="65" t="n">
        <f aca="false">IF(4&lt;$C$10,0,$I$10*$D$10*(1+$C$26))</f>
        <v>693</v>
      </c>
      <c r="G33" s="65" t="n">
        <f aca="false">IF(5&lt;$C$10,0,$I$10*$D$10*(1+$C$26))</f>
        <v>693</v>
      </c>
      <c r="H33" s="65" t="n">
        <f aca="false">IF(6&lt;$C$10,0,$I$10*$D$10*(1+$C$26))</f>
        <v>693</v>
      </c>
      <c r="I33" s="65" t="n">
        <f aca="false">IF(7&lt;$C$10,0,$I$10*$D$10*(1+$C$26))</f>
        <v>693</v>
      </c>
      <c r="J33" s="65" t="n">
        <f aca="false">IF(8&lt;$C$10,0,$I$10*$D$10*(1+$C$26))</f>
        <v>693</v>
      </c>
      <c r="K33" s="65" t="n">
        <f aca="false">IF(9&lt;$C$10,0,$I$10*$D$10*(1+$C$26))</f>
        <v>693</v>
      </c>
      <c r="L33" s="65" t="n">
        <f aca="false">IF(10&lt;$C$10,0,$I$10*$D$10*(1+$C$26))</f>
        <v>693</v>
      </c>
      <c r="M33" s="65" t="n">
        <f aca="false">IF(11&lt;$C$10,0,$I$10*$D$10*(1+$C$26))</f>
        <v>693</v>
      </c>
      <c r="N33" s="65" t="n">
        <f aca="false">IF(12&lt;$C$10,0,$I$10*$D$10*(1+$C$26))</f>
        <v>693</v>
      </c>
      <c r="O33" s="64" t="n">
        <f aca="false">SUM(P33:AA33)</f>
        <v>11088</v>
      </c>
      <c r="P33" s="65" t="n">
        <f aca="false">IF(13&lt;$C$10,0,$J$10*$E$10*(1+$C$26))</f>
        <v>924</v>
      </c>
      <c r="Q33" s="65" t="n">
        <f aca="false">IF(14&lt;$C$10,0,$J$10*$E$10*(1+$C$26))</f>
        <v>924</v>
      </c>
      <c r="R33" s="65" t="n">
        <f aca="false">IF(15&lt;$C$10,0,$J$10*$E$10*(1+$C$26))</f>
        <v>924</v>
      </c>
      <c r="S33" s="65" t="n">
        <f aca="false">IF(16&lt;$C$10,0,$J$10*$E$10*(1+$C$26))</f>
        <v>924</v>
      </c>
      <c r="T33" s="65" t="n">
        <f aca="false">IF(17&lt;$C$10,0,$J$10*$E$10*(1+$C$26))</f>
        <v>924</v>
      </c>
      <c r="U33" s="65" t="n">
        <f aca="false">IF(18&lt;$C$10,0,$J$10*$E$10*(1+$C$26))</f>
        <v>924</v>
      </c>
      <c r="V33" s="65" t="n">
        <f aca="false">IF(19&lt;$C$10,0,$J$10*$E$10*(1+$C$26))</f>
        <v>924</v>
      </c>
      <c r="W33" s="65" t="n">
        <f aca="false">IF(20&lt;$C$10,0,$J$10*$E$10*(1+$C$26))</f>
        <v>924</v>
      </c>
      <c r="X33" s="65" t="n">
        <f aca="false">IF(21&lt;$C$10,0,$J$10*$E$10*(1+$C$26))</f>
        <v>924</v>
      </c>
      <c r="Y33" s="65" t="n">
        <f aca="false">IF(22&lt;$C$10,0,$J$10*$E$10*(1+$C$26))</f>
        <v>924</v>
      </c>
      <c r="Z33" s="65" t="n">
        <f aca="false">IF(23&lt;$C$10,0,$J$10*$E$10*(1+$C$26))</f>
        <v>924</v>
      </c>
      <c r="AA33" s="65" t="n">
        <f aca="false">IF(24&lt;$C$10,0,$J$10*$E$10*(1+$C$26))</f>
        <v>924</v>
      </c>
      <c r="AB33" s="64" t="n">
        <f aca="false">SUM(AC33:AN33)</f>
        <v>13860</v>
      </c>
      <c r="AC33" s="65" t="n">
        <f aca="false">IF(25&lt;$C$10,0,$K$10*$F$10*(1+$C$26))</f>
        <v>1155</v>
      </c>
      <c r="AD33" s="65" t="n">
        <f aca="false">IF(26&lt;$C$10,0,$K$10*$F$10*(1+$C$26))</f>
        <v>1155</v>
      </c>
      <c r="AE33" s="65" t="n">
        <f aca="false">IF(27&lt;$C$10,0,$K$10*$F$10*(1+$C$26))</f>
        <v>1155</v>
      </c>
      <c r="AF33" s="65" t="n">
        <f aca="false">IF(28&lt;$C$10,0,$K$10*$F$10*(1+$C$26))</f>
        <v>1155</v>
      </c>
      <c r="AG33" s="65" t="n">
        <f aca="false">IF(29&lt;$C$10,0,$K$10*$F$10*(1+$C$26))</f>
        <v>1155</v>
      </c>
      <c r="AH33" s="65" t="n">
        <f aca="false">IF(30&lt;$C$10,0,$K$10*$F$10*(1+$C$26))</f>
        <v>1155</v>
      </c>
      <c r="AI33" s="65" t="n">
        <f aca="false">IF(31&lt;$C$10,0,$K$10*$F$10*(1+$C$26))</f>
        <v>1155</v>
      </c>
      <c r="AJ33" s="65" t="n">
        <f aca="false">IF(32&lt;$C$10,0,$K$10*$F$10*(1+$C$26))</f>
        <v>1155</v>
      </c>
      <c r="AK33" s="65" t="n">
        <f aca="false">IF(33&lt;$C$10,0,$K$10*$F$10*(1+$C$26))</f>
        <v>1155</v>
      </c>
      <c r="AL33" s="65" t="n">
        <f aca="false">IF(34&lt;$C$10,0,$K$10*$F$10*(1+$C$26))</f>
        <v>1155</v>
      </c>
      <c r="AM33" s="65" t="n">
        <f aca="false">IF(35&lt;$C$10,0,$K$10*$F$10*(1+$C$26))</f>
        <v>1155</v>
      </c>
      <c r="AN33" s="65" t="n">
        <f aca="false">IF(36&lt;$C$10,0,$K$10*$F$10*(1+$C$26))</f>
        <v>1155</v>
      </c>
      <c r="AO33" s="64" t="n">
        <f aca="false">SUM(AP33:BA33)</f>
        <v>30492</v>
      </c>
      <c r="AP33" s="65" t="n">
        <f aca="false">IF(37&lt;$C$10,0,$L$10*$G$10*(1+$C$26))</f>
        <v>2541</v>
      </c>
      <c r="AQ33" s="65" t="n">
        <f aca="false">IF(38&lt;$C$10,0,$L$10*$G$10*(1+$C$26))</f>
        <v>2541</v>
      </c>
      <c r="AR33" s="65" t="n">
        <f aca="false">IF(39&lt;$C$10,0,$L$10*$G$10*(1+$C$26))</f>
        <v>2541</v>
      </c>
      <c r="AS33" s="65" t="n">
        <f aca="false">IF(40&lt;$C$10,0,$L$10*$G$10*(1+$C$26))</f>
        <v>2541</v>
      </c>
      <c r="AT33" s="65" t="n">
        <f aca="false">IF(41&lt;$C$10,0,$L$10*$G$10*(1+$C$26))</f>
        <v>2541</v>
      </c>
      <c r="AU33" s="65" t="n">
        <f aca="false">IF(42&lt;$C$10,0,$L$10*$G$10*(1+$C$26))</f>
        <v>2541</v>
      </c>
      <c r="AV33" s="65" t="n">
        <f aca="false">IF(43&lt;$C$10,0,$L$10*$G$10*(1+$C$26))</f>
        <v>2541</v>
      </c>
      <c r="AW33" s="65" t="n">
        <f aca="false">IF(44&lt;$C$10,0,$L$10*$G$10*(1+$C$26))</f>
        <v>2541</v>
      </c>
      <c r="AX33" s="65" t="n">
        <f aca="false">IF(45&lt;$C$10,0,$L$10*$G$10*(1+$C$26))</f>
        <v>2541</v>
      </c>
      <c r="AY33" s="65" t="n">
        <f aca="false">IF(46&lt;$C$10,0,$L$10*$G$10*(1+$C$26))</f>
        <v>2541</v>
      </c>
      <c r="AZ33" s="65" t="n">
        <f aca="false">IF(47&lt;$C$10,0,$L$10*$G$10*(1+$C$26))</f>
        <v>2541</v>
      </c>
      <c r="BA33" s="65" t="n">
        <f aca="false">IF(48&lt;$C$10,0,$L$10*$G$10*(1+$C$26))</f>
        <v>2541</v>
      </c>
      <c r="BB33" s="64" t="n">
        <f aca="false">SUM(BC33:BN33)</f>
        <v>49896</v>
      </c>
      <c r="BC33" s="65" t="n">
        <f aca="false">IF(49&lt;$C$10,0,$M$10*$H$10*(1+$C$26))</f>
        <v>4158</v>
      </c>
      <c r="BD33" s="65" t="n">
        <f aca="false">IF(50&lt;$C$10,0,$M$10*$H$10*(1+$C$26))</f>
        <v>4158</v>
      </c>
      <c r="BE33" s="65" t="n">
        <f aca="false">IF(51&lt;$C$10,0,$M$10*$H$10*(1+$C$26))</f>
        <v>4158</v>
      </c>
      <c r="BF33" s="65" t="n">
        <f aca="false">IF(52&lt;$C$10,0,$M$10*$H$10*(1+$C$26))</f>
        <v>4158</v>
      </c>
      <c r="BG33" s="65" t="n">
        <f aca="false">IF(53&lt;$C$10,0,$M$10*$H$10*(1+$C$26))</f>
        <v>4158</v>
      </c>
      <c r="BH33" s="65" t="n">
        <f aca="false">IF(54&lt;$C$10,0,$M$10*$H$10*(1+$C$26))</f>
        <v>4158</v>
      </c>
      <c r="BI33" s="65" t="n">
        <f aca="false">IF(55&lt;$C$10,0,$M$10*$H$10*(1+$C$26))</f>
        <v>4158</v>
      </c>
      <c r="BJ33" s="65" t="n">
        <f aca="false">IF(56&lt;$C$10,0,$M$10*$H$10*(1+$C$26))</f>
        <v>4158</v>
      </c>
      <c r="BK33" s="65" t="n">
        <f aca="false">IF(57&lt;$C$10,0,$M$10*$H$10*(1+$C$26))</f>
        <v>4158</v>
      </c>
      <c r="BL33" s="65" t="n">
        <f aca="false">IF(58&lt;$C$10,0,$M$10*$H$10*(1+$C$26))</f>
        <v>4158</v>
      </c>
      <c r="BM33" s="65" t="n">
        <f aca="false">IF(59&lt;$C$10,0,$M$10*$H$10*(1+$C$26))</f>
        <v>4158</v>
      </c>
      <c r="BN33" s="65" t="n">
        <f aca="false">IF(60&lt;$C$10,0,$M$10*$H$10*(1+$C$26))</f>
        <v>4158</v>
      </c>
    </row>
    <row r="34" customFormat="false" ht="15" hidden="false" customHeight="false" outlineLevel="0" collapsed="false">
      <c r="A34" s="12" t="s">
        <v>764</v>
      </c>
      <c r="B34" s="64" t="n">
        <f aca="false">SUM(C34:N34)</f>
        <v>8316</v>
      </c>
      <c r="C34" s="65" t="n">
        <f aca="false">IF(1&lt;$C$11,0,$I$11*$D$11*(1+$C$26))</f>
        <v>693</v>
      </c>
      <c r="D34" s="65" t="n">
        <f aca="false">IF(2&lt;$C$11,0,$I$11*$D$11*(1+$C$26))</f>
        <v>693</v>
      </c>
      <c r="E34" s="65" t="n">
        <f aca="false">IF(3&lt;$C$11,0,$I$11*$D$11*(1+$C$26))</f>
        <v>693</v>
      </c>
      <c r="F34" s="65" t="n">
        <f aca="false">IF(4&lt;$C$11,0,$I$11*$D$11*(1+$C$26))</f>
        <v>693</v>
      </c>
      <c r="G34" s="65" t="n">
        <f aca="false">IF(5&lt;$C$11,0,$I$11*$D$11*(1+$C$26))</f>
        <v>693</v>
      </c>
      <c r="H34" s="65" t="n">
        <f aca="false">IF(6&lt;$C$11,0,$I$11*$D$11*(1+$C$26))</f>
        <v>693</v>
      </c>
      <c r="I34" s="65" t="n">
        <f aca="false">IF(7&lt;$C$11,0,$I$11*$D$11*(1+$C$26))</f>
        <v>693</v>
      </c>
      <c r="J34" s="65" t="n">
        <f aca="false">IF(8&lt;$C$11,0,$I$11*$D$11*(1+$C$26))</f>
        <v>693</v>
      </c>
      <c r="K34" s="65" t="n">
        <f aca="false">IF(9&lt;$C$11,0,$I$11*$D$11*(1+$C$26))</f>
        <v>693</v>
      </c>
      <c r="L34" s="65" t="n">
        <f aca="false">IF(10&lt;$C$11,0,$I$11*$D$11*(1+$C$26))</f>
        <v>693</v>
      </c>
      <c r="M34" s="65" t="n">
        <f aca="false">IF(11&lt;$C$11,0,$I$11*$D$11*(1+$C$26))</f>
        <v>693</v>
      </c>
      <c r="N34" s="65" t="n">
        <f aca="false">IF(12&lt;$C$11,0,$I$11*$D$11*(1+$C$26))</f>
        <v>693</v>
      </c>
      <c r="O34" s="64" t="n">
        <f aca="false">SUM(P34:AA34)</f>
        <v>11088</v>
      </c>
      <c r="P34" s="65" t="n">
        <f aca="false">IF(13&lt;$C$11,0,$J$11*$E$11*(1+$C$26))</f>
        <v>924</v>
      </c>
      <c r="Q34" s="65" t="n">
        <f aca="false">IF(14&lt;$C$11,0,$J$11*$E$11*(1+$C$26))</f>
        <v>924</v>
      </c>
      <c r="R34" s="65" t="n">
        <f aca="false">IF(15&lt;$C$11,0,$J$11*$E$11*(1+$C$26))</f>
        <v>924</v>
      </c>
      <c r="S34" s="65" t="n">
        <f aca="false">IF(16&lt;$C$11,0,$J$11*$E$11*(1+$C$26))</f>
        <v>924</v>
      </c>
      <c r="T34" s="65" t="n">
        <f aca="false">IF(17&lt;$C$11,0,$J$11*$E$11*(1+$C$26))</f>
        <v>924</v>
      </c>
      <c r="U34" s="65" t="n">
        <f aca="false">IF(18&lt;$C$11,0,$J$11*$E$11*(1+$C$26))</f>
        <v>924</v>
      </c>
      <c r="V34" s="65" t="n">
        <f aca="false">IF(19&lt;$C$11,0,$J$11*$E$11*(1+$C$26))</f>
        <v>924</v>
      </c>
      <c r="W34" s="65" t="n">
        <f aca="false">IF(20&lt;$C$11,0,$J$11*$E$11*(1+$C$26))</f>
        <v>924</v>
      </c>
      <c r="X34" s="65" t="n">
        <f aca="false">IF(21&lt;$C$11,0,$J$11*$E$11*(1+$C$26))</f>
        <v>924</v>
      </c>
      <c r="Y34" s="65" t="n">
        <f aca="false">IF(22&lt;$C$11,0,$J$11*$E$11*(1+$C$26))</f>
        <v>924</v>
      </c>
      <c r="Z34" s="65" t="n">
        <f aca="false">IF(23&lt;$C$11,0,$J$11*$E$11*(1+$C$26))</f>
        <v>924</v>
      </c>
      <c r="AA34" s="65" t="n">
        <f aca="false">IF(24&lt;$C$11,0,$J$11*$E$11*(1+$C$26))</f>
        <v>924</v>
      </c>
      <c r="AB34" s="64" t="n">
        <f aca="false">SUM(AC34:AN34)</f>
        <v>13860</v>
      </c>
      <c r="AC34" s="65" t="n">
        <f aca="false">IF(25&lt;$C$11,0,$K$11*$F$11*(1+$C$26))</f>
        <v>1155</v>
      </c>
      <c r="AD34" s="65" t="n">
        <f aca="false">IF(26&lt;$C$11,0,$K$11*$F$11*(1+$C$26))</f>
        <v>1155</v>
      </c>
      <c r="AE34" s="65" t="n">
        <f aca="false">IF(27&lt;$C$11,0,$K$11*$F$11*(1+$C$26))</f>
        <v>1155</v>
      </c>
      <c r="AF34" s="65" t="n">
        <f aca="false">IF(28&lt;$C$11,0,$K$11*$F$11*(1+$C$26))</f>
        <v>1155</v>
      </c>
      <c r="AG34" s="65" t="n">
        <f aca="false">IF(29&lt;$C$11,0,$K$11*$F$11*(1+$C$26))</f>
        <v>1155</v>
      </c>
      <c r="AH34" s="65" t="n">
        <f aca="false">IF(30&lt;$C$11,0,$K$11*$F$11*(1+$C$26))</f>
        <v>1155</v>
      </c>
      <c r="AI34" s="65" t="n">
        <f aca="false">IF(31&lt;$C$11,0,$K$11*$F$11*(1+$C$26))</f>
        <v>1155</v>
      </c>
      <c r="AJ34" s="65" t="n">
        <f aca="false">IF(32&lt;$C$11,0,$K$11*$F$11*(1+$C$26))</f>
        <v>1155</v>
      </c>
      <c r="AK34" s="65" t="n">
        <f aca="false">IF(33&lt;$C$11,0,$K$11*$F$11*(1+$C$26))</f>
        <v>1155</v>
      </c>
      <c r="AL34" s="65" t="n">
        <f aca="false">IF(34&lt;$C$11,0,$K$11*$F$11*(1+$C$26))</f>
        <v>1155</v>
      </c>
      <c r="AM34" s="65" t="n">
        <f aca="false">IF(35&lt;$C$11,0,$K$11*$F$11*(1+$C$26))</f>
        <v>1155</v>
      </c>
      <c r="AN34" s="65" t="n">
        <f aca="false">IF(36&lt;$C$11,0,$K$11*$F$11*(1+$C$26))</f>
        <v>1155</v>
      </c>
      <c r="AO34" s="64" t="n">
        <f aca="false">SUM(AP34:BA34)</f>
        <v>30492</v>
      </c>
      <c r="AP34" s="65" t="n">
        <f aca="false">IF(37&lt;$C$11,0,$L$11*$G$11*(1+$C$26))</f>
        <v>2541</v>
      </c>
      <c r="AQ34" s="65" t="n">
        <f aca="false">IF(38&lt;$C$11,0,$L$11*$G$11*(1+$C$26))</f>
        <v>2541</v>
      </c>
      <c r="AR34" s="65" t="n">
        <f aca="false">IF(39&lt;$C$11,0,$L$11*$G$11*(1+$C$26))</f>
        <v>2541</v>
      </c>
      <c r="AS34" s="65" t="n">
        <f aca="false">IF(40&lt;$C$11,0,$L$11*$G$11*(1+$C$26))</f>
        <v>2541</v>
      </c>
      <c r="AT34" s="65" t="n">
        <f aca="false">IF(41&lt;$C$11,0,$L$11*$G$11*(1+$C$26))</f>
        <v>2541</v>
      </c>
      <c r="AU34" s="65" t="n">
        <f aca="false">IF(42&lt;$C$11,0,$L$11*$G$11*(1+$C$26))</f>
        <v>2541</v>
      </c>
      <c r="AV34" s="65" t="n">
        <f aca="false">IF(43&lt;$C$11,0,$L$11*$G$11*(1+$C$26))</f>
        <v>2541</v>
      </c>
      <c r="AW34" s="65" t="n">
        <f aca="false">IF(44&lt;$C$11,0,$L$11*$G$11*(1+$C$26))</f>
        <v>2541</v>
      </c>
      <c r="AX34" s="65" t="n">
        <f aca="false">IF(45&lt;$C$11,0,$L$11*$G$11*(1+$C$26))</f>
        <v>2541</v>
      </c>
      <c r="AY34" s="65" t="n">
        <f aca="false">IF(46&lt;$C$11,0,$L$11*$G$11*(1+$C$26))</f>
        <v>2541</v>
      </c>
      <c r="AZ34" s="65" t="n">
        <f aca="false">IF(47&lt;$C$11,0,$L$11*$G$11*(1+$C$26))</f>
        <v>2541</v>
      </c>
      <c r="BA34" s="65" t="n">
        <f aca="false">IF(48&lt;$C$11,0,$L$11*$G$11*(1+$C$26))</f>
        <v>2541</v>
      </c>
      <c r="BB34" s="64" t="n">
        <f aca="false">SUM(BC34:BN34)</f>
        <v>33264</v>
      </c>
      <c r="BC34" s="65" t="n">
        <f aca="false">IF(49&lt;$C$11,0,$M$11*$H$11*(1+$C$26))</f>
        <v>2772</v>
      </c>
      <c r="BD34" s="65" t="n">
        <f aca="false">IF(50&lt;$C$11,0,$M$11*$H$11*(1+$C$26))</f>
        <v>2772</v>
      </c>
      <c r="BE34" s="65" t="n">
        <f aca="false">IF(51&lt;$C$11,0,$M$11*$H$11*(1+$C$26))</f>
        <v>2772</v>
      </c>
      <c r="BF34" s="65" t="n">
        <f aca="false">IF(52&lt;$C$11,0,$M$11*$H$11*(1+$C$26))</f>
        <v>2772</v>
      </c>
      <c r="BG34" s="65" t="n">
        <f aca="false">IF(53&lt;$C$11,0,$M$11*$H$11*(1+$C$26))</f>
        <v>2772</v>
      </c>
      <c r="BH34" s="65" t="n">
        <f aca="false">IF(54&lt;$C$11,0,$M$11*$H$11*(1+$C$26))</f>
        <v>2772</v>
      </c>
      <c r="BI34" s="65" t="n">
        <f aca="false">IF(55&lt;$C$11,0,$M$11*$H$11*(1+$C$26))</f>
        <v>2772</v>
      </c>
      <c r="BJ34" s="65" t="n">
        <f aca="false">IF(56&lt;$C$11,0,$M$11*$H$11*(1+$C$26))</f>
        <v>2772</v>
      </c>
      <c r="BK34" s="65" t="n">
        <f aca="false">IF(57&lt;$C$11,0,$M$11*$H$11*(1+$C$26))</f>
        <v>2772</v>
      </c>
      <c r="BL34" s="65" t="n">
        <f aca="false">IF(58&lt;$C$11,0,$M$11*$H$11*(1+$C$26))</f>
        <v>2772</v>
      </c>
      <c r="BM34" s="65" t="n">
        <f aca="false">IF(59&lt;$C$11,0,$M$11*$H$11*(1+$C$26))</f>
        <v>2772</v>
      </c>
      <c r="BN34" s="65" t="n">
        <f aca="false">IF(60&lt;$C$11,0,$M$11*$H$11*(1+$C$26))</f>
        <v>2772</v>
      </c>
    </row>
    <row r="35" customFormat="false" ht="15" hidden="false" customHeight="false" outlineLevel="0" collapsed="false">
      <c r="A35" s="12" t="s">
        <v>765</v>
      </c>
      <c r="B35" s="64" t="n">
        <f aca="false">SUM(C35:N35)</f>
        <v>0</v>
      </c>
      <c r="C35" s="65" t="n">
        <f aca="false">IF(1&lt;$C$12,0,$I$12*$D$12*(1+$C$26))</f>
        <v>0</v>
      </c>
      <c r="D35" s="65" t="n">
        <f aca="false">IF(2&lt;$C$12,0,$I$12*$D$12*(1+$C$26))</f>
        <v>0</v>
      </c>
      <c r="E35" s="65" t="n">
        <f aca="false">IF(3&lt;$C$12,0,$I$12*$D$12*(1+$C$26))</f>
        <v>0</v>
      </c>
      <c r="F35" s="65" t="n">
        <f aca="false">IF(4&lt;$C$12,0,$I$12*$D$12*(1+$C$26))</f>
        <v>0</v>
      </c>
      <c r="G35" s="65" t="n">
        <f aca="false">IF(5&lt;$C$12,0,$I$12*$D$12*(1+$C$26))</f>
        <v>0</v>
      </c>
      <c r="H35" s="65" t="n">
        <f aca="false">IF(6&lt;$C$12,0,$I$12*$D$12*(1+$C$26))</f>
        <v>0</v>
      </c>
      <c r="I35" s="65" t="n">
        <f aca="false">IF(7&lt;$C$12,0,$I$12*$D$12*(1+$C$26))</f>
        <v>0</v>
      </c>
      <c r="J35" s="65" t="n">
        <f aca="false">IF(8&lt;$C$12,0,$I$12*$D$12*(1+$C$26))</f>
        <v>0</v>
      </c>
      <c r="K35" s="65" t="n">
        <f aca="false">IF(9&lt;$C$12,0,$I$12*$D$12*(1+$C$26))</f>
        <v>0</v>
      </c>
      <c r="L35" s="65" t="n">
        <f aca="false">IF(10&lt;$C$12,0,$I$12*$D$12*(1+$C$26))</f>
        <v>0</v>
      </c>
      <c r="M35" s="65" t="n">
        <f aca="false">IF(11&lt;$C$12,0,$I$12*$D$12*(1+$C$26))</f>
        <v>0</v>
      </c>
      <c r="N35" s="65" t="n">
        <f aca="false">IF(12&lt;$C$12,0,$I$12*$D$12*(1+$C$26))</f>
        <v>0</v>
      </c>
      <c r="O35" s="64" t="n">
        <f aca="false">SUM(P35:AA35)</f>
        <v>12474</v>
      </c>
      <c r="P35" s="65" t="n">
        <f aca="false">IF(13&lt;$C$12,0,$J$12*$E$12*(1+$C$26))</f>
        <v>1039.5</v>
      </c>
      <c r="Q35" s="65" t="n">
        <f aca="false">IF(14&lt;$C$12,0,$J$12*$E$12*(1+$C$26))</f>
        <v>1039.5</v>
      </c>
      <c r="R35" s="65" t="n">
        <f aca="false">IF(15&lt;$C$12,0,$J$12*$E$12*(1+$C$26))</f>
        <v>1039.5</v>
      </c>
      <c r="S35" s="65" t="n">
        <f aca="false">IF(16&lt;$C$12,0,$J$12*$E$12*(1+$C$26))</f>
        <v>1039.5</v>
      </c>
      <c r="T35" s="65" t="n">
        <f aca="false">IF(17&lt;$C$12,0,$J$12*$E$12*(1+$C$26))</f>
        <v>1039.5</v>
      </c>
      <c r="U35" s="65" t="n">
        <f aca="false">IF(18&lt;$C$12,0,$J$12*$E$12*(1+$C$26))</f>
        <v>1039.5</v>
      </c>
      <c r="V35" s="65" t="n">
        <f aca="false">IF(19&lt;$C$12,0,$J$12*$E$12*(1+$C$26))</f>
        <v>1039.5</v>
      </c>
      <c r="W35" s="65" t="n">
        <f aca="false">IF(20&lt;$C$12,0,$J$12*$E$12*(1+$C$26))</f>
        <v>1039.5</v>
      </c>
      <c r="X35" s="65" t="n">
        <f aca="false">IF(21&lt;$C$12,0,$J$12*$E$12*(1+$C$26))</f>
        <v>1039.5</v>
      </c>
      <c r="Y35" s="65" t="n">
        <f aca="false">IF(22&lt;$C$12,0,$J$12*$E$12*(1+$C$26))</f>
        <v>1039.5</v>
      </c>
      <c r="Z35" s="65" t="n">
        <f aca="false">IF(23&lt;$C$12,0,$J$12*$E$12*(1+$C$26))</f>
        <v>1039.5</v>
      </c>
      <c r="AA35" s="65" t="n">
        <f aca="false">IF(24&lt;$C$12,0,$J$12*$E$12*(1+$C$26))</f>
        <v>1039.5</v>
      </c>
      <c r="AB35" s="64" t="n">
        <f aca="false">SUM(AC35:AN35)</f>
        <v>15246</v>
      </c>
      <c r="AC35" s="65" t="n">
        <f aca="false">IF(25&lt;$C$12,0,$K$12*$F$12*(1+$C$26))</f>
        <v>1270.5</v>
      </c>
      <c r="AD35" s="65" t="n">
        <f aca="false">IF(26&lt;$C$12,0,$K$12*$F$12*(1+$C$26))</f>
        <v>1270.5</v>
      </c>
      <c r="AE35" s="65" t="n">
        <f aca="false">IF(27&lt;$C$12,0,$K$12*$F$12*(1+$C$26))</f>
        <v>1270.5</v>
      </c>
      <c r="AF35" s="65" t="n">
        <f aca="false">IF(28&lt;$C$12,0,$K$12*$F$12*(1+$C$26))</f>
        <v>1270.5</v>
      </c>
      <c r="AG35" s="65" t="n">
        <f aca="false">IF(29&lt;$C$12,0,$K$12*$F$12*(1+$C$26))</f>
        <v>1270.5</v>
      </c>
      <c r="AH35" s="65" t="n">
        <f aca="false">IF(30&lt;$C$12,0,$K$12*$F$12*(1+$C$26))</f>
        <v>1270.5</v>
      </c>
      <c r="AI35" s="65" t="n">
        <f aca="false">IF(31&lt;$C$12,0,$K$12*$F$12*(1+$C$26))</f>
        <v>1270.5</v>
      </c>
      <c r="AJ35" s="65" t="n">
        <f aca="false">IF(32&lt;$C$12,0,$K$12*$F$12*(1+$C$26))</f>
        <v>1270.5</v>
      </c>
      <c r="AK35" s="65" t="n">
        <f aca="false">IF(33&lt;$C$12,0,$K$12*$F$12*(1+$C$26))</f>
        <v>1270.5</v>
      </c>
      <c r="AL35" s="65" t="n">
        <f aca="false">IF(34&lt;$C$12,0,$K$12*$F$12*(1+$C$26))</f>
        <v>1270.5</v>
      </c>
      <c r="AM35" s="65" t="n">
        <f aca="false">IF(35&lt;$C$12,0,$K$12*$F$12*(1+$C$26))</f>
        <v>1270.5</v>
      </c>
      <c r="AN35" s="65" t="n">
        <f aca="false">IF(36&lt;$C$12,0,$K$12*$F$12*(1+$C$26))</f>
        <v>1270.5</v>
      </c>
      <c r="AO35" s="64" t="n">
        <f aca="false">SUM(AP35:BA35)</f>
        <v>16632</v>
      </c>
      <c r="AP35" s="65" t="n">
        <f aca="false">IF(37&lt;$C$12,0,$L$12*$G$12*(1+$C$26))</f>
        <v>1386</v>
      </c>
      <c r="AQ35" s="65" t="n">
        <f aca="false">IF(38&lt;$C$12,0,$L$12*$G$12*(1+$C$26))</f>
        <v>1386</v>
      </c>
      <c r="AR35" s="65" t="n">
        <f aca="false">IF(39&lt;$C$12,0,$L$12*$G$12*(1+$C$26))</f>
        <v>1386</v>
      </c>
      <c r="AS35" s="65" t="n">
        <f aca="false">IF(40&lt;$C$12,0,$L$12*$G$12*(1+$C$26))</f>
        <v>1386</v>
      </c>
      <c r="AT35" s="65" t="n">
        <f aca="false">IF(41&lt;$C$12,0,$L$12*$G$12*(1+$C$26))</f>
        <v>1386</v>
      </c>
      <c r="AU35" s="65" t="n">
        <f aca="false">IF(42&lt;$C$12,0,$L$12*$G$12*(1+$C$26))</f>
        <v>1386</v>
      </c>
      <c r="AV35" s="65" t="n">
        <f aca="false">IF(43&lt;$C$12,0,$L$12*$G$12*(1+$C$26))</f>
        <v>1386</v>
      </c>
      <c r="AW35" s="65" t="n">
        <f aca="false">IF(44&lt;$C$12,0,$L$12*$G$12*(1+$C$26))</f>
        <v>1386</v>
      </c>
      <c r="AX35" s="65" t="n">
        <f aca="false">IF(45&lt;$C$12,0,$L$12*$G$12*(1+$C$26))</f>
        <v>1386</v>
      </c>
      <c r="AY35" s="65" t="n">
        <f aca="false">IF(46&lt;$C$12,0,$L$12*$G$12*(1+$C$26))</f>
        <v>1386</v>
      </c>
      <c r="AZ35" s="65" t="n">
        <f aca="false">IF(47&lt;$C$12,0,$L$12*$G$12*(1+$C$26))</f>
        <v>1386</v>
      </c>
      <c r="BA35" s="65" t="n">
        <f aca="false">IF(48&lt;$C$12,0,$L$12*$G$12*(1+$C$26))</f>
        <v>1386</v>
      </c>
      <c r="BB35" s="64" t="n">
        <f aca="false">SUM(BC35:BN35)</f>
        <v>18018</v>
      </c>
      <c r="BC35" s="65" t="n">
        <f aca="false">IF(49&lt;$C$12,0,$M$12*$H$12*(1+$C$26))</f>
        <v>1501.5</v>
      </c>
      <c r="BD35" s="65" t="n">
        <f aca="false">IF(50&lt;$C$12,0,$M$12*$H$12*(1+$C$26))</f>
        <v>1501.5</v>
      </c>
      <c r="BE35" s="65" t="n">
        <f aca="false">IF(51&lt;$C$12,0,$M$12*$H$12*(1+$C$26))</f>
        <v>1501.5</v>
      </c>
      <c r="BF35" s="65" t="n">
        <f aca="false">IF(52&lt;$C$12,0,$M$12*$H$12*(1+$C$26))</f>
        <v>1501.5</v>
      </c>
      <c r="BG35" s="65" t="n">
        <f aca="false">IF(53&lt;$C$12,0,$M$12*$H$12*(1+$C$26))</f>
        <v>1501.5</v>
      </c>
      <c r="BH35" s="65" t="n">
        <f aca="false">IF(54&lt;$C$12,0,$M$12*$H$12*(1+$C$26))</f>
        <v>1501.5</v>
      </c>
      <c r="BI35" s="65" t="n">
        <f aca="false">IF(55&lt;$C$12,0,$M$12*$H$12*(1+$C$26))</f>
        <v>1501.5</v>
      </c>
      <c r="BJ35" s="65" t="n">
        <f aca="false">IF(56&lt;$C$12,0,$M$12*$H$12*(1+$C$26))</f>
        <v>1501.5</v>
      </c>
      <c r="BK35" s="65" t="n">
        <f aca="false">IF(57&lt;$C$12,0,$M$12*$H$12*(1+$C$26))</f>
        <v>1501.5</v>
      </c>
      <c r="BL35" s="65" t="n">
        <f aca="false">IF(58&lt;$C$12,0,$M$12*$H$12*(1+$C$26))</f>
        <v>1501.5</v>
      </c>
      <c r="BM35" s="65" t="n">
        <f aca="false">IF(59&lt;$C$12,0,$M$12*$H$12*(1+$C$26))</f>
        <v>1501.5</v>
      </c>
      <c r="BN35" s="65" t="n">
        <f aca="false">IF(60&lt;$C$12,0,$M$12*$H$12*(1+$C$26))</f>
        <v>1501.5</v>
      </c>
    </row>
    <row r="36" customFormat="false" ht="15" hidden="false" customHeight="false" outlineLevel="0" collapsed="false">
      <c r="A36" s="12" t="s">
        <v>766</v>
      </c>
      <c r="B36" s="64" t="n">
        <f aca="false">SUM(C36:N36)</f>
        <v>0</v>
      </c>
      <c r="C36" s="65" t="n">
        <f aca="false">IF(1&lt;$C$13,0,$I$13*$D$13*(1+$C$26))</f>
        <v>0</v>
      </c>
      <c r="D36" s="65" t="n">
        <f aca="false">IF(2&lt;$C$13,0,$I$13*$D$13*(1+$C$26))</f>
        <v>0</v>
      </c>
      <c r="E36" s="65" t="n">
        <f aca="false">IF(3&lt;$C$13,0,$I$13*$D$13*(1+$C$26))</f>
        <v>0</v>
      </c>
      <c r="F36" s="65" t="n">
        <f aca="false">IF(4&lt;$C$13,0,$I$13*$D$13*(1+$C$26))</f>
        <v>0</v>
      </c>
      <c r="G36" s="65" t="n">
        <f aca="false">IF(5&lt;$C$13,0,$I$13*$D$13*(1+$C$26))</f>
        <v>0</v>
      </c>
      <c r="H36" s="65" t="n">
        <f aca="false">IF(6&lt;$C$13,0,$I$13*$D$13*(1+$C$26))</f>
        <v>0</v>
      </c>
      <c r="I36" s="65" t="n">
        <f aca="false">IF(7&lt;$C$13,0,$I$13*$D$13*(1+$C$26))</f>
        <v>0</v>
      </c>
      <c r="J36" s="65" t="n">
        <f aca="false">IF(8&lt;$C$13,0,$I$13*$D$13*(1+$C$26))</f>
        <v>0</v>
      </c>
      <c r="K36" s="65" t="n">
        <f aca="false">IF(9&lt;$C$13,0,$I$13*$D$13*(1+$C$26))</f>
        <v>0</v>
      </c>
      <c r="L36" s="65" t="n">
        <f aca="false">IF(10&lt;$C$13,0,$I$13*$D$13*(1+$C$26))</f>
        <v>0</v>
      </c>
      <c r="M36" s="65" t="n">
        <f aca="false">IF(11&lt;$C$13,0,$I$13*$D$13*(1+$C$26))</f>
        <v>0</v>
      </c>
      <c r="N36" s="65" t="n">
        <f aca="false">IF(12&lt;$C$13,0,$I$13*$D$13*(1+$C$26))</f>
        <v>0</v>
      </c>
      <c r="O36" s="64" t="n">
        <f aca="false">SUM(P36:AA36)</f>
        <v>0</v>
      </c>
      <c r="P36" s="65" t="n">
        <f aca="false">IF(13&lt;$C$13,0,$J$13*$E$13*(1+$C$26))</f>
        <v>0</v>
      </c>
      <c r="Q36" s="65" t="n">
        <f aca="false">IF(14&lt;$C$13,0,$J$13*$E$13*(1+$C$26))</f>
        <v>0</v>
      </c>
      <c r="R36" s="65" t="n">
        <f aca="false">IF(15&lt;$C$13,0,$J$13*$E$13*(1+$C$26))</f>
        <v>0</v>
      </c>
      <c r="S36" s="65" t="n">
        <f aca="false">IF(16&lt;$C$13,0,$J$13*$E$13*(1+$C$26))</f>
        <v>0</v>
      </c>
      <c r="T36" s="65" t="n">
        <f aca="false">IF(17&lt;$C$13,0,$J$13*$E$13*(1+$C$26))</f>
        <v>0</v>
      </c>
      <c r="U36" s="65" t="n">
        <f aca="false">IF(18&lt;$C$13,0,$J$13*$E$13*(1+$C$26))</f>
        <v>0</v>
      </c>
      <c r="V36" s="65" t="n">
        <f aca="false">IF(19&lt;$C$13,0,$J$13*$E$13*(1+$C$26))</f>
        <v>0</v>
      </c>
      <c r="W36" s="65" t="n">
        <f aca="false">IF(20&lt;$C$13,0,$J$13*$E$13*(1+$C$26))</f>
        <v>0</v>
      </c>
      <c r="X36" s="65" t="n">
        <f aca="false">IF(21&lt;$C$13,0,$J$13*$E$13*(1+$C$26))</f>
        <v>0</v>
      </c>
      <c r="Y36" s="65" t="n">
        <f aca="false">IF(22&lt;$C$13,0,$J$13*$E$13*(1+$C$26))</f>
        <v>0</v>
      </c>
      <c r="Z36" s="65" t="n">
        <f aca="false">IF(23&lt;$C$13,0,$J$13*$E$13*(1+$C$26))</f>
        <v>0</v>
      </c>
      <c r="AA36" s="65" t="n">
        <f aca="false">IF(24&lt;$C$13,0,$J$13*$E$13*(1+$C$26))</f>
        <v>0</v>
      </c>
      <c r="AB36" s="64" t="n">
        <f aca="false">SUM(AC36:AN36)</f>
        <v>30492</v>
      </c>
      <c r="AC36" s="65" t="n">
        <f aca="false">IF(25&lt;$C$13,0,$K$13*$F$13*(1+$C$26))</f>
        <v>2541</v>
      </c>
      <c r="AD36" s="65" t="n">
        <f aca="false">IF(26&lt;$C$13,0,$K$13*$F$13*(1+$C$26))</f>
        <v>2541</v>
      </c>
      <c r="AE36" s="65" t="n">
        <f aca="false">IF(27&lt;$C$13,0,$K$13*$F$13*(1+$C$26))</f>
        <v>2541</v>
      </c>
      <c r="AF36" s="65" t="n">
        <f aca="false">IF(28&lt;$C$13,0,$K$13*$F$13*(1+$C$26))</f>
        <v>2541</v>
      </c>
      <c r="AG36" s="65" t="n">
        <f aca="false">IF(29&lt;$C$13,0,$K$13*$F$13*(1+$C$26))</f>
        <v>2541</v>
      </c>
      <c r="AH36" s="65" t="n">
        <f aca="false">IF(30&lt;$C$13,0,$K$13*$F$13*(1+$C$26))</f>
        <v>2541</v>
      </c>
      <c r="AI36" s="65" t="n">
        <f aca="false">IF(31&lt;$C$13,0,$K$13*$F$13*(1+$C$26))</f>
        <v>2541</v>
      </c>
      <c r="AJ36" s="65" t="n">
        <f aca="false">IF(32&lt;$C$13,0,$K$13*$F$13*(1+$C$26))</f>
        <v>2541</v>
      </c>
      <c r="AK36" s="65" t="n">
        <f aca="false">IF(33&lt;$C$13,0,$K$13*$F$13*(1+$C$26))</f>
        <v>2541</v>
      </c>
      <c r="AL36" s="65" t="n">
        <f aca="false">IF(34&lt;$C$13,0,$K$13*$F$13*(1+$C$26))</f>
        <v>2541</v>
      </c>
      <c r="AM36" s="65" t="n">
        <f aca="false">IF(35&lt;$C$13,0,$K$13*$F$13*(1+$C$26))</f>
        <v>2541</v>
      </c>
      <c r="AN36" s="65" t="n">
        <f aca="false">IF(36&lt;$C$13,0,$K$13*$F$13*(1+$C$26))</f>
        <v>2541</v>
      </c>
      <c r="AO36" s="64" t="n">
        <f aca="false">SUM(AP36:BA36)</f>
        <v>33264</v>
      </c>
      <c r="AP36" s="65" t="n">
        <f aca="false">IF(37&lt;$C$13,0,$L$13*$G$13*(1+$C$26))</f>
        <v>2772</v>
      </c>
      <c r="AQ36" s="65" t="n">
        <f aca="false">IF(38&lt;$C$13,0,$L$13*$G$13*(1+$C$26))</f>
        <v>2772</v>
      </c>
      <c r="AR36" s="65" t="n">
        <f aca="false">IF(39&lt;$C$13,0,$L$13*$G$13*(1+$C$26))</f>
        <v>2772</v>
      </c>
      <c r="AS36" s="65" t="n">
        <f aca="false">IF(40&lt;$C$13,0,$L$13*$G$13*(1+$C$26))</f>
        <v>2772</v>
      </c>
      <c r="AT36" s="65" t="n">
        <f aca="false">IF(41&lt;$C$13,0,$L$13*$G$13*(1+$C$26))</f>
        <v>2772</v>
      </c>
      <c r="AU36" s="65" t="n">
        <f aca="false">IF(42&lt;$C$13,0,$L$13*$G$13*(1+$C$26))</f>
        <v>2772</v>
      </c>
      <c r="AV36" s="65" t="n">
        <f aca="false">IF(43&lt;$C$13,0,$L$13*$G$13*(1+$C$26))</f>
        <v>2772</v>
      </c>
      <c r="AW36" s="65" t="n">
        <f aca="false">IF(44&lt;$C$13,0,$L$13*$G$13*(1+$C$26))</f>
        <v>2772</v>
      </c>
      <c r="AX36" s="65" t="n">
        <f aca="false">IF(45&lt;$C$13,0,$L$13*$G$13*(1+$C$26))</f>
        <v>2772</v>
      </c>
      <c r="AY36" s="65" t="n">
        <f aca="false">IF(46&lt;$C$13,0,$L$13*$G$13*(1+$C$26))</f>
        <v>2772</v>
      </c>
      <c r="AZ36" s="65" t="n">
        <f aca="false">IF(47&lt;$C$13,0,$L$13*$G$13*(1+$C$26))</f>
        <v>2772</v>
      </c>
      <c r="BA36" s="65" t="n">
        <f aca="false">IF(48&lt;$C$13,0,$L$13*$G$13*(1+$C$26))</f>
        <v>2772</v>
      </c>
      <c r="BB36" s="64" t="n">
        <f aca="false">SUM(BC36:BN36)</f>
        <v>34650</v>
      </c>
      <c r="BC36" s="65" t="n">
        <f aca="false">IF(49&lt;$C$13,0,$M$13*$H$13*(1+$C$26))</f>
        <v>2887.5</v>
      </c>
      <c r="BD36" s="65" t="n">
        <f aca="false">IF(50&lt;$C$13,0,$M$13*$H$13*(1+$C$26))</f>
        <v>2887.5</v>
      </c>
      <c r="BE36" s="65" t="n">
        <f aca="false">IF(51&lt;$C$13,0,$M$13*$H$13*(1+$C$26))</f>
        <v>2887.5</v>
      </c>
      <c r="BF36" s="65" t="n">
        <f aca="false">IF(52&lt;$C$13,0,$M$13*$H$13*(1+$C$26))</f>
        <v>2887.5</v>
      </c>
      <c r="BG36" s="65" t="n">
        <f aca="false">IF(53&lt;$C$13,0,$M$13*$H$13*(1+$C$26))</f>
        <v>2887.5</v>
      </c>
      <c r="BH36" s="65" t="n">
        <f aca="false">IF(54&lt;$C$13,0,$M$13*$H$13*(1+$C$26))</f>
        <v>2887.5</v>
      </c>
      <c r="BI36" s="65" t="n">
        <f aca="false">IF(55&lt;$C$13,0,$M$13*$H$13*(1+$C$26))</f>
        <v>2887.5</v>
      </c>
      <c r="BJ36" s="65" t="n">
        <f aca="false">IF(56&lt;$C$13,0,$M$13*$H$13*(1+$C$26))</f>
        <v>2887.5</v>
      </c>
      <c r="BK36" s="65" t="n">
        <f aca="false">IF(57&lt;$C$13,0,$M$13*$H$13*(1+$C$26))</f>
        <v>2887.5</v>
      </c>
      <c r="BL36" s="65" t="n">
        <f aca="false">IF(58&lt;$C$13,0,$M$13*$H$13*(1+$C$26))</f>
        <v>2887.5</v>
      </c>
      <c r="BM36" s="65" t="n">
        <f aca="false">IF(59&lt;$C$13,0,$M$13*$H$13*(1+$C$26))</f>
        <v>2887.5</v>
      </c>
      <c r="BN36" s="65" t="n">
        <f aca="false">IF(60&lt;$C$13,0,$M$13*$H$13*(1+$C$26))</f>
        <v>2887.5</v>
      </c>
    </row>
    <row r="37" customFormat="false" ht="15" hidden="false" customHeight="false" outlineLevel="0" collapsed="false">
      <c r="A37" s="12" t="s">
        <v>767</v>
      </c>
      <c r="B37" s="64" t="n">
        <f aca="false">SUM(C37:N37)</f>
        <v>0</v>
      </c>
      <c r="C37" s="65" t="n">
        <f aca="false">IF(1&lt;$C$14,0,$I$14*$D$14*(1+$C$26))</f>
        <v>0</v>
      </c>
      <c r="D37" s="65" t="n">
        <f aca="false">IF(2&lt;$C$14,0,$I$14*$D$14*(1+$C$26))</f>
        <v>0</v>
      </c>
      <c r="E37" s="65" t="n">
        <f aca="false">IF(3&lt;$C$14,0,$I$14*$D$14*(1+$C$26))</f>
        <v>0</v>
      </c>
      <c r="F37" s="65" t="n">
        <f aca="false">IF(4&lt;$C$14,0,$I$14*$D$14*(1+$C$26))</f>
        <v>0</v>
      </c>
      <c r="G37" s="65" t="n">
        <f aca="false">IF(5&lt;$C$14,0,$I$14*$D$14*(1+$C$26))</f>
        <v>0</v>
      </c>
      <c r="H37" s="65" t="n">
        <f aca="false">IF(6&lt;$C$14,0,$I$14*$D$14*(1+$C$26))</f>
        <v>0</v>
      </c>
      <c r="I37" s="65" t="n">
        <f aca="false">IF(7&lt;$C$14,0,$I$14*$D$14*(1+$C$26))</f>
        <v>0</v>
      </c>
      <c r="J37" s="65" t="n">
        <f aca="false">IF(8&lt;$C$14,0,$I$14*$D$14*(1+$C$26))</f>
        <v>0</v>
      </c>
      <c r="K37" s="65" t="n">
        <f aca="false">IF(9&lt;$C$14,0,$I$14*$D$14*(1+$C$26))</f>
        <v>0</v>
      </c>
      <c r="L37" s="65" t="n">
        <f aca="false">IF(10&lt;$C$14,0,$I$14*$D$14*(1+$C$26))</f>
        <v>0</v>
      </c>
      <c r="M37" s="65" t="n">
        <f aca="false">IF(11&lt;$C$14,0,$I$14*$D$14*(1+$C$26))</f>
        <v>0</v>
      </c>
      <c r="N37" s="65" t="n">
        <f aca="false">IF(12&lt;$C$14,0,$I$14*$D$14*(1+$C$26))</f>
        <v>0</v>
      </c>
      <c r="O37" s="64" t="n">
        <f aca="false">SUM(P37:AA37)</f>
        <v>0</v>
      </c>
      <c r="P37" s="65" t="n">
        <f aca="false">IF(13&lt;$C$14,0,$J$14*$E$14*(1+$C$26))</f>
        <v>0</v>
      </c>
      <c r="Q37" s="65" t="n">
        <f aca="false">IF(14&lt;$C$14,0,$J$14*$E$14*(1+$C$26))</f>
        <v>0</v>
      </c>
      <c r="R37" s="65" t="n">
        <f aca="false">IF(15&lt;$C$14,0,$J$14*$E$14*(1+$C$26))</f>
        <v>0</v>
      </c>
      <c r="S37" s="65" t="n">
        <f aca="false">IF(16&lt;$C$14,0,$J$14*$E$14*(1+$C$26))</f>
        <v>0</v>
      </c>
      <c r="T37" s="65" t="n">
        <f aca="false">IF(17&lt;$C$14,0,$J$14*$E$14*(1+$C$26))</f>
        <v>0</v>
      </c>
      <c r="U37" s="65" t="n">
        <f aca="false">IF(18&lt;$C$14,0,$J$14*$E$14*(1+$C$26))</f>
        <v>0</v>
      </c>
      <c r="V37" s="65" t="n">
        <f aca="false">IF(19&lt;$C$14,0,$J$14*$E$14*(1+$C$26))</f>
        <v>0</v>
      </c>
      <c r="W37" s="65" t="n">
        <f aca="false">IF(20&lt;$C$14,0,$J$14*$E$14*(1+$C$26))</f>
        <v>0</v>
      </c>
      <c r="X37" s="65" t="n">
        <f aca="false">IF(21&lt;$C$14,0,$J$14*$E$14*(1+$C$26))</f>
        <v>0</v>
      </c>
      <c r="Y37" s="65" t="n">
        <f aca="false">IF(22&lt;$C$14,0,$J$14*$E$14*(1+$C$26))</f>
        <v>0</v>
      </c>
      <c r="Z37" s="65" t="n">
        <f aca="false">IF(23&lt;$C$14,0,$J$14*$E$14*(1+$C$26))</f>
        <v>0</v>
      </c>
      <c r="AA37" s="65" t="n">
        <f aca="false">IF(24&lt;$C$14,0,$J$14*$E$14*(1+$C$26))</f>
        <v>0</v>
      </c>
      <c r="AB37" s="64" t="n">
        <f aca="false">SUM(AC37:AN37)</f>
        <v>0</v>
      </c>
      <c r="AC37" s="65" t="n">
        <f aca="false">IF(25&lt;$C$14,0,$K$14*$F$14*(1+$C$26))</f>
        <v>0</v>
      </c>
      <c r="AD37" s="65" t="n">
        <f aca="false">IF(26&lt;$C$14,0,$K$14*$F$14*(1+$C$26))</f>
        <v>0</v>
      </c>
      <c r="AE37" s="65" t="n">
        <f aca="false">IF(27&lt;$C$14,0,$K$14*$F$14*(1+$C$26))</f>
        <v>0</v>
      </c>
      <c r="AF37" s="65" t="n">
        <f aca="false">IF(28&lt;$C$14,0,$K$14*$F$14*(1+$C$26))</f>
        <v>0</v>
      </c>
      <c r="AG37" s="65" t="n">
        <f aca="false">IF(29&lt;$C$14,0,$K$14*$F$14*(1+$C$26))</f>
        <v>0</v>
      </c>
      <c r="AH37" s="65" t="n">
        <f aca="false">IF(30&lt;$C$14,0,$K$14*$F$14*(1+$C$26))</f>
        <v>0</v>
      </c>
      <c r="AI37" s="65" t="n">
        <f aca="false">IF(31&lt;$C$14,0,$K$14*$F$14*(1+$C$26))</f>
        <v>0</v>
      </c>
      <c r="AJ37" s="65" t="n">
        <f aca="false">IF(32&lt;$C$14,0,$K$14*$F$14*(1+$C$26))</f>
        <v>0</v>
      </c>
      <c r="AK37" s="65" t="n">
        <f aca="false">IF(33&lt;$C$14,0,$K$14*$F$14*(1+$C$26))</f>
        <v>0</v>
      </c>
      <c r="AL37" s="65" t="n">
        <f aca="false">IF(34&lt;$C$14,0,$K$14*$F$14*(1+$C$26))</f>
        <v>0</v>
      </c>
      <c r="AM37" s="65" t="n">
        <f aca="false">IF(35&lt;$C$14,0,$K$14*$F$14*(1+$C$26))</f>
        <v>0</v>
      </c>
      <c r="AN37" s="65" t="n">
        <f aca="false">IF(36&lt;$C$14,0,$K$14*$F$14*(1+$C$26))</f>
        <v>0</v>
      </c>
      <c r="AO37" s="64" t="n">
        <f aca="false">SUM(AP37:BA37)</f>
        <v>0</v>
      </c>
      <c r="AP37" s="65" t="n">
        <f aca="false">IF(37&lt;$C$14,0,$L$14*$G$14*(1+$C$26))</f>
        <v>0</v>
      </c>
      <c r="AQ37" s="65" t="n">
        <f aca="false">IF(38&lt;$C$14,0,$L$14*$G$14*(1+$C$26))</f>
        <v>0</v>
      </c>
      <c r="AR37" s="65" t="n">
        <f aca="false">IF(39&lt;$C$14,0,$L$14*$G$14*(1+$C$26))</f>
        <v>0</v>
      </c>
      <c r="AS37" s="65" t="n">
        <f aca="false">IF(40&lt;$C$14,0,$L$14*$G$14*(1+$C$26))</f>
        <v>0</v>
      </c>
      <c r="AT37" s="65" t="n">
        <f aca="false">IF(41&lt;$C$14,0,$L$14*$G$14*(1+$C$26))</f>
        <v>0</v>
      </c>
      <c r="AU37" s="65" t="n">
        <f aca="false">IF(42&lt;$C$14,0,$L$14*$G$14*(1+$C$26))</f>
        <v>0</v>
      </c>
      <c r="AV37" s="65" t="n">
        <f aca="false">IF(43&lt;$C$14,0,$L$14*$G$14*(1+$C$26))</f>
        <v>0</v>
      </c>
      <c r="AW37" s="65" t="n">
        <f aca="false">IF(44&lt;$C$14,0,$L$14*$G$14*(1+$C$26))</f>
        <v>0</v>
      </c>
      <c r="AX37" s="65" t="n">
        <f aca="false">IF(45&lt;$C$14,0,$L$14*$G$14*(1+$C$26))</f>
        <v>0</v>
      </c>
      <c r="AY37" s="65" t="n">
        <f aca="false">IF(46&lt;$C$14,0,$L$14*$G$14*(1+$C$26))</f>
        <v>0</v>
      </c>
      <c r="AZ37" s="65" t="n">
        <f aca="false">IF(47&lt;$C$14,0,$L$14*$G$14*(1+$C$26))</f>
        <v>0</v>
      </c>
      <c r="BA37" s="65" t="n">
        <f aca="false">IF(48&lt;$C$14,0,$L$14*$G$14*(1+$C$26))</f>
        <v>0</v>
      </c>
      <c r="BB37" s="64" t="n">
        <f aca="false">SUM(BC37:BN37)</f>
        <v>13860</v>
      </c>
      <c r="BC37" s="65" t="n">
        <f aca="false">IF(49&lt;$C$14,0,$M$14*$H$14*(1+$C$26))</f>
        <v>1155</v>
      </c>
      <c r="BD37" s="65" t="n">
        <f aca="false">IF(50&lt;$C$14,0,$M$14*$H$14*(1+$C$26))</f>
        <v>1155</v>
      </c>
      <c r="BE37" s="65" t="n">
        <f aca="false">IF(51&lt;$C$14,0,$M$14*$H$14*(1+$C$26))</f>
        <v>1155</v>
      </c>
      <c r="BF37" s="65" t="n">
        <f aca="false">IF(52&lt;$C$14,0,$M$14*$H$14*(1+$C$26))</f>
        <v>1155</v>
      </c>
      <c r="BG37" s="65" t="n">
        <f aca="false">IF(53&lt;$C$14,0,$M$14*$H$14*(1+$C$26))</f>
        <v>1155</v>
      </c>
      <c r="BH37" s="65" t="n">
        <f aca="false">IF(54&lt;$C$14,0,$M$14*$H$14*(1+$C$26))</f>
        <v>1155</v>
      </c>
      <c r="BI37" s="65" t="n">
        <f aca="false">IF(55&lt;$C$14,0,$M$14*$H$14*(1+$C$26))</f>
        <v>1155</v>
      </c>
      <c r="BJ37" s="65" t="n">
        <f aca="false">IF(56&lt;$C$14,0,$M$14*$H$14*(1+$C$26))</f>
        <v>1155</v>
      </c>
      <c r="BK37" s="65" t="n">
        <f aca="false">IF(57&lt;$C$14,0,$M$14*$H$14*(1+$C$26))</f>
        <v>1155</v>
      </c>
      <c r="BL37" s="65" t="n">
        <f aca="false">IF(58&lt;$C$14,0,$M$14*$H$14*(1+$C$26))</f>
        <v>1155</v>
      </c>
      <c r="BM37" s="65" t="n">
        <f aca="false">IF(59&lt;$C$14,0,$M$14*$H$14*(1+$C$26))</f>
        <v>1155</v>
      </c>
      <c r="BN37" s="65" t="n">
        <f aca="false">IF(60&lt;$C$14,0,$M$14*$H$14*(1+$C$26))</f>
        <v>1155</v>
      </c>
    </row>
    <row r="38" customFormat="false" ht="15" hidden="false" customHeight="false" outlineLevel="0" collapsed="false">
      <c r="A38" s="12" t="s">
        <v>768</v>
      </c>
      <c r="B38" s="64" t="n">
        <f aca="false">SUM(C38:N38)</f>
        <v>8316</v>
      </c>
      <c r="C38" s="65" t="n">
        <f aca="false">IF(1&lt;$C$15,0,$I$15*$D$15*(1+$C$26))</f>
        <v>693</v>
      </c>
      <c r="D38" s="65" t="n">
        <f aca="false">IF(2&lt;$C$15,0,$I$15*$D$15*(1+$C$26))</f>
        <v>693</v>
      </c>
      <c r="E38" s="65" t="n">
        <f aca="false">IF(3&lt;$C$15,0,$I$15*$D$15*(1+$C$26))</f>
        <v>693</v>
      </c>
      <c r="F38" s="65" t="n">
        <f aca="false">IF(4&lt;$C$15,0,$I$15*$D$15*(1+$C$26))</f>
        <v>693</v>
      </c>
      <c r="G38" s="65" t="n">
        <f aca="false">IF(5&lt;$C$15,0,$I$15*$D$15*(1+$C$26))</f>
        <v>693</v>
      </c>
      <c r="H38" s="65" t="n">
        <f aca="false">IF(6&lt;$C$15,0,$I$15*$D$15*(1+$C$26))</f>
        <v>693</v>
      </c>
      <c r="I38" s="65" t="n">
        <f aca="false">IF(7&lt;$C$15,0,$I$15*$D$15*(1+$C$26))</f>
        <v>693</v>
      </c>
      <c r="J38" s="65" t="n">
        <f aca="false">IF(8&lt;$C$15,0,$I$15*$D$15*(1+$C$26))</f>
        <v>693</v>
      </c>
      <c r="K38" s="65" t="n">
        <f aca="false">IF(9&lt;$C$15,0,$I$15*$D$15*(1+$C$26))</f>
        <v>693</v>
      </c>
      <c r="L38" s="65" t="n">
        <f aca="false">IF(10&lt;$C$15,0,$I$15*$D$15*(1+$C$26))</f>
        <v>693</v>
      </c>
      <c r="M38" s="65" t="n">
        <f aca="false">IF(11&lt;$C$15,0,$I$15*$D$15*(1+$C$26))</f>
        <v>693</v>
      </c>
      <c r="N38" s="65" t="n">
        <f aca="false">IF(12&lt;$C$15,0,$I$15*$D$15*(1+$C$26))</f>
        <v>693</v>
      </c>
      <c r="O38" s="64" t="n">
        <f aca="false">SUM(P38:AA38)</f>
        <v>11088</v>
      </c>
      <c r="P38" s="65" t="n">
        <f aca="false">IF(13&lt;$C$15,0,$J$15*$E$15*(1+$C$26))</f>
        <v>924</v>
      </c>
      <c r="Q38" s="65" t="n">
        <f aca="false">IF(14&lt;$C$15,0,$J$15*$E$15*(1+$C$26))</f>
        <v>924</v>
      </c>
      <c r="R38" s="65" t="n">
        <f aca="false">IF(15&lt;$C$15,0,$J$15*$E$15*(1+$C$26))</f>
        <v>924</v>
      </c>
      <c r="S38" s="65" t="n">
        <f aca="false">IF(16&lt;$C$15,0,$J$15*$E$15*(1+$C$26))</f>
        <v>924</v>
      </c>
      <c r="T38" s="65" t="n">
        <f aca="false">IF(17&lt;$C$15,0,$J$15*$E$15*(1+$C$26))</f>
        <v>924</v>
      </c>
      <c r="U38" s="65" t="n">
        <f aca="false">IF(18&lt;$C$15,0,$J$15*$E$15*(1+$C$26))</f>
        <v>924</v>
      </c>
      <c r="V38" s="65" t="n">
        <f aca="false">IF(19&lt;$C$15,0,$J$15*$E$15*(1+$C$26))</f>
        <v>924</v>
      </c>
      <c r="W38" s="65" t="n">
        <f aca="false">IF(20&lt;$C$15,0,$J$15*$E$15*(1+$C$26))</f>
        <v>924</v>
      </c>
      <c r="X38" s="65" t="n">
        <f aca="false">IF(21&lt;$C$15,0,$J$15*$E$15*(1+$C$26))</f>
        <v>924</v>
      </c>
      <c r="Y38" s="65" t="n">
        <f aca="false">IF(22&lt;$C$15,0,$J$15*$E$15*(1+$C$26))</f>
        <v>924</v>
      </c>
      <c r="Z38" s="65" t="n">
        <f aca="false">IF(23&lt;$C$15,0,$J$15*$E$15*(1+$C$26))</f>
        <v>924</v>
      </c>
      <c r="AA38" s="65" t="n">
        <f aca="false">IF(24&lt;$C$15,0,$J$15*$E$15*(1+$C$26))</f>
        <v>924</v>
      </c>
      <c r="AB38" s="64" t="n">
        <f aca="false">SUM(AC38:AN38)</f>
        <v>13860</v>
      </c>
      <c r="AC38" s="65" t="n">
        <f aca="false">IF(25&lt;$C$15,0,$K$15*$F$15*(1+$C$26))</f>
        <v>1155</v>
      </c>
      <c r="AD38" s="65" t="n">
        <f aca="false">IF(26&lt;$C$15,0,$K$15*$F$15*(1+$C$26))</f>
        <v>1155</v>
      </c>
      <c r="AE38" s="65" t="n">
        <f aca="false">IF(27&lt;$C$15,0,$K$15*$F$15*(1+$C$26))</f>
        <v>1155</v>
      </c>
      <c r="AF38" s="65" t="n">
        <f aca="false">IF(28&lt;$C$15,0,$K$15*$F$15*(1+$C$26))</f>
        <v>1155</v>
      </c>
      <c r="AG38" s="65" t="n">
        <f aca="false">IF(29&lt;$C$15,0,$K$15*$F$15*(1+$C$26))</f>
        <v>1155</v>
      </c>
      <c r="AH38" s="65" t="n">
        <f aca="false">IF(30&lt;$C$15,0,$K$15*$F$15*(1+$C$26))</f>
        <v>1155</v>
      </c>
      <c r="AI38" s="65" t="n">
        <f aca="false">IF(31&lt;$C$15,0,$K$15*$F$15*(1+$C$26))</f>
        <v>1155</v>
      </c>
      <c r="AJ38" s="65" t="n">
        <f aca="false">IF(32&lt;$C$15,0,$K$15*$F$15*(1+$C$26))</f>
        <v>1155</v>
      </c>
      <c r="AK38" s="65" t="n">
        <f aca="false">IF(33&lt;$C$15,0,$K$15*$F$15*(1+$C$26))</f>
        <v>1155</v>
      </c>
      <c r="AL38" s="65" t="n">
        <f aca="false">IF(34&lt;$C$15,0,$K$15*$F$15*(1+$C$26))</f>
        <v>1155</v>
      </c>
      <c r="AM38" s="65" t="n">
        <f aca="false">IF(35&lt;$C$15,0,$K$15*$F$15*(1+$C$26))</f>
        <v>1155</v>
      </c>
      <c r="AN38" s="65" t="n">
        <f aca="false">IF(36&lt;$C$15,0,$K$15*$F$15*(1+$C$26))</f>
        <v>1155</v>
      </c>
      <c r="AO38" s="64" t="n">
        <f aca="false">SUM(AP38:BA38)</f>
        <v>15246</v>
      </c>
      <c r="AP38" s="65" t="n">
        <f aca="false">IF(37&lt;$C$15,0,$L$15*$G$15*(1+$C$26))</f>
        <v>1270.5</v>
      </c>
      <c r="AQ38" s="65" t="n">
        <f aca="false">IF(38&lt;$C$15,0,$L$15*$G$15*(1+$C$26))</f>
        <v>1270.5</v>
      </c>
      <c r="AR38" s="65" t="n">
        <f aca="false">IF(39&lt;$C$15,0,$L$15*$G$15*(1+$C$26))</f>
        <v>1270.5</v>
      </c>
      <c r="AS38" s="65" t="n">
        <f aca="false">IF(40&lt;$C$15,0,$L$15*$G$15*(1+$C$26))</f>
        <v>1270.5</v>
      </c>
      <c r="AT38" s="65" t="n">
        <f aca="false">IF(41&lt;$C$15,0,$L$15*$G$15*(1+$C$26))</f>
        <v>1270.5</v>
      </c>
      <c r="AU38" s="65" t="n">
        <f aca="false">IF(42&lt;$C$15,0,$L$15*$G$15*(1+$C$26))</f>
        <v>1270.5</v>
      </c>
      <c r="AV38" s="65" t="n">
        <f aca="false">IF(43&lt;$C$15,0,$L$15*$G$15*(1+$C$26))</f>
        <v>1270.5</v>
      </c>
      <c r="AW38" s="65" t="n">
        <f aca="false">IF(44&lt;$C$15,0,$L$15*$G$15*(1+$C$26))</f>
        <v>1270.5</v>
      </c>
      <c r="AX38" s="65" t="n">
        <f aca="false">IF(45&lt;$C$15,0,$L$15*$G$15*(1+$C$26))</f>
        <v>1270.5</v>
      </c>
      <c r="AY38" s="65" t="n">
        <f aca="false">IF(46&lt;$C$15,0,$L$15*$G$15*(1+$C$26))</f>
        <v>1270.5</v>
      </c>
      <c r="AZ38" s="65" t="n">
        <f aca="false">IF(47&lt;$C$15,0,$L$15*$G$15*(1+$C$26))</f>
        <v>1270.5</v>
      </c>
      <c r="BA38" s="65" t="n">
        <f aca="false">IF(48&lt;$C$15,0,$L$15*$G$15*(1+$C$26))</f>
        <v>1270.5</v>
      </c>
      <c r="BB38" s="64" t="n">
        <f aca="false">SUM(BC38:BN38)</f>
        <v>16632</v>
      </c>
      <c r="BC38" s="65" t="n">
        <f aca="false">IF(49&lt;$C$15,0,$M$15*$H$15*(1+$C$26))</f>
        <v>1386</v>
      </c>
      <c r="BD38" s="65" t="n">
        <f aca="false">IF(50&lt;$C$15,0,$M$15*$H$15*(1+$C$26))</f>
        <v>1386</v>
      </c>
      <c r="BE38" s="65" t="n">
        <f aca="false">IF(51&lt;$C$15,0,$M$15*$H$15*(1+$C$26))</f>
        <v>1386</v>
      </c>
      <c r="BF38" s="65" t="n">
        <f aca="false">IF(52&lt;$C$15,0,$M$15*$H$15*(1+$C$26))</f>
        <v>1386</v>
      </c>
      <c r="BG38" s="65" t="n">
        <f aca="false">IF(53&lt;$C$15,0,$M$15*$H$15*(1+$C$26))</f>
        <v>1386</v>
      </c>
      <c r="BH38" s="65" t="n">
        <f aca="false">IF(54&lt;$C$15,0,$M$15*$H$15*(1+$C$26))</f>
        <v>1386</v>
      </c>
      <c r="BI38" s="65" t="n">
        <f aca="false">IF(55&lt;$C$15,0,$M$15*$H$15*(1+$C$26))</f>
        <v>1386</v>
      </c>
      <c r="BJ38" s="65" t="n">
        <f aca="false">IF(56&lt;$C$15,0,$M$15*$H$15*(1+$C$26))</f>
        <v>1386</v>
      </c>
      <c r="BK38" s="65" t="n">
        <f aca="false">IF(57&lt;$C$15,0,$M$15*$H$15*(1+$C$26))</f>
        <v>1386</v>
      </c>
      <c r="BL38" s="65" t="n">
        <f aca="false">IF(58&lt;$C$15,0,$M$15*$H$15*(1+$C$26))</f>
        <v>1386</v>
      </c>
      <c r="BM38" s="65" t="n">
        <f aca="false">IF(59&lt;$C$15,0,$M$15*$H$15*(1+$C$26))</f>
        <v>1386</v>
      </c>
      <c r="BN38" s="65" t="n">
        <f aca="false">IF(60&lt;$C$15,0,$M$15*$H$15*(1+$C$26))</f>
        <v>1386</v>
      </c>
    </row>
    <row r="39" customFormat="false" ht="15" hidden="false" customHeight="false" outlineLevel="0" collapsed="false">
      <c r="A39" s="12" t="s">
        <v>769</v>
      </c>
      <c r="B39" s="64" t="n">
        <f aca="false">SUM(C39:N39)</f>
        <v>0</v>
      </c>
      <c r="C39" s="65" t="n">
        <f aca="false">IF(1&lt;$C$16,0,$I$16*$D$16*(1+$C$26))</f>
        <v>0</v>
      </c>
      <c r="D39" s="65" t="n">
        <f aca="false">IF(2&lt;$C$16,0,$I$16*$D$16*(1+$C$26))</f>
        <v>0</v>
      </c>
      <c r="E39" s="65" t="n">
        <f aca="false">IF(3&lt;$C$16,0,$I$16*$D$16*(1+$C$26))</f>
        <v>0</v>
      </c>
      <c r="F39" s="65" t="n">
        <f aca="false">IF(4&lt;$C$16,0,$I$16*$D$16*(1+$C$26))</f>
        <v>0</v>
      </c>
      <c r="G39" s="65" t="n">
        <f aca="false">IF(5&lt;$C$16,0,$I$16*$D$16*(1+$C$26))</f>
        <v>0</v>
      </c>
      <c r="H39" s="65" t="n">
        <f aca="false">IF(6&lt;$C$16,0,$I$16*$D$16*(1+$C$26))</f>
        <v>0</v>
      </c>
      <c r="I39" s="65" t="n">
        <f aca="false">IF(7&lt;$C$16,0,$I$16*$D$16*(1+$C$26))</f>
        <v>0</v>
      </c>
      <c r="J39" s="65" t="n">
        <f aca="false">IF(8&lt;$C$16,0,$I$16*$D$16*(1+$C$26))</f>
        <v>0</v>
      </c>
      <c r="K39" s="65" t="n">
        <f aca="false">IF(9&lt;$C$16,0,$I$16*$D$16*(1+$C$26))</f>
        <v>0</v>
      </c>
      <c r="L39" s="65" t="n">
        <f aca="false">IF(10&lt;$C$16,0,$I$16*$D$16*(1+$C$26))</f>
        <v>0</v>
      </c>
      <c r="M39" s="65" t="n">
        <f aca="false">IF(11&lt;$C$16,0,$I$16*$D$16*(1+$C$26))</f>
        <v>0</v>
      </c>
      <c r="N39" s="65" t="n">
        <f aca="false">IF(12&lt;$C$16,0,$I$16*$D$16*(1+$C$26))</f>
        <v>0</v>
      </c>
      <c r="O39" s="64" t="n">
        <f aca="false">SUM(P39:AA39)</f>
        <v>0</v>
      </c>
      <c r="P39" s="65" t="n">
        <f aca="false">IF(13&lt;$C$16,0,$J$16*$E$16*(1+$C$26))</f>
        <v>0</v>
      </c>
      <c r="Q39" s="65" t="n">
        <f aca="false">IF(14&lt;$C$16,0,$J$16*$E$16*(1+$C$26))</f>
        <v>0</v>
      </c>
      <c r="R39" s="65" t="n">
        <f aca="false">IF(15&lt;$C$16,0,$J$16*$E$16*(1+$C$26))</f>
        <v>0</v>
      </c>
      <c r="S39" s="65" t="n">
        <f aca="false">IF(16&lt;$C$16,0,$J$16*$E$16*(1+$C$26))</f>
        <v>0</v>
      </c>
      <c r="T39" s="65" t="n">
        <f aca="false">IF(17&lt;$C$16,0,$J$16*$E$16*(1+$C$26))</f>
        <v>0</v>
      </c>
      <c r="U39" s="65" t="n">
        <f aca="false">IF(18&lt;$C$16,0,$J$16*$E$16*(1+$C$26))</f>
        <v>0</v>
      </c>
      <c r="V39" s="65" t="n">
        <f aca="false">IF(19&lt;$C$16,0,$J$16*$E$16*(1+$C$26))</f>
        <v>0</v>
      </c>
      <c r="W39" s="65" t="n">
        <f aca="false">IF(20&lt;$C$16,0,$J$16*$E$16*(1+$C$26))</f>
        <v>0</v>
      </c>
      <c r="X39" s="65" t="n">
        <f aca="false">IF(21&lt;$C$16,0,$J$16*$E$16*(1+$C$26))</f>
        <v>0</v>
      </c>
      <c r="Y39" s="65" t="n">
        <f aca="false">IF(22&lt;$C$16,0,$J$16*$E$16*(1+$C$26))</f>
        <v>0</v>
      </c>
      <c r="Z39" s="65" t="n">
        <f aca="false">IF(23&lt;$C$16,0,$J$16*$E$16*(1+$C$26))</f>
        <v>0</v>
      </c>
      <c r="AA39" s="65" t="n">
        <f aca="false">IF(24&lt;$C$16,0,$J$16*$E$16*(1+$C$26))</f>
        <v>0</v>
      </c>
      <c r="AB39" s="64" t="n">
        <f aca="false">SUM(AC39:AN39)</f>
        <v>0</v>
      </c>
      <c r="AC39" s="65" t="n">
        <f aca="false">IF(25&lt;$C$16,0,$K$16*$F$16*(1+$C$26))</f>
        <v>0</v>
      </c>
      <c r="AD39" s="65" t="n">
        <f aca="false">IF(26&lt;$C$16,0,$K$16*$F$16*(1+$C$26))</f>
        <v>0</v>
      </c>
      <c r="AE39" s="65" t="n">
        <f aca="false">IF(27&lt;$C$16,0,$K$16*$F$16*(1+$C$26))</f>
        <v>0</v>
      </c>
      <c r="AF39" s="65" t="n">
        <f aca="false">IF(28&lt;$C$16,0,$K$16*$F$16*(1+$C$26))</f>
        <v>0</v>
      </c>
      <c r="AG39" s="65" t="n">
        <f aca="false">IF(29&lt;$C$16,0,$K$16*$F$16*(1+$C$26))</f>
        <v>0</v>
      </c>
      <c r="AH39" s="65" t="n">
        <f aca="false">IF(30&lt;$C$16,0,$K$16*$F$16*(1+$C$26))</f>
        <v>0</v>
      </c>
      <c r="AI39" s="65" t="n">
        <f aca="false">IF(31&lt;$C$16,0,$K$16*$F$16*(1+$C$26))</f>
        <v>0</v>
      </c>
      <c r="AJ39" s="65" t="n">
        <f aca="false">IF(32&lt;$C$16,0,$K$16*$F$16*(1+$C$26))</f>
        <v>0</v>
      </c>
      <c r="AK39" s="65" t="n">
        <f aca="false">IF(33&lt;$C$16,0,$K$16*$F$16*(1+$C$26))</f>
        <v>0</v>
      </c>
      <c r="AL39" s="65" t="n">
        <f aca="false">IF(34&lt;$C$16,0,$K$16*$F$16*(1+$C$26))</f>
        <v>0</v>
      </c>
      <c r="AM39" s="65" t="n">
        <f aca="false">IF(35&lt;$C$16,0,$K$16*$F$16*(1+$C$26))</f>
        <v>0</v>
      </c>
      <c r="AN39" s="65" t="n">
        <f aca="false">IF(36&lt;$C$16,0,$K$16*$F$16*(1+$C$26))</f>
        <v>0</v>
      </c>
      <c r="AO39" s="64" t="n">
        <f aca="false">SUM(AP39:BA39)</f>
        <v>0</v>
      </c>
      <c r="AP39" s="65" t="n">
        <f aca="false">IF(37&lt;$C$16,0,$L$16*$G$16*(1+$C$26))</f>
        <v>0</v>
      </c>
      <c r="AQ39" s="65" t="n">
        <f aca="false">IF(38&lt;$C$16,0,$L$16*$G$16*(1+$C$26))</f>
        <v>0</v>
      </c>
      <c r="AR39" s="65" t="n">
        <f aca="false">IF(39&lt;$C$16,0,$L$16*$G$16*(1+$C$26))</f>
        <v>0</v>
      </c>
      <c r="AS39" s="65" t="n">
        <f aca="false">IF(40&lt;$C$16,0,$L$16*$G$16*(1+$C$26))</f>
        <v>0</v>
      </c>
      <c r="AT39" s="65" t="n">
        <f aca="false">IF(41&lt;$C$16,0,$L$16*$G$16*(1+$C$26))</f>
        <v>0</v>
      </c>
      <c r="AU39" s="65" t="n">
        <f aca="false">IF(42&lt;$C$16,0,$L$16*$G$16*(1+$C$26))</f>
        <v>0</v>
      </c>
      <c r="AV39" s="65" t="n">
        <f aca="false">IF(43&lt;$C$16,0,$L$16*$G$16*(1+$C$26))</f>
        <v>0</v>
      </c>
      <c r="AW39" s="65" t="n">
        <f aca="false">IF(44&lt;$C$16,0,$L$16*$G$16*(1+$C$26))</f>
        <v>0</v>
      </c>
      <c r="AX39" s="65" t="n">
        <f aca="false">IF(45&lt;$C$16,0,$L$16*$G$16*(1+$C$26))</f>
        <v>0</v>
      </c>
      <c r="AY39" s="65" t="n">
        <f aca="false">IF(46&lt;$C$16,0,$L$16*$G$16*(1+$C$26))</f>
        <v>0</v>
      </c>
      <c r="AZ39" s="65" t="n">
        <f aca="false">IF(47&lt;$C$16,0,$L$16*$G$16*(1+$C$26))</f>
        <v>0</v>
      </c>
      <c r="BA39" s="65" t="n">
        <f aca="false">IF(48&lt;$C$16,0,$L$16*$G$16*(1+$C$26))</f>
        <v>0</v>
      </c>
      <c r="BB39" s="64" t="n">
        <f aca="false">SUM(BC39:BN39)</f>
        <v>11088</v>
      </c>
      <c r="BC39" s="65" t="n">
        <f aca="false">IF(49&lt;$C$16,0,$M$16*$H$16*(1+$C$26))</f>
        <v>924</v>
      </c>
      <c r="BD39" s="65" t="n">
        <f aca="false">IF(50&lt;$C$16,0,$M$16*$H$16*(1+$C$26))</f>
        <v>924</v>
      </c>
      <c r="BE39" s="65" t="n">
        <f aca="false">IF(51&lt;$C$16,0,$M$16*$H$16*(1+$C$26))</f>
        <v>924</v>
      </c>
      <c r="BF39" s="65" t="n">
        <f aca="false">IF(52&lt;$C$16,0,$M$16*$H$16*(1+$C$26))</f>
        <v>924</v>
      </c>
      <c r="BG39" s="65" t="n">
        <f aca="false">IF(53&lt;$C$16,0,$M$16*$H$16*(1+$C$26))</f>
        <v>924</v>
      </c>
      <c r="BH39" s="65" t="n">
        <f aca="false">IF(54&lt;$C$16,0,$M$16*$H$16*(1+$C$26))</f>
        <v>924</v>
      </c>
      <c r="BI39" s="65" t="n">
        <f aca="false">IF(55&lt;$C$16,0,$M$16*$H$16*(1+$C$26))</f>
        <v>924</v>
      </c>
      <c r="BJ39" s="65" t="n">
        <f aca="false">IF(56&lt;$C$16,0,$M$16*$H$16*(1+$C$26))</f>
        <v>924</v>
      </c>
      <c r="BK39" s="65" t="n">
        <f aca="false">IF(57&lt;$C$16,0,$M$16*$H$16*(1+$C$26))</f>
        <v>924</v>
      </c>
      <c r="BL39" s="65" t="n">
        <f aca="false">IF(58&lt;$C$16,0,$M$16*$H$16*(1+$C$26))</f>
        <v>924</v>
      </c>
      <c r="BM39" s="65" t="n">
        <f aca="false">IF(59&lt;$C$16,0,$M$16*$H$16*(1+$C$26))</f>
        <v>924</v>
      </c>
      <c r="BN39" s="65" t="n">
        <f aca="false">IF(60&lt;$C$16,0,$M$16*$H$16*(1+$C$26))</f>
        <v>924</v>
      </c>
    </row>
    <row r="40" customFormat="false" ht="15" hidden="false" customHeight="false" outlineLevel="0" collapsed="false">
      <c r="A40" s="12" t="s">
        <v>770</v>
      </c>
      <c r="B40" s="64" t="n">
        <f aca="false">SUM(C40:N40)</f>
        <v>0</v>
      </c>
      <c r="C40" s="65" t="n">
        <f aca="false">IF(1&lt;$C$17,0,$I$17*$D$17*(1+$C$26))</f>
        <v>0</v>
      </c>
      <c r="D40" s="65" t="n">
        <f aca="false">IF(2&lt;$C$17,0,$I$17*$D$17*(1+$C$26))</f>
        <v>0</v>
      </c>
      <c r="E40" s="65" t="n">
        <f aca="false">IF(3&lt;$C$17,0,$I$17*$D$17*(1+$C$26))</f>
        <v>0</v>
      </c>
      <c r="F40" s="65" t="n">
        <f aca="false">IF(4&lt;$C$17,0,$I$17*$D$17*(1+$C$26))</f>
        <v>0</v>
      </c>
      <c r="G40" s="65" t="n">
        <f aca="false">IF(5&lt;$C$17,0,$I$17*$D$17*(1+$C$26))</f>
        <v>0</v>
      </c>
      <c r="H40" s="65" t="n">
        <f aca="false">IF(6&lt;$C$17,0,$I$17*$D$17*(1+$C$26))</f>
        <v>0</v>
      </c>
      <c r="I40" s="65" t="n">
        <f aca="false">IF(7&lt;$C$17,0,$I$17*$D$17*(1+$C$26))</f>
        <v>0</v>
      </c>
      <c r="J40" s="65" t="n">
        <f aca="false">IF(8&lt;$C$17,0,$I$17*$D$17*(1+$C$26))</f>
        <v>0</v>
      </c>
      <c r="K40" s="65" t="n">
        <f aca="false">IF(9&lt;$C$17,0,$I$17*$D$17*(1+$C$26))</f>
        <v>0</v>
      </c>
      <c r="L40" s="65" t="n">
        <f aca="false">IF(10&lt;$C$17,0,$I$17*$D$17*(1+$C$26))</f>
        <v>0</v>
      </c>
      <c r="M40" s="65" t="n">
        <f aca="false">IF(11&lt;$C$17,0,$I$17*$D$17*(1+$C$26))</f>
        <v>0</v>
      </c>
      <c r="N40" s="65" t="n">
        <f aca="false">IF(12&lt;$C$17,0,$I$17*$D$17*(1+$C$26))</f>
        <v>0</v>
      </c>
      <c r="O40" s="64" t="n">
        <f aca="false">SUM(P40:AA40)</f>
        <v>12474</v>
      </c>
      <c r="P40" s="65" t="n">
        <f aca="false">IF(13&lt;$C$17,0,$J$17*$E$17*(1+$C$26))</f>
        <v>1039.5</v>
      </c>
      <c r="Q40" s="65" t="n">
        <f aca="false">IF(14&lt;$C$17,0,$J$17*$E$17*(1+$C$26))</f>
        <v>1039.5</v>
      </c>
      <c r="R40" s="65" t="n">
        <f aca="false">IF(15&lt;$C$17,0,$J$17*$E$17*(1+$C$26))</f>
        <v>1039.5</v>
      </c>
      <c r="S40" s="65" t="n">
        <f aca="false">IF(16&lt;$C$17,0,$J$17*$E$17*(1+$C$26))</f>
        <v>1039.5</v>
      </c>
      <c r="T40" s="65" t="n">
        <f aca="false">IF(17&lt;$C$17,0,$J$17*$E$17*(1+$C$26))</f>
        <v>1039.5</v>
      </c>
      <c r="U40" s="65" t="n">
        <f aca="false">IF(18&lt;$C$17,0,$J$17*$E$17*(1+$C$26))</f>
        <v>1039.5</v>
      </c>
      <c r="V40" s="65" t="n">
        <f aca="false">IF(19&lt;$C$17,0,$J$17*$E$17*(1+$C$26))</f>
        <v>1039.5</v>
      </c>
      <c r="W40" s="65" t="n">
        <f aca="false">IF(20&lt;$C$17,0,$J$17*$E$17*(1+$C$26))</f>
        <v>1039.5</v>
      </c>
      <c r="X40" s="65" t="n">
        <f aca="false">IF(21&lt;$C$17,0,$J$17*$E$17*(1+$C$26))</f>
        <v>1039.5</v>
      </c>
      <c r="Y40" s="65" t="n">
        <f aca="false">IF(22&lt;$C$17,0,$J$17*$E$17*(1+$C$26))</f>
        <v>1039.5</v>
      </c>
      <c r="Z40" s="65" t="n">
        <f aca="false">IF(23&lt;$C$17,0,$J$17*$E$17*(1+$C$26))</f>
        <v>1039.5</v>
      </c>
      <c r="AA40" s="65" t="n">
        <f aca="false">IF(24&lt;$C$17,0,$J$17*$E$17*(1+$C$26))</f>
        <v>1039.5</v>
      </c>
      <c r="AB40" s="64" t="n">
        <f aca="false">SUM(AC40:AN40)</f>
        <v>30492</v>
      </c>
      <c r="AC40" s="65" t="n">
        <f aca="false">IF(25&lt;$C$17,0,$K$17*$F$17*(1+$C$26))</f>
        <v>2541</v>
      </c>
      <c r="AD40" s="65" t="n">
        <f aca="false">IF(26&lt;$C$17,0,$K$17*$F$17*(1+$C$26))</f>
        <v>2541</v>
      </c>
      <c r="AE40" s="65" t="n">
        <f aca="false">IF(27&lt;$C$17,0,$K$17*$F$17*(1+$C$26))</f>
        <v>2541</v>
      </c>
      <c r="AF40" s="65" t="n">
        <f aca="false">IF(28&lt;$C$17,0,$K$17*$F$17*(1+$C$26))</f>
        <v>2541</v>
      </c>
      <c r="AG40" s="65" t="n">
        <f aca="false">IF(29&lt;$C$17,0,$K$17*$F$17*(1+$C$26))</f>
        <v>2541</v>
      </c>
      <c r="AH40" s="65" t="n">
        <f aca="false">IF(30&lt;$C$17,0,$K$17*$F$17*(1+$C$26))</f>
        <v>2541</v>
      </c>
      <c r="AI40" s="65" t="n">
        <f aca="false">IF(31&lt;$C$17,0,$K$17*$F$17*(1+$C$26))</f>
        <v>2541</v>
      </c>
      <c r="AJ40" s="65" t="n">
        <f aca="false">IF(32&lt;$C$17,0,$K$17*$F$17*(1+$C$26))</f>
        <v>2541</v>
      </c>
      <c r="AK40" s="65" t="n">
        <f aca="false">IF(33&lt;$C$17,0,$K$17*$F$17*(1+$C$26))</f>
        <v>2541</v>
      </c>
      <c r="AL40" s="65" t="n">
        <f aca="false">IF(34&lt;$C$17,0,$K$17*$F$17*(1+$C$26))</f>
        <v>2541</v>
      </c>
      <c r="AM40" s="65" t="n">
        <f aca="false">IF(35&lt;$C$17,0,$K$17*$F$17*(1+$C$26))</f>
        <v>2541</v>
      </c>
      <c r="AN40" s="65" t="n">
        <f aca="false">IF(36&lt;$C$17,0,$K$17*$F$17*(1+$C$26))</f>
        <v>2541</v>
      </c>
      <c r="AO40" s="64" t="n">
        <f aca="false">SUM(AP40:BA40)</f>
        <v>33264</v>
      </c>
      <c r="AP40" s="65" t="n">
        <f aca="false">IF(37&lt;$C$17,0,$L$17*$G$17*(1+$C$26))</f>
        <v>2772</v>
      </c>
      <c r="AQ40" s="65" t="n">
        <f aca="false">IF(38&lt;$C$17,0,$L$17*$G$17*(1+$C$26))</f>
        <v>2772</v>
      </c>
      <c r="AR40" s="65" t="n">
        <f aca="false">IF(39&lt;$C$17,0,$L$17*$G$17*(1+$C$26))</f>
        <v>2772</v>
      </c>
      <c r="AS40" s="65" t="n">
        <f aca="false">IF(40&lt;$C$17,0,$L$17*$G$17*(1+$C$26))</f>
        <v>2772</v>
      </c>
      <c r="AT40" s="65" t="n">
        <f aca="false">IF(41&lt;$C$17,0,$L$17*$G$17*(1+$C$26))</f>
        <v>2772</v>
      </c>
      <c r="AU40" s="65" t="n">
        <f aca="false">IF(42&lt;$C$17,0,$L$17*$G$17*(1+$C$26))</f>
        <v>2772</v>
      </c>
      <c r="AV40" s="65" t="n">
        <f aca="false">IF(43&lt;$C$17,0,$L$17*$G$17*(1+$C$26))</f>
        <v>2772</v>
      </c>
      <c r="AW40" s="65" t="n">
        <f aca="false">IF(44&lt;$C$17,0,$L$17*$G$17*(1+$C$26))</f>
        <v>2772</v>
      </c>
      <c r="AX40" s="65" t="n">
        <f aca="false">IF(45&lt;$C$17,0,$L$17*$G$17*(1+$C$26))</f>
        <v>2772</v>
      </c>
      <c r="AY40" s="65" t="n">
        <f aca="false">IF(46&lt;$C$17,0,$L$17*$G$17*(1+$C$26))</f>
        <v>2772</v>
      </c>
      <c r="AZ40" s="65" t="n">
        <f aca="false">IF(47&lt;$C$17,0,$L$17*$G$17*(1+$C$26))</f>
        <v>2772</v>
      </c>
      <c r="BA40" s="65" t="n">
        <f aca="false">IF(48&lt;$C$17,0,$L$17*$G$17*(1+$C$26))</f>
        <v>2772</v>
      </c>
      <c r="BB40" s="64" t="n">
        <f aca="false">SUM(BC40:BN40)</f>
        <v>36036</v>
      </c>
      <c r="BC40" s="65" t="n">
        <f aca="false">IF(49&lt;$C$17,0,$M$17*$H$17*(1+$C$26))</f>
        <v>3003</v>
      </c>
      <c r="BD40" s="65" t="n">
        <f aca="false">IF(50&lt;$C$17,0,$M$17*$H$17*(1+$C$26))</f>
        <v>3003</v>
      </c>
      <c r="BE40" s="65" t="n">
        <f aca="false">IF(51&lt;$C$17,0,$M$17*$H$17*(1+$C$26))</f>
        <v>3003</v>
      </c>
      <c r="BF40" s="65" t="n">
        <f aca="false">IF(52&lt;$C$17,0,$M$17*$H$17*(1+$C$26))</f>
        <v>3003</v>
      </c>
      <c r="BG40" s="65" t="n">
        <f aca="false">IF(53&lt;$C$17,0,$M$17*$H$17*(1+$C$26))</f>
        <v>3003</v>
      </c>
      <c r="BH40" s="65" t="n">
        <f aca="false">IF(54&lt;$C$17,0,$M$17*$H$17*(1+$C$26))</f>
        <v>3003</v>
      </c>
      <c r="BI40" s="65" t="n">
        <f aca="false">IF(55&lt;$C$17,0,$M$17*$H$17*(1+$C$26))</f>
        <v>3003</v>
      </c>
      <c r="BJ40" s="65" t="n">
        <f aca="false">IF(56&lt;$C$17,0,$M$17*$H$17*(1+$C$26))</f>
        <v>3003</v>
      </c>
      <c r="BK40" s="65" t="n">
        <f aca="false">IF(57&lt;$C$17,0,$M$17*$H$17*(1+$C$26))</f>
        <v>3003</v>
      </c>
      <c r="BL40" s="65" t="n">
        <f aca="false">IF(58&lt;$C$17,0,$M$17*$H$17*(1+$C$26))</f>
        <v>3003</v>
      </c>
      <c r="BM40" s="65" t="n">
        <f aca="false">IF(59&lt;$C$17,0,$M$17*$H$17*(1+$C$26))</f>
        <v>3003</v>
      </c>
      <c r="BN40" s="65" t="n">
        <f aca="false">IF(60&lt;$C$17,0,$M$17*$H$17*(1+$C$26))</f>
        <v>3003</v>
      </c>
    </row>
    <row r="41" customFormat="false" ht="15" hidden="false" customHeight="false" outlineLevel="0" collapsed="false">
      <c r="A41" s="12" t="s">
        <v>771</v>
      </c>
      <c r="B41" s="64" t="n">
        <f aca="false">SUM(C41:N41)</f>
        <v>0</v>
      </c>
      <c r="C41" s="65" t="n">
        <f aca="false">IF(1&lt;$C$18,0,$I$18*$D$18*(1+$C$26))</f>
        <v>0</v>
      </c>
      <c r="D41" s="65" t="n">
        <f aca="false">IF(2&lt;$C$18,0,$I$18*$D$18*(1+$C$26))</f>
        <v>0</v>
      </c>
      <c r="E41" s="65" t="n">
        <f aca="false">IF(3&lt;$C$18,0,$I$18*$D$18*(1+$C$26))</f>
        <v>0</v>
      </c>
      <c r="F41" s="65" t="n">
        <f aca="false">IF(4&lt;$C$18,0,$I$18*$D$18*(1+$C$26))</f>
        <v>0</v>
      </c>
      <c r="G41" s="65" t="n">
        <f aca="false">IF(5&lt;$C$18,0,$I$18*$D$18*(1+$C$26))</f>
        <v>0</v>
      </c>
      <c r="H41" s="65" t="n">
        <f aca="false">IF(6&lt;$C$18,0,$I$18*$D$18*(1+$C$26))</f>
        <v>0</v>
      </c>
      <c r="I41" s="65" t="n">
        <f aca="false">IF(7&lt;$C$18,0,$I$18*$D$18*(1+$C$26))</f>
        <v>0</v>
      </c>
      <c r="J41" s="65" t="n">
        <f aca="false">IF(8&lt;$C$18,0,$I$18*$D$18*(1+$C$26))</f>
        <v>0</v>
      </c>
      <c r="K41" s="65" t="n">
        <f aca="false">IF(9&lt;$C$18,0,$I$18*$D$18*(1+$C$26))</f>
        <v>0</v>
      </c>
      <c r="L41" s="65" t="n">
        <f aca="false">IF(10&lt;$C$18,0,$I$18*$D$18*(1+$C$26))</f>
        <v>0</v>
      </c>
      <c r="M41" s="65" t="n">
        <f aca="false">IF(11&lt;$C$18,0,$I$18*$D$18*(1+$C$26))</f>
        <v>0</v>
      </c>
      <c r="N41" s="65" t="n">
        <f aca="false">IF(12&lt;$C$18,0,$I$18*$D$18*(1+$C$26))</f>
        <v>0</v>
      </c>
      <c r="O41" s="64" t="n">
        <f aca="false">SUM(P41:AA41)</f>
        <v>0</v>
      </c>
      <c r="P41" s="65" t="n">
        <f aca="false">IF(13&lt;$C$18,0,$J$18*$E$18*(1+$C$26))</f>
        <v>0</v>
      </c>
      <c r="Q41" s="65" t="n">
        <f aca="false">IF(14&lt;$C$18,0,$J$18*$E$18*(1+$C$26))</f>
        <v>0</v>
      </c>
      <c r="R41" s="65" t="n">
        <f aca="false">IF(15&lt;$C$18,0,$J$18*$E$18*(1+$C$26))</f>
        <v>0</v>
      </c>
      <c r="S41" s="65" t="n">
        <f aca="false">IF(16&lt;$C$18,0,$J$18*$E$18*(1+$C$26))</f>
        <v>0</v>
      </c>
      <c r="T41" s="65" t="n">
        <f aca="false">IF(17&lt;$C$18,0,$J$18*$E$18*(1+$C$26))</f>
        <v>0</v>
      </c>
      <c r="U41" s="65" t="n">
        <f aca="false">IF(18&lt;$C$18,0,$J$18*$E$18*(1+$C$26))</f>
        <v>0</v>
      </c>
      <c r="V41" s="65" t="n">
        <f aca="false">IF(19&lt;$C$18,0,$J$18*$E$18*(1+$C$26))</f>
        <v>0</v>
      </c>
      <c r="W41" s="65" t="n">
        <f aca="false">IF(20&lt;$C$18,0,$J$18*$E$18*(1+$C$26))</f>
        <v>0</v>
      </c>
      <c r="X41" s="65" t="n">
        <f aca="false">IF(21&lt;$C$18,0,$J$18*$E$18*(1+$C$26))</f>
        <v>0</v>
      </c>
      <c r="Y41" s="65" t="n">
        <f aca="false">IF(22&lt;$C$18,0,$J$18*$E$18*(1+$C$26))</f>
        <v>0</v>
      </c>
      <c r="Z41" s="65" t="n">
        <f aca="false">IF(23&lt;$C$18,0,$J$18*$E$18*(1+$C$26))</f>
        <v>0</v>
      </c>
      <c r="AA41" s="65" t="n">
        <f aca="false">IF(24&lt;$C$18,0,$J$18*$E$18*(1+$C$26))</f>
        <v>0</v>
      </c>
      <c r="AB41" s="64" t="n">
        <f aca="false">SUM(AC41:AN41)</f>
        <v>0</v>
      </c>
      <c r="AC41" s="65" t="n">
        <f aca="false">IF(25&lt;$C$18,0,$K$18*$F$18*(1+$C$26))</f>
        <v>0</v>
      </c>
      <c r="AD41" s="65" t="n">
        <f aca="false">IF(26&lt;$C$18,0,$K$18*$F$18*(1+$C$26))</f>
        <v>0</v>
      </c>
      <c r="AE41" s="65" t="n">
        <f aca="false">IF(27&lt;$C$18,0,$K$18*$F$18*(1+$C$26))</f>
        <v>0</v>
      </c>
      <c r="AF41" s="65" t="n">
        <f aca="false">IF(28&lt;$C$18,0,$K$18*$F$18*(1+$C$26))</f>
        <v>0</v>
      </c>
      <c r="AG41" s="65" t="n">
        <f aca="false">IF(29&lt;$C$18,0,$K$18*$F$18*(1+$C$26))</f>
        <v>0</v>
      </c>
      <c r="AH41" s="65" t="n">
        <f aca="false">IF(30&lt;$C$18,0,$K$18*$F$18*(1+$C$26))</f>
        <v>0</v>
      </c>
      <c r="AI41" s="65" t="n">
        <f aca="false">IF(31&lt;$C$18,0,$K$18*$F$18*(1+$C$26))</f>
        <v>0</v>
      </c>
      <c r="AJ41" s="65" t="n">
        <f aca="false">IF(32&lt;$C$18,0,$K$18*$F$18*(1+$C$26))</f>
        <v>0</v>
      </c>
      <c r="AK41" s="65" t="n">
        <f aca="false">IF(33&lt;$C$18,0,$K$18*$F$18*(1+$C$26))</f>
        <v>0</v>
      </c>
      <c r="AL41" s="65" t="n">
        <f aca="false">IF(34&lt;$C$18,0,$K$18*$F$18*(1+$C$26))</f>
        <v>0</v>
      </c>
      <c r="AM41" s="65" t="n">
        <f aca="false">IF(35&lt;$C$18,0,$K$18*$F$18*(1+$C$26))</f>
        <v>0</v>
      </c>
      <c r="AN41" s="65" t="n">
        <f aca="false">IF(36&lt;$C$18,0,$K$18*$F$18*(1+$C$26))</f>
        <v>0</v>
      </c>
      <c r="AO41" s="64" t="n">
        <f aca="false">SUM(AP41:BA41)</f>
        <v>18018</v>
      </c>
      <c r="AP41" s="65" t="n">
        <f aca="false">IF(37&lt;$C$18,0,$L$18*$G$18*(1+$C$26))</f>
        <v>1501.5</v>
      </c>
      <c r="AQ41" s="65" t="n">
        <f aca="false">IF(38&lt;$C$18,0,$L$18*$G$18*(1+$C$26))</f>
        <v>1501.5</v>
      </c>
      <c r="AR41" s="65" t="n">
        <f aca="false">IF(39&lt;$C$18,0,$L$18*$G$18*(1+$C$26))</f>
        <v>1501.5</v>
      </c>
      <c r="AS41" s="65" t="n">
        <f aca="false">IF(40&lt;$C$18,0,$L$18*$G$18*(1+$C$26))</f>
        <v>1501.5</v>
      </c>
      <c r="AT41" s="65" t="n">
        <f aca="false">IF(41&lt;$C$18,0,$L$18*$G$18*(1+$C$26))</f>
        <v>1501.5</v>
      </c>
      <c r="AU41" s="65" t="n">
        <f aca="false">IF(42&lt;$C$18,0,$L$18*$G$18*(1+$C$26))</f>
        <v>1501.5</v>
      </c>
      <c r="AV41" s="65" t="n">
        <f aca="false">IF(43&lt;$C$18,0,$L$18*$G$18*(1+$C$26))</f>
        <v>1501.5</v>
      </c>
      <c r="AW41" s="65" t="n">
        <f aca="false">IF(44&lt;$C$18,0,$L$18*$G$18*(1+$C$26))</f>
        <v>1501.5</v>
      </c>
      <c r="AX41" s="65" t="n">
        <f aca="false">IF(45&lt;$C$18,0,$L$18*$G$18*(1+$C$26))</f>
        <v>1501.5</v>
      </c>
      <c r="AY41" s="65" t="n">
        <f aca="false">IF(46&lt;$C$18,0,$L$18*$G$18*(1+$C$26))</f>
        <v>1501.5</v>
      </c>
      <c r="AZ41" s="65" t="n">
        <f aca="false">IF(47&lt;$C$18,0,$L$18*$G$18*(1+$C$26))</f>
        <v>1501.5</v>
      </c>
      <c r="BA41" s="65" t="n">
        <f aca="false">IF(48&lt;$C$18,0,$L$18*$G$18*(1+$C$26))</f>
        <v>1501.5</v>
      </c>
      <c r="BB41" s="64" t="n">
        <f aca="false">SUM(BC41:BN41)</f>
        <v>19404</v>
      </c>
      <c r="BC41" s="65" t="n">
        <f aca="false">IF(49&lt;$C$18,0,$M$18*$H$18*(1+$C$26))</f>
        <v>1617</v>
      </c>
      <c r="BD41" s="65" t="n">
        <f aca="false">IF(50&lt;$C$18,0,$M$18*$H$18*(1+$C$26))</f>
        <v>1617</v>
      </c>
      <c r="BE41" s="65" t="n">
        <f aca="false">IF(51&lt;$C$18,0,$M$18*$H$18*(1+$C$26))</f>
        <v>1617</v>
      </c>
      <c r="BF41" s="65" t="n">
        <f aca="false">IF(52&lt;$C$18,0,$M$18*$H$18*(1+$C$26))</f>
        <v>1617</v>
      </c>
      <c r="BG41" s="65" t="n">
        <f aca="false">IF(53&lt;$C$18,0,$M$18*$H$18*(1+$C$26))</f>
        <v>1617</v>
      </c>
      <c r="BH41" s="65" t="n">
        <f aca="false">IF(54&lt;$C$18,0,$M$18*$H$18*(1+$C$26))</f>
        <v>1617</v>
      </c>
      <c r="BI41" s="65" t="n">
        <f aca="false">IF(55&lt;$C$18,0,$M$18*$H$18*(1+$C$26))</f>
        <v>1617</v>
      </c>
      <c r="BJ41" s="65" t="n">
        <f aca="false">IF(56&lt;$C$18,0,$M$18*$H$18*(1+$C$26))</f>
        <v>1617</v>
      </c>
      <c r="BK41" s="65" t="n">
        <f aca="false">IF(57&lt;$C$18,0,$M$18*$H$18*(1+$C$26))</f>
        <v>1617</v>
      </c>
      <c r="BL41" s="65" t="n">
        <f aca="false">IF(58&lt;$C$18,0,$M$18*$H$18*(1+$C$26))</f>
        <v>1617</v>
      </c>
      <c r="BM41" s="65" t="n">
        <f aca="false">IF(59&lt;$C$18,0,$M$18*$H$18*(1+$C$26))</f>
        <v>1617</v>
      </c>
      <c r="BN41" s="65" t="n">
        <f aca="false">IF(60&lt;$C$18,0,$M$18*$H$18*(1+$C$26))</f>
        <v>1617</v>
      </c>
    </row>
    <row r="42" customFormat="false" ht="15" hidden="false" customHeight="false" outlineLevel="0" collapsed="false">
      <c r="A42" s="12" t="s">
        <v>772</v>
      </c>
      <c r="B42" s="64" t="n">
        <f aca="false">SUM(C42:N42)</f>
        <v>0</v>
      </c>
      <c r="C42" s="65" t="n">
        <f aca="false">IF(1&lt;$C$19,0,$I$19*$D$19*(1+$C$26))</f>
        <v>0</v>
      </c>
      <c r="D42" s="65" t="n">
        <f aca="false">IF(2&lt;$C$19,0,$I$19*$D$19*(1+$C$26))</f>
        <v>0</v>
      </c>
      <c r="E42" s="65" t="n">
        <f aca="false">IF(3&lt;$C$19,0,$I$19*$D$19*(1+$C$26))</f>
        <v>0</v>
      </c>
      <c r="F42" s="65" t="n">
        <f aca="false">IF(4&lt;$C$19,0,$I$19*$D$19*(1+$C$26))</f>
        <v>0</v>
      </c>
      <c r="G42" s="65" t="n">
        <f aca="false">IF(5&lt;$C$19,0,$I$19*$D$19*(1+$C$26))</f>
        <v>0</v>
      </c>
      <c r="H42" s="65" t="n">
        <f aca="false">IF(6&lt;$C$19,0,$I$19*$D$19*(1+$C$26))</f>
        <v>0</v>
      </c>
      <c r="I42" s="65" t="n">
        <f aca="false">IF(7&lt;$C$19,0,$I$19*$D$19*(1+$C$26))</f>
        <v>0</v>
      </c>
      <c r="J42" s="65" t="n">
        <f aca="false">IF(8&lt;$C$19,0,$I$19*$D$19*(1+$C$26))</f>
        <v>0</v>
      </c>
      <c r="K42" s="65" t="n">
        <f aca="false">IF(9&lt;$C$19,0,$I$19*$D$19*(1+$C$26))</f>
        <v>0</v>
      </c>
      <c r="L42" s="65" t="n">
        <f aca="false">IF(10&lt;$C$19,0,$I$19*$D$19*(1+$C$26))</f>
        <v>0</v>
      </c>
      <c r="M42" s="65" t="n">
        <f aca="false">IF(11&lt;$C$19,0,$I$19*$D$19*(1+$C$26))</f>
        <v>0</v>
      </c>
      <c r="N42" s="65" t="n">
        <f aca="false">IF(12&lt;$C$19,0,$I$19*$D$19*(1+$C$26))</f>
        <v>0</v>
      </c>
      <c r="O42" s="64" t="n">
        <f aca="false">SUM(P42:AA42)</f>
        <v>12474</v>
      </c>
      <c r="P42" s="65" t="n">
        <f aca="false">IF(13&lt;$C$19,0,$J$19*$E$19*(1+$C$26))</f>
        <v>1039.5</v>
      </c>
      <c r="Q42" s="65" t="n">
        <f aca="false">IF(14&lt;$C$19,0,$J$19*$E$19*(1+$C$26))</f>
        <v>1039.5</v>
      </c>
      <c r="R42" s="65" t="n">
        <f aca="false">IF(15&lt;$C$19,0,$J$19*$E$19*(1+$C$26))</f>
        <v>1039.5</v>
      </c>
      <c r="S42" s="65" t="n">
        <f aca="false">IF(16&lt;$C$19,0,$J$19*$E$19*(1+$C$26))</f>
        <v>1039.5</v>
      </c>
      <c r="T42" s="65" t="n">
        <f aca="false">IF(17&lt;$C$19,0,$J$19*$E$19*(1+$C$26))</f>
        <v>1039.5</v>
      </c>
      <c r="U42" s="65" t="n">
        <f aca="false">IF(18&lt;$C$19,0,$J$19*$E$19*(1+$C$26))</f>
        <v>1039.5</v>
      </c>
      <c r="V42" s="65" t="n">
        <f aca="false">IF(19&lt;$C$19,0,$J$19*$E$19*(1+$C$26))</f>
        <v>1039.5</v>
      </c>
      <c r="W42" s="65" t="n">
        <f aca="false">IF(20&lt;$C$19,0,$J$19*$E$19*(1+$C$26))</f>
        <v>1039.5</v>
      </c>
      <c r="X42" s="65" t="n">
        <f aca="false">IF(21&lt;$C$19,0,$J$19*$E$19*(1+$C$26))</f>
        <v>1039.5</v>
      </c>
      <c r="Y42" s="65" t="n">
        <f aca="false">IF(22&lt;$C$19,0,$J$19*$E$19*(1+$C$26))</f>
        <v>1039.5</v>
      </c>
      <c r="Z42" s="65" t="n">
        <f aca="false">IF(23&lt;$C$19,0,$J$19*$E$19*(1+$C$26))</f>
        <v>1039.5</v>
      </c>
      <c r="AA42" s="65" t="n">
        <f aca="false">IF(24&lt;$C$19,0,$J$19*$E$19*(1+$C$26))</f>
        <v>1039.5</v>
      </c>
      <c r="AB42" s="64" t="n">
        <f aca="false">SUM(AC42:AN42)</f>
        <v>16632</v>
      </c>
      <c r="AC42" s="65" t="n">
        <f aca="false">IF(25&lt;$C$19,0,$K$19*$F$19*(1+$C$26))</f>
        <v>1386</v>
      </c>
      <c r="AD42" s="65" t="n">
        <f aca="false">IF(26&lt;$C$19,0,$K$19*$F$19*(1+$C$26))</f>
        <v>1386</v>
      </c>
      <c r="AE42" s="65" t="n">
        <f aca="false">IF(27&lt;$C$19,0,$K$19*$F$19*(1+$C$26))</f>
        <v>1386</v>
      </c>
      <c r="AF42" s="65" t="n">
        <f aca="false">IF(28&lt;$C$19,0,$K$19*$F$19*(1+$C$26))</f>
        <v>1386</v>
      </c>
      <c r="AG42" s="65" t="n">
        <f aca="false">IF(29&lt;$C$19,0,$K$19*$F$19*(1+$C$26))</f>
        <v>1386</v>
      </c>
      <c r="AH42" s="65" t="n">
        <f aca="false">IF(30&lt;$C$19,0,$K$19*$F$19*(1+$C$26))</f>
        <v>1386</v>
      </c>
      <c r="AI42" s="65" t="n">
        <f aca="false">IF(31&lt;$C$19,0,$K$19*$F$19*(1+$C$26))</f>
        <v>1386</v>
      </c>
      <c r="AJ42" s="65" t="n">
        <f aca="false">IF(32&lt;$C$19,0,$K$19*$F$19*(1+$C$26))</f>
        <v>1386</v>
      </c>
      <c r="AK42" s="65" t="n">
        <f aca="false">IF(33&lt;$C$19,0,$K$19*$F$19*(1+$C$26))</f>
        <v>1386</v>
      </c>
      <c r="AL42" s="65" t="n">
        <f aca="false">IF(34&lt;$C$19,0,$K$19*$F$19*(1+$C$26))</f>
        <v>1386</v>
      </c>
      <c r="AM42" s="65" t="n">
        <f aca="false">IF(35&lt;$C$19,0,$K$19*$F$19*(1+$C$26))</f>
        <v>1386</v>
      </c>
      <c r="AN42" s="65" t="n">
        <f aca="false">IF(36&lt;$C$19,0,$K$19*$F$19*(1+$C$26))</f>
        <v>1386</v>
      </c>
      <c r="AO42" s="64" t="n">
        <f aca="false">SUM(AP42:BA42)</f>
        <v>18018</v>
      </c>
      <c r="AP42" s="65" t="n">
        <f aca="false">IF(37&lt;$C$19,0,$L$19*$G$19*(1+$C$26))</f>
        <v>1501.5</v>
      </c>
      <c r="AQ42" s="65" t="n">
        <f aca="false">IF(38&lt;$C$19,0,$L$19*$G$19*(1+$C$26))</f>
        <v>1501.5</v>
      </c>
      <c r="AR42" s="65" t="n">
        <f aca="false">IF(39&lt;$C$19,0,$L$19*$G$19*(1+$C$26))</f>
        <v>1501.5</v>
      </c>
      <c r="AS42" s="65" t="n">
        <f aca="false">IF(40&lt;$C$19,0,$L$19*$G$19*(1+$C$26))</f>
        <v>1501.5</v>
      </c>
      <c r="AT42" s="65" t="n">
        <f aca="false">IF(41&lt;$C$19,0,$L$19*$G$19*(1+$C$26))</f>
        <v>1501.5</v>
      </c>
      <c r="AU42" s="65" t="n">
        <f aca="false">IF(42&lt;$C$19,0,$L$19*$G$19*(1+$C$26))</f>
        <v>1501.5</v>
      </c>
      <c r="AV42" s="65" t="n">
        <f aca="false">IF(43&lt;$C$19,0,$L$19*$G$19*(1+$C$26))</f>
        <v>1501.5</v>
      </c>
      <c r="AW42" s="65" t="n">
        <f aca="false">IF(44&lt;$C$19,0,$L$19*$G$19*(1+$C$26))</f>
        <v>1501.5</v>
      </c>
      <c r="AX42" s="65" t="n">
        <f aca="false">IF(45&lt;$C$19,0,$L$19*$G$19*(1+$C$26))</f>
        <v>1501.5</v>
      </c>
      <c r="AY42" s="65" t="n">
        <f aca="false">IF(46&lt;$C$19,0,$L$19*$G$19*(1+$C$26))</f>
        <v>1501.5</v>
      </c>
      <c r="AZ42" s="65" t="n">
        <f aca="false">IF(47&lt;$C$19,0,$L$19*$G$19*(1+$C$26))</f>
        <v>1501.5</v>
      </c>
      <c r="BA42" s="65" t="n">
        <f aca="false">IF(48&lt;$C$19,0,$L$19*$G$19*(1+$C$26))</f>
        <v>1501.5</v>
      </c>
      <c r="BB42" s="64" t="n">
        <f aca="false">SUM(BC42:BN42)</f>
        <v>19404</v>
      </c>
      <c r="BC42" s="65" t="n">
        <f aca="false">IF(49&lt;$C$19,0,$M$19*$H$19*(1+$C$26))</f>
        <v>1617</v>
      </c>
      <c r="BD42" s="65" t="n">
        <f aca="false">IF(50&lt;$C$19,0,$M$19*$H$19*(1+$C$26))</f>
        <v>1617</v>
      </c>
      <c r="BE42" s="65" t="n">
        <f aca="false">IF(51&lt;$C$19,0,$M$19*$H$19*(1+$C$26))</f>
        <v>1617</v>
      </c>
      <c r="BF42" s="65" t="n">
        <f aca="false">IF(52&lt;$C$19,0,$M$19*$H$19*(1+$C$26))</f>
        <v>1617</v>
      </c>
      <c r="BG42" s="65" t="n">
        <f aca="false">IF(53&lt;$C$19,0,$M$19*$H$19*(1+$C$26))</f>
        <v>1617</v>
      </c>
      <c r="BH42" s="65" t="n">
        <f aca="false">IF(54&lt;$C$19,0,$M$19*$H$19*(1+$C$26))</f>
        <v>1617</v>
      </c>
      <c r="BI42" s="65" t="n">
        <f aca="false">IF(55&lt;$C$19,0,$M$19*$H$19*(1+$C$26))</f>
        <v>1617</v>
      </c>
      <c r="BJ42" s="65" t="n">
        <f aca="false">IF(56&lt;$C$19,0,$M$19*$H$19*(1+$C$26))</f>
        <v>1617</v>
      </c>
      <c r="BK42" s="65" t="n">
        <f aca="false">IF(57&lt;$C$19,0,$M$19*$H$19*(1+$C$26))</f>
        <v>1617</v>
      </c>
      <c r="BL42" s="65" t="n">
        <f aca="false">IF(58&lt;$C$19,0,$M$19*$H$19*(1+$C$26))</f>
        <v>1617</v>
      </c>
      <c r="BM42" s="65" t="n">
        <f aca="false">IF(59&lt;$C$19,0,$M$19*$H$19*(1+$C$26))</f>
        <v>1617</v>
      </c>
      <c r="BN42" s="65" t="n">
        <f aca="false">IF(60&lt;$C$19,0,$M$19*$H$19*(1+$C$26))</f>
        <v>1617</v>
      </c>
    </row>
    <row r="43" customFormat="false" ht="15" hidden="false" customHeight="false" outlineLevel="0" collapsed="false">
      <c r="A43" s="12" t="s">
        <v>773</v>
      </c>
      <c r="B43" s="64" t="n">
        <f aca="false">SUM(C43:N43)</f>
        <v>0</v>
      </c>
      <c r="C43" s="65" t="n">
        <f aca="false">IF(1&lt;$C$20,0,$I$20*$D$20*(1+$C$26))</f>
        <v>0</v>
      </c>
      <c r="D43" s="65" t="n">
        <f aca="false">IF(2&lt;$C$20,0,$I$20*$D$20*(1+$C$26))</f>
        <v>0</v>
      </c>
      <c r="E43" s="65" t="n">
        <f aca="false">IF(3&lt;$C$20,0,$I$20*$D$20*(1+$C$26))</f>
        <v>0</v>
      </c>
      <c r="F43" s="65" t="n">
        <f aca="false">IF(4&lt;$C$20,0,$I$20*$D$20*(1+$C$26))</f>
        <v>0</v>
      </c>
      <c r="G43" s="65" t="n">
        <f aca="false">IF(5&lt;$C$20,0,$I$20*$D$20*(1+$C$26))</f>
        <v>0</v>
      </c>
      <c r="H43" s="65" t="n">
        <f aca="false">IF(6&lt;$C$20,0,$I$20*$D$20*(1+$C$26))</f>
        <v>0</v>
      </c>
      <c r="I43" s="65" t="n">
        <f aca="false">IF(7&lt;$C$20,0,$I$20*$D$20*(1+$C$26))</f>
        <v>0</v>
      </c>
      <c r="J43" s="65" t="n">
        <f aca="false">IF(8&lt;$C$20,0,$I$20*$D$20*(1+$C$26))</f>
        <v>0</v>
      </c>
      <c r="K43" s="65" t="n">
        <f aca="false">IF(9&lt;$C$20,0,$I$20*$D$20*(1+$C$26))</f>
        <v>0</v>
      </c>
      <c r="L43" s="65" t="n">
        <f aca="false">IF(10&lt;$C$20,0,$I$20*$D$20*(1+$C$26))</f>
        <v>0</v>
      </c>
      <c r="M43" s="65" t="n">
        <f aca="false">IF(11&lt;$C$20,0,$I$20*$D$20*(1+$C$26))</f>
        <v>0</v>
      </c>
      <c r="N43" s="65" t="n">
        <f aca="false">IF(12&lt;$C$20,0,$I$20*$D$20*(1+$C$26))</f>
        <v>0</v>
      </c>
      <c r="O43" s="64" t="n">
        <f aca="false">SUM(P43:AA43)</f>
        <v>0</v>
      </c>
      <c r="P43" s="65" t="n">
        <f aca="false">IF(13&lt;$C$20,0,$J$20*$E$20*(1+$C$26))</f>
        <v>0</v>
      </c>
      <c r="Q43" s="65" t="n">
        <f aca="false">IF(14&lt;$C$20,0,$J$20*$E$20*(1+$C$26))</f>
        <v>0</v>
      </c>
      <c r="R43" s="65" t="n">
        <f aca="false">IF(15&lt;$C$20,0,$J$20*$E$20*(1+$C$26))</f>
        <v>0</v>
      </c>
      <c r="S43" s="65" t="n">
        <f aca="false">IF(16&lt;$C$20,0,$J$20*$E$20*(1+$C$26))</f>
        <v>0</v>
      </c>
      <c r="T43" s="65" t="n">
        <f aca="false">IF(17&lt;$C$20,0,$J$20*$E$20*(1+$C$26))</f>
        <v>0</v>
      </c>
      <c r="U43" s="65" t="n">
        <f aca="false">IF(18&lt;$C$20,0,$J$20*$E$20*(1+$C$26))</f>
        <v>0</v>
      </c>
      <c r="V43" s="65" t="n">
        <f aca="false">IF(19&lt;$C$20,0,$J$20*$E$20*(1+$C$26))</f>
        <v>0</v>
      </c>
      <c r="W43" s="65" t="n">
        <f aca="false">IF(20&lt;$C$20,0,$J$20*$E$20*(1+$C$26))</f>
        <v>0</v>
      </c>
      <c r="X43" s="65" t="n">
        <f aca="false">IF(21&lt;$C$20,0,$J$20*$E$20*(1+$C$26))</f>
        <v>0</v>
      </c>
      <c r="Y43" s="65" t="n">
        <f aca="false">IF(22&lt;$C$20,0,$J$20*$E$20*(1+$C$26))</f>
        <v>0</v>
      </c>
      <c r="Z43" s="65" t="n">
        <f aca="false">IF(23&lt;$C$20,0,$J$20*$E$20*(1+$C$26))</f>
        <v>0</v>
      </c>
      <c r="AA43" s="65" t="n">
        <f aca="false">IF(24&lt;$C$20,0,$J$20*$E$20*(1+$C$26))</f>
        <v>0</v>
      </c>
      <c r="AB43" s="64" t="n">
        <f aca="false">SUM(AC43:AN43)</f>
        <v>12474</v>
      </c>
      <c r="AC43" s="65" t="n">
        <f aca="false">IF(25&lt;$C$20,0,$K$20*$F$20*(1+$C$26))</f>
        <v>1039.5</v>
      </c>
      <c r="AD43" s="65" t="n">
        <f aca="false">IF(26&lt;$C$20,0,$K$20*$F$20*(1+$C$26))</f>
        <v>1039.5</v>
      </c>
      <c r="AE43" s="65" t="n">
        <f aca="false">IF(27&lt;$C$20,0,$K$20*$F$20*(1+$C$26))</f>
        <v>1039.5</v>
      </c>
      <c r="AF43" s="65" t="n">
        <f aca="false">IF(28&lt;$C$20,0,$K$20*$F$20*(1+$C$26))</f>
        <v>1039.5</v>
      </c>
      <c r="AG43" s="65" t="n">
        <f aca="false">IF(29&lt;$C$20,0,$K$20*$F$20*(1+$C$26))</f>
        <v>1039.5</v>
      </c>
      <c r="AH43" s="65" t="n">
        <f aca="false">IF(30&lt;$C$20,0,$K$20*$F$20*(1+$C$26))</f>
        <v>1039.5</v>
      </c>
      <c r="AI43" s="65" t="n">
        <f aca="false">IF(31&lt;$C$20,0,$K$20*$F$20*(1+$C$26))</f>
        <v>1039.5</v>
      </c>
      <c r="AJ43" s="65" t="n">
        <f aca="false">IF(32&lt;$C$20,0,$K$20*$F$20*(1+$C$26))</f>
        <v>1039.5</v>
      </c>
      <c r="AK43" s="65" t="n">
        <f aca="false">IF(33&lt;$C$20,0,$K$20*$F$20*(1+$C$26))</f>
        <v>1039.5</v>
      </c>
      <c r="AL43" s="65" t="n">
        <f aca="false">IF(34&lt;$C$20,0,$K$20*$F$20*(1+$C$26))</f>
        <v>1039.5</v>
      </c>
      <c r="AM43" s="65" t="n">
        <f aca="false">IF(35&lt;$C$20,0,$K$20*$F$20*(1+$C$26))</f>
        <v>1039.5</v>
      </c>
      <c r="AN43" s="65" t="n">
        <f aca="false">IF(36&lt;$C$20,0,$K$20*$F$20*(1+$C$26))</f>
        <v>1039.5</v>
      </c>
      <c r="AO43" s="64" t="n">
        <f aca="false">SUM(AP43:BA43)</f>
        <v>13860</v>
      </c>
      <c r="AP43" s="65" t="n">
        <f aca="false">IF(37&lt;$C$20,0,$L$20*$G$20*(1+$C$26))</f>
        <v>1155</v>
      </c>
      <c r="AQ43" s="65" t="n">
        <f aca="false">IF(38&lt;$C$20,0,$L$20*$G$20*(1+$C$26))</f>
        <v>1155</v>
      </c>
      <c r="AR43" s="65" t="n">
        <f aca="false">IF(39&lt;$C$20,0,$L$20*$G$20*(1+$C$26))</f>
        <v>1155</v>
      </c>
      <c r="AS43" s="65" t="n">
        <f aca="false">IF(40&lt;$C$20,0,$L$20*$G$20*(1+$C$26))</f>
        <v>1155</v>
      </c>
      <c r="AT43" s="65" t="n">
        <f aca="false">IF(41&lt;$C$20,0,$L$20*$G$20*(1+$C$26))</f>
        <v>1155</v>
      </c>
      <c r="AU43" s="65" t="n">
        <f aca="false">IF(42&lt;$C$20,0,$L$20*$G$20*(1+$C$26))</f>
        <v>1155</v>
      </c>
      <c r="AV43" s="65" t="n">
        <f aca="false">IF(43&lt;$C$20,0,$L$20*$G$20*(1+$C$26))</f>
        <v>1155</v>
      </c>
      <c r="AW43" s="65" t="n">
        <f aca="false">IF(44&lt;$C$20,0,$L$20*$G$20*(1+$C$26))</f>
        <v>1155</v>
      </c>
      <c r="AX43" s="65" t="n">
        <f aca="false">IF(45&lt;$C$20,0,$L$20*$G$20*(1+$C$26))</f>
        <v>1155</v>
      </c>
      <c r="AY43" s="65" t="n">
        <f aca="false">IF(46&lt;$C$20,0,$L$20*$G$20*(1+$C$26))</f>
        <v>1155</v>
      </c>
      <c r="AZ43" s="65" t="n">
        <f aca="false">IF(47&lt;$C$20,0,$L$20*$G$20*(1+$C$26))</f>
        <v>1155</v>
      </c>
      <c r="BA43" s="65" t="n">
        <f aca="false">IF(48&lt;$C$20,0,$L$20*$G$20*(1+$C$26))</f>
        <v>1155</v>
      </c>
      <c r="BB43" s="64" t="n">
        <f aca="false">SUM(BC43:BN43)</f>
        <v>15246</v>
      </c>
      <c r="BC43" s="65" t="n">
        <f aca="false">IF(49&lt;$C$20,0,$M$20*$H$20*(1+$C$26))</f>
        <v>1270.5</v>
      </c>
      <c r="BD43" s="65" t="n">
        <f aca="false">IF(50&lt;$C$20,0,$M$20*$H$20*(1+$C$26))</f>
        <v>1270.5</v>
      </c>
      <c r="BE43" s="65" t="n">
        <f aca="false">IF(51&lt;$C$20,0,$M$20*$H$20*(1+$C$26))</f>
        <v>1270.5</v>
      </c>
      <c r="BF43" s="65" t="n">
        <f aca="false">IF(52&lt;$C$20,0,$M$20*$H$20*(1+$C$26))</f>
        <v>1270.5</v>
      </c>
      <c r="BG43" s="65" t="n">
        <f aca="false">IF(53&lt;$C$20,0,$M$20*$H$20*(1+$C$26))</f>
        <v>1270.5</v>
      </c>
      <c r="BH43" s="65" t="n">
        <f aca="false">IF(54&lt;$C$20,0,$M$20*$H$20*(1+$C$26))</f>
        <v>1270.5</v>
      </c>
      <c r="BI43" s="65" t="n">
        <f aca="false">IF(55&lt;$C$20,0,$M$20*$H$20*(1+$C$26))</f>
        <v>1270.5</v>
      </c>
      <c r="BJ43" s="65" t="n">
        <f aca="false">IF(56&lt;$C$20,0,$M$20*$H$20*(1+$C$26))</f>
        <v>1270.5</v>
      </c>
      <c r="BK43" s="65" t="n">
        <f aca="false">IF(57&lt;$C$20,0,$M$20*$H$20*(1+$C$26))</f>
        <v>1270.5</v>
      </c>
      <c r="BL43" s="65" t="n">
        <f aca="false">IF(58&lt;$C$20,0,$M$20*$H$20*(1+$C$26))</f>
        <v>1270.5</v>
      </c>
      <c r="BM43" s="65" t="n">
        <f aca="false">IF(59&lt;$C$20,0,$M$20*$H$20*(1+$C$26))</f>
        <v>1270.5</v>
      </c>
      <c r="BN43" s="65" t="n">
        <f aca="false">IF(60&lt;$C$20,0,$M$20*$H$20*(1+$C$26))</f>
        <v>1270.5</v>
      </c>
    </row>
    <row r="44" customFormat="false" ht="15" hidden="false" customHeight="false" outlineLevel="0" collapsed="false">
      <c r="A44" s="12" t="s">
        <v>774</v>
      </c>
      <c r="B44" s="64" t="n">
        <f aca="false">SUM(C44:N44)</f>
        <v>0</v>
      </c>
      <c r="C44" s="65" t="n">
        <f aca="false">IF(1&lt;$C$21,0,$I$21*$D$21*(1+$C$26))</f>
        <v>0</v>
      </c>
      <c r="D44" s="65" t="n">
        <f aca="false">IF(2&lt;$C$21,0,$I$21*$D$21*(1+$C$26))</f>
        <v>0</v>
      </c>
      <c r="E44" s="65" t="n">
        <f aca="false">IF(3&lt;$C$21,0,$I$21*$D$21*(1+$C$26))</f>
        <v>0</v>
      </c>
      <c r="F44" s="65" t="n">
        <f aca="false">IF(4&lt;$C$21,0,$I$21*$D$21*(1+$C$26))</f>
        <v>0</v>
      </c>
      <c r="G44" s="65" t="n">
        <f aca="false">IF(5&lt;$C$21,0,$I$21*$D$21*(1+$C$26))</f>
        <v>0</v>
      </c>
      <c r="H44" s="65" t="n">
        <f aca="false">IF(6&lt;$C$21,0,$I$21*$D$21*(1+$C$26))</f>
        <v>0</v>
      </c>
      <c r="I44" s="65" t="n">
        <f aca="false">IF(7&lt;$C$21,0,$I$21*$D$21*(1+$C$26))</f>
        <v>0</v>
      </c>
      <c r="J44" s="65" t="n">
        <f aca="false">IF(8&lt;$C$21,0,$I$21*$D$21*(1+$C$26))</f>
        <v>0</v>
      </c>
      <c r="K44" s="65" t="n">
        <f aca="false">IF(9&lt;$C$21,0,$I$21*$D$21*(1+$C$26))</f>
        <v>0</v>
      </c>
      <c r="L44" s="65" t="n">
        <f aca="false">IF(10&lt;$C$21,0,$I$21*$D$21*(1+$C$26))</f>
        <v>0</v>
      </c>
      <c r="M44" s="65" t="n">
        <f aca="false">IF(11&lt;$C$21,0,$I$21*$D$21*(1+$C$26))</f>
        <v>0</v>
      </c>
      <c r="N44" s="65" t="n">
        <f aca="false">IF(12&lt;$C$21,0,$I$21*$D$21*(1+$C$26))</f>
        <v>0</v>
      </c>
      <c r="O44" s="64" t="n">
        <f aca="false">SUM(P44:AA44)</f>
        <v>0</v>
      </c>
      <c r="P44" s="65" t="n">
        <f aca="false">IF(13&lt;$C$21,0,$J$21*$E$21*(1+$C$26))</f>
        <v>0</v>
      </c>
      <c r="Q44" s="65" t="n">
        <f aca="false">IF(14&lt;$C$21,0,$J$21*$E$21*(1+$C$26))</f>
        <v>0</v>
      </c>
      <c r="R44" s="65" t="n">
        <f aca="false">IF(15&lt;$C$21,0,$J$21*$E$21*(1+$C$26))</f>
        <v>0</v>
      </c>
      <c r="S44" s="65" t="n">
        <f aca="false">IF(16&lt;$C$21,0,$J$21*$E$21*(1+$C$26))</f>
        <v>0</v>
      </c>
      <c r="T44" s="65" t="n">
        <f aca="false">IF(17&lt;$C$21,0,$J$21*$E$21*(1+$C$26))</f>
        <v>0</v>
      </c>
      <c r="U44" s="65" t="n">
        <f aca="false">IF(18&lt;$C$21,0,$J$21*$E$21*(1+$C$26))</f>
        <v>0</v>
      </c>
      <c r="V44" s="65" t="n">
        <f aca="false">IF(19&lt;$C$21,0,$J$21*$E$21*(1+$C$26))</f>
        <v>0</v>
      </c>
      <c r="W44" s="65" t="n">
        <f aca="false">IF(20&lt;$C$21,0,$J$21*$E$21*(1+$C$26))</f>
        <v>0</v>
      </c>
      <c r="X44" s="65" t="n">
        <f aca="false">IF(21&lt;$C$21,0,$J$21*$E$21*(1+$C$26))</f>
        <v>0</v>
      </c>
      <c r="Y44" s="65" t="n">
        <f aca="false">IF(22&lt;$C$21,0,$J$21*$E$21*(1+$C$26))</f>
        <v>0</v>
      </c>
      <c r="Z44" s="65" t="n">
        <f aca="false">IF(23&lt;$C$21,0,$J$21*$E$21*(1+$C$26))</f>
        <v>0</v>
      </c>
      <c r="AA44" s="65" t="n">
        <f aca="false">IF(24&lt;$C$21,0,$J$21*$E$21*(1+$C$26))</f>
        <v>0</v>
      </c>
      <c r="AB44" s="64" t="n">
        <f aca="false">SUM(AC44:AN44)</f>
        <v>0</v>
      </c>
      <c r="AC44" s="65" t="n">
        <f aca="false">IF(25&lt;$C$21,0,$K$21*$F$21*(1+$C$26))</f>
        <v>0</v>
      </c>
      <c r="AD44" s="65" t="n">
        <f aca="false">IF(26&lt;$C$21,0,$K$21*$F$21*(1+$C$26))</f>
        <v>0</v>
      </c>
      <c r="AE44" s="65" t="n">
        <f aca="false">IF(27&lt;$C$21,0,$K$21*$F$21*(1+$C$26))</f>
        <v>0</v>
      </c>
      <c r="AF44" s="65" t="n">
        <f aca="false">IF(28&lt;$C$21,0,$K$21*$F$21*(1+$C$26))</f>
        <v>0</v>
      </c>
      <c r="AG44" s="65" t="n">
        <f aca="false">IF(29&lt;$C$21,0,$K$21*$F$21*(1+$C$26))</f>
        <v>0</v>
      </c>
      <c r="AH44" s="65" t="n">
        <f aca="false">IF(30&lt;$C$21,0,$K$21*$F$21*(1+$C$26))</f>
        <v>0</v>
      </c>
      <c r="AI44" s="65" t="n">
        <f aca="false">IF(31&lt;$C$21,0,$K$21*$F$21*(1+$C$26))</f>
        <v>0</v>
      </c>
      <c r="AJ44" s="65" t="n">
        <f aca="false">IF(32&lt;$C$21,0,$K$21*$F$21*(1+$C$26))</f>
        <v>0</v>
      </c>
      <c r="AK44" s="65" t="n">
        <f aca="false">IF(33&lt;$C$21,0,$K$21*$F$21*(1+$C$26))</f>
        <v>0</v>
      </c>
      <c r="AL44" s="65" t="n">
        <f aca="false">IF(34&lt;$C$21,0,$K$21*$F$21*(1+$C$26))</f>
        <v>0</v>
      </c>
      <c r="AM44" s="65" t="n">
        <f aca="false">IF(35&lt;$C$21,0,$K$21*$F$21*(1+$C$26))</f>
        <v>0</v>
      </c>
      <c r="AN44" s="65" t="n">
        <f aca="false">IF(36&lt;$C$21,0,$K$21*$F$21*(1+$C$26))</f>
        <v>0</v>
      </c>
      <c r="AO44" s="64" t="n">
        <f aca="false">SUM(AP44:BA44)</f>
        <v>11088</v>
      </c>
      <c r="AP44" s="65" t="n">
        <f aca="false">IF(37&lt;$C$21,0,$L$21*$G$21*(1+$C$26))</f>
        <v>924</v>
      </c>
      <c r="AQ44" s="65" t="n">
        <f aca="false">IF(38&lt;$C$21,0,$L$21*$G$21*(1+$C$26))</f>
        <v>924</v>
      </c>
      <c r="AR44" s="65" t="n">
        <f aca="false">IF(39&lt;$C$21,0,$L$21*$G$21*(1+$C$26))</f>
        <v>924</v>
      </c>
      <c r="AS44" s="65" t="n">
        <f aca="false">IF(40&lt;$C$21,0,$L$21*$G$21*(1+$C$26))</f>
        <v>924</v>
      </c>
      <c r="AT44" s="65" t="n">
        <f aca="false">IF(41&lt;$C$21,0,$L$21*$G$21*(1+$C$26))</f>
        <v>924</v>
      </c>
      <c r="AU44" s="65" t="n">
        <f aca="false">IF(42&lt;$C$21,0,$L$21*$G$21*(1+$C$26))</f>
        <v>924</v>
      </c>
      <c r="AV44" s="65" t="n">
        <f aca="false">IF(43&lt;$C$21,0,$L$21*$G$21*(1+$C$26))</f>
        <v>924</v>
      </c>
      <c r="AW44" s="65" t="n">
        <f aca="false">IF(44&lt;$C$21,0,$L$21*$G$21*(1+$C$26))</f>
        <v>924</v>
      </c>
      <c r="AX44" s="65" t="n">
        <f aca="false">IF(45&lt;$C$21,0,$L$21*$G$21*(1+$C$26))</f>
        <v>924</v>
      </c>
      <c r="AY44" s="65" t="n">
        <f aca="false">IF(46&lt;$C$21,0,$L$21*$G$21*(1+$C$26))</f>
        <v>924</v>
      </c>
      <c r="AZ44" s="65" t="n">
        <f aca="false">IF(47&lt;$C$21,0,$L$21*$G$21*(1+$C$26))</f>
        <v>924</v>
      </c>
      <c r="BA44" s="65" t="n">
        <f aca="false">IF(48&lt;$C$21,0,$L$21*$G$21*(1+$C$26))</f>
        <v>924</v>
      </c>
      <c r="BB44" s="64" t="n">
        <f aca="false">SUM(BC44:BN44)</f>
        <v>24948</v>
      </c>
      <c r="BC44" s="65" t="n">
        <f aca="false">IF(49&lt;$C$21,0,$M$21*$H$21*(1+$C$26))</f>
        <v>2079</v>
      </c>
      <c r="BD44" s="65" t="n">
        <f aca="false">IF(50&lt;$C$21,0,$M$21*$H$21*(1+$C$26))</f>
        <v>2079</v>
      </c>
      <c r="BE44" s="65" t="n">
        <f aca="false">IF(51&lt;$C$21,0,$M$21*$H$21*(1+$C$26))</f>
        <v>2079</v>
      </c>
      <c r="BF44" s="65" t="n">
        <f aca="false">IF(52&lt;$C$21,0,$M$21*$H$21*(1+$C$26))</f>
        <v>2079</v>
      </c>
      <c r="BG44" s="65" t="n">
        <f aca="false">IF(53&lt;$C$21,0,$M$21*$H$21*(1+$C$26))</f>
        <v>2079</v>
      </c>
      <c r="BH44" s="65" t="n">
        <f aca="false">IF(54&lt;$C$21,0,$M$21*$H$21*(1+$C$26))</f>
        <v>2079</v>
      </c>
      <c r="BI44" s="65" t="n">
        <f aca="false">IF(55&lt;$C$21,0,$M$21*$H$21*(1+$C$26))</f>
        <v>2079</v>
      </c>
      <c r="BJ44" s="65" t="n">
        <f aca="false">IF(56&lt;$C$21,0,$M$21*$H$21*(1+$C$26))</f>
        <v>2079</v>
      </c>
      <c r="BK44" s="65" t="n">
        <f aca="false">IF(57&lt;$C$21,0,$M$21*$H$21*(1+$C$26))</f>
        <v>2079</v>
      </c>
      <c r="BL44" s="65" t="n">
        <f aca="false">IF(58&lt;$C$21,0,$M$21*$H$21*(1+$C$26))</f>
        <v>2079</v>
      </c>
      <c r="BM44" s="65" t="n">
        <f aca="false">IF(59&lt;$C$21,0,$M$21*$H$21*(1+$C$26))</f>
        <v>2079</v>
      </c>
      <c r="BN44" s="65" t="n">
        <f aca="false">IF(60&lt;$C$21,0,$M$21*$H$21*(1+$C$26))</f>
        <v>2079</v>
      </c>
    </row>
    <row r="45" customFormat="false" ht="15" hidden="false" customHeight="false" outlineLevel="0" collapsed="false">
      <c r="A45" s="66" t="s">
        <v>781</v>
      </c>
      <c r="B45" s="67" t="n">
        <f aca="false">SUM(C45:N45)</f>
        <v>60984</v>
      </c>
      <c r="C45" s="68" t="n">
        <f aca="false">SUM(C30:C44)</f>
        <v>5082</v>
      </c>
      <c r="D45" s="68" t="n">
        <f aca="false">SUM(D30:D44)</f>
        <v>5082</v>
      </c>
      <c r="E45" s="68" t="n">
        <f aca="false">SUM(E30:E44)</f>
        <v>5082</v>
      </c>
      <c r="F45" s="68" t="n">
        <f aca="false">SUM(F30:F44)</f>
        <v>5082</v>
      </c>
      <c r="G45" s="68" t="n">
        <f aca="false">SUM(G30:G44)</f>
        <v>5082</v>
      </c>
      <c r="H45" s="68" t="n">
        <f aca="false">SUM(H30:H44)</f>
        <v>5082</v>
      </c>
      <c r="I45" s="68" t="n">
        <f aca="false">SUM(I30:I44)</f>
        <v>5082</v>
      </c>
      <c r="J45" s="68" t="n">
        <f aca="false">SUM(J30:J44)</f>
        <v>5082</v>
      </c>
      <c r="K45" s="68" t="n">
        <f aca="false">SUM(K30:K44)</f>
        <v>5082</v>
      </c>
      <c r="L45" s="68" t="n">
        <f aca="false">SUM(L30:L44)</f>
        <v>5082</v>
      </c>
      <c r="M45" s="68" t="n">
        <f aca="false">SUM(M30:M44)</f>
        <v>5082</v>
      </c>
      <c r="N45" s="68" t="n">
        <f aca="false">SUM(N30:N44)</f>
        <v>5082</v>
      </c>
      <c r="O45" s="67" t="n">
        <f aca="false">SUM(P45:AA45)</f>
        <v>127512</v>
      </c>
      <c r="P45" s="68" t="n">
        <f aca="false">SUM(P30:P44)</f>
        <v>10626</v>
      </c>
      <c r="Q45" s="68" t="n">
        <f aca="false">SUM(Q30:Q44)</f>
        <v>10626</v>
      </c>
      <c r="R45" s="68" t="n">
        <f aca="false">SUM(R30:R44)</f>
        <v>10626</v>
      </c>
      <c r="S45" s="68" t="n">
        <f aca="false">SUM(S30:S44)</f>
        <v>10626</v>
      </c>
      <c r="T45" s="68" t="n">
        <f aca="false">SUM(T30:T44)</f>
        <v>10626</v>
      </c>
      <c r="U45" s="68" t="n">
        <f aca="false">SUM(U30:U44)</f>
        <v>10626</v>
      </c>
      <c r="V45" s="68" t="n">
        <f aca="false">SUM(V30:V44)</f>
        <v>10626</v>
      </c>
      <c r="W45" s="68" t="n">
        <f aca="false">SUM(W30:W44)</f>
        <v>10626</v>
      </c>
      <c r="X45" s="68" t="n">
        <f aca="false">SUM(X30:X44)</f>
        <v>10626</v>
      </c>
      <c r="Y45" s="68" t="n">
        <f aca="false">SUM(Y30:Y44)</f>
        <v>10626</v>
      </c>
      <c r="Z45" s="68" t="n">
        <f aca="false">SUM(Z30:Z44)</f>
        <v>10626</v>
      </c>
      <c r="AA45" s="68" t="n">
        <f aca="false">SUM(AA30:AA44)</f>
        <v>10626</v>
      </c>
      <c r="AB45" s="67" t="n">
        <f aca="false">SUM(AC45:AN45)</f>
        <v>216216</v>
      </c>
      <c r="AC45" s="68" t="n">
        <f aca="false">SUM(AC30:AC44)</f>
        <v>18018</v>
      </c>
      <c r="AD45" s="68" t="n">
        <f aca="false">SUM(AD30:AD44)</f>
        <v>18018</v>
      </c>
      <c r="AE45" s="68" t="n">
        <f aca="false">SUM(AE30:AE44)</f>
        <v>18018</v>
      </c>
      <c r="AF45" s="68" t="n">
        <f aca="false">SUM(AF30:AF44)</f>
        <v>18018</v>
      </c>
      <c r="AG45" s="68" t="n">
        <f aca="false">SUM(AG30:AG44)</f>
        <v>18018</v>
      </c>
      <c r="AH45" s="68" t="n">
        <f aca="false">SUM(AH30:AH44)</f>
        <v>18018</v>
      </c>
      <c r="AI45" s="68" t="n">
        <f aca="false">SUM(AI30:AI44)</f>
        <v>18018</v>
      </c>
      <c r="AJ45" s="68" t="n">
        <f aca="false">SUM(AJ30:AJ44)</f>
        <v>18018</v>
      </c>
      <c r="AK45" s="68" t="n">
        <f aca="false">SUM(AK30:AK44)</f>
        <v>18018</v>
      </c>
      <c r="AL45" s="68" t="n">
        <f aca="false">SUM(AL30:AL44)</f>
        <v>18018</v>
      </c>
      <c r="AM45" s="68" t="n">
        <f aca="false">SUM(AM30:AM44)</f>
        <v>18018</v>
      </c>
      <c r="AN45" s="68" t="n">
        <f aca="false">SUM(AN30:AN44)</f>
        <v>18018</v>
      </c>
      <c r="AO45" s="67" t="n">
        <f aca="false">SUM(AP45:BA45)</f>
        <v>297990</v>
      </c>
      <c r="AP45" s="68" t="n">
        <f aca="false">SUM(AP30:AP44)</f>
        <v>24832.5</v>
      </c>
      <c r="AQ45" s="68" t="n">
        <f aca="false">SUM(AQ30:AQ44)</f>
        <v>24832.5</v>
      </c>
      <c r="AR45" s="68" t="n">
        <f aca="false">SUM(AR30:AR44)</f>
        <v>24832.5</v>
      </c>
      <c r="AS45" s="68" t="n">
        <f aca="false">SUM(AS30:AS44)</f>
        <v>24832.5</v>
      </c>
      <c r="AT45" s="68" t="n">
        <f aca="false">SUM(AT30:AT44)</f>
        <v>24832.5</v>
      </c>
      <c r="AU45" s="68" t="n">
        <f aca="false">SUM(AU30:AU44)</f>
        <v>24832.5</v>
      </c>
      <c r="AV45" s="68" t="n">
        <f aca="false">SUM(AV30:AV44)</f>
        <v>24832.5</v>
      </c>
      <c r="AW45" s="68" t="n">
        <f aca="false">SUM(AW30:AW44)</f>
        <v>24832.5</v>
      </c>
      <c r="AX45" s="68" t="n">
        <f aca="false">SUM(AX30:AX44)</f>
        <v>24832.5</v>
      </c>
      <c r="AY45" s="68" t="n">
        <f aca="false">SUM(AY30:AY44)</f>
        <v>24832.5</v>
      </c>
      <c r="AZ45" s="68" t="n">
        <f aca="false">SUM(AZ30:AZ44)</f>
        <v>24832.5</v>
      </c>
      <c r="BA45" s="68" t="n">
        <f aca="false">SUM(BA30:BA44)</f>
        <v>24832.5</v>
      </c>
      <c r="BB45" s="67" t="n">
        <f aca="false">SUM(BC45:BN45)</f>
        <v>374220</v>
      </c>
      <c r="BC45" s="68" t="n">
        <f aca="false">SUM(BC30:BC44)</f>
        <v>31185</v>
      </c>
      <c r="BD45" s="68" t="n">
        <f aca="false">SUM(BD30:BD44)</f>
        <v>31185</v>
      </c>
      <c r="BE45" s="68" t="n">
        <f aca="false">SUM(BE30:BE44)</f>
        <v>31185</v>
      </c>
      <c r="BF45" s="68" t="n">
        <f aca="false">SUM(BF30:BF44)</f>
        <v>31185</v>
      </c>
      <c r="BG45" s="68" t="n">
        <f aca="false">SUM(BG30:BG44)</f>
        <v>31185</v>
      </c>
      <c r="BH45" s="68" t="n">
        <f aca="false">SUM(BH30:BH44)</f>
        <v>31185</v>
      </c>
      <c r="BI45" s="68" t="n">
        <f aca="false">SUM(BI30:BI44)</f>
        <v>31185</v>
      </c>
      <c r="BJ45" s="68" t="n">
        <f aca="false">SUM(BJ30:BJ44)</f>
        <v>31185</v>
      </c>
      <c r="BK45" s="68" t="n">
        <f aca="false">SUM(BK30:BK44)</f>
        <v>31185</v>
      </c>
      <c r="BL45" s="68" t="n">
        <f aca="false">SUM(BL30:BL44)</f>
        <v>31185</v>
      </c>
      <c r="BM45" s="68" t="n">
        <f aca="false">SUM(BM30:BM44)</f>
        <v>31185</v>
      </c>
      <c r="BN45" s="68" t="n">
        <f aca="false">SUM(BN30:BN44)</f>
        <v>31185</v>
      </c>
    </row>
    <row r="47" customFormat="false" ht="16.5" hidden="false" customHeight="true" outlineLevel="0" collapsed="false">
      <c r="A47" s="15" t="s">
        <v>782</v>
      </c>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row>
    <row r="48" customFormat="false" ht="15" hidden="false" customHeight="true" outlineLevel="0" collapsed="false">
      <c r="A48" s="26" t="s">
        <v>481</v>
      </c>
      <c r="B48" s="61" t="s">
        <v>81</v>
      </c>
      <c r="C48" s="62" t="s">
        <v>482</v>
      </c>
      <c r="D48" s="62" t="s">
        <v>483</v>
      </c>
      <c r="E48" s="62" t="s">
        <v>484</v>
      </c>
      <c r="F48" s="62" t="s">
        <v>485</v>
      </c>
      <c r="G48" s="62" t="s">
        <v>486</v>
      </c>
      <c r="H48" s="62" t="s">
        <v>487</v>
      </c>
      <c r="I48" s="62" t="s">
        <v>488</v>
      </c>
      <c r="J48" s="62" t="s">
        <v>489</v>
      </c>
      <c r="K48" s="62" t="s">
        <v>490</v>
      </c>
      <c r="L48" s="62" t="s">
        <v>491</v>
      </c>
      <c r="M48" s="62" t="s">
        <v>492</v>
      </c>
      <c r="N48" s="62" t="s">
        <v>493</v>
      </c>
      <c r="O48" s="61" t="s">
        <v>82</v>
      </c>
      <c r="P48" s="63" t="s">
        <v>494</v>
      </c>
      <c r="Q48" s="63" t="s">
        <v>495</v>
      </c>
      <c r="R48" s="63" t="s">
        <v>496</v>
      </c>
      <c r="S48" s="63" t="s">
        <v>497</v>
      </c>
      <c r="T48" s="63" t="s">
        <v>498</v>
      </c>
      <c r="U48" s="63" t="s">
        <v>499</v>
      </c>
      <c r="V48" s="63" t="s">
        <v>500</v>
      </c>
      <c r="W48" s="63" t="s">
        <v>501</v>
      </c>
      <c r="X48" s="63" t="s">
        <v>502</v>
      </c>
      <c r="Y48" s="63" t="s">
        <v>503</v>
      </c>
      <c r="Z48" s="63" t="s">
        <v>504</v>
      </c>
      <c r="AA48" s="63" t="s">
        <v>505</v>
      </c>
      <c r="AB48" s="61" t="s">
        <v>83</v>
      </c>
      <c r="AC48" s="62" t="s">
        <v>506</v>
      </c>
      <c r="AD48" s="62" t="s">
        <v>507</v>
      </c>
      <c r="AE48" s="62" t="s">
        <v>508</v>
      </c>
      <c r="AF48" s="62" t="s">
        <v>509</v>
      </c>
      <c r="AG48" s="62" t="s">
        <v>510</v>
      </c>
      <c r="AH48" s="62" t="s">
        <v>511</v>
      </c>
      <c r="AI48" s="62" t="s">
        <v>512</v>
      </c>
      <c r="AJ48" s="62" t="s">
        <v>513</v>
      </c>
      <c r="AK48" s="62" t="s">
        <v>514</v>
      </c>
      <c r="AL48" s="62" t="s">
        <v>515</v>
      </c>
      <c r="AM48" s="62" t="s">
        <v>516</v>
      </c>
      <c r="AN48" s="62" t="s">
        <v>517</v>
      </c>
      <c r="AO48" s="61" t="s">
        <v>84</v>
      </c>
      <c r="AP48" s="63" t="s">
        <v>518</v>
      </c>
      <c r="AQ48" s="63" t="s">
        <v>519</v>
      </c>
      <c r="AR48" s="63" t="s">
        <v>520</v>
      </c>
      <c r="AS48" s="63" t="s">
        <v>521</v>
      </c>
      <c r="AT48" s="63" t="s">
        <v>522</v>
      </c>
      <c r="AU48" s="63" t="s">
        <v>523</v>
      </c>
      <c r="AV48" s="63" t="s">
        <v>524</v>
      </c>
      <c r="AW48" s="63" t="s">
        <v>525</v>
      </c>
      <c r="AX48" s="63" t="s">
        <v>526</v>
      </c>
      <c r="AY48" s="63" t="s">
        <v>527</v>
      </c>
      <c r="AZ48" s="63" t="s">
        <v>528</v>
      </c>
      <c r="BA48" s="63" t="s">
        <v>529</v>
      </c>
      <c r="BB48" s="61" t="s">
        <v>85</v>
      </c>
      <c r="BC48" s="62" t="s">
        <v>530</v>
      </c>
      <c r="BD48" s="62" t="s">
        <v>531</v>
      </c>
      <c r="BE48" s="62" t="s">
        <v>532</v>
      </c>
      <c r="BF48" s="62" t="s">
        <v>533</v>
      </c>
      <c r="BG48" s="62" t="s">
        <v>534</v>
      </c>
      <c r="BH48" s="62" t="s">
        <v>535</v>
      </c>
      <c r="BI48" s="62" t="s">
        <v>536</v>
      </c>
      <c r="BJ48" s="62" t="s">
        <v>537</v>
      </c>
      <c r="BK48" s="62" t="s">
        <v>538</v>
      </c>
      <c r="BL48" s="62" t="s">
        <v>539</v>
      </c>
      <c r="BM48" s="62" t="s">
        <v>540</v>
      </c>
      <c r="BN48" s="62" t="s">
        <v>541</v>
      </c>
    </row>
    <row r="49" customFormat="false" ht="15" hidden="false" customHeight="false" outlineLevel="0" collapsed="false">
      <c r="A49" s="12" t="s">
        <v>760</v>
      </c>
      <c r="B49" s="78" t="n">
        <f aca="false">N49</f>
        <v>1</v>
      </c>
      <c r="C49" s="79" t="n">
        <f aca="false">IF(1&lt;$C$7,0,$I$7)</f>
        <v>1</v>
      </c>
      <c r="D49" s="79" t="n">
        <f aca="false">IF(2&lt;$C$7,0,$I$7)</f>
        <v>1</v>
      </c>
      <c r="E49" s="79" t="n">
        <f aca="false">IF(3&lt;$C$7,0,$I$7)</f>
        <v>1</v>
      </c>
      <c r="F49" s="79" t="n">
        <f aca="false">IF(4&lt;$C$7,0,$I$7)</f>
        <v>1</v>
      </c>
      <c r="G49" s="79" t="n">
        <f aca="false">IF(5&lt;$C$7,0,$I$7)</f>
        <v>1</v>
      </c>
      <c r="H49" s="79" t="n">
        <f aca="false">IF(6&lt;$C$7,0,$I$7)</f>
        <v>1</v>
      </c>
      <c r="I49" s="79" t="n">
        <f aca="false">IF(7&lt;$C$7,0,$I$7)</f>
        <v>1</v>
      </c>
      <c r="J49" s="79" t="n">
        <f aca="false">IF(8&lt;$C$7,0,$I$7)</f>
        <v>1</v>
      </c>
      <c r="K49" s="79" t="n">
        <f aca="false">IF(9&lt;$C$7,0,$I$7)</f>
        <v>1</v>
      </c>
      <c r="L49" s="79" t="n">
        <f aca="false">IF(10&lt;$C$7,0,$I$7)</f>
        <v>1</v>
      </c>
      <c r="M49" s="79" t="n">
        <f aca="false">IF(11&lt;$C$7,0,$I$7)</f>
        <v>1</v>
      </c>
      <c r="N49" s="79" t="n">
        <f aca="false">IF(12&lt;$C$7,0,$I$7)</f>
        <v>1</v>
      </c>
      <c r="O49" s="78" t="n">
        <f aca="false">AA49</f>
        <v>1</v>
      </c>
      <c r="P49" s="79" t="n">
        <f aca="false">IF(13&lt;$C$7,0,$J$7)</f>
        <v>1</v>
      </c>
      <c r="Q49" s="79" t="n">
        <f aca="false">IF(14&lt;$C$7,0,$J$7)</f>
        <v>1</v>
      </c>
      <c r="R49" s="79" t="n">
        <f aca="false">IF(15&lt;$C$7,0,$J$7)</f>
        <v>1</v>
      </c>
      <c r="S49" s="79" t="n">
        <f aca="false">IF(16&lt;$C$7,0,$J$7)</f>
        <v>1</v>
      </c>
      <c r="T49" s="79" t="n">
        <f aca="false">IF(17&lt;$C$7,0,$J$7)</f>
        <v>1</v>
      </c>
      <c r="U49" s="79" t="n">
        <f aca="false">IF(18&lt;$C$7,0,$J$7)</f>
        <v>1</v>
      </c>
      <c r="V49" s="79" t="n">
        <f aca="false">IF(19&lt;$C$7,0,$J$7)</f>
        <v>1</v>
      </c>
      <c r="W49" s="79" t="n">
        <f aca="false">IF(20&lt;$C$7,0,$J$7)</f>
        <v>1</v>
      </c>
      <c r="X49" s="79" t="n">
        <f aca="false">IF(21&lt;$C$7,0,$J$7)</f>
        <v>1</v>
      </c>
      <c r="Y49" s="79" t="n">
        <f aca="false">IF(22&lt;$C$7,0,$J$7)</f>
        <v>1</v>
      </c>
      <c r="Z49" s="79" t="n">
        <f aca="false">IF(23&lt;$C$7,0,$J$7)</f>
        <v>1</v>
      </c>
      <c r="AA49" s="79" t="n">
        <f aca="false">IF(24&lt;$C$7,0,$J$7)</f>
        <v>1</v>
      </c>
      <c r="AB49" s="78" t="n">
        <f aca="false">AN49</f>
        <v>1</v>
      </c>
      <c r="AC49" s="79" t="n">
        <f aca="false">IF(25&lt;$C$7,0,$K$7)</f>
        <v>1</v>
      </c>
      <c r="AD49" s="79" t="n">
        <f aca="false">IF(26&lt;$C$7,0,$K$7)</f>
        <v>1</v>
      </c>
      <c r="AE49" s="79" t="n">
        <f aca="false">IF(27&lt;$C$7,0,$K$7)</f>
        <v>1</v>
      </c>
      <c r="AF49" s="79" t="n">
        <f aca="false">IF(28&lt;$C$7,0,$K$7)</f>
        <v>1</v>
      </c>
      <c r="AG49" s="79" t="n">
        <f aca="false">IF(29&lt;$C$7,0,$K$7)</f>
        <v>1</v>
      </c>
      <c r="AH49" s="79" t="n">
        <f aca="false">IF(30&lt;$C$7,0,$K$7)</f>
        <v>1</v>
      </c>
      <c r="AI49" s="79" t="n">
        <f aca="false">IF(31&lt;$C$7,0,$K$7)</f>
        <v>1</v>
      </c>
      <c r="AJ49" s="79" t="n">
        <f aca="false">IF(32&lt;$C$7,0,$K$7)</f>
        <v>1</v>
      </c>
      <c r="AK49" s="79" t="n">
        <f aca="false">IF(33&lt;$C$7,0,$K$7)</f>
        <v>1</v>
      </c>
      <c r="AL49" s="79" t="n">
        <f aca="false">IF(34&lt;$C$7,0,$K$7)</f>
        <v>1</v>
      </c>
      <c r="AM49" s="79" t="n">
        <f aca="false">IF(35&lt;$C$7,0,$K$7)</f>
        <v>1</v>
      </c>
      <c r="AN49" s="79" t="n">
        <f aca="false">IF(36&lt;$C$7,0,$K$7)</f>
        <v>1</v>
      </c>
      <c r="AO49" s="78" t="n">
        <f aca="false">BA49</f>
        <v>1</v>
      </c>
      <c r="AP49" s="79" t="n">
        <f aca="false">IF(37&lt;$C$7,0,$L$7)</f>
        <v>1</v>
      </c>
      <c r="AQ49" s="79" t="n">
        <f aca="false">IF(38&lt;$C$7,0,$L$7)</f>
        <v>1</v>
      </c>
      <c r="AR49" s="79" t="n">
        <f aca="false">IF(39&lt;$C$7,0,$L$7)</f>
        <v>1</v>
      </c>
      <c r="AS49" s="79" t="n">
        <f aca="false">IF(40&lt;$C$7,0,$L$7)</f>
        <v>1</v>
      </c>
      <c r="AT49" s="79" t="n">
        <f aca="false">IF(41&lt;$C$7,0,$L$7)</f>
        <v>1</v>
      </c>
      <c r="AU49" s="79" t="n">
        <f aca="false">IF(42&lt;$C$7,0,$L$7)</f>
        <v>1</v>
      </c>
      <c r="AV49" s="79" t="n">
        <f aca="false">IF(43&lt;$C$7,0,$L$7)</f>
        <v>1</v>
      </c>
      <c r="AW49" s="79" t="n">
        <f aca="false">IF(44&lt;$C$7,0,$L$7)</f>
        <v>1</v>
      </c>
      <c r="AX49" s="79" t="n">
        <f aca="false">IF(45&lt;$C$7,0,$L$7)</f>
        <v>1</v>
      </c>
      <c r="AY49" s="79" t="n">
        <f aca="false">IF(46&lt;$C$7,0,$L$7)</f>
        <v>1</v>
      </c>
      <c r="AZ49" s="79" t="n">
        <f aca="false">IF(47&lt;$C$7,0,$L$7)</f>
        <v>1</v>
      </c>
      <c r="BA49" s="79" t="n">
        <f aca="false">IF(48&lt;$C$7,0,$L$7)</f>
        <v>1</v>
      </c>
      <c r="BB49" s="78" t="n">
        <f aca="false">BN49</f>
        <v>1</v>
      </c>
      <c r="BC49" s="79" t="n">
        <f aca="false">IF(49&lt;$C$7,0,$M$7)</f>
        <v>1</v>
      </c>
      <c r="BD49" s="79" t="n">
        <f aca="false">IF(50&lt;$C$7,0,$M$7)</f>
        <v>1</v>
      </c>
      <c r="BE49" s="79" t="n">
        <f aca="false">IF(51&lt;$C$7,0,$M$7)</f>
        <v>1</v>
      </c>
      <c r="BF49" s="79" t="n">
        <f aca="false">IF(52&lt;$C$7,0,$M$7)</f>
        <v>1</v>
      </c>
      <c r="BG49" s="79" t="n">
        <f aca="false">IF(53&lt;$C$7,0,$M$7)</f>
        <v>1</v>
      </c>
      <c r="BH49" s="79" t="n">
        <f aca="false">IF(54&lt;$C$7,0,$M$7)</f>
        <v>1</v>
      </c>
      <c r="BI49" s="79" t="n">
        <f aca="false">IF(55&lt;$C$7,0,$M$7)</f>
        <v>1</v>
      </c>
      <c r="BJ49" s="79" t="n">
        <f aca="false">IF(56&lt;$C$7,0,$M$7)</f>
        <v>1</v>
      </c>
      <c r="BK49" s="79" t="n">
        <f aca="false">IF(57&lt;$C$7,0,$M$7)</f>
        <v>1</v>
      </c>
      <c r="BL49" s="79" t="n">
        <f aca="false">IF(58&lt;$C$7,0,$M$7)</f>
        <v>1</v>
      </c>
      <c r="BM49" s="79" t="n">
        <f aca="false">IF(59&lt;$C$7,0,$M$7)</f>
        <v>1</v>
      </c>
      <c r="BN49" s="79" t="n">
        <f aca="false">IF(60&lt;$C$7,0,$M$7)</f>
        <v>1</v>
      </c>
    </row>
    <row r="50" customFormat="false" ht="15" hidden="false" customHeight="false" outlineLevel="0" collapsed="false">
      <c r="A50" s="12" t="s">
        <v>761</v>
      </c>
      <c r="B50" s="78" t="n">
        <f aca="false">N50</f>
        <v>1</v>
      </c>
      <c r="C50" s="79" t="n">
        <f aca="false">IF(1&lt;$C$8,0,$I$8)</f>
        <v>1</v>
      </c>
      <c r="D50" s="79" t="n">
        <f aca="false">IF(2&lt;$C$8,0,$I$8)</f>
        <v>1</v>
      </c>
      <c r="E50" s="79" t="n">
        <f aca="false">IF(3&lt;$C$8,0,$I$8)</f>
        <v>1</v>
      </c>
      <c r="F50" s="79" t="n">
        <f aca="false">IF(4&lt;$C$8,0,$I$8)</f>
        <v>1</v>
      </c>
      <c r="G50" s="79" t="n">
        <f aca="false">IF(5&lt;$C$8,0,$I$8)</f>
        <v>1</v>
      </c>
      <c r="H50" s="79" t="n">
        <f aca="false">IF(6&lt;$C$8,0,$I$8)</f>
        <v>1</v>
      </c>
      <c r="I50" s="79" t="n">
        <f aca="false">IF(7&lt;$C$8,0,$I$8)</f>
        <v>1</v>
      </c>
      <c r="J50" s="79" t="n">
        <f aca="false">IF(8&lt;$C$8,0,$I$8)</f>
        <v>1</v>
      </c>
      <c r="K50" s="79" t="n">
        <f aca="false">IF(9&lt;$C$8,0,$I$8)</f>
        <v>1</v>
      </c>
      <c r="L50" s="79" t="n">
        <f aca="false">IF(10&lt;$C$8,0,$I$8)</f>
        <v>1</v>
      </c>
      <c r="M50" s="79" t="n">
        <f aca="false">IF(11&lt;$C$8,0,$I$8)</f>
        <v>1</v>
      </c>
      <c r="N50" s="79" t="n">
        <f aca="false">IF(12&lt;$C$8,0,$I$8)</f>
        <v>1</v>
      </c>
      <c r="O50" s="78" t="n">
        <f aca="false">AA50</f>
        <v>1</v>
      </c>
      <c r="P50" s="79" t="n">
        <f aca="false">IF(13&lt;$C$8,0,$J$8)</f>
        <v>1</v>
      </c>
      <c r="Q50" s="79" t="n">
        <f aca="false">IF(14&lt;$C$8,0,$J$8)</f>
        <v>1</v>
      </c>
      <c r="R50" s="79" t="n">
        <f aca="false">IF(15&lt;$C$8,0,$J$8)</f>
        <v>1</v>
      </c>
      <c r="S50" s="79" t="n">
        <f aca="false">IF(16&lt;$C$8,0,$J$8)</f>
        <v>1</v>
      </c>
      <c r="T50" s="79" t="n">
        <f aca="false">IF(17&lt;$C$8,0,$J$8)</f>
        <v>1</v>
      </c>
      <c r="U50" s="79" t="n">
        <f aca="false">IF(18&lt;$C$8,0,$J$8)</f>
        <v>1</v>
      </c>
      <c r="V50" s="79" t="n">
        <f aca="false">IF(19&lt;$C$8,0,$J$8)</f>
        <v>1</v>
      </c>
      <c r="W50" s="79" t="n">
        <f aca="false">IF(20&lt;$C$8,0,$J$8)</f>
        <v>1</v>
      </c>
      <c r="X50" s="79" t="n">
        <f aca="false">IF(21&lt;$C$8,0,$J$8)</f>
        <v>1</v>
      </c>
      <c r="Y50" s="79" t="n">
        <f aca="false">IF(22&lt;$C$8,0,$J$8)</f>
        <v>1</v>
      </c>
      <c r="Z50" s="79" t="n">
        <f aca="false">IF(23&lt;$C$8,0,$J$8)</f>
        <v>1</v>
      </c>
      <c r="AA50" s="79" t="n">
        <f aca="false">IF(24&lt;$C$8,0,$J$8)</f>
        <v>1</v>
      </c>
      <c r="AB50" s="78" t="n">
        <f aca="false">AN50</f>
        <v>1</v>
      </c>
      <c r="AC50" s="79" t="n">
        <f aca="false">IF(25&lt;$C$8,0,$K$8)</f>
        <v>1</v>
      </c>
      <c r="AD50" s="79" t="n">
        <f aca="false">IF(26&lt;$C$8,0,$K$8)</f>
        <v>1</v>
      </c>
      <c r="AE50" s="79" t="n">
        <f aca="false">IF(27&lt;$C$8,0,$K$8)</f>
        <v>1</v>
      </c>
      <c r="AF50" s="79" t="n">
        <f aca="false">IF(28&lt;$C$8,0,$K$8)</f>
        <v>1</v>
      </c>
      <c r="AG50" s="79" t="n">
        <f aca="false">IF(29&lt;$C$8,0,$K$8)</f>
        <v>1</v>
      </c>
      <c r="AH50" s="79" t="n">
        <f aca="false">IF(30&lt;$C$8,0,$K$8)</f>
        <v>1</v>
      </c>
      <c r="AI50" s="79" t="n">
        <f aca="false">IF(31&lt;$C$8,0,$K$8)</f>
        <v>1</v>
      </c>
      <c r="AJ50" s="79" t="n">
        <f aca="false">IF(32&lt;$C$8,0,$K$8)</f>
        <v>1</v>
      </c>
      <c r="AK50" s="79" t="n">
        <f aca="false">IF(33&lt;$C$8,0,$K$8)</f>
        <v>1</v>
      </c>
      <c r="AL50" s="79" t="n">
        <f aca="false">IF(34&lt;$C$8,0,$K$8)</f>
        <v>1</v>
      </c>
      <c r="AM50" s="79" t="n">
        <f aca="false">IF(35&lt;$C$8,0,$K$8)</f>
        <v>1</v>
      </c>
      <c r="AN50" s="79" t="n">
        <f aca="false">IF(36&lt;$C$8,0,$K$8)</f>
        <v>1</v>
      </c>
      <c r="AO50" s="78" t="n">
        <f aca="false">BA50</f>
        <v>1</v>
      </c>
      <c r="AP50" s="79" t="n">
        <f aca="false">IF(37&lt;$C$8,0,$L$8)</f>
        <v>1</v>
      </c>
      <c r="AQ50" s="79" t="n">
        <f aca="false">IF(38&lt;$C$8,0,$L$8)</f>
        <v>1</v>
      </c>
      <c r="AR50" s="79" t="n">
        <f aca="false">IF(39&lt;$C$8,0,$L$8)</f>
        <v>1</v>
      </c>
      <c r="AS50" s="79" t="n">
        <f aca="false">IF(40&lt;$C$8,0,$L$8)</f>
        <v>1</v>
      </c>
      <c r="AT50" s="79" t="n">
        <f aca="false">IF(41&lt;$C$8,0,$L$8)</f>
        <v>1</v>
      </c>
      <c r="AU50" s="79" t="n">
        <f aca="false">IF(42&lt;$C$8,0,$L$8)</f>
        <v>1</v>
      </c>
      <c r="AV50" s="79" t="n">
        <f aca="false">IF(43&lt;$C$8,0,$L$8)</f>
        <v>1</v>
      </c>
      <c r="AW50" s="79" t="n">
        <f aca="false">IF(44&lt;$C$8,0,$L$8)</f>
        <v>1</v>
      </c>
      <c r="AX50" s="79" t="n">
        <f aca="false">IF(45&lt;$C$8,0,$L$8)</f>
        <v>1</v>
      </c>
      <c r="AY50" s="79" t="n">
        <f aca="false">IF(46&lt;$C$8,0,$L$8)</f>
        <v>1</v>
      </c>
      <c r="AZ50" s="79" t="n">
        <f aca="false">IF(47&lt;$C$8,0,$L$8)</f>
        <v>1</v>
      </c>
      <c r="BA50" s="79" t="n">
        <f aca="false">IF(48&lt;$C$8,0,$L$8)</f>
        <v>1</v>
      </c>
      <c r="BB50" s="78" t="n">
        <f aca="false">BN50</f>
        <v>1</v>
      </c>
      <c r="BC50" s="79" t="n">
        <f aca="false">IF(49&lt;$C$8,0,$M$8)</f>
        <v>1</v>
      </c>
      <c r="BD50" s="79" t="n">
        <f aca="false">IF(50&lt;$C$8,0,$M$8)</f>
        <v>1</v>
      </c>
      <c r="BE50" s="79" t="n">
        <f aca="false">IF(51&lt;$C$8,0,$M$8)</f>
        <v>1</v>
      </c>
      <c r="BF50" s="79" t="n">
        <f aca="false">IF(52&lt;$C$8,0,$M$8)</f>
        <v>1</v>
      </c>
      <c r="BG50" s="79" t="n">
        <f aca="false">IF(53&lt;$C$8,0,$M$8)</f>
        <v>1</v>
      </c>
      <c r="BH50" s="79" t="n">
        <f aca="false">IF(54&lt;$C$8,0,$M$8)</f>
        <v>1</v>
      </c>
      <c r="BI50" s="79" t="n">
        <f aca="false">IF(55&lt;$C$8,0,$M$8)</f>
        <v>1</v>
      </c>
      <c r="BJ50" s="79" t="n">
        <f aca="false">IF(56&lt;$C$8,0,$M$8)</f>
        <v>1</v>
      </c>
      <c r="BK50" s="79" t="n">
        <f aca="false">IF(57&lt;$C$8,0,$M$8)</f>
        <v>1</v>
      </c>
      <c r="BL50" s="79" t="n">
        <f aca="false">IF(58&lt;$C$8,0,$M$8)</f>
        <v>1</v>
      </c>
      <c r="BM50" s="79" t="n">
        <f aca="false">IF(59&lt;$C$8,0,$M$8)</f>
        <v>1</v>
      </c>
      <c r="BN50" s="79" t="n">
        <f aca="false">IF(60&lt;$C$8,0,$M$8)</f>
        <v>1</v>
      </c>
    </row>
    <row r="51" customFormat="false" ht="15" hidden="false" customHeight="false" outlineLevel="0" collapsed="false">
      <c r="A51" s="12" t="s">
        <v>762</v>
      </c>
      <c r="B51" s="78" t="n">
        <f aca="false">N51</f>
        <v>1</v>
      </c>
      <c r="C51" s="79" t="n">
        <f aca="false">IF(1&lt;$C$9,0,$I$9)</f>
        <v>1</v>
      </c>
      <c r="D51" s="79" t="n">
        <f aca="false">IF(2&lt;$C$9,0,$I$9)</f>
        <v>1</v>
      </c>
      <c r="E51" s="79" t="n">
        <f aca="false">IF(3&lt;$C$9,0,$I$9)</f>
        <v>1</v>
      </c>
      <c r="F51" s="79" t="n">
        <f aca="false">IF(4&lt;$C$9,0,$I$9)</f>
        <v>1</v>
      </c>
      <c r="G51" s="79" t="n">
        <f aca="false">IF(5&lt;$C$9,0,$I$9)</f>
        <v>1</v>
      </c>
      <c r="H51" s="79" t="n">
        <f aca="false">IF(6&lt;$C$9,0,$I$9)</f>
        <v>1</v>
      </c>
      <c r="I51" s="79" t="n">
        <f aca="false">IF(7&lt;$C$9,0,$I$9)</f>
        <v>1</v>
      </c>
      <c r="J51" s="79" t="n">
        <f aca="false">IF(8&lt;$C$9,0,$I$9)</f>
        <v>1</v>
      </c>
      <c r="K51" s="79" t="n">
        <f aca="false">IF(9&lt;$C$9,0,$I$9)</f>
        <v>1</v>
      </c>
      <c r="L51" s="79" t="n">
        <f aca="false">IF(10&lt;$C$9,0,$I$9)</f>
        <v>1</v>
      </c>
      <c r="M51" s="79" t="n">
        <f aca="false">IF(11&lt;$C$9,0,$I$9)</f>
        <v>1</v>
      </c>
      <c r="N51" s="79" t="n">
        <f aca="false">IF(12&lt;$C$9,0,$I$9)</f>
        <v>1</v>
      </c>
      <c r="O51" s="78" t="n">
        <f aca="false">AA51</f>
        <v>1</v>
      </c>
      <c r="P51" s="79" t="n">
        <f aca="false">IF(13&lt;$C$9,0,$J$9)</f>
        <v>1</v>
      </c>
      <c r="Q51" s="79" t="n">
        <f aca="false">IF(14&lt;$C$9,0,$J$9)</f>
        <v>1</v>
      </c>
      <c r="R51" s="79" t="n">
        <f aca="false">IF(15&lt;$C$9,0,$J$9)</f>
        <v>1</v>
      </c>
      <c r="S51" s="79" t="n">
        <f aca="false">IF(16&lt;$C$9,0,$J$9)</f>
        <v>1</v>
      </c>
      <c r="T51" s="79" t="n">
        <f aca="false">IF(17&lt;$C$9,0,$J$9)</f>
        <v>1</v>
      </c>
      <c r="U51" s="79" t="n">
        <f aca="false">IF(18&lt;$C$9,0,$J$9)</f>
        <v>1</v>
      </c>
      <c r="V51" s="79" t="n">
        <f aca="false">IF(19&lt;$C$9,0,$J$9)</f>
        <v>1</v>
      </c>
      <c r="W51" s="79" t="n">
        <f aca="false">IF(20&lt;$C$9,0,$J$9)</f>
        <v>1</v>
      </c>
      <c r="X51" s="79" t="n">
        <f aca="false">IF(21&lt;$C$9,0,$J$9)</f>
        <v>1</v>
      </c>
      <c r="Y51" s="79" t="n">
        <f aca="false">IF(22&lt;$C$9,0,$J$9)</f>
        <v>1</v>
      </c>
      <c r="Z51" s="79" t="n">
        <f aca="false">IF(23&lt;$C$9,0,$J$9)</f>
        <v>1</v>
      </c>
      <c r="AA51" s="79" t="n">
        <f aca="false">IF(24&lt;$C$9,0,$J$9)</f>
        <v>1</v>
      </c>
      <c r="AB51" s="78" t="n">
        <f aca="false">AN51</f>
        <v>1</v>
      </c>
      <c r="AC51" s="79" t="n">
        <f aca="false">IF(25&lt;$C$9,0,$K$9)</f>
        <v>1</v>
      </c>
      <c r="AD51" s="79" t="n">
        <f aca="false">IF(26&lt;$C$9,0,$K$9)</f>
        <v>1</v>
      </c>
      <c r="AE51" s="79" t="n">
        <f aca="false">IF(27&lt;$C$9,0,$K$9)</f>
        <v>1</v>
      </c>
      <c r="AF51" s="79" t="n">
        <f aca="false">IF(28&lt;$C$9,0,$K$9)</f>
        <v>1</v>
      </c>
      <c r="AG51" s="79" t="n">
        <f aca="false">IF(29&lt;$C$9,0,$K$9)</f>
        <v>1</v>
      </c>
      <c r="AH51" s="79" t="n">
        <f aca="false">IF(30&lt;$C$9,0,$K$9)</f>
        <v>1</v>
      </c>
      <c r="AI51" s="79" t="n">
        <f aca="false">IF(31&lt;$C$9,0,$K$9)</f>
        <v>1</v>
      </c>
      <c r="AJ51" s="79" t="n">
        <f aca="false">IF(32&lt;$C$9,0,$K$9)</f>
        <v>1</v>
      </c>
      <c r="AK51" s="79" t="n">
        <f aca="false">IF(33&lt;$C$9,0,$K$9)</f>
        <v>1</v>
      </c>
      <c r="AL51" s="79" t="n">
        <f aca="false">IF(34&lt;$C$9,0,$K$9)</f>
        <v>1</v>
      </c>
      <c r="AM51" s="79" t="n">
        <f aca="false">IF(35&lt;$C$9,0,$K$9)</f>
        <v>1</v>
      </c>
      <c r="AN51" s="79" t="n">
        <f aca="false">IF(36&lt;$C$9,0,$K$9)</f>
        <v>1</v>
      </c>
      <c r="AO51" s="78" t="n">
        <f aca="false">BA51</f>
        <v>1</v>
      </c>
      <c r="AP51" s="79" t="n">
        <f aca="false">IF(37&lt;$C$9,0,$L$9)</f>
        <v>1</v>
      </c>
      <c r="AQ51" s="79" t="n">
        <f aca="false">IF(38&lt;$C$9,0,$L$9)</f>
        <v>1</v>
      </c>
      <c r="AR51" s="79" t="n">
        <f aca="false">IF(39&lt;$C$9,0,$L$9)</f>
        <v>1</v>
      </c>
      <c r="AS51" s="79" t="n">
        <f aca="false">IF(40&lt;$C$9,0,$L$9)</f>
        <v>1</v>
      </c>
      <c r="AT51" s="79" t="n">
        <f aca="false">IF(41&lt;$C$9,0,$L$9)</f>
        <v>1</v>
      </c>
      <c r="AU51" s="79" t="n">
        <f aca="false">IF(42&lt;$C$9,0,$L$9)</f>
        <v>1</v>
      </c>
      <c r="AV51" s="79" t="n">
        <f aca="false">IF(43&lt;$C$9,0,$L$9)</f>
        <v>1</v>
      </c>
      <c r="AW51" s="79" t="n">
        <f aca="false">IF(44&lt;$C$9,0,$L$9)</f>
        <v>1</v>
      </c>
      <c r="AX51" s="79" t="n">
        <f aca="false">IF(45&lt;$C$9,0,$L$9)</f>
        <v>1</v>
      </c>
      <c r="AY51" s="79" t="n">
        <f aca="false">IF(46&lt;$C$9,0,$L$9)</f>
        <v>1</v>
      </c>
      <c r="AZ51" s="79" t="n">
        <f aca="false">IF(47&lt;$C$9,0,$L$9)</f>
        <v>1</v>
      </c>
      <c r="BA51" s="79" t="n">
        <f aca="false">IF(48&lt;$C$9,0,$L$9)</f>
        <v>1</v>
      </c>
      <c r="BB51" s="78" t="n">
        <f aca="false">BN51</f>
        <v>1</v>
      </c>
      <c r="BC51" s="79" t="n">
        <f aca="false">IF(49&lt;$C$9,0,$M$9)</f>
        <v>1</v>
      </c>
      <c r="BD51" s="79" t="n">
        <f aca="false">IF(50&lt;$C$9,0,$M$9)</f>
        <v>1</v>
      </c>
      <c r="BE51" s="79" t="n">
        <f aca="false">IF(51&lt;$C$9,0,$M$9)</f>
        <v>1</v>
      </c>
      <c r="BF51" s="79" t="n">
        <f aca="false">IF(52&lt;$C$9,0,$M$9)</f>
        <v>1</v>
      </c>
      <c r="BG51" s="79" t="n">
        <f aca="false">IF(53&lt;$C$9,0,$M$9)</f>
        <v>1</v>
      </c>
      <c r="BH51" s="79" t="n">
        <f aca="false">IF(54&lt;$C$9,0,$M$9)</f>
        <v>1</v>
      </c>
      <c r="BI51" s="79" t="n">
        <f aca="false">IF(55&lt;$C$9,0,$M$9)</f>
        <v>1</v>
      </c>
      <c r="BJ51" s="79" t="n">
        <f aca="false">IF(56&lt;$C$9,0,$M$9)</f>
        <v>1</v>
      </c>
      <c r="BK51" s="79" t="n">
        <f aca="false">IF(57&lt;$C$9,0,$M$9)</f>
        <v>1</v>
      </c>
      <c r="BL51" s="79" t="n">
        <f aca="false">IF(58&lt;$C$9,0,$M$9)</f>
        <v>1</v>
      </c>
      <c r="BM51" s="79" t="n">
        <f aca="false">IF(59&lt;$C$9,0,$M$9)</f>
        <v>1</v>
      </c>
      <c r="BN51" s="79" t="n">
        <f aca="false">IF(60&lt;$C$9,0,$M$9)</f>
        <v>1</v>
      </c>
    </row>
    <row r="52" customFormat="false" ht="15" hidden="false" customHeight="false" outlineLevel="0" collapsed="false">
      <c r="A52" s="12" t="s">
        <v>763</v>
      </c>
      <c r="B52" s="78" t="n">
        <f aca="false">N52</f>
        <v>1</v>
      </c>
      <c r="C52" s="79" t="n">
        <f aca="false">IF(1&lt;$C$10,0,$I$10)</f>
        <v>1</v>
      </c>
      <c r="D52" s="79" t="n">
        <f aca="false">IF(2&lt;$C$10,0,$I$10)</f>
        <v>1</v>
      </c>
      <c r="E52" s="79" t="n">
        <f aca="false">IF(3&lt;$C$10,0,$I$10)</f>
        <v>1</v>
      </c>
      <c r="F52" s="79" t="n">
        <f aca="false">IF(4&lt;$C$10,0,$I$10)</f>
        <v>1</v>
      </c>
      <c r="G52" s="79" t="n">
        <f aca="false">IF(5&lt;$C$10,0,$I$10)</f>
        <v>1</v>
      </c>
      <c r="H52" s="79" t="n">
        <f aca="false">IF(6&lt;$C$10,0,$I$10)</f>
        <v>1</v>
      </c>
      <c r="I52" s="79" t="n">
        <f aca="false">IF(7&lt;$C$10,0,$I$10)</f>
        <v>1</v>
      </c>
      <c r="J52" s="79" t="n">
        <f aca="false">IF(8&lt;$C$10,0,$I$10)</f>
        <v>1</v>
      </c>
      <c r="K52" s="79" t="n">
        <f aca="false">IF(9&lt;$C$10,0,$I$10)</f>
        <v>1</v>
      </c>
      <c r="L52" s="79" t="n">
        <f aca="false">IF(10&lt;$C$10,0,$I$10)</f>
        <v>1</v>
      </c>
      <c r="M52" s="79" t="n">
        <f aca="false">IF(11&lt;$C$10,0,$I$10)</f>
        <v>1</v>
      </c>
      <c r="N52" s="79" t="n">
        <f aca="false">IF(12&lt;$C$10,0,$I$10)</f>
        <v>1</v>
      </c>
      <c r="O52" s="78" t="n">
        <f aca="false">AA52</f>
        <v>1</v>
      </c>
      <c r="P52" s="79" t="n">
        <f aca="false">IF(13&lt;$C$10,0,$J$10)</f>
        <v>1</v>
      </c>
      <c r="Q52" s="79" t="n">
        <f aca="false">IF(14&lt;$C$10,0,$J$10)</f>
        <v>1</v>
      </c>
      <c r="R52" s="79" t="n">
        <f aca="false">IF(15&lt;$C$10,0,$J$10)</f>
        <v>1</v>
      </c>
      <c r="S52" s="79" t="n">
        <f aca="false">IF(16&lt;$C$10,0,$J$10)</f>
        <v>1</v>
      </c>
      <c r="T52" s="79" t="n">
        <f aca="false">IF(17&lt;$C$10,0,$J$10)</f>
        <v>1</v>
      </c>
      <c r="U52" s="79" t="n">
        <f aca="false">IF(18&lt;$C$10,0,$J$10)</f>
        <v>1</v>
      </c>
      <c r="V52" s="79" t="n">
        <f aca="false">IF(19&lt;$C$10,0,$J$10)</f>
        <v>1</v>
      </c>
      <c r="W52" s="79" t="n">
        <f aca="false">IF(20&lt;$C$10,0,$J$10)</f>
        <v>1</v>
      </c>
      <c r="X52" s="79" t="n">
        <f aca="false">IF(21&lt;$C$10,0,$J$10)</f>
        <v>1</v>
      </c>
      <c r="Y52" s="79" t="n">
        <f aca="false">IF(22&lt;$C$10,0,$J$10)</f>
        <v>1</v>
      </c>
      <c r="Z52" s="79" t="n">
        <f aca="false">IF(23&lt;$C$10,0,$J$10)</f>
        <v>1</v>
      </c>
      <c r="AA52" s="79" t="n">
        <f aca="false">IF(24&lt;$C$10,0,$J$10)</f>
        <v>1</v>
      </c>
      <c r="AB52" s="78" t="n">
        <f aca="false">AN52</f>
        <v>1</v>
      </c>
      <c r="AC52" s="79" t="n">
        <f aca="false">IF(25&lt;$C$10,0,$K$10)</f>
        <v>1</v>
      </c>
      <c r="AD52" s="79" t="n">
        <f aca="false">IF(26&lt;$C$10,0,$K$10)</f>
        <v>1</v>
      </c>
      <c r="AE52" s="79" t="n">
        <f aca="false">IF(27&lt;$C$10,0,$K$10)</f>
        <v>1</v>
      </c>
      <c r="AF52" s="79" t="n">
        <f aca="false">IF(28&lt;$C$10,0,$K$10)</f>
        <v>1</v>
      </c>
      <c r="AG52" s="79" t="n">
        <f aca="false">IF(29&lt;$C$10,0,$K$10)</f>
        <v>1</v>
      </c>
      <c r="AH52" s="79" t="n">
        <f aca="false">IF(30&lt;$C$10,0,$K$10)</f>
        <v>1</v>
      </c>
      <c r="AI52" s="79" t="n">
        <f aca="false">IF(31&lt;$C$10,0,$K$10)</f>
        <v>1</v>
      </c>
      <c r="AJ52" s="79" t="n">
        <f aca="false">IF(32&lt;$C$10,0,$K$10)</f>
        <v>1</v>
      </c>
      <c r="AK52" s="79" t="n">
        <f aca="false">IF(33&lt;$C$10,0,$K$10)</f>
        <v>1</v>
      </c>
      <c r="AL52" s="79" t="n">
        <f aca="false">IF(34&lt;$C$10,0,$K$10)</f>
        <v>1</v>
      </c>
      <c r="AM52" s="79" t="n">
        <f aca="false">IF(35&lt;$C$10,0,$K$10)</f>
        <v>1</v>
      </c>
      <c r="AN52" s="79" t="n">
        <f aca="false">IF(36&lt;$C$10,0,$K$10)</f>
        <v>1</v>
      </c>
      <c r="AO52" s="78" t="n">
        <f aca="false">BA52</f>
        <v>2</v>
      </c>
      <c r="AP52" s="79" t="n">
        <f aca="false">IF(37&lt;$C$10,0,$L$10)</f>
        <v>2</v>
      </c>
      <c r="AQ52" s="79" t="n">
        <f aca="false">IF(38&lt;$C$10,0,$L$10)</f>
        <v>2</v>
      </c>
      <c r="AR52" s="79" t="n">
        <f aca="false">IF(39&lt;$C$10,0,$L$10)</f>
        <v>2</v>
      </c>
      <c r="AS52" s="79" t="n">
        <f aca="false">IF(40&lt;$C$10,0,$L$10)</f>
        <v>2</v>
      </c>
      <c r="AT52" s="79" t="n">
        <f aca="false">IF(41&lt;$C$10,0,$L$10)</f>
        <v>2</v>
      </c>
      <c r="AU52" s="79" t="n">
        <f aca="false">IF(42&lt;$C$10,0,$L$10)</f>
        <v>2</v>
      </c>
      <c r="AV52" s="79" t="n">
        <f aca="false">IF(43&lt;$C$10,0,$L$10)</f>
        <v>2</v>
      </c>
      <c r="AW52" s="79" t="n">
        <f aca="false">IF(44&lt;$C$10,0,$L$10)</f>
        <v>2</v>
      </c>
      <c r="AX52" s="79" t="n">
        <f aca="false">IF(45&lt;$C$10,0,$L$10)</f>
        <v>2</v>
      </c>
      <c r="AY52" s="79" t="n">
        <f aca="false">IF(46&lt;$C$10,0,$L$10)</f>
        <v>2</v>
      </c>
      <c r="AZ52" s="79" t="n">
        <f aca="false">IF(47&lt;$C$10,0,$L$10)</f>
        <v>2</v>
      </c>
      <c r="BA52" s="79" t="n">
        <f aca="false">IF(48&lt;$C$10,0,$L$10)</f>
        <v>2</v>
      </c>
      <c r="BB52" s="78" t="n">
        <f aca="false">BN52</f>
        <v>3</v>
      </c>
      <c r="BC52" s="79" t="n">
        <f aca="false">IF(49&lt;$C$10,0,$M$10)</f>
        <v>3</v>
      </c>
      <c r="BD52" s="79" t="n">
        <f aca="false">IF(50&lt;$C$10,0,$M$10)</f>
        <v>3</v>
      </c>
      <c r="BE52" s="79" t="n">
        <f aca="false">IF(51&lt;$C$10,0,$M$10)</f>
        <v>3</v>
      </c>
      <c r="BF52" s="79" t="n">
        <f aca="false">IF(52&lt;$C$10,0,$M$10)</f>
        <v>3</v>
      </c>
      <c r="BG52" s="79" t="n">
        <f aca="false">IF(53&lt;$C$10,0,$M$10)</f>
        <v>3</v>
      </c>
      <c r="BH52" s="79" t="n">
        <f aca="false">IF(54&lt;$C$10,0,$M$10)</f>
        <v>3</v>
      </c>
      <c r="BI52" s="79" t="n">
        <f aca="false">IF(55&lt;$C$10,0,$M$10)</f>
        <v>3</v>
      </c>
      <c r="BJ52" s="79" t="n">
        <f aca="false">IF(56&lt;$C$10,0,$M$10)</f>
        <v>3</v>
      </c>
      <c r="BK52" s="79" t="n">
        <f aca="false">IF(57&lt;$C$10,0,$M$10)</f>
        <v>3</v>
      </c>
      <c r="BL52" s="79" t="n">
        <f aca="false">IF(58&lt;$C$10,0,$M$10)</f>
        <v>3</v>
      </c>
      <c r="BM52" s="79" t="n">
        <f aca="false">IF(59&lt;$C$10,0,$M$10)</f>
        <v>3</v>
      </c>
      <c r="BN52" s="79" t="n">
        <f aca="false">IF(60&lt;$C$10,0,$M$10)</f>
        <v>3</v>
      </c>
    </row>
    <row r="53" customFormat="false" ht="15" hidden="false" customHeight="false" outlineLevel="0" collapsed="false">
      <c r="A53" s="12" t="s">
        <v>764</v>
      </c>
      <c r="B53" s="78" t="n">
        <f aca="false">N53</f>
        <v>1</v>
      </c>
      <c r="C53" s="79" t="n">
        <f aca="false">IF(1&lt;$C$11,0,$I$11)</f>
        <v>1</v>
      </c>
      <c r="D53" s="79" t="n">
        <f aca="false">IF(2&lt;$C$11,0,$I$11)</f>
        <v>1</v>
      </c>
      <c r="E53" s="79" t="n">
        <f aca="false">IF(3&lt;$C$11,0,$I$11)</f>
        <v>1</v>
      </c>
      <c r="F53" s="79" t="n">
        <f aca="false">IF(4&lt;$C$11,0,$I$11)</f>
        <v>1</v>
      </c>
      <c r="G53" s="79" t="n">
        <f aca="false">IF(5&lt;$C$11,0,$I$11)</f>
        <v>1</v>
      </c>
      <c r="H53" s="79" t="n">
        <f aca="false">IF(6&lt;$C$11,0,$I$11)</f>
        <v>1</v>
      </c>
      <c r="I53" s="79" t="n">
        <f aca="false">IF(7&lt;$C$11,0,$I$11)</f>
        <v>1</v>
      </c>
      <c r="J53" s="79" t="n">
        <f aca="false">IF(8&lt;$C$11,0,$I$11)</f>
        <v>1</v>
      </c>
      <c r="K53" s="79" t="n">
        <f aca="false">IF(9&lt;$C$11,0,$I$11)</f>
        <v>1</v>
      </c>
      <c r="L53" s="79" t="n">
        <f aca="false">IF(10&lt;$C$11,0,$I$11)</f>
        <v>1</v>
      </c>
      <c r="M53" s="79" t="n">
        <f aca="false">IF(11&lt;$C$11,0,$I$11)</f>
        <v>1</v>
      </c>
      <c r="N53" s="79" t="n">
        <f aca="false">IF(12&lt;$C$11,0,$I$11)</f>
        <v>1</v>
      </c>
      <c r="O53" s="78" t="n">
        <f aca="false">AA53</f>
        <v>1</v>
      </c>
      <c r="P53" s="79" t="n">
        <f aca="false">IF(13&lt;$C$11,0,$J$11)</f>
        <v>1</v>
      </c>
      <c r="Q53" s="79" t="n">
        <f aca="false">IF(14&lt;$C$11,0,$J$11)</f>
        <v>1</v>
      </c>
      <c r="R53" s="79" t="n">
        <f aca="false">IF(15&lt;$C$11,0,$J$11)</f>
        <v>1</v>
      </c>
      <c r="S53" s="79" t="n">
        <f aca="false">IF(16&lt;$C$11,0,$J$11)</f>
        <v>1</v>
      </c>
      <c r="T53" s="79" t="n">
        <f aca="false">IF(17&lt;$C$11,0,$J$11)</f>
        <v>1</v>
      </c>
      <c r="U53" s="79" t="n">
        <f aca="false">IF(18&lt;$C$11,0,$J$11)</f>
        <v>1</v>
      </c>
      <c r="V53" s="79" t="n">
        <f aca="false">IF(19&lt;$C$11,0,$J$11)</f>
        <v>1</v>
      </c>
      <c r="W53" s="79" t="n">
        <f aca="false">IF(20&lt;$C$11,0,$J$11)</f>
        <v>1</v>
      </c>
      <c r="X53" s="79" t="n">
        <f aca="false">IF(21&lt;$C$11,0,$J$11)</f>
        <v>1</v>
      </c>
      <c r="Y53" s="79" t="n">
        <f aca="false">IF(22&lt;$C$11,0,$J$11)</f>
        <v>1</v>
      </c>
      <c r="Z53" s="79" t="n">
        <f aca="false">IF(23&lt;$C$11,0,$J$11)</f>
        <v>1</v>
      </c>
      <c r="AA53" s="79" t="n">
        <f aca="false">IF(24&lt;$C$11,0,$J$11)</f>
        <v>1</v>
      </c>
      <c r="AB53" s="78" t="n">
        <f aca="false">AN53</f>
        <v>1</v>
      </c>
      <c r="AC53" s="79" t="n">
        <f aca="false">IF(25&lt;$C$11,0,$K$11)</f>
        <v>1</v>
      </c>
      <c r="AD53" s="79" t="n">
        <f aca="false">IF(26&lt;$C$11,0,$K$11)</f>
        <v>1</v>
      </c>
      <c r="AE53" s="79" t="n">
        <f aca="false">IF(27&lt;$C$11,0,$K$11)</f>
        <v>1</v>
      </c>
      <c r="AF53" s="79" t="n">
        <f aca="false">IF(28&lt;$C$11,0,$K$11)</f>
        <v>1</v>
      </c>
      <c r="AG53" s="79" t="n">
        <f aca="false">IF(29&lt;$C$11,0,$K$11)</f>
        <v>1</v>
      </c>
      <c r="AH53" s="79" t="n">
        <f aca="false">IF(30&lt;$C$11,0,$K$11)</f>
        <v>1</v>
      </c>
      <c r="AI53" s="79" t="n">
        <f aca="false">IF(31&lt;$C$11,0,$K$11)</f>
        <v>1</v>
      </c>
      <c r="AJ53" s="79" t="n">
        <f aca="false">IF(32&lt;$C$11,0,$K$11)</f>
        <v>1</v>
      </c>
      <c r="AK53" s="79" t="n">
        <f aca="false">IF(33&lt;$C$11,0,$K$11)</f>
        <v>1</v>
      </c>
      <c r="AL53" s="79" t="n">
        <f aca="false">IF(34&lt;$C$11,0,$K$11)</f>
        <v>1</v>
      </c>
      <c r="AM53" s="79" t="n">
        <f aca="false">IF(35&lt;$C$11,0,$K$11)</f>
        <v>1</v>
      </c>
      <c r="AN53" s="79" t="n">
        <f aca="false">IF(36&lt;$C$11,0,$K$11)</f>
        <v>1</v>
      </c>
      <c r="AO53" s="78" t="n">
        <f aca="false">BA53</f>
        <v>2</v>
      </c>
      <c r="AP53" s="79" t="n">
        <f aca="false">IF(37&lt;$C$11,0,$L$11)</f>
        <v>2</v>
      </c>
      <c r="AQ53" s="79" t="n">
        <f aca="false">IF(38&lt;$C$11,0,$L$11)</f>
        <v>2</v>
      </c>
      <c r="AR53" s="79" t="n">
        <f aca="false">IF(39&lt;$C$11,0,$L$11)</f>
        <v>2</v>
      </c>
      <c r="AS53" s="79" t="n">
        <f aca="false">IF(40&lt;$C$11,0,$L$11)</f>
        <v>2</v>
      </c>
      <c r="AT53" s="79" t="n">
        <f aca="false">IF(41&lt;$C$11,0,$L$11)</f>
        <v>2</v>
      </c>
      <c r="AU53" s="79" t="n">
        <f aca="false">IF(42&lt;$C$11,0,$L$11)</f>
        <v>2</v>
      </c>
      <c r="AV53" s="79" t="n">
        <f aca="false">IF(43&lt;$C$11,0,$L$11)</f>
        <v>2</v>
      </c>
      <c r="AW53" s="79" t="n">
        <f aca="false">IF(44&lt;$C$11,0,$L$11)</f>
        <v>2</v>
      </c>
      <c r="AX53" s="79" t="n">
        <f aca="false">IF(45&lt;$C$11,0,$L$11)</f>
        <v>2</v>
      </c>
      <c r="AY53" s="79" t="n">
        <f aca="false">IF(46&lt;$C$11,0,$L$11)</f>
        <v>2</v>
      </c>
      <c r="AZ53" s="79" t="n">
        <f aca="false">IF(47&lt;$C$11,0,$L$11)</f>
        <v>2</v>
      </c>
      <c r="BA53" s="79" t="n">
        <f aca="false">IF(48&lt;$C$11,0,$L$11)</f>
        <v>2</v>
      </c>
      <c r="BB53" s="78" t="n">
        <f aca="false">BN53</f>
        <v>2</v>
      </c>
      <c r="BC53" s="79" t="n">
        <f aca="false">IF(49&lt;$C$11,0,$M$11)</f>
        <v>2</v>
      </c>
      <c r="BD53" s="79" t="n">
        <f aca="false">IF(50&lt;$C$11,0,$M$11)</f>
        <v>2</v>
      </c>
      <c r="BE53" s="79" t="n">
        <f aca="false">IF(51&lt;$C$11,0,$M$11)</f>
        <v>2</v>
      </c>
      <c r="BF53" s="79" t="n">
        <f aca="false">IF(52&lt;$C$11,0,$M$11)</f>
        <v>2</v>
      </c>
      <c r="BG53" s="79" t="n">
        <f aca="false">IF(53&lt;$C$11,0,$M$11)</f>
        <v>2</v>
      </c>
      <c r="BH53" s="79" t="n">
        <f aca="false">IF(54&lt;$C$11,0,$M$11)</f>
        <v>2</v>
      </c>
      <c r="BI53" s="79" t="n">
        <f aca="false">IF(55&lt;$C$11,0,$M$11)</f>
        <v>2</v>
      </c>
      <c r="BJ53" s="79" t="n">
        <f aca="false">IF(56&lt;$C$11,0,$M$11)</f>
        <v>2</v>
      </c>
      <c r="BK53" s="79" t="n">
        <f aca="false">IF(57&lt;$C$11,0,$M$11)</f>
        <v>2</v>
      </c>
      <c r="BL53" s="79" t="n">
        <f aca="false">IF(58&lt;$C$11,0,$M$11)</f>
        <v>2</v>
      </c>
      <c r="BM53" s="79" t="n">
        <f aca="false">IF(59&lt;$C$11,0,$M$11)</f>
        <v>2</v>
      </c>
      <c r="BN53" s="79" t="n">
        <f aca="false">IF(60&lt;$C$11,0,$M$11)</f>
        <v>2</v>
      </c>
    </row>
    <row r="54" customFormat="false" ht="15" hidden="false" customHeight="false" outlineLevel="0" collapsed="false">
      <c r="A54" s="12" t="s">
        <v>765</v>
      </c>
      <c r="B54" s="78" t="n">
        <f aca="false">N54</f>
        <v>0</v>
      </c>
      <c r="C54" s="79" t="n">
        <f aca="false">IF(1&lt;$C$12,0,$I$12)</f>
        <v>0</v>
      </c>
      <c r="D54" s="79" t="n">
        <f aca="false">IF(2&lt;$C$12,0,$I$12)</f>
        <v>0</v>
      </c>
      <c r="E54" s="79" t="n">
        <f aca="false">IF(3&lt;$C$12,0,$I$12)</f>
        <v>0</v>
      </c>
      <c r="F54" s="79" t="n">
        <f aca="false">IF(4&lt;$C$12,0,$I$12)</f>
        <v>0</v>
      </c>
      <c r="G54" s="79" t="n">
        <f aca="false">IF(5&lt;$C$12,0,$I$12)</f>
        <v>0</v>
      </c>
      <c r="H54" s="79" t="n">
        <f aca="false">IF(6&lt;$C$12,0,$I$12)</f>
        <v>0</v>
      </c>
      <c r="I54" s="79" t="n">
        <f aca="false">IF(7&lt;$C$12,0,$I$12)</f>
        <v>0</v>
      </c>
      <c r="J54" s="79" t="n">
        <f aca="false">IF(8&lt;$C$12,0,$I$12)</f>
        <v>0</v>
      </c>
      <c r="K54" s="79" t="n">
        <f aca="false">IF(9&lt;$C$12,0,$I$12)</f>
        <v>0</v>
      </c>
      <c r="L54" s="79" t="n">
        <f aca="false">IF(10&lt;$C$12,0,$I$12)</f>
        <v>0</v>
      </c>
      <c r="M54" s="79" t="n">
        <f aca="false">IF(11&lt;$C$12,0,$I$12)</f>
        <v>0</v>
      </c>
      <c r="N54" s="79" t="n">
        <f aca="false">IF(12&lt;$C$12,0,$I$12)</f>
        <v>0</v>
      </c>
      <c r="O54" s="78" t="n">
        <f aca="false">AA54</f>
        <v>1</v>
      </c>
      <c r="P54" s="79" t="n">
        <f aca="false">IF(13&lt;$C$12,0,$J$12)</f>
        <v>1</v>
      </c>
      <c r="Q54" s="79" t="n">
        <f aca="false">IF(14&lt;$C$12,0,$J$12)</f>
        <v>1</v>
      </c>
      <c r="R54" s="79" t="n">
        <f aca="false">IF(15&lt;$C$12,0,$J$12)</f>
        <v>1</v>
      </c>
      <c r="S54" s="79" t="n">
        <f aca="false">IF(16&lt;$C$12,0,$J$12)</f>
        <v>1</v>
      </c>
      <c r="T54" s="79" t="n">
        <f aca="false">IF(17&lt;$C$12,0,$J$12)</f>
        <v>1</v>
      </c>
      <c r="U54" s="79" t="n">
        <f aca="false">IF(18&lt;$C$12,0,$J$12)</f>
        <v>1</v>
      </c>
      <c r="V54" s="79" t="n">
        <f aca="false">IF(19&lt;$C$12,0,$J$12)</f>
        <v>1</v>
      </c>
      <c r="W54" s="79" t="n">
        <f aca="false">IF(20&lt;$C$12,0,$J$12)</f>
        <v>1</v>
      </c>
      <c r="X54" s="79" t="n">
        <f aca="false">IF(21&lt;$C$12,0,$J$12)</f>
        <v>1</v>
      </c>
      <c r="Y54" s="79" t="n">
        <f aca="false">IF(22&lt;$C$12,0,$J$12)</f>
        <v>1</v>
      </c>
      <c r="Z54" s="79" t="n">
        <f aca="false">IF(23&lt;$C$12,0,$J$12)</f>
        <v>1</v>
      </c>
      <c r="AA54" s="79" t="n">
        <f aca="false">IF(24&lt;$C$12,0,$J$12)</f>
        <v>1</v>
      </c>
      <c r="AB54" s="78" t="n">
        <f aca="false">AN54</f>
        <v>1</v>
      </c>
      <c r="AC54" s="79" t="n">
        <f aca="false">IF(25&lt;$C$12,0,$K$12)</f>
        <v>1</v>
      </c>
      <c r="AD54" s="79" t="n">
        <f aca="false">IF(26&lt;$C$12,0,$K$12)</f>
        <v>1</v>
      </c>
      <c r="AE54" s="79" t="n">
        <f aca="false">IF(27&lt;$C$12,0,$K$12)</f>
        <v>1</v>
      </c>
      <c r="AF54" s="79" t="n">
        <f aca="false">IF(28&lt;$C$12,0,$K$12)</f>
        <v>1</v>
      </c>
      <c r="AG54" s="79" t="n">
        <f aca="false">IF(29&lt;$C$12,0,$K$12)</f>
        <v>1</v>
      </c>
      <c r="AH54" s="79" t="n">
        <f aca="false">IF(30&lt;$C$12,0,$K$12)</f>
        <v>1</v>
      </c>
      <c r="AI54" s="79" t="n">
        <f aca="false">IF(31&lt;$C$12,0,$K$12)</f>
        <v>1</v>
      </c>
      <c r="AJ54" s="79" t="n">
        <f aca="false">IF(32&lt;$C$12,0,$K$12)</f>
        <v>1</v>
      </c>
      <c r="AK54" s="79" t="n">
        <f aca="false">IF(33&lt;$C$12,0,$K$12)</f>
        <v>1</v>
      </c>
      <c r="AL54" s="79" t="n">
        <f aca="false">IF(34&lt;$C$12,0,$K$12)</f>
        <v>1</v>
      </c>
      <c r="AM54" s="79" t="n">
        <f aca="false">IF(35&lt;$C$12,0,$K$12)</f>
        <v>1</v>
      </c>
      <c r="AN54" s="79" t="n">
        <f aca="false">IF(36&lt;$C$12,0,$K$12)</f>
        <v>1</v>
      </c>
      <c r="AO54" s="78" t="n">
        <f aca="false">BA54</f>
        <v>1</v>
      </c>
      <c r="AP54" s="79" t="n">
        <f aca="false">IF(37&lt;$C$12,0,$L$12)</f>
        <v>1</v>
      </c>
      <c r="AQ54" s="79" t="n">
        <f aca="false">IF(38&lt;$C$12,0,$L$12)</f>
        <v>1</v>
      </c>
      <c r="AR54" s="79" t="n">
        <f aca="false">IF(39&lt;$C$12,0,$L$12)</f>
        <v>1</v>
      </c>
      <c r="AS54" s="79" t="n">
        <f aca="false">IF(40&lt;$C$12,0,$L$12)</f>
        <v>1</v>
      </c>
      <c r="AT54" s="79" t="n">
        <f aca="false">IF(41&lt;$C$12,0,$L$12)</f>
        <v>1</v>
      </c>
      <c r="AU54" s="79" t="n">
        <f aca="false">IF(42&lt;$C$12,0,$L$12)</f>
        <v>1</v>
      </c>
      <c r="AV54" s="79" t="n">
        <f aca="false">IF(43&lt;$C$12,0,$L$12)</f>
        <v>1</v>
      </c>
      <c r="AW54" s="79" t="n">
        <f aca="false">IF(44&lt;$C$12,0,$L$12)</f>
        <v>1</v>
      </c>
      <c r="AX54" s="79" t="n">
        <f aca="false">IF(45&lt;$C$12,0,$L$12)</f>
        <v>1</v>
      </c>
      <c r="AY54" s="79" t="n">
        <f aca="false">IF(46&lt;$C$12,0,$L$12)</f>
        <v>1</v>
      </c>
      <c r="AZ54" s="79" t="n">
        <f aca="false">IF(47&lt;$C$12,0,$L$12)</f>
        <v>1</v>
      </c>
      <c r="BA54" s="79" t="n">
        <f aca="false">IF(48&lt;$C$12,0,$L$12)</f>
        <v>1</v>
      </c>
      <c r="BB54" s="78" t="n">
        <f aca="false">BN54</f>
        <v>1</v>
      </c>
      <c r="BC54" s="79" t="n">
        <f aca="false">IF(49&lt;$C$12,0,$M$12)</f>
        <v>1</v>
      </c>
      <c r="BD54" s="79" t="n">
        <f aca="false">IF(50&lt;$C$12,0,$M$12)</f>
        <v>1</v>
      </c>
      <c r="BE54" s="79" t="n">
        <f aca="false">IF(51&lt;$C$12,0,$M$12)</f>
        <v>1</v>
      </c>
      <c r="BF54" s="79" t="n">
        <f aca="false">IF(52&lt;$C$12,0,$M$12)</f>
        <v>1</v>
      </c>
      <c r="BG54" s="79" t="n">
        <f aca="false">IF(53&lt;$C$12,0,$M$12)</f>
        <v>1</v>
      </c>
      <c r="BH54" s="79" t="n">
        <f aca="false">IF(54&lt;$C$12,0,$M$12)</f>
        <v>1</v>
      </c>
      <c r="BI54" s="79" t="n">
        <f aca="false">IF(55&lt;$C$12,0,$M$12)</f>
        <v>1</v>
      </c>
      <c r="BJ54" s="79" t="n">
        <f aca="false">IF(56&lt;$C$12,0,$M$12)</f>
        <v>1</v>
      </c>
      <c r="BK54" s="79" t="n">
        <f aca="false">IF(57&lt;$C$12,0,$M$12)</f>
        <v>1</v>
      </c>
      <c r="BL54" s="79" t="n">
        <f aca="false">IF(58&lt;$C$12,0,$M$12)</f>
        <v>1</v>
      </c>
      <c r="BM54" s="79" t="n">
        <f aca="false">IF(59&lt;$C$12,0,$M$12)</f>
        <v>1</v>
      </c>
      <c r="BN54" s="79" t="n">
        <f aca="false">IF(60&lt;$C$12,0,$M$12)</f>
        <v>1</v>
      </c>
    </row>
    <row r="55" customFormat="false" ht="15" hidden="false" customHeight="false" outlineLevel="0" collapsed="false">
      <c r="A55" s="12" t="s">
        <v>766</v>
      </c>
      <c r="B55" s="78" t="n">
        <f aca="false">N55</f>
        <v>0</v>
      </c>
      <c r="C55" s="79" t="n">
        <f aca="false">IF(1&lt;$C$13,0,$I$13)</f>
        <v>0</v>
      </c>
      <c r="D55" s="79" t="n">
        <f aca="false">IF(2&lt;$C$13,0,$I$13)</f>
        <v>0</v>
      </c>
      <c r="E55" s="79" t="n">
        <f aca="false">IF(3&lt;$C$13,0,$I$13)</f>
        <v>0</v>
      </c>
      <c r="F55" s="79" t="n">
        <f aca="false">IF(4&lt;$C$13,0,$I$13)</f>
        <v>0</v>
      </c>
      <c r="G55" s="79" t="n">
        <f aca="false">IF(5&lt;$C$13,0,$I$13)</f>
        <v>0</v>
      </c>
      <c r="H55" s="79" t="n">
        <f aca="false">IF(6&lt;$C$13,0,$I$13)</f>
        <v>0</v>
      </c>
      <c r="I55" s="79" t="n">
        <f aca="false">IF(7&lt;$C$13,0,$I$13)</f>
        <v>0</v>
      </c>
      <c r="J55" s="79" t="n">
        <f aca="false">IF(8&lt;$C$13,0,$I$13)</f>
        <v>0</v>
      </c>
      <c r="K55" s="79" t="n">
        <f aca="false">IF(9&lt;$C$13,0,$I$13)</f>
        <v>0</v>
      </c>
      <c r="L55" s="79" t="n">
        <f aca="false">IF(10&lt;$C$13,0,$I$13)</f>
        <v>0</v>
      </c>
      <c r="M55" s="79" t="n">
        <f aca="false">IF(11&lt;$C$13,0,$I$13)</f>
        <v>0</v>
      </c>
      <c r="N55" s="79" t="n">
        <f aca="false">IF(12&lt;$C$13,0,$I$13)</f>
        <v>0</v>
      </c>
      <c r="O55" s="78" t="n">
        <f aca="false">AA55</f>
        <v>0</v>
      </c>
      <c r="P55" s="79" t="n">
        <f aca="false">IF(13&lt;$C$13,0,$J$13)</f>
        <v>0</v>
      </c>
      <c r="Q55" s="79" t="n">
        <f aca="false">IF(14&lt;$C$13,0,$J$13)</f>
        <v>0</v>
      </c>
      <c r="R55" s="79" t="n">
        <f aca="false">IF(15&lt;$C$13,0,$J$13)</f>
        <v>0</v>
      </c>
      <c r="S55" s="79" t="n">
        <f aca="false">IF(16&lt;$C$13,0,$J$13)</f>
        <v>0</v>
      </c>
      <c r="T55" s="79" t="n">
        <f aca="false">IF(17&lt;$C$13,0,$J$13)</f>
        <v>0</v>
      </c>
      <c r="U55" s="79" t="n">
        <f aca="false">IF(18&lt;$C$13,0,$J$13)</f>
        <v>0</v>
      </c>
      <c r="V55" s="79" t="n">
        <f aca="false">IF(19&lt;$C$13,0,$J$13)</f>
        <v>0</v>
      </c>
      <c r="W55" s="79" t="n">
        <f aca="false">IF(20&lt;$C$13,0,$J$13)</f>
        <v>0</v>
      </c>
      <c r="X55" s="79" t="n">
        <f aca="false">IF(21&lt;$C$13,0,$J$13)</f>
        <v>0</v>
      </c>
      <c r="Y55" s="79" t="n">
        <f aca="false">IF(22&lt;$C$13,0,$J$13)</f>
        <v>0</v>
      </c>
      <c r="Z55" s="79" t="n">
        <f aca="false">IF(23&lt;$C$13,0,$J$13)</f>
        <v>0</v>
      </c>
      <c r="AA55" s="79" t="n">
        <f aca="false">IF(24&lt;$C$13,0,$J$13)</f>
        <v>0</v>
      </c>
      <c r="AB55" s="78" t="n">
        <f aca="false">AN55</f>
        <v>1</v>
      </c>
      <c r="AC55" s="79" t="n">
        <f aca="false">IF(25&lt;$C$13,0,$K$13)</f>
        <v>1</v>
      </c>
      <c r="AD55" s="79" t="n">
        <f aca="false">IF(26&lt;$C$13,0,$K$13)</f>
        <v>1</v>
      </c>
      <c r="AE55" s="79" t="n">
        <f aca="false">IF(27&lt;$C$13,0,$K$13)</f>
        <v>1</v>
      </c>
      <c r="AF55" s="79" t="n">
        <f aca="false">IF(28&lt;$C$13,0,$K$13)</f>
        <v>1</v>
      </c>
      <c r="AG55" s="79" t="n">
        <f aca="false">IF(29&lt;$C$13,0,$K$13)</f>
        <v>1</v>
      </c>
      <c r="AH55" s="79" t="n">
        <f aca="false">IF(30&lt;$C$13,0,$K$13)</f>
        <v>1</v>
      </c>
      <c r="AI55" s="79" t="n">
        <f aca="false">IF(31&lt;$C$13,0,$K$13)</f>
        <v>1</v>
      </c>
      <c r="AJ55" s="79" t="n">
        <f aca="false">IF(32&lt;$C$13,0,$K$13)</f>
        <v>1</v>
      </c>
      <c r="AK55" s="79" t="n">
        <f aca="false">IF(33&lt;$C$13,0,$K$13)</f>
        <v>1</v>
      </c>
      <c r="AL55" s="79" t="n">
        <f aca="false">IF(34&lt;$C$13,0,$K$13)</f>
        <v>1</v>
      </c>
      <c r="AM55" s="79" t="n">
        <f aca="false">IF(35&lt;$C$13,0,$K$13)</f>
        <v>1</v>
      </c>
      <c r="AN55" s="79" t="n">
        <f aca="false">IF(36&lt;$C$13,0,$K$13)</f>
        <v>1</v>
      </c>
      <c r="AO55" s="78" t="n">
        <f aca="false">BA55</f>
        <v>1</v>
      </c>
      <c r="AP55" s="79" t="n">
        <f aca="false">IF(37&lt;$C$13,0,$L$13)</f>
        <v>1</v>
      </c>
      <c r="AQ55" s="79" t="n">
        <f aca="false">IF(38&lt;$C$13,0,$L$13)</f>
        <v>1</v>
      </c>
      <c r="AR55" s="79" t="n">
        <f aca="false">IF(39&lt;$C$13,0,$L$13)</f>
        <v>1</v>
      </c>
      <c r="AS55" s="79" t="n">
        <f aca="false">IF(40&lt;$C$13,0,$L$13)</f>
        <v>1</v>
      </c>
      <c r="AT55" s="79" t="n">
        <f aca="false">IF(41&lt;$C$13,0,$L$13)</f>
        <v>1</v>
      </c>
      <c r="AU55" s="79" t="n">
        <f aca="false">IF(42&lt;$C$13,0,$L$13)</f>
        <v>1</v>
      </c>
      <c r="AV55" s="79" t="n">
        <f aca="false">IF(43&lt;$C$13,0,$L$13)</f>
        <v>1</v>
      </c>
      <c r="AW55" s="79" t="n">
        <f aca="false">IF(44&lt;$C$13,0,$L$13)</f>
        <v>1</v>
      </c>
      <c r="AX55" s="79" t="n">
        <f aca="false">IF(45&lt;$C$13,0,$L$13)</f>
        <v>1</v>
      </c>
      <c r="AY55" s="79" t="n">
        <f aca="false">IF(46&lt;$C$13,0,$L$13)</f>
        <v>1</v>
      </c>
      <c r="AZ55" s="79" t="n">
        <f aca="false">IF(47&lt;$C$13,0,$L$13)</f>
        <v>1</v>
      </c>
      <c r="BA55" s="79" t="n">
        <f aca="false">IF(48&lt;$C$13,0,$L$13)</f>
        <v>1</v>
      </c>
      <c r="BB55" s="78" t="n">
        <f aca="false">BN55</f>
        <v>1</v>
      </c>
      <c r="BC55" s="79" t="n">
        <f aca="false">IF(49&lt;$C$13,0,$M$13)</f>
        <v>1</v>
      </c>
      <c r="BD55" s="79" t="n">
        <f aca="false">IF(50&lt;$C$13,0,$M$13)</f>
        <v>1</v>
      </c>
      <c r="BE55" s="79" t="n">
        <f aca="false">IF(51&lt;$C$13,0,$M$13)</f>
        <v>1</v>
      </c>
      <c r="BF55" s="79" t="n">
        <f aca="false">IF(52&lt;$C$13,0,$M$13)</f>
        <v>1</v>
      </c>
      <c r="BG55" s="79" t="n">
        <f aca="false">IF(53&lt;$C$13,0,$M$13)</f>
        <v>1</v>
      </c>
      <c r="BH55" s="79" t="n">
        <f aca="false">IF(54&lt;$C$13,0,$M$13)</f>
        <v>1</v>
      </c>
      <c r="BI55" s="79" t="n">
        <f aca="false">IF(55&lt;$C$13,0,$M$13)</f>
        <v>1</v>
      </c>
      <c r="BJ55" s="79" t="n">
        <f aca="false">IF(56&lt;$C$13,0,$M$13)</f>
        <v>1</v>
      </c>
      <c r="BK55" s="79" t="n">
        <f aca="false">IF(57&lt;$C$13,0,$M$13)</f>
        <v>1</v>
      </c>
      <c r="BL55" s="79" t="n">
        <f aca="false">IF(58&lt;$C$13,0,$M$13)</f>
        <v>1</v>
      </c>
      <c r="BM55" s="79" t="n">
        <f aca="false">IF(59&lt;$C$13,0,$M$13)</f>
        <v>1</v>
      </c>
      <c r="BN55" s="79" t="n">
        <f aca="false">IF(60&lt;$C$13,0,$M$13)</f>
        <v>1</v>
      </c>
    </row>
    <row r="56" customFormat="false" ht="15" hidden="false" customHeight="false" outlineLevel="0" collapsed="false">
      <c r="A56" s="12" t="s">
        <v>767</v>
      </c>
      <c r="B56" s="78" t="n">
        <f aca="false">N56</f>
        <v>0</v>
      </c>
      <c r="C56" s="79" t="n">
        <f aca="false">IF(1&lt;$C$14,0,$I$14)</f>
        <v>0</v>
      </c>
      <c r="D56" s="79" t="n">
        <f aca="false">IF(2&lt;$C$14,0,$I$14)</f>
        <v>0</v>
      </c>
      <c r="E56" s="79" t="n">
        <f aca="false">IF(3&lt;$C$14,0,$I$14)</f>
        <v>0</v>
      </c>
      <c r="F56" s="79" t="n">
        <f aca="false">IF(4&lt;$C$14,0,$I$14)</f>
        <v>0</v>
      </c>
      <c r="G56" s="79" t="n">
        <f aca="false">IF(5&lt;$C$14,0,$I$14)</f>
        <v>0</v>
      </c>
      <c r="H56" s="79" t="n">
        <f aca="false">IF(6&lt;$C$14,0,$I$14)</f>
        <v>0</v>
      </c>
      <c r="I56" s="79" t="n">
        <f aca="false">IF(7&lt;$C$14,0,$I$14)</f>
        <v>0</v>
      </c>
      <c r="J56" s="79" t="n">
        <f aca="false">IF(8&lt;$C$14,0,$I$14)</f>
        <v>0</v>
      </c>
      <c r="K56" s="79" t="n">
        <f aca="false">IF(9&lt;$C$14,0,$I$14)</f>
        <v>0</v>
      </c>
      <c r="L56" s="79" t="n">
        <f aca="false">IF(10&lt;$C$14,0,$I$14)</f>
        <v>0</v>
      </c>
      <c r="M56" s="79" t="n">
        <f aca="false">IF(11&lt;$C$14,0,$I$14)</f>
        <v>0</v>
      </c>
      <c r="N56" s="79" t="n">
        <f aca="false">IF(12&lt;$C$14,0,$I$14)</f>
        <v>0</v>
      </c>
      <c r="O56" s="78" t="n">
        <f aca="false">AA56</f>
        <v>0</v>
      </c>
      <c r="P56" s="79" t="n">
        <f aca="false">IF(13&lt;$C$14,0,$J$14)</f>
        <v>0</v>
      </c>
      <c r="Q56" s="79" t="n">
        <f aca="false">IF(14&lt;$C$14,0,$J$14)</f>
        <v>0</v>
      </c>
      <c r="R56" s="79" t="n">
        <f aca="false">IF(15&lt;$C$14,0,$J$14)</f>
        <v>0</v>
      </c>
      <c r="S56" s="79" t="n">
        <f aca="false">IF(16&lt;$C$14,0,$J$14)</f>
        <v>0</v>
      </c>
      <c r="T56" s="79" t="n">
        <f aca="false">IF(17&lt;$C$14,0,$J$14)</f>
        <v>0</v>
      </c>
      <c r="U56" s="79" t="n">
        <f aca="false">IF(18&lt;$C$14,0,$J$14)</f>
        <v>0</v>
      </c>
      <c r="V56" s="79" t="n">
        <f aca="false">IF(19&lt;$C$14,0,$J$14)</f>
        <v>0</v>
      </c>
      <c r="W56" s="79" t="n">
        <f aca="false">IF(20&lt;$C$14,0,$J$14)</f>
        <v>0</v>
      </c>
      <c r="X56" s="79" t="n">
        <f aca="false">IF(21&lt;$C$14,0,$J$14)</f>
        <v>0</v>
      </c>
      <c r="Y56" s="79" t="n">
        <f aca="false">IF(22&lt;$C$14,0,$J$14)</f>
        <v>0</v>
      </c>
      <c r="Z56" s="79" t="n">
        <f aca="false">IF(23&lt;$C$14,0,$J$14)</f>
        <v>0</v>
      </c>
      <c r="AA56" s="79" t="n">
        <f aca="false">IF(24&lt;$C$14,0,$J$14)</f>
        <v>0</v>
      </c>
      <c r="AB56" s="78" t="n">
        <f aca="false">AN56</f>
        <v>0</v>
      </c>
      <c r="AC56" s="79" t="n">
        <f aca="false">IF(25&lt;$C$14,0,$K$14)</f>
        <v>0</v>
      </c>
      <c r="AD56" s="79" t="n">
        <f aca="false">IF(26&lt;$C$14,0,$K$14)</f>
        <v>0</v>
      </c>
      <c r="AE56" s="79" t="n">
        <f aca="false">IF(27&lt;$C$14,0,$K$14)</f>
        <v>0</v>
      </c>
      <c r="AF56" s="79" t="n">
        <f aca="false">IF(28&lt;$C$14,0,$K$14)</f>
        <v>0</v>
      </c>
      <c r="AG56" s="79" t="n">
        <f aca="false">IF(29&lt;$C$14,0,$K$14)</f>
        <v>0</v>
      </c>
      <c r="AH56" s="79" t="n">
        <f aca="false">IF(30&lt;$C$14,0,$K$14)</f>
        <v>0</v>
      </c>
      <c r="AI56" s="79" t="n">
        <f aca="false">IF(31&lt;$C$14,0,$K$14)</f>
        <v>0</v>
      </c>
      <c r="AJ56" s="79" t="n">
        <f aca="false">IF(32&lt;$C$14,0,$K$14)</f>
        <v>0</v>
      </c>
      <c r="AK56" s="79" t="n">
        <f aca="false">IF(33&lt;$C$14,0,$K$14)</f>
        <v>0</v>
      </c>
      <c r="AL56" s="79" t="n">
        <f aca="false">IF(34&lt;$C$14,0,$K$14)</f>
        <v>0</v>
      </c>
      <c r="AM56" s="79" t="n">
        <f aca="false">IF(35&lt;$C$14,0,$K$14)</f>
        <v>0</v>
      </c>
      <c r="AN56" s="79" t="n">
        <f aca="false">IF(36&lt;$C$14,0,$K$14)</f>
        <v>0</v>
      </c>
      <c r="AO56" s="78" t="n">
        <f aca="false">BA56</f>
        <v>0</v>
      </c>
      <c r="AP56" s="79" t="n">
        <f aca="false">IF(37&lt;$C$14,0,$L$14)</f>
        <v>0</v>
      </c>
      <c r="AQ56" s="79" t="n">
        <f aca="false">IF(38&lt;$C$14,0,$L$14)</f>
        <v>0</v>
      </c>
      <c r="AR56" s="79" t="n">
        <f aca="false">IF(39&lt;$C$14,0,$L$14)</f>
        <v>0</v>
      </c>
      <c r="AS56" s="79" t="n">
        <f aca="false">IF(40&lt;$C$14,0,$L$14)</f>
        <v>0</v>
      </c>
      <c r="AT56" s="79" t="n">
        <f aca="false">IF(41&lt;$C$14,0,$L$14)</f>
        <v>0</v>
      </c>
      <c r="AU56" s="79" t="n">
        <f aca="false">IF(42&lt;$C$14,0,$L$14)</f>
        <v>0</v>
      </c>
      <c r="AV56" s="79" t="n">
        <f aca="false">IF(43&lt;$C$14,0,$L$14)</f>
        <v>0</v>
      </c>
      <c r="AW56" s="79" t="n">
        <f aca="false">IF(44&lt;$C$14,0,$L$14)</f>
        <v>0</v>
      </c>
      <c r="AX56" s="79" t="n">
        <f aca="false">IF(45&lt;$C$14,0,$L$14)</f>
        <v>0</v>
      </c>
      <c r="AY56" s="79" t="n">
        <f aca="false">IF(46&lt;$C$14,0,$L$14)</f>
        <v>0</v>
      </c>
      <c r="AZ56" s="79" t="n">
        <f aca="false">IF(47&lt;$C$14,0,$L$14)</f>
        <v>0</v>
      </c>
      <c r="BA56" s="79" t="n">
        <f aca="false">IF(48&lt;$C$14,0,$L$14)</f>
        <v>0</v>
      </c>
      <c r="BB56" s="78" t="n">
        <f aca="false">BN56</f>
        <v>1</v>
      </c>
      <c r="BC56" s="79" t="n">
        <f aca="false">IF(49&lt;$C$14,0,$M$14)</f>
        <v>1</v>
      </c>
      <c r="BD56" s="79" t="n">
        <f aca="false">IF(50&lt;$C$14,0,$M$14)</f>
        <v>1</v>
      </c>
      <c r="BE56" s="79" t="n">
        <f aca="false">IF(51&lt;$C$14,0,$M$14)</f>
        <v>1</v>
      </c>
      <c r="BF56" s="79" t="n">
        <f aca="false">IF(52&lt;$C$14,0,$M$14)</f>
        <v>1</v>
      </c>
      <c r="BG56" s="79" t="n">
        <f aca="false">IF(53&lt;$C$14,0,$M$14)</f>
        <v>1</v>
      </c>
      <c r="BH56" s="79" t="n">
        <f aca="false">IF(54&lt;$C$14,0,$M$14)</f>
        <v>1</v>
      </c>
      <c r="BI56" s="79" t="n">
        <f aca="false">IF(55&lt;$C$14,0,$M$14)</f>
        <v>1</v>
      </c>
      <c r="BJ56" s="79" t="n">
        <f aca="false">IF(56&lt;$C$14,0,$M$14)</f>
        <v>1</v>
      </c>
      <c r="BK56" s="79" t="n">
        <f aca="false">IF(57&lt;$C$14,0,$M$14)</f>
        <v>1</v>
      </c>
      <c r="BL56" s="79" t="n">
        <f aca="false">IF(58&lt;$C$14,0,$M$14)</f>
        <v>1</v>
      </c>
      <c r="BM56" s="79" t="n">
        <f aca="false">IF(59&lt;$C$14,0,$M$14)</f>
        <v>1</v>
      </c>
      <c r="BN56" s="79" t="n">
        <f aca="false">IF(60&lt;$C$14,0,$M$14)</f>
        <v>1</v>
      </c>
    </row>
    <row r="57" customFormat="false" ht="15" hidden="false" customHeight="false" outlineLevel="0" collapsed="false">
      <c r="A57" s="12" t="s">
        <v>768</v>
      </c>
      <c r="B57" s="78" t="n">
        <f aca="false">N57</f>
        <v>1</v>
      </c>
      <c r="C57" s="79" t="n">
        <f aca="false">IF(1&lt;$C$15,0,$I$15)</f>
        <v>1</v>
      </c>
      <c r="D57" s="79" t="n">
        <f aca="false">IF(2&lt;$C$15,0,$I$15)</f>
        <v>1</v>
      </c>
      <c r="E57" s="79" t="n">
        <f aca="false">IF(3&lt;$C$15,0,$I$15)</f>
        <v>1</v>
      </c>
      <c r="F57" s="79" t="n">
        <f aca="false">IF(4&lt;$C$15,0,$I$15)</f>
        <v>1</v>
      </c>
      <c r="G57" s="79" t="n">
        <f aca="false">IF(5&lt;$C$15,0,$I$15)</f>
        <v>1</v>
      </c>
      <c r="H57" s="79" t="n">
        <f aca="false">IF(6&lt;$C$15,0,$I$15)</f>
        <v>1</v>
      </c>
      <c r="I57" s="79" t="n">
        <f aca="false">IF(7&lt;$C$15,0,$I$15)</f>
        <v>1</v>
      </c>
      <c r="J57" s="79" t="n">
        <f aca="false">IF(8&lt;$C$15,0,$I$15)</f>
        <v>1</v>
      </c>
      <c r="K57" s="79" t="n">
        <f aca="false">IF(9&lt;$C$15,0,$I$15)</f>
        <v>1</v>
      </c>
      <c r="L57" s="79" t="n">
        <f aca="false">IF(10&lt;$C$15,0,$I$15)</f>
        <v>1</v>
      </c>
      <c r="M57" s="79" t="n">
        <f aca="false">IF(11&lt;$C$15,0,$I$15)</f>
        <v>1</v>
      </c>
      <c r="N57" s="79" t="n">
        <f aca="false">IF(12&lt;$C$15,0,$I$15)</f>
        <v>1</v>
      </c>
      <c r="O57" s="78" t="n">
        <f aca="false">AA57</f>
        <v>1</v>
      </c>
      <c r="P57" s="79" t="n">
        <f aca="false">IF(13&lt;$C$15,0,$J$15)</f>
        <v>1</v>
      </c>
      <c r="Q57" s="79" t="n">
        <f aca="false">IF(14&lt;$C$15,0,$J$15)</f>
        <v>1</v>
      </c>
      <c r="R57" s="79" t="n">
        <f aca="false">IF(15&lt;$C$15,0,$J$15)</f>
        <v>1</v>
      </c>
      <c r="S57" s="79" t="n">
        <f aca="false">IF(16&lt;$C$15,0,$J$15)</f>
        <v>1</v>
      </c>
      <c r="T57" s="79" t="n">
        <f aca="false">IF(17&lt;$C$15,0,$J$15)</f>
        <v>1</v>
      </c>
      <c r="U57" s="79" t="n">
        <f aca="false">IF(18&lt;$C$15,0,$J$15)</f>
        <v>1</v>
      </c>
      <c r="V57" s="79" t="n">
        <f aca="false">IF(19&lt;$C$15,0,$J$15)</f>
        <v>1</v>
      </c>
      <c r="W57" s="79" t="n">
        <f aca="false">IF(20&lt;$C$15,0,$J$15)</f>
        <v>1</v>
      </c>
      <c r="X57" s="79" t="n">
        <f aca="false">IF(21&lt;$C$15,0,$J$15)</f>
        <v>1</v>
      </c>
      <c r="Y57" s="79" t="n">
        <f aca="false">IF(22&lt;$C$15,0,$J$15)</f>
        <v>1</v>
      </c>
      <c r="Z57" s="79" t="n">
        <f aca="false">IF(23&lt;$C$15,0,$J$15)</f>
        <v>1</v>
      </c>
      <c r="AA57" s="79" t="n">
        <f aca="false">IF(24&lt;$C$15,0,$J$15)</f>
        <v>1</v>
      </c>
      <c r="AB57" s="78" t="n">
        <f aca="false">AN57</f>
        <v>1</v>
      </c>
      <c r="AC57" s="79" t="n">
        <f aca="false">IF(25&lt;$C$15,0,$K$15)</f>
        <v>1</v>
      </c>
      <c r="AD57" s="79" t="n">
        <f aca="false">IF(26&lt;$C$15,0,$K$15)</f>
        <v>1</v>
      </c>
      <c r="AE57" s="79" t="n">
        <f aca="false">IF(27&lt;$C$15,0,$K$15)</f>
        <v>1</v>
      </c>
      <c r="AF57" s="79" t="n">
        <f aca="false">IF(28&lt;$C$15,0,$K$15)</f>
        <v>1</v>
      </c>
      <c r="AG57" s="79" t="n">
        <f aca="false">IF(29&lt;$C$15,0,$K$15)</f>
        <v>1</v>
      </c>
      <c r="AH57" s="79" t="n">
        <f aca="false">IF(30&lt;$C$15,0,$K$15)</f>
        <v>1</v>
      </c>
      <c r="AI57" s="79" t="n">
        <f aca="false">IF(31&lt;$C$15,0,$K$15)</f>
        <v>1</v>
      </c>
      <c r="AJ57" s="79" t="n">
        <f aca="false">IF(32&lt;$C$15,0,$K$15)</f>
        <v>1</v>
      </c>
      <c r="AK57" s="79" t="n">
        <f aca="false">IF(33&lt;$C$15,0,$K$15)</f>
        <v>1</v>
      </c>
      <c r="AL57" s="79" t="n">
        <f aca="false">IF(34&lt;$C$15,0,$K$15)</f>
        <v>1</v>
      </c>
      <c r="AM57" s="79" t="n">
        <f aca="false">IF(35&lt;$C$15,0,$K$15)</f>
        <v>1</v>
      </c>
      <c r="AN57" s="79" t="n">
        <f aca="false">IF(36&lt;$C$15,0,$K$15)</f>
        <v>1</v>
      </c>
      <c r="AO57" s="78" t="n">
        <f aca="false">BA57</f>
        <v>1</v>
      </c>
      <c r="AP57" s="79" t="n">
        <f aca="false">IF(37&lt;$C$15,0,$L$15)</f>
        <v>1</v>
      </c>
      <c r="AQ57" s="79" t="n">
        <f aca="false">IF(38&lt;$C$15,0,$L$15)</f>
        <v>1</v>
      </c>
      <c r="AR57" s="79" t="n">
        <f aca="false">IF(39&lt;$C$15,0,$L$15)</f>
        <v>1</v>
      </c>
      <c r="AS57" s="79" t="n">
        <f aca="false">IF(40&lt;$C$15,0,$L$15)</f>
        <v>1</v>
      </c>
      <c r="AT57" s="79" t="n">
        <f aca="false">IF(41&lt;$C$15,0,$L$15)</f>
        <v>1</v>
      </c>
      <c r="AU57" s="79" t="n">
        <f aca="false">IF(42&lt;$C$15,0,$L$15)</f>
        <v>1</v>
      </c>
      <c r="AV57" s="79" t="n">
        <f aca="false">IF(43&lt;$C$15,0,$L$15)</f>
        <v>1</v>
      </c>
      <c r="AW57" s="79" t="n">
        <f aca="false">IF(44&lt;$C$15,0,$L$15)</f>
        <v>1</v>
      </c>
      <c r="AX57" s="79" t="n">
        <f aca="false">IF(45&lt;$C$15,0,$L$15)</f>
        <v>1</v>
      </c>
      <c r="AY57" s="79" t="n">
        <f aca="false">IF(46&lt;$C$15,0,$L$15)</f>
        <v>1</v>
      </c>
      <c r="AZ57" s="79" t="n">
        <f aca="false">IF(47&lt;$C$15,0,$L$15)</f>
        <v>1</v>
      </c>
      <c r="BA57" s="79" t="n">
        <f aca="false">IF(48&lt;$C$15,0,$L$15)</f>
        <v>1</v>
      </c>
      <c r="BB57" s="78" t="n">
        <f aca="false">BN57</f>
        <v>1</v>
      </c>
      <c r="BC57" s="79" t="n">
        <f aca="false">IF(49&lt;$C$15,0,$M$15)</f>
        <v>1</v>
      </c>
      <c r="BD57" s="79" t="n">
        <f aca="false">IF(50&lt;$C$15,0,$M$15)</f>
        <v>1</v>
      </c>
      <c r="BE57" s="79" t="n">
        <f aca="false">IF(51&lt;$C$15,0,$M$15)</f>
        <v>1</v>
      </c>
      <c r="BF57" s="79" t="n">
        <f aca="false">IF(52&lt;$C$15,0,$M$15)</f>
        <v>1</v>
      </c>
      <c r="BG57" s="79" t="n">
        <f aca="false">IF(53&lt;$C$15,0,$M$15)</f>
        <v>1</v>
      </c>
      <c r="BH57" s="79" t="n">
        <f aca="false">IF(54&lt;$C$15,0,$M$15)</f>
        <v>1</v>
      </c>
      <c r="BI57" s="79" t="n">
        <f aca="false">IF(55&lt;$C$15,0,$M$15)</f>
        <v>1</v>
      </c>
      <c r="BJ57" s="79" t="n">
        <f aca="false">IF(56&lt;$C$15,0,$M$15)</f>
        <v>1</v>
      </c>
      <c r="BK57" s="79" t="n">
        <f aca="false">IF(57&lt;$C$15,0,$M$15)</f>
        <v>1</v>
      </c>
      <c r="BL57" s="79" t="n">
        <f aca="false">IF(58&lt;$C$15,0,$M$15)</f>
        <v>1</v>
      </c>
      <c r="BM57" s="79" t="n">
        <f aca="false">IF(59&lt;$C$15,0,$M$15)</f>
        <v>1</v>
      </c>
      <c r="BN57" s="79" t="n">
        <f aca="false">IF(60&lt;$C$15,0,$M$15)</f>
        <v>1</v>
      </c>
    </row>
    <row r="58" customFormat="false" ht="15" hidden="false" customHeight="false" outlineLevel="0" collapsed="false">
      <c r="A58" s="12" t="s">
        <v>769</v>
      </c>
      <c r="B58" s="78" t="n">
        <f aca="false">N58</f>
        <v>0</v>
      </c>
      <c r="C58" s="79" t="n">
        <f aca="false">IF(1&lt;$C$16,0,$I$16)</f>
        <v>0</v>
      </c>
      <c r="D58" s="79" t="n">
        <f aca="false">IF(2&lt;$C$16,0,$I$16)</f>
        <v>0</v>
      </c>
      <c r="E58" s="79" t="n">
        <f aca="false">IF(3&lt;$C$16,0,$I$16)</f>
        <v>0</v>
      </c>
      <c r="F58" s="79" t="n">
        <f aca="false">IF(4&lt;$C$16,0,$I$16)</f>
        <v>0</v>
      </c>
      <c r="G58" s="79" t="n">
        <f aca="false">IF(5&lt;$C$16,0,$I$16)</f>
        <v>0</v>
      </c>
      <c r="H58" s="79" t="n">
        <f aca="false">IF(6&lt;$C$16,0,$I$16)</f>
        <v>0</v>
      </c>
      <c r="I58" s="79" t="n">
        <f aca="false">IF(7&lt;$C$16,0,$I$16)</f>
        <v>0</v>
      </c>
      <c r="J58" s="79" t="n">
        <f aca="false">IF(8&lt;$C$16,0,$I$16)</f>
        <v>0</v>
      </c>
      <c r="K58" s="79" t="n">
        <f aca="false">IF(9&lt;$C$16,0,$I$16)</f>
        <v>0</v>
      </c>
      <c r="L58" s="79" t="n">
        <f aca="false">IF(10&lt;$C$16,0,$I$16)</f>
        <v>0</v>
      </c>
      <c r="M58" s="79" t="n">
        <f aca="false">IF(11&lt;$C$16,0,$I$16)</f>
        <v>0</v>
      </c>
      <c r="N58" s="79" t="n">
        <f aca="false">IF(12&lt;$C$16,0,$I$16)</f>
        <v>0</v>
      </c>
      <c r="O58" s="78" t="n">
        <f aca="false">AA58</f>
        <v>0</v>
      </c>
      <c r="P58" s="79" t="n">
        <f aca="false">IF(13&lt;$C$16,0,$J$16)</f>
        <v>0</v>
      </c>
      <c r="Q58" s="79" t="n">
        <f aca="false">IF(14&lt;$C$16,0,$J$16)</f>
        <v>0</v>
      </c>
      <c r="R58" s="79" t="n">
        <f aca="false">IF(15&lt;$C$16,0,$J$16)</f>
        <v>0</v>
      </c>
      <c r="S58" s="79" t="n">
        <f aca="false">IF(16&lt;$C$16,0,$J$16)</f>
        <v>0</v>
      </c>
      <c r="T58" s="79" t="n">
        <f aca="false">IF(17&lt;$C$16,0,$J$16)</f>
        <v>0</v>
      </c>
      <c r="U58" s="79" t="n">
        <f aca="false">IF(18&lt;$C$16,0,$J$16)</f>
        <v>0</v>
      </c>
      <c r="V58" s="79" t="n">
        <f aca="false">IF(19&lt;$C$16,0,$J$16)</f>
        <v>0</v>
      </c>
      <c r="W58" s="79" t="n">
        <f aca="false">IF(20&lt;$C$16,0,$J$16)</f>
        <v>0</v>
      </c>
      <c r="X58" s="79" t="n">
        <f aca="false">IF(21&lt;$C$16,0,$J$16)</f>
        <v>0</v>
      </c>
      <c r="Y58" s="79" t="n">
        <f aca="false">IF(22&lt;$C$16,0,$J$16)</f>
        <v>0</v>
      </c>
      <c r="Z58" s="79" t="n">
        <f aca="false">IF(23&lt;$C$16,0,$J$16)</f>
        <v>0</v>
      </c>
      <c r="AA58" s="79" t="n">
        <f aca="false">IF(24&lt;$C$16,0,$J$16)</f>
        <v>0</v>
      </c>
      <c r="AB58" s="78" t="n">
        <f aca="false">AN58</f>
        <v>0</v>
      </c>
      <c r="AC58" s="79" t="n">
        <f aca="false">IF(25&lt;$C$16,0,$K$16)</f>
        <v>0</v>
      </c>
      <c r="AD58" s="79" t="n">
        <f aca="false">IF(26&lt;$C$16,0,$K$16)</f>
        <v>0</v>
      </c>
      <c r="AE58" s="79" t="n">
        <f aca="false">IF(27&lt;$C$16,0,$K$16)</f>
        <v>0</v>
      </c>
      <c r="AF58" s="79" t="n">
        <f aca="false">IF(28&lt;$C$16,0,$K$16)</f>
        <v>0</v>
      </c>
      <c r="AG58" s="79" t="n">
        <f aca="false">IF(29&lt;$C$16,0,$K$16)</f>
        <v>0</v>
      </c>
      <c r="AH58" s="79" t="n">
        <f aca="false">IF(30&lt;$C$16,0,$K$16)</f>
        <v>0</v>
      </c>
      <c r="AI58" s="79" t="n">
        <f aca="false">IF(31&lt;$C$16,0,$K$16)</f>
        <v>0</v>
      </c>
      <c r="AJ58" s="79" t="n">
        <f aca="false">IF(32&lt;$C$16,0,$K$16)</f>
        <v>0</v>
      </c>
      <c r="AK58" s="79" t="n">
        <f aca="false">IF(33&lt;$C$16,0,$K$16)</f>
        <v>0</v>
      </c>
      <c r="AL58" s="79" t="n">
        <f aca="false">IF(34&lt;$C$16,0,$K$16)</f>
        <v>0</v>
      </c>
      <c r="AM58" s="79" t="n">
        <f aca="false">IF(35&lt;$C$16,0,$K$16)</f>
        <v>0</v>
      </c>
      <c r="AN58" s="79" t="n">
        <f aca="false">IF(36&lt;$C$16,0,$K$16)</f>
        <v>0</v>
      </c>
      <c r="AO58" s="78" t="n">
        <f aca="false">BA58</f>
        <v>0</v>
      </c>
      <c r="AP58" s="79" t="n">
        <f aca="false">IF(37&lt;$C$16,0,$L$16)</f>
        <v>0</v>
      </c>
      <c r="AQ58" s="79" t="n">
        <f aca="false">IF(38&lt;$C$16,0,$L$16)</f>
        <v>0</v>
      </c>
      <c r="AR58" s="79" t="n">
        <f aca="false">IF(39&lt;$C$16,0,$L$16)</f>
        <v>0</v>
      </c>
      <c r="AS58" s="79" t="n">
        <f aca="false">IF(40&lt;$C$16,0,$L$16)</f>
        <v>0</v>
      </c>
      <c r="AT58" s="79" t="n">
        <f aca="false">IF(41&lt;$C$16,0,$L$16)</f>
        <v>0</v>
      </c>
      <c r="AU58" s="79" t="n">
        <f aca="false">IF(42&lt;$C$16,0,$L$16)</f>
        <v>0</v>
      </c>
      <c r="AV58" s="79" t="n">
        <f aca="false">IF(43&lt;$C$16,0,$L$16)</f>
        <v>0</v>
      </c>
      <c r="AW58" s="79" t="n">
        <f aca="false">IF(44&lt;$C$16,0,$L$16)</f>
        <v>0</v>
      </c>
      <c r="AX58" s="79" t="n">
        <f aca="false">IF(45&lt;$C$16,0,$L$16)</f>
        <v>0</v>
      </c>
      <c r="AY58" s="79" t="n">
        <f aca="false">IF(46&lt;$C$16,0,$L$16)</f>
        <v>0</v>
      </c>
      <c r="AZ58" s="79" t="n">
        <f aca="false">IF(47&lt;$C$16,0,$L$16)</f>
        <v>0</v>
      </c>
      <c r="BA58" s="79" t="n">
        <f aca="false">IF(48&lt;$C$16,0,$L$16)</f>
        <v>0</v>
      </c>
      <c r="BB58" s="78" t="n">
        <f aca="false">BN58</f>
        <v>1</v>
      </c>
      <c r="BC58" s="79" t="n">
        <f aca="false">IF(49&lt;$C$16,0,$M$16)</f>
        <v>1</v>
      </c>
      <c r="BD58" s="79" t="n">
        <f aca="false">IF(50&lt;$C$16,0,$M$16)</f>
        <v>1</v>
      </c>
      <c r="BE58" s="79" t="n">
        <f aca="false">IF(51&lt;$C$16,0,$M$16)</f>
        <v>1</v>
      </c>
      <c r="BF58" s="79" t="n">
        <f aca="false">IF(52&lt;$C$16,0,$M$16)</f>
        <v>1</v>
      </c>
      <c r="BG58" s="79" t="n">
        <f aca="false">IF(53&lt;$C$16,0,$M$16)</f>
        <v>1</v>
      </c>
      <c r="BH58" s="79" t="n">
        <f aca="false">IF(54&lt;$C$16,0,$M$16)</f>
        <v>1</v>
      </c>
      <c r="BI58" s="79" t="n">
        <f aca="false">IF(55&lt;$C$16,0,$M$16)</f>
        <v>1</v>
      </c>
      <c r="BJ58" s="79" t="n">
        <f aca="false">IF(56&lt;$C$16,0,$M$16)</f>
        <v>1</v>
      </c>
      <c r="BK58" s="79" t="n">
        <f aca="false">IF(57&lt;$C$16,0,$M$16)</f>
        <v>1</v>
      </c>
      <c r="BL58" s="79" t="n">
        <f aca="false">IF(58&lt;$C$16,0,$M$16)</f>
        <v>1</v>
      </c>
      <c r="BM58" s="79" t="n">
        <f aca="false">IF(59&lt;$C$16,0,$M$16)</f>
        <v>1</v>
      </c>
      <c r="BN58" s="79" t="n">
        <f aca="false">IF(60&lt;$C$16,0,$M$16)</f>
        <v>1</v>
      </c>
    </row>
    <row r="59" customFormat="false" ht="15" hidden="false" customHeight="false" outlineLevel="0" collapsed="false">
      <c r="A59" s="12" t="s">
        <v>770</v>
      </c>
      <c r="B59" s="78" t="n">
        <f aca="false">N59</f>
        <v>0</v>
      </c>
      <c r="C59" s="79" t="n">
        <f aca="false">IF(1&lt;$C$17,0,$I$17)</f>
        <v>0</v>
      </c>
      <c r="D59" s="79" t="n">
        <f aca="false">IF(2&lt;$C$17,0,$I$17)</f>
        <v>0</v>
      </c>
      <c r="E59" s="79" t="n">
        <f aca="false">IF(3&lt;$C$17,0,$I$17)</f>
        <v>0</v>
      </c>
      <c r="F59" s="79" t="n">
        <f aca="false">IF(4&lt;$C$17,0,$I$17)</f>
        <v>0</v>
      </c>
      <c r="G59" s="79" t="n">
        <f aca="false">IF(5&lt;$C$17,0,$I$17)</f>
        <v>0</v>
      </c>
      <c r="H59" s="79" t="n">
        <f aca="false">IF(6&lt;$C$17,0,$I$17)</f>
        <v>0</v>
      </c>
      <c r="I59" s="79" t="n">
        <f aca="false">IF(7&lt;$C$17,0,$I$17)</f>
        <v>0</v>
      </c>
      <c r="J59" s="79" t="n">
        <f aca="false">IF(8&lt;$C$17,0,$I$17)</f>
        <v>0</v>
      </c>
      <c r="K59" s="79" t="n">
        <f aca="false">IF(9&lt;$C$17,0,$I$17)</f>
        <v>0</v>
      </c>
      <c r="L59" s="79" t="n">
        <f aca="false">IF(10&lt;$C$17,0,$I$17)</f>
        <v>0</v>
      </c>
      <c r="M59" s="79" t="n">
        <f aca="false">IF(11&lt;$C$17,0,$I$17)</f>
        <v>0</v>
      </c>
      <c r="N59" s="79" t="n">
        <f aca="false">IF(12&lt;$C$17,0,$I$17)</f>
        <v>0</v>
      </c>
      <c r="O59" s="78" t="n">
        <f aca="false">AA59</f>
        <v>1</v>
      </c>
      <c r="P59" s="79" t="n">
        <f aca="false">IF(13&lt;$C$17,0,$J$17)</f>
        <v>1</v>
      </c>
      <c r="Q59" s="79" t="n">
        <f aca="false">IF(14&lt;$C$17,0,$J$17)</f>
        <v>1</v>
      </c>
      <c r="R59" s="79" t="n">
        <f aca="false">IF(15&lt;$C$17,0,$J$17)</f>
        <v>1</v>
      </c>
      <c r="S59" s="79" t="n">
        <f aca="false">IF(16&lt;$C$17,0,$J$17)</f>
        <v>1</v>
      </c>
      <c r="T59" s="79" t="n">
        <f aca="false">IF(17&lt;$C$17,0,$J$17)</f>
        <v>1</v>
      </c>
      <c r="U59" s="79" t="n">
        <f aca="false">IF(18&lt;$C$17,0,$J$17)</f>
        <v>1</v>
      </c>
      <c r="V59" s="79" t="n">
        <f aca="false">IF(19&lt;$C$17,0,$J$17)</f>
        <v>1</v>
      </c>
      <c r="W59" s="79" t="n">
        <f aca="false">IF(20&lt;$C$17,0,$J$17)</f>
        <v>1</v>
      </c>
      <c r="X59" s="79" t="n">
        <f aca="false">IF(21&lt;$C$17,0,$J$17)</f>
        <v>1</v>
      </c>
      <c r="Y59" s="79" t="n">
        <f aca="false">IF(22&lt;$C$17,0,$J$17)</f>
        <v>1</v>
      </c>
      <c r="Z59" s="79" t="n">
        <f aca="false">IF(23&lt;$C$17,0,$J$17)</f>
        <v>1</v>
      </c>
      <c r="AA59" s="79" t="n">
        <f aca="false">IF(24&lt;$C$17,0,$J$17)</f>
        <v>1</v>
      </c>
      <c r="AB59" s="78" t="n">
        <f aca="false">AN59</f>
        <v>2</v>
      </c>
      <c r="AC59" s="79" t="n">
        <f aca="false">IF(25&lt;$C$17,0,$K$17)</f>
        <v>2</v>
      </c>
      <c r="AD59" s="79" t="n">
        <f aca="false">IF(26&lt;$C$17,0,$K$17)</f>
        <v>2</v>
      </c>
      <c r="AE59" s="79" t="n">
        <f aca="false">IF(27&lt;$C$17,0,$K$17)</f>
        <v>2</v>
      </c>
      <c r="AF59" s="79" t="n">
        <f aca="false">IF(28&lt;$C$17,0,$K$17)</f>
        <v>2</v>
      </c>
      <c r="AG59" s="79" t="n">
        <f aca="false">IF(29&lt;$C$17,0,$K$17)</f>
        <v>2</v>
      </c>
      <c r="AH59" s="79" t="n">
        <f aca="false">IF(30&lt;$C$17,0,$K$17)</f>
        <v>2</v>
      </c>
      <c r="AI59" s="79" t="n">
        <f aca="false">IF(31&lt;$C$17,0,$K$17)</f>
        <v>2</v>
      </c>
      <c r="AJ59" s="79" t="n">
        <f aca="false">IF(32&lt;$C$17,0,$K$17)</f>
        <v>2</v>
      </c>
      <c r="AK59" s="79" t="n">
        <f aca="false">IF(33&lt;$C$17,0,$K$17)</f>
        <v>2</v>
      </c>
      <c r="AL59" s="79" t="n">
        <f aca="false">IF(34&lt;$C$17,0,$K$17)</f>
        <v>2</v>
      </c>
      <c r="AM59" s="79" t="n">
        <f aca="false">IF(35&lt;$C$17,0,$K$17)</f>
        <v>2</v>
      </c>
      <c r="AN59" s="79" t="n">
        <f aca="false">IF(36&lt;$C$17,0,$K$17)</f>
        <v>2</v>
      </c>
      <c r="AO59" s="78" t="n">
        <f aca="false">BA59</f>
        <v>2</v>
      </c>
      <c r="AP59" s="79" t="n">
        <f aca="false">IF(37&lt;$C$17,0,$L$17)</f>
        <v>2</v>
      </c>
      <c r="AQ59" s="79" t="n">
        <f aca="false">IF(38&lt;$C$17,0,$L$17)</f>
        <v>2</v>
      </c>
      <c r="AR59" s="79" t="n">
        <f aca="false">IF(39&lt;$C$17,0,$L$17)</f>
        <v>2</v>
      </c>
      <c r="AS59" s="79" t="n">
        <f aca="false">IF(40&lt;$C$17,0,$L$17)</f>
        <v>2</v>
      </c>
      <c r="AT59" s="79" t="n">
        <f aca="false">IF(41&lt;$C$17,0,$L$17)</f>
        <v>2</v>
      </c>
      <c r="AU59" s="79" t="n">
        <f aca="false">IF(42&lt;$C$17,0,$L$17)</f>
        <v>2</v>
      </c>
      <c r="AV59" s="79" t="n">
        <f aca="false">IF(43&lt;$C$17,0,$L$17)</f>
        <v>2</v>
      </c>
      <c r="AW59" s="79" t="n">
        <f aca="false">IF(44&lt;$C$17,0,$L$17)</f>
        <v>2</v>
      </c>
      <c r="AX59" s="79" t="n">
        <f aca="false">IF(45&lt;$C$17,0,$L$17)</f>
        <v>2</v>
      </c>
      <c r="AY59" s="79" t="n">
        <f aca="false">IF(46&lt;$C$17,0,$L$17)</f>
        <v>2</v>
      </c>
      <c r="AZ59" s="79" t="n">
        <f aca="false">IF(47&lt;$C$17,0,$L$17)</f>
        <v>2</v>
      </c>
      <c r="BA59" s="79" t="n">
        <f aca="false">IF(48&lt;$C$17,0,$L$17)</f>
        <v>2</v>
      </c>
      <c r="BB59" s="78" t="n">
        <f aca="false">BN59</f>
        <v>2</v>
      </c>
      <c r="BC59" s="79" t="n">
        <f aca="false">IF(49&lt;$C$17,0,$M$17)</f>
        <v>2</v>
      </c>
      <c r="BD59" s="79" t="n">
        <f aca="false">IF(50&lt;$C$17,0,$M$17)</f>
        <v>2</v>
      </c>
      <c r="BE59" s="79" t="n">
        <f aca="false">IF(51&lt;$C$17,0,$M$17)</f>
        <v>2</v>
      </c>
      <c r="BF59" s="79" t="n">
        <f aca="false">IF(52&lt;$C$17,0,$M$17)</f>
        <v>2</v>
      </c>
      <c r="BG59" s="79" t="n">
        <f aca="false">IF(53&lt;$C$17,0,$M$17)</f>
        <v>2</v>
      </c>
      <c r="BH59" s="79" t="n">
        <f aca="false">IF(54&lt;$C$17,0,$M$17)</f>
        <v>2</v>
      </c>
      <c r="BI59" s="79" t="n">
        <f aca="false">IF(55&lt;$C$17,0,$M$17)</f>
        <v>2</v>
      </c>
      <c r="BJ59" s="79" t="n">
        <f aca="false">IF(56&lt;$C$17,0,$M$17)</f>
        <v>2</v>
      </c>
      <c r="BK59" s="79" t="n">
        <f aca="false">IF(57&lt;$C$17,0,$M$17)</f>
        <v>2</v>
      </c>
      <c r="BL59" s="79" t="n">
        <f aca="false">IF(58&lt;$C$17,0,$M$17)</f>
        <v>2</v>
      </c>
      <c r="BM59" s="79" t="n">
        <f aca="false">IF(59&lt;$C$17,0,$M$17)</f>
        <v>2</v>
      </c>
      <c r="BN59" s="79" t="n">
        <f aca="false">IF(60&lt;$C$17,0,$M$17)</f>
        <v>2</v>
      </c>
    </row>
    <row r="60" customFormat="false" ht="15" hidden="false" customHeight="false" outlineLevel="0" collapsed="false">
      <c r="A60" s="12" t="s">
        <v>771</v>
      </c>
      <c r="B60" s="78" t="n">
        <f aca="false">N60</f>
        <v>0</v>
      </c>
      <c r="C60" s="79" t="n">
        <f aca="false">IF(1&lt;$C$18,0,$I$18)</f>
        <v>0</v>
      </c>
      <c r="D60" s="79" t="n">
        <f aca="false">IF(2&lt;$C$18,0,$I$18)</f>
        <v>0</v>
      </c>
      <c r="E60" s="79" t="n">
        <f aca="false">IF(3&lt;$C$18,0,$I$18)</f>
        <v>0</v>
      </c>
      <c r="F60" s="79" t="n">
        <f aca="false">IF(4&lt;$C$18,0,$I$18)</f>
        <v>0</v>
      </c>
      <c r="G60" s="79" t="n">
        <f aca="false">IF(5&lt;$C$18,0,$I$18)</f>
        <v>0</v>
      </c>
      <c r="H60" s="79" t="n">
        <f aca="false">IF(6&lt;$C$18,0,$I$18)</f>
        <v>0</v>
      </c>
      <c r="I60" s="79" t="n">
        <f aca="false">IF(7&lt;$C$18,0,$I$18)</f>
        <v>0</v>
      </c>
      <c r="J60" s="79" t="n">
        <f aca="false">IF(8&lt;$C$18,0,$I$18)</f>
        <v>0</v>
      </c>
      <c r="K60" s="79" t="n">
        <f aca="false">IF(9&lt;$C$18,0,$I$18)</f>
        <v>0</v>
      </c>
      <c r="L60" s="79" t="n">
        <f aca="false">IF(10&lt;$C$18,0,$I$18)</f>
        <v>0</v>
      </c>
      <c r="M60" s="79" t="n">
        <f aca="false">IF(11&lt;$C$18,0,$I$18)</f>
        <v>0</v>
      </c>
      <c r="N60" s="79" t="n">
        <f aca="false">IF(12&lt;$C$18,0,$I$18)</f>
        <v>0</v>
      </c>
      <c r="O60" s="78" t="n">
        <f aca="false">AA60</f>
        <v>0</v>
      </c>
      <c r="P60" s="79" t="n">
        <f aca="false">IF(13&lt;$C$18,0,$J$18)</f>
        <v>0</v>
      </c>
      <c r="Q60" s="79" t="n">
        <f aca="false">IF(14&lt;$C$18,0,$J$18)</f>
        <v>0</v>
      </c>
      <c r="R60" s="79" t="n">
        <f aca="false">IF(15&lt;$C$18,0,$J$18)</f>
        <v>0</v>
      </c>
      <c r="S60" s="79" t="n">
        <f aca="false">IF(16&lt;$C$18,0,$J$18)</f>
        <v>0</v>
      </c>
      <c r="T60" s="79" t="n">
        <f aca="false">IF(17&lt;$C$18,0,$J$18)</f>
        <v>0</v>
      </c>
      <c r="U60" s="79" t="n">
        <f aca="false">IF(18&lt;$C$18,0,$J$18)</f>
        <v>0</v>
      </c>
      <c r="V60" s="79" t="n">
        <f aca="false">IF(19&lt;$C$18,0,$J$18)</f>
        <v>0</v>
      </c>
      <c r="W60" s="79" t="n">
        <f aca="false">IF(20&lt;$C$18,0,$J$18)</f>
        <v>0</v>
      </c>
      <c r="X60" s="79" t="n">
        <f aca="false">IF(21&lt;$C$18,0,$J$18)</f>
        <v>0</v>
      </c>
      <c r="Y60" s="79" t="n">
        <f aca="false">IF(22&lt;$C$18,0,$J$18)</f>
        <v>0</v>
      </c>
      <c r="Z60" s="79" t="n">
        <f aca="false">IF(23&lt;$C$18,0,$J$18)</f>
        <v>0</v>
      </c>
      <c r="AA60" s="79" t="n">
        <f aca="false">IF(24&lt;$C$18,0,$J$18)</f>
        <v>0</v>
      </c>
      <c r="AB60" s="78" t="n">
        <f aca="false">AN60</f>
        <v>0</v>
      </c>
      <c r="AC60" s="79" t="n">
        <f aca="false">IF(25&lt;$C$18,0,$K$18)</f>
        <v>0</v>
      </c>
      <c r="AD60" s="79" t="n">
        <f aca="false">IF(26&lt;$C$18,0,$K$18)</f>
        <v>0</v>
      </c>
      <c r="AE60" s="79" t="n">
        <f aca="false">IF(27&lt;$C$18,0,$K$18)</f>
        <v>0</v>
      </c>
      <c r="AF60" s="79" t="n">
        <f aca="false">IF(28&lt;$C$18,0,$K$18)</f>
        <v>0</v>
      </c>
      <c r="AG60" s="79" t="n">
        <f aca="false">IF(29&lt;$C$18,0,$K$18)</f>
        <v>0</v>
      </c>
      <c r="AH60" s="79" t="n">
        <f aca="false">IF(30&lt;$C$18,0,$K$18)</f>
        <v>0</v>
      </c>
      <c r="AI60" s="79" t="n">
        <f aca="false">IF(31&lt;$C$18,0,$K$18)</f>
        <v>0</v>
      </c>
      <c r="AJ60" s="79" t="n">
        <f aca="false">IF(32&lt;$C$18,0,$K$18)</f>
        <v>0</v>
      </c>
      <c r="AK60" s="79" t="n">
        <f aca="false">IF(33&lt;$C$18,0,$K$18)</f>
        <v>0</v>
      </c>
      <c r="AL60" s="79" t="n">
        <f aca="false">IF(34&lt;$C$18,0,$K$18)</f>
        <v>0</v>
      </c>
      <c r="AM60" s="79" t="n">
        <f aca="false">IF(35&lt;$C$18,0,$K$18)</f>
        <v>0</v>
      </c>
      <c r="AN60" s="79" t="n">
        <f aca="false">IF(36&lt;$C$18,0,$K$18)</f>
        <v>0</v>
      </c>
      <c r="AO60" s="78" t="n">
        <f aca="false">BA60</f>
        <v>1</v>
      </c>
      <c r="AP60" s="79" t="n">
        <f aca="false">IF(37&lt;$C$18,0,$L$18)</f>
        <v>1</v>
      </c>
      <c r="AQ60" s="79" t="n">
        <f aca="false">IF(38&lt;$C$18,0,$L$18)</f>
        <v>1</v>
      </c>
      <c r="AR60" s="79" t="n">
        <f aca="false">IF(39&lt;$C$18,0,$L$18)</f>
        <v>1</v>
      </c>
      <c r="AS60" s="79" t="n">
        <f aca="false">IF(40&lt;$C$18,0,$L$18)</f>
        <v>1</v>
      </c>
      <c r="AT60" s="79" t="n">
        <f aca="false">IF(41&lt;$C$18,0,$L$18)</f>
        <v>1</v>
      </c>
      <c r="AU60" s="79" t="n">
        <f aca="false">IF(42&lt;$C$18,0,$L$18)</f>
        <v>1</v>
      </c>
      <c r="AV60" s="79" t="n">
        <f aca="false">IF(43&lt;$C$18,0,$L$18)</f>
        <v>1</v>
      </c>
      <c r="AW60" s="79" t="n">
        <f aca="false">IF(44&lt;$C$18,0,$L$18)</f>
        <v>1</v>
      </c>
      <c r="AX60" s="79" t="n">
        <f aca="false">IF(45&lt;$C$18,0,$L$18)</f>
        <v>1</v>
      </c>
      <c r="AY60" s="79" t="n">
        <f aca="false">IF(46&lt;$C$18,0,$L$18)</f>
        <v>1</v>
      </c>
      <c r="AZ60" s="79" t="n">
        <f aca="false">IF(47&lt;$C$18,0,$L$18)</f>
        <v>1</v>
      </c>
      <c r="BA60" s="79" t="n">
        <f aca="false">IF(48&lt;$C$18,0,$L$18)</f>
        <v>1</v>
      </c>
      <c r="BB60" s="78" t="n">
        <f aca="false">BN60</f>
        <v>1</v>
      </c>
      <c r="BC60" s="79" t="n">
        <f aca="false">IF(49&lt;$C$18,0,$M$18)</f>
        <v>1</v>
      </c>
      <c r="BD60" s="79" t="n">
        <f aca="false">IF(50&lt;$C$18,0,$M$18)</f>
        <v>1</v>
      </c>
      <c r="BE60" s="79" t="n">
        <f aca="false">IF(51&lt;$C$18,0,$M$18)</f>
        <v>1</v>
      </c>
      <c r="BF60" s="79" t="n">
        <f aca="false">IF(52&lt;$C$18,0,$M$18)</f>
        <v>1</v>
      </c>
      <c r="BG60" s="79" t="n">
        <f aca="false">IF(53&lt;$C$18,0,$M$18)</f>
        <v>1</v>
      </c>
      <c r="BH60" s="79" t="n">
        <f aca="false">IF(54&lt;$C$18,0,$M$18)</f>
        <v>1</v>
      </c>
      <c r="BI60" s="79" t="n">
        <f aca="false">IF(55&lt;$C$18,0,$M$18)</f>
        <v>1</v>
      </c>
      <c r="BJ60" s="79" t="n">
        <f aca="false">IF(56&lt;$C$18,0,$M$18)</f>
        <v>1</v>
      </c>
      <c r="BK60" s="79" t="n">
        <f aca="false">IF(57&lt;$C$18,0,$M$18)</f>
        <v>1</v>
      </c>
      <c r="BL60" s="79" t="n">
        <f aca="false">IF(58&lt;$C$18,0,$M$18)</f>
        <v>1</v>
      </c>
      <c r="BM60" s="79" t="n">
        <f aca="false">IF(59&lt;$C$18,0,$M$18)</f>
        <v>1</v>
      </c>
      <c r="BN60" s="79" t="n">
        <f aca="false">IF(60&lt;$C$18,0,$M$18)</f>
        <v>1</v>
      </c>
    </row>
    <row r="61" customFormat="false" ht="15" hidden="false" customHeight="false" outlineLevel="0" collapsed="false">
      <c r="A61" s="12" t="s">
        <v>772</v>
      </c>
      <c r="B61" s="78" t="n">
        <f aca="false">N61</f>
        <v>0</v>
      </c>
      <c r="C61" s="79" t="n">
        <f aca="false">IF(1&lt;$C$19,0,$I$19)</f>
        <v>0</v>
      </c>
      <c r="D61" s="79" t="n">
        <f aca="false">IF(2&lt;$C$19,0,$I$19)</f>
        <v>0</v>
      </c>
      <c r="E61" s="79" t="n">
        <f aca="false">IF(3&lt;$C$19,0,$I$19)</f>
        <v>0</v>
      </c>
      <c r="F61" s="79" t="n">
        <f aca="false">IF(4&lt;$C$19,0,$I$19)</f>
        <v>0</v>
      </c>
      <c r="G61" s="79" t="n">
        <f aca="false">IF(5&lt;$C$19,0,$I$19)</f>
        <v>0</v>
      </c>
      <c r="H61" s="79" t="n">
        <f aca="false">IF(6&lt;$C$19,0,$I$19)</f>
        <v>0</v>
      </c>
      <c r="I61" s="79" t="n">
        <f aca="false">IF(7&lt;$C$19,0,$I$19)</f>
        <v>0</v>
      </c>
      <c r="J61" s="79" t="n">
        <f aca="false">IF(8&lt;$C$19,0,$I$19)</f>
        <v>0</v>
      </c>
      <c r="K61" s="79" t="n">
        <f aca="false">IF(9&lt;$C$19,0,$I$19)</f>
        <v>0</v>
      </c>
      <c r="L61" s="79" t="n">
        <f aca="false">IF(10&lt;$C$19,0,$I$19)</f>
        <v>0</v>
      </c>
      <c r="M61" s="79" t="n">
        <f aca="false">IF(11&lt;$C$19,0,$I$19)</f>
        <v>0</v>
      </c>
      <c r="N61" s="79" t="n">
        <f aca="false">IF(12&lt;$C$19,0,$I$19)</f>
        <v>0</v>
      </c>
      <c r="O61" s="78" t="n">
        <f aca="false">AA61</f>
        <v>1</v>
      </c>
      <c r="P61" s="79" t="n">
        <f aca="false">IF(13&lt;$C$19,0,$J$19)</f>
        <v>1</v>
      </c>
      <c r="Q61" s="79" t="n">
        <f aca="false">IF(14&lt;$C$19,0,$J$19)</f>
        <v>1</v>
      </c>
      <c r="R61" s="79" t="n">
        <f aca="false">IF(15&lt;$C$19,0,$J$19)</f>
        <v>1</v>
      </c>
      <c r="S61" s="79" t="n">
        <f aca="false">IF(16&lt;$C$19,0,$J$19)</f>
        <v>1</v>
      </c>
      <c r="T61" s="79" t="n">
        <f aca="false">IF(17&lt;$C$19,0,$J$19)</f>
        <v>1</v>
      </c>
      <c r="U61" s="79" t="n">
        <f aca="false">IF(18&lt;$C$19,0,$J$19)</f>
        <v>1</v>
      </c>
      <c r="V61" s="79" t="n">
        <f aca="false">IF(19&lt;$C$19,0,$J$19)</f>
        <v>1</v>
      </c>
      <c r="W61" s="79" t="n">
        <f aca="false">IF(20&lt;$C$19,0,$J$19)</f>
        <v>1</v>
      </c>
      <c r="X61" s="79" t="n">
        <f aca="false">IF(21&lt;$C$19,0,$J$19)</f>
        <v>1</v>
      </c>
      <c r="Y61" s="79" t="n">
        <f aca="false">IF(22&lt;$C$19,0,$J$19)</f>
        <v>1</v>
      </c>
      <c r="Z61" s="79" t="n">
        <f aca="false">IF(23&lt;$C$19,0,$J$19)</f>
        <v>1</v>
      </c>
      <c r="AA61" s="79" t="n">
        <f aca="false">IF(24&lt;$C$19,0,$J$19)</f>
        <v>1</v>
      </c>
      <c r="AB61" s="78" t="n">
        <f aca="false">AN61</f>
        <v>1</v>
      </c>
      <c r="AC61" s="79" t="n">
        <f aca="false">IF(25&lt;$C$19,0,$K$19)</f>
        <v>1</v>
      </c>
      <c r="AD61" s="79" t="n">
        <f aca="false">IF(26&lt;$C$19,0,$K$19)</f>
        <v>1</v>
      </c>
      <c r="AE61" s="79" t="n">
        <f aca="false">IF(27&lt;$C$19,0,$K$19)</f>
        <v>1</v>
      </c>
      <c r="AF61" s="79" t="n">
        <f aca="false">IF(28&lt;$C$19,0,$K$19)</f>
        <v>1</v>
      </c>
      <c r="AG61" s="79" t="n">
        <f aca="false">IF(29&lt;$C$19,0,$K$19)</f>
        <v>1</v>
      </c>
      <c r="AH61" s="79" t="n">
        <f aca="false">IF(30&lt;$C$19,0,$K$19)</f>
        <v>1</v>
      </c>
      <c r="AI61" s="79" t="n">
        <f aca="false">IF(31&lt;$C$19,0,$K$19)</f>
        <v>1</v>
      </c>
      <c r="AJ61" s="79" t="n">
        <f aca="false">IF(32&lt;$C$19,0,$K$19)</f>
        <v>1</v>
      </c>
      <c r="AK61" s="79" t="n">
        <f aca="false">IF(33&lt;$C$19,0,$K$19)</f>
        <v>1</v>
      </c>
      <c r="AL61" s="79" t="n">
        <f aca="false">IF(34&lt;$C$19,0,$K$19)</f>
        <v>1</v>
      </c>
      <c r="AM61" s="79" t="n">
        <f aca="false">IF(35&lt;$C$19,0,$K$19)</f>
        <v>1</v>
      </c>
      <c r="AN61" s="79" t="n">
        <f aca="false">IF(36&lt;$C$19,0,$K$19)</f>
        <v>1</v>
      </c>
      <c r="AO61" s="78" t="n">
        <f aca="false">BA61</f>
        <v>1</v>
      </c>
      <c r="AP61" s="79" t="n">
        <f aca="false">IF(37&lt;$C$19,0,$L$19)</f>
        <v>1</v>
      </c>
      <c r="AQ61" s="79" t="n">
        <f aca="false">IF(38&lt;$C$19,0,$L$19)</f>
        <v>1</v>
      </c>
      <c r="AR61" s="79" t="n">
        <f aca="false">IF(39&lt;$C$19,0,$L$19)</f>
        <v>1</v>
      </c>
      <c r="AS61" s="79" t="n">
        <f aca="false">IF(40&lt;$C$19,0,$L$19)</f>
        <v>1</v>
      </c>
      <c r="AT61" s="79" t="n">
        <f aca="false">IF(41&lt;$C$19,0,$L$19)</f>
        <v>1</v>
      </c>
      <c r="AU61" s="79" t="n">
        <f aca="false">IF(42&lt;$C$19,0,$L$19)</f>
        <v>1</v>
      </c>
      <c r="AV61" s="79" t="n">
        <f aca="false">IF(43&lt;$C$19,0,$L$19)</f>
        <v>1</v>
      </c>
      <c r="AW61" s="79" t="n">
        <f aca="false">IF(44&lt;$C$19,0,$L$19)</f>
        <v>1</v>
      </c>
      <c r="AX61" s="79" t="n">
        <f aca="false">IF(45&lt;$C$19,0,$L$19)</f>
        <v>1</v>
      </c>
      <c r="AY61" s="79" t="n">
        <f aca="false">IF(46&lt;$C$19,0,$L$19)</f>
        <v>1</v>
      </c>
      <c r="AZ61" s="79" t="n">
        <f aca="false">IF(47&lt;$C$19,0,$L$19)</f>
        <v>1</v>
      </c>
      <c r="BA61" s="79" t="n">
        <f aca="false">IF(48&lt;$C$19,0,$L$19)</f>
        <v>1</v>
      </c>
      <c r="BB61" s="78" t="n">
        <f aca="false">BN61</f>
        <v>1</v>
      </c>
      <c r="BC61" s="79" t="n">
        <f aca="false">IF(49&lt;$C$19,0,$M$19)</f>
        <v>1</v>
      </c>
      <c r="BD61" s="79" t="n">
        <f aca="false">IF(50&lt;$C$19,0,$M$19)</f>
        <v>1</v>
      </c>
      <c r="BE61" s="79" t="n">
        <f aca="false">IF(51&lt;$C$19,0,$M$19)</f>
        <v>1</v>
      </c>
      <c r="BF61" s="79" t="n">
        <f aca="false">IF(52&lt;$C$19,0,$M$19)</f>
        <v>1</v>
      </c>
      <c r="BG61" s="79" t="n">
        <f aca="false">IF(53&lt;$C$19,0,$M$19)</f>
        <v>1</v>
      </c>
      <c r="BH61" s="79" t="n">
        <f aca="false">IF(54&lt;$C$19,0,$M$19)</f>
        <v>1</v>
      </c>
      <c r="BI61" s="79" t="n">
        <f aca="false">IF(55&lt;$C$19,0,$M$19)</f>
        <v>1</v>
      </c>
      <c r="BJ61" s="79" t="n">
        <f aca="false">IF(56&lt;$C$19,0,$M$19)</f>
        <v>1</v>
      </c>
      <c r="BK61" s="79" t="n">
        <f aca="false">IF(57&lt;$C$19,0,$M$19)</f>
        <v>1</v>
      </c>
      <c r="BL61" s="79" t="n">
        <f aca="false">IF(58&lt;$C$19,0,$M$19)</f>
        <v>1</v>
      </c>
      <c r="BM61" s="79" t="n">
        <f aca="false">IF(59&lt;$C$19,0,$M$19)</f>
        <v>1</v>
      </c>
      <c r="BN61" s="79" t="n">
        <f aca="false">IF(60&lt;$C$19,0,$M$19)</f>
        <v>1</v>
      </c>
    </row>
    <row r="62" customFormat="false" ht="15" hidden="false" customHeight="false" outlineLevel="0" collapsed="false">
      <c r="A62" s="12" t="s">
        <v>773</v>
      </c>
      <c r="B62" s="78" t="n">
        <f aca="false">N62</f>
        <v>0</v>
      </c>
      <c r="C62" s="79" t="n">
        <f aca="false">IF(1&lt;$C$20,0,$I$20)</f>
        <v>0</v>
      </c>
      <c r="D62" s="79" t="n">
        <f aca="false">IF(2&lt;$C$20,0,$I$20)</f>
        <v>0</v>
      </c>
      <c r="E62" s="79" t="n">
        <f aca="false">IF(3&lt;$C$20,0,$I$20)</f>
        <v>0</v>
      </c>
      <c r="F62" s="79" t="n">
        <f aca="false">IF(4&lt;$C$20,0,$I$20)</f>
        <v>0</v>
      </c>
      <c r="G62" s="79" t="n">
        <f aca="false">IF(5&lt;$C$20,0,$I$20)</f>
        <v>0</v>
      </c>
      <c r="H62" s="79" t="n">
        <f aca="false">IF(6&lt;$C$20,0,$I$20)</f>
        <v>0</v>
      </c>
      <c r="I62" s="79" t="n">
        <f aca="false">IF(7&lt;$C$20,0,$I$20)</f>
        <v>0</v>
      </c>
      <c r="J62" s="79" t="n">
        <f aca="false">IF(8&lt;$C$20,0,$I$20)</f>
        <v>0</v>
      </c>
      <c r="K62" s="79" t="n">
        <f aca="false">IF(9&lt;$C$20,0,$I$20)</f>
        <v>0</v>
      </c>
      <c r="L62" s="79" t="n">
        <f aca="false">IF(10&lt;$C$20,0,$I$20)</f>
        <v>0</v>
      </c>
      <c r="M62" s="79" t="n">
        <f aca="false">IF(11&lt;$C$20,0,$I$20)</f>
        <v>0</v>
      </c>
      <c r="N62" s="79" t="n">
        <f aca="false">IF(12&lt;$C$20,0,$I$20)</f>
        <v>0</v>
      </c>
      <c r="O62" s="78" t="n">
        <f aca="false">AA62</f>
        <v>0</v>
      </c>
      <c r="P62" s="79" t="n">
        <f aca="false">IF(13&lt;$C$20,0,$J$20)</f>
        <v>0</v>
      </c>
      <c r="Q62" s="79" t="n">
        <f aca="false">IF(14&lt;$C$20,0,$J$20)</f>
        <v>0</v>
      </c>
      <c r="R62" s="79" t="n">
        <f aca="false">IF(15&lt;$C$20,0,$J$20)</f>
        <v>0</v>
      </c>
      <c r="S62" s="79" t="n">
        <f aca="false">IF(16&lt;$C$20,0,$J$20)</f>
        <v>0</v>
      </c>
      <c r="T62" s="79" t="n">
        <f aca="false">IF(17&lt;$C$20,0,$J$20)</f>
        <v>0</v>
      </c>
      <c r="U62" s="79" t="n">
        <f aca="false">IF(18&lt;$C$20,0,$J$20)</f>
        <v>0</v>
      </c>
      <c r="V62" s="79" t="n">
        <f aca="false">IF(19&lt;$C$20,0,$J$20)</f>
        <v>0</v>
      </c>
      <c r="W62" s="79" t="n">
        <f aca="false">IF(20&lt;$C$20,0,$J$20)</f>
        <v>0</v>
      </c>
      <c r="X62" s="79" t="n">
        <f aca="false">IF(21&lt;$C$20,0,$J$20)</f>
        <v>0</v>
      </c>
      <c r="Y62" s="79" t="n">
        <f aca="false">IF(22&lt;$C$20,0,$J$20)</f>
        <v>0</v>
      </c>
      <c r="Z62" s="79" t="n">
        <f aca="false">IF(23&lt;$C$20,0,$J$20)</f>
        <v>0</v>
      </c>
      <c r="AA62" s="79" t="n">
        <f aca="false">IF(24&lt;$C$20,0,$J$20)</f>
        <v>0</v>
      </c>
      <c r="AB62" s="78" t="n">
        <f aca="false">AN62</f>
        <v>1</v>
      </c>
      <c r="AC62" s="79" t="n">
        <f aca="false">IF(25&lt;$C$20,0,$K$20)</f>
        <v>1</v>
      </c>
      <c r="AD62" s="79" t="n">
        <f aca="false">IF(26&lt;$C$20,0,$K$20)</f>
        <v>1</v>
      </c>
      <c r="AE62" s="79" t="n">
        <f aca="false">IF(27&lt;$C$20,0,$K$20)</f>
        <v>1</v>
      </c>
      <c r="AF62" s="79" t="n">
        <f aca="false">IF(28&lt;$C$20,0,$K$20)</f>
        <v>1</v>
      </c>
      <c r="AG62" s="79" t="n">
        <f aca="false">IF(29&lt;$C$20,0,$K$20)</f>
        <v>1</v>
      </c>
      <c r="AH62" s="79" t="n">
        <f aca="false">IF(30&lt;$C$20,0,$K$20)</f>
        <v>1</v>
      </c>
      <c r="AI62" s="79" t="n">
        <f aca="false">IF(31&lt;$C$20,0,$K$20)</f>
        <v>1</v>
      </c>
      <c r="AJ62" s="79" t="n">
        <f aca="false">IF(32&lt;$C$20,0,$K$20)</f>
        <v>1</v>
      </c>
      <c r="AK62" s="79" t="n">
        <f aca="false">IF(33&lt;$C$20,0,$K$20)</f>
        <v>1</v>
      </c>
      <c r="AL62" s="79" t="n">
        <f aca="false">IF(34&lt;$C$20,0,$K$20)</f>
        <v>1</v>
      </c>
      <c r="AM62" s="79" t="n">
        <f aca="false">IF(35&lt;$C$20,0,$K$20)</f>
        <v>1</v>
      </c>
      <c r="AN62" s="79" t="n">
        <f aca="false">IF(36&lt;$C$20,0,$K$20)</f>
        <v>1</v>
      </c>
      <c r="AO62" s="78" t="n">
        <f aca="false">BA62</f>
        <v>1</v>
      </c>
      <c r="AP62" s="79" t="n">
        <f aca="false">IF(37&lt;$C$20,0,$L$20)</f>
        <v>1</v>
      </c>
      <c r="AQ62" s="79" t="n">
        <f aca="false">IF(38&lt;$C$20,0,$L$20)</f>
        <v>1</v>
      </c>
      <c r="AR62" s="79" t="n">
        <f aca="false">IF(39&lt;$C$20,0,$L$20)</f>
        <v>1</v>
      </c>
      <c r="AS62" s="79" t="n">
        <f aca="false">IF(40&lt;$C$20,0,$L$20)</f>
        <v>1</v>
      </c>
      <c r="AT62" s="79" t="n">
        <f aca="false">IF(41&lt;$C$20,0,$L$20)</f>
        <v>1</v>
      </c>
      <c r="AU62" s="79" t="n">
        <f aca="false">IF(42&lt;$C$20,0,$L$20)</f>
        <v>1</v>
      </c>
      <c r="AV62" s="79" t="n">
        <f aca="false">IF(43&lt;$C$20,0,$L$20)</f>
        <v>1</v>
      </c>
      <c r="AW62" s="79" t="n">
        <f aca="false">IF(44&lt;$C$20,0,$L$20)</f>
        <v>1</v>
      </c>
      <c r="AX62" s="79" t="n">
        <f aca="false">IF(45&lt;$C$20,0,$L$20)</f>
        <v>1</v>
      </c>
      <c r="AY62" s="79" t="n">
        <f aca="false">IF(46&lt;$C$20,0,$L$20)</f>
        <v>1</v>
      </c>
      <c r="AZ62" s="79" t="n">
        <f aca="false">IF(47&lt;$C$20,0,$L$20)</f>
        <v>1</v>
      </c>
      <c r="BA62" s="79" t="n">
        <f aca="false">IF(48&lt;$C$20,0,$L$20)</f>
        <v>1</v>
      </c>
      <c r="BB62" s="78" t="n">
        <f aca="false">BN62</f>
        <v>1</v>
      </c>
      <c r="BC62" s="79" t="n">
        <f aca="false">IF(49&lt;$C$20,0,$M$20)</f>
        <v>1</v>
      </c>
      <c r="BD62" s="79" t="n">
        <f aca="false">IF(50&lt;$C$20,0,$M$20)</f>
        <v>1</v>
      </c>
      <c r="BE62" s="79" t="n">
        <f aca="false">IF(51&lt;$C$20,0,$M$20)</f>
        <v>1</v>
      </c>
      <c r="BF62" s="79" t="n">
        <f aca="false">IF(52&lt;$C$20,0,$M$20)</f>
        <v>1</v>
      </c>
      <c r="BG62" s="79" t="n">
        <f aca="false">IF(53&lt;$C$20,0,$M$20)</f>
        <v>1</v>
      </c>
      <c r="BH62" s="79" t="n">
        <f aca="false">IF(54&lt;$C$20,0,$M$20)</f>
        <v>1</v>
      </c>
      <c r="BI62" s="79" t="n">
        <f aca="false">IF(55&lt;$C$20,0,$M$20)</f>
        <v>1</v>
      </c>
      <c r="BJ62" s="79" t="n">
        <f aca="false">IF(56&lt;$C$20,0,$M$20)</f>
        <v>1</v>
      </c>
      <c r="BK62" s="79" t="n">
        <f aca="false">IF(57&lt;$C$20,0,$M$20)</f>
        <v>1</v>
      </c>
      <c r="BL62" s="79" t="n">
        <f aca="false">IF(58&lt;$C$20,0,$M$20)</f>
        <v>1</v>
      </c>
      <c r="BM62" s="79" t="n">
        <f aca="false">IF(59&lt;$C$20,0,$M$20)</f>
        <v>1</v>
      </c>
      <c r="BN62" s="79" t="n">
        <f aca="false">IF(60&lt;$C$20,0,$M$20)</f>
        <v>1</v>
      </c>
    </row>
    <row r="63" customFormat="false" ht="15" hidden="false" customHeight="false" outlineLevel="0" collapsed="false">
      <c r="A63" s="12" t="s">
        <v>774</v>
      </c>
      <c r="B63" s="78" t="n">
        <f aca="false">N63</f>
        <v>0</v>
      </c>
      <c r="C63" s="79" t="n">
        <f aca="false">IF(1&lt;$C$21,0,$I$21)</f>
        <v>0</v>
      </c>
      <c r="D63" s="79" t="n">
        <f aca="false">IF(2&lt;$C$21,0,$I$21)</f>
        <v>0</v>
      </c>
      <c r="E63" s="79" t="n">
        <f aca="false">IF(3&lt;$C$21,0,$I$21)</f>
        <v>0</v>
      </c>
      <c r="F63" s="79" t="n">
        <f aca="false">IF(4&lt;$C$21,0,$I$21)</f>
        <v>0</v>
      </c>
      <c r="G63" s="79" t="n">
        <f aca="false">IF(5&lt;$C$21,0,$I$21)</f>
        <v>0</v>
      </c>
      <c r="H63" s="79" t="n">
        <f aca="false">IF(6&lt;$C$21,0,$I$21)</f>
        <v>0</v>
      </c>
      <c r="I63" s="79" t="n">
        <f aca="false">IF(7&lt;$C$21,0,$I$21)</f>
        <v>0</v>
      </c>
      <c r="J63" s="79" t="n">
        <f aca="false">IF(8&lt;$C$21,0,$I$21)</f>
        <v>0</v>
      </c>
      <c r="K63" s="79" t="n">
        <f aca="false">IF(9&lt;$C$21,0,$I$21)</f>
        <v>0</v>
      </c>
      <c r="L63" s="79" t="n">
        <f aca="false">IF(10&lt;$C$21,0,$I$21)</f>
        <v>0</v>
      </c>
      <c r="M63" s="79" t="n">
        <f aca="false">IF(11&lt;$C$21,0,$I$21)</f>
        <v>0</v>
      </c>
      <c r="N63" s="79" t="n">
        <f aca="false">IF(12&lt;$C$21,0,$I$21)</f>
        <v>0</v>
      </c>
      <c r="O63" s="78" t="n">
        <f aca="false">AA63</f>
        <v>0</v>
      </c>
      <c r="P63" s="79" t="n">
        <f aca="false">IF(13&lt;$C$21,0,$J$21)</f>
        <v>0</v>
      </c>
      <c r="Q63" s="79" t="n">
        <f aca="false">IF(14&lt;$C$21,0,$J$21)</f>
        <v>0</v>
      </c>
      <c r="R63" s="79" t="n">
        <f aca="false">IF(15&lt;$C$21,0,$J$21)</f>
        <v>0</v>
      </c>
      <c r="S63" s="79" t="n">
        <f aca="false">IF(16&lt;$C$21,0,$J$21)</f>
        <v>0</v>
      </c>
      <c r="T63" s="79" t="n">
        <f aca="false">IF(17&lt;$C$21,0,$J$21)</f>
        <v>0</v>
      </c>
      <c r="U63" s="79" t="n">
        <f aca="false">IF(18&lt;$C$21,0,$J$21)</f>
        <v>0</v>
      </c>
      <c r="V63" s="79" t="n">
        <f aca="false">IF(19&lt;$C$21,0,$J$21)</f>
        <v>0</v>
      </c>
      <c r="W63" s="79" t="n">
        <f aca="false">IF(20&lt;$C$21,0,$J$21)</f>
        <v>0</v>
      </c>
      <c r="X63" s="79" t="n">
        <f aca="false">IF(21&lt;$C$21,0,$J$21)</f>
        <v>0</v>
      </c>
      <c r="Y63" s="79" t="n">
        <f aca="false">IF(22&lt;$C$21,0,$J$21)</f>
        <v>0</v>
      </c>
      <c r="Z63" s="79" t="n">
        <f aca="false">IF(23&lt;$C$21,0,$J$21)</f>
        <v>0</v>
      </c>
      <c r="AA63" s="79" t="n">
        <f aca="false">IF(24&lt;$C$21,0,$J$21)</f>
        <v>0</v>
      </c>
      <c r="AB63" s="78" t="n">
        <f aca="false">AN63</f>
        <v>0</v>
      </c>
      <c r="AC63" s="79" t="n">
        <f aca="false">IF(25&lt;$C$21,0,$K$21)</f>
        <v>0</v>
      </c>
      <c r="AD63" s="79" t="n">
        <f aca="false">IF(26&lt;$C$21,0,$K$21)</f>
        <v>0</v>
      </c>
      <c r="AE63" s="79" t="n">
        <f aca="false">IF(27&lt;$C$21,0,$K$21)</f>
        <v>0</v>
      </c>
      <c r="AF63" s="79" t="n">
        <f aca="false">IF(28&lt;$C$21,0,$K$21)</f>
        <v>0</v>
      </c>
      <c r="AG63" s="79" t="n">
        <f aca="false">IF(29&lt;$C$21,0,$K$21)</f>
        <v>0</v>
      </c>
      <c r="AH63" s="79" t="n">
        <f aca="false">IF(30&lt;$C$21,0,$K$21)</f>
        <v>0</v>
      </c>
      <c r="AI63" s="79" t="n">
        <f aca="false">IF(31&lt;$C$21,0,$K$21)</f>
        <v>0</v>
      </c>
      <c r="AJ63" s="79" t="n">
        <f aca="false">IF(32&lt;$C$21,0,$K$21)</f>
        <v>0</v>
      </c>
      <c r="AK63" s="79" t="n">
        <f aca="false">IF(33&lt;$C$21,0,$K$21)</f>
        <v>0</v>
      </c>
      <c r="AL63" s="79" t="n">
        <f aca="false">IF(34&lt;$C$21,0,$K$21)</f>
        <v>0</v>
      </c>
      <c r="AM63" s="79" t="n">
        <f aca="false">IF(35&lt;$C$21,0,$K$21)</f>
        <v>0</v>
      </c>
      <c r="AN63" s="79" t="n">
        <f aca="false">IF(36&lt;$C$21,0,$K$21)</f>
        <v>0</v>
      </c>
      <c r="AO63" s="78" t="n">
        <f aca="false">BA63</f>
        <v>1</v>
      </c>
      <c r="AP63" s="79" t="n">
        <f aca="false">IF(37&lt;$C$21,0,$L$21)</f>
        <v>1</v>
      </c>
      <c r="AQ63" s="79" t="n">
        <f aca="false">IF(38&lt;$C$21,0,$L$21)</f>
        <v>1</v>
      </c>
      <c r="AR63" s="79" t="n">
        <f aca="false">IF(39&lt;$C$21,0,$L$21)</f>
        <v>1</v>
      </c>
      <c r="AS63" s="79" t="n">
        <f aca="false">IF(40&lt;$C$21,0,$L$21)</f>
        <v>1</v>
      </c>
      <c r="AT63" s="79" t="n">
        <f aca="false">IF(41&lt;$C$21,0,$L$21)</f>
        <v>1</v>
      </c>
      <c r="AU63" s="79" t="n">
        <f aca="false">IF(42&lt;$C$21,0,$L$21)</f>
        <v>1</v>
      </c>
      <c r="AV63" s="79" t="n">
        <f aca="false">IF(43&lt;$C$21,0,$L$21)</f>
        <v>1</v>
      </c>
      <c r="AW63" s="79" t="n">
        <f aca="false">IF(44&lt;$C$21,0,$L$21)</f>
        <v>1</v>
      </c>
      <c r="AX63" s="79" t="n">
        <f aca="false">IF(45&lt;$C$21,0,$L$21)</f>
        <v>1</v>
      </c>
      <c r="AY63" s="79" t="n">
        <f aca="false">IF(46&lt;$C$21,0,$L$21)</f>
        <v>1</v>
      </c>
      <c r="AZ63" s="79" t="n">
        <f aca="false">IF(47&lt;$C$21,0,$L$21)</f>
        <v>1</v>
      </c>
      <c r="BA63" s="79" t="n">
        <f aca="false">IF(48&lt;$C$21,0,$L$21)</f>
        <v>1</v>
      </c>
      <c r="BB63" s="78" t="n">
        <f aca="false">BN63</f>
        <v>2</v>
      </c>
      <c r="BC63" s="79" t="n">
        <f aca="false">IF(49&lt;$C$21,0,$M$21)</f>
        <v>2</v>
      </c>
      <c r="BD63" s="79" t="n">
        <f aca="false">IF(50&lt;$C$21,0,$M$21)</f>
        <v>2</v>
      </c>
      <c r="BE63" s="79" t="n">
        <f aca="false">IF(51&lt;$C$21,0,$M$21)</f>
        <v>2</v>
      </c>
      <c r="BF63" s="79" t="n">
        <f aca="false">IF(52&lt;$C$21,0,$M$21)</f>
        <v>2</v>
      </c>
      <c r="BG63" s="79" t="n">
        <f aca="false">IF(53&lt;$C$21,0,$M$21)</f>
        <v>2</v>
      </c>
      <c r="BH63" s="79" t="n">
        <f aca="false">IF(54&lt;$C$21,0,$M$21)</f>
        <v>2</v>
      </c>
      <c r="BI63" s="79" t="n">
        <f aca="false">IF(55&lt;$C$21,0,$M$21)</f>
        <v>2</v>
      </c>
      <c r="BJ63" s="79" t="n">
        <f aca="false">IF(56&lt;$C$21,0,$M$21)</f>
        <v>2</v>
      </c>
      <c r="BK63" s="79" t="n">
        <f aca="false">IF(57&lt;$C$21,0,$M$21)</f>
        <v>2</v>
      </c>
      <c r="BL63" s="79" t="n">
        <f aca="false">IF(58&lt;$C$21,0,$M$21)</f>
        <v>2</v>
      </c>
      <c r="BM63" s="79" t="n">
        <f aca="false">IF(59&lt;$C$21,0,$M$21)</f>
        <v>2</v>
      </c>
      <c r="BN63" s="79" t="n">
        <f aca="false">IF(60&lt;$C$21,0,$M$21)</f>
        <v>2</v>
      </c>
    </row>
    <row r="64" customFormat="false" ht="15" hidden="false" customHeight="false" outlineLevel="0" collapsed="false">
      <c r="A64" s="69" t="s">
        <v>783</v>
      </c>
      <c r="B64" s="78" t="n">
        <f aca="false">N64</f>
        <v>6</v>
      </c>
      <c r="C64" s="94" t="n">
        <f aca="false">SUM(C49:C63)</f>
        <v>6</v>
      </c>
      <c r="D64" s="94" t="n">
        <f aca="false">SUM(D49:D63)</f>
        <v>6</v>
      </c>
      <c r="E64" s="94" t="n">
        <f aca="false">SUM(E49:E63)</f>
        <v>6</v>
      </c>
      <c r="F64" s="94" t="n">
        <f aca="false">SUM(F49:F63)</f>
        <v>6</v>
      </c>
      <c r="G64" s="94" t="n">
        <f aca="false">SUM(G49:G63)</f>
        <v>6</v>
      </c>
      <c r="H64" s="94" t="n">
        <f aca="false">SUM(H49:H63)</f>
        <v>6</v>
      </c>
      <c r="I64" s="94" t="n">
        <f aca="false">SUM(I49:I63)</f>
        <v>6</v>
      </c>
      <c r="J64" s="94" t="n">
        <f aca="false">SUM(J49:J63)</f>
        <v>6</v>
      </c>
      <c r="K64" s="94" t="n">
        <f aca="false">SUM(K49:K63)</f>
        <v>6</v>
      </c>
      <c r="L64" s="94" t="n">
        <f aca="false">SUM(L49:L63)</f>
        <v>6</v>
      </c>
      <c r="M64" s="94" t="n">
        <f aca="false">SUM(M49:M63)</f>
        <v>6</v>
      </c>
      <c r="N64" s="94" t="n">
        <f aca="false">SUM(N49:N63)</f>
        <v>6</v>
      </c>
      <c r="O64" s="78" t="n">
        <f aca="false">AA64</f>
        <v>9</v>
      </c>
      <c r="P64" s="94" t="n">
        <f aca="false">SUM(P49:P63)</f>
        <v>9</v>
      </c>
      <c r="Q64" s="94" t="n">
        <f aca="false">SUM(Q49:Q63)</f>
        <v>9</v>
      </c>
      <c r="R64" s="94" t="n">
        <f aca="false">SUM(R49:R63)</f>
        <v>9</v>
      </c>
      <c r="S64" s="94" t="n">
        <f aca="false">SUM(S49:S63)</f>
        <v>9</v>
      </c>
      <c r="T64" s="94" t="n">
        <f aca="false">SUM(T49:T63)</f>
        <v>9</v>
      </c>
      <c r="U64" s="94" t="n">
        <f aca="false">SUM(U49:U63)</f>
        <v>9</v>
      </c>
      <c r="V64" s="94" t="n">
        <f aca="false">SUM(V49:V63)</f>
        <v>9</v>
      </c>
      <c r="W64" s="94" t="n">
        <f aca="false">SUM(W49:W63)</f>
        <v>9</v>
      </c>
      <c r="X64" s="94" t="n">
        <f aca="false">SUM(X49:X63)</f>
        <v>9</v>
      </c>
      <c r="Y64" s="94" t="n">
        <f aca="false">SUM(Y49:Y63)</f>
        <v>9</v>
      </c>
      <c r="Z64" s="94" t="n">
        <f aca="false">SUM(Z49:Z63)</f>
        <v>9</v>
      </c>
      <c r="AA64" s="94" t="n">
        <f aca="false">SUM(AA49:AA63)</f>
        <v>9</v>
      </c>
      <c r="AB64" s="78" t="n">
        <f aca="false">AN64</f>
        <v>12</v>
      </c>
      <c r="AC64" s="94" t="n">
        <f aca="false">SUM(AC49:AC63)</f>
        <v>12</v>
      </c>
      <c r="AD64" s="94" t="n">
        <f aca="false">SUM(AD49:AD63)</f>
        <v>12</v>
      </c>
      <c r="AE64" s="94" t="n">
        <f aca="false">SUM(AE49:AE63)</f>
        <v>12</v>
      </c>
      <c r="AF64" s="94" t="n">
        <f aca="false">SUM(AF49:AF63)</f>
        <v>12</v>
      </c>
      <c r="AG64" s="94" t="n">
        <f aca="false">SUM(AG49:AG63)</f>
        <v>12</v>
      </c>
      <c r="AH64" s="94" t="n">
        <f aca="false">SUM(AH49:AH63)</f>
        <v>12</v>
      </c>
      <c r="AI64" s="94" t="n">
        <f aca="false">SUM(AI49:AI63)</f>
        <v>12</v>
      </c>
      <c r="AJ64" s="94" t="n">
        <f aca="false">SUM(AJ49:AJ63)</f>
        <v>12</v>
      </c>
      <c r="AK64" s="94" t="n">
        <f aca="false">SUM(AK49:AK63)</f>
        <v>12</v>
      </c>
      <c r="AL64" s="94" t="n">
        <f aca="false">SUM(AL49:AL63)</f>
        <v>12</v>
      </c>
      <c r="AM64" s="94" t="n">
        <f aca="false">SUM(AM49:AM63)</f>
        <v>12</v>
      </c>
      <c r="AN64" s="94" t="n">
        <f aca="false">SUM(AN49:AN63)</f>
        <v>12</v>
      </c>
      <c r="AO64" s="78" t="n">
        <f aca="false">BA64</f>
        <v>16</v>
      </c>
      <c r="AP64" s="94" t="n">
        <f aca="false">SUM(AP49:AP63)</f>
        <v>16</v>
      </c>
      <c r="AQ64" s="94" t="n">
        <f aca="false">SUM(AQ49:AQ63)</f>
        <v>16</v>
      </c>
      <c r="AR64" s="94" t="n">
        <f aca="false">SUM(AR49:AR63)</f>
        <v>16</v>
      </c>
      <c r="AS64" s="94" t="n">
        <f aca="false">SUM(AS49:AS63)</f>
        <v>16</v>
      </c>
      <c r="AT64" s="94" t="n">
        <f aca="false">SUM(AT49:AT63)</f>
        <v>16</v>
      </c>
      <c r="AU64" s="94" t="n">
        <f aca="false">SUM(AU49:AU63)</f>
        <v>16</v>
      </c>
      <c r="AV64" s="94" t="n">
        <f aca="false">SUM(AV49:AV63)</f>
        <v>16</v>
      </c>
      <c r="AW64" s="94" t="n">
        <f aca="false">SUM(AW49:AW63)</f>
        <v>16</v>
      </c>
      <c r="AX64" s="94" t="n">
        <f aca="false">SUM(AX49:AX63)</f>
        <v>16</v>
      </c>
      <c r="AY64" s="94" t="n">
        <f aca="false">SUM(AY49:AY63)</f>
        <v>16</v>
      </c>
      <c r="AZ64" s="94" t="n">
        <f aca="false">SUM(AZ49:AZ63)</f>
        <v>16</v>
      </c>
      <c r="BA64" s="94" t="n">
        <f aca="false">SUM(BA49:BA63)</f>
        <v>16</v>
      </c>
      <c r="BB64" s="78" t="n">
        <f aca="false">BN64</f>
        <v>20</v>
      </c>
      <c r="BC64" s="94" t="n">
        <f aca="false">SUM(BC49:BC63)</f>
        <v>20</v>
      </c>
      <c r="BD64" s="94" t="n">
        <f aca="false">SUM(BD49:BD63)</f>
        <v>20</v>
      </c>
      <c r="BE64" s="94" t="n">
        <f aca="false">SUM(BE49:BE63)</f>
        <v>20</v>
      </c>
      <c r="BF64" s="94" t="n">
        <f aca="false">SUM(BF49:BF63)</f>
        <v>20</v>
      </c>
      <c r="BG64" s="94" t="n">
        <f aca="false">SUM(BG49:BG63)</f>
        <v>20</v>
      </c>
      <c r="BH64" s="94" t="n">
        <f aca="false">SUM(BH49:BH63)</f>
        <v>20</v>
      </c>
      <c r="BI64" s="94" t="n">
        <f aca="false">SUM(BI49:BI63)</f>
        <v>20</v>
      </c>
      <c r="BJ64" s="94" t="n">
        <f aca="false">SUM(BJ49:BJ63)</f>
        <v>20</v>
      </c>
      <c r="BK64" s="94" t="n">
        <f aca="false">SUM(BK49:BK63)</f>
        <v>20</v>
      </c>
      <c r="BL64" s="94" t="n">
        <f aca="false">SUM(BL49:BL63)</f>
        <v>20</v>
      </c>
      <c r="BM64" s="94" t="n">
        <f aca="false">SUM(BM49:BM63)</f>
        <v>20</v>
      </c>
      <c r="BN64" s="94" t="n">
        <f aca="false">SUM(BN49:BN63)</f>
        <v>20</v>
      </c>
    </row>
    <row r="65" customFormat="false" ht="15" hidden="false" customHeight="false" outlineLevel="0" collapsed="false">
      <c r="A65" s="18" t="s">
        <v>784</v>
      </c>
      <c r="B65" s="78" t="n">
        <f aca="false">SUM(C65:N65)</f>
        <v>6</v>
      </c>
      <c r="C65" s="82" t="n">
        <f aca="false">C64</f>
        <v>6</v>
      </c>
      <c r="D65" s="82" t="n">
        <f aca="false">MAX(0,D64-C64)</f>
        <v>0</v>
      </c>
      <c r="E65" s="82" t="n">
        <f aca="false">MAX(0,E64-D64)</f>
        <v>0</v>
      </c>
      <c r="F65" s="82" t="n">
        <f aca="false">MAX(0,F64-E64)</f>
        <v>0</v>
      </c>
      <c r="G65" s="82" t="n">
        <f aca="false">MAX(0,G64-F64)</f>
        <v>0</v>
      </c>
      <c r="H65" s="82" t="n">
        <f aca="false">MAX(0,H64-G64)</f>
        <v>0</v>
      </c>
      <c r="I65" s="82" t="n">
        <f aca="false">MAX(0,I64-H64)</f>
        <v>0</v>
      </c>
      <c r="J65" s="82" t="n">
        <f aca="false">MAX(0,J64-I64)</f>
        <v>0</v>
      </c>
      <c r="K65" s="82" t="n">
        <f aca="false">MAX(0,K64-J64)</f>
        <v>0</v>
      </c>
      <c r="L65" s="82" t="n">
        <f aca="false">MAX(0,L64-K64)</f>
        <v>0</v>
      </c>
      <c r="M65" s="82" t="n">
        <f aca="false">MAX(0,M64-L64)</f>
        <v>0</v>
      </c>
      <c r="N65" s="82" t="n">
        <f aca="false">MAX(0,N64-M64)</f>
        <v>0</v>
      </c>
      <c r="O65" s="78" t="n">
        <f aca="false">SUM(P65:AA65)</f>
        <v>3</v>
      </c>
      <c r="P65" s="82" t="n">
        <f aca="false">MAX(0,P64-N64)</f>
        <v>3</v>
      </c>
      <c r="Q65" s="82" t="n">
        <f aca="false">MAX(0,Q64-P64)</f>
        <v>0</v>
      </c>
      <c r="R65" s="82" t="n">
        <f aca="false">MAX(0,R64-Q64)</f>
        <v>0</v>
      </c>
      <c r="S65" s="82" t="n">
        <f aca="false">MAX(0,S64-R64)</f>
        <v>0</v>
      </c>
      <c r="T65" s="82" t="n">
        <f aca="false">MAX(0,T64-S64)</f>
        <v>0</v>
      </c>
      <c r="U65" s="82" t="n">
        <f aca="false">MAX(0,U64-T64)</f>
        <v>0</v>
      </c>
      <c r="V65" s="82" t="n">
        <f aca="false">MAX(0,V64-U64)</f>
        <v>0</v>
      </c>
      <c r="W65" s="82" t="n">
        <f aca="false">MAX(0,W64-V64)</f>
        <v>0</v>
      </c>
      <c r="X65" s="82" t="n">
        <f aca="false">MAX(0,X64-W64)</f>
        <v>0</v>
      </c>
      <c r="Y65" s="82" t="n">
        <f aca="false">MAX(0,Y64-X64)</f>
        <v>0</v>
      </c>
      <c r="Z65" s="82" t="n">
        <f aca="false">MAX(0,Z64-Y64)</f>
        <v>0</v>
      </c>
      <c r="AA65" s="82" t="n">
        <f aca="false">MAX(0,AA64-Z64)</f>
        <v>0</v>
      </c>
      <c r="AB65" s="78" t="n">
        <f aca="false">SUM(AC65:AN65)</f>
        <v>3</v>
      </c>
      <c r="AC65" s="82" t="n">
        <f aca="false">MAX(0,AC64-AA64)</f>
        <v>3</v>
      </c>
      <c r="AD65" s="82" t="n">
        <f aca="false">MAX(0,AD64-AC64)</f>
        <v>0</v>
      </c>
      <c r="AE65" s="82" t="n">
        <f aca="false">MAX(0,AE64-AD64)</f>
        <v>0</v>
      </c>
      <c r="AF65" s="82" t="n">
        <f aca="false">MAX(0,AF64-AE64)</f>
        <v>0</v>
      </c>
      <c r="AG65" s="82" t="n">
        <f aca="false">MAX(0,AG64-AF64)</f>
        <v>0</v>
      </c>
      <c r="AH65" s="82" t="n">
        <f aca="false">MAX(0,AH64-AG64)</f>
        <v>0</v>
      </c>
      <c r="AI65" s="82" t="n">
        <f aca="false">MAX(0,AI64-AH64)</f>
        <v>0</v>
      </c>
      <c r="AJ65" s="82" t="n">
        <f aca="false">MAX(0,AJ64-AI64)</f>
        <v>0</v>
      </c>
      <c r="AK65" s="82" t="n">
        <f aca="false">MAX(0,AK64-AJ64)</f>
        <v>0</v>
      </c>
      <c r="AL65" s="82" t="n">
        <f aca="false">MAX(0,AL64-AK64)</f>
        <v>0</v>
      </c>
      <c r="AM65" s="82" t="n">
        <f aca="false">MAX(0,AM64-AL64)</f>
        <v>0</v>
      </c>
      <c r="AN65" s="82" t="n">
        <f aca="false">MAX(0,AN64-AM64)</f>
        <v>0</v>
      </c>
      <c r="AO65" s="78" t="n">
        <f aca="false">SUM(AP65:BA65)</f>
        <v>4</v>
      </c>
      <c r="AP65" s="82" t="n">
        <f aca="false">MAX(0,AP64-AN64)</f>
        <v>4</v>
      </c>
      <c r="AQ65" s="82" t="n">
        <f aca="false">MAX(0,AQ64-AP64)</f>
        <v>0</v>
      </c>
      <c r="AR65" s="82" t="n">
        <f aca="false">MAX(0,AR64-AQ64)</f>
        <v>0</v>
      </c>
      <c r="AS65" s="82" t="n">
        <f aca="false">MAX(0,AS64-AR64)</f>
        <v>0</v>
      </c>
      <c r="AT65" s="82" t="n">
        <f aca="false">MAX(0,AT64-AS64)</f>
        <v>0</v>
      </c>
      <c r="AU65" s="82" t="n">
        <f aca="false">MAX(0,AU64-AT64)</f>
        <v>0</v>
      </c>
      <c r="AV65" s="82" t="n">
        <f aca="false">MAX(0,AV64-AU64)</f>
        <v>0</v>
      </c>
      <c r="AW65" s="82" t="n">
        <f aca="false">MAX(0,AW64-AV64)</f>
        <v>0</v>
      </c>
      <c r="AX65" s="82" t="n">
        <f aca="false">MAX(0,AX64-AW64)</f>
        <v>0</v>
      </c>
      <c r="AY65" s="82" t="n">
        <f aca="false">MAX(0,AY64-AX64)</f>
        <v>0</v>
      </c>
      <c r="AZ65" s="82" t="n">
        <f aca="false">MAX(0,AZ64-AY64)</f>
        <v>0</v>
      </c>
      <c r="BA65" s="82" t="n">
        <f aca="false">MAX(0,BA64-AZ64)</f>
        <v>0</v>
      </c>
      <c r="BB65" s="78" t="n">
        <f aca="false">SUM(BC65:BN65)</f>
        <v>4</v>
      </c>
      <c r="BC65" s="82" t="n">
        <f aca="false">MAX(0,BC64-BA64)</f>
        <v>4</v>
      </c>
      <c r="BD65" s="82" t="n">
        <f aca="false">MAX(0,BD64-BC64)</f>
        <v>0</v>
      </c>
      <c r="BE65" s="82" t="n">
        <f aca="false">MAX(0,BE64-BD64)</f>
        <v>0</v>
      </c>
      <c r="BF65" s="82" t="n">
        <f aca="false">MAX(0,BF64-BE64)</f>
        <v>0</v>
      </c>
      <c r="BG65" s="82" t="n">
        <f aca="false">MAX(0,BG64-BF64)</f>
        <v>0</v>
      </c>
      <c r="BH65" s="82" t="n">
        <f aca="false">MAX(0,BH64-BG64)</f>
        <v>0</v>
      </c>
      <c r="BI65" s="82" t="n">
        <f aca="false">MAX(0,BI64-BH64)</f>
        <v>0</v>
      </c>
      <c r="BJ65" s="82" t="n">
        <f aca="false">MAX(0,BJ64-BI64)</f>
        <v>0</v>
      </c>
      <c r="BK65" s="82" t="n">
        <f aca="false">MAX(0,BK64-BJ64)</f>
        <v>0</v>
      </c>
      <c r="BL65" s="82" t="n">
        <f aca="false">MAX(0,BL64-BK64)</f>
        <v>0</v>
      </c>
      <c r="BM65" s="82" t="n">
        <f aca="false">MAX(0,BM64-BL64)</f>
        <v>0</v>
      </c>
      <c r="BN65" s="82" t="n">
        <f aca="false">MAX(0,BN64-BM64)</f>
        <v>0</v>
      </c>
    </row>
    <row r="66" customFormat="false" ht="15" hidden="false" customHeight="false" outlineLevel="0" collapsed="false">
      <c r="A66" s="18" t="s">
        <v>785</v>
      </c>
      <c r="B66" s="64" t="n">
        <f aca="false">SUM(C66:N66)</f>
        <v>16632</v>
      </c>
      <c r="C66" s="77" t="n">
        <f aca="false">C33+C34+C35+C36+C37</f>
        <v>1386</v>
      </c>
      <c r="D66" s="77" t="n">
        <f aca="false">D33+D34+D35+D36+D37</f>
        <v>1386</v>
      </c>
      <c r="E66" s="77" t="n">
        <f aca="false">E33+E34+E35+E36+E37</f>
        <v>1386</v>
      </c>
      <c r="F66" s="77" t="n">
        <f aca="false">F33+F34+F35+F36+F37</f>
        <v>1386</v>
      </c>
      <c r="G66" s="77" t="n">
        <f aca="false">G33+G34+G35+G36+G37</f>
        <v>1386</v>
      </c>
      <c r="H66" s="77" t="n">
        <f aca="false">H33+H34+H35+H36+H37</f>
        <v>1386</v>
      </c>
      <c r="I66" s="77" t="n">
        <f aca="false">I33+I34+I35+I36+I37</f>
        <v>1386</v>
      </c>
      <c r="J66" s="77" t="n">
        <f aca="false">J33+J34+J35+J36+J37</f>
        <v>1386</v>
      </c>
      <c r="K66" s="77" t="n">
        <f aca="false">K33+K34+K35+K36+K37</f>
        <v>1386</v>
      </c>
      <c r="L66" s="77" t="n">
        <f aca="false">L33+L34+L35+L36+L37</f>
        <v>1386</v>
      </c>
      <c r="M66" s="77" t="n">
        <f aca="false">M33+M34+M35+M36+M37</f>
        <v>1386</v>
      </c>
      <c r="N66" s="77" t="n">
        <f aca="false">N33+N34+N35+N36+N37</f>
        <v>1386</v>
      </c>
      <c r="O66" s="64" t="n">
        <f aca="false">SUM(P66:AA66)</f>
        <v>34650</v>
      </c>
      <c r="P66" s="77" t="n">
        <f aca="false">P33+P34+P35+P36+P37</f>
        <v>2887.5</v>
      </c>
      <c r="Q66" s="77" t="n">
        <f aca="false">Q33+Q34+Q35+Q36+Q37</f>
        <v>2887.5</v>
      </c>
      <c r="R66" s="77" t="n">
        <f aca="false">R33+R34+R35+R36+R37</f>
        <v>2887.5</v>
      </c>
      <c r="S66" s="77" t="n">
        <f aca="false">S33+S34+S35+S36+S37</f>
        <v>2887.5</v>
      </c>
      <c r="T66" s="77" t="n">
        <f aca="false">T33+T34+T35+T36+T37</f>
        <v>2887.5</v>
      </c>
      <c r="U66" s="77" t="n">
        <f aca="false">U33+U34+U35+U36+U37</f>
        <v>2887.5</v>
      </c>
      <c r="V66" s="77" t="n">
        <f aca="false">V33+V34+V35+V36+V37</f>
        <v>2887.5</v>
      </c>
      <c r="W66" s="77" t="n">
        <f aca="false">W33+W34+W35+W36+W37</f>
        <v>2887.5</v>
      </c>
      <c r="X66" s="77" t="n">
        <f aca="false">X33+X34+X35+X36+X37</f>
        <v>2887.5</v>
      </c>
      <c r="Y66" s="77" t="n">
        <f aca="false">Y33+Y34+Y35+Y36+Y37</f>
        <v>2887.5</v>
      </c>
      <c r="Z66" s="77" t="n">
        <f aca="false">Z33+Z34+Z35+Z36+Z37</f>
        <v>2887.5</v>
      </c>
      <c r="AA66" s="77" t="n">
        <f aca="false">AA33+AA34+AA35+AA36+AA37</f>
        <v>2887.5</v>
      </c>
      <c r="AB66" s="64" t="n">
        <f aca="false">SUM(AC66:AN66)</f>
        <v>73458</v>
      </c>
      <c r="AC66" s="77" t="n">
        <f aca="false">AC33+AC34+AC35+AC36+AC37</f>
        <v>6121.5</v>
      </c>
      <c r="AD66" s="77" t="n">
        <f aca="false">AD33+AD34+AD35+AD36+AD37</f>
        <v>6121.5</v>
      </c>
      <c r="AE66" s="77" t="n">
        <f aca="false">AE33+AE34+AE35+AE36+AE37</f>
        <v>6121.5</v>
      </c>
      <c r="AF66" s="77" t="n">
        <f aca="false">AF33+AF34+AF35+AF36+AF37</f>
        <v>6121.5</v>
      </c>
      <c r="AG66" s="77" t="n">
        <f aca="false">AG33+AG34+AG35+AG36+AG37</f>
        <v>6121.5</v>
      </c>
      <c r="AH66" s="77" t="n">
        <f aca="false">AH33+AH34+AH35+AH36+AH37</f>
        <v>6121.5</v>
      </c>
      <c r="AI66" s="77" t="n">
        <f aca="false">AI33+AI34+AI35+AI36+AI37</f>
        <v>6121.5</v>
      </c>
      <c r="AJ66" s="77" t="n">
        <f aca="false">AJ33+AJ34+AJ35+AJ36+AJ37</f>
        <v>6121.5</v>
      </c>
      <c r="AK66" s="77" t="n">
        <f aca="false">AK33+AK34+AK35+AK36+AK37</f>
        <v>6121.5</v>
      </c>
      <c r="AL66" s="77" t="n">
        <f aca="false">AL33+AL34+AL35+AL36+AL37</f>
        <v>6121.5</v>
      </c>
      <c r="AM66" s="77" t="n">
        <f aca="false">AM33+AM34+AM35+AM36+AM37</f>
        <v>6121.5</v>
      </c>
      <c r="AN66" s="77" t="n">
        <f aca="false">AN33+AN34+AN35+AN36+AN37</f>
        <v>6121.5</v>
      </c>
      <c r="AO66" s="64" t="n">
        <f aca="false">SUM(AP66:BA66)</f>
        <v>110880</v>
      </c>
      <c r="AP66" s="77" t="n">
        <f aca="false">AP33+AP34+AP35+AP36+AP37</f>
        <v>9240</v>
      </c>
      <c r="AQ66" s="77" t="n">
        <f aca="false">AQ33+AQ34+AQ35+AQ36+AQ37</f>
        <v>9240</v>
      </c>
      <c r="AR66" s="77" t="n">
        <f aca="false">AR33+AR34+AR35+AR36+AR37</f>
        <v>9240</v>
      </c>
      <c r="AS66" s="77" t="n">
        <f aca="false">AS33+AS34+AS35+AS36+AS37</f>
        <v>9240</v>
      </c>
      <c r="AT66" s="77" t="n">
        <f aca="false">AT33+AT34+AT35+AT36+AT37</f>
        <v>9240</v>
      </c>
      <c r="AU66" s="77" t="n">
        <f aca="false">AU33+AU34+AU35+AU36+AU37</f>
        <v>9240</v>
      </c>
      <c r="AV66" s="77" t="n">
        <f aca="false">AV33+AV34+AV35+AV36+AV37</f>
        <v>9240</v>
      </c>
      <c r="AW66" s="77" t="n">
        <f aca="false">AW33+AW34+AW35+AW36+AW37</f>
        <v>9240</v>
      </c>
      <c r="AX66" s="77" t="n">
        <f aca="false">AX33+AX34+AX35+AX36+AX37</f>
        <v>9240</v>
      </c>
      <c r="AY66" s="77" t="n">
        <f aca="false">AY33+AY34+AY35+AY36+AY37</f>
        <v>9240</v>
      </c>
      <c r="AZ66" s="77" t="n">
        <f aca="false">AZ33+AZ34+AZ35+AZ36+AZ37</f>
        <v>9240</v>
      </c>
      <c r="BA66" s="77" t="n">
        <f aca="false">BA33+BA34+BA35+BA36+BA37</f>
        <v>9240</v>
      </c>
      <c r="BB66" s="64" t="n">
        <f aca="false">SUM(BC66:BN66)</f>
        <v>149688</v>
      </c>
      <c r="BC66" s="77" t="n">
        <f aca="false">BC33+BC34+BC35+BC36+BC37</f>
        <v>12474</v>
      </c>
      <c r="BD66" s="77" t="n">
        <f aca="false">BD33+BD34+BD35+BD36+BD37</f>
        <v>12474</v>
      </c>
      <c r="BE66" s="77" t="n">
        <f aca="false">BE33+BE34+BE35+BE36+BE37</f>
        <v>12474</v>
      </c>
      <c r="BF66" s="77" t="n">
        <f aca="false">BF33+BF34+BF35+BF36+BF37</f>
        <v>12474</v>
      </c>
      <c r="BG66" s="77" t="n">
        <f aca="false">BG33+BG34+BG35+BG36+BG37</f>
        <v>12474</v>
      </c>
      <c r="BH66" s="77" t="n">
        <f aca="false">BH33+BH34+BH35+BH36+BH37</f>
        <v>12474</v>
      </c>
      <c r="BI66" s="77" t="n">
        <f aca="false">BI33+BI34+BI35+BI36+BI37</f>
        <v>12474</v>
      </c>
      <c r="BJ66" s="77" t="n">
        <f aca="false">BJ33+BJ34+BJ35+BJ36+BJ37</f>
        <v>12474</v>
      </c>
      <c r="BK66" s="77" t="n">
        <f aca="false">BK33+BK34+BK35+BK36+BK37</f>
        <v>12474</v>
      </c>
      <c r="BL66" s="77" t="n">
        <f aca="false">BL33+BL34+BL35+BL36+BL37</f>
        <v>12474</v>
      </c>
      <c r="BM66" s="77" t="n">
        <f aca="false">BM33+BM34+BM35+BM36+BM37</f>
        <v>12474</v>
      </c>
      <c r="BN66" s="77" t="n">
        <f aca="false">BN33+BN34+BN35+BN36+BN37</f>
        <v>12474</v>
      </c>
    </row>
    <row r="67" customFormat="false" ht="15" hidden="false" customHeight="false" outlineLevel="0" collapsed="false">
      <c r="A67" s="12" t="s">
        <v>786</v>
      </c>
      <c r="B67" s="78" t="n">
        <f aca="false">N67</f>
        <v>2</v>
      </c>
      <c r="C67" s="79" t="n">
        <f aca="false">IF(1&lt;$C$10,0,$I$10)+IF(1&lt;$C$11,0,$I$11)+IF(1&lt;$C$12,0,$I$12)+IF(1&lt;$C$13,0,$I$13)+IF(1&lt;$C$14,0,$I$14)</f>
        <v>2</v>
      </c>
      <c r="D67" s="79" t="n">
        <f aca="false">IF(2&lt;$C$10,0,$I$10)+IF(2&lt;$C$11,0,$I$11)+IF(2&lt;$C$12,0,$I$12)+IF(2&lt;$C$13,0,$I$13)+IF(2&lt;$C$14,0,$I$14)</f>
        <v>2</v>
      </c>
      <c r="E67" s="79" t="n">
        <f aca="false">IF(3&lt;$C$10,0,$I$10)+IF(3&lt;$C$11,0,$I$11)+IF(3&lt;$C$12,0,$I$12)+IF(3&lt;$C$13,0,$I$13)+IF(3&lt;$C$14,0,$I$14)</f>
        <v>2</v>
      </c>
      <c r="F67" s="79" t="n">
        <f aca="false">IF(4&lt;$C$10,0,$I$10)+IF(4&lt;$C$11,0,$I$11)+IF(4&lt;$C$12,0,$I$12)+IF(4&lt;$C$13,0,$I$13)+IF(4&lt;$C$14,0,$I$14)</f>
        <v>2</v>
      </c>
      <c r="G67" s="79" t="n">
        <f aca="false">IF(5&lt;$C$10,0,$I$10)+IF(5&lt;$C$11,0,$I$11)+IF(5&lt;$C$12,0,$I$12)+IF(5&lt;$C$13,0,$I$13)+IF(5&lt;$C$14,0,$I$14)</f>
        <v>2</v>
      </c>
      <c r="H67" s="79" t="n">
        <f aca="false">IF(6&lt;$C$10,0,$I$10)+IF(6&lt;$C$11,0,$I$11)+IF(6&lt;$C$12,0,$I$12)+IF(6&lt;$C$13,0,$I$13)+IF(6&lt;$C$14,0,$I$14)</f>
        <v>2</v>
      </c>
      <c r="I67" s="79" t="n">
        <f aca="false">IF(7&lt;$C$10,0,$I$10)+IF(7&lt;$C$11,0,$I$11)+IF(7&lt;$C$12,0,$I$12)+IF(7&lt;$C$13,0,$I$13)+IF(7&lt;$C$14,0,$I$14)</f>
        <v>2</v>
      </c>
      <c r="J67" s="79" t="n">
        <f aca="false">IF(8&lt;$C$10,0,$I$10)+IF(8&lt;$C$11,0,$I$11)+IF(8&lt;$C$12,0,$I$12)+IF(8&lt;$C$13,0,$I$13)+IF(8&lt;$C$14,0,$I$14)</f>
        <v>2</v>
      </c>
      <c r="K67" s="79" t="n">
        <f aca="false">IF(9&lt;$C$10,0,$I$10)+IF(9&lt;$C$11,0,$I$11)+IF(9&lt;$C$12,0,$I$12)+IF(9&lt;$C$13,0,$I$13)+IF(9&lt;$C$14,0,$I$14)</f>
        <v>2</v>
      </c>
      <c r="L67" s="79" t="n">
        <f aca="false">IF(10&lt;$C$10,0,$I$10)+IF(10&lt;$C$11,0,$I$11)+IF(10&lt;$C$12,0,$I$12)+IF(10&lt;$C$13,0,$I$13)+IF(10&lt;$C$14,0,$I$14)</f>
        <v>2</v>
      </c>
      <c r="M67" s="79" t="n">
        <f aca="false">IF(11&lt;$C$10,0,$I$10)+IF(11&lt;$C$11,0,$I$11)+IF(11&lt;$C$12,0,$I$12)+IF(11&lt;$C$13,0,$I$13)+IF(11&lt;$C$14,0,$I$14)</f>
        <v>2</v>
      </c>
      <c r="N67" s="79" t="n">
        <f aca="false">IF(12&lt;$C$10,0,$I$10)+IF(12&lt;$C$11,0,$I$11)+IF(12&lt;$C$12,0,$I$12)+IF(12&lt;$C$13,0,$I$13)+IF(12&lt;$C$14,0,$I$14)</f>
        <v>2</v>
      </c>
      <c r="O67" s="78" t="n">
        <f aca="false">AA67</f>
        <v>3</v>
      </c>
      <c r="P67" s="79" t="n">
        <f aca="false">IF(13&lt;$C$10,0,$J$10)+IF(13&lt;$C$11,0,$J$11)+IF(13&lt;$C$12,0,$J$12)+IF(13&lt;$C$13,0,$J$13)+IF(13&lt;$C$14,0,$J$14)</f>
        <v>3</v>
      </c>
      <c r="Q67" s="79" t="n">
        <f aca="false">IF(14&lt;$C$10,0,$J$10)+IF(14&lt;$C$11,0,$J$11)+IF(14&lt;$C$12,0,$J$12)+IF(14&lt;$C$13,0,$J$13)+IF(14&lt;$C$14,0,$J$14)</f>
        <v>3</v>
      </c>
      <c r="R67" s="79" t="n">
        <f aca="false">IF(15&lt;$C$10,0,$J$10)+IF(15&lt;$C$11,0,$J$11)+IF(15&lt;$C$12,0,$J$12)+IF(15&lt;$C$13,0,$J$13)+IF(15&lt;$C$14,0,$J$14)</f>
        <v>3</v>
      </c>
      <c r="S67" s="79" t="n">
        <f aca="false">IF(16&lt;$C$10,0,$J$10)+IF(16&lt;$C$11,0,$J$11)+IF(16&lt;$C$12,0,$J$12)+IF(16&lt;$C$13,0,$J$13)+IF(16&lt;$C$14,0,$J$14)</f>
        <v>3</v>
      </c>
      <c r="T67" s="79" t="n">
        <f aca="false">IF(17&lt;$C$10,0,$J$10)+IF(17&lt;$C$11,0,$J$11)+IF(17&lt;$C$12,0,$J$12)+IF(17&lt;$C$13,0,$J$13)+IF(17&lt;$C$14,0,$J$14)</f>
        <v>3</v>
      </c>
      <c r="U67" s="79" t="n">
        <f aca="false">IF(18&lt;$C$10,0,$J$10)+IF(18&lt;$C$11,0,$J$11)+IF(18&lt;$C$12,0,$J$12)+IF(18&lt;$C$13,0,$J$13)+IF(18&lt;$C$14,0,$J$14)</f>
        <v>3</v>
      </c>
      <c r="V67" s="79" t="n">
        <f aca="false">IF(19&lt;$C$10,0,$J$10)+IF(19&lt;$C$11,0,$J$11)+IF(19&lt;$C$12,0,$J$12)+IF(19&lt;$C$13,0,$J$13)+IF(19&lt;$C$14,0,$J$14)</f>
        <v>3</v>
      </c>
      <c r="W67" s="79" t="n">
        <f aca="false">IF(20&lt;$C$10,0,$J$10)+IF(20&lt;$C$11,0,$J$11)+IF(20&lt;$C$12,0,$J$12)+IF(20&lt;$C$13,0,$J$13)+IF(20&lt;$C$14,0,$J$14)</f>
        <v>3</v>
      </c>
      <c r="X67" s="79" t="n">
        <f aca="false">IF(21&lt;$C$10,0,$J$10)+IF(21&lt;$C$11,0,$J$11)+IF(21&lt;$C$12,0,$J$12)+IF(21&lt;$C$13,0,$J$13)+IF(21&lt;$C$14,0,$J$14)</f>
        <v>3</v>
      </c>
      <c r="Y67" s="79" t="n">
        <f aca="false">IF(22&lt;$C$10,0,$J$10)+IF(22&lt;$C$11,0,$J$11)+IF(22&lt;$C$12,0,$J$12)+IF(22&lt;$C$13,0,$J$13)+IF(22&lt;$C$14,0,$J$14)</f>
        <v>3</v>
      </c>
      <c r="Z67" s="79" t="n">
        <f aca="false">IF(23&lt;$C$10,0,$J$10)+IF(23&lt;$C$11,0,$J$11)+IF(23&lt;$C$12,0,$J$12)+IF(23&lt;$C$13,0,$J$13)+IF(23&lt;$C$14,0,$J$14)</f>
        <v>3</v>
      </c>
      <c r="AA67" s="79" t="n">
        <f aca="false">IF(24&lt;$C$10,0,$J$10)+IF(24&lt;$C$11,0,$J$11)+IF(24&lt;$C$12,0,$J$12)+IF(24&lt;$C$13,0,$J$13)+IF(24&lt;$C$14,0,$J$14)</f>
        <v>3</v>
      </c>
      <c r="AB67" s="78" t="n">
        <f aca="false">AN67</f>
        <v>4</v>
      </c>
      <c r="AC67" s="79" t="n">
        <f aca="false">IF(25&lt;$C$10,0,$K$10)+IF(25&lt;$C$11,0,$K$11)+IF(25&lt;$C$12,0,$K$12)+IF(25&lt;$C$13,0,$K$13)+IF(25&lt;$C$14,0,$K$14)</f>
        <v>4</v>
      </c>
      <c r="AD67" s="79" t="n">
        <f aca="false">IF(26&lt;$C$10,0,$K$10)+IF(26&lt;$C$11,0,$K$11)+IF(26&lt;$C$12,0,$K$12)+IF(26&lt;$C$13,0,$K$13)+IF(26&lt;$C$14,0,$K$14)</f>
        <v>4</v>
      </c>
      <c r="AE67" s="79" t="n">
        <f aca="false">IF(27&lt;$C$10,0,$K$10)+IF(27&lt;$C$11,0,$K$11)+IF(27&lt;$C$12,0,$K$12)+IF(27&lt;$C$13,0,$K$13)+IF(27&lt;$C$14,0,$K$14)</f>
        <v>4</v>
      </c>
      <c r="AF67" s="79" t="n">
        <f aca="false">IF(28&lt;$C$10,0,$K$10)+IF(28&lt;$C$11,0,$K$11)+IF(28&lt;$C$12,0,$K$12)+IF(28&lt;$C$13,0,$K$13)+IF(28&lt;$C$14,0,$K$14)</f>
        <v>4</v>
      </c>
      <c r="AG67" s="79" t="n">
        <f aca="false">IF(29&lt;$C$10,0,$K$10)+IF(29&lt;$C$11,0,$K$11)+IF(29&lt;$C$12,0,$K$12)+IF(29&lt;$C$13,0,$K$13)+IF(29&lt;$C$14,0,$K$14)</f>
        <v>4</v>
      </c>
      <c r="AH67" s="79" t="n">
        <f aca="false">IF(30&lt;$C$10,0,$K$10)+IF(30&lt;$C$11,0,$K$11)+IF(30&lt;$C$12,0,$K$12)+IF(30&lt;$C$13,0,$K$13)+IF(30&lt;$C$14,0,$K$14)</f>
        <v>4</v>
      </c>
      <c r="AI67" s="79" t="n">
        <f aca="false">IF(31&lt;$C$10,0,$K$10)+IF(31&lt;$C$11,0,$K$11)+IF(31&lt;$C$12,0,$K$12)+IF(31&lt;$C$13,0,$K$13)+IF(31&lt;$C$14,0,$K$14)</f>
        <v>4</v>
      </c>
      <c r="AJ67" s="79" t="n">
        <f aca="false">IF(32&lt;$C$10,0,$K$10)+IF(32&lt;$C$11,0,$K$11)+IF(32&lt;$C$12,0,$K$12)+IF(32&lt;$C$13,0,$K$13)+IF(32&lt;$C$14,0,$K$14)</f>
        <v>4</v>
      </c>
      <c r="AK67" s="79" t="n">
        <f aca="false">IF(33&lt;$C$10,0,$K$10)+IF(33&lt;$C$11,0,$K$11)+IF(33&lt;$C$12,0,$K$12)+IF(33&lt;$C$13,0,$K$13)+IF(33&lt;$C$14,0,$K$14)</f>
        <v>4</v>
      </c>
      <c r="AL67" s="79" t="n">
        <f aca="false">IF(34&lt;$C$10,0,$K$10)+IF(34&lt;$C$11,0,$K$11)+IF(34&lt;$C$12,0,$K$12)+IF(34&lt;$C$13,0,$K$13)+IF(34&lt;$C$14,0,$K$14)</f>
        <v>4</v>
      </c>
      <c r="AM67" s="79" t="n">
        <f aca="false">IF(35&lt;$C$10,0,$K$10)+IF(35&lt;$C$11,0,$K$11)+IF(35&lt;$C$12,0,$K$12)+IF(35&lt;$C$13,0,$K$13)+IF(35&lt;$C$14,0,$K$14)</f>
        <v>4</v>
      </c>
      <c r="AN67" s="79" t="n">
        <f aca="false">IF(36&lt;$C$10,0,$K$10)+IF(36&lt;$C$11,0,$K$11)+IF(36&lt;$C$12,0,$K$12)+IF(36&lt;$C$13,0,$K$13)+IF(36&lt;$C$14,0,$K$14)</f>
        <v>4</v>
      </c>
      <c r="AO67" s="78" t="n">
        <f aca="false">BA67</f>
        <v>6</v>
      </c>
      <c r="AP67" s="79" t="n">
        <f aca="false">IF(37&lt;$C$10,0,$L$10)+IF(37&lt;$C$11,0,$L$11)+IF(37&lt;$C$12,0,$L$12)+IF(37&lt;$C$13,0,$L$13)+IF(37&lt;$C$14,0,$L$14)</f>
        <v>6</v>
      </c>
      <c r="AQ67" s="79" t="n">
        <f aca="false">IF(38&lt;$C$10,0,$L$10)+IF(38&lt;$C$11,0,$L$11)+IF(38&lt;$C$12,0,$L$12)+IF(38&lt;$C$13,0,$L$13)+IF(38&lt;$C$14,0,$L$14)</f>
        <v>6</v>
      </c>
      <c r="AR67" s="79" t="n">
        <f aca="false">IF(39&lt;$C$10,0,$L$10)+IF(39&lt;$C$11,0,$L$11)+IF(39&lt;$C$12,0,$L$12)+IF(39&lt;$C$13,0,$L$13)+IF(39&lt;$C$14,0,$L$14)</f>
        <v>6</v>
      </c>
      <c r="AS67" s="79" t="n">
        <f aca="false">IF(40&lt;$C$10,0,$L$10)+IF(40&lt;$C$11,0,$L$11)+IF(40&lt;$C$12,0,$L$12)+IF(40&lt;$C$13,0,$L$13)+IF(40&lt;$C$14,0,$L$14)</f>
        <v>6</v>
      </c>
      <c r="AT67" s="79" t="n">
        <f aca="false">IF(41&lt;$C$10,0,$L$10)+IF(41&lt;$C$11,0,$L$11)+IF(41&lt;$C$12,0,$L$12)+IF(41&lt;$C$13,0,$L$13)+IF(41&lt;$C$14,0,$L$14)</f>
        <v>6</v>
      </c>
      <c r="AU67" s="79" t="n">
        <f aca="false">IF(42&lt;$C$10,0,$L$10)+IF(42&lt;$C$11,0,$L$11)+IF(42&lt;$C$12,0,$L$12)+IF(42&lt;$C$13,0,$L$13)+IF(42&lt;$C$14,0,$L$14)</f>
        <v>6</v>
      </c>
      <c r="AV67" s="79" t="n">
        <f aca="false">IF(43&lt;$C$10,0,$L$10)+IF(43&lt;$C$11,0,$L$11)+IF(43&lt;$C$12,0,$L$12)+IF(43&lt;$C$13,0,$L$13)+IF(43&lt;$C$14,0,$L$14)</f>
        <v>6</v>
      </c>
      <c r="AW67" s="79" t="n">
        <f aca="false">IF(44&lt;$C$10,0,$L$10)+IF(44&lt;$C$11,0,$L$11)+IF(44&lt;$C$12,0,$L$12)+IF(44&lt;$C$13,0,$L$13)+IF(44&lt;$C$14,0,$L$14)</f>
        <v>6</v>
      </c>
      <c r="AX67" s="79" t="n">
        <f aca="false">IF(45&lt;$C$10,0,$L$10)+IF(45&lt;$C$11,0,$L$11)+IF(45&lt;$C$12,0,$L$12)+IF(45&lt;$C$13,0,$L$13)+IF(45&lt;$C$14,0,$L$14)</f>
        <v>6</v>
      </c>
      <c r="AY67" s="79" t="n">
        <f aca="false">IF(46&lt;$C$10,0,$L$10)+IF(46&lt;$C$11,0,$L$11)+IF(46&lt;$C$12,0,$L$12)+IF(46&lt;$C$13,0,$L$13)+IF(46&lt;$C$14,0,$L$14)</f>
        <v>6</v>
      </c>
      <c r="AZ67" s="79" t="n">
        <f aca="false">IF(47&lt;$C$10,0,$L$10)+IF(47&lt;$C$11,0,$L$11)+IF(47&lt;$C$12,0,$L$12)+IF(47&lt;$C$13,0,$L$13)+IF(47&lt;$C$14,0,$L$14)</f>
        <v>6</v>
      </c>
      <c r="BA67" s="79" t="n">
        <f aca="false">IF(48&lt;$C$10,0,$L$10)+IF(48&lt;$C$11,0,$L$11)+IF(48&lt;$C$12,0,$L$12)+IF(48&lt;$C$13,0,$L$13)+IF(48&lt;$C$14,0,$L$14)</f>
        <v>6</v>
      </c>
      <c r="BB67" s="78" t="n">
        <f aca="false">BN67</f>
        <v>8</v>
      </c>
      <c r="BC67" s="79" t="n">
        <f aca="false">IF(49&lt;$C$10,0,$M$10)+IF(49&lt;$C$11,0,$M$11)+IF(49&lt;$C$12,0,$M$12)+IF(49&lt;$C$13,0,$M$13)+IF(49&lt;$C$14,0,$M$14)</f>
        <v>8</v>
      </c>
      <c r="BD67" s="79" t="n">
        <f aca="false">IF(50&lt;$C$10,0,$M$10)+IF(50&lt;$C$11,0,$M$11)+IF(50&lt;$C$12,0,$M$12)+IF(50&lt;$C$13,0,$M$13)+IF(50&lt;$C$14,0,$M$14)</f>
        <v>8</v>
      </c>
      <c r="BE67" s="79" t="n">
        <f aca="false">IF(51&lt;$C$10,0,$M$10)+IF(51&lt;$C$11,0,$M$11)+IF(51&lt;$C$12,0,$M$12)+IF(51&lt;$C$13,0,$M$13)+IF(51&lt;$C$14,0,$M$14)</f>
        <v>8</v>
      </c>
      <c r="BF67" s="79" t="n">
        <f aca="false">IF(52&lt;$C$10,0,$M$10)+IF(52&lt;$C$11,0,$M$11)+IF(52&lt;$C$12,0,$M$12)+IF(52&lt;$C$13,0,$M$13)+IF(52&lt;$C$14,0,$M$14)</f>
        <v>8</v>
      </c>
      <c r="BG67" s="79" t="n">
        <f aca="false">IF(53&lt;$C$10,0,$M$10)+IF(53&lt;$C$11,0,$M$11)+IF(53&lt;$C$12,0,$M$12)+IF(53&lt;$C$13,0,$M$13)+IF(53&lt;$C$14,0,$M$14)</f>
        <v>8</v>
      </c>
      <c r="BH67" s="79" t="n">
        <f aca="false">IF(54&lt;$C$10,0,$M$10)+IF(54&lt;$C$11,0,$M$11)+IF(54&lt;$C$12,0,$M$12)+IF(54&lt;$C$13,0,$M$13)+IF(54&lt;$C$14,0,$M$14)</f>
        <v>8</v>
      </c>
      <c r="BI67" s="79" t="n">
        <f aca="false">IF(55&lt;$C$10,0,$M$10)+IF(55&lt;$C$11,0,$M$11)+IF(55&lt;$C$12,0,$M$12)+IF(55&lt;$C$13,0,$M$13)+IF(55&lt;$C$14,0,$M$14)</f>
        <v>8</v>
      </c>
      <c r="BJ67" s="79" t="n">
        <f aca="false">IF(56&lt;$C$10,0,$M$10)+IF(56&lt;$C$11,0,$M$11)+IF(56&lt;$C$12,0,$M$12)+IF(56&lt;$C$13,0,$M$13)+IF(56&lt;$C$14,0,$M$14)</f>
        <v>8</v>
      </c>
      <c r="BK67" s="79" t="n">
        <f aca="false">IF(57&lt;$C$10,0,$M$10)+IF(57&lt;$C$11,0,$M$11)+IF(57&lt;$C$12,0,$M$12)+IF(57&lt;$C$13,0,$M$13)+IF(57&lt;$C$14,0,$M$14)</f>
        <v>8</v>
      </c>
      <c r="BL67" s="79" t="n">
        <f aca="false">IF(58&lt;$C$10,0,$M$10)+IF(58&lt;$C$11,0,$M$11)+IF(58&lt;$C$12,0,$M$12)+IF(58&lt;$C$13,0,$M$13)+IF(58&lt;$C$14,0,$M$14)</f>
        <v>8</v>
      </c>
      <c r="BM67" s="79" t="n">
        <f aca="false">IF(59&lt;$C$10,0,$M$10)+IF(59&lt;$C$11,0,$M$11)+IF(59&lt;$C$12,0,$M$12)+IF(59&lt;$C$13,0,$M$13)+IF(59&lt;$C$14,0,$M$14)</f>
        <v>8</v>
      </c>
      <c r="BN67" s="79" t="n">
        <f aca="false">IF(60&lt;$C$10,0,$M$10)+IF(60&lt;$C$11,0,$M$11)+IF(60&lt;$C$12,0,$M$12)+IF(60&lt;$C$13,0,$M$13)+IF(60&lt;$C$14,0,$M$14)</f>
        <v>8</v>
      </c>
    </row>
    <row r="69" customFormat="false" ht="16.5" hidden="false" customHeight="true" outlineLevel="0" collapsed="false">
      <c r="A69" s="15" t="s">
        <v>787</v>
      </c>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row>
    <row r="70" customFormat="false" ht="15" hidden="false" customHeight="true" outlineLevel="0" collapsed="false">
      <c r="A70" s="26" t="s">
        <v>481</v>
      </c>
      <c r="B70" s="61" t="s">
        <v>81</v>
      </c>
      <c r="C70" s="62" t="s">
        <v>482</v>
      </c>
      <c r="D70" s="62" t="s">
        <v>483</v>
      </c>
      <c r="E70" s="62" t="s">
        <v>484</v>
      </c>
      <c r="F70" s="62" t="s">
        <v>485</v>
      </c>
      <c r="G70" s="62" t="s">
        <v>486</v>
      </c>
      <c r="H70" s="62" t="s">
        <v>487</v>
      </c>
      <c r="I70" s="62" t="s">
        <v>488</v>
      </c>
      <c r="J70" s="62" t="s">
        <v>489</v>
      </c>
      <c r="K70" s="62" t="s">
        <v>490</v>
      </c>
      <c r="L70" s="62" t="s">
        <v>491</v>
      </c>
      <c r="M70" s="62" t="s">
        <v>492</v>
      </c>
      <c r="N70" s="62" t="s">
        <v>493</v>
      </c>
      <c r="O70" s="61" t="s">
        <v>82</v>
      </c>
      <c r="P70" s="63" t="s">
        <v>494</v>
      </c>
      <c r="Q70" s="63" t="s">
        <v>495</v>
      </c>
      <c r="R70" s="63" t="s">
        <v>496</v>
      </c>
      <c r="S70" s="63" t="s">
        <v>497</v>
      </c>
      <c r="T70" s="63" t="s">
        <v>498</v>
      </c>
      <c r="U70" s="63" t="s">
        <v>499</v>
      </c>
      <c r="V70" s="63" t="s">
        <v>500</v>
      </c>
      <c r="W70" s="63" t="s">
        <v>501</v>
      </c>
      <c r="X70" s="63" t="s">
        <v>502</v>
      </c>
      <c r="Y70" s="63" t="s">
        <v>503</v>
      </c>
      <c r="Z70" s="63" t="s">
        <v>504</v>
      </c>
      <c r="AA70" s="63" t="s">
        <v>505</v>
      </c>
      <c r="AB70" s="61" t="s">
        <v>83</v>
      </c>
      <c r="AC70" s="62" t="s">
        <v>506</v>
      </c>
      <c r="AD70" s="62" t="s">
        <v>507</v>
      </c>
      <c r="AE70" s="62" t="s">
        <v>508</v>
      </c>
      <c r="AF70" s="62" t="s">
        <v>509</v>
      </c>
      <c r="AG70" s="62" t="s">
        <v>510</v>
      </c>
      <c r="AH70" s="62" t="s">
        <v>511</v>
      </c>
      <c r="AI70" s="62" t="s">
        <v>512</v>
      </c>
      <c r="AJ70" s="62" t="s">
        <v>513</v>
      </c>
      <c r="AK70" s="62" t="s">
        <v>514</v>
      </c>
      <c r="AL70" s="62" t="s">
        <v>515</v>
      </c>
      <c r="AM70" s="62" t="s">
        <v>516</v>
      </c>
      <c r="AN70" s="62" t="s">
        <v>517</v>
      </c>
      <c r="AO70" s="61" t="s">
        <v>84</v>
      </c>
      <c r="AP70" s="63" t="s">
        <v>518</v>
      </c>
      <c r="AQ70" s="63" t="s">
        <v>519</v>
      </c>
      <c r="AR70" s="63" t="s">
        <v>520</v>
      </c>
      <c r="AS70" s="63" t="s">
        <v>521</v>
      </c>
      <c r="AT70" s="63" t="s">
        <v>522</v>
      </c>
      <c r="AU70" s="63" t="s">
        <v>523</v>
      </c>
      <c r="AV70" s="63" t="s">
        <v>524</v>
      </c>
      <c r="AW70" s="63" t="s">
        <v>525</v>
      </c>
      <c r="AX70" s="63" t="s">
        <v>526</v>
      </c>
      <c r="AY70" s="63" t="s">
        <v>527</v>
      </c>
      <c r="AZ70" s="63" t="s">
        <v>528</v>
      </c>
      <c r="BA70" s="63" t="s">
        <v>529</v>
      </c>
      <c r="BB70" s="61" t="s">
        <v>85</v>
      </c>
      <c r="BC70" s="62" t="s">
        <v>530</v>
      </c>
      <c r="BD70" s="62" t="s">
        <v>531</v>
      </c>
      <c r="BE70" s="62" t="s">
        <v>532</v>
      </c>
      <c r="BF70" s="62" t="s">
        <v>533</v>
      </c>
      <c r="BG70" s="62" t="s">
        <v>534</v>
      </c>
      <c r="BH70" s="62" t="s">
        <v>535</v>
      </c>
      <c r="BI70" s="62" t="s">
        <v>536</v>
      </c>
      <c r="BJ70" s="62" t="s">
        <v>537</v>
      </c>
      <c r="BK70" s="62" t="s">
        <v>538</v>
      </c>
      <c r="BL70" s="62" t="s">
        <v>539</v>
      </c>
      <c r="BM70" s="62" t="s">
        <v>540</v>
      </c>
      <c r="BN70" s="62" t="s">
        <v>541</v>
      </c>
    </row>
    <row r="71" customFormat="false" ht="15" hidden="false" customHeight="false" outlineLevel="0" collapsed="false">
      <c r="A71" s="12" t="s">
        <v>671</v>
      </c>
      <c r="B71" s="78" t="n">
        <f aca="false">N71</f>
        <v>3</v>
      </c>
      <c r="C71" s="79" t="n">
        <f aca="false">IF(1&lt;$C$7,0,$I$7)+IF(1&lt;$C$8,0,$I$8)+IF(1&lt;$C$9,0,$I$9)</f>
        <v>3</v>
      </c>
      <c r="D71" s="79" t="n">
        <f aca="false">IF(2&lt;$C$7,0,$I$7)+IF(2&lt;$C$8,0,$I$8)+IF(2&lt;$C$9,0,$I$9)</f>
        <v>3</v>
      </c>
      <c r="E71" s="79" t="n">
        <f aca="false">IF(3&lt;$C$7,0,$I$7)+IF(3&lt;$C$8,0,$I$8)+IF(3&lt;$C$9,0,$I$9)</f>
        <v>3</v>
      </c>
      <c r="F71" s="79" t="n">
        <f aca="false">IF(4&lt;$C$7,0,$I$7)+IF(4&lt;$C$8,0,$I$8)+IF(4&lt;$C$9,0,$I$9)</f>
        <v>3</v>
      </c>
      <c r="G71" s="79" t="n">
        <f aca="false">IF(5&lt;$C$7,0,$I$7)+IF(5&lt;$C$8,0,$I$8)+IF(5&lt;$C$9,0,$I$9)</f>
        <v>3</v>
      </c>
      <c r="H71" s="79" t="n">
        <f aca="false">IF(6&lt;$C$7,0,$I$7)+IF(6&lt;$C$8,0,$I$8)+IF(6&lt;$C$9,0,$I$9)</f>
        <v>3</v>
      </c>
      <c r="I71" s="79" t="n">
        <f aca="false">IF(7&lt;$C$7,0,$I$7)+IF(7&lt;$C$8,0,$I$8)+IF(7&lt;$C$9,0,$I$9)</f>
        <v>3</v>
      </c>
      <c r="J71" s="79" t="n">
        <f aca="false">IF(8&lt;$C$7,0,$I$7)+IF(8&lt;$C$8,0,$I$8)+IF(8&lt;$C$9,0,$I$9)</f>
        <v>3</v>
      </c>
      <c r="K71" s="79" t="n">
        <f aca="false">IF(9&lt;$C$7,0,$I$7)+IF(9&lt;$C$8,0,$I$8)+IF(9&lt;$C$9,0,$I$9)</f>
        <v>3</v>
      </c>
      <c r="L71" s="79" t="n">
        <f aca="false">IF(10&lt;$C$7,0,$I$7)+IF(10&lt;$C$8,0,$I$8)+IF(10&lt;$C$9,0,$I$9)</f>
        <v>3</v>
      </c>
      <c r="M71" s="79" t="n">
        <f aca="false">IF(11&lt;$C$7,0,$I$7)+IF(11&lt;$C$8,0,$I$8)+IF(11&lt;$C$9,0,$I$9)</f>
        <v>3</v>
      </c>
      <c r="N71" s="79" t="n">
        <f aca="false">IF(12&lt;$C$7,0,$I$7)+IF(12&lt;$C$8,0,$I$8)+IF(12&lt;$C$9,0,$I$9)</f>
        <v>3</v>
      </c>
      <c r="O71" s="78" t="n">
        <f aca="false">AA71</f>
        <v>3</v>
      </c>
      <c r="P71" s="79" t="n">
        <f aca="false">IF(13&lt;$C$7,0,$J$7)+IF(13&lt;$C$8,0,$J$8)+IF(13&lt;$C$9,0,$J$9)</f>
        <v>3</v>
      </c>
      <c r="Q71" s="79" t="n">
        <f aca="false">IF(14&lt;$C$7,0,$J$7)+IF(14&lt;$C$8,0,$J$8)+IF(14&lt;$C$9,0,$J$9)</f>
        <v>3</v>
      </c>
      <c r="R71" s="79" t="n">
        <f aca="false">IF(15&lt;$C$7,0,$J$7)+IF(15&lt;$C$8,0,$J$8)+IF(15&lt;$C$9,0,$J$9)</f>
        <v>3</v>
      </c>
      <c r="S71" s="79" t="n">
        <f aca="false">IF(16&lt;$C$7,0,$J$7)+IF(16&lt;$C$8,0,$J$8)+IF(16&lt;$C$9,0,$J$9)</f>
        <v>3</v>
      </c>
      <c r="T71" s="79" t="n">
        <f aca="false">IF(17&lt;$C$7,0,$J$7)+IF(17&lt;$C$8,0,$J$8)+IF(17&lt;$C$9,0,$J$9)</f>
        <v>3</v>
      </c>
      <c r="U71" s="79" t="n">
        <f aca="false">IF(18&lt;$C$7,0,$J$7)+IF(18&lt;$C$8,0,$J$8)+IF(18&lt;$C$9,0,$J$9)</f>
        <v>3</v>
      </c>
      <c r="V71" s="79" t="n">
        <f aca="false">IF(19&lt;$C$7,0,$J$7)+IF(19&lt;$C$8,0,$J$8)+IF(19&lt;$C$9,0,$J$9)</f>
        <v>3</v>
      </c>
      <c r="W71" s="79" t="n">
        <f aca="false">IF(20&lt;$C$7,0,$J$7)+IF(20&lt;$C$8,0,$J$8)+IF(20&lt;$C$9,0,$J$9)</f>
        <v>3</v>
      </c>
      <c r="X71" s="79" t="n">
        <f aca="false">IF(21&lt;$C$7,0,$J$7)+IF(21&lt;$C$8,0,$J$8)+IF(21&lt;$C$9,0,$J$9)</f>
        <v>3</v>
      </c>
      <c r="Y71" s="79" t="n">
        <f aca="false">IF(22&lt;$C$7,0,$J$7)+IF(22&lt;$C$8,0,$J$8)+IF(22&lt;$C$9,0,$J$9)</f>
        <v>3</v>
      </c>
      <c r="Z71" s="79" t="n">
        <f aca="false">IF(23&lt;$C$7,0,$J$7)+IF(23&lt;$C$8,0,$J$8)+IF(23&lt;$C$9,0,$J$9)</f>
        <v>3</v>
      </c>
      <c r="AA71" s="79" t="n">
        <f aca="false">IF(24&lt;$C$7,0,$J$7)+IF(24&lt;$C$8,0,$J$8)+IF(24&lt;$C$9,0,$J$9)</f>
        <v>3</v>
      </c>
      <c r="AB71" s="78" t="n">
        <f aca="false">AN71</f>
        <v>3</v>
      </c>
      <c r="AC71" s="79" t="n">
        <f aca="false">IF(25&lt;$C$7,0,$K$7)+IF(25&lt;$C$8,0,$K$8)+IF(25&lt;$C$9,0,$K$9)</f>
        <v>3</v>
      </c>
      <c r="AD71" s="79" t="n">
        <f aca="false">IF(26&lt;$C$7,0,$K$7)+IF(26&lt;$C$8,0,$K$8)+IF(26&lt;$C$9,0,$K$9)</f>
        <v>3</v>
      </c>
      <c r="AE71" s="79" t="n">
        <f aca="false">IF(27&lt;$C$7,0,$K$7)+IF(27&lt;$C$8,0,$K$8)+IF(27&lt;$C$9,0,$K$9)</f>
        <v>3</v>
      </c>
      <c r="AF71" s="79" t="n">
        <f aca="false">IF(28&lt;$C$7,0,$K$7)+IF(28&lt;$C$8,0,$K$8)+IF(28&lt;$C$9,0,$K$9)</f>
        <v>3</v>
      </c>
      <c r="AG71" s="79" t="n">
        <f aca="false">IF(29&lt;$C$7,0,$K$7)+IF(29&lt;$C$8,0,$K$8)+IF(29&lt;$C$9,0,$K$9)</f>
        <v>3</v>
      </c>
      <c r="AH71" s="79" t="n">
        <f aca="false">IF(30&lt;$C$7,0,$K$7)+IF(30&lt;$C$8,0,$K$8)+IF(30&lt;$C$9,0,$K$9)</f>
        <v>3</v>
      </c>
      <c r="AI71" s="79" t="n">
        <f aca="false">IF(31&lt;$C$7,0,$K$7)+IF(31&lt;$C$8,0,$K$8)+IF(31&lt;$C$9,0,$K$9)</f>
        <v>3</v>
      </c>
      <c r="AJ71" s="79" t="n">
        <f aca="false">IF(32&lt;$C$7,0,$K$7)+IF(32&lt;$C$8,0,$K$8)+IF(32&lt;$C$9,0,$K$9)</f>
        <v>3</v>
      </c>
      <c r="AK71" s="79" t="n">
        <f aca="false">IF(33&lt;$C$7,0,$K$7)+IF(33&lt;$C$8,0,$K$8)+IF(33&lt;$C$9,0,$K$9)</f>
        <v>3</v>
      </c>
      <c r="AL71" s="79" t="n">
        <f aca="false">IF(34&lt;$C$7,0,$K$7)+IF(34&lt;$C$8,0,$K$8)+IF(34&lt;$C$9,0,$K$9)</f>
        <v>3</v>
      </c>
      <c r="AM71" s="79" t="n">
        <f aca="false">IF(35&lt;$C$7,0,$K$7)+IF(35&lt;$C$8,0,$K$8)+IF(35&lt;$C$9,0,$K$9)</f>
        <v>3</v>
      </c>
      <c r="AN71" s="79" t="n">
        <f aca="false">IF(36&lt;$C$7,0,$K$7)+IF(36&lt;$C$8,0,$K$8)+IF(36&lt;$C$9,0,$K$9)</f>
        <v>3</v>
      </c>
      <c r="AO71" s="78" t="n">
        <f aca="false">BA71</f>
        <v>3</v>
      </c>
      <c r="AP71" s="79" t="n">
        <f aca="false">IF(37&lt;$C$7,0,$L$7)+IF(37&lt;$C$8,0,$L$8)+IF(37&lt;$C$9,0,$L$9)</f>
        <v>3</v>
      </c>
      <c r="AQ71" s="79" t="n">
        <f aca="false">IF(38&lt;$C$7,0,$L$7)+IF(38&lt;$C$8,0,$L$8)+IF(38&lt;$C$9,0,$L$9)</f>
        <v>3</v>
      </c>
      <c r="AR71" s="79" t="n">
        <f aca="false">IF(39&lt;$C$7,0,$L$7)+IF(39&lt;$C$8,0,$L$8)+IF(39&lt;$C$9,0,$L$9)</f>
        <v>3</v>
      </c>
      <c r="AS71" s="79" t="n">
        <f aca="false">IF(40&lt;$C$7,0,$L$7)+IF(40&lt;$C$8,0,$L$8)+IF(40&lt;$C$9,0,$L$9)</f>
        <v>3</v>
      </c>
      <c r="AT71" s="79" t="n">
        <f aca="false">IF(41&lt;$C$7,0,$L$7)+IF(41&lt;$C$8,0,$L$8)+IF(41&lt;$C$9,0,$L$9)</f>
        <v>3</v>
      </c>
      <c r="AU71" s="79" t="n">
        <f aca="false">IF(42&lt;$C$7,0,$L$7)+IF(42&lt;$C$8,0,$L$8)+IF(42&lt;$C$9,0,$L$9)</f>
        <v>3</v>
      </c>
      <c r="AV71" s="79" t="n">
        <f aca="false">IF(43&lt;$C$7,0,$L$7)+IF(43&lt;$C$8,0,$L$8)+IF(43&lt;$C$9,0,$L$9)</f>
        <v>3</v>
      </c>
      <c r="AW71" s="79" t="n">
        <f aca="false">IF(44&lt;$C$7,0,$L$7)+IF(44&lt;$C$8,0,$L$8)+IF(44&lt;$C$9,0,$L$9)</f>
        <v>3</v>
      </c>
      <c r="AX71" s="79" t="n">
        <f aca="false">IF(45&lt;$C$7,0,$L$7)+IF(45&lt;$C$8,0,$L$8)+IF(45&lt;$C$9,0,$L$9)</f>
        <v>3</v>
      </c>
      <c r="AY71" s="79" t="n">
        <f aca="false">IF(46&lt;$C$7,0,$L$7)+IF(46&lt;$C$8,0,$L$8)+IF(46&lt;$C$9,0,$L$9)</f>
        <v>3</v>
      </c>
      <c r="AZ71" s="79" t="n">
        <f aca="false">IF(47&lt;$C$7,0,$L$7)+IF(47&lt;$C$8,0,$L$8)+IF(47&lt;$C$9,0,$L$9)</f>
        <v>3</v>
      </c>
      <c r="BA71" s="79" t="n">
        <f aca="false">IF(48&lt;$C$7,0,$L$7)+IF(48&lt;$C$8,0,$L$8)+IF(48&lt;$C$9,0,$L$9)</f>
        <v>3</v>
      </c>
      <c r="BB71" s="78" t="n">
        <f aca="false">BN71</f>
        <v>3</v>
      </c>
      <c r="BC71" s="79" t="n">
        <f aca="false">IF(49&lt;$C$7,0,$M$7)+IF(49&lt;$C$8,0,$M$8)+IF(49&lt;$C$9,0,$M$9)</f>
        <v>3</v>
      </c>
      <c r="BD71" s="79" t="n">
        <f aca="false">IF(50&lt;$C$7,0,$M$7)+IF(50&lt;$C$8,0,$M$8)+IF(50&lt;$C$9,0,$M$9)</f>
        <v>3</v>
      </c>
      <c r="BE71" s="79" t="n">
        <f aca="false">IF(51&lt;$C$7,0,$M$7)+IF(51&lt;$C$8,0,$M$8)+IF(51&lt;$C$9,0,$M$9)</f>
        <v>3</v>
      </c>
      <c r="BF71" s="79" t="n">
        <f aca="false">IF(52&lt;$C$7,0,$M$7)+IF(52&lt;$C$8,0,$M$8)+IF(52&lt;$C$9,0,$M$9)</f>
        <v>3</v>
      </c>
      <c r="BG71" s="79" t="n">
        <f aca="false">IF(53&lt;$C$7,0,$M$7)+IF(53&lt;$C$8,0,$M$8)+IF(53&lt;$C$9,0,$M$9)</f>
        <v>3</v>
      </c>
      <c r="BH71" s="79" t="n">
        <f aca="false">IF(54&lt;$C$7,0,$M$7)+IF(54&lt;$C$8,0,$M$8)+IF(54&lt;$C$9,0,$M$9)</f>
        <v>3</v>
      </c>
      <c r="BI71" s="79" t="n">
        <f aca="false">IF(55&lt;$C$7,0,$M$7)+IF(55&lt;$C$8,0,$M$8)+IF(55&lt;$C$9,0,$M$9)</f>
        <v>3</v>
      </c>
      <c r="BJ71" s="79" t="n">
        <f aca="false">IF(56&lt;$C$7,0,$M$7)+IF(56&lt;$C$8,0,$M$8)+IF(56&lt;$C$9,0,$M$9)</f>
        <v>3</v>
      </c>
      <c r="BK71" s="79" t="n">
        <f aca="false">IF(57&lt;$C$7,0,$M$7)+IF(57&lt;$C$8,0,$M$8)+IF(57&lt;$C$9,0,$M$9)</f>
        <v>3</v>
      </c>
      <c r="BL71" s="79" t="n">
        <f aca="false">IF(58&lt;$C$7,0,$M$7)+IF(58&lt;$C$8,0,$M$8)+IF(58&lt;$C$9,0,$M$9)</f>
        <v>3</v>
      </c>
      <c r="BM71" s="79" t="n">
        <f aca="false">IF(59&lt;$C$7,0,$M$7)+IF(59&lt;$C$8,0,$M$8)+IF(59&lt;$C$9,0,$M$9)</f>
        <v>3</v>
      </c>
      <c r="BN71" s="79" t="n">
        <f aca="false">IF(60&lt;$C$7,0,$M$7)+IF(60&lt;$C$8,0,$M$8)+IF(60&lt;$C$9,0,$M$9)</f>
        <v>3</v>
      </c>
    </row>
    <row r="72" customFormat="false" ht="15" hidden="false" customHeight="false" outlineLevel="0" collapsed="false">
      <c r="A72" s="12" t="s">
        <v>304</v>
      </c>
      <c r="B72" s="78" t="n">
        <f aca="false">N72</f>
        <v>2</v>
      </c>
      <c r="C72" s="79" t="n">
        <f aca="false">IF(1&lt;$C$10,0,$I$10)+IF(1&lt;$C$11,0,$I$11)+IF(1&lt;$C$12,0,$I$12)+IF(1&lt;$C$13,0,$I$13)+IF(1&lt;$C$14,0,$I$14)</f>
        <v>2</v>
      </c>
      <c r="D72" s="79" t="n">
        <f aca="false">IF(2&lt;$C$10,0,$I$10)+IF(2&lt;$C$11,0,$I$11)+IF(2&lt;$C$12,0,$I$12)+IF(2&lt;$C$13,0,$I$13)+IF(2&lt;$C$14,0,$I$14)</f>
        <v>2</v>
      </c>
      <c r="E72" s="79" t="n">
        <f aca="false">IF(3&lt;$C$10,0,$I$10)+IF(3&lt;$C$11,0,$I$11)+IF(3&lt;$C$12,0,$I$12)+IF(3&lt;$C$13,0,$I$13)+IF(3&lt;$C$14,0,$I$14)</f>
        <v>2</v>
      </c>
      <c r="F72" s="79" t="n">
        <f aca="false">IF(4&lt;$C$10,0,$I$10)+IF(4&lt;$C$11,0,$I$11)+IF(4&lt;$C$12,0,$I$12)+IF(4&lt;$C$13,0,$I$13)+IF(4&lt;$C$14,0,$I$14)</f>
        <v>2</v>
      </c>
      <c r="G72" s="79" t="n">
        <f aca="false">IF(5&lt;$C$10,0,$I$10)+IF(5&lt;$C$11,0,$I$11)+IF(5&lt;$C$12,0,$I$12)+IF(5&lt;$C$13,0,$I$13)+IF(5&lt;$C$14,0,$I$14)</f>
        <v>2</v>
      </c>
      <c r="H72" s="79" t="n">
        <f aca="false">IF(6&lt;$C$10,0,$I$10)+IF(6&lt;$C$11,0,$I$11)+IF(6&lt;$C$12,0,$I$12)+IF(6&lt;$C$13,0,$I$13)+IF(6&lt;$C$14,0,$I$14)</f>
        <v>2</v>
      </c>
      <c r="I72" s="79" t="n">
        <f aca="false">IF(7&lt;$C$10,0,$I$10)+IF(7&lt;$C$11,0,$I$11)+IF(7&lt;$C$12,0,$I$12)+IF(7&lt;$C$13,0,$I$13)+IF(7&lt;$C$14,0,$I$14)</f>
        <v>2</v>
      </c>
      <c r="J72" s="79" t="n">
        <f aca="false">IF(8&lt;$C$10,0,$I$10)+IF(8&lt;$C$11,0,$I$11)+IF(8&lt;$C$12,0,$I$12)+IF(8&lt;$C$13,0,$I$13)+IF(8&lt;$C$14,0,$I$14)</f>
        <v>2</v>
      </c>
      <c r="K72" s="79" t="n">
        <f aca="false">IF(9&lt;$C$10,0,$I$10)+IF(9&lt;$C$11,0,$I$11)+IF(9&lt;$C$12,0,$I$12)+IF(9&lt;$C$13,0,$I$13)+IF(9&lt;$C$14,0,$I$14)</f>
        <v>2</v>
      </c>
      <c r="L72" s="79" t="n">
        <f aca="false">IF(10&lt;$C$10,0,$I$10)+IF(10&lt;$C$11,0,$I$11)+IF(10&lt;$C$12,0,$I$12)+IF(10&lt;$C$13,0,$I$13)+IF(10&lt;$C$14,0,$I$14)</f>
        <v>2</v>
      </c>
      <c r="M72" s="79" t="n">
        <f aca="false">IF(11&lt;$C$10,0,$I$10)+IF(11&lt;$C$11,0,$I$11)+IF(11&lt;$C$12,0,$I$12)+IF(11&lt;$C$13,0,$I$13)+IF(11&lt;$C$14,0,$I$14)</f>
        <v>2</v>
      </c>
      <c r="N72" s="79" t="n">
        <f aca="false">IF(12&lt;$C$10,0,$I$10)+IF(12&lt;$C$11,0,$I$11)+IF(12&lt;$C$12,0,$I$12)+IF(12&lt;$C$13,0,$I$13)+IF(12&lt;$C$14,0,$I$14)</f>
        <v>2</v>
      </c>
      <c r="O72" s="78" t="n">
        <f aca="false">AA72</f>
        <v>3</v>
      </c>
      <c r="P72" s="79" t="n">
        <f aca="false">IF(13&lt;$C$10,0,$J$10)+IF(13&lt;$C$11,0,$J$11)+IF(13&lt;$C$12,0,$J$12)+IF(13&lt;$C$13,0,$J$13)+IF(13&lt;$C$14,0,$J$14)</f>
        <v>3</v>
      </c>
      <c r="Q72" s="79" t="n">
        <f aca="false">IF(14&lt;$C$10,0,$J$10)+IF(14&lt;$C$11,0,$J$11)+IF(14&lt;$C$12,0,$J$12)+IF(14&lt;$C$13,0,$J$13)+IF(14&lt;$C$14,0,$J$14)</f>
        <v>3</v>
      </c>
      <c r="R72" s="79" t="n">
        <f aca="false">IF(15&lt;$C$10,0,$J$10)+IF(15&lt;$C$11,0,$J$11)+IF(15&lt;$C$12,0,$J$12)+IF(15&lt;$C$13,0,$J$13)+IF(15&lt;$C$14,0,$J$14)</f>
        <v>3</v>
      </c>
      <c r="S72" s="79" t="n">
        <f aca="false">IF(16&lt;$C$10,0,$J$10)+IF(16&lt;$C$11,0,$J$11)+IF(16&lt;$C$12,0,$J$12)+IF(16&lt;$C$13,0,$J$13)+IF(16&lt;$C$14,0,$J$14)</f>
        <v>3</v>
      </c>
      <c r="T72" s="79" t="n">
        <f aca="false">IF(17&lt;$C$10,0,$J$10)+IF(17&lt;$C$11,0,$J$11)+IF(17&lt;$C$12,0,$J$12)+IF(17&lt;$C$13,0,$J$13)+IF(17&lt;$C$14,0,$J$14)</f>
        <v>3</v>
      </c>
      <c r="U72" s="79" t="n">
        <f aca="false">IF(18&lt;$C$10,0,$J$10)+IF(18&lt;$C$11,0,$J$11)+IF(18&lt;$C$12,0,$J$12)+IF(18&lt;$C$13,0,$J$13)+IF(18&lt;$C$14,0,$J$14)</f>
        <v>3</v>
      </c>
      <c r="V72" s="79" t="n">
        <f aca="false">IF(19&lt;$C$10,0,$J$10)+IF(19&lt;$C$11,0,$J$11)+IF(19&lt;$C$12,0,$J$12)+IF(19&lt;$C$13,0,$J$13)+IF(19&lt;$C$14,0,$J$14)</f>
        <v>3</v>
      </c>
      <c r="W72" s="79" t="n">
        <f aca="false">IF(20&lt;$C$10,0,$J$10)+IF(20&lt;$C$11,0,$J$11)+IF(20&lt;$C$12,0,$J$12)+IF(20&lt;$C$13,0,$J$13)+IF(20&lt;$C$14,0,$J$14)</f>
        <v>3</v>
      </c>
      <c r="X72" s="79" t="n">
        <f aca="false">IF(21&lt;$C$10,0,$J$10)+IF(21&lt;$C$11,0,$J$11)+IF(21&lt;$C$12,0,$J$12)+IF(21&lt;$C$13,0,$J$13)+IF(21&lt;$C$14,0,$J$14)</f>
        <v>3</v>
      </c>
      <c r="Y72" s="79" t="n">
        <f aca="false">IF(22&lt;$C$10,0,$J$10)+IF(22&lt;$C$11,0,$J$11)+IF(22&lt;$C$12,0,$J$12)+IF(22&lt;$C$13,0,$J$13)+IF(22&lt;$C$14,0,$J$14)</f>
        <v>3</v>
      </c>
      <c r="Z72" s="79" t="n">
        <f aca="false">IF(23&lt;$C$10,0,$J$10)+IF(23&lt;$C$11,0,$J$11)+IF(23&lt;$C$12,0,$J$12)+IF(23&lt;$C$13,0,$J$13)+IF(23&lt;$C$14,0,$J$14)</f>
        <v>3</v>
      </c>
      <c r="AA72" s="79" t="n">
        <f aca="false">IF(24&lt;$C$10,0,$J$10)+IF(24&lt;$C$11,0,$J$11)+IF(24&lt;$C$12,0,$J$12)+IF(24&lt;$C$13,0,$J$13)+IF(24&lt;$C$14,0,$J$14)</f>
        <v>3</v>
      </c>
      <c r="AB72" s="78" t="n">
        <f aca="false">AN72</f>
        <v>4</v>
      </c>
      <c r="AC72" s="79" t="n">
        <f aca="false">IF(25&lt;$C$10,0,$K$10)+IF(25&lt;$C$11,0,$K$11)+IF(25&lt;$C$12,0,$K$12)+IF(25&lt;$C$13,0,$K$13)+IF(25&lt;$C$14,0,$K$14)</f>
        <v>4</v>
      </c>
      <c r="AD72" s="79" t="n">
        <f aca="false">IF(26&lt;$C$10,0,$K$10)+IF(26&lt;$C$11,0,$K$11)+IF(26&lt;$C$12,0,$K$12)+IF(26&lt;$C$13,0,$K$13)+IF(26&lt;$C$14,0,$K$14)</f>
        <v>4</v>
      </c>
      <c r="AE72" s="79" t="n">
        <f aca="false">IF(27&lt;$C$10,0,$K$10)+IF(27&lt;$C$11,0,$K$11)+IF(27&lt;$C$12,0,$K$12)+IF(27&lt;$C$13,0,$K$13)+IF(27&lt;$C$14,0,$K$14)</f>
        <v>4</v>
      </c>
      <c r="AF72" s="79" t="n">
        <f aca="false">IF(28&lt;$C$10,0,$K$10)+IF(28&lt;$C$11,0,$K$11)+IF(28&lt;$C$12,0,$K$12)+IF(28&lt;$C$13,0,$K$13)+IF(28&lt;$C$14,0,$K$14)</f>
        <v>4</v>
      </c>
      <c r="AG72" s="79" t="n">
        <f aca="false">IF(29&lt;$C$10,0,$K$10)+IF(29&lt;$C$11,0,$K$11)+IF(29&lt;$C$12,0,$K$12)+IF(29&lt;$C$13,0,$K$13)+IF(29&lt;$C$14,0,$K$14)</f>
        <v>4</v>
      </c>
      <c r="AH72" s="79" t="n">
        <f aca="false">IF(30&lt;$C$10,0,$K$10)+IF(30&lt;$C$11,0,$K$11)+IF(30&lt;$C$12,0,$K$12)+IF(30&lt;$C$13,0,$K$13)+IF(30&lt;$C$14,0,$K$14)</f>
        <v>4</v>
      </c>
      <c r="AI72" s="79" t="n">
        <f aca="false">IF(31&lt;$C$10,0,$K$10)+IF(31&lt;$C$11,0,$K$11)+IF(31&lt;$C$12,0,$K$12)+IF(31&lt;$C$13,0,$K$13)+IF(31&lt;$C$14,0,$K$14)</f>
        <v>4</v>
      </c>
      <c r="AJ72" s="79" t="n">
        <f aca="false">IF(32&lt;$C$10,0,$K$10)+IF(32&lt;$C$11,0,$K$11)+IF(32&lt;$C$12,0,$K$12)+IF(32&lt;$C$13,0,$K$13)+IF(32&lt;$C$14,0,$K$14)</f>
        <v>4</v>
      </c>
      <c r="AK72" s="79" t="n">
        <f aca="false">IF(33&lt;$C$10,0,$K$10)+IF(33&lt;$C$11,0,$K$11)+IF(33&lt;$C$12,0,$K$12)+IF(33&lt;$C$13,0,$K$13)+IF(33&lt;$C$14,0,$K$14)</f>
        <v>4</v>
      </c>
      <c r="AL72" s="79" t="n">
        <f aca="false">IF(34&lt;$C$10,0,$K$10)+IF(34&lt;$C$11,0,$K$11)+IF(34&lt;$C$12,0,$K$12)+IF(34&lt;$C$13,0,$K$13)+IF(34&lt;$C$14,0,$K$14)</f>
        <v>4</v>
      </c>
      <c r="AM72" s="79" t="n">
        <f aca="false">IF(35&lt;$C$10,0,$K$10)+IF(35&lt;$C$11,0,$K$11)+IF(35&lt;$C$12,0,$K$12)+IF(35&lt;$C$13,0,$K$13)+IF(35&lt;$C$14,0,$K$14)</f>
        <v>4</v>
      </c>
      <c r="AN72" s="79" t="n">
        <f aca="false">IF(36&lt;$C$10,0,$K$10)+IF(36&lt;$C$11,0,$K$11)+IF(36&lt;$C$12,0,$K$12)+IF(36&lt;$C$13,0,$K$13)+IF(36&lt;$C$14,0,$K$14)</f>
        <v>4</v>
      </c>
      <c r="AO72" s="78" t="n">
        <f aca="false">BA72</f>
        <v>6</v>
      </c>
      <c r="AP72" s="79" t="n">
        <f aca="false">IF(37&lt;$C$10,0,$L$10)+IF(37&lt;$C$11,0,$L$11)+IF(37&lt;$C$12,0,$L$12)+IF(37&lt;$C$13,0,$L$13)+IF(37&lt;$C$14,0,$L$14)</f>
        <v>6</v>
      </c>
      <c r="AQ72" s="79" t="n">
        <f aca="false">IF(38&lt;$C$10,0,$L$10)+IF(38&lt;$C$11,0,$L$11)+IF(38&lt;$C$12,0,$L$12)+IF(38&lt;$C$13,0,$L$13)+IF(38&lt;$C$14,0,$L$14)</f>
        <v>6</v>
      </c>
      <c r="AR72" s="79" t="n">
        <f aca="false">IF(39&lt;$C$10,0,$L$10)+IF(39&lt;$C$11,0,$L$11)+IF(39&lt;$C$12,0,$L$12)+IF(39&lt;$C$13,0,$L$13)+IF(39&lt;$C$14,0,$L$14)</f>
        <v>6</v>
      </c>
      <c r="AS72" s="79" t="n">
        <f aca="false">IF(40&lt;$C$10,0,$L$10)+IF(40&lt;$C$11,0,$L$11)+IF(40&lt;$C$12,0,$L$12)+IF(40&lt;$C$13,0,$L$13)+IF(40&lt;$C$14,0,$L$14)</f>
        <v>6</v>
      </c>
      <c r="AT72" s="79" t="n">
        <f aca="false">IF(41&lt;$C$10,0,$L$10)+IF(41&lt;$C$11,0,$L$11)+IF(41&lt;$C$12,0,$L$12)+IF(41&lt;$C$13,0,$L$13)+IF(41&lt;$C$14,0,$L$14)</f>
        <v>6</v>
      </c>
      <c r="AU72" s="79" t="n">
        <f aca="false">IF(42&lt;$C$10,0,$L$10)+IF(42&lt;$C$11,0,$L$11)+IF(42&lt;$C$12,0,$L$12)+IF(42&lt;$C$13,0,$L$13)+IF(42&lt;$C$14,0,$L$14)</f>
        <v>6</v>
      </c>
      <c r="AV72" s="79" t="n">
        <f aca="false">IF(43&lt;$C$10,0,$L$10)+IF(43&lt;$C$11,0,$L$11)+IF(43&lt;$C$12,0,$L$12)+IF(43&lt;$C$13,0,$L$13)+IF(43&lt;$C$14,0,$L$14)</f>
        <v>6</v>
      </c>
      <c r="AW72" s="79" t="n">
        <f aca="false">IF(44&lt;$C$10,0,$L$10)+IF(44&lt;$C$11,0,$L$11)+IF(44&lt;$C$12,0,$L$12)+IF(44&lt;$C$13,0,$L$13)+IF(44&lt;$C$14,0,$L$14)</f>
        <v>6</v>
      </c>
      <c r="AX72" s="79" t="n">
        <f aca="false">IF(45&lt;$C$10,0,$L$10)+IF(45&lt;$C$11,0,$L$11)+IF(45&lt;$C$12,0,$L$12)+IF(45&lt;$C$13,0,$L$13)+IF(45&lt;$C$14,0,$L$14)</f>
        <v>6</v>
      </c>
      <c r="AY72" s="79" t="n">
        <f aca="false">IF(46&lt;$C$10,0,$L$10)+IF(46&lt;$C$11,0,$L$11)+IF(46&lt;$C$12,0,$L$12)+IF(46&lt;$C$13,0,$L$13)+IF(46&lt;$C$14,0,$L$14)</f>
        <v>6</v>
      </c>
      <c r="AZ72" s="79" t="n">
        <f aca="false">IF(47&lt;$C$10,0,$L$10)+IF(47&lt;$C$11,0,$L$11)+IF(47&lt;$C$12,0,$L$12)+IF(47&lt;$C$13,0,$L$13)+IF(47&lt;$C$14,0,$L$14)</f>
        <v>6</v>
      </c>
      <c r="BA72" s="79" t="n">
        <f aca="false">IF(48&lt;$C$10,0,$L$10)+IF(48&lt;$C$11,0,$L$11)+IF(48&lt;$C$12,0,$L$12)+IF(48&lt;$C$13,0,$L$13)+IF(48&lt;$C$14,0,$L$14)</f>
        <v>6</v>
      </c>
      <c r="BB72" s="78" t="n">
        <f aca="false">BN72</f>
        <v>8</v>
      </c>
      <c r="BC72" s="79" t="n">
        <f aca="false">IF(49&lt;$C$10,0,$M$10)+IF(49&lt;$C$11,0,$M$11)+IF(49&lt;$C$12,0,$M$12)+IF(49&lt;$C$13,0,$M$13)+IF(49&lt;$C$14,0,$M$14)</f>
        <v>8</v>
      </c>
      <c r="BD72" s="79" t="n">
        <f aca="false">IF(50&lt;$C$10,0,$M$10)+IF(50&lt;$C$11,0,$M$11)+IF(50&lt;$C$12,0,$M$12)+IF(50&lt;$C$13,0,$M$13)+IF(50&lt;$C$14,0,$M$14)</f>
        <v>8</v>
      </c>
      <c r="BE72" s="79" t="n">
        <f aca="false">IF(51&lt;$C$10,0,$M$10)+IF(51&lt;$C$11,0,$M$11)+IF(51&lt;$C$12,0,$M$12)+IF(51&lt;$C$13,0,$M$13)+IF(51&lt;$C$14,0,$M$14)</f>
        <v>8</v>
      </c>
      <c r="BF72" s="79" t="n">
        <f aca="false">IF(52&lt;$C$10,0,$M$10)+IF(52&lt;$C$11,0,$M$11)+IF(52&lt;$C$12,0,$M$12)+IF(52&lt;$C$13,0,$M$13)+IF(52&lt;$C$14,0,$M$14)</f>
        <v>8</v>
      </c>
      <c r="BG72" s="79" t="n">
        <f aca="false">IF(53&lt;$C$10,0,$M$10)+IF(53&lt;$C$11,0,$M$11)+IF(53&lt;$C$12,0,$M$12)+IF(53&lt;$C$13,0,$M$13)+IF(53&lt;$C$14,0,$M$14)</f>
        <v>8</v>
      </c>
      <c r="BH72" s="79" t="n">
        <f aca="false">IF(54&lt;$C$10,0,$M$10)+IF(54&lt;$C$11,0,$M$11)+IF(54&lt;$C$12,0,$M$12)+IF(54&lt;$C$13,0,$M$13)+IF(54&lt;$C$14,0,$M$14)</f>
        <v>8</v>
      </c>
      <c r="BI72" s="79" t="n">
        <f aca="false">IF(55&lt;$C$10,0,$M$10)+IF(55&lt;$C$11,0,$M$11)+IF(55&lt;$C$12,0,$M$12)+IF(55&lt;$C$13,0,$M$13)+IF(55&lt;$C$14,0,$M$14)</f>
        <v>8</v>
      </c>
      <c r="BJ72" s="79" t="n">
        <f aca="false">IF(56&lt;$C$10,0,$M$10)+IF(56&lt;$C$11,0,$M$11)+IF(56&lt;$C$12,0,$M$12)+IF(56&lt;$C$13,0,$M$13)+IF(56&lt;$C$14,0,$M$14)</f>
        <v>8</v>
      </c>
      <c r="BK72" s="79" t="n">
        <f aca="false">IF(57&lt;$C$10,0,$M$10)+IF(57&lt;$C$11,0,$M$11)+IF(57&lt;$C$12,0,$M$12)+IF(57&lt;$C$13,0,$M$13)+IF(57&lt;$C$14,0,$M$14)</f>
        <v>8</v>
      </c>
      <c r="BL72" s="79" t="n">
        <f aca="false">IF(58&lt;$C$10,0,$M$10)+IF(58&lt;$C$11,0,$M$11)+IF(58&lt;$C$12,0,$M$12)+IF(58&lt;$C$13,0,$M$13)+IF(58&lt;$C$14,0,$M$14)</f>
        <v>8</v>
      </c>
      <c r="BM72" s="79" t="n">
        <f aca="false">IF(59&lt;$C$10,0,$M$10)+IF(59&lt;$C$11,0,$M$11)+IF(59&lt;$C$12,0,$M$12)+IF(59&lt;$C$13,0,$M$13)+IF(59&lt;$C$14,0,$M$14)</f>
        <v>8</v>
      </c>
      <c r="BN72" s="79" t="n">
        <f aca="false">IF(60&lt;$C$10,0,$M$10)+IF(60&lt;$C$11,0,$M$11)+IF(60&lt;$C$12,0,$M$12)+IF(60&lt;$C$13,0,$M$13)+IF(60&lt;$C$14,0,$M$14)</f>
        <v>8</v>
      </c>
    </row>
    <row r="73" customFormat="false" ht="15" hidden="false" customHeight="false" outlineLevel="0" collapsed="false">
      <c r="A73" s="12" t="s">
        <v>303</v>
      </c>
      <c r="B73" s="78" t="n">
        <f aca="false">N73</f>
        <v>1</v>
      </c>
      <c r="C73" s="79" t="n">
        <f aca="false">IF(1&lt;$C$15,0,$I$15)+IF(1&lt;$C$16,0,$I$16)</f>
        <v>1</v>
      </c>
      <c r="D73" s="79" t="n">
        <f aca="false">IF(2&lt;$C$15,0,$I$15)+IF(2&lt;$C$16,0,$I$16)</f>
        <v>1</v>
      </c>
      <c r="E73" s="79" t="n">
        <f aca="false">IF(3&lt;$C$15,0,$I$15)+IF(3&lt;$C$16,0,$I$16)</f>
        <v>1</v>
      </c>
      <c r="F73" s="79" t="n">
        <f aca="false">IF(4&lt;$C$15,0,$I$15)+IF(4&lt;$C$16,0,$I$16)</f>
        <v>1</v>
      </c>
      <c r="G73" s="79" t="n">
        <f aca="false">IF(5&lt;$C$15,0,$I$15)+IF(5&lt;$C$16,0,$I$16)</f>
        <v>1</v>
      </c>
      <c r="H73" s="79" t="n">
        <f aca="false">IF(6&lt;$C$15,0,$I$15)+IF(6&lt;$C$16,0,$I$16)</f>
        <v>1</v>
      </c>
      <c r="I73" s="79" t="n">
        <f aca="false">IF(7&lt;$C$15,0,$I$15)+IF(7&lt;$C$16,0,$I$16)</f>
        <v>1</v>
      </c>
      <c r="J73" s="79" t="n">
        <f aca="false">IF(8&lt;$C$15,0,$I$15)+IF(8&lt;$C$16,0,$I$16)</f>
        <v>1</v>
      </c>
      <c r="K73" s="79" t="n">
        <f aca="false">IF(9&lt;$C$15,0,$I$15)+IF(9&lt;$C$16,0,$I$16)</f>
        <v>1</v>
      </c>
      <c r="L73" s="79" t="n">
        <f aca="false">IF(10&lt;$C$15,0,$I$15)+IF(10&lt;$C$16,0,$I$16)</f>
        <v>1</v>
      </c>
      <c r="M73" s="79" t="n">
        <f aca="false">IF(11&lt;$C$15,0,$I$15)+IF(11&lt;$C$16,0,$I$16)</f>
        <v>1</v>
      </c>
      <c r="N73" s="79" t="n">
        <f aca="false">IF(12&lt;$C$15,0,$I$15)+IF(12&lt;$C$16,0,$I$16)</f>
        <v>1</v>
      </c>
      <c r="O73" s="78" t="n">
        <f aca="false">AA73</f>
        <v>1</v>
      </c>
      <c r="P73" s="79" t="n">
        <f aca="false">IF(13&lt;$C$15,0,$J$15)+IF(13&lt;$C$16,0,$J$16)</f>
        <v>1</v>
      </c>
      <c r="Q73" s="79" t="n">
        <f aca="false">IF(14&lt;$C$15,0,$J$15)+IF(14&lt;$C$16,0,$J$16)</f>
        <v>1</v>
      </c>
      <c r="R73" s="79" t="n">
        <f aca="false">IF(15&lt;$C$15,0,$J$15)+IF(15&lt;$C$16,0,$J$16)</f>
        <v>1</v>
      </c>
      <c r="S73" s="79" t="n">
        <f aca="false">IF(16&lt;$C$15,0,$J$15)+IF(16&lt;$C$16,0,$J$16)</f>
        <v>1</v>
      </c>
      <c r="T73" s="79" t="n">
        <f aca="false">IF(17&lt;$C$15,0,$J$15)+IF(17&lt;$C$16,0,$J$16)</f>
        <v>1</v>
      </c>
      <c r="U73" s="79" t="n">
        <f aca="false">IF(18&lt;$C$15,0,$J$15)+IF(18&lt;$C$16,0,$J$16)</f>
        <v>1</v>
      </c>
      <c r="V73" s="79" t="n">
        <f aca="false">IF(19&lt;$C$15,0,$J$15)+IF(19&lt;$C$16,0,$J$16)</f>
        <v>1</v>
      </c>
      <c r="W73" s="79" t="n">
        <f aca="false">IF(20&lt;$C$15,0,$J$15)+IF(20&lt;$C$16,0,$J$16)</f>
        <v>1</v>
      </c>
      <c r="X73" s="79" t="n">
        <f aca="false">IF(21&lt;$C$15,0,$J$15)+IF(21&lt;$C$16,0,$J$16)</f>
        <v>1</v>
      </c>
      <c r="Y73" s="79" t="n">
        <f aca="false">IF(22&lt;$C$15,0,$J$15)+IF(22&lt;$C$16,0,$J$16)</f>
        <v>1</v>
      </c>
      <c r="Z73" s="79" t="n">
        <f aca="false">IF(23&lt;$C$15,0,$J$15)+IF(23&lt;$C$16,0,$J$16)</f>
        <v>1</v>
      </c>
      <c r="AA73" s="79" t="n">
        <f aca="false">IF(24&lt;$C$15,0,$J$15)+IF(24&lt;$C$16,0,$J$16)</f>
        <v>1</v>
      </c>
      <c r="AB73" s="78" t="n">
        <f aca="false">AN73</f>
        <v>1</v>
      </c>
      <c r="AC73" s="79" t="n">
        <f aca="false">IF(25&lt;$C$15,0,$K$15)+IF(25&lt;$C$16,0,$K$16)</f>
        <v>1</v>
      </c>
      <c r="AD73" s="79" t="n">
        <f aca="false">IF(26&lt;$C$15,0,$K$15)+IF(26&lt;$C$16,0,$K$16)</f>
        <v>1</v>
      </c>
      <c r="AE73" s="79" t="n">
        <f aca="false">IF(27&lt;$C$15,0,$K$15)+IF(27&lt;$C$16,0,$K$16)</f>
        <v>1</v>
      </c>
      <c r="AF73" s="79" t="n">
        <f aca="false">IF(28&lt;$C$15,0,$K$15)+IF(28&lt;$C$16,0,$K$16)</f>
        <v>1</v>
      </c>
      <c r="AG73" s="79" t="n">
        <f aca="false">IF(29&lt;$C$15,0,$K$15)+IF(29&lt;$C$16,0,$K$16)</f>
        <v>1</v>
      </c>
      <c r="AH73" s="79" t="n">
        <f aca="false">IF(30&lt;$C$15,0,$K$15)+IF(30&lt;$C$16,0,$K$16)</f>
        <v>1</v>
      </c>
      <c r="AI73" s="79" t="n">
        <f aca="false">IF(31&lt;$C$15,0,$K$15)+IF(31&lt;$C$16,0,$K$16)</f>
        <v>1</v>
      </c>
      <c r="AJ73" s="79" t="n">
        <f aca="false">IF(32&lt;$C$15,0,$K$15)+IF(32&lt;$C$16,0,$K$16)</f>
        <v>1</v>
      </c>
      <c r="AK73" s="79" t="n">
        <f aca="false">IF(33&lt;$C$15,0,$K$15)+IF(33&lt;$C$16,0,$K$16)</f>
        <v>1</v>
      </c>
      <c r="AL73" s="79" t="n">
        <f aca="false">IF(34&lt;$C$15,0,$K$15)+IF(34&lt;$C$16,0,$K$16)</f>
        <v>1</v>
      </c>
      <c r="AM73" s="79" t="n">
        <f aca="false">IF(35&lt;$C$15,0,$K$15)+IF(35&lt;$C$16,0,$K$16)</f>
        <v>1</v>
      </c>
      <c r="AN73" s="79" t="n">
        <f aca="false">IF(36&lt;$C$15,0,$K$15)+IF(36&lt;$C$16,0,$K$16)</f>
        <v>1</v>
      </c>
      <c r="AO73" s="78" t="n">
        <f aca="false">BA73</f>
        <v>1</v>
      </c>
      <c r="AP73" s="79" t="n">
        <f aca="false">IF(37&lt;$C$15,0,$L$15)+IF(37&lt;$C$16,0,$L$16)</f>
        <v>1</v>
      </c>
      <c r="AQ73" s="79" t="n">
        <f aca="false">IF(38&lt;$C$15,0,$L$15)+IF(38&lt;$C$16,0,$L$16)</f>
        <v>1</v>
      </c>
      <c r="AR73" s="79" t="n">
        <f aca="false">IF(39&lt;$C$15,0,$L$15)+IF(39&lt;$C$16,0,$L$16)</f>
        <v>1</v>
      </c>
      <c r="AS73" s="79" t="n">
        <f aca="false">IF(40&lt;$C$15,0,$L$15)+IF(40&lt;$C$16,0,$L$16)</f>
        <v>1</v>
      </c>
      <c r="AT73" s="79" t="n">
        <f aca="false">IF(41&lt;$C$15,0,$L$15)+IF(41&lt;$C$16,0,$L$16)</f>
        <v>1</v>
      </c>
      <c r="AU73" s="79" t="n">
        <f aca="false">IF(42&lt;$C$15,0,$L$15)+IF(42&lt;$C$16,0,$L$16)</f>
        <v>1</v>
      </c>
      <c r="AV73" s="79" t="n">
        <f aca="false">IF(43&lt;$C$15,0,$L$15)+IF(43&lt;$C$16,0,$L$16)</f>
        <v>1</v>
      </c>
      <c r="AW73" s="79" t="n">
        <f aca="false">IF(44&lt;$C$15,0,$L$15)+IF(44&lt;$C$16,0,$L$16)</f>
        <v>1</v>
      </c>
      <c r="AX73" s="79" t="n">
        <f aca="false">IF(45&lt;$C$15,0,$L$15)+IF(45&lt;$C$16,0,$L$16)</f>
        <v>1</v>
      </c>
      <c r="AY73" s="79" t="n">
        <f aca="false">IF(46&lt;$C$15,0,$L$15)+IF(46&lt;$C$16,0,$L$16)</f>
        <v>1</v>
      </c>
      <c r="AZ73" s="79" t="n">
        <f aca="false">IF(47&lt;$C$15,0,$L$15)+IF(47&lt;$C$16,0,$L$16)</f>
        <v>1</v>
      </c>
      <c r="BA73" s="79" t="n">
        <f aca="false">IF(48&lt;$C$15,0,$L$15)+IF(48&lt;$C$16,0,$L$16)</f>
        <v>1</v>
      </c>
      <c r="BB73" s="78" t="n">
        <f aca="false">BN73</f>
        <v>2</v>
      </c>
      <c r="BC73" s="79" t="n">
        <f aca="false">IF(49&lt;$C$15,0,$M$15)+IF(49&lt;$C$16,0,$M$16)</f>
        <v>2</v>
      </c>
      <c r="BD73" s="79" t="n">
        <f aca="false">IF(50&lt;$C$15,0,$M$15)+IF(50&lt;$C$16,0,$M$16)</f>
        <v>2</v>
      </c>
      <c r="BE73" s="79" t="n">
        <f aca="false">IF(51&lt;$C$15,0,$M$15)+IF(51&lt;$C$16,0,$M$16)</f>
        <v>2</v>
      </c>
      <c r="BF73" s="79" t="n">
        <f aca="false">IF(52&lt;$C$15,0,$M$15)+IF(52&lt;$C$16,0,$M$16)</f>
        <v>2</v>
      </c>
      <c r="BG73" s="79" t="n">
        <f aca="false">IF(53&lt;$C$15,0,$M$15)+IF(53&lt;$C$16,0,$M$16)</f>
        <v>2</v>
      </c>
      <c r="BH73" s="79" t="n">
        <f aca="false">IF(54&lt;$C$15,0,$M$15)+IF(54&lt;$C$16,0,$M$16)</f>
        <v>2</v>
      </c>
      <c r="BI73" s="79" t="n">
        <f aca="false">IF(55&lt;$C$15,0,$M$15)+IF(55&lt;$C$16,0,$M$16)</f>
        <v>2</v>
      </c>
      <c r="BJ73" s="79" t="n">
        <f aca="false">IF(56&lt;$C$15,0,$M$15)+IF(56&lt;$C$16,0,$M$16)</f>
        <v>2</v>
      </c>
      <c r="BK73" s="79" t="n">
        <f aca="false">IF(57&lt;$C$15,0,$M$15)+IF(57&lt;$C$16,0,$M$16)</f>
        <v>2</v>
      </c>
      <c r="BL73" s="79" t="n">
        <f aca="false">IF(58&lt;$C$15,0,$M$15)+IF(58&lt;$C$16,0,$M$16)</f>
        <v>2</v>
      </c>
      <c r="BM73" s="79" t="n">
        <f aca="false">IF(59&lt;$C$15,0,$M$15)+IF(59&lt;$C$16,0,$M$16)</f>
        <v>2</v>
      </c>
      <c r="BN73" s="79" t="n">
        <f aca="false">IF(60&lt;$C$15,0,$M$15)+IF(60&lt;$C$16,0,$M$16)</f>
        <v>2</v>
      </c>
    </row>
    <row r="74" customFormat="false" ht="15" hidden="false" customHeight="false" outlineLevel="0" collapsed="false">
      <c r="A74" s="12" t="s">
        <v>672</v>
      </c>
      <c r="B74" s="78" t="n">
        <f aca="false">N74</f>
        <v>0</v>
      </c>
      <c r="C74" s="79" t="n">
        <f aca="false">IF(1&lt;$C$17,0,$I$17)+IF(1&lt;$C$18,0,$I$18)</f>
        <v>0</v>
      </c>
      <c r="D74" s="79" t="n">
        <f aca="false">IF(2&lt;$C$17,0,$I$17)+IF(2&lt;$C$18,0,$I$18)</f>
        <v>0</v>
      </c>
      <c r="E74" s="79" t="n">
        <f aca="false">IF(3&lt;$C$17,0,$I$17)+IF(3&lt;$C$18,0,$I$18)</f>
        <v>0</v>
      </c>
      <c r="F74" s="79" t="n">
        <f aca="false">IF(4&lt;$C$17,0,$I$17)+IF(4&lt;$C$18,0,$I$18)</f>
        <v>0</v>
      </c>
      <c r="G74" s="79" t="n">
        <f aca="false">IF(5&lt;$C$17,0,$I$17)+IF(5&lt;$C$18,0,$I$18)</f>
        <v>0</v>
      </c>
      <c r="H74" s="79" t="n">
        <f aca="false">IF(6&lt;$C$17,0,$I$17)+IF(6&lt;$C$18,0,$I$18)</f>
        <v>0</v>
      </c>
      <c r="I74" s="79" t="n">
        <f aca="false">IF(7&lt;$C$17,0,$I$17)+IF(7&lt;$C$18,0,$I$18)</f>
        <v>0</v>
      </c>
      <c r="J74" s="79" t="n">
        <f aca="false">IF(8&lt;$C$17,0,$I$17)+IF(8&lt;$C$18,0,$I$18)</f>
        <v>0</v>
      </c>
      <c r="K74" s="79" t="n">
        <f aca="false">IF(9&lt;$C$17,0,$I$17)+IF(9&lt;$C$18,0,$I$18)</f>
        <v>0</v>
      </c>
      <c r="L74" s="79" t="n">
        <f aca="false">IF(10&lt;$C$17,0,$I$17)+IF(10&lt;$C$18,0,$I$18)</f>
        <v>0</v>
      </c>
      <c r="M74" s="79" t="n">
        <f aca="false">IF(11&lt;$C$17,0,$I$17)+IF(11&lt;$C$18,0,$I$18)</f>
        <v>0</v>
      </c>
      <c r="N74" s="79" t="n">
        <f aca="false">IF(12&lt;$C$17,0,$I$17)+IF(12&lt;$C$18,0,$I$18)</f>
        <v>0</v>
      </c>
      <c r="O74" s="78" t="n">
        <f aca="false">AA74</f>
        <v>1</v>
      </c>
      <c r="P74" s="79" t="n">
        <f aca="false">IF(13&lt;$C$17,0,$J$17)+IF(13&lt;$C$18,0,$J$18)</f>
        <v>1</v>
      </c>
      <c r="Q74" s="79" t="n">
        <f aca="false">IF(14&lt;$C$17,0,$J$17)+IF(14&lt;$C$18,0,$J$18)</f>
        <v>1</v>
      </c>
      <c r="R74" s="79" t="n">
        <f aca="false">IF(15&lt;$C$17,0,$J$17)+IF(15&lt;$C$18,0,$J$18)</f>
        <v>1</v>
      </c>
      <c r="S74" s="79" t="n">
        <f aca="false">IF(16&lt;$C$17,0,$J$17)+IF(16&lt;$C$18,0,$J$18)</f>
        <v>1</v>
      </c>
      <c r="T74" s="79" t="n">
        <f aca="false">IF(17&lt;$C$17,0,$J$17)+IF(17&lt;$C$18,0,$J$18)</f>
        <v>1</v>
      </c>
      <c r="U74" s="79" t="n">
        <f aca="false">IF(18&lt;$C$17,0,$J$17)+IF(18&lt;$C$18,0,$J$18)</f>
        <v>1</v>
      </c>
      <c r="V74" s="79" t="n">
        <f aca="false">IF(19&lt;$C$17,0,$J$17)+IF(19&lt;$C$18,0,$J$18)</f>
        <v>1</v>
      </c>
      <c r="W74" s="79" t="n">
        <f aca="false">IF(20&lt;$C$17,0,$J$17)+IF(20&lt;$C$18,0,$J$18)</f>
        <v>1</v>
      </c>
      <c r="X74" s="79" t="n">
        <f aca="false">IF(21&lt;$C$17,0,$J$17)+IF(21&lt;$C$18,0,$J$18)</f>
        <v>1</v>
      </c>
      <c r="Y74" s="79" t="n">
        <f aca="false">IF(22&lt;$C$17,0,$J$17)+IF(22&lt;$C$18,0,$J$18)</f>
        <v>1</v>
      </c>
      <c r="Z74" s="79" t="n">
        <f aca="false">IF(23&lt;$C$17,0,$J$17)+IF(23&lt;$C$18,0,$J$18)</f>
        <v>1</v>
      </c>
      <c r="AA74" s="79" t="n">
        <f aca="false">IF(24&lt;$C$17,0,$J$17)+IF(24&lt;$C$18,0,$J$18)</f>
        <v>1</v>
      </c>
      <c r="AB74" s="78" t="n">
        <f aca="false">AN74</f>
        <v>2</v>
      </c>
      <c r="AC74" s="79" t="n">
        <f aca="false">IF(25&lt;$C$17,0,$K$17)+IF(25&lt;$C$18,0,$K$18)</f>
        <v>2</v>
      </c>
      <c r="AD74" s="79" t="n">
        <f aca="false">IF(26&lt;$C$17,0,$K$17)+IF(26&lt;$C$18,0,$K$18)</f>
        <v>2</v>
      </c>
      <c r="AE74" s="79" t="n">
        <f aca="false">IF(27&lt;$C$17,0,$K$17)+IF(27&lt;$C$18,0,$K$18)</f>
        <v>2</v>
      </c>
      <c r="AF74" s="79" t="n">
        <f aca="false">IF(28&lt;$C$17,0,$K$17)+IF(28&lt;$C$18,0,$K$18)</f>
        <v>2</v>
      </c>
      <c r="AG74" s="79" t="n">
        <f aca="false">IF(29&lt;$C$17,0,$K$17)+IF(29&lt;$C$18,0,$K$18)</f>
        <v>2</v>
      </c>
      <c r="AH74" s="79" t="n">
        <f aca="false">IF(30&lt;$C$17,0,$K$17)+IF(30&lt;$C$18,0,$K$18)</f>
        <v>2</v>
      </c>
      <c r="AI74" s="79" t="n">
        <f aca="false">IF(31&lt;$C$17,0,$K$17)+IF(31&lt;$C$18,0,$K$18)</f>
        <v>2</v>
      </c>
      <c r="AJ74" s="79" t="n">
        <f aca="false">IF(32&lt;$C$17,0,$K$17)+IF(32&lt;$C$18,0,$K$18)</f>
        <v>2</v>
      </c>
      <c r="AK74" s="79" t="n">
        <f aca="false">IF(33&lt;$C$17,0,$K$17)+IF(33&lt;$C$18,0,$K$18)</f>
        <v>2</v>
      </c>
      <c r="AL74" s="79" t="n">
        <f aca="false">IF(34&lt;$C$17,0,$K$17)+IF(34&lt;$C$18,0,$K$18)</f>
        <v>2</v>
      </c>
      <c r="AM74" s="79" t="n">
        <f aca="false">IF(35&lt;$C$17,0,$K$17)+IF(35&lt;$C$18,0,$K$18)</f>
        <v>2</v>
      </c>
      <c r="AN74" s="79" t="n">
        <f aca="false">IF(36&lt;$C$17,0,$K$17)+IF(36&lt;$C$18,0,$K$18)</f>
        <v>2</v>
      </c>
      <c r="AO74" s="78" t="n">
        <f aca="false">BA74</f>
        <v>3</v>
      </c>
      <c r="AP74" s="79" t="n">
        <f aca="false">IF(37&lt;$C$17,0,$L$17)+IF(37&lt;$C$18,0,$L$18)</f>
        <v>3</v>
      </c>
      <c r="AQ74" s="79" t="n">
        <f aca="false">IF(38&lt;$C$17,0,$L$17)+IF(38&lt;$C$18,0,$L$18)</f>
        <v>3</v>
      </c>
      <c r="AR74" s="79" t="n">
        <f aca="false">IF(39&lt;$C$17,0,$L$17)+IF(39&lt;$C$18,0,$L$18)</f>
        <v>3</v>
      </c>
      <c r="AS74" s="79" t="n">
        <f aca="false">IF(40&lt;$C$17,0,$L$17)+IF(40&lt;$C$18,0,$L$18)</f>
        <v>3</v>
      </c>
      <c r="AT74" s="79" t="n">
        <f aca="false">IF(41&lt;$C$17,0,$L$17)+IF(41&lt;$C$18,0,$L$18)</f>
        <v>3</v>
      </c>
      <c r="AU74" s="79" t="n">
        <f aca="false">IF(42&lt;$C$17,0,$L$17)+IF(42&lt;$C$18,0,$L$18)</f>
        <v>3</v>
      </c>
      <c r="AV74" s="79" t="n">
        <f aca="false">IF(43&lt;$C$17,0,$L$17)+IF(43&lt;$C$18,0,$L$18)</f>
        <v>3</v>
      </c>
      <c r="AW74" s="79" t="n">
        <f aca="false">IF(44&lt;$C$17,0,$L$17)+IF(44&lt;$C$18,0,$L$18)</f>
        <v>3</v>
      </c>
      <c r="AX74" s="79" t="n">
        <f aca="false">IF(45&lt;$C$17,0,$L$17)+IF(45&lt;$C$18,0,$L$18)</f>
        <v>3</v>
      </c>
      <c r="AY74" s="79" t="n">
        <f aca="false">IF(46&lt;$C$17,0,$L$17)+IF(46&lt;$C$18,0,$L$18)</f>
        <v>3</v>
      </c>
      <c r="AZ74" s="79" t="n">
        <f aca="false">IF(47&lt;$C$17,0,$L$17)+IF(47&lt;$C$18,0,$L$18)</f>
        <v>3</v>
      </c>
      <c r="BA74" s="79" t="n">
        <f aca="false">IF(48&lt;$C$17,0,$L$17)+IF(48&lt;$C$18,0,$L$18)</f>
        <v>3</v>
      </c>
      <c r="BB74" s="78" t="n">
        <f aca="false">BN74</f>
        <v>3</v>
      </c>
      <c r="BC74" s="79" t="n">
        <f aca="false">IF(49&lt;$C$17,0,$M$17)+IF(49&lt;$C$18,0,$M$18)</f>
        <v>3</v>
      </c>
      <c r="BD74" s="79" t="n">
        <f aca="false">IF(50&lt;$C$17,0,$M$17)+IF(50&lt;$C$18,0,$M$18)</f>
        <v>3</v>
      </c>
      <c r="BE74" s="79" t="n">
        <f aca="false">IF(51&lt;$C$17,0,$M$17)+IF(51&lt;$C$18,0,$M$18)</f>
        <v>3</v>
      </c>
      <c r="BF74" s="79" t="n">
        <f aca="false">IF(52&lt;$C$17,0,$M$17)+IF(52&lt;$C$18,0,$M$18)</f>
        <v>3</v>
      </c>
      <c r="BG74" s="79" t="n">
        <f aca="false">IF(53&lt;$C$17,0,$M$17)+IF(53&lt;$C$18,0,$M$18)</f>
        <v>3</v>
      </c>
      <c r="BH74" s="79" t="n">
        <f aca="false">IF(54&lt;$C$17,0,$M$17)+IF(54&lt;$C$18,0,$M$18)</f>
        <v>3</v>
      </c>
      <c r="BI74" s="79" t="n">
        <f aca="false">IF(55&lt;$C$17,0,$M$17)+IF(55&lt;$C$18,0,$M$18)</f>
        <v>3</v>
      </c>
      <c r="BJ74" s="79" t="n">
        <f aca="false">IF(56&lt;$C$17,0,$M$17)+IF(56&lt;$C$18,0,$M$18)</f>
        <v>3</v>
      </c>
      <c r="BK74" s="79" t="n">
        <f aca="false">IF(57&lt;$C$17,0,$M$17)+IF(57&lt;$C$18,0,$M$18)</f>
        <v>3</v>
      </c>
      <c r="BL74" s="79" t="n">
        <f aca="false">IF(58&lt;$C$17,0,$M$17)+IF(58&lt;$C$18,0,$M$18)</f>
        <v>3</v>
      </c>
      <c r="BM74" s="79" t="n">
        <f aca="false">IF(59&lt;$C$17,0,$M$17)+IF(59&lt;$C$18,0,$M$18)</f>
        <v>3</v>
      </c>
      <c r="BN74" s="79" t="n">
        <f aca="false">IF(60&lt;$C$17,0,$M$17)+IF(60&lt;$C$18,0,$M$18)</f>
        <v>3</v>
      </c>
    </row>
    <row r="75" customFormat="false" ht="15" hidden="false" customHeight="false" outlineLevel="0" collapsed="false">
      <c r="A75" s="12" t="s">
        <v>301</v>
      </c>
      <c r="B75" s="78" t="n">
        <f aca="false">N75</f>
        <v>0</v>
      </c>
      <c r="C75" s="79" t="n">
        <f aca="false">IF(1&lt;$C$19,0,$I$19)+IF(1&lt;$C$20,0,$I$20)+IF(1&lt;$C$21,0,$I$21)</f>
        <v>0</v>
      </c>
      <c r="D75" s="79" t="n">
        <f aca="false">IF(2&lt;$C$19,0,$I$19)+IF(2&lt;$C$20,0,$I$20)+IF(2&lt;$C$21,0,$I$21)</f>
        <v>0</v>
      </c>
      <c r="E75" s="79" t="n">
        <f aca="false">IF(3&lt;$C$19,0,$I$19)+IF(3&lt;$C$20,0,$I$20)+IF(3&lt;$C$21,0,$I$21)</f>
        <v>0</v>
      </c>
      <c r="F75" s="79" t="n">
        <f aca="false">IF(4&lt;$C$19,0,$I$19)+IF(4&lt;$C$20,0,$I$20)+IF(4&lt;$C$21,0,$I$21)</f>
        <v>0</v>
      </c>
      <c r="G75" s="79" t="n">
        <f aca="false">IF(5&lt;$C$19,0,$I$19)+IF(5&lt;$C$20,0,$I$20)+IF(5&lt;$C$21,0,$I$21)</f>
        <v>0</v>
      </c>
      <c r="H75" s="79" t="n">
        <f aca="false">IF(6&lt;$C$19,0,$I$19)+IF(6&lt;$C$20,0,$I$20)+IF(6&lt;$C$21,0,$I$21)</f>
        <v>0</v>
      </c>
      <c r="I75" s="79" t="n">
        <f aca="false">IF(7&lt;$C$19,0,$I$19)+IF(7&lt;$C$20,0,$I$20)+IF(7&lt;$C$21,0,$I$21)</f>
        <v>0</v>
      </c>
      <c r="J75" s="79" t="n">
        <f aca="false">IF(8&lt;$C$19,0,$I$19)+IF(8&lt;$C$20,0,$I$20)+IF(8&lt;$C$21,0,$I$21)</f>
        <v>0</v>
      </c>
      <c r="K75" s="79" t="n">
        <f aca="false">IF(9&lt;$C$19,0,$I$19)+IF(9&lt;$C$20,0,$I$20)+IF(9&lt;$C$21,0,$I$21)</f>
        <v>0</v>
      </c>
      <c r="L75" s="79" t="n">
        <f aca="false">IF(10&lt;$C$19,0,$I$19)+IF(10&lt;$C$20,0,$I$20)+IF(10&lt;$C$21,0,$I$21)</f>
        <v>0</v>
      </c>
      <c r="M75" s="79" t="n">
        <f aca="false">IF(11&lt;$C$19,0,$I$19)+IF(11&lt;$C$20,0,$I$20)+IF(11&lt;$C$21,0,$I$21)</f>
        <v>0</v>
      </c>
      <c r="N75" s="79" t="n">
        <f aca="false">IF(12&lt;$C$19,0,$I$19)+IF(12&lt;$C$20,0,$I$20)+IF(12&lt;$C$21,0,$I$21)</f>
        <v>0</v>
      </c>
      <c r="O75" s="78" t="n">
        <f aca="false">AA75</f>
        <v>1</v>
      </c>
      <c r="P75" s="79" t="n">
        <f aca="false">IF(13&lt;$C$19,0,$J$19)+IF(13&lt;$C$20,0,$J$20)+IF(13&lt;$C$21,0,$J$21)</f>
        <v>1</v>
      </c>
      <c r="Q75" s="79" t="n">
        <f aca="false">IF(14&lt;$C$19,0,$J$19)+IF(14&lt;$C$20,0,$J$20)+IF(14&lt;$C$21,0,$J$21)</f>
        <v>1</v>
      </c>
      <c r="R75" s="79" t="n">
        <f aca="false">IF(15&lt;$C$19,0,$J$19)+IF(15&lt;$C$20,0,$J$20)+IF(15&lt;$C$21,0,$J$21)</f>
        <v>1</v>
      </c>
      <c r="S75" s="79" t="n">
        <f aca="false">IF(16&lt;$C$19,0,$J$19)+IF(16&lt;$C$20,0,$J$20)+IF(16&lt;$C$21,0,$J$21)</f>
        <v>1</v>
      </c>
      <c r="T75" s="79" t="n">
        <f aca="false">IF(17&lt;$C$19,0,$J$19)+IF(17&lt;$C$20,0,$J$20)+IF(17&lt;$C$21,0,$J$21)</f>
        <v>1</v>
      </c>
      <c r="U75" s="79" t="n">
        <f aca="false">IF(18&lt;$C$19,0,$J$19)+IF(18&lt;$C$20,0,$J$20)+IF(18&lt;$C$21,0,$J$21)</f>
        <v>1</v>
      </c>
      <c r="V75" s="79" t="n">
        <f aca="false">IF(19&lt;$C$19,0,$J$19)+IF(19&lt;$C$20,0,$J$20)+IF(19&lt;$C$21,0,$J$21)</f>
        <v>1</v>
      </c>
      <c r="W75" s="79" t="n">
        <f aca="false">IF(20&lt;$C$19,0,$J$19)+IF(20&lt;$C$20,0,$J$20)+IF(20&lt;$C$21,0,$J$21)</f>
        <v>1</v>
      </c>
      <c r="X75" s="79" t="n">
        <f aca="false">IF(21&lt;$C$19,0,$J$19)+IF(21&lt;$C$20,0,$J$20)+IF(21&lt;$C$21,0,$J$21)</f>
        <v>1</v>
      </c>
      <c r="Y75" s="79" t="n">
        <f aca="false">IF(22&lt;$C$19,0,$J$19)+IF(22&lt;$C$20,0,$J$20)+IF(22&lt;$C$21,0,$J$21)</f>
        <v>1</v>
      </c>
      <c r="Z75" s="79" t="n">
        <f aca="false">IF(23&lt;$C$19,0,$J$19)+IF(23&lt;$C$20,0,$J$20)+IF(23&lt;$C$21,0,$J$21)</f>
        <v>1</v>
      </c>
      <c r="AA75" s="79" t="n">
        <f aca="false">IF(24&lt;$C$19,0,$J$19)+IF(24&lt;$C$20,0,$J$20)+IF(24&lt;$C$21,0,$J$21)</f>
        <v>1</v>
      </c>
      <c r="AB75" s="78" t="n">
        <f aca="false">AN75</f>
        <v>2</v>
      </c>
      <c r="AC75" s="79" t="n">
        <f aca="false">IF(25&lt;$C$19,0,$K$19)+IF(25&lt;$C$20,0,$K$20)+IF(25&lt;$C$21,0,$K$21)</f>
        <v>2</v>
      </c>
      <c r="AD75" s="79" t="n">
        <f aca="false">IF(26&lt;$C$19,0,$K$19)+IF(26&lt;$C$20,0,$K$20)+IF(26&lt;$C$21,0,$K$21)</f>
        <v>2</v>
      </c>
      <c r="AE75" s="79" t="n">
        <f aca="false">IF(27&lt;$C$19,0,$K$19)+IF(27&lt;$C$20,0,$K$20)+IF(27&lt;$C$21,0,$K$21)</f>
        <v>2</v>
      </c>
      <c r="AF75" s="79" t="n">
        <f aca="false">IF(28&lt;$C$19,0,$K$19)+IF(28&lt;$C$20,0,$K$20)+IF(28&lt;$C$21,0,$K$21)</f>
        <v>2</v>
      </c>
      <c r="AG75" s="79" t="n">
        <f aca="false">IF(29&lt;$C$19,0,$K$19)+IF(29&lt;$C$20,0,$K$20)+IF(29&lt;$C$21,0,$K$21)</f>
        <v>2</v>
      </c>
      <c r="AH75" s="79" t="n">
        <f aca="false">IF(30&lt;$C$19,0,$K$19)+IF(30&lt;$C$20,0,$K$20)+IF(30&lt;$C$21,0,$K$21)</f>
        <v>2</v>
      </c>
      <c r="AI75" s="79" t="n">
        <f aca="false">IF(31&lt;$C$19,0,$K$19)+IF(31&lt;$C$20,0,$K$20)+IF(31&lt;$C$21,0,$K$21)</f>
        <v>2</v>
      </c>
      <c r="AJ75" s="79" t="n">
        <f aca="false">IF(32&lt;$C$19,0,$K$19)+IF(32&lt;$C$20,0,$K$20)+IF(32&lt;$C$21,0,$K$21)</f>
        <v>2</v>
      </c>
      <c r="AK75" s="79" t="n">
        <f aca="false">IF(33&lt;$C$19,0,$K$19)+IF(33&lt;$C$20,0,$K$20)+IF(33&lt;$C$21,0,$K$21)</f>
        <v>2</v>
      </c>
      <c r="AL75" s="79" t="n">
        <f aca="false">IF(34&lt;$C$19,0,$K$19)+IF(34&lt;$C$20,0,$K$20)+IF(34&lt;$C$21,0,$K$21)</f>
        <v>2</v>
      </c>
      <c r="AM75" s="79" t="n">
        <f aca="false">IF(35&lt;$C$19,0,$K$19)+IF(35&lt;$C$20,0,$K$20)+IF(35&lt;$C$21,0,$K$21)</f>
        <v>2</v>
      </c>
      <c r="AN75" s="79" t="n">
        <f aca="false">IF(36&lt;$C$19,0,$K$19)+IF(36&lt;$C$20,0,$K$20)+IF(36&lt;$C$21,0,$K$21)</f>
        <v>2</v>
      </c>
      <c r="AO75" s="78" t="n">
        <f aca="false">BA75</f>
        <v>3</v>
      </c>
      <c r="AP75" s="79" t="n">
        <f aca="false">IF(37&lt;$C$19,0,$L$19)+IF(37&lt;$C$20,0,$L$20)+IF(37&lt;$C$21,0,$L$21)</f>
        <v>3</v>
      </c>
      <c r="AQ75" s="79" t="n">
        <f aca="false">IF(38&lt;$C$19,0,$L$19)+IF(38&lt;$C$20,0,$L$20)+IF(38&lt;$C$21,0,$L$21)</f>
        <v>3</v>
      </c>
      <c r="AR75" s="79" t="n">
        <f aca="false">IF(39&lt;$C$19,0,$L$19)+IF(39&lt;$C$20,0,$L$20)+IF(39&lt;$C$21,0,$L$21)</f>
        <v>3</v>
      </c>
      <c r="AS75" s="79" t="n">
        <f aca="false">IF(40&lt;$C$19,0,$L$19)+IF(40&lt;$C$20,0,$L$20)+IF(40&lt;$C$21,0,$L$21)</f>
        <v>3</v>
      </c>
      <c r="AT75" s="79" t="n">
        <f aca="false">IF(41&lt;$C$19,0,$L$19)+IF(41&lt;$C$20,0,$L$20)+IF(41&lt;$C$21,0,$L$21)</f>
        <v>3</v>
      </c>
      <c r="AU75" s="79" t="n">
        <f aca="false">IF(42&lt;$C$19,0,$L$19)+IF(42&lt;$C$20,0,$L$20)+IF(42&lt;$C$21,0,$L$21)</f>
        <v>3</v>
      </c>
      <c r="AV75" s="79" t="n">
        <f aca="false">IF(43&lt;$C$19,0,$L$19)+IF(43&lt;$C$20,0,$L$20)+IF(43&lt;$C$21,0,$L$21)</f>
        <v>3</v>
      </c>
      <c r="AW75" s="79" t="n">
        <f aca="false">IF(44&lt;$C$19,0,$L$19)+IF(44&lt;$C$20,0,$L$20)+IF(44&lt;$C$21,0,$L$21)</f>
        <v>3</v>
      </c>
      <c r="AX75" s="79" t="n">
        <f aca="false">IF(45&lt;$C$19,0,$L$19)+IF(45&lt;$C$20,0,$L$20)+IF(45&lt;$C$21,0,$L$21)</f>
        <v>3</v>
      </c>
      <c r="AY75" s="79" t="n">
        <f aca="false">IF(46&lt;$C$19,0,$L$19)+IF(46&lt;$C$20,0,$L$20)+IF(46&lt;$C$21,0,$L$21)</f>
        <v>3</v>
      </c>
      <c r="AZ75" s="79" t="n">
        <f aca="false">IF(47&lt;$C$19,0,$L$19)+IF(47&lt;$C$20,0,$L$20)+IF(47&lt;$C$21,0,$L$21)</f>
        <v>3</v>
      </c>
      <c r="BA75" s="79" t="n">
        <f aca="false">IF(48&lt;$C$19,0,$L$19)+IF(48&lt;$C$20,0,$L$20)+IF(48&lt;$C$21,0,$L$21)</f>
        <v>3</v>
      </c>
      <c r="BB75" s="78" t="n">
        <f aca="false">BN75</f>
        <v>4</v>
      </c>
      <c r="BC75" s="79" t="n">
        <f aca="false">IF(49&lt;$C$19,0,$M$19)+IF(49&lt;$C$20,0,$M$20)+IF(49&lt;$C$21,0,$M$21)</f>
        <v>4</v>
      </c>
      <c r="BD75" s="79" t="n">
        <f aca="false">IF(50&lt;$C$19,0,$M$19)+IF(50&lt;$C$20,0,$M$20)+IF(50&lt;$C$21,0,$M$21)</f>
        <v>4</v>
      </c>
      <c r="BE75" s="79" t="n">
        <f aca="false">IF(51&lt;$C$19,0,$M$19)+IF(51&lt;$C$20,0,$M$20)+IF(51&lt;$C$21,0,$M$21)</f>
        <v>4</v>
      </c>
      <c r="BF75" s="79" t="n">
        <f aca="false">IF(52&lt;$C$19,0,$M$19)+IF(52&lt;$C$20,0,$M$20)+IF(52&lt;$C$21,0,$M$21)</f>
        <v>4</v>
      </c>
      <c r="BG75" s="79" t="n">
        <f aca="false">IF(53&lt;$C$19,0,$M$19)+IF(53&lt;$C$20,0,$M$20)+IF(53&lt;$C$21,0,$M$21)</f>
        <v>4</v>
      </c>
      <c r="BH75" s="79" t="n">
        <f aca="false">IF(54&lt;$C$19,0,$M$19)+IF(54&lt;$C$20,0,$M$20)+IF(54&lt;$C$21,0,$M$21)</f>
        <v>4</v>
      </c>
      <c r="BI75" s="79" t="n">
        <f aca="false">IF(55&lt;$C$19,0,$M$19)+IF(55&lt;$C$20,0,$M$20)+IF(55&lt;$C$21,0,$M$21)</f>
        <v>4</v>
      </c>
      <c r="BJ75" s="79" t="n">
        <f aca="false">IF(56&lt;$C$19,0,$M$19)+IF(56&lt;$C$20,0,$M$20)+IF(56&lt;$C$21,0,$M$21)</f>
        <v>4</v>
      </c>
      <c r="BK75" s="79" t="n">
        <f aca="false">IF(57&lt;$C$19,0,$M$19)+IF(57&lt;$C$20,0,$M$20)+IF(57&lt;$C$21,0,$M$21)</f>
        <v>4</v>
      </c>
      <c r="BL75" s="79" t="n">
        <f aca="false">IF(58&lt;$C$19,0,$M$19)+IF(58&lt;$C$20,0,$M$20)+IF(58&lt;$C$21,0,$M$21)</f>
        <v>4</v>
      </c>
      <c r="BM75" s="79" t="n">
        <f aca="false">IF(59&lt;$C$19,0,$M$19)+IF(59&lt;$C$20,0,$M$20)+IF(59&lt;$C$21,0,$M$21)</f>
        <v>4</v>
      </c>
      <c r="BN75" s="79" t="n">
        <f aca="false">IF(60&lt;$C$19,0,$M$19)+IF(60&lt;$C$20,0,$M$20)+IF(60&lt;$C$21,0,$M$21)</f>
        <v>4</v>
      </c>
    </row>
    <row r="76" customFormat="false" ht="15" hidden="false" customHeight="false" outlineLevel="0" collapsed="false">
      <c r="A76" s="18" t="s">
        <v>788</v>
      </c>
      <c r="B76" s="78" t="n">
        <f aca="false">N76</f>
        <v>0</v>
      </c>
      <c r="C76" s="116" t="n">
        <f aca="false">SUM(C71:C75)-C64</f>
        <v>0</v>
      </c>
      <c r="D76" s="116" t="n">
        <f aca="false">SUM(D71:D75)-D64</f>
        <v>0</v>
      </c>
      <c r="E76" s="116" t="n">
        <f aca="false">SUM(E71:E75)-E64</f>
        <v>0</v>
      </c>
      <c r="F76" s="116" t="n">
        <f aca="false">SUM(F71:F75)-F64</f>
        <v>0</v>
      </c>
      <c r="G76" s="116" t="n">
        <f aca="false">SUM(G71:G75)-G64</f>
        <v>0</v>
      </c>
      <c r="H76" s="116" t="n">
        <f aca="false">SUM(H71:H75)-H64</f>
        <v>0</v>
      </c>
      <c r="I76" s="116" t="n">
        <f aca="false">SUM(I71:I75)-I64</f>
        <v>0</v>
      </c>
      <c r="J76" s="116" t="n">
        <f aca="false">SUM(J71:J75)-J64</f>
        <v>0</v>
      </c>
      <c r="K76" s="116" t="n">
        <f aca="false">SUM(K71:K75)-K64</f>
        <v>0</v>
      </c>
      <c r="L76" s="116" t="n">
        <f aca="false">SUM(L71:L75)-L64</f>
        <v>0</v>
      </c>
      <c r="M76" s="116" t="n">
        <f aca="false">SUM(M71:M75)-M64</f>
        <v>0</v>
      </c>
      <c r="N76" s="116" t="n">
        <f aca="false">SUM(N71:N75)-N64</f>
        <v>0</v>
      </c>
      <c r="O76" s="78" t="n">
        <f aca="false">AA76</f>
        <v>0</v>
      </c>
      <c r="P76" s="116" t="n">
        <f aca="false">SUM(P71:P75)-P64</f>
        <v>0</v>
      </c>
      <c r="Q76" s="116" t="n">
        <f aca="false">SUM(Q71:Q75)-Q64</f>
        <v>0</v>
      </c>
      <c r="R76" s="116" t="n">
        <f aca="false">SUM(R71:R75)-R64</f>
        <v>0</v>
      </c>
      <c r="S76" s="116" t="n">
        <f aca="false">SUM(S71:S75)-S64</f>
        <v>0</v>
      </c>
      <c r="T76" s="116" t="n">
        <f aca="false">SUM(T71:T75)-T64</f>
        <v>0</v>
      </c>
      <c r="U76" s="116" t="n">
        <f aca="false">SUM(U71:U75)-U64</f>
        <v>0</v>
      </c>
      <c r="V76" s="116" t="n">
        <f aca="false">SUM(V71:V75)-V64</f>
        <v>0</v>
      </c>
      <c r="W76" s="116" t="n">
        <f aca="false">SUM(W71:W75)-W64</f>
        <v>0</v>
      </c>
      <c r="X76" s="116" t="n">
        <f aca="false">SUM(X71:X75)-X64</f>
        <v>0</v>
      </c>
      <c r="Y76" s="116" t="n">
        <f aca="false">SUM(Y71:Y75)-Y64</f>
        <v>0</v>
      </c>
      <c r="Z76" s="116" t="n">
        <f aca="false">SUM(Z71:Z75)-Z64</f>
        <v>0</v>
      </c>
      <c r="AA76" s="116" t="n">
        <f aca="false">SUM(AA71:AA75)-AA64</f>
        <v>0</v>
      </c>
      <c r="AB76" s="78" t="n">
        <f aca="false">AN76</f>
        <v>0</v>
      </c>
      <c r="AC76" s="116" t="n">
        <f aca="false">SUM(AC71:AC75)-AC64</f>
        <v>0</v>
      </c>
      <c r="AD76" s="116" t="n">
        <f aca="false">SUM(AD71:AD75)-AD64</f>
        <v>0</v>
      </c>
      <c r="AE76" s="116" t="n">
        <f aca="false">SUM(AE71:AE75)-AE64</f>
        <v>0</v>
      </c>
      <c r="AF76" s="116" t="n">
        <f aca="false">SUM(AF71:AF75)-AF64</f>
        <v>0</v>
      </c>
      <c r="AG76" s="116" t="n">
        <f aca="false">SUM(AG71:AG75)-AG64</f>
        <v>0</v>
      </c>
      <c r="AH76" s="116" t="n">
        <f aca="false">SUM(AH71:AH75)-AH64</f>
        <v>0</v>
      </c>
      <c r="AI76" s="116" t="n">
        <f aca="false">SUM(AI71:AI75)-AI64</f>
        <v>0</v>
      </c>
      <c r="AJ76" s="116" t="n">
        <f aca="false">SUM(AJ71:AJ75)-AJ64</f>
        <v>0</v>
      </c>
      <c r="AK76" s="116" t="n">
        <f aca="false">SUM(AK71:AK75)-AK64</f>
        <v>0</v>
      </c>
      <c r="AL76" s="116" t="n">
        <f aca="false">SUM(AL71:AL75)-AL64</f>
        <v>0</v>
      </c>
      <c r="AM76" s="116" t="n">
        <f aca="false">SUM(AM71:AM75)-AM64</f>
        <v>0</v>
      </c>
      <c r="AN76" s="116" t="n">
        <f aca="false">SUM(AN71:AN75)-AN64</f>
        <v>0</v>
      </c>
      <c r="AO76" s="78" t="n">
        <f aca="false">BA76</f>
        <v>0</v>
      </c>
      <c r="AP76" s="116" t="n">
        <f aca="false">SUM(AP71:AP75)-AP64</f>
        <v>0</v>
      </c>
      <c r="AQ76" s="116" t="n">
        <f aca="false">SUM(AQ71:AQ75)-AQ64</f>
        <v>0</v>
      </c>
      <c r="AR76" s="116" t="n">
        <f aca="false">SUM(AR71:AR75)-AR64</f>
        <v>0</v>
      </c>
      <c r="AS76" s="116" t="n">
        <f aca="false">SUM(AS71:AS75)-AS64</f>
        <v>0</v>
      </c>
      <c r="AT76" s="116" t="n">
        <f aca="false">SUM(AT71:AT75)-AT64</f>
        <v>0</v>
      </c>
      <c r="AU76" s="116" t="n">
        <f aca="false">SUM(AU71:AU75)-AU64</f>
        <v>0</v>
      </c>
      <c r="AV76" s="116" t="n">
        <f aca="false">SUM(AV71:AV75)-AV64</f>
        <v>0</v>
      </c>
      <c r="AW76" s="116" t="n">
        <f aca="false">SUM(AW71:AW75)-AW64</f>
        <v>0</v>
      </c>
      <c r="AX76" s="116" t="n">
        <f aca="false">SUM(AX71:AX75)-AX64</f>
        <v>0</v>
      </c>
      <c r="AY76" s="116" t="n">
        <f aca="false">SUM(AY71:AY75)-AY64</f>
        <v>0</v>
      </c>
      <c r="AZ76" s="116" t="n">
        <f aca="false">SUM(AZ71:AZ75)-AZ64</f>
        <v>0</v>
      </c>
      <c r="BA76" s="116" t="n">
        <f aca="false">SUM(BA71:BA75)-BA64</f>
        <v>0</v>
      </c>
      <c r="BB76" s="78" t="n">
        <f aca="false">BN76</f>
        <v>0</v>
      </c>
      <c r="BC76" s="116" t="n">
        <f aca="false">SUM(BC71:BC75)-BC64</f>
        <v>0</v>
      </c>
      <c r="BD76" s="116" t="n">
        <f aca="false">SUM(BD71:BD75)-BD64</f>
        <v>0</v>
      </c>
      <c r="BE76" s="116" t="n">
        <f aca="false">SUM(BE71:BE75)-BE64</f>
        <v>0</v>
      </c>
      <c r="BF76" s="116" t="n">
        <f aca="false">SUM(BF71:BF75)-BF64</f>
        <v>0</v>
      </c>
      <c r="BG76" s="116" t="n">
        <f aca="false">SUM(BG71:BG75)-BG64</f>
        <v>0</v>
      </c>
      <c r="BH76" s="116" t="n">
        <f aca="false">SUM(BH71:BH75)-BH64</f>
        <v>0</v>
      </c>
      <c r="BI76" s="116" t="n">
        <f aca="false">SUM(BI71:BI75)-BI64</f>
        <v>0</v>
      </c>
      <c r="BJ76" s="116" t="n">
        <f aca="false">SUM(BJ71:BJ75)-BJ64</f>
        <v>0</v>
      </c>
      <c r="BK76" s="116" t="n">
        <f aca="false">SUM(BK71:BK75)-BK64</f>
        <v>0</v>
      </c>
      <c r="BL76" s="116" t="n">
        <f aca="false">SUM(BL71:BL75)-BL64</f>
        <v>0</v>
      </c>
      <c r="BM76" s="116" t="n">
        <f aca="false">SUM(BM71:BM75)-BM64</f>
        <v>0</v>
      </c>
      <c r="BN76" s="116" t="n">
        <f aca="false">SUM(BN71:BN75)-BN64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592</v>
      </c>
    </row>
    <row r="2" customFormat="false" ht="13.5" hidden="false" customHeight="true" outlineLevel="0" collapsed="false">
      <c r="A2" s="6" t="s">
        <v>789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1375</v>
      </c>
      <c r="C7" s="65" t="n">
        <f aca="false">0</f>
        <v>0</v>
      </c>
      <c r="D7" s="65" t="n">
        <f aca="false">MIN('Capital Expenditure'!C$20/'Assumption Setting'!$E$219,'Capital Expenditure'!C$20-C20)</f>
        <v>125</v>
      </c>
      <c r="E7" s="65" t="n">
        <f aca="false">MIN('Capital Expenditure'!D$20/'Assumption Setting'!$E$219,'Capital Expenditure'!D$20-D20)</f>
        <v>125</v>
      </c>
      <c r="F7" s="65" t="n">
        <f aca="false">MIN('Capital Expenditure'!E$20/'Assumption Setting'!$E$219,'Capital Expenditure'!E$20-E20)</f>
        <v>125</v>
      </c>
      <c r="G7" s="65" t="n">
        <f aca="false">MIN('Capital Expenditure'!F$20/'Assumption Setting'!$E$219,'Capital Expenditure'!F$20-F20)</f>
        <v>125</v>
      </c>
      <c r="H7" s="65" t="n">
        <f aca="false">MIN('Capital Expenditure'!G$20/'Assumption Setting'!$E$219,'Capital Expenditure'!G$20-G20)</f>
        <v>125</v>
      </c>
      <c r="I7" s="65" t="n">
        <f aca="false">MIN('Capital Expenditure'!H$20/'Assumption Setting'!$E$219,'Capital Expenditure'!H$20-H20)</f>
        <v>125</v>
      </c>
      <c r="J7" s="65" t="n">
        <f aca="false">MIN('Capital Expenditure'!I$20/'Assumption Setting'!$E$219,'Capital Expenditure'!I$20-I20)</f>
        <v>125</v>
      </c>
      <c r="K7" s="65" t="n">
        <f aca="false">MIN('Capital Expenditure'!J$20/'Assumption Setting'!$E$219,'Capital Expenditure'!J$20-J20)</f>
        <v>125</v>
      </c>
      <c r="L7" s="65" t="n">
        <f aca="false">MIN('Capital Expenditure'!K$20/'Assumption Setting'!$E$219,'Capital Expenditure'!K$20-K20)</f>
        <v>125</v>
      </c>
      <c r="M7" s="65" t="n">
        <f aca="false">MIN('Capital Expenditure'!L$20/'Assumption Setting'!$E$219,'Capital Expenditure'!L$20-L20)</f>
        <v>125</v>
      </c>
      <c r="N7" s="65" t="n">
        <f aca="false">MIN('Capital Expenditure'!M$20/'Assumption Setting'!$E$219,'Capital Expenditure'!M$20-M20)</f>
        <v>125</v>
      </c>
      <c r="O7" s="64" t="n">
        <f aca="false">SUM(P7:AA7)</f>
        <v>2187.5</v>
      </c>
      <c r="P7" s="65" t="n">
        <f aca="false">MIN('Capital Expenditure'!N$20/'Assumption Setting'!$E$219,'Capital Expenditure'!N$20-N20)</f>
        <v>125</v>
      </c>
      <c r="Q7" s="65" t="n">
        <f aca="false">MIN('Capital Expenditure'!P$20/'Assumption Setting'!$E$219,'Capital Expenditure'!P$20-P20)</f>
        <v>187.5</v>
      </c>
      <c r="R7" s="65" t="n">
        <f aca="false">MIN('Capital Expenditure'!Q$20/'Assumption Setting'!$E$219,'Capital Expenditure'!Q$20-Q20)</f>
        <v>187.5</v>
      </c>
      <c r="S7" s="65" t="n">
        <f aca="false">MIN('Capital Expenditure'!R$20/'Assumption Setting'!$E$219,'Capital Expenditure'!R$20-R20)</f>
        <v>187.5</v>
      </c>
      <c r="T7" s="65" t="n">
        <f aca="false">MIN('Capital Expenditure'!S$20/'Assumption Setting'!$E$219,'Capital Expenditure'!S$20-S20)</f>
        <v>187.5</v>
      </c>
      <c r="U7" s="65" t="n">
        <f aca="false">MIN('Capital Expenditure'!T$20/'Assumption Setting'!$E$219,'Capital Expenditure'!T$20-T20)</f>
        <v>187.5</v>
      </c>
      <c r="V7" s="65" t="n">
        <f aca="false">MIN('Capital Expenditure'!U$20/'Assumption Setting'!$E$219,'Capital Expenditure'!U$20-U20)</f>
        <v>187.5</v>
      </c>
      <c r="W7" s="65" t="n">
        <f aca="false">MIN('Capital Expenditure'!V$20/'Assumption Setting'!$E$219,'Capital Expenditure'!V$20-V20)</f>
        <v>187.5</v>
      </c>
      <c r="X7" s="65" t="n">
        <f aca="false">MIN('Capital Expenditure'!W$20/'Assumption Setting'!$E$219,'Capital Expenditure'!W$20-W20)</f>
        <v>187.5</v>
      </c>
      <c r="Y7" s="65" t="n">
        <f aca="false">MIN('Capital Expenditure'!X$20/'Assumption Setting'!$E$219,'Capital Expenditure'!X$20-X20)</f>
        <v>187.5</v>
      </c>
      <c r="Z7" s="65" t="n">
        <f aca="false">MIN('Capital Expenditure'!Y$20/'Assumption Setting'!$E$219,'Capital Expenditure'!Y$20-Y20)</f>
        <v>187.5</v>
      </c>
      <c r="AA7" s="65" t="n">
        <f aca="false">MIN('Capital Expenditure'!Z$20/'Assumption Setting'!$E$219,'Capital Expenditure'!Z$20-Z20)</f>
        <v>187.5</v>
      </c>
      <c r="AB7" s="64" t="n">
        <f aca="false">SUM(AC7:AN7)</f>
        <v>2937.5</v>
      </c>
      <c r="AC7" s="65" t="n">
        <f aca="false">MIN('Capital Expenditure'!AA$20/'Assumption Setting'!$E$219,'Capital Expenditure'!AA$20-AA20)</f>
        <v>187.5</v>
      </c>
      <c r="AD7" s="65" t="n">
        <f aca="false">MIN('Capital Expenditure'!AC$20/'Assumption Setting'!$E$219,'Capital Expenditure'!AC$20-AC20)</f>
        <v>250</v>
      </c>
      <c r="AE7" s="65" t="n">
        <f aca="false">MIN('Capital Expenditure'!AD$20/'Assumption Setting'!$E$219,'Capital Expenditure'!AD$20-AD20)</f>
        <v>250</v>
      </c>
      <c r="AF7" s="65" t="n">
        <f aca="false">MIN('Capital Expenditure'!AE$20/'Assumption Setting'!$E$219,'Capital Expenditure'!AE$20-AE20)</f>
        <v>250</v>
      </c>
      <c r="AG7" s="65" t="n">
        <f aca="false">MIN('Capital Expenditure'!AF$20/'Assumption Setting'!$E$219,'Capital Expenditure'!AF$20-AF20)</f>
        <v>250</v>
      </c>
      <c r="AH7" s="65" t="n">
        <f aca="false">MIN('Capital Expenditure'!AG$20/'Assumption Setting'!$E$219,'Capital Expenditure'!AG$20-AG20)</f>
        <v>250</v>
      </c>
      <c r="AI7" s="65" t="n">
        <f aca="false">MIN('Capital Expenditure'!AH$20/'Assumption Setting'!$E$219,'Capital Expenditure'!AH$20-AH20)</f>
        <v>250</v>
      </c>
      <c r="AJ7" s="65" t="n">
        <f aca="false">MIN('Capital Expenditure'!AI$20/'Assumption Setting'!$E$219,'Capital Expenditure'!AI$20-AI20)</f>
        <v>250</v>
      </c>
      <c r="AK7" s="65" t="n">
        <f aca="false">MIN('Capital Expenditure'!AJ$20/'Assumption Setting'!$E$219,'Capital Expenditure'!AJ$20-AJ20)</f>
        <v>250</v>
      </c>
      <c r="AL7" s="65" t="n">
        <f aca="false">MIN('Capital Expenditure'!AK$20/'Assumption Setting'!$E$219,'Capital Expenditure'!AK$20-AK20)</f>
        <v>250</v>
      </c>
      <c r="AM7" s="65" t="n">
        <f aca="false">MIN('Capital Expenditure'!AL$20/'Assumption Setting'!$E$219,'Capital Expenditure'!AL$20-AL20)</f>
        <v>250</v>
      </c>
      <c r="AN7" s="65" t="n">
        <f aca="false">MIN('Capital Expenditure'!AM$20/'Assumption Setting'!$E$219,'Capital Expenditure'!AM$20-AM20)</f>
        <v>250</v>
      </c>
      <c r="AO7" s="64" t="n">
        <f aca="false">SUM(AP7:BA7)</f>
        <v>3916.66666666667</v>
      </c>
      <c r="AP7" s="65" t="n">
        <f aca="false">MIN('Capital Expenditure'!AN$20/'Assumption Setting'!$E$219,'Capital Expenditure'!AN$20-AN20)</f>
        <v>250</v>
      </c>
      <c r="AQ7" s="65" t="n">
        <f aca="false">MIN('Capital Expenditure'!AP$20/'Assumption Setting'!$E$219,'Capital Expenditure'!AP$20-AP20)</f>
        <v>333.333333333333</v>
      </c>
      <c r="AR7" s="65" t="n">
        <f aca="false">MIN('Capital Expenditure'!AQ$20/'Assumption Setting'!$E$219,'Capital Expenditure'!AQ$20-AQ20)</f>
        <v>333.333333333333</v>
      </c>
      <c r="AS7" s="65" t="n">
        <f aca="false">MIN('Capital Expenditure'!AR$20/'Assumption Setting'!$E$219,'Capital Expenditure'!AR$20-AR20)</f>
        <v>333.333333333333</v>
      </c>
      <c r="AT7" s="65" t="n">
        <f aca="false">MIN('Capital Expenditure'!AS$20/'Assumption Setting'!$E$219,'Capital Expenditure'!AS$20-AS20)</f>
        <v>333.333333333333</v>
      </c>
      <c r="AU7" s="65" t="n">
        <f aca="false">MIN('Capital Expenditure'!AT$20/'Assumption Setting'!$E$219,'Capital Expenditure'!AT$20-AT20)</f>
        <v>333.333333333333</v>
      </c>
      <c r="AV7" s="65" t="n">
        <f aca="false">MIN('Capital Expenditure'!AU$20/'Assumption Setting'!$E$219,'Capital Expenditure'!AU$20-AU20)</f>
        <v>333.333333333333</v>
      </c>
      <c r="AW7" s="65" t="n">
        <f aca="false">MIN('Capital Expenditure'!AV$20/'Assumption Setting'!$E$219,'Capital Expenditure'!AV$20-AV20)</f>
        <v>333.333333333333</v>
      </c>
      <c r="AX7" s="65" t="n">
        <f aca="false">MIN('Capital Expenditure'!AW$20/'Assumption Setting'!$E$219,'Capital Expenditure'!AW$20-AW20)</f>
        <v>333.333333333333</v>
      </c>
      <c r="AY7" s="65" t="n">
        <f aca="false">MIN('Capital Expenditure'!AX$20/'Assumption Setting'!$E$219,'Capital Expenditure'!AX$20-AX20)</f>
        <v>333.333333333333</v>
      </c>
      <c r="AZ7" s="65" t="n">
        <f aca="false">MIN('Capital Expenditure'!AY$20/'Assumption Setting'!$E$219,'Capital Expenditure'!AY$20-AY20)</f>
        <v>333.333333333333</v>
      </c>
      <c r="BA7" s="65" t="n">
        <f aca="false">MIN('Capital Expenditure'!AZ$20/'Assumption Setting'!$E$219,'Capital Expenditure'!AZ$20-AZ20)</f>
        <v>333.333333333333</v>
      </c>
      <c r="BB7" s="64" t="n">
        <f aca="false">SUM(BC7:BN7)</f>
        <v>4583.33333333334</v>
      </c>
      <c r="BC7" s="65" t="n">
        <f aca="false">MIN('Capital Expenditure'!BA$20/'Assumption Setting'!$E$219,'Capital Expenditure'!BA$20-BA20)</f>
        <v>333.333333333333</v>
      </c>
      <c r="BD7" s="65" t="n">
        <f aca="false">MIN('Capital Expenditure'!BC$20/'Assumption Setting'!$E$219,'Capital Expenditure'!BC$20-BC20)</f>
        <v>416.666666666667</v>
      </c>
      <c r="BE7" s="65" t="n">
        <f aca="false">MIN('Capital Expenditure'!BD$20/'Assumption Setting'!$E$219,'Capital Expenditure'!BD$20-BD20)</f>
        <v>416.666666666667</v>
      </c>
      <c r="BF7" s="65" t="n">
        <f aca="false">MIN('Capital Expenditure'!BE$20/'Assumption Setting'!$E$219,'Capital Expenditure'!BE$20-BE20)</f>
        <v>416.666666666667</v>
      </c>
      <c r="BG7" s="65" t="n">
        <f aca="false">MIN('Capital Expenditure'!BF$20/'Assumption Setting'!$E$219,'Capital Expenditure'!BF$20-BF20)</f>
        <v>416.666666666667</v>
      </c>
      <c r="BH7" s="65" t="n">
        <f aca="false">MIN('Capital Expenditure'!BG$20/'Assumption Setting'!$E$219,'Capital Expenditure'!BG$20-BG20)</f>
        <v>416.666666666667</v>
      </c>
      <c r="BI7" s="65" t="n">
        <f aca="false">MIN('Capital Expenditure'!BH$20/'Assumption Setting'!$E$219,'Capital Expenditure'!BH$20-BH20)</f>
        <v>416.666666666667</v>
      </c>
      <c r="BJ7" s="65" t="n">
        <f aca="false">MIN('Capital Expenditure'!BI$20/'Assumption Setting'!$E$219,'Capital Expenditure'!BI$20-BI20)</f>
        <v>416.666666666667</v>
      </c>
      <c r="BK7" s="65" t="n">
        <f aca="false">MIN('Capital Expenditure'!BJ$20/'Assumption Setting'!$E$219,'Capital Expenditure'!BJ$20-BJ20)</f>
        <v>416.666666666667</v>
      </c>
      <c r="BL7" s="65" t="n">
        <f aca="false">MIN('Capital Expenditure'!BK$20/'Assumption Setting'!$E$219,'Capital Expenditure'!BK$20-BK20)</f>
        <v>416.666666666667</v>
      </c>
      <c r="BM7" s="65" t="n">
        <f aca="false">MIN('Capital Expenditure'!BL$20/'Assumption Setting'!$E$219,'Capital Expenditure'!BL$20-BL20)</f>
        <v>416.666666666667</v>
      </c>
      <c r="BN7" s="65" t="n">
        <f aca="false">MIN('Capital Expenditure'!BM$20/'Assumption Setting'!$E$219,'Capital Expenditure'!BM$20-BM20)</f>
        <v>83.3333333333358</v>
      </c>
    </row>
    <row r="8" customFormat="false" ht="15" hidden="false" customHeight="false" outlineLevel="0" collapsed="false">
      <c r="A8" s="12" t="s">
        <v>468</v>
      </c>
      <c r="B8" s="64" t="n">
        <f aca="false">SUM(C8:N8)</f>
        <v>206.25</v>
      </c>
      <c r="C8" s="65" t="n">
        <f aca="false">0</f>
        <v>0</v>
      </c>
      <c r="D8" s="65" t="n">
        <f aca="false">MIN('Capital Expenditure'!C$21/'Assumption Setting'!$E$220,'Capital Expenditure'!C$21-C21)</f>
        <v>18.75</v>
      </c>
      <c r="E8" s="65" t="n">
        <f aca="false">MIN('Capital Expenditure'!D$21/'Assumption Setting'!$E$220,'Capital Expenditure'!D$21-D21)</f>
        <v>18.75</v>
      </c>
      <c r="F8" s="65" t="n">
        <f aca="false">MIN('Capital Expenditure'!E$21/'Assumption Setting'!$E$220,'Capital Expenditure'!E$21-E21)</f>
        <v>18.75</v>
      </c>
      <c r="G8" s="65" t="n">
        <f aca="false">MIN('Capital Expenditure'!F$21/'Assumption Setting'!$E$220,'Capital Expenditure'!F$21-F21)</f>
        <v>18.75</v>
      </c>
      <c r="H8" s="65" t="n">
        <f aca="false">MIN('Capital Expenditure'!G$21/'Assumption Setting'!$E$220,'Capital Expenditure'!G$21-G21)</f>
        <v>18.75</v>
      </c>
      <c r="I8" s="65" t="n">
        <f aca="false">MIN('Capital Expenditure'!H$21/'Assumption Setting'!$E$220,'Capital Expenditure'!H$21-H21)</f>
        <v>18.75</v>
      </c>
      <c r="J8" s="65" t="n">
        <f aca="false">MIN('Capital Expenditure'!I$21/'Assumption Setting'!$E$220,'Capital Expenditure'!I$21-I21)</f>
        <v>18.75</v>
      </c>
      <c r="K8" s="65" t="n">
        <f aca="false">MIN('Capital Expenditure'!J$21/'Assumption Setting'!$E$220,'Capital Expenditure'!J$21-J21)</f>
        <v>18.75</v>
      </c>
      <c r="L8" s="65" t="n">
        <f aca="false">MIN('Capital Expenditure'!K$21/'Assumption Setting'!$E$220,'Capital Expenditure'!K$21-K21)</f>
        <v>18.75</v>
      </c>
      <c r="M8" s="65" t="n">
        <f aca="false">MIN('Capital Expenditure'!L$21/'Assumption Setting'!$E$220,'Capital Expenditure'!L$21-L21)</f>
        <v>18.75</v>
      </c>
      <c r="N8" s="65" t="n">
        <f aca="false">MIN('Capital Expenditure'!M$21/'Assumption Setting'!$E$220,'Capital Expenditure'!M$21-M21)</f>
        <v>18.75</v>
      </c>
      <c r="O8" s="64" t="n">
        <f aca="false">SUM(P8:AA8)</f>
        <v>328.125</v>
      </c>
      <c r="P8" s="65" t="n">
        <f aca="false">MIN('Capital Expenditure'!N$21/'Assumption Setting'!$E$220,'Capital Expenditure'!N$21-N21)</f>
        <v>18.75</v>
      </c>
      <c r="Q8" s="65" t="n">
        <f aca="false">MIN('Capital Expenditure'!P$21/'Assumption Setting'!$E$220,'Capital Expenditure'!P$21-P21)</f>
        <v>28.125</v>
      </c>
      <c r="R8" s="65" t="n">
        <f aca="false">MIN('Capital Expenditure'!Q$21/'Assumption Setting'!$E$220,'Capital Expenditure'!Q$21-Q21)</f>
        <v>28.125</v>
      </c>
      <c r="S8" s="65" t="n">
        <f aca="false">MIN('Capital Expenditure'!R$21/'Assumption Setting'!$E$220,'Capital Expenditure'!R$21-R21)</f>
        <v>28.125</v>
      </c>
      <c r="T8" s="65" t="n">
        <f aca="false">MIN('Capital Expenditure'!S$21/'Assumption Setting'!$E$220,'Capital Expenditure'!S$21-S21)</f>
        <v>28.125</v>
      </c>
      <c r="U8" s="65" t="n">
        <f aca="false">MIN('Capital Expenditure'!T$21/'Assumption Setting'!$E$220,'Capital Expenditure'!T$21-T21)</f>
        <v>28.125</v>
      </c>
      <c r="V8" s="65" t="n">
        <f aca="false">MIN('Capital Expenditure'!U$21/'Assumption Setting'!$E$220,'Capital Expenditure'!U$21-U21)</f>
        <v>28.125</v>
      </c>
      <c r="W8" s="65" t="n">
        <f aca="false">MIN('Capital Expenditure'!V$21/'Assumption Setting'!$E$220,'Capital Expenditure'!V$21-V21)</f>
        <v>28.125</v>
      </c>
      <c r="X8" s="65" t="n">
        <f aca="false">MIN('Capital Expenditure'!W$21/'Assumption Setting'!$E$220,'Capital Expenditure'!W$21-W21)</f>
        <v>28.125</v>
      </c>
      <c r="Y8" s="65" t="n">
        <f aca="false">MIN('Capital Expenditure'!X$21/'Assumption Setting'!$E$220,'Capital Expenditure'!X$21-X21)</f>
        <v>28.125</v>
      </c>
      <c r="Z8" s="65" t="n">
        <f aca="false">MIN('Capital Expenditure'!Y$21/'Assumption Setting'!$E$220,'Capital Expenditure'!Y$21-Y21)</f>
        <v>28.125</v>
      </c>
      <c r="AA8" s="65" t="n">
        <f aca="false">MIN('Capital Expenditure'!Z$21/'Assumption Setting'!$E$220,'Capital Expenditure'!Z$21-Z21)</f>
        <v>28.125</v>
      </c>
      <c r="AB8" s="64" t="n">
        <f aca="false">SUM(AC8:AN8)</f>
        <v>440.625</v>
      </c>
      <c r="AC8" s="65" t="n">
        <f aca="false">MIN('Capital Expenditure'!AA$21/'Assumption Setting'!$E$220,'Capital Expenditure'!AA$21-AA21)</f>
        <v>28.125</v>
      </c>
      <c r="AD8" s="65" t="n">
        <f aca="false">MIN('Capital Expenditure'!AC$21/'Assumption Setting'!$E$220,'Capital Expenditure'!AC$21-AC21)</f>
        <v>37.5</v>
      </c>
      <c r="AE8" s="65" t="n">
        <f aca="false">MIN('Capital Expenditure'!AD$21/'Assumption Setting'!$E$220,'Capital Expenditure'!AD$21-AD21)</f>
        <v>37.5</v>
      </c>
      <c r="AF8" s="65" t="n">
        <f aca="false">MIN('Capital Expenditure'!AE$21/'Assumption Setting'!$E$220,'Capital Expenditure'!AE$21-AE21)</f>
        <v>37.5</v>
      </c>
      <c r="AG8" s="65" t="n">
        <f aca="false">MIN('Capital Expenditure'!AF$21/'Assumption Setting'!$E$220,'Capital Expenditure'!AF$21-AF21)</f>
        <v>37.5</v>
      </c>
      <c r="AH8" s="65" t="n">
        <f aca="false">MIN('Capital Expenditure'!AG$21/'Assumption Setting'!$E$220,'Capital Expenditure'!AG$21-AG21)</f>
        <v>37.5</v>
      </c>
      <c r="AI8" s="65" t="n">
        <f aca="false">MIN('Capital Expenditure'!AH$21/'Assumption Setting'!$E$220,'Capital Expenditure'!AH$21-AH21)</f>
        <v>37.5</v>
      </c>
      <c r="AJ8" s="65" t="n">
        <f aca="false">MIN('Capital Expenditure'!AI$21/'Assumption Setting'!$E$220,'Capital Expenditure'!AI$21-AI21)</f>
        <v>37.5</v>
      </c>
      <c r="AK8" s="65" t="n">
        <f aca="false">MIN('Capital Expenditure'!AJ$21/'Assumption Setting'!$E$220,'Capital Expenditure'!AJ$21-AJ21)</f>
        <v>37.5</v>
      </c>
      <c r="AL8" s="65" t="n">
        <f aca="false">MIN('Capital Expenditure'!AK$21/'Assumption Setting'!$E$220,'Capital Expenditure'!AK$21-AK21)</f>
        <v>37.5</v>
      </c>
      <c r="AM8" s="65" t="n">
        <f aca="false">MIN('Capital Expenditure'!AL$21/'Assumption Setting'!$E$220,'Capital Expenditure'!AL$21-AL21)</f>
        <v>37.5</v>
      </c>
      <c r="AN8" s="65" t="n">
        <f aca="false">MIN('Capital Expenditure'!AM$21/'Assumption Setting'!$E$220,'Capital Expenditure'!AM$21-AM21)</f>
        <v>37.5</v>
      </c>
      <c r="AO8" s="64" t="n">
        <f aca="false">SUM(AP8:BA8)</f>
        <v>587.5</v>
      </c>
      <c r="AP8" s="65" t="n">
        <f aca="false">MIN('Capital Expenditure'!AN$21/'Assumption Setting'!$E$220,'Capital Expenditure'!AN$21-AN21)</f>
        <v>37.5</v>
      </c>
      <c r="AQ8" s="65" t="n">
        <f aca="false">MIN('Capital Expenditure'!AP$21/'Assumption Setting'!$E$220,'Capital Expenditure'!AP$21-AP21)</f>
        <v>50</v>
      </c>
      <c r="AR8" s="65" t="n">
        <f aca="false">MIN('Capital Expenditure'!AQ$21/'Assumption Setting'!$E$220,'Capital Expenditure'!AQ$21-AQ21)</f>
        <v>50</v>
      </c>
      <c r="AS8" s="65" t="n">
        <f aca="false">MIN('Capital Expenditure'!AR$21/'Assumption Setting'!$E$220,'Capital Expenditure'!AR$21-AR21)</f>
        <v>50</v>
      </c>
      <c r="AT8" s="65" t="n">
        <f aca="false">MIN('Capital Expenditure'!AS$21/'Assumption Setting'!$E$220,'Capital Expenditure'!AS$21-AS21)</f>
        <v>50</v>
      </c>
      <c r="AU8" s="65" t="n">
        <f aca="false">MIN('Capital Expenditure'!AT$21/'Assumption Setting'!$E$220,'Capital Expenditure'!AT$21-AT21)</f>
        <v>50</v>
      </c>
      <c r="AV8" s="65" t="n">
        <f aca="false">MIN('Capital Expenditure'!AU$21/'Assumption Setting'!$E$220,'Capital Expenditure'!AU$21-AU21)</f>
        <v>50</v>
      </c>
      <c r="AW8" s="65" t="n">
        <f aca="false">MIN('Capital Expenditure'!AV$21/'Assumption Setting'!$E$220,'Capital Expenditure'!AV$21-AV21)</f>
        <v>50</v>
      </c>
      <c r="AX8" s="65" t="n">
        <f aca="false">MIN('Capital Expenditure'!AW$21/'Assumption Setting'!$E$220,'Capital Expenditure'!AW$21-AW21)</f>
        <v>50</v>
      </c>
      <c r="AY8" s="65" t="n">
        <f aca="false">MIN('Capital Expenditure'!AX$21/'Assumption Setting'!$E$220,'Capital Expenditure'!AX$21-AX21)</f>
        <v>50</v>
      </c>
      <c r="AZ8" s="65" t="n">
        <f aca="false">MIN('Capital Expenditure'!AY$21/'Assumption Setting'!$E$220,'Capital Expenditure'!AY$21-AY21)</f>
        <v>50</v>
      </c>
      <c r="BA8" s="65" t="n">
        <f aca="false">MIN('Capital Expenditure'!AZ$21/'Assumption Setting'!$E$220,'Capital Expenditure'!AZ$21-AZ21)</f>
        <v>50</v>
      </c>
      <c r="BB8" s="64" t="n">
        <f aca="false">SUM(BC8:BN8)</f>
        <v>737.5</v>
      </c>
      <c r="BC8" s="65" t="n">
        <f aca="false">MIN('Capital Expenditure'!BA$21/'Assumption Setting'!$E$220,'Capital Expenditure'!BA$21-BA21)</f>
        <v>50</v>
      </c>
      <c r="BD8" s="65" t="n">
        <f aca="false">MIN('Capital Expenditure'!BC$21/'Assumption Setting'!$E$220,'Capital Expenditure'!BC$21-BC21)</f>
        <v>62.5</v>
      </c>
      <c r="BE8" s="65" t="n">
        <f aca="false">MIN('Capital Expenditure'!BD$21/'Assumption Setting'!$E$220,'Capital Expenditure'!BD$21-BD21)</f>
        <v>62.5</v>
      </c>
      <c r="BF8" s="65" t="n">
        <f aca="false">MIN('Capital Expenditure'!BE$21/'Assumption Setting'!$E$220,'Capital Expenditure'!BE$21-BE21)</f>
        <v>62.5</v>
      </c>
      <c r="BG8" s="65" t="n">
        <f aca="false">MIN('Capital Expenditure'!BF$21/'Assumption Setting'!$E$220,'Capital Expenditure'!BF$21-BF21)</f>
        <v>62.5</v>
      </c>
      <c r="BH8" s="65" t="n">
        <f aca="false">MIN('Capital Expenditure'!BG$21/'Assumption Setting'!$E$220,'Capital Expenditure'!BG$21-BG21)</f>
        <v>62.5</v>
      </c>
      <c r="BI8" s="65" t="n">
        <f aca="false">MIN('Capital Expenditure'!BH$21/'Assumption Setting'!$E$220,'Capital Expenditure'!BH$21-BH21)</f>
        <v>62.5</v>
      </c>
      <c r="BJ8" s="65" t="n">
        <f aca="false">MIN('Capital Expenditure'!BI$21/'Assumption Setting'!$E$220,'Capital Expenditure'!BI$21-BI21)</f>
        <v>62.5</v>
      </c>
      <c r="BK8" s="65" t="n">
        <f aca="false">MIN('Capital Expenditure'!BJ$21/'Assumption Setting'!$E$220,'Capital Expenditure'!BJ$21-BJ21)</f>
        <v>62.5</v>
      </c>
      <c r="BL8" s="65" t="n">
        <f aca="false">MIN('Capital Expenditure'!BK$21/'Assumption Setting'!$E$220,'Capital Expenditure'!BK$21-BK21)</f>
        <v>62.5</v>
      </c>
      <c r="BM8" s="65" t="n">
        <f aca="false">MIN('Capital Expenditure'!BL$21/'Assumption Setting'!$E$220,'Capital Expenditure'!BL$21-BL21)</f>
        <v>62.5</v>
      </c>
      <c r="BN8" s="65" t="n">
        <f aca="false">MIN('Capital Expenditure'!BM$21/'Assumption Setting'!$E$220,'Capital Expenditure'!BM$21-BM21)</f>
        <v>62.5</v>
      </c>
    </row>
    <row r="9" customFormat="false" ht="15" hidden="false" customHeight="false" outlineLevel="0" collapsed="false">
      <c r="A9" s="12" t="s">
        <v>469</v>
      </c>
      <c r="B9" s="64" t="n">
        <f aca="false">SUM(C9:N9)</f>
        <v>495</v>
      </c>
      <c r="C9" s="65" t="n">
        <f aca="false">0</f>
        <v>0</v>
      </c>
      <c r="D9" s="65" t="n">
        <f aca="false">MIN('Capital Expenditure'!C$22/'Assumption Setting'!$E$221,'Capital Expenditure'!C$22-C22)</f>
        <v>45</v>
      </c>
      <c r="E9" s="65" t="n">
        <f aca="false">MIN('Capital Expenditure'!D$22/'Assumption Setting'!$E$221,'Capital Expenditure'!D$22-D22)</f>
        <v>45</v>
      </c>
      <c r="F9" s="65" t="n">
        <f aca="false">MIN('Capital Expenditure'!E$22/'Assumption Setting'!$E$221,'Capital Expenditure'!E$22-E22)</f>
        <v>45</v>
      </c>
      <c r="G9" s="65" t="n">
        <f aca="false">MIN('Capital Expenditure'!F$22/'Assumption Setting'!$E$221,'Capital Expenditure'!F$22-F22)</f>
        <v>45</v>
      </c>
      <c r="H9" s="65" t="n">
        <f aca="false">MIN('Capital Expenditure'!G$22/'Assumption Setting'!$E$221,'Capital Expenditure'!G$22-G22)</f>
        <v>45</v>
      </c>
      <c r="I9" s="65" t="n">
        <f aca="false">MIN('Capital Expenditure'!H$22/'Assumption Setting'!$E$221,'Capital Expenditure'!H$22-H22)</f>
        <v>45</v>
      </c>
      <c r="J9" s="65" t="n">
        <f aca="false">MIN('Capital Expenditure'!I$22/'Assumption Setting'!$E$221,'Capital Expenditure'!I$22-I22)</f>
        <v>45</v>
      </c>
      <c r="K9" s="65" t="n">
        <f aca="false">MIN('Capital Expenditure'!J$22/'Assumption Setting'!$E$221,'Capital Expenditure'!J$22-J22)</f>
        <v>45</v>
      </c>
      <c r="L9" s="65" t="n">
        <f aca="false">MIN('Capital Expenditure'!K$22/'Assumption Setting'!$E$221,'Capital Expenditure'!K$22-K22)</f>
        <v>45</v>
      </c>
      <c r="M9" s="65" t="n">
        <f aca="false">MIN('Capital Expenditure'!L$22/'Assumption Setting'!$E$221,'Capital Expenditure'!L$22-L22)</f>
        <v>45</v>
      </c>
      <c r="N9" s="65" t="n">
        <f aca="false">MIN('Capital Expenditure'!M$22/'Assumption Setting'!$E$221,'Capital Expenditure'!M$22-M22)</f>
        <v>45</v>
      </c>
      <c r="O9" s="64" t="n">
        <f aca="false">SUM(P9:AA9)</f>
        <v>787.5</v>
      </c>
      <c r="P9" s="65" t="n">
        <f aca="false">MIN('Capital Expenditure'!N$22/'Assumption Setting'!$E$221,'Capital Expenditure'!N$22-N22)</f>
        <v>45</v>
      </c>
      <c r="Q9" s="65" t="n">
        <f aca="false">MIN('Capital Expenditure'!P$22/'Assumption Setting'!$E$221,'Capital Expenditure'!P$22-P22)</f>
        <v>67.5</v>
      </c>
      <c r="R9" s="65" t="n">
        <f aca="false">MIN('Capital Expenditure'!Q$22/'Assumption Setting'!$E$221,'Capital Expenditure'!Q$22-Q22)</f>
        <v>67.5</v>
      </c>
      <c r="S9" s="65" t="n">
        <f aca="false">MIN('Capital Expenditure'!R$22/'Assumption Setting'!$E$221,'Capital Expenditure'!R$22-R22)</f>
        <v>67.5</v>
      </c>
      <c r="T9" s="65" t="n">
        <f aca="false">MIN('Capital Expenditure'!S$22/'Assumption Setting'!$E$221,'Capital Expenditure'!S$22-S22)</f>
        <v>67.5</v>
      </c>
      <c r="U9" s="65" t="n">
        <f aca="false">MIN('Capital Expenditure'!T$22/'Assumption Setting'!$E$221,'Capital Expenditure'!T$22-T22)</f>
        <v>67.5</v>
      </c>
      <c r="V9" s="65" t="n">
        <f aca="false">MIN('Capital Expenditure'!U$22/'Assumption Setting'!$E$221,'Capital Expenditure'!U$22-U22)</f>
        <v>67.5</v>
      </c>
      <c r="W9" s="65" t="n">
        <f aca="false">MIN('Capital Expenditure'!V$22/'Assumption Setting'!$E$221,'Capital Expenditure'!V$22-V22)</f>
        <v>67.5</v>
      </c>
      <c r="X9" s="65" t="n">
        <f aca="false">MIN('Capital Expenditure'!W$22/'Assumption Setting'!$E$221,'Capital Expenditure'!W$22-W22)</f>
        <v>67.5</v>
      </c>
      <c r="Y9" s="65" t="n">
        <f aca="false">MIN('Capital Expenditure'!X$22/'Assumption Setting'!$E$221,'Capital Expenditure'!X$22-X22)</f>
        <v>67.5</v>
      </c>
      <c r="Z9" s="65" t="n">
        <f aca="false">MIN('Capital Expenditure'!Y$22/'Assumption Setting'!$E$221,'Capital Expenditure'!Y$22-Y22)</f>
        <v>67.5</v>
      </c>
      <c r="AA9" s="65" t="n">
        <f aca="false">MIN('Capital Expenditure'!Z$22/'Assumption Setting'!$E$221,'Capital Expenditure'!Z$22-Z22)</f>
        <v>67.5</v>
      </c>
      <c r="AB9" s="64" t="n">
        <f aca="false">SUM(AC9:AN9)</f>
        <v>877.5</v>
      </c>
      <c r="AC9" s="65" t="n">
        <f aca="false">MIN('Capital Expenditure'!AA$22/'Assumption Setting'!$E$221,'Capital Expenditure'!AA$22-AA22)</f>
        <v>67.5</v>
      </c>
      <c r="AD9" s="65" t="n">
        <f aca="false">MIN('Capital Expenditure'!AC$22/'Assumption Setting'!$E$221,'Capital Expenditure'!AC$22-AC22)</f>
        <v>90</v>
      </c>
      <c r="AE9" s="65" t="n">
        <f aca="false">MIN('Capital Expenditure'!AD$22/'Assumption Setting'!$E$221,'Capital Expenditure'!AD$22-AD22)</f>
        <v>90</v>
      </c>
      <c r="AF9" s="65" t="n">
        <f aca="false">MIN('Capital Expenditure'!AE$22/'Assumption Setting'!$E$221,'Capital Expenditure'!AE$22-AE22)</f>
        <v>90</v>
      </c>
      <c r="AG9" s="65" t="n">
        <f aca="false">MIN('Capital Expenditure'!AF$22/'Assumption Setting'!$E$221,'Capital Expenditure'!AF$22-AF22)</f>
        <v>90</v>
      </c>
      <c r="AH9" s="65" t="n">
        <f aca="false">MIN('Capital Expenditure'!AG$22/'Assumption Setting'!$E$221,'Capital Expenditure'!AG$22-AG22)</f>
        <v>90</v>
      </c>
      <c r="AI9" s="65" t="n">
        <f aca="false">MIN('Capital Expenditure'!AH$22/'Assumption Setting'!$E$221,'Capital Expenditure'!AH$22-AH22)</f>
        <v>90</v>
      </c>
      <c r="AJ9" s="65" t="n">
        <f aca="false">MIN('Capital Expenditure'!AI$22/'Assumption Setting'!$E$221,'Capital Expenditure'!AI$22-AI22)</f>
        <v>90</v>
      </c>
      <c r="AK9" s="65" t="n">
        <f aca="false">MIN('Capital Expenditure'!AJ$22/'Assumption Setting'!$E$221,'Capital Expenditure'!AJ$22-AJ22)</f>
        <v>90</v>
      </c>
      <c r="AL9" s="65" t="n">
        <f aca="false">MIN('Capital Expenditure'!AK$22/'Assumption Setting'!$E$221,'Capital Expenditure'!AK$22-AK22)</f>
        <v>90</v>
      </c>
      <c r="AM9" s="65" t="n">
        <f aca="false">MIN('Capital Expenditure'!AL$22/'Assumption Setting'!$E$221,'Capital Expenditure'!AL$22-AL22)</f>
        <v>0</v>
      </c>
      <c r="AN9" s="65" t="n">
        <f aca="false">MIN('Capital Expenditure'!AM$22/'Assumption Setting'!$E$221,'Capital Expenditure'!AM$22-AM22)</f>
        <v>0</v>
      </c>
      <c r="AO9" s="64" t="n">
        <f aca="false">SUM(AP9:BA9)</f>
        <v>720</v>
      </c>
      <c r="AP9" s="65" t="n">
        <f aca="false">MIN('Capital Expenditure'!AN$22/'Assumption Setting'!$E$221,'Capital Expenditure'!AN$22-AN22)</f>
        <v>0</v>
      </c>
      <c r="AQ9" s="65" t="n">
        <f aca="false">MIN('Capital Expenditure'!AP$22/'Assumption Setting'!$E$221,'Capital Expenditure'!AP$22-AP22)</f>
        <v>120</v>
      </c>
      <c r="AR9" s="65" t="n">
        <f aca="false">MIN('Capital Expenditure'!AQ$22/'Assumption Setting'!$E$221,'Capital Expenditure'!AQ$22-AQ22)</f>
        <v>120</v>
      </c>
      <c r="AS9" s="65" t="n">
        <f aca="false">MIN('Capital Expenditure'!AR$22/'Assumption Setting'!$E$221,'Capital Expenditure'!AR$22-AR22)</f>
        <v>120</v>
      </c>
      <c r="AT9" s="65" t="n">
        <f aca="false">MIN('Capital Expenditure'!AS$22/'Assumption Setting'!$E$221,'Capital Expenditure'!AS$22-AS22)</f>
        <v>120</v>
      </c>
      <c r="AU9" s="65" t="n">
        <f aca="false">MIN('Capital Expenditure'!AT$22/'Assumption Setting'!$E$221,'Capital Expenditure'!AT$22-AT22)</f>
        <v>120</v>
      </c>
      <c r="AV9" s="65" t="n">
        <f aca="false">MIN('Capital Expenditure'!AU$22/'Assumption Setting'!$E$221,'Capital Expenditure'!AU$22-AU22)</f>
        <v>120</v>
      </c>
      <c r="AW9" s="65" t="n">
        <f aca="false">MIN('Capital Expenditure'!AV$22/'Assumption Setting'!$E$221,'Capital Expenditure'!AV$22-AV22)</f>
        <v>0</v>
      </c>
      <c r="AX9" s="65" t="n">
        <f aca="false">MIN('Capital Expenditure'!AW$22/'Assumption Setting'!$E$221,'Capital Expenditure'!AW$22-AW22)</f>
        <v>0</v>
      </c>
      <c r="AY9" s="65" t="n">
        <f aca="false">MIN('Capital Expenditure'!AX$22/'Assumption Setting'!$E$221,'Capital Expenditure'!AX$22-AX22)</f>
        <v>0</v>
      </c>
      <c r="AZ9" s="65" t="n">
        <f aca="false">MIN('Capital Expenditure'!AY$22/'Assumption Setting'!$E$221,'Capital Expenditure'!AY$22-AY22)</f>
        <v>0</v>
      </c>
      <c r="BA9" s="65" t="n">
        <f aca="false">MIN('Capital Expenditure'!AZ$22/'Assumption Setting'!$E$221,'Capital Expenditure'!AZ$22-AZ22)</f>
        <v>0</v>
      </c>
      <c r="BB9" s="64" t="n">
        <f aca="false">SUM(BC9:BN9)</f>
        <v>720</v>
      </c>
      <c r="BC9" s="65" t="n">
        <f aca="false">MIN('Capital Expenditure'!BA$22/'Assumption Setting'!$E$221,'Capital Expenditure'!BA$22-BA22)</f>
        <v>0</v>
      </c>
      <c r="BD9" s="65" t="n">
        <f aca="false">MIN('Capital Expenditure'!BC$22/'Assumption Setting'!$E$221,'Capital Expenditure'!BC$22-BC22)</f>
        <v>150</v>
      </c>
      <c r="BE9" s="65" t="n">
        <f aca="false">MIN('Capital Expenditure'!BD$22/'Assumption Setting'!$E$221,'Capital Expenditure'!BD$22-BD22)</f>
        <v>150</v>
      </c>
      <c r="BF9" s="65" t="n">
        <f aca="false">MIN('Capital Expenditure'!BE$22/'Assumption Setting'!$E$221,'Capital Expenditure'!BE$22-BE22)</f>
        <v>150</v>
      </c>
      <c r="BG9" s="65" t="n">
        <f aca="false">MIN('Capital Expenditure'!BF$22/'Assumption Setting'!$E$221,'Capital Expenditure'!BF$22-BF22)</f>
        <v>150</v>
      </c>
      <c r="BH9" s="65" t="n">
        <f aca="false">MIN('Capital Expenditure'!BG$22/'Assumption Setting'!$E$221,'Capital Expenditure'!BG$22-BG22)</f>
        <v>120</v>
      </c>
      <c r="BI9" s="65" t="n">
        <f aca="false">MIN('Capital Expenditure'!BH$22/'Assumption Setting'!$E$221,'Capital Expenditure'!BH$22-BH22)</f>
        <v>0</v>
      </c>
      <c r="BJ9" s="65" t="n">
        <f aca="false">MIN('Capital Expenditure'!BI$22/'Assumption Setting'!$E$221,'Capital Expenditure'!BI$22-BI22)</f>
        <v>0</v>
      </c>
      <c r="BK9" s="65" t="n">
        <f aca="false">MIN('Capital Expenditure'!BJ$22/'Assumption Setting'!$E$221,'Capital Expenditure'!BJ$22-BJ22)</f>
        <v>0</v>
      </c>
      <c r="BL9" s="65" t="n">
        <f aca="false">MIN('Capital Expenditure'!BK$22/'Assumption Setting'!$E$221,'Capital Expenditure'!BK$22-BK22)</f>
        <v>0</v>
      </c>
      <c r="BM9" s="65" t="n">
        <f aca="false">MIN('Capital Expenditure'!BL$22/'Assumption Setting'!$E$221,'Capital Expenditure'!BL$22-BL22)</f>
        <v>0</v>
      </c>
      <c r="BN9" s="65" t="n">
        <f aca="false">MIN('Capital Expenditure'!BM$22/'Assumption Setting'!$E$221,'Capital Expenditure'!BM$22-BM22)</f>
        <v>0</v>
      </c>
    </row>
    <row r="10" customFormat="false" ht="15" hidden="false" customHeight="false" outlineLevel="0" collapsed="false">
      <c r="A10" s="12" t="s">
        <v>470</v>
      </c>
      <c r="B10" s="64" t="n">
        <f aca="false">SUM(C10:N10)</f>
        <v>0</v>
      </c>
      <c r="C10" s="65" t="n">
        <f aca="false">0</f>
        <v>0</v>
      </c>
      <c r="D10" s="65" t="n">
        <f aca="false">MIN('Capital Expenditure'!C$23/'Assumption Setting'!$E$222,'Capital Expenditure'!C$23-C23)</f>
        <v>0</v>
      </c>
      <c r="E10" s="65" t="n">
        <f aca="false">MIN('Capital Expenditure'!D$23/'Assumption Setting'!$E$222,'Capital Expenditure'!D$23-D23)</f>
        <v>0</v>
      </c>
      <c r="F10" s="65" t="n">
        <f aca="false">MIN('Capital Expenditure'!E$23/'Assumption Setting'!$E$222,'Capital Expenditure'!E$23-E23)</f>
        <v>0</v>
      </c>
      <c r="G10" s="65" t="n">
        <f aca="false">MIN('Capital Expenditure'!F$23/'Assumption Setting'!$E$222,'Capital Expenditure'!F$23-F23)</f>
        <v>0</v>
      </c>
      <c r="H10" s="65" t="n">
        <f aca="false">MIN('Capital Expenditure'!G$23/'Assumption Setting'!$E$222,'Capital Expenditure'!G$23-G23)</f>
        <v>0</v>
      </c>
      <c r="I10" s="65" t="n">
        <f aca="false">MIN('Capital Expenditure'!H$23/'Assumption Setting'!$E$222,'Capital Expenditure'!H$23-H23)</f>
        <v>0</v>
      </c>
      <c r="J10" s="65" t="n">
        <f aca="false">MIN('Capital Expenditure'!I$23/'Assumption Setting'!$E$222,'Capital Expenditure'!I$23-I23)</f>
        <v>0</v>
      </c>
      <c r="K10" s="65" t="n">
        <f aca="false">MIN('Capital Expenditure'!J$23/'Assumption Setting'!$E$222,'Capital Expenditure'!J$23-J23)</f>
        <v>0</v>
      </c>
      <c r="L10" s="65" t="n">
        <f aca="false">MIN('Capital Expenditure'!K$23/'Assumption Setting'!$E$222,'Capital Expenditure'!K$23-K23)</f>
        <v>0</v>
      </c>
      <c r="M10" s="65" t="n">
        <f aca="false">MIN('Capital Expenditure'!L$23/'Assumption Setting'!$E$222,'Capital Expenditure'!L$23-L23)</f>
        <v>0</v>
      </c>
      <c r="N10" s="65" t="n">
        <f aca="false">MIN('Capital Expenditure'!M$23/'Assumption Setting'!$E$222,'Capital Expenditure'!M$23-M23)</f>
        <v>0</v>
      </c>
      <c r="O10" s="64" t="n">
        <f aca="false">SUM(P10:AA10)</f>
        <v>0</v>
      </c>
      <c r="P10" s="65" t="n">
        <f aca="false">MIN('Capital Expenditure'!N$23/'Assumption Setting'!$E$222,'Capital Expenditure'!N$23-N23)</f>
        <v>0</v>
      </c>
      <c r="Q10" s="65" t="n">
        <f aca="false">MIN('Capital Expenditure'!P$23/'Assumption Setting'!$E$222,'Capital Expenditure'!P$23-P23)</f>
        <v>0</v>
      </c>
      <c r="R10" s="65" t="n">
        <f aca="false">MIN('Capital Expenditure'!Q$23/'Assumption Setting'!$E$222,'Capital Expenditure'!Q$23-Q23)</f>
        <v>0</v>
      </c>
      <c r="S10" s="65" t="n">
        <f aca="false">MIN('Capital Expenditure'!R$23/'Assumption Setting'!$E$222,'Capital Expenditure'!R$23-R23)</f>
        <v>0</v>
      </c>
      <c r="T10" s="65" t="n">
        <f aca="false">MIN('Capital Expenditure'!S$23/'Assumption Setting'!$E$222,'Capital Expenditure'!S$23-S23)</f>
        <v>0</v>
      </c>
      <c r="U10" s="65" t="n">
        <f aca="false">MIN('Capital Expenditure'!T$23/'Assumption Setting'!$E$222,'Capital Expenditure'!T$23-T23)</f>
        <v>0</v>
      </c>
      <c r="V10" s="65" t="n">
        <f aca="false">MIN('Capital Expenditure'!U$23/'Assumption Setting'!$E$222,'Capital Expenditure'!U$23-U23)</f>
        <v>0</v>
      </c>
      <c r="W10" s="65" t="n">
        <f aca="false">MIN('Capital Expenditure'!V$23/'Assumption Setting'!$E$222,'Capital Expenditure'!V$23-V23)</f>
        <v>0</v>
      </c>
      <c r="X10" s="65" t="n">
        <f aca="false">MIN('Capital Expenditure'!W$23/'Assumption Setting'!$E$222,'Capital Expenditure'!W$23-W23)</f>
        <v>0</v>
      </c>
      <c r="Y10" s="65" t="n">
        <f aca="false">MIN('Capital Expenditure'!X$23/'Assumption Setting'!$E$222,'Capital Expenditure'!X$23-X23)</f>
        <v>0</v>
      </c>
      <c r="Z10" s="65" t="n">
        <f aca="false">MIN('Capital Expenditure'!Y$23/'Assumption Setting'!$E$222,'Capital Expenditure'!Y$23-Y23)</f>
        <v>0</v>
      </c>
      <c r="AA10" s="65" t="n">
        <f aca="false">MIN('Capital Expenditure'!Z$23/'Assumption Setting'!$E$222,'Capital Expenditure'!Z$23-Z23)</f>
        <v>0</v>
      </c>
      <c r="AB10" s="64" t="n">
        <f aca="false">SUM(AC10:AN10)</f>
        <v>0</v>
      </c>
      <c r="AC10" s="65" t="n">
        <f aca="false">MIN('Capital Expenditure'!AA$23/'Assumption Setting'!$E$222,'Capital Expenditure'!AA$23-AA23)</f>
        <v>0</v>
      </c>
      <c r="AD10" s="65" t="n">
        <f aca="false">MIN('Capital Expenditure'!AC$23/'Assumption Setting'!$E$222,'Capital Expenditure'!AC$23-AC23)</f>
        <v>0</v>
      </c>
      <c r="AE10" s="65" t="n">
        <f aca="false">MIN('Capital Expenditure'!AD$23/'Assumption Setting'!$E$222,'Capital Expenditure'!AD$23-AD23)</f>
        <v>0</v>
      </c>
      <c r="AF10" s="65" t="n">
        <f aca="false">MIN('Capital Expenditure'!AE$23/'Assumption Setting'!$E$222,'Capital Expenditure'!AE$23-AE23)</f>
        <v>0</v>
      </c>
      <c r="AG10" s="65" t="n">
        <f aca="false">MIN('Capital Expenditure'!AF$23/'Assumption Setting'!$E$222,'Capital Expenditure'!AF$23-AF23)</f>
        <v>0</v>
      </c>
      <c r="AH10" s="65" t="n">
        <f aca="false">MIN('Capital Expenditure'!AG$23/'Assumption Setting'!$E$222,'Capital Expenditure'!AG$23-AG23)</f>
        <v>0</v>
      </c>
      <c r="AI10" s="65" t="n">
        <f aca="false">MIN('Capital Expenditure'!AH$23/'Assumption Setting'!$E$222,'Capital Expenditure'!AH$23-AH23)</f>
        <v>0</v>
      </c>
      <c r="AJ10" s="65" t="n">
        <f aca="false">MIN('Capital Expenditure'!AI$23/'Assumption Setting'!$E$222,'Capital Expenditure'!AI$23-AI23)</f>
        <v>0</v>
      </c>
      <c r="AK10" s="65" t="n">
        <f aca="false">MIN('Capital Expenditure'!AJ$23/'Assumption Setting'!$E$222,'Capital Expenditure'!AJ$23-AJ23)</f>
        <v>0</v>
      </c>
      <c r="AL10" s="65" t="n">
        <f aca="false">MIN('Capital Expenditure'!AK$23/'Assumption Setting'!$E$222,'Capital Expenditure'!AK$23-AK23)</f>
        <v>0</v>
      </c>
      <c r="AM10" s="65" t="n">
        <f aca="false">MIN('Capital Expenditure'!AL$23/'Assumption Setting'!$E$222,'Capital Expenditure'!AL$23-AL23)</f>
        <v>0</v>
      </c>
      <c r="AN10" s="65" t="n">
        <f aca="false">MIN('Capital Expenditure'!AM$23/'Assumption Setting'!$E$222,'Capital Expenditure'!AM$23-AM23)</f>
        <v>0</v>
      </c>
      <c r="AO10" s="64" t="n">
        <f aca="false">SUM(AP10:BA10)</f>
        <v>0</v>
      </c>
      <c r="AP10" s="65" t="n">
        <f aca="false">MIN('Capital Expenditure'!AN$23/'Assumption Setting'!$E$222,'Capital Expenditure'!AN$23-AN23)</f>
        <v>0</v>
      </c>
      <c r="AQ10" s="65" t="n">
        <f aca="false">MIN('Capital Expenditure'!AP$23/'Assumption Setting'!$E$222,'Capital Expenditure'!AP$23-AP23)</f>
        <v>0</v>
      </c>
      <c r="AR10" s="65" t="n">
        <f aca="false">MIN('Capital Expenditure'!AQ$23/'Assumption Setting'!$E$222,'Capital Expenditure'!AQ$23-AQ23)</f>
        <v>0</v>
      </c>
      <c r="AS10" s="65" t="n">
        <f aca="false">MIN('Capital Expenditure'!AR$23/'Assumption Setting'!$E$222,'Capital Expenditure'!AR$23-AR23)</f>
        <v>0</v>
      </c>
      <c r="AT10" s="65" t="n">
        <f aca="false">MIN('Capital Expenditure'!AS$23/'Assumption Setting'!$E$222,'Capital Expenditure'!AS$23-AS23)</f>
        <v>0</v>
      </c>
      <c r="AU10" s="65" t="n">
        <f aca="false">MIN('Capital Expenditure'!AT$23/'Assumption Setting'!$E$222,'Capital Expenditure'!AT$23-AT23)</f>
        <v>0</v>
      </c>
      <c r="AV10" s="65" t="n">
        <f aca="false">MIN('Capital Expenditure'!AU$23/'Assumption Setting'!$E$222,'Capital Expenditure'!AU$23-AU23)</f>
        <v>0</v>
      </c>
      <c r="AW10" s="65" t="n">
        <f aca="false">MIN('Capital Expenditure'!AV$23/'Assumption Setting'!$E$222,'Capital Expenditure'!AV$23-AV23)</f>
        <v>0</v>
      </c>
      <c r="AX10" s="65" t="n">
        <f aca="false">MIN('Capital Expenditure'!AW$23/'Assumption Setting'!$E$222,'Capital Expenditure'!AW$23-AW23)</f>
        <v>0</v>
      </c>
      <c r="AY10" s="65" t="n">
        <f aca="false">MIN('Capital Expenditure'!AX$23/'Assumption Setting'!$E$222,'Capital Expenditure'!AX$23-AX23)</f>
        <v>0</v>
      </c>
      <c r="AZ10" s="65" t="n">
        <f aca="false">MIN('Capital Expenditure'!AY$23/'Assumption Setting'!$E$222,'Capital Expenditure'!AY$23-AY23)</f>
        <v>0</v>
      </c>
      <c r="BA10" s="65" t="n">
        <f aca="false">MIN('Capital Expenditure'!AZ$23/'Assumption Setting'!$E$222,'Capital Expenditure'!AZ$23-AZ23)</f>
        <v>0</v>
      </c>
      <c r="BB10" s="64" t="n">
        <f aca="false">SUM(BC10:BN10)</f>
        <v>0</v>
      </c>
      <c r="BC10" s="65" t="n">
        <f aca="false">MIN('Capital Expenditure'!BA$23/'Assumption Setting'!$E$222,'Capital Expenditure'!BA$23-BA23)</f>
        <v>0</v>
      </c>
      <c r="BD10" s="65" t="n">
        <f aca="false">MIN('Capital Expenditure'!BC$23/'Assumption Setting'!$E$222,'Capital Expenditure'!BC$23-BC23)</f>
        <v>0</v>
      </c>
      <c r="BE10" s="65" t="n">
        <f aca="false">MIN('Capital Expenditure'!BD$23/'Assumption Setting'!$E$222,'Capital Expenditure'!BD$23-BD23)</f>
        <v>0</v>
      </c>
      <c r="BF10" s="65" t="n">
        <f aca="false">MIN('Capital Expenditure'!BE$23/'Assumption Setting'!$E$222,'Capital Expenditure'!BE$23-BE23)</f>
        <v>0</v>
      </c>
      <c r="BG10" s="65" t="n">
        <f aca="false">MIN('Capital Expenditure'!BF$23/'Assumption Setting'!$E$222,'Capital Expenditure'!BF$23-BF23)</f>
        <v>0</v>
      </c>
      <c r="BH10" s="65" t="n">
        <f aca="false">MIN('Capital Expenditure'!BG$23/'Assumption Setting'!$E$222,'Capital Expenditure'!BG$23-BG23)</f>
        <v>0</v>
      </c>
      <c r="BI10" s="65" t="n">
        <f aca="false">MIN('Capital Expenditure'!BH$23/'Assumption Setting'!$E$222,'Capital Expenditure'!BH$23-BH23)</f>
        <v>0</v>
      </c>
      <c r="BJ10" s="65" t="n">
        <f aca="false">MIN('Capital Expenditure'!BI$23/'Assumption Setting'!$E$222,'Capital Expenditure'!BI$23-BI23)</f>
        <v>0</v>
      </c>
      <c r="BK10" s="65" t="n">
        <f aca="false">MIN('Capital Expenditure'!BJ$23/'Assumption Setting'!$E$222,'Capital Expenditure'!BJ$23-BJ23)</f>
        <v>0</v>
      </c>
      <c r="BL10" s="65" t="n">
        <f aca="false">MIN('Capital Expenditure'!BK$23/'Assumption Setting'!$E$222,'Capital Expenditure'!BK$23-BK23)</f>
        <v>0</v>
      </c>
      <c r="BM10" s="65" t="n">
        <f aca="false">MIN('Capital Expenditure'!BL$23/'Assumption Setting'!$E$222,'Capital Expenditure'!BL$23-BL23)</f>
        <v>0</v>
      </c>
      <c r="BN10" s="65" t="n">
        <f aca="false">MIN('Capital Expenditure'!BM$23/'Assumption Setting'!$E$222,'Capital Expenditure'!BM$23-BM23)</f>
        <v>0</v>
      </c>
    </row>
    <row r="11" customFormat="false" ht="15" hidden="false" customHeight="false" outlineLevel="0" collapsed="false">
      <c r="A11" s="12" t="s">
        <v>474</v>
      </c>
      <c r="B11" s="64" t="n">
        <f aca="false">SUM(C11:N11)</f>
        <v>458.333333333333</v>
      </c>
      <c r="C11" s="65" t="n">
        <f aca="false">0</f>
        <v>0</v>
      </c>
      <c r="D11" s="65" t="n">
        <f aca="false">MIN('Capital Expenditure'!C$24/'Assumption Setting'!$E$225,'Capital Expenditure'!C$24-C24)</f>
        <v>0</v>
      </c>
      <c r="E11" s="65" t="n">
        <f aca="false">MIN('Capital Expenditure'!D$24/'Assumption Setting'!$E$225,'Capital Expenditure'!D$24-D24)</f>
        <v>45.8333333333333</v>
      </c>
      <c r="F11" s="65" t="n">
        <f aca="false">MIN('Capital Expenditure'!E$24/'Assumption Setting'!$E$225,'Capital Expenditure'!E$24-E24)</f>
        <v>45.8333333333333</v>
      </c>
      <c r="G11" s="65" t="n">
        <f aca="false">MIN('Capital Expenditure'!F$24/'Assumption Setting'!$E$225,'Capital Expenditure'!F$24-F24)</f>
        <v>45.8333333333333</v>
      </c>
      <c r="H11" s="65" t="n">
        <f aca="false">MIN('Capital Expenditure'!G$24/'Assumption Setting'!$E$225,'Capital Expenditure'!G$24-G24)</f>
        <v>45.8333333333333</v>
      </c>
      <c r="I11" s="65" t="n">
        <f aca="false">MIN('Capital Expenditure'!H$24/'Assumption Setting'!$E$225,'Capital Expenditure'!H$24-H24)</f>
        <v>45.8333333333333</v>
      </c>
      <c r="J11" s="65" t="n">
        <f aca="false">MIN('Capital Expenditure'!I$24/'Assumption Setting'!$E$225,'Capital Expenditure'!I$24-I24)</f>
        <v>45.8333333333333</v>
      </c>
      <c r="K11" s="65" t="n">
        <f aca="false">MIN('Capital Expenditure'!J$24/'Assumption Setting'!$E$225,'Capital Expenditure'!J$24-J24)</f>
        <v>45.8333333333333</v>
      </c>
      <c r="L11" s="65" t="n">
        <f aca="false">MIN('Capital Expenditure'!K$24/'Assumption Setting'!$E$225,'Capital Expenditure'!K$24-K24)</f>
        <v>45.8333333333333</v>
      </c>
      <c r="M11" s="65" t="n">
        <f aca="false">MIN('Capital Expenditure'!L$24/'Assumption Setting'!$E$225,'Capital Expenditure'!L$24-L24)</f>
        <v>45.8333333333333</v>
      </c>
      <c r="N11" s="65" t="n">
        <f aca="false">MIN('Capital Expenditure'!M$24/'Assumption Setting'!$E$225,'Capital Expenditure'!M$24-M24)</f>
        <v>45.8333333333333</v>
      </c>
      <c r="O11" s="64" t="n">
        <f aca="false">SUM(P11:AA11)</f>
        <v>550</v>
      </c>
      <c r="P11" s="65" t="n">
        <f aca="false">MIN('Capital Expenditure'!N$24/'Assumption Setting'!$E$225,'Capital Expenditure'!N$24-N24)</f>
        <v>45.8333333333333</v>
      </c>
      <c r="Q11" s="65" t="n">
        <f aca="false">MIN('Capital Expenditure'!P$24/'Assumption Setting'!$E$225,'Capital Expenditure'!P$24-P24)</f>
        <v>45.8333333333333</v>
      </c>
      <c r="R11" s="65" t="n">
        <f aca="false">MIN('Capital Expenditure'!Q$24/'Assumption Setting'!$E$225,'Capital Expenditure'!Q$24-Q24)</f>
        <v>45.8333333333333</v>
      </c>
      <c r="S11" s="65" t="n">
        <f aca="false">MIN('Capital Expenditure'!R$24/'Assumption Setting'!$E$225,'Capital Expenditure'!R$24-R24)</f>
        <v>45.8333333333333</v>
      </c>
      <c r="T11" s="65" t="n">
        <f aca="false">MIN('Capital Expenditure'!S$24/'Assumption Setting'!$E$225,'Capital Expenditure'!S$24-S24)</f>
        <v>45.8333333333333</v>
      </c>
      <c r="U11" s="65" t="n">
        <f aca="false">MIN('Capital Expenditure'!T$24/'Assumption Setting'!$E$225,'Capital Expenditure'!T$24-T24)</f>
        <v>45.8333333333333</v>
      </c>
      <c r="V11" s="65" t="n">
        <f aca="false">MIN('Capital Expenditure'!U$24/'Assumption Setting'!$E$225,'Capital Expenditure'!U$24-U24)</f>
        <v>45.8333333333333</v>
      </c>
      <c r="W11" s="65" t="n">
        <f aca="false">MIN('Capital Expenditure'!V$24/'Assumption Setting'!$E$225,'Capital Expenditure'!V$24-V24)</f>
        <v>45.8333333333333</v>
      </c>
      <c r="X11" s="65" t="n">
        <f aca="false">MIN('Capital Expenditure'!W$24/'Assumption Setting'!$E$225,'Capital Expenditure'!W$24-W24)</f>
        <v>45.8333333333333</v>
      </c>
      <c r="Y11" s="65" t="n">
        <f aca="false">MIN('Capital Expenditure'!X$24/'Assumption Setting'!$E$225,'Capital Expenditure'!X$24-X24)</f>
        <v>45.8333333333333</v>
      </c>
      <c r="Z11" s="65" t="n">
        <f aca="false">MIN('Capital Expenditure'!Y$24/'Assumption Setting'!$E$225,'Capital Expenditure'!Y$24-Y24)</f>
        <v>45.8333333333333</v>
      </c>
      <c r="AA11" s="65" t="n">
        <f aca="false">MIN('Capital Expenditure'!Z$24/'Assumption Setting'!$E$225,'Capital Expenditure'!Z$24-Z24)</f>
        <v>45.8333333333333</v>
      </c>
      <c r="AB11" s="64" t="n">
        <f aca="false">SUM(AC11:AN11)</f>
        <v>550</v>
      </c>
      <c r="AC11" s="65" t="n">
        <f aca="false">MIN('Capital Expenditure'!AA$24/'Assumption Setting'!$E$225,'Capital Expenditure'!AA$24-AA24)</f>
        <v>45.8333333333333</v>
      </c>
      <c r="AD11" s="65" t="n">
        <f aca="false">MIN('Capital Expenditure'!AC$24/'Assumption Setting'!$E$225,'Capital Expenditure'!AC$24-AC24)</f>
        <v>45.8333333333333</v>
      </c>
      <c r="AE11" s="65" t="n">
        <f aca="false">MIN('Capital Expenditure'!AD$24/'Assumption Setting'!$E$225,'Capital Expenditure'!AD$24-AD24)</f>
        <v>45.8333333333333</v>
      </c>
      <c r="AF11" s="65" t="n">
        <f aca="false">MIN('Capital Expenditure'!AE$24/'Assumption Setting'!$E$225,'Capital Expenditure'!AE$24-AE24)</f>
        <v>45.8333333333333</v>
      </c>
      <c r="AG11" s="65" t="n">
        <f aca="false">MIN('Capital Expenditure'!AF$24/'Assumption Setting'!$E$225,'Capital Expenditure'!AF$24-AF24)</f>
        <v>45.8333333333333</v>
      </c>
      <c r="AH11" s="65" t="n">
        <f aca="false">MIN('Capital Expenditure'!AG$24/'Assumption Setting'!$E$225,'Capital Expenditure'!AG$24-AG24)</f>
        <v>45.8333333333333</v>
      </c>
      <c r="AI11" s="65" t="n">
        <f aca="false">MIN('Capital Expenditure'!AH$24/'Assumption Setting'!$E$225,'Capital Expenditure'!AH$24-AH24)</f>
        <v>45.8333333333333</v>
      </c>
      <c r="AJ11" s="65" t="n">
        <f aca="false">MIN('Capital Expenditure'!AI$24/'Assumption Setting'!$E$225,'Capital Expenditure'!AI$24-AI24)</f>
        <v>45.8333333333333</v>
      </c>
      <c r="AK11" s="65" t="n">
        <f aca="false">MIN('Capital Expenditure'!AJ$24/'Assumption Setting'!$E$225,'Capital Expenditure'!AJ$24-AJ24)</f>
        <v>45.8333333333333</v>
      </c>
      <c r="AL11" s="65" t="n">
        <f aca="false">MIN('Capital Expenditure'!AK$24/'Assumption Setting'!$E$225,'Capital Expenditure'!AK$24-AK24)</f>
        <v>45.8333333333333</v>
      </c>
      <c r="AM11" s="65" t="n">
        <f aca="false">MIN('Capital Expenditure'!AL$24/'Assumption Setting'!$E$225,'Capital Expenditure'!AL$24-AL24)</f>
        <v>45.8333333333333</v>
      </c>
      <c r="AN11" s="65" t="n">
        <f aca="false">MIN('Capital Expenditure'!AM$24/'Assumption Setting'!$E$225,'Capital Expenditure'!AM$24-AM24)</f>
        <v>45.8333333333333</v>
      </c>
      <c r="AO11" s="64" t="n">
        <f aca="false">SUM(AP11:BA11)</f>
        <v>550</v>
      </c>
      <c r="AP11" s="65" t="n">
        <f aca="false">MIN('Capital Expenditure'!AN$24/'Assumption Setting'!$E$225,'Capital Expenditure'!AN$24-AN24)</f>
        <v>45.8333333333333</v>
      </c>
      <c r="AQ11" s="65" t="n">
        <f aca="false">MIN('Capital Expenditure'!AP$24/'Assumption Setting'!$E$225,'Capital Expenditure'!AP$24-AP24)</f>
        <v>45.8333333333333</v>
      </c>
      <c r="AR11" s="65" t="n">
        <f aca="false">MIN('Capital Expenditure'!AQ$24/'Assumption Setting'!$E$225,'Capital Expenditure'!AQ$24-AQ24)</f>
        <v>45.8333333333333</v>
      </c>
      <c r="AS11" s="65" t="n">
        <f aca="false">MIN('Capital Expenditure'!AR$24/'Assumption Setting'!$E$225,'Capital Expenditure'!AR$24-AR24)</f>
        <v>45.8333333333333</v>
      </c>
      <c r="AT11" s="65" t="n">
        <f aca="false">MIN('Capital Expenditure'!AS$24/'Assumption Setting'!$E$225,'Capital Expenditure'!AS$24-AS24)</f>
        <v>45.8333333333333</v>
      </c>
      <c r="AU11" s="65" t="n">
        <f aca="false">MIN('Capital Expenditure'!AT$24/'Assumption Setting'!$E$225,'Capital Expenditure'!AT$24-AT24)</f>
        <v>45.8333333333333</v>
      </c>
      <c r="AV11" s="65" t="n">
        <f aca="false">MIN('Capital Expenditure'!AU$24/'Assumption Setting'!$E$225,'Capital Expenditure'!AU$24-AU24)</f>
        <v>45.8333333333333</v>
      </c>
      <c r="AW11" s="65" t="n">
        <f aca="false">MIN('Capital Expenditure'!AV$24/'Assumption Setting'!$E$225,'Capital Expenditure'!AV$24-AV24)</f>
        <v>45.8333333333333</v>
      </c>
      <c r="AX11" s="65" t="n">
        <f aca="false">MIN('Capital Expenditure'!AW$24/'Assumption Setting'!$E$225,'Capital Expenditure'!AW$24-AW24)</f>
        <v>45.8333333333333</v>
      </c>
      <c r="AY11" s="65" t="n">
        <f aca="false">MIN('Capital Expenditure'!AX$24/'Assumption Setting'!$E$225,'Capital Expenditure'!AX$24-AX24)</f>
        <v>45.8333333333333</v>
      </c>
      <c r="AZ11" s="65" t="n">
        <f aca="false">MIN('Capital Expenditure'!AY$24/'Assumption Setting'!$E$225,'Capital Expenditure'!AY$24-AY24)</f>
        <v>45.8333333333333</v>
      </c>
      <c r="BA11" s="65" t="n">
        <f aca="false">MIN('Capital Expenditure'!AZ$24/'Assumption Setting'!$E$225,'Capital Expenditure'!AZ$24-AZ24)</f>
        <v>45.8333333333333</v>
      </c>
      <c r="BB11" s="64" t="n">
        <f aca="false">SUM(BC11:BN11)</f>
        <v>91.6666666666667</v>
      </c>
      <c r="BC11" s="65" t="n">
        <f aca="false">MIN('Capital Expenditure'!BA$24/'Assumption Setting'!$E$225,'Capital Expenditure'!BA$24-BA24)</f>
        <v>45.8333333333333</v>
      </c>
      <c r="BD11" s="65" t="n">
        <f aca="false">MIN('Capital Expenditure'!BC$24/'Assumption Setting'!$E$225,'Capital Expenditure'!BC$24-BC24)</f>
        <v>45.8333333333333</v>
      </c>
      <c r="BE11" s="65" t="n">
        <f aca="false">MIN('Capital Expenditure'!BD$24/'Assumption Setting'!$E$225,'Capital Expenditure'!BD$24-BD24)</f>
        <v>0</v>
      </c>
      <c r="BF11" s="65" t="n">
        <f aca="false">MIN('Capital Expenditure'!BE$24/'Assumption Setting'!$E$225,'Capital Expenditure'!BE$24-BE24)</f>
        <v>0</v>
      </c>
      <c r="BG11" s="65" t="n">
        <f aca="false">MIN('Capital Expenditure'!BF$24/'Assumption Setting'!$E$225,'Capital Expenditure'!BF$24-BF24)</f>
        <v>0</v>
      </c>
      <c r="BH11" s="65" t="n">
        <f aca="false">MIN('Capital Expenditure'!BG$24/'Assumption Setting'!$E$225,'Capital Expenditure'!BG$24-BG24)</f>
        <v>0</v>
      </c>
      <c r="BI11" s="65" t="n">
        <f aca="false">MIN('Capital Expenditure'!BH$24/'Assumption Setting'!$E$225,'Capital Expenditure'!BH$24-BH24)</f>
        <v>0</v>
      </c>
      <c r="BJ11" s="65" t="n">
        <f aca="false">MIN('Capital Expenditure'!BI$24/'Assumption Setting'!$E$225,'Capital Expenditure'!BI$24-BI24)</f>
        <v>0</v>
      </c>
      <c r="BK11" s="65" t="n">
        <f aca="false">MIN('Capital Expenditure'!BJ$24/'Assumption Setting'!$E$225,'Capital Expenditure'!BJ$24-BJ24)</f>
        <v>0</v>
      </c>
      <c r="BL11" s="65" t="n">
        <f aca="false">MIN('Capital Expenditure'!BK$24/'Assumption Setting'!$E$225,'Capital Expenditure'!BK$24-BK24)</f>
        <v>0</v>
      </c>
      <c r="BM11" s="65" t="n">
        <f aca="false">MIN('Capital Expenditure'!BL$24/'Assumption Setting'!$E$225,'Capital Expenditure'!BL$24-BL24)</f>
        <v>0</v>
      </c>
      <c r="BN11" s="65" t="n">
        <f aca="false">MIN('Capital Expenditure'!BM$24/'Assumption Setting'!$E$225,'Capital Expenditure'!BM$24-BM24)</f>
        <v>0</v>
      </c>
    </row>
    <row r="12" customFormat="false" ht="15" hidden="false" customHeight="false" outlineLevel="0" collapsed="false">
      <c r="A12" s="12" t="s">
        <v>475</v>
      </c>
      <c r="B12" s="64" t="n">
        <f aca="false">SUM(C12:N12)</f>
        <v>137.5</v>
      </c>
      <c r="C12" s="65" t="n">
        <f aca="false">0</f>
        <v>0</v>
      </c>
      <c r="D12" s="65" t="n">
        <f aca="false">MIN('Capital Expenditure'!C$25/'Assumption Setting'!$E$226,'Capital Expenditure'!C$25-C25)</f>
        <v>12.5</v>
      </c>
      <c r="E12" s="65" t="n">
        <f aca="false">MIN('Capital Expenditure'!D$25/'Assumption Setting'!$E$226,'Capital Expenditure'!D$25-D25)</f>
        <v>12.5</v>
      </c>
      <c r="F12" s="65" t="n">
        <f aca="false">MIN('Capital Expenditure'!E$25/'Assumption Setting'!$E$226,'Capital Expenditure'!E$25-E25)</f>
        <v>12.5</v>
      </c>
      <c r="G12" s="65" t="n">
        <f aca="false">MIN('Capital Expenditure'!F$25/'Assumption Setting'!$E$226,'Capital Expenditure'!F$25-F25)</f>
        <v>12.5</v>
      </c>
      <c r="H12" s="65" t="n">
        <f aca="false">MIN('Capital Expenditure'!G$25/'Assumption Setting'!$E$226,'Capital Expenditure'!G$25-G25)</f>
        <v>12.5</v>
      </c>
      <c r="I12" s="65" t="n">
        <f aca="false">MIN('Capital Expenditure'!H$25/'Assumption Setting'!$E$226,'Capital Expenditure'!H$25-H25)</f>
        <v>12.5</v>
      </c>
      <c r="J12" s="65" t="n">
        <f aca="false">MIN('Capital Expenditure'!I$25/'Assumption Setting'!$E$226,'Capital Expenditure'!I$25-I25)</f>
        <v>12.5</v>
      </c>
      <c r="K12" s="65" t="n">
        <f aca="false">MIN('Capital Expenditure'!J$25/'Assumption Setting'!$E$226,'Capital Expenditure'!J$25-J25)</f>
        <v>12.5</v>
      </c>
      <c r="L12" s="65" t="n">
        <f aca="false">MIN('Capital Expenditure'!K$25/'Assumption Setting'!$E$226,'Capital Expenditure'!K$25-K25)</f>
        <v>12.5</v>
      </c>
      <c r="M12" s="65" t="n">
        <f aca="false">MIN('Capital Expenditure'!L$25/'Assumption Setting'!$E$226,'Capital Expenditure'!L$25-L25)</f>
        <v>12.5</v>
      </c>
      <c r="N12" s="65" t="n">
        <f aca="false">MIN('Capital Expenditure'!M$25/'Assumption Setting'!$E$226,'Capital Expenditure'!M$25-M25)</f>
        <v>12.5</v>
      </c>
      <c r="O12" s="64" t="n">
        <f aca="false">SUM(P12:AA12)</f>
        <v>150</v>
      </c>
      <c r="P12" s="65" t="n">
        <f aca="false">MIN('Capital Expenditure'!N$25/'Assumption Setting'!$E$226,'Capital Expenditure'!N$25-N25)</f>
        <v>12.5</v>
      </c>
      <c r="Q12" s="65" t="n">
        <f aca="false">MIN('Capital Expenditure'!P$25/'Assumption Setting'!$E$226,'Capital Expenditure'!P$25-P25)</f>
        <v>12.5</v>
      </c>
      <c r="R12" s="65" t="n">
        <f aca="false">MIN('Capital Expenditure'!Q$25/'Assumption Setting'!$E$226,'Capital Expenditure'!Q$25-Q25)</f>
        <v>12.5</v>
      </c>
      <c r="S12" s="65" t="n">
        <f aca="false">MIN('Capital Expenditure'!R$25/'Assumption Setting'!$E$226,'Capital Expenditure'!R$25-R25)</f>
        <v>12.5</v>
      </c>
      <c r="T12" s="65" t="n">
        <f aca="false">MIN('Capital Expenditure'!S$25/'Assumption Setting'!$E$226,'Capital Expenditure'!S$25-S25)</f>
        <v>12.5</v>
      </c>
      <c r="U12" s="65" t="n">
        <f aca="false">MIN('Capital Expenditure'!T$25/'Assumption Setting'!$E$226,'Capital Expenditure'!T$25-T25)</f>
        <v>12.5</v>
      </c>
      <c r="V12" s="65" t="n">
        <f aca="false">MIN('Capital Expenditure'!U$25/'Assumption Setting'!$E$226,'Capital Expenditure'!U$25-U25)</f>
        <v>12.5</v>
      </c>
      <c r="W12" s="65" t="n">
        <f aca="false">MIN('Capital Expenditure'!V$25/'Assumption Setting'!$E$226,'Capital Expenditure'!V$25-V25)</f>
        <v>12.5</v>
      </c>
      <c r="X12" s="65" t="n">
        <f aca="false">MIN('Capital Expenditure'!W$25/'Assumption Setting'!$E$226,'Capital Expenditure'!W$25-W25)</f>
        <v>12.5</v>
      </c>
      <c r="Y12" s="65" t="n">
        <f aca="false">MIN('Capital Expenditure'!X$25/'Assumption Setting'!$E$226,'Capital Expenditure'!X$25-X25)</f>
        <v>12.5</v>
      </c>
      <c r="Z12" s="65" t="n">
        <f aca="false">MIN('Capital Expenditure'!Y$25/'Assumption Setting'!$E$226,'Capital Expenditure'!Y$25-Y25)</f>
        <v>12.5</v>
      </c>
      <c r="AA12" s="65" t="n">
        <f aca="false">MIN('Capital Expenditure'!Z$25/'Assumption Setting'!$E$226,'Capital Expenditure'!Z$25-Z25)</f>
        <v>12.5</v>
      </c>
      <c r="AB12" s="64" t="n">
        <f aca="false">SUM(AC12:AN12)</f>
        <v>150</v>
      </c>
      <c r="AC12" s="65" t="n">
        <f aca="false">MIN('Capital Expenditure'!AA$25/'Assumption Setting'!$E$226,'Capital Expenditure'!AA$25-AA25)</f>
        <v>12.5</v>
      </c>
      <c r="AD12" s="65" t="n">
        <f aca="false">MIN('Capital Expenditure'!AC$25/'Assumption Setting'!$E$226,'Capital Expenditure'!AC$25-AC25)</f>
        <v>12.5</v>
      </c>
      <c r="AE12" s="65" t="n">
        <f aca="false">MIN('Capital Expenditure'!AD$25/'Assumption Setting'!$E$226,'Capital Expenditure'!AD$25-AD25)</f>
        <v>12.5</v>
      </c>
      <c r="AF12" s="65" t="n">
        <f aca="false">MIN('Capital Expenditure'!AE$25/'Assumption Setting'!$E$226,'Capital Expenditure'!AE$25-AE25)</f>
        <v>12.5</v>
      </c>
      <c r="AG12" s="65" t="n">
        <f aca="false">MIN('Capital Expenditure'!AF$25/'Assumption Setting'!$E$226,'Capital Expenditure'!AF$25-AF25)</f>
        <v>12.5</v>
      </c>
      <c r="AH12" s="65" t="n">
        <f aca="false">MIN('Capital Expenditure'!AG$25/'Assumption Setting'!$E$226,'Capital Expenditure'!AG$25-AG25)</f>
        <v>12.5</v>
      </c>
      <c r="AI12" s="65" t="n">
        <f aca="false">MIN('Capital Expenditure'!AH$25/'Assumption Setting'!$E$226,'Capital Expenditure'!AH$25-AH25)</f>
        <v>12.5</v>
      </c>
      <c r="AJ12" s="65" t="n">
        <f aca="false">MIN('Capital Expenditure'!AI$25/'Assumption Setting'!$E$226,'Capital Expenditure'!AI$25-AI25)</f>
        <v>12.5</v>
      </c>
      <c r="AK12" s="65" t="n">
        <f aca="false">MIN('Capital Expenditure'!AJ$25/'Assumption Setting'!$E$226,'Capital Expenditure'!AJ$25-AJ25)</f>
        <v>12.5</v>
      </c>
      <c r="AL12" s="65" t="n">
        <f aca="false">MIN('Capital Expenditure'!AK$25/'Assumption Setting'!$E$226,'Capital Expenditure'!AK$25-AK25)</f>
        <v>12.5</v>
      </c>
      <c r="AM12" s="65" t="n">
        <f aca="false">MIN('Capital Expenditure'!AL$25/'Assumption Setting'!$E$226,'Capital Expenditure'!AL$25-AL25)</f>
        <v>12.5</v>
      </c>
      <c r="AN12" s="65" t="n">
        <f aca="false">MIN('Capital Expenditure'!AM$25/'Assumption Setting'!$E$226,'Capital Expenditure'!AM$25-AM25)</f>
        <v>12.5</v>
      </c>
      <c r="AO12" s="64" t="n">
        <f aca="false">SUM(AP12:BA12)</f>
        <v>150</v>
      </c>
      <c r="AP12" s="65" t="n">
        <f aca="false">MIN('Capital Expenditure'!AN$25/'Assumption Setting'!$E$226,'Capital Expenditure'!AN$25-AN25)</f>
        <v>12.5</v>
      </c>
      <c r="AQ12" s="65" t="n">
        <f aca="false">MIN('Capital Expenditure'!AP$25/'Assumption Setting'!$E$226,'Capital Expenditure'!AP$25-AP25)</f>
        <v>12.5</v>
      </c>
      <c r="AR12" s="65" t="n">
        <f aca="false">MIN('Capital Expenditure'!AQ$25/'Assumption Setting'!$E$226,'Capital Expenditure'!AQ$25-AQ25)</f>
        <v>12.5</v>
      </c>
      <c r="AS12" s="65" t="n">
        <f aca="false">MIN('Capital Expenditure'!AR$25/'Assumption Setting'!$E$226,'Capital Expenditure'!AR$25-AR25)</f>
        <v>12.5</v>
      </c>
      <c r="AT12" s="65" t="n">
        <f aca="false">MIN('Capital Expenditure'!AS$25/'Assumption Setting'!$E$226,'Capital Expenditure'!AS$25-AS25)</f>
        <v>12.5</v>
      </c>
      <c r="AU12" s="65" t="n">
        <f aca="false">MIN('Capital Expenditure'!AT$25/'Assumption Setting'!$E$226,'Capital Expenditure'!AT$25-AT25)</f>
        <v>12.5</v>
      </c>
      <c r="AV12" s="65" t="n">
        <f aca="false">MIN('Capital Expenditure'!AU$25/'Assumption Setting'!$E$226,'Capital Expenditure'!AU$25-AU25)</f>
        <v>12.5</v>
      </c>
      <c r="AW12" s="65" t="n">
        <f aca="false">MIN('Capital Expenditure'!AV$25/'Assumption Setting'!$E$226,'Capital Expenditure'!AV$25-AV25)</f>
        <v>12.5</v>
      </c>
      <c r="AX12" s="65" t="n">
        <f aca="false">MIN('Capital Expenditure'!AW$25/'Assumption Setting'!$E$226,'Capital Expenditure'!AW$25-AW25)</f>
        <v>12.5</v>
      </c>
      <c r="AY12" s="65" t="n">
        <f aca="false">MIN('Capital Expenditure'!AX$25/'Assumption Setting'!$E$226,'Capital Expenditure'!AX$25-AX25)</f>
        <v>12.5</v>
      </c>
      <c r="AZ12" s="65" t="n">
        <f aca="false">MIN('Capital Expenditure'!AY$25/'Assumption Setting'!$E$226,'Capital Expenditure'!AY$25-AY25)</f>
        <v>12.5</v>
      </c>
      <c r="BA12" s="65" t="n">
        <f aca="false">MIN('Capital Expenditure'!AZ$25/'Assumption Setting'!$E$226,'Capital Expenditure'!AZ$25-AZ25)</f>
        <v>12.5</v>
      </c>
      <c r="BB12" s="64" t="n">
        <f aca="false">SUM(BC12:BN12)</f>
        <v>12.5</v>
      </c>
      <c r="BC12" s="65" t="n">
        <f aca="false">MIN('Capital Expenditure'!BA$25/'Assumption Setting'!$E$226,'Capital Expenditure'!BA$25-BA25)</f>
        <v>12.5</v>
      </c>
      <c r="BD12" s="65" t="n">
        <f aca="false">MIN('Capital Expenditure'!BC$25/'Assumption Setting'!$E$226,'Capital Expenditure'!BC$25-BC25)</f>
        <v>0</v>
      </c>
      <c r="BE12" s="65" t="n">
        <f aca="false">MIN('Capital Expenditure'!BD$25/'Assumption Setting'!$E$226,'Capital Expenditure'!BD$25-BD25)</f>
        <v>0</v>
      </c>
      <c r="BF12" s="65" t="n">
        <f aca="false">MIN('Capital Expenditure'!BE$25/'Assumption Setting'!$E$226,'Capital Expenditure'!BE$25-BE25)</f>
        <v>0</v>
      </c>
      <c r="BG12" s="65" t="n">
        <f aca="false">MIN('Capital Expenditure'!BF$25/'Assumption Setting'!$E$226,'Capital Expenditure'!BF$25-BF25)</f>
        <v>0</v>
      </c>
      <c r="BH12" s="65" t="n">
        <f aca="false">MIN('Capital Expenditure'!BG$25/'Assumption Setting'!$E$226,'Capital Expenditure'!BG$25-BG25)</f>
        <v>0</v>
      </c>
      <c r="BI12" s="65" t="n">
        <f aca="false">MIN('Capital Expenditure'!BH$25/'Assumption Setting'!$E$226,'Capital Expenditure'!BH$25-BH25)</f>
        <v>0</v>
      </c>
      <c r="BJ12" s="65" t="n">
        <f aca="false">MIN('Capital Expenditure'!BI$25/'Assumption Setting'!$E$226,'Capital Expenditure'!BI$25-BI25)</f>
        <v>0</v>
      </c>
      <c r="BK12" s="65" t="n">
        <f aca="false">MIN('Capital Expenditure'!BJ$25/'Assumption Setting'!$E$226,'Capital Expenditure'!BJ$25-BJ25)</f>
        <v>0</v>
      </c>
      <c r="BL12" s="65" t="n">
        <f aca="false">MIN('Capital Expenditure'!BK$25/'Assumption Setting'!$E$226,'Capital Expenditure'!BK$25-BK25)</f>
        <v>0</v>
      </c>
      <c r="BM12" s="65" t="n">
        <f aca="false">MIN('Capital Expenditure'!BL$25/'Assumption Setting'!$E$226,'Capital Expenditure'!BL$25-BL25)</f>
        <v>0</v>
      </c>
      <c r="BN12" s="65" t="n">
        <f aca="false">MIN('Capital Expenditure'!BM$25/'Assumption Setting'!$E$226,'Capital Expenditure'!BM$25-BM25)</f>
        <v>0</v>
      </c>
    </row>
    <row r="13" customFormat="false" ht="15" hidden="false" customHeight="false" outlineLevel="0" collapsed="false">
      <c r="A13" s="12" t="s">
        <v>476</v>
      </c>
      <c r="B13" s="64" t="n">
        <f aca="false">SUM(C13:N13)</f>
        <v>550</v>
      </c>
      <c r="C13" s="65" t="n">
        <f aca="false">0</f>
        <v>0</v>
      </c>
      <c r="D13" s="65" t="n">
        <f aca="false">MIN('Capital Expenditure'!C$26/'Assumption Setting'!$E$227,'Capital Expenditure'!C$26-C26)</f>
        <v>50</v>
      </c>
      <c r="E13" s="65" t="n">
        <f aca="false">MIN('Capital Expenditure'!D$26/'Assumption Setting'!$E$227,'Capital Expenditure'!D$26-D26)</f>
        <v>50</v>
      </c>
      <c r="F13" s="65" t="n">
        <f aca="false">MIN('Capital Expenditure'!E$26/'Assumption Setting'!$E$227,'Capital Expenditure'!E$26-E26)</f>
        <v>50</v>
      </c>
      <c r="G13" s="65" t="n">
        <f aca="false">MIN('Capital Expenditure'!F$26/'Assumption Setting'!$E$227,'Capital Expenditure'!F$26-F26)</f>
        <v>50</v>
      </c>
      <c r="H13" s="65" t="n">
        <f aca="false">MIN('Capital Expenditure'!G$26/'Assumption Setting'!$E$227,'Capital Expenditure'!G$26-G26)</f>
        <v>50</v>
      </c>
      <c r="I13" s="65" t="n">
        <f aca="false">MIN('Capital Expenditure'!H$26/'Assumption Setting'!$E$227,'Capital Expenditure'!H$26-H26)</f>
        <v>50</v>
      </c>
      <c r="J13" s="65" t="n">
        <f aca="false">MIN('Capital Expenditure'!I$26/'Assumption Setting'!$E$227,'Capital Expenditure'!I$26-I26)</f>
        <v>50</v>
      </c>
      <c r="K13" s="65" t="n">
        <f aca="false">MIN('Capital Expenditure'!J$26/'Assumption Setting'!$E$227,'Capital Expenditure'!J$26-J26)</f>
        <v>50</v>
      </c>
      <c r="L13" s="65" t="n">
        <f aca="false">MIN('Capital Expenditure'!K$26/'Assumption Setting'!$E$227,'Capital Expenditure'!K$26-K26)</f>
        <v>50</v>
      </c>
      <c r="M13" s="65" t="n">
        <f aca="false">MIN('Capital Expenditure'!L$26/'Assumption Setting'!$E$227,'Capital Expenditure'!L$26-L26)</f>
        <v>50</v>
      </c>
      <c r="N13" s="65" t="n">
        <f aca="false">MIN('Capital Expenditure'!M$26/'Assumption Setting'!$E$227,'Capital Expenditure'!M$26-M26)</f>
        <v>50</v>
      </c>
      <c r="O13" s="64" t="n">
        <f aca="false">SUM(P13:AA13)</f>
        <v>600</v>
      </c>
      <c r="P13" s="65" t="n">
        <f aca="false">MIN('Capital Expenditure'!N$26/'Assumption Setting'!$E$227,'Capital Expenditure'!N$26-N26)</f>
        <v>50</v>
      </c>
      <c r="Q13" s="65" t="n">
        <f aca="false">MIN('Capital Expenditure'!P$26/'Assumption Setting'!$E$227,'Capital Expenditure'!P$26-P26)</f>
        <v>50</v>
      </c>
      <c r="R13" s="65" t="n">
        <f aca="false">MIN('Capital Expenditure'!Q$26/'Assumption Setting'!$E$227,'Capital Expenditure'!Q$26-Q26)</f>
        <v>50</v>
      </c>
      <c r="S13" s="65" t="n">
        <f aca="false">MIN('Capital Expenditure'!R$26/'Assumption Setting'!$E$227,'Capital Expenditure'!R$26-R26)</f>
        <v>50</v>
      </c>
      <c r="T13" s="65" t="n">
        <f aca="false">MIN('Capital Expenditure'!S$26/'Assumption Setting'!$E$227,'Capital Expenditure'!S$26-S26)</f>
        <v>50</v>
      </c>
      <c r="U13" s="65" t="n">
        <f aca="false">MIN('Capital Expenditure'!T$26/'Assumption Setting'!$E$227,'Capital Expenditure'!T$26-T26)</f>
        <v>50</v>
      </c>
      <c r="V13" s="65" t="n">
        <f aca="false">MIN('Capital Expenditure'!U$26/'Assumption Setting'!$E$227,'Capital Expenditure'!U$26-U26)</f>
        <v>50</v>
      </c>
      <c r="W13" s="65" t="n">
        <f aca="false">MIN('Capital Expenditure'!V$26/'Assumption Setting'!$E$227,'Capital Expenditure'!V$26-V26)</f>
        <v>50</v>
      </c>
      <c r="X13" s="65" t="n">
        <f aca="false">MIN('Capital Expenditure'!W$26/'Assumption Setting'!$E$227,'Capital Expenditure'!W$26-W26)</f>
        <v>50</v>
      </c>
      <c r="Y13" s="65" t="n">
        <f aca="false">MIN('Capital Expenditure'!X$26/'Assumption Setting'!$E$227,'Capital Expenditure'!X$26-X26)</f>
        <v>50</v>
      </c>
      <c r="Z13" s="65" t="n">
        <f aca="false">MIN('Capital Expenditure'!Y$26/'Assumption Setting'!$E$227,'Capital Expenditure'!Y$26-Y26)</f>
        <v>50</v>
      </c>
      <c r="AA13" s="65" t="n">
        <f aca="false">MIN('Capital Expenditure'!Z$26/'Assumption Setting'!$E$227,'Capital Expenditure'!Z$26-Z26)</f>
        <v>50</v>
      </c>
      <c r="AB13" s="64" t="n">
        <f aca="false">SUM(AC13:AN13)</f>
        <v>600</v>
      </c>
      <c r="AC13" s="65" t="n">
        <f aca="false">MIN('Capital Expenditure'!AA$26/'Assumption Setting'!$E$227,'Capital Expenditure'!AA$26-AA26)</f>
        <v>50</v>
      </c>
      <c r="AD13" s="65" t="n">
        <f aca="false">MIN('Capital Expenditure'!AC$26/'Assumption Setting'!$E$227,'Capital Expenditure'!AC$26-AC26)</f>
        <v>50</v>
      </c>
      <c r="AE13" s="65" t="n">
        <f aca="false">MIN('Capital Expenditure'!AD$26/'Assumption Setting'!$E$227,'Capital Expenditure'!AD$26-AD26)</f>
        <v>50</v>
      </c>
      <c r="AF13" s="65" t="n">
        <f aca="false">MIN('Capital Expenditure'!AE$26/'Assumption Setting'!$E$227,'Capital Expenditure'!AE$26-AE26)</f>
        <v>50</v>
      </c>
      <c r="AG13" s="65" t="n">
        <f aca="false">MIN('Capital Expenditure'!AF$26/'Assumption Setting'!$E$227,'Capital Expenditure'!AF$26-AF26)</f>
        <v>50</v>
      </c>
      <c r="AH13" s="65" t="n">
        <f aca="false">MIN('Capital Expenditure'!AG$26/'Assumption Setting'!$E$227,'Capital Expenditure'!AG$26-AG26)</f>
        <v>50</v>
      </c>
      <c r="AI13" s="65" t="n">
        <f aca="false">MIN('Capital Expenditure'!AH$26/'Assumption Setting'!$E$227,'Capital Expenditure'!AH$26-AH26)</f>
        <v>50</v>
      </c>
      <c r="AJ13" s="65" t="n">
        <f aca="false">MIN('Capital Expenditure'!AI$26/'Assumption Setting'!$E$227,'Capital Expenditure'!AI$26-AI26)</f>
        <v>50</v>
      </c>
      <c r="AK13" s="65" t="n">
        <f aca="false">MIN('Capital Expenditure'!AJ$26/'Assumption Setting'!$E$227,'Capital Expenditure'!AJ$26-AJ26)</f>
        <v>50</v>
      </c>
      <c r="AL13" s="65" t="n">
        <f aca="false">MIN('Capital Expenditure'!AK$26/'Assumption Setting'!$E$227,'Capital Expenditure'!AK$26-AK26)</f>
        <v>50</v>
      </c>
      <c r="AM13" s="65" t="n">
        <f aca="false">MIN('Capital Expenditure'!AL$26/'Assumption Setting'!$E$227,'Capital Expenditure'!AL$26-AL26)</f>
        <v>50</v>
      </c>
      <c r="AN13" s="65" t="n">
        <f aca="false">MIN('Capital Expenditure'!AM$26/'Assumption Setting'!$E$227,'Capital Expenditure'!AM$26-AM26)</f>
        <v>50</v>
      </c>
      <c r="AO13" s="64" t="n">
        <f aca="false">SUM(AP13:BA13)</f>
        <v>600</v>
      </c>
      <c r="AP13" s="65" t="n">
        <f aca="false">MIN('Capital Expenditure'!AN$26/'Assumption Setting'!$E$227,'Capital Expenditure'!AN$26-AN26)</f>
        <v>50</v>
      </c>
      <c r="AQ13" s="65" t="n">
        <f aca="false">MIN('Capital Expenditure'!AP$26/'Assumption Setting'!$E$227,'Capital Expenditure'!AP$26-AP26)</f>
        <v>50</v>
      </c>
      <c r="AR13" s="65" t="n">
        <f aca="false">MIN('Capital Expenditure'!AQ$26/'Assumption Setting'!$E$227,'Capital Expenditure'!AQ$26-AQ26)</f>
        <v>50</v>
      </c>
      <c r="AS13" s="65" t="n">
        <f aca="false">MIN('Capital Expenditure'!AR$26/'Assumption Setting'!$E$227,'Capital Expenditure'!AR$26-AR26)</f>
        <v>50</v>
      </c>
      <c r="AT13" s="65" t="n">
        <f aca="false">MIN('Capital Expenditure'!AS$26/'Assumption Setting'!$E$227,'Capital Expenditure'!AS$26-AS26)</f>
        <v>50</v>
      </c>
      <c r="AU13" s="65" t="n">
        <f aca="false">MIN('Capital Expenditure'!AT$26/'Assumption Setting'!$E$227,'Capital Expenditure'!AT$26-AT26)</f>
        <v>50</v>
      </c>
      <c r="AV13" s="65" t="n">
        <f aca="false">MIN('Capital Expenditure'!AU$26/'Assumption Setting'!$E$227,'Capital Expenditure'!AU$26-AU26)</f>
        <v>50</v>
      </c>
      <c r="AW13" s="65" t="n">
        <f aca="false">MIN('Capital Expenditure'!AV$26/'Assumption Setting'!$E$227,'Capital Expenditure'!AV$26-AV26)</f>
        <v>50</v>
      </c>
      <c r="AX13" s="65" t="n">
        <f aca="false">MIN('Capital Expenditure'!AW$26/'Assumption Setting'!$E$227,'Capital Expenditure'!AW$26-AW26)</f>
        <v>50</v>
      </c>
      <c r="AY13" s="65" t="n">
        <f aca="false">MIN('Capital Expenditure'!AX$26/'Assumption Setting'!$E$227,'Capital Expenditure'!AX$26-AX26)</f>
        <v>50</v>
      </c>
      <c r="AZ13" s="65" t="n">
        <f aca="false">MIN('Capital Expenditure'!AY$26/'Assumption Setting'!$E$227,'Capital Expenditure'!AY$26-AY26)</f>
        <v>50</v>
      </c>
      <c r="BA13" s="65" t="n">
        <f aca="false">MIN('Capital Expenditure'!AZ$26/'Assumption Setting'!$E$227,'Capital Expenditure'!AZ$26-AZ26)</f>
        <v>50</v>
      </c>
      <c r="BB13" s="64" t="n">
        <f aca="false">SUM(BC13:BN13)</f>
        <v>600</v>
      </c>
      <c r="BC13" s="65" t="n">
        <f aca="false">MIN('Capital Expenditure'!BA$26/'Assumption Setting'!$E$227,'Capital Expenditure'!BA$26-BA26)</f>
        <v>50</v>
      </c>
      <c r="BD13" s="65" t="n">
        <f aca="false">MIN('Capital Expenditure'!BC$26/'Assumption Setting'!$E$227,'Capital Expenditure'!BC$26-BC26)</f>
        <v>50</v>
      </c>
      <c r="BE13" s="65" t="n">
        <f aca="false">MIN('Capital Expenditure'!BD$26/'Assumption Setting'!$E$227,'Capital Expenditure'!BD$26-BD26)</f>
        <v>50</v>
      </c>
      <c r="BF13" s="65" t="n">
        <f aca="false">MIN('Capital Expenditure'!BE$26/'Assumption Setting'!$E$227,'Capital Expenditure'!BE$26-BE26)</f>
        <v>50</v>
      </c>
      <c r="BG13" s="65" t="n">
        <f aca="false">MIN('Capital Expenditure'!BF$26/'Assumption Setting'!$E$227,'Capital Expenditure'!BF$26-BF26)</f>
        <v>50</v>
      </c>
      <c r="BH13" s="65" t="n">
        <f aca="false">MIN('Capital Expenditure'!BG$26/'Assumption Setting'!$E$227,'Capital Expenditure'!BG$26-BG26)</f>
        <v>50</v>
      </c>
      <c r="BI13" s="65" t="n">
        <f aca="false">MIN('Capital Expenditure'!BH$26/'Assumption Setting'!$E$227,'Capital Expenditure'!BH$26-BH26)</f>
        <v>50</v>
      </c>
      <c r="BJ13" s="65" t="n">
        <f aca="false">MIN('Capital Expenditure'!BI$26/'Assumption Setting'!$E$227,'Capital Expenditure'!BI$26-BI26)</f>
        <v>50</v>
      </c>
      <c r="BK13" s="65" t="n">
        <f aca="false">MIN('Capital Expenditure'!BJ$26/'Assumption Setting'!$E$227,'Capital Expenditure'!BJ$26-BJ26)</f>
        <v>50</v>
      </c>
      <c r="BL13" s="65" t="n">
        <f aca="false">MIN('Capital Expenditure'!BK$26/'Assumption Setting'!$E$227,'Capital Expenditure'!BK$26-BK26)</f>
        <v>50</v>
      </c>
      <c r="BM13" s="65" t="n">
        <f aca="false">MIN('Capital Expenditure'!BL$26/'Assumption Setting'!$E$227,'Capital Expenditure'!BL$26-BL26)</f>
        <v>50</v>
      </c>
      <c r="BN13" s="65" t="n">
        <f aca="false">MIN('Capital Expenditure'!BM$26/'Assumption Setting'!$E$227,'Capital Expenditure'!BM$26-BM26)</f>
        <v>50</v>
      </c>
    </row>
    <row r="14" customFormat="false" ht="15" hidden="false" customHeight="false" outlineLevel="0" collapsed="false">
      <c r="A14" s="12" t="s">
        <v>477</v>
      </c>
      <c r="B14" s="64" t="n">
        <f aca="false">SUM(C14:N14)</f>
        <v>0</v>
      </c>
      <c r="C14" s="65" t="n">
        <f aca="false">0</f>
        <v>0</v>
      </c>
      <c r="D14" s="65" t="n">
        <f aca="false">MIN('Capital Expenditure'!C$27/'Assumption Setting'!$E$228,'Capital Expenditure'!C$27-C27)</f>
        <v>0</v>
      </c>
      <c r="E14" s="65" t="n">
        <f aca="false">MIN('Capital Expenditure'!D$27/'Assumption Setting'!$E$228,'Capital Expenditure'!D$27-D27)</f>
        <v>0</v>
      </c>
      <c r="F14" s="65" t="n">
        <f aca="false">MIN('Capital Expenditure'!E$27/'Assumption Setting'!$E$228,'Capital Expenditure'!E$27-E27)</f>
        <v>0</v>
      </c>
      <c r="G14" s="65" t="n">
        <f aca="false">MIN('Capital Expenditure'!F$27/'Assumption Setting'!$E$228,'Capital Expenditure'!F$27-F27)</f>
        <v>0</v>
      </c>
      <c r="H14" s="65" t="n">
        <f aca="false">MIN('Capital Expenditure'!G$27/'Assumption Setting'!$E$228,'Capital Expenditure'!G$27-G27)</f>
        <v>0</v>
      </c>
      <c r="I14" s="65" t="n">
        <f aca="false">MIN('Capital Expenditure'!H$27/'Assumption Setting'!$E$228,'Capital Expenditure'!H$27-H27)</f>
        <v>0</v>
      </c>
      <c r="J14" s="65" t="n">
        <f aca="false">MIN('Capital Expenditure'!I$27/'Assumption Setting'!$E$228,'Capital Expenditure'!I$27-I27)</f>
        <v>0</v>
      </c>
      <c r="K14" s="65" t="n">
        <f aca="false">MIN('Capital Expenditure'!J$27/'Assumption Setting'!$E$228,'Capital Expenditure'!J$27-J27)</f>
        <v>0</v>
      </c>
      <c r="L14" s="65" t="n">
        <f aca="false">MIN('Capital Expenditure'!K$27/'Assumption Setting'!$E$228,'Capital Expenditure'!K$27-K27)</f>
        <v>0</v>
      </c>
      <c r="M14" s="65" t="n">
        <f aca="false">MIN('Capital Expenditure'!L$27/'Assumption Setting'!$E$228,'Capital Expenditure'!L$27-L27)</f>
        <v>0</v>
      </c>
      <c r="N14" s="65" t="n">
        <f aca="false">MIN('Capital Expenditure'!M$27/'Assumption Setting'!$E$228,'Capital Expenditure'!M$27-M27)</f>
        <v>0</v>
      </c>
      <c r="O14" s="64" t="n">
        <f aca="false">SUM(P14:AA14)</f>
        <v>0</v>
      </c>
      <c r="P14" s="65" t="n">
        <f aca="false">MIN('Capital Expenditure'!N$27/'Assumption Setting'!$E$228,'Capital Expenditure'!N$27-N27)</f>
        <v>0</v>
      </c>
      <c r="Q14" s="65" t="n">
        <f aca="false">MIN('Capital Expenditure'!P$27/'Assumption Setting'!$E$228,'Capital Expenditure'!P$27-P27)</f>
        <v>0</v>
      </c>
      <c r="R14" s="65" t="n">
        <f aca="false">MIN('Capital Expenditure'!Q$27/'Assumption Setting'!$E$228,'Capital Expenditure'!Q$27-Q27)</f>
        <v>0</v>
      </c>
      <c r="S14" s="65" t="n">
        <f aca="false">MIN('Capital Expenditure'!R$27/'Assumption Setting'!$E$228,'Capital Expenditure'!R$27-R27)</f>
        <v>0</v>
      </c>
      <c r="T14" s="65" t="n">
        <f aca="false">MIN('Capital Expenditure'!S$27/'Assumption Setting'!$E$228,'Capital Expenditure'!S$27-S27)</f>
        <v>0</v>
      </c>
      <c r="U14" s="65" t="n">
        <f aca="false">MIN('Capital Expenditure'!T$27/'Assumption Setting'!$E$228,'Capital Expenditure'!T$27-T27)</f>
        <v>0</v>
      </c>
      <c r="V14" s="65" t="n">
        <f aca="false">MIN('Capital Expenditure'!U$27/'Assumption Setting'!$E$228,'Capital Expenditure'!U$27-U27)</f>
        <v>0</v>
      </c>
      <c r="W14" s="65" t="n">
        <f aca="false">MIN('Capital Expenditure'!V$27/'Assumption Setting'!$E$228,'Capital Expenditure'!V$27-V27)</f>
        <v>0</v>
      </c>
      <c r="X14" s="65" t="n">
        <f aca="false">MIN('Capital Expenditure'!W$27/'Assumption Setting'!$E$228,'Capital Expenditure'!W$27-W27)</f>
        <v>0</v>
      </c>
      <c r="Y14" s="65" t="n">
        <f aca="false">MIN('Capital Expenditure'!X$27/'Assumption Setting'!$E$228,'Capital Expenditure'!X$27-X27)</f>
        <v>0</v>
      </c>
      <c r="Z14" s="65" t="n">
        <f aca="false">MIN('Capital Expenditure'!Y$27/'Assumption Setting'!$E$228,'Capital Expenditure'!Y$27-Y27)</f>
        <v>0</v>
      </c>
      <c r="AA14" s="65" t="n">
        <f aca="false">MIN('Capital Expenditure'!Z$27/'Assumption Setting'!$E$228,'Capital Expenditure'!Z$27-Z27)</f>
        <v>0</v>
      </c>
      <c r="AB14" s="64" t="n">
        <f aca="false">SUM(AC14:AN14)</f>
        <v>733.333333333333</v>
      </c>
      <c r="AC14" s="65" t="n">
        <f aca="false">MIN('Capital Expenditure'!AA$27/'Assumption Setting'!$E$228,'Capital Expenditure'!AA$27-AA27)</f>
        <v>0</v>
      </c>
      <c r="AD14" s="65" t="n">
        <f aca="false">MIN('Capital Expenditure'!AC$27/'Assumption Setting'!$E$228,'Capital Expenditure'!AC$27-AC27)</f>
        <v>66.6666666666667</v>
      </c>
      <c r="AE14" s="65" t="n">
        <f aca="false">MIN('Capital Expenditure'!AD$27/'Assumption Setting'!$E$228,'Capital Expenditure'!AD$27-AD27)</f>
        <v>66.6666666666667</v>
      </c>
      <c r="AF14" s="65" t="n">
        <f aca="false">MIN('Capital Expenditure'!AE$27/'Assumption Setting'!$E$228,'Capital Expenditure'!AE$27-AE27)</f>
        <v>66.6666666666667</v>
      </c>
      <c r="AG14" s="65" t="n">
        <f aca="false">MIN('Capital Expenditure'!AF$27/'Assumption Setting'!$E$228,'Capital Expenditure'!AF$27-AF27)</f>
        <v>66.6666666666667</v>
      </c>
      <c r="AH14" s="65" t="n">
        <f aca="false">MIN('Capital Expenditure'!AG$27/'Assumption Setting'!$E$228,'Capital Expenditure'!AG$27-AG27)</f>
        <v>66.6666666666667</v>
      </c>
      <c r="AI14" s="65" t="n">
        <f aca="false">MIN('Capital Expenditure'!AH$27/'Assumption Setting'!$E$228,'Capital Expenditure'!AH$27-AH27)</f>
        <v>66.6666666666667</v>
      </c>
      <c r="AJ14" s="65" t="n">
        <f aca="false">MIN('Capital Expenditure'!AI$27/'Assumption Setting'!$E$228,'Capital Expenditure'!AI$27-AI27)</f>
        <v>66.6666666666667</v>
      </c>
      <c r="AK14" s="65" t="n">
        <f aca="false">MIN('Capital Expenditure'!AJ$27/'Assumption Setting'!$E$228,'Capital Expenditure'!AJ$27-AJ27)</f>
        <v>66.6666666666667</v>
      </c>
      <c r="AL14" s="65" t="n">
        <f aca="false">MIN('Capital Expenditure'!AK$27/'Assumption Setting'!$E$228,'Capital Expenditure'!AK$27-AK27)</f>
        <v>66.6666666666667</v>
      </c>
      <c r="AM14" s="65" t="n">
        <f aca="false">MIN('Capital Expenditure'!AL$27/'Assumption Setting'!$E$228,'Capital Expenditure'!AL$27-AL27)</f>
        <v>66.6666666666667</v>
      </c>
      <c r="AN14" s="65" t="n">
        <f aca="false">MIN('Capital Expenditure'!AM$27/'Assumption Setting'!$E$228,'Capital Expenditure'!AM$27-AM27)</f>
        <v>66.6666666666667</v>
      </c>
      <c r="AO14" s="64" t="n">
        <f aca="false">SUM(AP14:BA14)</f>
        <v>800</v>
      </c>
      <c r="AP14" s="65" t="n">
        <f aca="false">MIN('Capital Expenditure'!AN$27/'Assumption Setting'!$E$228,'Capital Expenditure'!AN$27-AN27)</f>
        <v>66.6666666666667</v>
      </c>
      <c r="AQ14" s="65" t="n">
        <f aca="false">MIN('Capital Expenditure'!AP$27/'Assumption Setting'!$E$228,'Capital Expenditure'!AP$27-AP27)</f>
        <v>66.6666666666667</v>
      </c>
      <c r="AR14" s="65" t="n">
        <f aca="false">MIN('Capital Expenditure'!AQ$27/'Assumption Setting'!$E$228,'Capital Expenditure'!AQ$27-AQ27)</f>
        <v>66.6666666666667</v>
      </c>
      <c r="AS14" s="65" t="n">
        <f aca="false">MIN('Capital Expenditure'!AR$27/'Assumption Setting'!$E$228,'Capital Expenditure'!AR$27-AR27)</f>
        <v>66.6666666666667</v>
      </c>
      <c r="AT14" s="65" t="n">
        <f aca="false">MIN('Capital Expenditure'!AS$27/'Assumption Setting'!$E$228,'Capital Expenditure'!AS$27-AS27)</f>
        <v>66.6666666666667</v>
      </c>
      <c r="AU14" s="65" t="n">
        <f aca="false">MIN('Capital Expenditure'!AT$27/'Assumption Setting'!$E$228,'Capital Expenditure'!AT$27-AT27)</f>
        <v>66.6666666666667</v>
      </c>
      <c r="AV14" s="65" t="n">
        <f aca="false">MIN('Capital Expenditure'!AU$27/'Assumption Setting'!$E$228,'Capital Expenditure'!AU$27-AU27)</f>
        <v>66.6666666666667</v>
      </c>
      <c r="AW14" s="65" t="n">
        <f aca="false">MIN('Capital Expenditure'!AV$27/'Assumption Setting'!$E$228,'Capital Expenditure'!AV$27-AV27)</f>
        <v>66.6666666666667</v>
      </c>
      <c r="AX14" s="65" t="n">
        <f aca="false">MIN('Capital Expenditure'!AW$27/'Assumption Setting'!$E$228,'Capital Expenditure'!AW$27-AW27)</f>
        <v>66.6666666666667</v>
      </c>
      <c r="AY14" s="65" t="n">
        <f aca="false">MIN('Capital Expenditure'!AX$27/'Assumption Setting'!$E$228,'Capital Expenditure'!AX$27-AX27)</f>
        <v>66.6666666666667</v>
      </c>
      <c r="AZ14" s="65" t="n">
        <f aca="false">MIN('Capital Expenditure'!AY$27/'Assumption Setting'!$E$228,'Capital Expenditure'!AY$27-AY27)</f>
        <v>66.6666666666667</v>
      </c>
      <c r="BA14" s="65" t="n">
        <f aca="false">MIN('Capital Expenditure'!AZ$27/'Assumption Setting'!$E$228,'Capital Expenditure'!AZ$27-AZ27)</f>
        <v>66.6666666666667</v>
      </c>
      <c r="BB14" s="64" t="n">
        <f aca="false">SUM(BC14:BN14)</f>
        <v>800</v>
      </c>
      <c r="BC14" s="65" t="n">
        <f aca="false">MIN('Capital Expenditure'!BA$27/'Assumption Setting'!$E$228,'Capital Expenditure'!BA$27-BA27)</f>
        <v>66.6666666666667</v>
      </c>
      <c r="BD14" s="65" t="n">
        <f aca="false">MIN('Capital Expenditure'!BC$27/'Assumption Setting'!$E$228,'Capital Expenditure'!BC$27-BC27)</f>
        <v>66.6666666666667</v>
      </c>
      <c r="BE14" s="65" t="n">
        <f aca="false">MIN('Capital Expenditure'!BD$27/'Assumption Setting'!$E$228,'Capital Expenditure'!BD$27-BD27)</f>
        <v>66.6666666666667</v>
      </c>
      <c r="BF14" s="65" t="n">
        <f aca="false">MIN('Capital Expenditure'!BE$27/'Assumption Setting'!$E$228,'Capital Expenditure'!BE$27-BE27)</f>
        <v>66.6666666666667</v>
      </c>
      <c r="BG14" s="65" t="n">
        <f aca="false">MIN('Capital Expenditure'!BF$27/'Assumption Setting'!$E$228,'Capital Expenditure'!BF$27-BF27)</f>
        <v>66.6666666666667</v>
      </c>
      <c r="BH14" s="65" t="n">
        <f aca="false">MIN('Capital Expenditure'!BG$27/'Assumption Setting'!$E$228,'Capital Expenditure'!BG$27-BG27)</f>
        <v>66.6666666666667</v>
      </c>
      <c r="BI14" s="65" t="n">
        <f aca="false">MIN('Capital Expenditure'!BH$27/'Assumption Setting'!$E$228,'Capital Expenditure'!BH$27-BH27)</f>
        <v>66.6666666666667</v>
      </c>
      <c r="BJ14" s="65" t="n">
        <f aca="false">MIN('Capital Expenditure'!BI$27/'Assumption Setting'!$E$228,'Capital Expenditure'!BI$27-BI27)</f>
        <v>66.6666666666667</v>
      </c>
      <c r="BK14" s="65" t="n">
        <f aca="false">MIN('Capital Expenditure'!BJ$27/'Assumption Setting'!$E$228,'Capital Expenditure'!BJ$27-BJ27)</f>
        <v>66.6666666666667</v>
      </c>
      <c r="BL14" s="65" t="n">
        <f aca="false">MIN('Capital Expenditure'!BK$27/'Assumption Setting'!$E$228,'Capital Expenditure'!BK$27-BK27)</f>
        <v>66.6666666666667</v>
      </c>
      <c r="BM14" s="65" t="n">
        <f aca="false">MIN('Capital Expenditure'!BL$27/'Assumption Setting'!$E$228,'Capital Expenditure'!BL$27-BL27)</f>
        <v>66.6666666666667</v>
      </c>
      <c r="BN14" s="65" t="n">
        <f aca="false">MIN('Capital Expenditure'!BM$27/'Assumption Setting'!$E$228,'Capital Expenditure'!BM$27-BM27)</f>
        <v>66.6666666666667</v>
      </c>
    </row>
    <row r="15" customFormat="false" ht="15" hidden="false" customHeight="false" outlineLevel="0" collapsed="false">
      <c r="A15" s="12" t="s">
        <v>478</v>
      </c>
      <c r="B15" s="64" t="n">
        <f aca="false">SUM(C15:N15)</f>
        <v>0</v>
      </c>
      <c r="C15" s="65" t="n">
        <f aca="false">0</f>
        <v>0</v>
      </c>
      <c r="D15" s="65" t="n">
        <f aca="false">MIN('Capital Expenditure'!C$28/'Assumption Setting'!$E$229,'Capital Expenditure'!C$28-C28)</f>
        <v>0</v>
      </c>
      <c r="E15" s="65" t="n">
        <f aca="false">MIN('Capital Expenditure'!D$28/'Assumption Setting'!$E$229,'Capital Expenditure'!D$28-D28)</f>
        <v>0</v>
      </c>
      <c r="F15" s="65" t="n">
        <f aca="false">MIN('Capital Expenditure'!E$28/'Assumption Setting'!$E$229,'Capital Expenditure'!E$28-E28)</f>
        <v>0</v>
      </c>
      <c r="G15" s="65" t="n">
        <f aca="false">MIN('Capital Expenditure'!F$28/'Assumption Setting'!$E$229,'Capital Expenditure'!F$28-F28)</f>
        <v>0</v>
      </c>
      <c r="H15" s="65" t="n">
        <f aca="false">MIN('Capital Expenditure'!G$28/'Assumption Setting'!$E$229,'Capital Expenditure'!G$28-G28)</f>
        <v>0</v>
      </c>
      <c r="I15" s="65" t="n">
        <f aca="false">MIN('Capital Expenditure'!H$28/'Assumption Setting'!$E$229,'Capital Expenditure'!H$28-H28)</f>
        <v>0</v>
      </c>
      <c r="J15" s="65" t="n">
        <f aca="false">MIN('Capital Expenditure'!I$28/'Assumption Setting'!$E$229,'Capital Expenditure'!I$28-I28)</f>
        <v>0</v>
      </c>
      <c r="K15" s="65" t="n">
        <f aca="false">MIN('Capital Expenditure'!J$28/'Assumption Setting'!$E$229,'Capital Expenditure'!J$28-J28)</f>
        <v>0</v>
      </c>
      <c r="L15" s="65" t="n">
        <f aca="false">MIN('Capital Expenditure'!K$28/'Assumption Setting'!$E$229,'Capital Expenditure'!K$28-K28)</f>
        <v>0</v>
      </c>
      <c r="M15" s="65" t="n">
        <f aca="false">MIN('Capital Expenditure'!L$28/'Assumption Setting'!$E$229,'Capital Expenditure'!L$28-L28)</f>
        <v>0</v>
      </c>
      <c r="N15" s="65" t="n">
        <f aca="false">MIN('Capital Expenditure'!M$28/'Assumption Setting'!$E$229,'Capital Expenditure'!M$28-M28)</f>
        <v>0</v>
      </c>
      <c r="O15" s="64" t="n">
        <f aca="false">SUM(P15:AA15)</f>
        <v>0</v>
      </c>
      <c r="P15" s="65" t="n">
        <f aca="false">MIN('Capital Expenditure'!N$28/'Assumption Setting'!$E$229,'Capital Expenditure'!N$28-N28)</f>
        <v>0</v>
      </c>
      <c r="Q15" s="65" t="n">
        <f aca="false">MIN('Capital Expenditure'!P$28/'Assumption Setting'!$E$229,'Capital Expenditure'!P$28-P28)</f>
        <v>0</v>
      </c>
      <c r="R15" s="65" t="n">
        <f aca="false">MIN('Capital Expenditure'!Q$28/'Assumption Setting'!$E$229,'Capital Expenditure'!Q$28-Q28)</f>
        <v>0</v>
      </c>
      <c r="S15" s="65" t="n">
        <f aca="false">MIN('Capital Expenditure'!R$28/'Assumption Setting'!$E$229,'Capital Expenditure'!R$28-R28)</f>
        <v>0</v>
      </c>
      <c r="T15" s="65" t="n">
        <f aca="false">MIN('Capital Expenditure'!S$28/'Assumption Setting'!$E$229,'Capital Expenditure'!S$28-S28)</f>
        <v>0</v>
      </c>
      <c r="U15" s="65" t="n">
        <f aca="false">MIN('Capital Expenditure'!T$28/'Assumption Setting'!$E$229,'Capital Expenditure'!T$28-T28)</f>
        <v>0</v>
      </c>
      <c r="V15" s="65" t="n">
        <f aca="false">MIN('Capital Expenditure'!U$28/'Assumption Setting'!$E$229,'Capital Expenditure'!U$28-U28)</f>
        <v>0</v>
      </c>
      <c r="W15" s="65" t="n">
        <f aca="false">MIN('Capital Expenditure'!V$28/'Assumption Setting'!$E$229,'Capital Expenditure'!V$28-V28)</f>
        <v>0</v>
      </c>
      <c r="X15" s="65" t="n">
        <f aca="false">MIN('Capital Expenditure'!W$28/'Assumption Setting'!$E$229,'Capital Expenditure'!W$28-W28)</f>
        <v>0</v>
      </c>
      <c r="Y15" s="65" t="n">
        <f aca="false">MIN('Capital Expenditure'!X$28/'Assumption Setting'!$E$229,'Capital Expenditure'!X$28-X28)</f>
        <v>0</v>
      </c>
      <c r="Z15" s="65" t="n">
        <f aca="false">MIN('Capital Expenditure'!Y$28/'Assumption Setting'!$E$229,'Capital Expenditure'!Y$28-Y28)</f>
        <v>0</v>
      </c>
      <c r="AA15" s="65" t="n">
        <f aca="false">MIN('Capital Expenditure'!Z$28/'Assumption Setting'!$E$229,'Capital Expenditure'!Z$28-Z28)</f>
        <v>0</v>
      </c>
      <c r="AB15" s="64" t="n">
        <f aca="false">SUM(AC15:AN15)</f>
        <v>1100</v>
      </c>
      <c r="AC15" s="65" t="n">
        <f aca="false">MIN('Capital Expenditure'!AA$28/'Assumption Setting'!$E$229,'Capital Expenditure'!AA$28-AA28)</f>
        <v>0</v>
      </c>
      <c r="AD15" s="65" t="n">
        <f aca="false">MIN('Capital Expenditure'!AC$28/'Assumption Setting'!$E$229,'Capital Expenditure'!AC$28-AC28)</f>
        <v>100</v>
      </c>
      <c r="AE15" s="65" t="n">
        <f aca="false">MIN('Capital Expenditure'!AD$28/'Assumption Setting'!$E$229,'Capital Expenditure'!AD$28-AD28)</f>
        <v>100</v>
      </c>
      <c r="AF15" s="65" t="n">
        <f aca="false">MIN('Capital Expenditure'!AE$28/'Assumption Setting'!$E$229,'Capital Expenditure'!AE$28-AE28)</f>
        <v>100</v>
      </c>
      <c r="AG15" s="65" t="n">
        <f aca="false">MIN('Capital Expenditure'!AF$28/'Assumption Setting'!$E$229,'Capital Expenditure'!AF$28-AF28)</f>
        <v>100</v>
      </c>
      <c r="AH15" s="65" t="n">
        <f aca="false">MIN('Capital Expenditure'!AG$28/'Assumption Setting'!$E$229,'Capital Expenditure'!AG$28-AG28)</f>
        <v>100</v>
      </c>
      <c r="AI15" s="65" t="n">
        <f aca="false">MIN('Capital Expenditure'!AH$28/'Assumption Setting'!$E$229,'Capital Expenditure'!AH$28-AH28)</f>
        <v>100</v>
      </c>
      <c r="AJ15" s="65" t="n">
        <f aca="false">MIN('Capital Expenditure'!AI$28/'Assumption Setting'!$E$229,'Capital Expenditure'!AI$28-AI28)</f>
        <v>100</v>
      </c>
      <c r="AK15" s="65" t="n">
        <f aca="false">MIN('Capital Expenditure'!AJ$28/'Assumption Setting'!$E$229,'Capital Expenditure'!AJ$28-AJ28)</f>
        <v>100</v>
      </c>
      <c r="AL15" s="65" t="n">
        <f aca="false">MIN('Capital Expenditure'!AK$28/'Assumption Setting'!$E$229,'Capital Expenditure'!AK$28-AK28)</f>
        <v>100</v>
      </c>
      <c r="AM15" s="65" t="n">
        <f aca="false">MIN('Capital Expenditure'!AL$28/'Assumption Setting'!$E$229,'Capital Expenditure'!AL$28-AL28)</f>
        <v>100</v>
      </c>
      <c r="AN15" s="65" t="n">
        <f aca="false">MIN('Capital Expenditure'!AM$28/'Assumption Setting'!$E$229,'Capital Expenditure'!AM$28-AM28)</f>
        <v>100</v>
      </c>
      <c r="AO15" s="64" t="n">
        <f aca="false">SUM(AP15:BA15)</f>
        <v>1200</v>
      </c>
      <c r="AP15" s="65" t="n">
        <f aca="false">MIN('Capital Expenditure'!AN$28/'Assumption Setting'!$E$229,'Capital Expenditure'!AN$28-AN28)</f>
        <v>100</v>
      </c>
      <c r="AQ15" s="65" t="n">
        <f aca="false">MIN('Capital Expenditure'!AP$28/'Assumption Setting'!$E$229,'Capital Expenditure'!AP$28-AP28)</f>
        <v>100</v>
      </c>
      <c r="AR15" s="65" t="n">
        <f aca="false">MIN('Capital Expenditure'!AQ$28/'Assumption Setting'!$E$229,'Capital Expenditure'!AQ$28-AQ28)</f>
        <v>100</v>
      </c>
      <c r="AS15" s="65" t="n">
        <f aca="false">MIN('Capital Expenditure'!AR$28/'Assumption Setting'!$E$229,'Capital Expenditure'!AR$28-AR28)</f>
        <v>100</v>
      </c>
      <c r="AT15" s="65" t="n">
        <f aca="false">MIN('Capital Expenditure'!AS$28/'Assumption Setting'!$E$229,'Capital Expenditure'!AS$28-AS28)</f>
        <v>100</v>
      </c>
      <c r="AU15" s="65" t="n">
        <f aca="false">MIN('Capital Expenditure'!AT$28/'Assumption Setting'!$E$229,'Capital Expenditure'!AT$28-AT28)</f>
        <v>100</v>
      </c>
      <c r="AV15" s="65" t="n">
        <f aca="false">MIN('Capital Expenditure'!AU$28/'Assumption Setting'!$E$229,'Capital Expenditure'!AU$28-AU28)</f>
        <v>100</v>
      </c>
      <c r="AW15" s="65" t="n">
        <f aca="false">MIN('Capital Expenditure'!AV$28/'Assumption Setting'!$E$229,'Capital Expenditure'!AV$28-AV28)</f>
        <v>100</v>
      </c>
      <c r="AX15" s="65" t="n">
        <f aca="false">MIN('Capital Expenditure'!AW$28/'Assumption Setting'!$E$229,'Capital Expenditure'!AW$28-AW28)</f>
        <v>100</v>
      </c>
      <c r="AY15" s="65" t="n">
        <f aca="false">MIN('Capital Expenditure'!AX$28/'Assumption Setting'!$E$229,'Capital Expenditure'!AX$28-AX28)</f>
        <v>100</v>
      </c>
      <c r="AZ15" s="65" t="n">
        <f aca="false">MIN('Capital Expenditure'!AY$28/'Assumption Setting'!$E$229,'Capital Expenditure'!AY$28-AY28)</f>
        <v>100</v>
      </c>
      <c r="BA15" s="65" t="n">
        <f aca="false">MIN('Capital Expenditure'!AZ$28/'Assumption Setting'!$E$229,'Capital Expenditure'!AZ$28-AZ28)</f>
        <v>100</v>
      </c>
      <c r="BB15" s="64" t="n">
        <f aca="false">SUM(BC15:BN15)</f>
        <v>1200</v>
      </c>
      <c r="BC15" s="65" t="n">
        <f aca="false">MIN('Capital Expenditure'!BA$28/'Assumption Setting'!$E$229,'Capital Expenditure'!BA$28-BA28)</f>
        <v>100</v>
      </c>
      <c r="BD15" s="65" t="n">
        <f aca="false">MIN('Capital Expenditure'!BC$28/'Assumption Setting'!$E$229,'Capital Expenditure'!BC$28-BC28)</f>
        <v>100</v>
      </c>
      <c r="BE15" s="65" t="n">
        <f aca="false">MIN('Capital Expenditure'!BD$28/'Assumption Setting'!$E$229,'Capital Expenditure'!BD$28-BD28)</f>
        <v>100</v>
      </c>
      <c r="BF15" s="65" t="n">
        <f aca="false">MIN('Capital Expenditure'!BE$28/'Assumption Setting'!$E$229,'Capital Expenditure'!BE$28-BE28)</f>
        <v>100</v>
      </c>
      <c r="BG15" s="65" t="n">
        <f aca="false">MIN('Capital Expenditure'!BF$28/'Assumption Setting'!$E$229,'Capital Expenditure'!BF$28-BF28)</f>
        <v>100</v>
      </c>
      <c r="BH15" s="65" t="n">
        <f aca="false">MIN('Capital Expenditure'!BG$28/'Assumption Setting'!$E$229,'Capital Expenditure'!BG$28-BG28)</f>
        <v>100</v>
      </c>
      <c r="BI15" s="65" t="n">
        <f aca="false">MIN('Capital Expenditure'!BH$28/'Assumption Setting'!$E$229,'Capital Expenditure'!BH$28-BH28)</f>
        <v>100</v>
      </c>
      <c r="BJ15" s="65" t="n">
        <f aca="false">MIN('Capital Expenditure'!BI$28/'Assumption Setting'!$E$229,'Capital Expenditure'!BI$28-BI28)</f>
        <v>100</v>
      </c>
      <c r="BK15" s="65" t="n">
        <f aca="false">MIN('Capital Expenditure'!BJ$28/'Assumption Setting'!$E$229,'Capital Expenditure'!BJ$28-BJ28)</f>
        <v>100</v>
      </c>
      <c r="BL15" s="65" t="n">
        <f aca="false">MIN('Capital Expenditure'!BK$28/'Assumption Setting'!$E$229,'Capital Expenditure'!BK$28-BK28)</f>
        <v>100</v>
      </c>
      <c r="BM15" s="65" t="n">
        <f aca="false">MIN('Capital Expenditure'!BL$28/'Assumption Setting'!$E$229,'Capital Expenditure'!BL$28-BL28)</f>
        <v>100</v>
      </c>
      <c r="BN15" s="65" t="n">
        <f aca="false">MIN('Capital Expenditure'!BM$28/'Assumption Setting'!$E$229,'Capital Expenditure'!BM$28-BM28)</f>
        <v>100</v>
      </c>
    </row>
    <row r="16" customFormat="false" ht="15" hidden="false" customHeight="false" outlineLevel="0" collapsed="false">
      <c r="A16" s="66" t="s">
        <v>791</v>
      </c>
      <c r="B16" s="67" t="n">
        <f aca="false">SUM(C16:N16)</f>
        <v>3222.08333333333</v>
      </c>
      <c r="C16" s="68" t="n">
        <f aca="false">SUM(C7:C15)</f>
        <v>0</v>
      </c>
      <c r="D16" s="68" t="n">
        <f aca="false">SUM(D7:D15)</f>
        <v>251.25</v>
      </c>
      <c r="E16" s="68" t="n">
        <f aca="false">SUM(E7:E15)</f>
        <v>297.083333333333</v>
      </c>
      <c r="F16" s="68" t="n">
        <f aca="false">SUM(F7:F15)</f>
        <v>297.083333333333</v>
      </c>
      <c r="G16" s="68" t="n">
        <f aca="false">SUM(G7:G15)</f>
        <v>297.083333333333</v>
      </c>
      <c r="H16" s="68" t="n">
        <f aca="false">SUM(H7:H15)</f>
        <v>297.083333333333</v>
      </c>
      <c r="I16" s="68" t="n">
        <f aca="false">SUM(I7:I15)</f>
        <v>297.083333333333</v>
      </c>
      <c r="J16" s="68" t="n">
        <f aca="false">SUM(J7:J15)</f>
        <v>297.083333333333</v>
      </c>
      <c r="K16" s="68" t="n">
        <f aca="false">SUM(K7:K15)</f>
        <v>297.083333333333</v>
      </c>
      <c r="L16" s="68" t="n">
        <f aca="false">SUM(L7:L15)</f>
        <v>297.083333333333</v>
      </c>
      <c r="M16" s="68" t="n">
        <f aca="false">SUM(M7:M15)</f>
        <v>297.083333333333</v>
      </c>
      <c r="N16" s="68" t="n">
        <f aca="false">SUM(N7:N15)</f>
        <v>297.083333333333</v>
      </c>
      <c r="O16" s="67" t="n">
        <f aca="false">SUM(P16:AA16)</f>
        <v>4603.125</v>
      </c>
      <c r="P16" s="68" t="n">
        <f aca="false">SUM(P7:P15)</f>
        <v>297.083333333333</v>
      </c>
      <c r="Q16" s="68" t="n">
        <f aca="false">SUM(Q7:Q15)</f>
        <v>391.458333333333</v>
      </c>
      <c r="R16" s="68" t="n">
        <f aca="false">SUM(R7:R15)</f>
        <v>391.458333333333</v>
      </c>
      <c r="S16" s="68" t="n">
        <f aca="false">SUM(S7:S15)</f>
        <v>391.458333333333</v>
      </c>
      <c r="T16" s="68" t="n">
        <f aca="false">SUM(T7:T15)</f>
        <v>391.458333333333</v>
      </c>
      <c r="U16" s="68" t="n">
        <f aca="false">SUM(U7:U15)</f>
        <v>391.458333333333</v>
      </c>
      <c r="V16" s="68" t="n">
        <f aca="false">SUM(V7:V15)</f>
        <v>391.458333333333</v>
      </c>
      <c r="W16" s="68" t="n">
        <f aca="false">SUM(W7:W15)</f>
        <v>391.458333333333</v>
      </c>
      <c r="X16" s="68" t="n">
        <f aca="false">SUM(X7:X15)</f>
        <v>391.458333333333</v>
      </c>
      <c r="Y16" s="68" t="n">
        <f aca="false">SUM(Y7:Y15)</f>
        <v>391.458333333333</v>
      </c>
      <c r="Z16" s="68" t="n">
        <f aca="false">SUM(Z7:Z15)</f>
        <v>391.458333333333</v>
      </c>
      <c r="AA16" s="68" t="n">
        <f aca="false">SUM(AA7:AA15)</f>
        <v>391.458333333333</v>
      </c>
      <c r="AB16" s="67" t="n">
        <f aca="false">SUM(AC16:AN16)</f>
        <v>7388.95833333333</v>
      </c>
      <c r="AC16" s="68" t="n">
        <f aca="false">SUM(AC7:AC15)</f>
        <v>391.458333333333</v>
      </c>
      <c r="AD16" s="68" t="n">
        <f aca="false">SUM(AD7:AD15)</f>
        <v>652.5</v>
      </c>
      <c r="AE16" s="68" t="n">
        <f aca="false">SUM(AE7:AE15)</f>
        <v>652.5</v>
      </c>
      <c r="AF16" s="68" t="n">
        <f aca="false">SUM(AF7:AF15)</f>
        <v>652.5</v>
      </c>
      <c r="AG16" s="68" t="n">
        <f aca="false">SUM(AG7:AG15)</f>
        <v>652.5</v>
      </c>
      <c r="AH16" s="68" t="n">
        <f aca="false">SUM(AH7:AH15)</f>
        <v>652.5</v>
      </c>
      <c r="AI16" s="68" t="n">
        <f aca="false">SUM(AI7:AI15)</f>
        <v>652.5</v>
      </c>
      <c r="AJ16" s="68" t="n">
        <f aca="false">SUM(AJ7:AJ15)</f>
        <v>652.5</v>
      </c>
      <c r="AK16" s="68" t="n">
        <f aca="false">SUM(AK7:AK15)</f>
        <v>652.5</v>
      </c>
      <c r="AL16" s="68" t="n">
        <f aca="false">SUM(AL7:AL15)</f>
        <v>652.5</v>
      </c>
      <c r="AM16" s="68" t="n">
        <f aca="false">SUM(AM7:AM15)</f>
        <v>562.5</v>
      </c>
      <c r="AN16" s="68" t="n">
        <f aca="false">SUM(AN7:AN15)</f>
        <v>562.5</v>
      </c>
      <c r="AO16" s="67" t="n">
        <f aca="false">SUM(AP16:BA16)</f>
        <v>8524.16666666667</v>
      </c>
      <c r="AP16" s="68" t="n">
        <f aca="false">SUM(AP7:AP15)</f>
        <v>562.5</v>
      </c>
      <c r="AQ16" s="68" t="n">
        <f aca="false">SUM(AQ7:AQ15)</f>
        <v>778.333333333333</v>
      </c>
      <c r="AR16" s="68" t="n">
        <f aca="false">SUM(AR7:AR15)</f>
        <v>778.333333333333</v>
      </c>
      <c r="AS16" s="68" t="n">
        <f aca="false">SUM(AS7:AS15)</f>
        <v>778.333333333333</v>
      </c>
      <c r="AT16" s="68" t="n">
        <f aca="false">SUM(AT7:AT15)</f>
        <v>778.333333333333</v>
      </c>
      <c r="AU16" s="68" t="n">
        <f aca="false">SUM(AU7:AU15)</f>
        <v>778.333333333333</v>
      </c>
      <c r="AV16" s="68" t="n">
        <f aca="false">SUM(AV7:AV15)</f>
        <v>778.333333333333</v>
      </c>
      <c r="AW16" s="68" t="n">
        <f aca="false">SUM(AW7:AW15)</f>
        <v>658.333333333333</v>
      </c>
      <c r="AX16" s="68" t="n">
        <f aca="false">SUM(AX7:AX15)</f>
        <v>658.333333333333</v>
      </c>
      <c r="AY16" s="68" t="n">
        <f aca="false">SUM(AY7:AY15)</f>
        <v>658.333333333333</v>
      </c>
      <c r="AZ16" s="68" t="n">
        <f aca="false">SUM(AZ7:AZ15)</f>
        <v>658.333333333333</v>
      </c>
      <c r="BA16" s="68" t="n">
        <f aca="false">SUM(BA7:BA15)</f>
        <v>658.333333333333</v>
      </c>
      <c r="BB16" s="67" t="n">
        <f aca="false">SUM(BC16:BN16)</f>
        <v>8745</v>
      </c>
      <c r="BC16" s="68" t="n">
        <f aca="false">SUM(BC7:BC15)</f>
        <v>658.333333333333</v>
      </c>
      <c r="BD16" s="68" t="n">
        <f aca="false">SUM(BD7:BD15)</f>
        <v>891.666666666667</v>
      </c>
      <c r="BE16" s="68" t="n">
        <f aca="false">SUM(BE7:BE15)</f>
        <v>845.833333333333</v>
      </c>
      <c r="BF16" s="68" t="n">
        <f aca="false">SUM(BF7:BF15)</f>
        <v>845.833333333333</v>
      </c>
      <c r="BG16" s="68" t="n">
        <f aca="false">SUM(BG7:BG15)</f>
        <v>845.833333333333</v>
      </c>
      <c r="BH16" s="68" t="n">
        <f aca="false">SUM(BH7:BH15)</f>
        <v>815.833333333333</v>
      </c>
      <c r="BI16" s="68" t="n">
        <f aca="false">SUM(BI7:BI15)</f>
        <v>695.833333333333</v>
      </c>
      <c r="BJ16" s="68" t="n">
        <f aca="false">SUM(BJ7:BJ15)</f>
        <v>695.833333333333</v>
      </c>
      <c r="BK16" s="68" t="n">
        <f aca="false">SUM(BK7:BK15)</f>
        <v>695.833333333333</v>
      </c>
      <c r="BL16" s="68" t="n">
        <f aca="false">SUM(BL7:BL15)</f>
        <v>695.833333333333</v>
      </c>
      <c r="BM16" s="68" t="n">
        <f aca="false">SUM(BM7:BM15)</f>
        <v>695.833333333333</v>
      </c>
      <c r="BN16" s="68" t="n">
        <f aca="false">SUM(BN7:BN15)</f>
        <v>362.500000000002</v>
      </c>
    </row>
    <row r="18" customFormat="false" ht="16.5" hidden="false" customHeight="true" outlineLevel="0" collapsed="false">
      <c r="A18" s="15" t="s">
        <v>792</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1375</v>
      </c>
      <c r="C20" s="65" t="n">
        <f aca="false">C7</f>
        <v>0</v>
      </c>
      <c r="D20" s="65" t="n">
        <f aca="false">C20+D7</f>
        <v>125</v>
      </c>
      <c r="E20" s="65" t="n">
        <f aca="false">D20+E7</f>
        <v>250</v>
      </c>
      <c r="F20" s="65" t="n">
        <f aca="false">E20+F7</f>
        <v>375</v>
      </c>
      <c r="G20" s="65" t="n">
        <f aca="false">F20+G7</f>
        <v>500</v>
      </c>
      <c r="H20" s="65" t="n">
        <f aca="false">G20+H7</f>
        <v>625</v>
      </c>
      <c r="I20" s="65" t="n">
        <f aca="false">H20+I7</f>
        <v>750</v>
      </c>
      <c r="J20" s="65" t="n">
        <f aca="false">I20+J7</f>
        <v>875</v>
      </c>
      <c r="K20" s="65" t="n">
        <f aca="false">J20+K7</f>
        <v>1000</v>
      </c>
      <c r="L20" s="65" t="n">
        <f aca="false">K20+L7</f>
        <v>1125</v>
      </c>
      <c r="M20" s="65" t="n">
        <f aca="false">L20+M7</f>
        <v>1250</v>
      </c>
      <c r="N20" s="65" t="n">
        <f aca="false">M20+N7</f>
        <v>1375</v>
      </c>
      <c r="O20" s="64" t="n">
        <f aca="false">AA20</f>
        <v>3562.5</v>
      </c>
      <c r="P20" s="65" t="n">
        <f aca="false">N20+P7</f>
        <v>1500</v>
      </c>
      <c r="Q20" s="65" t="n">
        <f aca="false">P20+Q7</f>
        <v>1687.5</v>
      </c>
      <c r="R20" s="65" t="n">
        <f aca="false">Q20+R7</f>
        <v>1875</v>
      </c>
      <c r="S20" s="65" t="n">
        <f aca="false">R20+S7</f>
        <v>2062.5</v>
      </c>
      <c r="T20" s="65" t="n">
        <f aca="false">S20+T7</f>
        <v>2250</v>
      </c>
      <c r="U20" s="65" t="n">
        <f aca="false">T20+U7</f>
        <v>2437.5</v>
      </c>
      <c r="V20" s="65" t="n">
        <f aca="false">U20+V7</f>
        <v>2625</v>
      </c>
      <c r="W20" s="65" t="n">
        <f aca="false">V20+W7</f>
        <v>2812.5</v>
      </c>
      <c r="X20" s="65" t="n">
        <f aca="false">W20+X7</f>
        <v>3000</v>
      </c>
      <c r="Y20" s="65" t="n">
        <f aca="false">X20+Y7</f>
        <v>3187.5</v>
      </c>
      <c r="Z20" s="65" t="n">
        <f aca="false">Y20+Z7</f>
        <v>3375</v>
      </c>
      <c r="AA20" s="65" t="n">
        <f aca="false">Z20+AA7</f>
        <v>3562.5</v>
      </c>
      <c r="AB20" s="64" t="n">
        <f aca="false">AN20</f>
        <v>6500</v>
      </c>
      <c r="AC20" s="65" t="n">
        <f aca="false">AA20+AC7</f>
        <v>3750</v>
      </c>
      <c r="AD20" s="65" t="n">
        <f aca="false">AC20+AD7</f>
        <v>4000</v>
      </c>
      <c r="AE20" s="65" t="n">
        <f aca="false">AD20+AE7</f>
        <v>4250</v>
      </c>
      <c r="AF20" s="65" t="n">
        <f aca="false">AE20+AF7</f>
        <v>4500</v>
      </c>
      <c r="AG20" s="65" t="n">
        <f aca="false">AF20+AG7</f>
        <v>4750</v>
      </c>
      <c r="AH20" s="65" t="n">
        <f aca="false">AG20+AH7</f>
        <v>5000</v>
      </c>
      <c r="AI20" s="65" t="n">
        <f aca="false">AH20+AI7</f>
        <v>5250</v>
      </c>
      <c r="AJ20" s="65" t="n">
        <f aca="false">AI20+AJ7</f>
        <v>5500</v>
      </c>
      <c r="AK20" s="65" t="n">
        <f aca="false">AJ20+AK7</f>
        <v>5750</v>
      </c>
      <c r="AL20" s="65" t="n">
        <f aca="false">AK20+AL7</f>
        <v>6000</v>
      </c>
      <c r="AM20" s="65" t="n">
        <f aca="false">AL20+AM7</f>
        <v>6250</v>
      </c>
      <c r="AN20" s="65" t="n">
        <f aca="false">AM20+AN7</f>
        <v>6500</v>
      </c>
      <c r="AO20" s="64" t="n">
        <f aca="false">BA20</f>
        <v>10416.6666666667</v>
      </c>
      <c r="AP20" s="65" t="n">
        <f aca="false">AN20+AP7</f>
        <v>6750</v>
      </c>
      <c r="AQ20" s="65" t="n">
        <f aca="false">AP20+AQ7</f>
        <v>7083.33333333333</v>
      </c>
      <c r="AR20" s="65" t="n">
        <f aca="false">AQ20+AR7</f>
        <v>7416.66666666667</v>
      </c>
      <c r="AS20" s="65" t="n">
        <f aca="false">AR20+AS7</f>
        <v>7750</v>
      </c>
      <c r="AT20" s="65" t="n">
        <f aca="false">AS20+AT7</f>
        <v>8083.33333333333</v>
      </c>
      <c r="AU20" s="65" t="n">
        <f aca="false">AT20+AU7</f>
        <v>8416.66666666667</v>
      </c>
      <c r="AV20" s="65" t="n">
        <f aca="false">AU20+AV7</f>
        <v>8750</v>
      </c>
      <c r="AW20" s="65" t="n">
        <f aca="false">AV20+AW7</f>
        <v>9083.33333333333</v>
      </c>
      <c r="AX20" s="65" t="n">
        <f aca="false">AW20+AX7</f>
        <v>9416.66666666667</v>
      </c>
      <c r="AY20" s="65" t="n">
        <f aca="false">AX20+AY7</f>
        <v>9750</v>
      </c>
      <c r="AZ20" s="65" t="n">
        <f aca="false">AY20+AZ7</f>
        <v>10083.3333333333</v>
      </c>
      <c r="BA20" s="65" t="n">
        <f aca="false">AZ20+BA7</f>
        <v>10416.6666666667</v>
      </c>
      <c r="BB20" s="64" t="n">
        <f aca="false">BN20</f>
        <v>15000</v>
      </c>
      <c r="BC20" s="65" t="n">
        <f aca="false">BA20+BC7</f>
        <v>10750</v>
      </c>
      <c r="BD20" s="65" t="n">
        <f aca="false">BC20+BD7</f>
        <v>11166.6666666667</v>
      </c>
      <c r="BE20" s="65" t="n">
        <f aca="false">BD20+BE7</f>
        <v>11583.3333333333</v>
      </c>
      <c r="BF20" s="65" t="n">
        <f aca="false">BE20+BF7</f>
        <v>12000</v>
      </c>
      <c r="BG20" s="65" t="n">
        <f aca="false">BF20+BG7</f>
        <v>12416.6666666667</v>
      </c>
      <c r="BH20" s="65" t="n">
        <f aca="false">BG20+BH7</f>
        <v>12833.3333333333</v>
      </c>
      <c r="BI20" s="65" t="n">
        <f aca="false">BH20+BI7</f>
        <v>13250</v>
      </c>
      <c r="BJ20" s="65" t="n">
        <f aca="false">BI20+BJ7</f>
        <v>13666.6666666667</v>
      </c>
      <c r="BK20" s="65" t="n">
        <f aca="false">BJ20+BK7</f>
        <v>14083.3333333333</v>
      </c>
      <c r="BL20" s="65" t="n">
        <f aca="false">BK20+BL7</f>
        <v>14500</v>
      </c>
      <c r="BM20" s="65" t="n">
        <f aca="false">BL20+BM7</f>
        <v>14916.6666666667</v>
      </c>
      <c r="BN20" s="65" t="n">
        <f aca="false">BM20+BN7</f>
        <v>15000</v>
      </c>
    </row>
    <row r="21" customFormat="false" ht="15" hidden="false" customHeight="false" outlineLevel="0" collapsed="false">
      <c r="A21" s="12" t="s">
        <v>468</v>
      </c>
      <c r="B21" s="64" t="n">
        <f aca="false">N21</f>
        <v>206.25</v>
      </c>
      <c r="C21" s="65" t="n">
        <f aca="false">C8</f>
        <v>0</v>
      </c>
      <c r="D21" s="65" t="n">
        <f aca="false">C21+D8</f>
        <v>18.75</v>
      </c>
      <c r="E21" s="65" t="n">
        <f aca="false">D21+E8</f>
        <v>37.5</v>
      </c>
      <c r="F21" s="65" t="n">
        <f aca="false">E21+F8</f>
        <v>56.25</v>
      </c>
      <c r="G21" s="65" t="n">
        <f aca="false">F21+G8</f>
        <v>75</v>
      </c>
      <c r="H21" s="65" t="n">
        <f aca="false">G21+H8</f>
        <v>93.75</v>
      </c>
      <c r="I21" s="65" t="n">
        <f aca="false">H21+I8</f>
        <v>112.5</v>
      </c>
      <c r="J21" s="65" t="n">
        <f aca="false">I21+J8</f>
        <v>131.25</v>
      </c>
      <c r="K21" s="65" t="n">
        <f aca="false">J21+K8</f>
        <v>150</v>
      </c>
      <c r="L21" s="65" t="n">
        <f aca="false">K21+L8</f>
        <v>168.75</v>
      </c>
      <c r="M21" s="65" t="n">
        <f aca="false">L21+M8</f>
        <v>187.5</v>
      </c>
      <c r="N21" s="65" t="n">
        <f aca="false">M21+N8</f>
        <v>206.25</v>
      </c>
      <c r="O21" s="64" t="n">
        <f aca="false">AA21</f>
        <v>534.375</v>
      </c>
      <c r="P21" s="65" t="n">
        <f aca="false">N21+P8</f>
        <v>225</v>
      </c>
      <c r="Q21" s="65" t="n">
        <f aca="false">P21+Q8</f>
        <v>253.125</v>
      </c>
      <c r="R21" s="65" t="n">
        <f aca="false">Q21+R8</f>
        <v>281.25</v>
      </c>
      <c r="S21" s="65" t="n">
        <f aca="false">R21+S8</f>
        <v>309.375</v>
      </c>
      <c r="T21" s="65" t="n">
        <f aca="false">S21+T8</f>
        <v>337.5</v>
      </c>
      <c r="U21" s="65" t="n">
        <f aca="false">T21+U8</f>
        <v>365.625</v>
      </c>
      <c r="V21" s="65" t="n">
        <f aca="false">U21+V8</f>
        <v>393.75</v>
      </c>
      <c r="W21" s="65" t="n">
        <f aca="false">V21+W8</f>
        <v>421.875</v>
      </c>
      <c r="X21" s="65" t="n">
        <f aca="false">W21+X8</f>
        <v>450</v>
      </c>
      <c r="Y21" s="65" t="n">
        <f aca="false">X21+Y8</f>
        <v>478.125</v>
      </c>
      <c r="Z21" s="65" t="n">
        <f aca="false">Y21+Z8</f>
        <v>506.25</v>
      </c>
      <c r="AA21" s="65" t="n">
        <f aca="false">Z21+AA8</f>
        <v>534.375</v>
      </c>
      <c r="AB21" s="64" t="n">
        <f aca="false">AN21</f>
        <v>975</v>
      </c>
      <c r="AC21" s="65" t="n">
        <f aca="false">AA21+AC8</f>
        <v>562.5</v>
      </c>
      <c r="AD21" s="65" t="n">
        <f aca="false">AC21+AD8</f>
        <v>600</v>
      </c>
      <c r="AE21" s="65" t="n">
        <f aca="false">AD21+AE8</f>
        <v>637.5</v>
      </c>
      <c r="AF21" s="65" t="n">
        <f aca="false">AE21+AF8</f>
        <v>675</v>
      </c>
      <c r="AG21" s="65" t="n">
        <f aca="false">AF21+AG8</f>
        <v>712.5</v>
      </c>
      <c r="AH21" s="65" t="n">
        <f aca="false">AG21+AH8</f>
        <v>750</v>
      </c>
      <c r="AI21" s="65" t="n">
        <f aca="false">AH21+AI8</f>
        <v>787.5</v>
      </c>
      <c r="AJ21" s="65" t="n">
        <f aca="false">AI21+AJ8</f>
        <v>825</v>
      </c>
      <c r="AK21" s="65" t="n">
        <f aca="false">AJ21+AK8</f>
        <v>862.5</v>
      </c>
      <c r="AL21" s="65" t="n">
        <f aca="false">AK21+AL8</f>
        <v>900</v>
      </c>
      <c r="AM21" s="65" t="n">
        <f aca="false">AL21+AM8</f>
        <v>937.5</v>
      </c>
      <c r="AN21" s="65" t="n">
        <f aca="false">AM21+AN8</f>
        <v>975</v>
      </c>
      <c r="AO21" s="64" t="n">
        <f aca="false">BA21</f>
        <v>1562.5</v>
      </c>
      <c r="AP21" s="65" t="n">
        <f aca="false">AN21+AP8</f>
        <v>1012.5</v>
      </c>
      <c r="AQ21" s="65" t="n">
        <f aca="false">AP21+AQ8</f>
        <v>1062.5</v>
      </c>
      <c r="AR21" s="65" t="n">
        <f aca="false">AQ21+AR8</f>
        <v>1112.5</v>
      </c>
      <c r="AS21" s="65" t="n">
        <f aca="false">AR21+AS8</f>
        <v>1162.5</v>
      </c>
      <c r="AT21" s="65" t="n">
        <f aca="false">AS21+AT8</f>
        <v>1212.5</v>
      </c>
      <c r="AU21" s="65" t="n">
        <f aca="false">AT21+AU8</f>
        <v>1262.5</v>
      </c>
      <c r="AV21" s="65" t="n">
        <f aca="false">AU21+AV8</f>
        <v>1312.5</v>
      </c>
      <c r="AW21" s="65" t="n">
        <f aca="false">AV21+AW8</f>
        <v>1362.5</v>
      </c>
      <c r="AX21" s="65" t="n">
        <f aca="false">AW21+AX8</f>
        <v>1412.5</v>
      </c>
      <c r="AY21" s="65" t="n">
        <f aca="false">AX21+AY8</f>
        <v>1462.5</v>
      </c>
      <c r="AZ21" s="65" t="n">
        <f aca="false">AY21+AZ8</f>
        <v>1512.5</v>
      </c>
      <c r="BA21" s="65" t="n">
        <f aca="false">AZ21+BA8</f>
        <v>1562.5</v>
      </c>
      <c r="BB21" s="64" t="n">
        <f aca="false">BN21</f>
        <v>2300</v>
      </c>
      <c r="BC21" s="65" t="n">
        <f aca="false">BA21+BC8</f>
        <v>1612.5</v>
      </c>
      <c r="BD21" s="65" t="n">
        <f aca="false">BC21+BD8</f>
        <v>1675</v>
      </c>
      <c r="BE21" s="65" t="n">
        <f aca="false">BD21+BE8</f>
        <v>1737.5</v>
      </c>
      <c r="BF21" s="65" t="n">
        <f aca="false">BE21+BF8</f>
        <v>1800</v>
      </c>
      <c r="BG21" s="65" t="n">
        <f aca="false">BF21+BG8</f>
        <v>1862.5</v>
      </c>
      <c r="BH21" s="65" t="n">
        <f aca="false">BG21+BH8</f>
        <v>1925</v>
      </c>
      <c r="BI21" s="65" t="n">
        <f aca="false">BH21+BI8</f>
        <v>1987.5</v>
      </c>
      <c r="BJ21" s="65" t="n">
        <f aca="false">BI21+BJ8</f>
        <v>2050</v>
      </c>
      <c r="BK21" s="65" t="n">
        <f aca="false">BJ21+BK8</f>
        <v>2112.5</v>
      </c>
      <c r="BL21" s="65" t="n">
        <f aca="false">BK21+BL8</f>
        <v>2175</v>
      </c>
      <c r="BM21" s="65" t="n">
        <f aca="false">BL21+BM8</f>
        <v>2237.5</v>
      </c>
      <c r="BN21" s="65" t="n">
        <f aca="false">BM21+BN8</f>
        <v>2300</v>
      </c>
    </row>
    <row r="22" customFormat="false" ht="15" hidden="false" customHeight="false" outlineLevel="0" collapsed="false">
      <c r="A22" s="12" t="s">
        <v>469</v>
      </c>
      <c r="B22" s="64" t="n">
        <f aca="false">N22</f>
        <v>495</v>
      </c>
      <c r="C22" s="65" t="n">
        <f aca="false">C9</f>
        <v>0</v>
      </c>
      <c r="D22" s="65" t="n">
        <f aca="false">C22+D9</f>
        <v>45</v>
      </c>
      <c r="E22" s="65" t="n">
        <f aca="false">D22+E9</f>
        <v>90</v>
      </c>
      <c r="F22" s="65" t="n">
        <f aca="false">E22+F9</f>
        <v>135</v>
      </c>
      <c r="G22" s="65" t="n">
        <f aca="false">F22+G9</f>
        <v>180</v>
      </c>
      <c r="H22" s="65" t="n">
        <f aca="false">G22+H9</f>
        <v>225</v>
      </c>
      <c r="I22" s="65" t="n">
        <f aca="false">H22+I9</f>
        <v>270</v>
      </c>
      <c r="J22" s="65" t="n">
        <f aca="false">I22+J9</f>
        <v>315</v>
      </c>
      <c r="K22" s="65" t="n">
        <f aca="false">J22+K9</f>
        <v>360</v>
      </c>
      <c r="L22" s="65" t="n">
        <f aca="false">K22+L9</f>
        <v>405</v>
      </c>
      <c r="M22" s="65" t="n">
        <f aca="false">L22+M9</f>
        <v>450</v>
      </c>
      <c r="N22" s="65" t="n">
        <f aca="false">M22+N9</f>
        <v>495</v>
      </c>
      <c r="O22" s="64" t="n">
        <f aca="false">AA22</f>
        <v>1282.5</v>
      </c>
      <c r="P22" s="65" t="n">
        <f aca="false">N22+P9</f>
        <v>540</v>
      </c>
      <c r="Q22" s="65" t="n">
        <f aca="false">P22+Q9</f>
        <v>607.5</v>
      </c>
      <c r="R22" s="65" t="n">
        <f aca="false">Q22+R9</f>
        <v>675</v>
      </c>
      <c r="S22" s="65" t="n">
        <f aca="false">R22+S9</f>
        <v>742.5</v>
      </c>
      <c r="T22" s="65" t="n">
        <f aca="false">S22+T9</f>
        <v>810</v>
      </c>
      <c r="U22" s="65" t="n">
        <f aca="false">T22+U9</f>
        <v>877.5</v>
      </c>
      <c r="V22" s="65" t="n">
        <f aca="false">U22+V9</f>
        <v>945</v>
      </c>
      <c r="W22" s="65" t="n">
        <f aca="false">V22+W9</f>
        <v>1012.5</v>
      </c>
      <c r="X22" s="65" t="n">
        <f aca="false">W22+X9</f>
        <v>1080</v>
      </c>
      <c r="Y22" s="65" t="n">
        <f aca="false">X22+Y9</f>
        <v>1147.5</v>
      </c>
      <c r="Z22" s="65" t="n">
        <f aca="false">Y22+Z9</f>
        <v>1215</v>
      </c>
      <c r="AA22" s="65" t="n">
        <f aca="false">Z22+AA9</f>
        <v>1282.5</v>
      </c>
      <c r="AB22" s="64" t="n">
        <f aca="false">AN22</f>
        <v>2160</v>
      </c>
      <c r="AC22" s="65" t="n">
        <f aca="false">AA22+AC9</f>
        <v>1350</v>
      </c>
      <c r="AD22" s="65" t="n">
        <f aca="false">AC22+AD9</f>
        <v>1440</v>
      </c>
      <c r="AE22" s="65" t="n">
        <f aca="false">AD22+AE9</f>
        <v>1530</v>
      </c>
      <c r="AF22" s="65" t="n">
        <f aca="false">AE22+AF9</f>
        <v>1620</v>
      </c>
      <c r="AG22" s="65" t="n">
        <f aca="false">AF22+AG9</f>
        <v>1710</v>
      </c>
      <c r="AH22" s="65" t="n">
        <f aca="false">AG22+AH9</f>
        <v>1800</v>
      </c>
      <c r="AI22" s="65" t="n">
        <f aca="false">AH22+AI9</f>
        <v>1890</v>
      </c>
      <c r="AJ22" s="65" t="n">
        <f aca="false">AI22+AJ9</f>
        <v>1980</v>
      </c>
      <c r="AK22" s="65" t="n">
        <f aca="false">AJ22+AK9</f>
        <v>2070</v>
      </c>
      <c r="AL22" s="65" t="n">
        <f aca="false">AK22+AL9</f>
        <v>2160</v>
      </c>
      <c r="AM22" s="65" t="n">
        <f aca="false">AL22+AM9</f>
        <v>2160</v>
      </c>
      <c r="AN22" s="65" t="n">
        <f aca="false">AM22+AN9</f>
        <v>2160</v>
      </c>
      <c r="AO22" s="64" t="n">
        <f aca="false">BA22</f>
        <v>2880</v>
      </c>
      <c r="AP22" s="65" t="n">
        <f aca="false">AN22+AP9</f>
        <v>2160</v>
      </c>
      <c r="AQ22" s="65" t="n">
        <f aca="false">AP22+AQ9</f>
        <v>2280</v>
      </c>
      <c r="AR22" s="65" t="n">
        <f aca="false">AQ22+AR9</f>
        <v>2400</v>
      </c>
      <c r="AS22" s="65" t="n">
        <f aca="false">AR22+AS9</f>
        <v>2520</v>
      </c>
      <c r="AT22" s="65" t="n">
        <f aca="false">AS22+AT9</f>
        <v>2640</v>
      </c>
      <c r="AU22" s="65" t="n">
        <f aca="false">AT22+AU9</f>
        <v>2760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2880</v>
      </c>
      <c r="BD22" s="65" t="n">
        <f aca="false">BC22+BD9</f>
        <v>3030</v>
      </c>
      <c r="BE22" s="65" t="n">
        <f aca="false">BD22+BE9</f>
        <v>3180</v>
      </c>
      <c r="BF22" s="65" t="n">
        <f aca="false">BE22+BF9</f>
        <v>3330</v>
      </c>
      <c r="BG22" s="65" t="n">
        <f aca="false">BF22+BG9</f>
        <v>3480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458.333333333333</v>
      </c>
      <c r="C24" s="65" t="n">
        <f aca="false">C11</f>
        <v>0</v>
      </c>
      <c r="D24" s="65" t="n">
        <f aca="false">C24+D11</f>
        <v>0</v>
      </c>
      <c r="E24" s="65" t="n">
        <f aca="false">D24+E11</f>
        <v>45.8333333333333</v>
      </c>
      <c r="F24" s="65" t="n">
        <f aca="false">E24+F11</f>
        <v>91.6666666666667</v>
      </c>
      <c r="G24" s="65" t="n">
        <f aca="false">F24+G11</f>
        <v>137.5</v>
      </c>
      <c r="H24" s="65" t="n">
        <f aca="false">G24+H11</f>
        <v>183.333333333333</v>
      </c>
      <c r="I24" s="65" t="n">
        <f aca="false">H24+I11</f>
        <v>229.166666666667</v>
      </c>
      <c r="J24" s="65" t="n">
        <f aca="false">I24+J11</f>
        <v>275</v>
      </c>
      <c r="K24" s="65" t="n">
        <f aca="false">J24+K11</f>
        <v>320.833333333333</v>
      </c>
      <c r="L24" s="65" t="n">
        <f aca="false">K24+L11</f>
        <v>366.666666666667</v>
      </c>
      <c r="M24" s="65" t="n">
        <f aca="false">L24+M11</f>
        <v>412.5</v>
      </c>
      <c r="N24" s="65" t="n">
        <f aca="false">M24+N11</f>
        <v>458.333333333333</v>
      </c>
      <c r="O24" s="64" t="n">
        <f aca="false">AA24</f>
        <v>1008.33333333333</v>
      </c>
      <c r="P24" s="65" t="n">
        <f aca="false">N24+P11</f>
        <v>504.166666666667</v>
      </c>
      <c r="Q24" s="65" t="n">
        <f aca="false">P24+Q11</f>
        <v>550</v>
      </c>
      <c r="R24" s="65" t="n">
        <f aca="false">Q24+R11</f>
        <v>595.833333333333</v>
      </c>
      <c r="S24" s="65" t="n">
        <f aca="false">R24+S11</f>
        <v>641.666666666667</v>
      </c>
      <c r="T24" s="65" t="n">
        <f aca="false">S24+T11</f>
        <v>687.5</v>
      </c>
      <c r="U24" s="65" t="n">
        <f aca="false">T24+U11</f>
        <v>733.333333333333</v>
      </c>
      <c r="V24" s="65" t="n">
        <f aca="false">U24+V11</f>
        <v>779.166666666667</v>
      </c>
      <c r="W24" s="65" t="n">
        <f aca="false">V24+W11</f>
        <v>825</v>
      </c>
      <c r="X24" s="65" t="n">
        <f aca="false">W24+X11</f>
        <v>870.833333333334</v>
      </c>
      <c r="Y24" s="65" t="n">
        <f aca="false">X24+Y11</f>
        <v>916.666666666667</v>
      </c>
      <c r="Z24" s="65" t="n">
        <f aca="false">Y24+Z11</f>
        <v>962.5</v>
      </c>
      <c r="AA24" s="65" t="n">
        <f aca="false">Z24+AA11</f>
        <v>1008.33333333333</v>
      </c>
      <c r="AB24" s="64" t="n">
        <f aca="false">AN24</f>
        <v>1558.33333333333</v>
      </c>
      <c r="AC24" s="65" t="n">
        <f aca="false">AA24+AC11</f>
        <v>1054.16666666667</v>
      </c>
      <c r="AD24" s="65" t="n">
        <f aca="false">AC24+AD11</f>
        <v>1100</v>
      </c>
      <c r="AE24" s="65" t="n">
        <f aca="false">AD24+AE11</f>
        <v>1145.83333333333</v>
      </c>
      <c r="AF24" s="65" t="n">
        <f aca="false">AE24+AF11</f>
        <v>1191.66666666667</v>
      </c>
      <c r="AG24" s="65" t="n">
        <f aca="false">AF24+AG11</f>
        <v>1237.5</v>
      </c>
      <c r="AH24" s="65" t="n">
        <f aca="false">AG24+AH11</f>
        <v>1283.33333333333</v>
      </c>
      <c r="AI24" s="65" t="n">
        <f aca="false">AH24+AI11</f>
        <v>1329.16666666667</v>
      </c>
      <c r="AJ24" s="65" t="n">
        <f aca="false">AI24+AJ11</f>
        <v>1375</v>
      </c>
      <c r="AK24" s="65" t="n">
        <f aca="false">AJ24+AK11</f>
        <v>1420.83333333333</v>
      </c>
      <c r="AL24" s="65" t="n">
        <f aca="false">AK24+AL11</f>
        <v>1466.66666666667</v>
      </c>
      <c r="AM24" s="65" t="n">
        <f aca="false">AL24+AM11</f>
        <v>1512.5</v>
      </c>
      <c r="AN24" s="65" t="n">
        <f aca="false">AM24+AN11</f>
        <v>1558.33333333333</v>
      </c>
      <c r="AO24" s="64" t="n">
        <f aca="false">BA24</f>
        <v>2108.33333333333</v>
      </c>
      <c r="AP24" s="65" t="n">
        <f aca="false">AN24+AP11</f>
        <v>1604.16666666667</v>
      </c>
      <c r="AQ24" s="65" t="n">
        <f aca="false">AP24+AQ11</f>
        <v>1650</v>
      </c>
      <c r="AR24" s="65" t="n">
        <f aca="false">AQ24+AR11</f>
        <v>1695.83333333333</v>
      </c>
      <c r="AS24" s="65" t="n">
        <f aca="false">AR24+AS11</f>
        <v>1741.66666666667</v>
      </c>
      <c r="AT24" s="65" t="n">
        <f aca="false">AS24+AT11</f>
        <v>1787.5</v>
      </c>
      <c r="AU24" s="65" t="n">
        <f aca="false">AT24+AU11</f>
        <v>1833.33333333333</v>
      </c>
      <c r="AV24" s="65" t="n">
        <f aca="false">AU24+AV11</f>
        <v>1879.16666666667</v>
      </c>
      <c r="AW24" s="65" t="n">
        <f aca="false">AV24+AW11</f>
        <v>1925</v>
      </c>
      <c r="AX24" s="65" t="n">
        <f aca="false">AW24+AX11</f>
        <v>1970.83333333333</v>
      </c>
      <c r="AY24" s="65" t="n">
        <f aca="false">AX24+AY11</f>
        <v>2016.66666666667</v>
      </c>
      <c r="AZ24" s="65" t="n">
        <f aca="false">AY24+AZ11</f>
        <v>2062.5</v>
      </c>
      <c r="BA24" s="65" t="n">
        <f aca="false">AZ24+BA11</f>
        <v>2108.33333333333</v>
      </c>
      <c r="BB24" s="64" t="n">
        <f aca="false">BN24</f>
        <v>2200</v>
      </c>
      <c r="BC24" s="65" t="n">
        <f aca="false">BA24+BC11</f>
        <v>2154.16666666667</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137.5</v>
      </c>
      <c r="C25" s="65" t="n">
        <f aca="false">C12</f>
        <v>0</v>
      </c>
      <c r="D25" s="65" t="n">
        <f aca="false">C25+D12</f>
        <v>12.5</v>
      </c>
      <c r="E25" s="65" t="n">
        <f aca="false">D25+E12</f>
        <v>25</v>
      </c>
      <c r="F25" s="65" t="n">
        <f aca="false">E25+F12</f>
        <v>37.5</v>
      </c>
      <c r="G25" s="65" t="n">
        <f aca="false">F25+G12</f>
        <v>50</v>
      </c>
      <c r="H25" s="65" t="n">
        <f aca="false">G25+H12</f>
        <v>62.5</v>
      </c>
      <c r="I25" s="65" t="n">
        <f aca="false">H25+I12</f>
        <v>75</v>
      </c>
      <c r="J25" s="65" t="n">
        <f aca="false">I25+J12</f>
        <v>87.5</v>
      </c>
      <c r="K25" s="65" t="n">
        <f aca="false">J25+K12</f>
        <v>100</v>
      </c>
      <c r="L25" s="65" t="n">
        <f aca="false">K25+L12</f>
        <v>112.5</v>
      </c>
      <c r="M25" s="65" t="n">
        <f aca="false">L25+M12</f>
        <v>125</v>
      </c>
      <c r="N25" s="65" t="n">
        <f aca="false">M25+N12</f>
        <v>137.5</v>
      </c>
      <c r="O25" s="64" t="n">
        <f aca="false">AA25</f>
        <v>287.5</v>
      </c>
      <c r="P25" s="65" t="n">
        <f aca="false">N25+P12</f>
        <v>150</v>
      </c>
      <c r="Q25" s="65" t="n">
        <f aca="false">P25+Q12</f>
        <v>162.5</v>
      </c>
      <c r="R25" s="65" t="n">
        <f aca="false">Q25+R12</f>
        <v>175</v>
      </c>
      <c r="S25" s="65" t="n">
        <f aca="false">R25+S12</f>
        <v>187.5</v>
      </c>
      <c r="T25" s="65" t="n">
        <f aca="false">S25+T12</f>
        <v>200</v>
      </c>
      <c r="U25" s="65" t="n">
        <f aca="false">T25+U12</f>
        <v>212.5</v>
      </c>
      <c r="V25" s="65" t="n">
        <f aca="false">U25+V12</f>
        <v>225</v>
      </c>
      <c r="W25" s="65" t="n">
        <f aca="false">V25+W12</f>
        <v>237.5</v>
      </c>
      <c r="X25" s="65" t="n">
        <f aca="false">W25+X12</f>
        <v>250</v>
      </c>
      <c r="Y25" s="65" t="n">
        <f aca="false">X25+Y12</f>
        <v>262.5</v>
      </c>
      <c r="Z25" s="65" t="n">
        <f aca="false">Y25+Z12</f>
        <v>275</v>
      </c>
      <c r="AA25" s="65" t="n">
        <f aca="false">Z25+AA12</f>
        <v>287.5</v>
      </c>
      <c r="AB25" s="64" t="n">
        <f aca="false">AN25</f>
        <v>437.5</v>
      </c>
      <c r="AC25" s="65" t="n">
        <f aca="false">AA25+AC12</f>
        <v>300</v>
      </c>
      <c r="AD25" s="65" t="n">
        <f aca="false">AC25+AD12</f>
        <v>312.5</v>
      </c>
      <c r="AE25" s="65" t="n">
        <f aca="false">AD25+AE12</f>
        <v>325</v>
      </c>
      <c r="AF25" s="65" t="n">
        <f aca="false">AE25+AF12</f>
        <v>337.5</v>
      </c>
      <c r="AG25" s="65" t="n">
        <f aca="false">AF25+AG12</f>
        <v>350</v>
      </c>
      <c r="AH25" s="65" t="n">
        <f aca="false">AG25+AH12</f>
        <v>362.5</v>
      </c>
      <c r="AI25" s="65" t="n">
        <f aca="false">AH25+AI12</f>
        <v>375</v>
      </c>
      <c r="AJ25" s="65" t="n">
        <f aca="false">AI25+AJ12</f>
        <v>387.5</v>
      </c>
      <c r="AK25" s="65" t="n">
        <f aca="false">AJ25+AK12</f>
        <v>400</v>
      </c>
      <c r="AL25" s="65" t="n">
        <f aca="false">AK25+AL12</f>
        <v>412.5</v>
      </c>
      <c r="AM25" s="65" t="n">
        <f aca="false">AL25+AM12</f>
        <v>425</v>
      </c>
      <c r="AN25" s="65" t="n">
        <f aca="false">AM25+AN12</f>
        <v>437.5</v>
      </c>
      <c r="AO25" s="64" t="n">
        <f aca="false">BA25</f>
        <v>587.5</v>
      </c>
      <c r="AP25" s="65" t="n">
        <f aca="false">AN25+AP12</f>
        <v>450</v>
      </c>
      <c r="AQ25" s="65" t="n">
        <f aca="false">AP25+AQ12</f>
        <v>462.5</v>
      </c>
      <c r="AR25" s="65" t="n">
        <f aca="false">AQ25+AR12</f>
        <v>475</v>
      </c>
      <c r="AS25" s="65" t="n">
        <f aca="false">AR25+AS12</f>
        <v>487.5</v>
      </c>
      <c r="AT25" s="65" t="n">
        <f aca="false">AS25+AT12</f>
        <v>500</v>
      </c>
      <c r="AU25" s="65" t="n">
        <f aca="false">AT25+AU12</f>
        <v>512.5</v>
      </c>
      <c r="AV25" s="65" t="n">
        <f aca="false">AU25+AV12</f>
        <v>525</v>
      </c>
      <c r="AW25" s="65" t="n">
        <f aca="false">AV25+AW12</f>
        <v>537.5</v>
      </c>
      <c r="AX25" s="65" t="n">
        <f aca="false">AW25+AX12</f>
        <v>550</v>
      </c>
      <c r="AY25" s="65" t="n">
        <f aca="false">AX25+AY12</f>
        <v>562.5</v>
      </c>
      <c r="AZ25" s="65" t="n">
        <f aca="false">AY25+AZ12</f>
        <v>575</v>
      </c>
      <c r="BA25" s="65" t="n">
        <f aca="false">AZ25+BA12</f>
        <v>587.5</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550</v>
      </c>
      <c r="C26" s="65" t="n">
        <f aca="false">C13</f>
        <v>0</v>
      </c>
      <c r="D26" s="65" t="n">
        <f aca="false">C26+D13</f>
        <v>50</v>
      </c>
      <c r="E26" s="65" t="n">
        <f aca="false">D26+E13</f>
        <v>100</v>
      </c>
      <c r="F26" s="65" t="n">
        <f aca="false">E26+F13</f>
        <v>150</v>
      </c>
      <c r="G26" s="65" t="n">
        <f aca="false">F26+G13</f>
        <v>200</v>
      </c>
      <c r="H26" s="65" t="n">
        <f aca="false">G26+H13</f>
        <v>250</v>
      </c>
      <c r="I26" s="65" t="n">
        <f aca="false">H26+I13</f>
        <v>300</v>
      </c>
      <c r="J26" s="65" t="n">
        <f aca="false">I26+J13</f>
        <v>350</v>
      </c>
      <c r="K26" s="65" t="n">
        <f aca="false">J26+K13</f>
        <v>400</v>
      </c>
      <c r="L26" s="65" t="n">
        <f aca="false">K26+L13</f>
        <v>450</v>
      </c>
      <c r="M26" s="65" t="n">
        <f aca="false">L26+M13</f>
        <v>500</v>
      </c>
      <c r="N26" s="65" t="n">
        <f aca="false">M26+N13</f>
        <v>550</v>
      </c>
      <c r="O26" s="64" t="n">
        <f aca="false">AA26</f>
        <v>1150</v>
      </c>
      <c r="P26" s="65" t="n">
        <f aca="false">N26+P13</f>
        <v>600</v>
      </c>
      <c r="Q26" s="65" t="n">
        <f aca="false">P26+Q13</f>
        <v>650</v>
      </c>
      <c r="R26" s="65" t="n">
        <f aca="false">Q26+R13</f>
        <v>700</v>
      </c>
      <c r="S26" s="65" t="n">
        <f aca="false">R26+S13</f>
        <v>750</v>
      </c>
      <c r="T26" s="65" t="n">
        <f aca="false">S26+T13</f>
        <v>800</v>
      </c>
      <c r="U26" s="65" t="n">
        <f aca="false">T26+U13</f>
        <v>850</v>
      </c>
      <c r="V26" s="65" t="n">
        <f aca="false">U26+V13</f>
        <v>900</v>
      </c>
      <c r="W26" s="65" t="n">
        <f aca="false">V26+W13</f>
        <v>950</v>
      </c>
      <c r="X26" s="65" t="n">
        <f aca="false">W26+X13</f>
        <v>1000</v>
      </c>
      <c r="Y26" s="65" t="n">
        <f aca="false">X26+Y13</f>
        <v>1050</v>
      </c>
      <c r="Z26" s="65" t="n">
        <f aca="false">Y26+Z13</f>
        <v>1100</v>
      </c>
      <c r="AA26" s="65" t="n">
        <f aca="false">Z26+AA13</f>
        <v>1150</v>
      </c>
      <c r="AB26" s="64" t="n">
        <f aca="false">AN26</f>
        <v>1750</v>
      </c>
      <c r="AC26" s="65" t="n">
        <f aca="false">AA26+AC13</f>
        <v>1200</v>
      </c>
      <c r="AD26" s="65" t="n">
        <f aca="false">AC26+AD13</f>
        <v>1250</v>
      </c>
      <c r="AE26" s="65" t="n">
        <f aca="false">AD26+AE13</f>
        <v>1300</v>
      </c>
      <c r="AF26" s="65" t="n">
        <f aca="false">AE26+AF13</f>
        <v>1350</v>
      </c>
      <c r="AG26" s="65" t="n">
        <f aca="false">AF26+AG13</f>
        <v>1400</v>
      </c>
      <c r="AH26" s="65" t="n">
        <f aca="false">AG26+AH13</f>
        <v>1450</v>
      </c>
      <c r="AI26" s="65" t="n">
        <f aca="false">AH26+AI13</f>
        <v>1500</v>
      </c>
      <c r="AJ26" s="65" t="n">
        <f aca="false">AI26+AJ13</f>
        <v>1550</v>
      </c>
      <c r="AK26" s="65" t="n">
        <f aca="false">AJ26+AK13</f>
        <v>1600</v>
      </c>
      <c r="AL26" s="65" t="n">
        <f aca="false">AK26+AL13</f>
        <v>1650</v>
      </c>
      <c r="AM26" s="65" t="n">
        <f aca="false">AL26+AM13</f>
        <v>1700</v>
      </c>
      <c r="AN26" s="65" t="n">
        <f aca="false">AM26+AN13</f>
        <v>1750</v>
      </c>
      <c r="AO26" s="64" t="n">
        <f aca="false">BA26</f>
        <v>2350</v>
      </c>
      <c r="AP26" s="65" t="n">
        <f aca="false">AN26+AP13</f>
        <v>1800</v>
      </c>
      <c r="AQ26" s="65" t="n">
        <f aca="false">AP26+AQ13</f>
        <v>1850</v>
      </c>
      <c r="AR26" s="65" t="n">
        <f aca="false">AQ26+AR13</f>
        <v>1900</v>
      </c>
      <c r="AS26" s="65" t="n">
        <f aca="false">AR26+AS13</f>
        <v>1950</v>
      </c>
      <c r="AT26" s="65" t="n">
        <f aca="false">AS26+AT13</f>
        <v>2000</v>
      </c>
      <c r="AU26" s="65" t="n">
        <f aca="false">AT26+AU13</f>
        <v>2050</v>
      </c>
      <c r="AV26" s="65" t="n">
        <f aca="false">AU26+AV13</f>
        <v>2100</v>
      </c>
      <c r="AW26" s="65" t="n">
        <f aca="false">AV26+AW13</f>
        <v>2150</v>
      </c>
      <c r="AX26" s="65" t="n">
        <f aca="false">AW26+AX13</f>
        <v>2200</v>
      </c>
      <c r="AY26" s="65" t="n">
        <f aca="false">AX26+AY13</f>
        <v>2250</v>
      </c>
      <c r="AZ26" s="65" t="n">
        <f aca="false">AY26+AZ13</f>
        <v>2300</v>
      </c>
      <c r="BA26" s="65" t="n">
        <f aca="false">AZ26+BA13</f>
        <v>2350</v>
      </c>
      <c r="BB26" s="64" t="n">
        <f aca="false">BN26</f>
        <v>2950</v>
      </c>
      <c r="BC26" s="65" t="n">
        <f aca="false">BA26+BC13</f>
        <v>2400</v>
      </c>
      <c r="BD26" s="65" t="n">
        <f aca="false">BC26+BD13</f>
        <v>2450</v>
      </c>
      <c r="BE26" s="65" t="n">
        <f aca="false">BD26+BE13</f>
        <v>2500</v>
      </c>
      <c r="BF26" s="65" t="n">
        <f aca="false">BE26+BF13</f>
        <v>2550</v>
      </c>
      <c r="BG26" s="65" t="n">
        <f aca="false">BF26+BG13</f>
        <v>2600</v>
      </c>
      <c r="BH26" s="65" t="n">
        <f aca="false">BG26+BH13</f>
        <v>2650</v>
      </c>
      <c r="BI26" s="65" t="n">
        <f aca="false">BH26+BI13</f>
        <v>2700</v>
      </c>
      <c r="BJ26" s="65" t="n">
        <f aca="false">BI26+BJ13</f>
        <v>2750</v>
      </c>
      <c r="BK26" s="65" t="n">
        <f aca="false">BJ26+BK13</f>
        <v>2800</v>
      </c>
      <c r="BL26" s="65" t="n">
        <f aca="false">BK26+BL13</f>
        <v>2850</v>
      </c>
      <c r="BM26" s="65" t="n">
        <f aca="false">BL26+BM13</f>
        <v>2900</v>
      </c>
      <c r="BN26" s="65" t="n">
        <f aca="false">BM26+BN13</f>
        <v>2950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733.333333333333</v>
      </c>
      <c r="AC27" s="65" t="n">
        <f aca="false">AA27+AC14</f>
        <v>0</v>
      </c>
      <c r="AD27" s="65" t="n">
        <f aca="false">AC27+AD14</f>
        <v>66.6666666666667</v>
      </c>
      <c r="AE27" s="65" t="n">
        <f aca="false">AD27+AE14</f>
        <v>133.333333333333</v>
      </c>
      <c r="AF27" s="65" t="n">
        <f aca="false">AE27+AF14</f>
        <v>200</v>
      </c>
      <c r="AG27" s="65" t="n">
        <f aca="false">AF27+AG14</f>
        <v>266.666666666667</v>
      </c>
      <c r="AH27" s="65" t="n">
        <f aca="false">AG27+AH14</f>
        <v>333.333333333333</v>
      </c>
      <c r="AI27" s="65" t="n">
        <f aca="false">AH27+AI14</f>
        <v>400</v>
      </c>
      <c r="AJ27" s="65" t="n">
        <f aca="false">AI27+AJ14</f>
        <v>466.666666666667</v>
      </c>
      <c r="AK27" s="65" t="n">
        <f aca="false">AJ27+AK14</f>
        <v>533.333333333333</v>
      </c>
      <c r="AL27" s="65" t="n">
        <f aca="false">AK27+AL14</f>
        <v>600</v>
      </c>
      <c r="AM27" s="65" t="n">
        <f aca="false">AL27+AM14</f>
        <v>666.666666666667</v>
      </c>
      <c r="AN27" s="65" t="n">
        <f aca="false">AM27+AN14</f>
        <v>733.333333333333</v>
      </c>
      <c r="AO27" s="64" t="n">
        <f aca="false">BA27</f>
        <v>1533.33333333333</v>
      </c>
      <c r="AP27" s="65" t="n">
        <f aca="false">AN27+AP14</f>
        <v>800</v>
      </c>
      <c r="AQ27" s="65" t="n">
        <f aca="false">AP27+AQ14</f>
        <v>866.666666666667</v>
      </c>
      <c r="AR27" s="65" t="n">
        <f aca="false">AQ27+AR14</f>
        <v>933.333333333333</v>
      </c>
      <c r="AS27" s="65" t="n">
        <f aca="false">AR27+AS14</f>
        <v>1000</v>
      </c>
      <c r="AT27" s="65" t="n">
        <f aca="false">AS27+AT14</f>
        <v>1066.66666666667</v>
      </c>
      <c r="AU27" s="65" t="n">
        <f aca="false">AT27+AU14</f>
        <v>1133.33333333333</v>
      </c>
      <c r="AV27" s="65" t="n">
        <f aca="false">AU27+AV14</f>
        <v>1200</v>
      </c>
      <c r="AW27" s="65" t="n">
        <f aca="false">AV27+AW14</f>
        <v>1266.66666666667</v>
      </c>
      <c r="AX27" s="65" t="n">
        <f aca="false">AW27+AX14</f>
        <v>1333.33333333333</v>
      </c>
      <c r="AY27" s="65" t="n">
        <f aca="false">AX27+AY14</f>
        <v>1400</v>
      </c>
      <c r="AZ27" s="65" t="n">
        <f aca="false">AY27+AZ14</f>
        <v>1466.66666666667</v>
      </c>
      <c r="BA27" s="65" t="n">
        <f aca="false">AZ27+BA14</f>
        <v>1533.33333333333</v>
      </c>
      <c r="BB27" s="64" t="n">
        <f aca="false">BN27</f>
        <v>2333.33333333333</v>
      </c>
      <c r="BC27" s="65" t="n">
        <f aca="false">BA27+BC14</f>
        <v>1600</v>
      </c>
      <c r="BD27" s="65" t="n">
        <f aca="false">BC27+BD14</f>
        <v>1666.66666666667</v>
      </c>
      <c r="BE27" s="65" t="n">
        <f aca="false">BD27+BE14</f>
        <v>1733.33333333333</v>
      </c>
      <c r="BF27" s="65" t="n">
        <f aca="false">BE27+BF14</f>
        <v>1800</v>
      </c>
      <c r="BG27" s="65" t="n">
        <f aca="false">BF27+BG14</f>
        <v>1866.66666666667</v>
      </c>
      <c r="BH27" s="65" t="n">
        <f aca="false">BG27+BH14</f>
        <v>1933.33333333333</v>
      </c>
      <c r="BI27" s="65" t="n">
        <f aca="false">BH27+BI14</f>
        <v>2000</v>
      </c>
      <c r="BJ27" s="65" t="n">
        <f aca="false">BI27+BJ14</f>
        <v>2066.66666666667</v>
      </c>
      <c r="BK27" s="65" t="n">
        <f aca="false">BJ27+BK14</f>
        <v>2133.33333333333</v>
      </c>
      <c r="BL27" s="65" t="n">
        <f aca="false">BK27+BL14</f>
        <v>2200</v>
      </c>
      <c r="BM27" s="65" t="n">
        <f aca="false">BL27+BM14</f>
        <v>2266.66666666667</v>
      </c>
      <c r="BN27" s="65" t="n">
        <f aca="false">BM27+BN14</f>
        <v>2333.33333333333</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1100</v>
      </c>
      <c r="AC28" s="65" t="n">
        <f aca="false">AA28+AC15</f>
        <v>0</v>
      </c>
      <c r="AD28" s="65" t="n">
        <f aca="false">AC28+AD15</f>
        <v>100</v>
      </c>
      <c r="AE28" s="65" t="n">
        <f aca="false">AD28+AE15</f>
        <v>200</v>
      </c>
      <c r="AF28" s="65" t="n">
        <f aca="false">AE28+AF15</f>
        <v>300</v>
      </c>
      <c r="AG28" s="65" t="n">
        <f aca="false">AF28+AG15</f>
        <v>400</v>
      </c>
      <c r="AH28" s="65" t="n">
        <f aca="false">AG28+AH15</f>
        <v>500</v>
      </c>
      <c r="AI28" s="65" t="n">
        <f aca="false">AH28+AI15</f>
        <v>600</v>
      </c>
      <c r="AJ28" s="65" t="n">
        <f aca="false">AI28+AJ15</f>
        <v>700</v>
      </c>
      <c r="AK28" s="65" t="n">
        <f aca="false">AJ28+AK15</f>
        <v>800</v>
      </c>
      <c r="AL28" s="65" t="n">
        <f aca="false">AK28+AL15</f>
        <v>900</v>
      </c>
      <c r="AM28" s="65" t="n">
        <f aca="false">AL28+AM15</f>
        <v>1000</v>
      </c>
      <c r="AN28" s="65" t="n">
        <f aca="false">AM28+AN15</f>
        <v>1100</v>
      </c>
      <c r="AO28" s="64" t="n">
        <f aca="false">BA28</f>
        <v>2300</v>
      </c>
      <c r="AP28" s="65" t="n">
        <f aca="false">AN28+AP15</f>
        <v>1200</v>
      </c>
      <c r="AQ28" s="65" t="n">
        <f aca="false">AP28+AQ15</f>
        <v>1300</v>
      </c>
      <c r="AR28" s="65" t="n">
        <f aca="false">AQ28+AR15</f>
        <v>1400</v>
      </c>
      <c r="AS28" s="65" t="n">
        <f aca="false">AR28+AS15</f>
        <v>1500</v>
      </c>
      <c r="AT28" s="65" t="n">
        <f aca="false">AS28+AT15</f>
        <v>1600</v>
      </c>
      <c r="AU28" s="65" t="n">
        <f aca="false">AT28+AU15</f>
        <v>1700</v>
      </c>
      <c r="AV28" s="65" t="n">
        <f aca="false">AU28+AV15</f>
        <v>1800</v>
      </c>
      <c r="AW28" s="65" t="n">
        <f aca="false">AV28+AW15</f>
        <v>1900</v>
      </c>
      <c r="AX28" s="65" t="n">
        <f aca="false">AW28+AX15</f>
        <v>2000</v>
      </c>
      <c r="AY28" s="65" t="n">
        <f aca="false">AX28+AY15</f>
        <v>2100</v>
      </c>
      <c r="AZ28" s="65" t="n">
        <f aca="false">AY28+AZ15</f>
        <v>2200</v>
      </c>
      <c r="BA28" s="65" t="n">
        <f aca="false">AZ28+BA15</f>
        <v>2300</v>
      </c>
      <c r="BB28" s="64" t="n">
        <f aca="false">BN28</f>
        <v>3500</v>
      </c>
      <c r="BC28" s="65" t="n">
        <f aca="false">BA28+BC15</f>
        <v>2400</v>
      </c>
      <c r="BD28" s="65" t="n">
        <f aca="false">BC28+BD15</f>
        <v>2500</v>
      </c>
      <c r="BE28" s="65" t="n">
        <f aca="false">BD28+BE15</f>
        <v>2600</v>
      </c>
      <c r="BF28" s="65" t="n">
        <f aca="false">BE28+BF15</f>
        <v>2700</v>
      </c>
      <c r="BG28" s="65" t="n">
        <f aca="false">BF28+BG15</f>
        <v>2800</v>
      </c>
      <c r="BH28" s="65" t="n">
        <f aca="false">BG28+BH15</f>
        <v>2900</v>
      </c>
      <c r="BI28" s="65" t="n">
        <f aca="false">BH28+BI15</f>
        <v>3000</v>
      </c>
      <c r="BJ28" s="65" t="n">
        <f aca="false">BI28+BJ15</f>
        <v>3100</v>
      </c>
      <c r="BK28" s="65" t="n">
        <f aca="false">BJ28+BK15</f>
        <v>3200</v>
      </c>
      <c r="BL28" s="65" t="n">
        <f aca="false">BK28+BL15</f>
        <v>3300</v>
      </c>
      <c r="BM28" s="65" t="n">
        <f aca="false">BL28+BM15</f>
        <v>3400</v>
      </c>
      <c r="BN28" s="65" t="n">
        <f aca="false">BM28+BN15</f>
        <v>3500</v>
      </c>
    </row>
    <row r="29" customFormat="false" ht="15" hidden="false" customHeight="false" outlineLevel="0" collapsed="false">
      <c r="A29" s="69" t="s">
        <v>793</v>
      </c>
      <c r="B29" s="64" t="n">
        <f aca="false">N29</f>
        <v>3222.08333333333</v>
      </c>
      <c r="C29" s="70" t="n">
        <f aca="false">SUM(C20:C28)</f>
        <v>0</v>
      </c>
      <c r="D29" s="70" t="n">
        <f aca="false">SUM(D20:D28)</f>
        <v>251.25</v>
      </c>
      <c r="E29" s="70" t="n">
        <f aca="false">SUM(E20:E28)</f>
        <v>548.333333333333</v>
      </c>
      <c r="F29" s="70" t="n">
        <f aca="false">SUM(F20:F28)</f>
        <v>845.416666666667</v>
      </c>
      <c r="G29" s="70" t="n">
        <f aca="false">SUM(G20:G28)</f>
        <v>1142.5</v>
      </c>
      <c r="H29" s="70" t="n">
        <f aca="false">SUM(H20:H28)</f>
        <v>1439.58333333333</v>
      </c>
      <c r="I29" s="70" t="n">
        <f aca="false">SUM(I20:I28)</f>
        <v>1736.66666666667</v>
      </c>
      <c r="J29" s="70" t="n">
        <f aca="false">SUM(J20:J28)</f>
        <v>2033.75</v>
      </c>
      <c r="K29" s="70" t="n">
        <f aca="false">SUM(K20:K28)</f>
        <v>2330.83333333333</v>
      </c>
      <c r="L29" s="70" t="n">
        <f aca="false">SUM(L20:L28)</f>
        <v>2627.91666666667</v>
      </c>
      <c r="M29" s="70" t="n">
        <f aca="false">SUM(M20:M28)</f>
        <v>2925</v>
      </c>
      <c r="N29" s="70" t="n">
        <f aca="false">SUM(N20:N28)</f>
        <v>3222.08333333333</v>
      </c>
      <c r="O29" s="64" t="n">
        <f aca="false">AA29</f>
        <v>7825.20833333333</v>
      </c>
      <c r="P29" s="70" t="n">
        <f aca="false">SUM(P20:P28)</f>
        <v>3519.16666666667</v>
      </c>
      <c r="Q29" s="70" t="n">
        <f aca="false">SUM(Q20:Q28)</f>
        <v>3910.625</v>
      </c>
      <c r="R29" s="70" t="n">
        <f aca="false">SUM(R20:R28)</f>
        <v>4302.08333333333</v>
      </c>
      <c r="S29" s="70" t="n">
        <f aca="false">SUM(S20:S28)</f>
        <v>4693.54166666667</v>
      </c>
      <c r="T29" s="70" t="n">
        <f aca="false">SUM(T20:T28)</f>
        <v>5085</v>
      </c>
      <c r="U29" s="70" t="n">
        <f aca="false">SUM(U20:U28)</f>
        <v>5476.45833333333</v>
      </c>
      <c r="V29" s="70" t="n">
        <f aca="false">SUM(V20:V28)</f>
        <v>5867.91666666667</v>
      </c>
      <c r="W29" s="70" t="n">
        <f aca="false">SUM(W20:W28)</f>
        <v>6259.375</v>
      </c>
      <c r="X29" s="70" t="n">
        <f aca="false">SUM(X20:X28)</f>
        <v>6650.83333333333</v>
      </c>
      <c r="Y29" s="70" t="n">
        <f aca="false">SUM(Y20:Y28)</f>
        <v>7042.29166666667</v>
      </c>
      <c r="Z29" s="70" t="n">
        <f aca="false">SUM(Z20:Z28)</f>
        <v>7433.75</v>
      </c>
      <c r="AA29" s="70" t="n">
        <f aca="false">SUM(AA20:AA28)</f>
        <v>7825.20833333333</v>
      </c>
      <c r="AB29" s="64" t="n">
        <f aca="false">AN29</f>
        <v>15214.1666666667</v>
      </c>
      <c r="AC29" s="70" t="n">
        <f aca="false">SUM(AC20:AC28)</f>
        <v>8216.66666666667</v>
      </c>
      <c r="AD29" s="70" t="n">
        <f aca="false">SUM(AD20:AD28)</f>
        <v>8869.16666666667</v>
      </c>
      <c r="AE29" s="70" t="n">
        <f aca="false">SUM(AE20:AE28)</f>
        <v>9521.66666666667</v>
      </c>
      <c r="AF29" s="70" t="n">
        <f aca="false">SUM(AF20:AF28)</f>
        <v>10174.1666666667</v>
      </c>
      <c r="AG29" s="70" t="n">
        <f aca="false">SUM(AG20:AG28)</f>
        <v>10826.6666666667</v>
      </c>
      <c r="AH29" s="70" t="n">
        <f aca="false">SUM(AH20:AH28)</f>
        <v>11479.1666666667</v>
      </c>
      <c r="AI29" s="70" t="n">
        <f aca="false">SUM(AI20:AI28)</f>
        <v>12131.6666666667</v>
      </c>
      <c r="AJ29" s="70" t="n">
        <f aca="false">SUM(AJ20:AJ28)</f>
        <v>12784.1666666667</v>
      </c>
      <c r="AK29" s="70" t="n">
        <f aca="false">SUM(AK20:AK28)</f>
        <v>13436.6666666667</v>
      </c>
      <c r="AL29" s="70" t="n">
        <f aca="false">SUM(AL20:AL28)</f>
        <v>14089.1666666667</v>
      </c>
      <c r="AM29" s="70" t="n">
        <f aca="false">SUM(AM20:AM28)</f>
        <v>14651.6666666667</v>
      </c>
      <c r="AN29" s="70" t="n">
        <f aca="false">SUM(AN20:AN28)</f>
        <v>15214.1666666667</v>
      </c>
      <c r="AO29" s="64" t="n">
        <f aca="false">BA29</f>
        <v>23738.3333333333</v>
      </c>
      <c r="AP29" s="70" t="n">
        <f aca="false">SUM(AP20:AP28)</f>
        <v>15776.6666666667</v>
      </c>
      <c r="AQ29" s="70" t="n">
        <f aca="false">SUM(AQ20:AQ28)</f>
        <v>16555</v>
      </c>
      <c r="AR29" s="70" t="n">
        <f aca="false">SUM(AR20:AR28)</f>
        <v>17333.3333333333</v>
      </c>
      <c r="AS29" s="70" t="n">
        <f aca="false">SUM(AS20:AS28)</f>
        <v>18111.6666666667</v>
      </c>
      <c r="AT29" s="70" t="n">
        <f aca="false">SUM(AT20:AT28)</f>
        <v>18890</v>
      </c>
      <c r="AU29" s="70" t="n">
        <f aca="false">SUM(AU20:AU28)</f>
        <v>19668.3333333333</v>
      </c>
      <c r="AV29" s="70" t="n">
        <f aca="false">SUM(AV20:AV28)</f>
        <v>20446.6666666667</v>
      </c>
      <c r="AW29" s="70" t="n">
        <f aca="false">SUM(AW20:AW28)</f>
        <v>21105</v>
      </c>
      <c r="AX29" s="70" t="n">
        <f aca="false">SUM(AX20:AX28)</f>
        <v>21763.3333333333</v>
      </c>
      <c r="AY29" s="70" t="n">
        <f aca="false">SUM(AY20:AY28)</f>
        <v>22421.6666666667</v>
      </c>
      <c r="AZ29" s="70" t="n">
        <f aca="false">SUM(AZ20:AZ28)</f>
        <v>23080</v>
      </c>
      <c r="BA29" s="70" t="n">
        <f aca="false">SUM(BA20:BA28)</f>
        <v>23738.3333333333</v>
      </c>
      <c r="BB29" s="64" t="n">
        <f aca="false">BN29</f>
        <v>32483.3333333333</v>
      </c>
      <c r="BC29" s="70" t="n">
        <f aca="false">SUM(BC20:BC28)</f>
        <v>24396.6666666667</v>
      </c>
      <c r="BD29" s="70" t="n">
        <f aca="false">SUM(BD20:BD28)</f>
        <v>25288.3333333333</v>
      </c>
      <c r="BE29" s="70" t="n">
        <f aca="false">SUM(BE20:BE28)</f>
        <v>26134.1666666667</v>
      </c>
      <c r="BF29" s="70" t="n">
        <f aca="false">SUM(BF20:BF28)</f>
        <v>26980</v>
      </c>
      <c r="BG29" s="70" t="n">
        <f aca="false">SUM(BG20:BG28)</f>
        <v>27825.8333333333</v>
      </c>
      <c r="BH29" s="70" t="n">
        <f aca="false">SUM(BH20:BH28)</f>
        <v>28641.6666666667</v>
      </c>
      <c r="BI29" s="70" t="n">
        <f aca="false">SUM(BI20:BI28)</f>
        <v>29337.5</v>
      </c>
      <c r="BJ29" s="70" t="n">
        <f aca="false">SUM(BJ20:BJ28)</f>
        <v>30033.3333333333</v>
      </c>
      <c r="BK29" s="70" t="n">
        <f aca="false">SUM(BK20:BK28)</f>
        <v>30729.1666666667</v>
      </c>
      <c r="BL29" s="70" t="n">
        <f aca="false">SUM(BL20:BL28)</f>
        <v>31425</v>
      </c>
      <c r="BM29" s="70" t="n">
        <f aca="false">SUM(BM20:BM28)</f>
        <v>32120.8333333333</v>
      </c>
      <c r="BN29" s="70" t="n">
        <f aca="false">SUM(BN20:BN28)</f>
        <v>32483.3333333333</v>
      </c>
    </row>
    <row r="31" customFormat="false" ht="16.5" hidden="false" customHeight="true" outlineLevel="0" collapsed="false">
      <c r="A31" s="15" t="s">
        <v>794</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467</v>
      </c>
      <c r="B33" s="64" t="n">
        <f aca="false">N33</f>
        <v>3125</v>
      </c>
      <c r="C33" s="65" t="n">
        <f aca="false">'Capital Expenditure'!C$20-C20</f>
        <v>4500</v>
      </c>
      <c r="D33" s="65" t="n">
        <f aca="false">'Capital Expenditure'!D$20-D20</f>
        <v>4375</v>
      </c>
      <c r="E33" s="65" t="n">
        <f aca="false">'Capital Expenditure'!E$20-E20</f>
        <v>4250</v>
      </c>
      <c r="F33" s="65" t="n">
        <f aca="false">'Capital Expenditure'!F$20-F20</f>
        <v>4125</v>
      </c>
      <c r="G33" s="65" t="n">
        <f aca="false">'Capital Expenditure'!G$20-G20</f>
        <v>4000</v>
      </c>
      <c r="H33" s="65" t="n">
        <f aca="false">'Capital Expenditure'!H$20-H20</f>
        <v>3875</v>
      </c>
      <c r="I33" s="65" t="n">
        <f aca="false">'Capital Expenditure'!I$20-I20</f>
        <v>3750</v>
      </c>
      <c r="J33" s="65" t="n">
        <f aca="false">'Capital Expenditure'!J$20-J20</f>
        <v>3625</v>
      </c>
      <c r="K33" s="65" t="n">
        <f aca="false">'Capital Expenditure'!K$20-K20</f>
        <v>3500</v>
      </c>
      <c r="L33" s="65" t="n">
        <f aca="false">'Capital Expenditure'!L$20-L20</f>
        <v>3375</v>
      </c>
      <c r="M33" s="65" t="n">
        <f aca="false">'Capital Expenditure'!M$20-M20</f>
        <v>3250</v>
      </c>
      <c r="N33" s="65" t="n">
        <f aca="false">'Capital Expenditure'!N$20-N20</f>
        <v>3125</v>
      </c>
      <c r="O33" s="64" t="n">
        <f aca="false">AA33</f>
        <v>3187.5</v>
      </c>
      <c r="P33" s="65" t="n">
        <f aca="false">'Capital Expenditure'!P$20-P20</f>
        <v>5250</v>
      </c>
      <c r="Q33" s="65" t="n">
        <f aca="false">'Capital Expenditure'!Q$20-Q20</f>
        <v>5062.5</v>
      </c>
      <c r="R33" s="65" t="n">
        <f aca="false">'Capital Expenditure'!R$20-R20</f>
        <v>4875</v>
      </c>
      <c r="S33" s="65" t="n">
        <f aca="false">'Capital Expenditure'!S$20-S20</f>
        <v>4687.5</v>
      </c>
      <c r="T33" s="65" t="n">
        <f aca="false">'Capital Expenditure'!T$20-T20</f>
        <v>4500</v>
      </c>
      <c r="U33" s="65" t="n">
        <f aca="false">'Capital Expenditure'!U$20-U20</f>
        <v>4312.5</v>
      </c>
      <c r="V33" s="65" t="n">
        <f aca="false">'Capital Expenditure'!V$20-V20</f>
        <v>4125</v>
      </c>
      <c r="W33" s="65" t="n">
        <f aca="false">'Capital Expenditure'!W$20-W20</f>
        <v>3937.5</v>
      </c>
      <c r="X33" s="65" t="n">
        <f aca="false">'Capital Expenditure'!X$20-X20</f>
        <v>3750</v>
      </c>
      <c r="Y33" s="65" t="n">
        <f aca="false">'Capital Expenditure'!Y$20-Y20</f>
        <v>3562.5</v>
      </c>
      <c r="Z33" s="65" t="n">
        <f aca="false">'Capital Expenditure'!Z$20-Z20</f>
        <v>3375</v>
      </c>
      <c r="AA33" s="65" t="n">
        <f aca="false">'Capital Expenditure'!AA$20-AA20</f>
        <v>3187.5</v>
      </c>
      <c r="AB33" s="64" t="n">
        <f aca="false">AN33</f>
        <v>2500</v>
      </c>
      <c r="AC33" s="65" t="n">
        <f aca="false">'Capital Expenditure'!AC$20-AC20</f>
        <v>5250</v>
      </c>
      <c r="AD33" s="65" t="n">
        <f aca="false">'Capital Expenditure'!AD$20-AD20</f>
        <v>5000</v>
      </c>
      <c r="AE33" s="65" t="n">
        <f aca="false">'Capital Expenditure'!AE$20-AE20</f>
        <v>4750</v>
      </c>
      <c r="AF33" s="65" t="n">
        <f aca="false">'Capital Expenditure'!AF$20-AF20</f>
        <v>4500</v>
      </c>
      <c r="AG33" s="65" t="n">
        <f aca="false">'Capital Expenditure'!AG$20-AG20</f>
        <v>4250</v>
      </c>
      <c r="AH33" s="65" t="n">
        <f aca="false">'Capital Expenditure'!AH$20-AH20</f>
        <v>4000</v>
      </c>
      <c r="AI33" s="65" t="n">
        <f aca="false">'Capital Expenditure'!AI$20-AI20</f>
        <v>3750</v>
      </c>
      <c r="AJ33" s="65" t="n">
        <f aca="false">'Capital Expenditure'!AJ$20-AJ20</f>
        <v>3500</v>
      </c>
      <c r="AK33" s="65" t="n">
        <f aca="false">'Capital Expenditure'!AK$20-AK20</f>
        <v>3250</v>
      </c>
      <c r="AL33" s="65" t="n">
        <f aca="false">'Capital Expenditure'!AL$20-AL20</f>
        <v>3000</v>
      </c>
      <c r="AM33" s="65" t="n">
        <f aca="false">'Capital Expenditure'!AM$20-AM20</f>
        <v>2750</v>
      </c>
      <c r="AN33" s="65" t="n">
        <f aca="false">'Capital Expenditure'!AN$20-AN20</f>
        <v>2500</v>
      </c>
      <c r="AO33" s="64" t="n">
        <f aca="false">BA33</f>
        <v>1583.33333333333</v>
      </c>
      <c r="AP33" s="65" t="n">
        <f aca="false">'Capital Expenditure'!AP$20-AP20</f>
        <v>5250</v>
      </c>
      <c r="AQ33" s="65" t="n">
        <f aca="false">'Capital Expenditure'!AQ$20-AQ20</f>
        <v>4916.66666666667</v>
      </c>
      <c r="AR33" s="65" t="n">
        <f aca="false">'Capital Expenditure'!AR$20-AR20</f>
        <v>4583.33333333333</v>
      </c>
      <c r="AS33" s="65" t="n">
        <f aca="false">'Capital Expenditure'!AS$20-AS20</f>
        <v>4250</v>
      </c>
      <c r="AT33" s="65" t="n">
        <f aca="false">'Capital Expenditure'!AT$20-AT20</f>
        <v>3916.66666666667</v>
      </c>
      <c r="AU33" s="65" t="n">
        <f aca="false">'Capital Expenditure'!AU$20-AU20</f>
        <v>3583.33333333333</v>
      </c>
      <c r="AV33" s="65" t="n">
        <f aca="false">'Capital Expenditure'!AV$20-AV20</f>
        <v>3250</v>
      </c>
      <c r="AW33" s="65" t="n">
        <f aca="false">'Capital Expenditure'!AW$20-AW20</f>
        <v>2916.66666666667</v>
      </c>
      <c r="AX33" s="65" t="n">
        <f aca="false">'Capital Expenditure'!AX$20-AX20</f>
        <v>2583.33333333333</v>
      </c>
      <c r="AY33" s="65" t="n">
        <f aca="false">'Capital Expenditure'!AY$20-AY20</f>
        <v>2250</v>
      </c>
      <c r="AZ33" s="65" t="n">
        <f aca="false">'Capital Expenditure'!AZ$20-AZ20</f>
        <v>1916.66666666666</v>
      </c>
      <c r="BA33" s="65" t="n">
        <f aca="false">'Capital Expenditure'!BA$20-BA20</f>
        <v>1583.33333333333</v>
      </c>
      <c r="BB33" s="64" t="n">
        <f aca="false">BN33</f>
        <v>0</v>
      </c>
      <c r="BC33" s="65" t="n">
        <f aca="false">'Capital Expenditure'!BC$20-BC20</f>
        <v>4250</v>
      </c>
      <c r="BD33" s="65" t="n">
        <f aca="false">'Capital Expenditure'!BD$20-BD20</f>
        <v>3833.33333333333</v>
      </c>
      <c r="BE33" s="65" t="n">
        <f aca="false">'Capital Expenditure'!BE$20-BE20</f>
        <v>3416.66666666666</v>
      </c>
      <c r="BF33" s="65" t="n">
        <f aca="false">'Capital Expenditure'!BF$20-BF20</f>
        <v>3000</v>
      </c>
      <c r="BG33" s="65" t="n">
        <f aca="false">'Capital Expenditure'!BG$20-BG20</f>
        <v>2583.33333333333</v>
      </c>
      <c r="BH33" s="65" t="n">
        <f aca="false">'Capital Expenditure'!BH$20-BH20</f>
        <v>2166.66666666667</v>
      </c>
      <c r="BI33" s="65" t="n">
        <f aca="false">'Capital Expenditure'!BI$20-BI20</f>
        <v>1750</v>
      </c>
      <c r="BJ33" s="65" t="n">
        <f aca="false">'Capital Expenditure'!BJ$20-BJ20</f>
        <v>1333.33333333333</v>
      </c>
      <c r="BK33" s="65" t="n">
        <f aca="false">'Capital Expenditure'!BK$20-BK20</f>
        <v>916.666666666668</v>
      </c>
      <c r="BL33" s="65" t="n">
        <f aca="false">'Capital Expenditure'!BL$20-BL20</f>
        <v>500.000000000002</v>
      </c>
      <c r="BM33" s="65" t="n">
        <f aca="false">'Capital Expenditure'!BM$20-BM20</f>
        <v>83.3333333333358</v>
      </c>
      <c r="BN33" s="65" t="n">
        <f aca="false">'Capital Expenditure'!BN$20-BN20</f>
        <v>0</v>
      </c>
    </row>
    <row r="34" customFormat="false" ht="15" hidden="false" customHeight="false" outlineLevel="0" collapsed="false">
      <c r="A34" s="12" t="s">
        <v>468</v>
      </c>
      <c r="B34" s="64" t="n">
        <f aca="false">N34</f>
        <v>693.75</v>
      </c>
      <c r="C34" s="65" t="n">
        <f aca="false">'Capital Expenditure'!C$21-C21</f>
        <v>900</v>
      </c>
      <c r="D34" s="65" t="n">
        <f aca="false">'Capital Expenditure'!D$21-D21</f>
        <v>881.25</v>
      </c>
      <c r="E34" s="65" t="n">
        <f aca="false">'Capital Expenditure'!E$21-E21</f>
        <v>862.5</v>
      </c>
      <c r="F34" s="65" t="n">
        <f aca="false">'Capital Expenditure'!F$21-F21</f>
        <v>843.75</v>
      </c>
      <c r="G34" s="65" t="n">
        <f aca="false">'Capital Expenditure'!G$21-G21</f>
        <v>825</v>
      </c>
      <c r="H34" s="65" t="n">
        <f aca="false">'Capital Expenditure'!H$21-H21</f>
        <v>806.25</v>
      </c>
      <c r="I34" s="65" t="n">
        <f aca="false">'Capital Expenditure'!I$21-I21</f>
        <v>787.5</v>
      </c>
      <c r="J34" s="65" t="n">
        <f aca="false">'Capital Expenditure'!J$21-J21</f>
        <v>768.75</v>
      </c>
      <c r="K34" s="65" t="n">
        <f aca="false">'Capital Expenditure'!K$21-K21</f>
        <v>750</v>
      </c>
      <c r="L34" s="65" t="n">
        <f aca="false">'Capital Expenditure'!L$21-L21</f>
        <v>731.25</v>
      </c>
      <c r="M34" s="65" t="n">
        <f aca="false">'Capital Expenditure'!M$21-M21</f>
        <v>712.5</v>
      </c>
      <c r="N34" s="65" t="n">
        <f aca="false">'Capital Expenditure'!N$21-N21</f>
        <v>693.75</v>
      </c>
      <c r="O34" s="64" t="n">
        <f aca="false">AA34</f>
        <v>815.625</v>
      </c>
      <c r="P34" s="65" t="n">
        <f aca="false">'Capital Expenditure'!P$21-P21</f>
        <v>1125</v>
      </c>
      <c r="Q34" s="65" t="n">
        <f aca="false">'Capital Expenditure'!Q$21-Q21</f>
        <v>1096.875</v>
      </c>
      <c r="R34" s="65" t="n">
        <f aca="false">'Capital Expenditure'!R$21-R21</f>
        <v>1068.75</v>
      </c>
      <c r="S34" s="65" t="n">
        <f aca="false">'Capital Expenditure'!S$21-S21</f>
        <v>1040.625</v>
      </c>
      <c r="T34" s="65" t="n">
        <f aca="false">'Capital Expenditure'!T$21-T21</f>
        <v>1012.5</v>
      </c>
      <c r="U34" s="65" t="n">
        <f aca="false">'Capital Expenditure'!U$21-U21</f>
        <v>984.375</v>
      </c>
      <c r="V34" s="65" t="n">
        <f aca="false">'Capital Expenditure'!V$21-V21</f>
        <v>956.25</v>
      </c>
      <c r="W34" s="65" t="n">
        <f aca="false">'Capital Expenditure'!W$21-W21</f>
        <v>928.125</v>
      </c>
      <c r="X34" s="65" t="n">
        <f aca="false">'Capital Expenditure'!X$21-X21</f>
        <v>900</v>
      </c>
      <c r="Y34" s="65" t="n">
        <f aca="false">'Capital Expenditure'!Y$21-Y21</f>
        <v>871.875</v>
      </c>
      <c r="Z34" s="65" t="n">
        <f aca="false">'Capital Expenditure'!Z$21-Z21</f>
        <v>843.75</v>
      </c>
      <c r="AA34" s="65" t="n">
        <f aca="false">'Capital Expenditure'!AA$21-AA21</f>
        <v>815.625</v>
      </c>
      <c r="AB34" s="64" t="n">
        <f aca="false">AN34</f>
        <v>825</v>
      </c>
      <c r="AC34" s="65" t="n">
        <f aca="false">'Capital Expenditure'!AC$21-AC21</f>
        <v>1237.5</v>
      </c>
      <c r="AD34" s="65" t="n">
        <f aca="false">'Capital Expenditure'!AD$21-AD21</f>
        <v>1200</v>
      </c>
      <c r="AE34" s="65" t="n">
        <f aca="false">'Capital Expenditure'!AE$21-AE21</f>
        <v>1162.5</v>
      </c>
      <c r="AF34" s="65" t="n">
        <f aca="false">'Capital Expenditure'!AF$21-AF21</f>
        <v>1125</v>
      </c>
      <c r="AG34" s="65" t="n">
        <f aca="false">'Capital Expenditure'!AG$21-AG21</f>
        <v>1087.5</v>
      </c>
      <c r="AH34" s="65" t="n">
        <f aca="false">'Capital Expenditure'!AH$21-AH21</f>
        <v>1050</v>
      </c>
      <c r="AI34" s="65" t="n">
        <f aca="false">'Capital Expenditure'!AI$21-AI21</f>
        <v>1012.5</v>
      </c>
      <c r="AJ34" s="65" t="n">
        <f aca="false">'Capital Expenditure'!AJ$21-AJ21</f>
        <v>975</v>
      </c>
      <c r="AK34" s="65" t="n">
        <f aca="false">'Capital Expenditure'!AK$21-AK21</f>
        <v>937.5</v>
      </c>
      <c r="AL34" s="65" t="n">
        <f aca="false">'Capital Expenditure'!AL$21-AL21</f>
        <v>900</v>
      </c>
      <c r="AM34" s="65" t="n">
        <f aca="false">'Capital Expenditure'!AM$21-AM21</f>
        <v>862.5</v>
      </c>
      <c r="AN34" s="65" t="n">
        <f aca="false">'Capital Expenditure'!AN$21-AN21</f>
        <v>825</v>
      </c>
      <c r="AO34" s="64" t="n">
        <f aca="false">BA34</f>
        <v>837.5</v>
      </c>
      <c r="AP34" s="65" t="n">
        <f aca="false">'Capital Expenditure'!AP$21-AP21</f>
        <v>1387.5</v>
      </c>
      <c r="AQ34" s="65" t="n">
        <f aca="false">'Capital Expenditure'!AQ$21-AQ21</f>
        <v>1337.5</v>
      </c>
      <c r="AR34" s="65" t="n">
        <f aca="false">'Capital Expenditure'!AR$21-AR21</f>
        <v>1287.5</v>
      </c>
      <c r="AS34" s="65" t="n">
        <f aca="false">'Capital Expenditure'!AS$21-AS21</f>
        <v>1237.5</v>
      </c>
      <c r="AT34" s="65" t="n">
        <f aca="false">'Capital Expenditure'!AT$21-AT21</f>
        <v>1187.5</v>
      </c>
      <c r="AU34" s="65" t="n">
        <f aca="false">'Capital Expenditure'!AU$21-AU21</f>
        <v>1137.5</v>
      </c>
      <c r="AV34" s="65" t="n">
        <f aca="false">'Capital Expenditure'!AV$21-AV21</f>
        <v>1087.5</v>
      </c>
      <c r="AW34" s="65" t="n">
        <f aca="false">'Capital Expenditure'!AW$21-AW21</f>
        <v>1037.5</v>
      </c>
      <c r="AX34" s="65" t="n">
        <f aca="false">'Capital Expenditure'!AX$21-AX21</f>
        <v>987.5</v>
      </c>
      <c r="AY34" s="65" t="n">
        <f aca="false">'Capital Expenditure'!AY$21-AY21</f>
        <v>937.5</v>
      </c>
      <c r="AZ34" s="65" t="n">
        <f aca="false">'Capital Expenditure'!AZ$21-AZ21</f>
        <v>887.5</v>
      </c>
      <c r="BA34" s="65" t="n">
        <f aca="false">'Capital Expenditure'!BA$21-BA21</f>
        <v>837.5</v>
      </c>
      <c r="BB34" s="64" t="n">
        <f aca="false">BN34</f>
        <v>700</v>
      </c>
      <c r="BC34" s="65" t="n">
        <f aca="false">'Capital Expenditure'!BC$21-BC21</f>
        <v>1387.5</v>
      </c>
      <c r="BD34" s="65" t="n">
        <f aca="false">'Capital Expenditure'!BD$21-BD21</f>
        <v>1325</v>
      </c>
      <c r="BE34" s="65" t="n">
        <f aca="false">'Capital Expenditure'!BE$21-BE21</f>
        <v>1262.5</v>
      </c>
      <c r="BF34" s="65" t="n">
        <f aca="false">'Capital Expenditure'!BF$21-BF21</f>
        <v>1200</v>
      </c>
      <c r="BG34" s="65" t="n">
        <f aca="false">'Capital Expenditure'!BG$21-BG21</f>
        <v>1137.5</v>
      </c>
      <c r="BH34" s="65" t="n">
        <f aca="false">'Capital Expenditure'!BH$21-BH21</f>
        <v>1075</v>
      </c>
      <c r="BI34" s="65" t="n">
        <f aca="false">'Capital Expenditure'!BI$21-BI21</f>
        <v>1012.5</v>
      </c>
      <c r="BJ34" s="65" t="n">
        <f aca="false">'Capital Expenditure'!BJ$21-BJ21</f>
        <v>950</v>
      </c>
      <c r="BK34" s="65" t="n">
        <f aca="false">'Capital Expenditure'!BK$21-BK21</f>
        <v>887.5</v>
      </c>
      <c r="BL34" s="65" t="n">
        <f aca="false">'Capital Expenditure'!BL$21-BL21</f>
        <v>825</v>
      </c>
      <c r="BM34" s="65" t="n">
        <f aca="false">'Capital Expenditure'!BM$21-BM21</f>
        <v>762.5</v>
      </c>
      <c r="BN34" s="65" t="n">
        <f aca="false">'Capital Expenditure'!BN$21-BN21</f>
        <v>700</v>
      </c>
    </row>
    <row r="35" customFormat="false" ht="15" hidden="false" customHeight="false" outlineLevel="0" collapsed="false">
      <c r="A35" s="12" t="s">
        <v>469</v>
      </c>
      <c r="B35" s="64" t="n">
        <f aca="false">N35</f>
        <v>585</v>
      </c>
      <c r="C35" s="65" t="n">
        <f aca="false">'Capital Expenditure'!C$22-C22</f>
        <v>1080</v>
      </c>
      <c r="D35" s="65" t="n">
        <f aca="false">'Capital Expenditure'!D$22-D22</f>
        <v>1035</v>
      </c>
      <c r="E35" s="65" t="n">
        <f aca="false">'Capital Expenditure'!E$22-E22</f>
        <v>990</v>
      </c>
      <c r="F35" s="65" t="n">
        <f aca="false">'Capital Expenditure'!F$22-F22</f>
        <v>945</v>
      </c>
      <c r="G35" s="65" t="n">
        <f aca="false">'Capital Expenditure'!G$22-G22</f>
        <v>900</v>
      </c>
      <c r="H35" s="65" t="n">
        <f aca="false">'Capital Expenditure'!H$22-H22</f>
        <v>855</v>
      </c>
      <c r="I35" s="65" t="n">
        <f aca="false">'Capital Expenditure'!I$22-I22</f>
        <v>810</v>
      </c>
      <c r="J35" s="65" t="n">
        <f aca="false">'Capital Expenditure'!J$22-J22</f>
        <v>765</v>
      </c>
      <c r="K35" s="65" t="n">
        <f aca="false">'Capital Expenditure'!K$22-K22</f>
        <v>720</v>
      </c>
      <c r="L35" s="65" t="n">
        <f aca="false">'Capital Expenditure'!L$22-L22</f>
        <v>675</v>
      </c>
      <c r="M35" s="65" t="n">
        <f aca="false">'Capital Expenditure'!M$22-M22</f>
        <v>630</v>
      </c>
      <c r="N35" s="65" t="n">
        <f aca="false">'Capital Expenditure'!N$22-N22</f>
        <v>585</v>
      </c>
      <c r="O35" s="64" t="n">
        <f aca="false">AA35</f>
        <v>337.5</v>
      </c>
      <c r="P35" s="65" t="n">
        <f aca="false">'Capital Expenditure'!P$22-P22</f>
        <v>1080</v>
      </c>
      <c r="Q35" s="65" t="n">
        <f aca="false">'Capital Expenditure'!Q$22-Q22</f>
        <v>1012.5</v>
      </c>
      <c r="R35" s="65" t="n">
        <f aca="false">'Capital Expenditure'!R$22-R22</f>
        <v>945</v>
      </c>
      <c r="S35" s="65" t="n">
        <f aca="false">'Capital Expenditure'!S$22-S22</f>
        <v>877.5</v>
      </c>
      <c r="T35" s="65" t="n">
        <f aca="false">'Capital Expenditure'!T$22-T22</f>
        <v>810</v>
      </c>
      <c r="U35" s="65" t="n">
        <f aca="false">'Capital Expenditure'!U$22-U22</f>
        <v>742.5</v>
      </c>
      <c r="V35" s="65" t="n">
        <f aca="false">'Capital Expenditure'!V$22-V22</f>
        <v>675</v>
      </c>
      <c r="W35" s="65" t="n">
        <f aca="false">'Capital Expenditure'!W$22-W22</f>
        <v>607.5</v>
      </c>
      <c r="X35" s="65" t="n">
        <f aca="false">'Capital Expenditure'!X$22-X22</f>
        <v>540</v>
      </c>
      <c r="Y35" s="65" t="n">
        <f aca="false">'Capital Expenditure'!Y$22-Y22</f>
        <v>472.5</v>
      </c>
      <c r="Z35" s="65" t="n">
        <f aca="false">'Capital Expenditure'!Z$22-Z22</f>
        <v>405</v>
      </c>
      <c r="AA35" s="65" t="n">
        <f aca="false">'Capital Expenditure'!AA$22-AA22</f>
        <v>337.5</v>
      </c>
      <c r="AB35" s="64" t="n">
        <f aca="false">AN35</f>
        <v>0</v>
      </c>
      <c r="AC35" s="65" t="n">
        <f aca="false">'Capital Expenditure'!AC$22-AC22</f>
        <v>810</v>
      </c>
      <c r="AD35" s="65" t="n">
        <f aca="false">'Capital Expenditure'!AD$22-AD22</f>
        <v>720</v>
      </c>
      <c r="AE35" s="65" t="n">
        <f aca="false">'Capital Expenditure'!AE$22-AE22</f>
        <v>630</v>
      </c>
      <c r="AF35" s="65" t="n">
        <f aca="false">'Capital Expenditure'!AF$22-AF22</f>
        <v>540</v>
      </c>
      <c r="AG35" s="65" t="n">
        <f aca="false">'Capital Expenditure'!AG$22-AG22</f>
        <v>450</v>
      </c>
      <c r="AH35" s="65" t="n">
        <f aca="false">'Capital Expenditure'!AH$22-AH22</f>
        <v>360</v>
      </c>
      <c r="AI35" s="65" t="n">
        <f aca="false">'Capital Expenditure'!AI$22-AI22</f>
        <v>270</v>
      </c>
      <c r="AJ35" s="65" t="n">
        <f aca="false">'Capital Expenditure'!AJ$22-AJ22</f>
        <v>180</v>
      </c>
      <c r="AK35" s="65" t="n">
        <f aca="false">'Capital Expenditure'!AK$22-AK22</f>
        <v>90</v>
      </c>
      <c r="AL35" s="65" t="n">
        <f aca="false">'Capital Expenditure'!AL$22-AL22</f>
        <v>0</v>
      </c>
      <c r="AM35" s="65" t="n">
        <f aca="false">'Capital Expenditure'!AM$22-AM22</f>
        <v>0</v>
      </c>
      <c r="AN35" s="65" t="n">
        <f aca="false">'Capital Expenditure'!AN$22-AN22</f>
        <v>0</v>
      </c>
      <c r="AO35" s="64" t="n">
        <f aca="false">BA35</f>
        <v>0</v>
      </c>
      <c r="AP35" s="65" t="n">
        <f aca="false">'Capital Expenditure'!AP$22-AP22</f>
        <v>720</v>
      </c>
      <c r="AQ35" s="65" t="n">
        <f aca="false">'Capital Expenditure'!AQ$22-AQ22</f>
        <v>600</v>
      </c>
      <c r="AR35" s="65" t="n">
        <f aca="false">'Capital Expenditure'!AR$22-AR22</f>
        <v>480</v>
      </c>
      <c r="AS35" s="65" t="n">
        <f aca="false">'Capital Expenditure'!AS$22-AS22</f>
        <v>360</v>
      </c>
      <c r="AT35" s="65" t="n">
        <f aca="false">'Capital Expenditure'!AT$22-AT22</f>
        <v>240</v>
      </c>
      <c r="AU35" s="65" t="n">
        <f aca="false">'Capital Expenditure'!AU$22-AU22</f>
        <v>120</v>
      </c>
      <c r="AV35" s="65" t="n">
        <f aca="false">'Capital Expenditure'!AV$22-AV22</f>
        <v>0</v>
      </c>
      <c r="AW35" s="65" t="n">
        <f aca="false">'Capital Expenditure'!AW$22-AW22</f>
        <v>0</v>
      </c>
      <c r="AX35" s="65" t="n">
        <f aca="false">'Capital Expenditure'!AX$22-AX22</f>
        <v>0</v>
      </c>
      <c r="AY35" s="65" t="n">
        <f aca="false">'Capital Expenditure'!AY$22-AY22</f>
        <v>0</v>
      </c>
      <c r="AZ35" s="65" t="n">
        <f aca="false">'Capital Expenditure'!AZ$22-AZ22</f>
        <v>0</v>
      </c>
      <c r="BA35" s="65" t="n">
        <f aca="false">'Capital Expenditure'!BA$22-BA22</f>
        <v>0</v>
      </c>
      <c r="BB35" s="64" t="n">
        <f aca="false">BN35</f>
        <v>0</v>
      </c>
      <c r="BC35" s="65" t="n">
        <f aca="false">'Capital Expenditure'!BC$22-BC22</f>
        <v>720</v>
      </c>
      <c r="BD35" s="65" t="n">
        <f aca="false">'Capital Expenditure'!BD$22-BD22</f>
        <v>570</v>
      </c>
      <c r="BE35" s="65" t="n">
        <f aca="false">'Capital Expenditure'!BE$22-BE22</f>
        <v>420</v>
      </c>
      <c r="BF35" s="65" t="n">
        <f aca="false">'Capital Expenditure'!BF$22-BF22</f>
        <v>270</v>
      </c>
      <c r="BG35" s="65" t="n">
        <f aca="false">'Capital Expenditure'!BG$22-BG22</f>
        <v>120</v>
      </c>
      <c r="BH35" s="65" t="n">
        <f aca="false">'Capital Expenditure'!BH$22-BH22</f>
        <v>0</v>
      </c>
      <c r="BI35" s="65" t="n">
        <f aca="false">'Capital Expenditure'!BI$22-BI22</f>
        <v>0</v>
      </c>
      <c r="BJ35" s="65" t="n">
        <f aca="false">'Capital Expenditure'!BJ$22-BJ22</f>
        <v>0</v>
      </c>
      <c r="BK35" s="65" t="n">
        <f aca="false">'Capital Expenditure'!BK$22-BK22</f>
        <v>0</v>
      </c>
      <c r="BL35" s="65" t="n">
        <f aca="false">'Capital Expenditure'!BL$22-BL22</f>
        <v>0</v>
      </c>
      <c r="BM35" s="65" t="n">
        <f aca="false">'Capital Expenditure'!BM$22-BM22</f>
        <v>0</v>
      </c>
      <c r="BN35" s="65" t="n">
        <f aca="false">'Capital Expenditure'!BN$22-BN22</f>
        <v>0</v>
      </c>
    </row>
    <row r="36" customFormat="false" ht="15" hidden="false" customHeight="false" outlineLevel="0" collapsed="false">
      <c r="A36" s="12" t="s">
        <v>470</v>
      </c>
      <c r="B36" s="64" t="n">
        <f aca="false">N36</f>
        <v>0</v>
      </c>
      <c r="C36" s="65" t="n">
        <f aca="false">'Capital Expenditure'!C$23-C23</f>
        <v>0</v>
      </c>
      <c r="D36" s="65" t="n">
        <f aca="false">'Capital Expenditure'!D$23-D23</f>
        <v>0</v>
      </c>
      <c r="E36" s="65" t="n">
        <f aca="false">'Capital Expenditure'!E$23-E23</f>
        <v>0</v>
      </c>
      <c r="F36" s="65" t="n">
        <f aca="false">'Capital Expenditure'!F$23-F23</f>
        <v>0</v>
      </c>
      <c r="G36" s="65" t="n">
        <f aca="false">'Capital Expenditure'!G$23-G23</f>
        <v>0</v>
      </c>
      <c r="H36" s="65" t="n">
        <f aca="false">'Capital Expenditure'!H$23-H23</f>
        <v>0</v>
      </c>
      <c r="I36" s="65" t="n">
        <f aca="false">'Capital Expenditure'!I$23-I23</f>
        <v>0</v>
      </c>
      <c r="J36" s="65" t="n">
        <f aca="false">'Capital Expenditure'!J$23-J23</f>
        <v>0</v>
      </c>
      <c r="K36" s="65" t="n">
        <f aca="false">'Capital Expenditure'!K$23-K23</f>
        <v>0</v>
      </c>
      <c r="L36" s="65" t="n">
        <f aca="false">'Capital Expenditure'!L$23-L23</f>
        <v>0</v>
      </c>
      <c r="M36" s="65" t="n">
        <f aca="false">'Capital Expenditure'!M$23-M23</f>
        <v>0</v>
      </c>
      <c r="N36" s="65" t="n">
        <f aca="false">'Capital Expenditure'!N$23-N23</f>
        <v>0</v>
      </c>
      <c r="O36" s="64" t="n">
        <f aca="false">AA36</f>
        <v>0</v>
      </c>
      <c r="P36" s="65" t="n">
        <f aca="false">'Capital Expenditure'!P$23-P23</f>
        <v>0</v>
      </c>
      <c r="Q36" s="65" t="n">
        <f aca="false">'Capital Expenditure'!Q$23-Q23</f>
        <v>0</v>
      </c>
      <c r="R36" s="65" t="n">
        <f aca="false">'Capital Expenditure'!R$23-R23</f>
        <v>0</v>
      </c>
      <c r="S36" s="65" t="n">
        <f aca="false">'Capital Expenditure'!S$23-S23</f>
        <v>0</v>
      </c>
      <c r="T36" s="65" t="n">
        <f aca="false">'Capital Expenditure'!T$23-T23</f>
        <v>0</v>
      </c>
      <c r="U36" s="65" t="n">
        <f aca="false">'Capital Expenditure'!U$23-U23</f>
        <v>0</v>
      </c>
      <c r="V36" s="65" t="n">
        <f aca="false">'Capital Expenditure'!V$23-V23</f>
        <v>0</v>
      </c>
      <c r="W36" s="65" t="n">
        <f aca="false">'Capital Expenditure'!W$23-W23</f>
        <v>0</v>
      </c>
      <c r="X36" s="65" t="n">
        <f aca="false">'Capital Expenditure'!X$23-X23</f>
        <v>0</v>
      </c>
      <c r="Y36" s="65" t="n">
        <f aca="false">'Capital Expenditure'!Y$23-Y23</f>
        <v>0</v>
      </c>
      <c r="Z36" s="65" t="n">
        <f aca="false">'Capital Expenditure'!Z$23-Z23</f>
        <v>0</v>
      </c>
      <c r="AA36" s="65" t="n">
        <f aca="false">'Capital Expenditure'!AA$23-AA23</f>
        <v>0</v>
      </c>
      <c r="AB36" s="64" t="n">
        <f aca="false">AN36</f>
        <v>0</v>
      </c>
      <c r="AC36" s="65" t="n">
        <f aca="false">'Capital Expenditure'!AC$23-AC23</f>
        <v>0</v>
      </c>
      <c r="AD36" s="65" t="n">
        <f aca="false">'Capital Expenditure'!AD$23-AD23</f>
        <v>0</v>
      </c>
      <c r="AE36" s="65" t="n">
        <f aca="false">'Capital Expenditure'!AE$23-AE23</f>
        <v>0</v>
      </c>
      <c r="AF36" s="65" t="n">
        <f aca="false">'Capital Expenditure'!AF$23-AF23</f>
        <v>0</v>
      </c>
      <c r="AG36" s="65" t="n">
        <f aca="false">'Capital Expenditure'!AG$23-AG23</f>
        <v>0</v>
      </c>
      <c r="AH36" s="65" t="n">
        <f aca="false">'Capital Expenditure'!AH$23-AH23</f>
        <v>0</v>
      </c>
      <c r="AI36" s="65" t="n">
        <f aca="false">'Capital Expenditure'!AI$23-AI23</f>
        <v>0</v>
      </c>
      <c r="AJ36" s="65" t="n">
        <f aca="false">'Capital Expenditure'!AJ$23-AJ23</f>
        <v>0</v>
      </c>
      <c r="AK36" s="65" t="n">
        <f aca="false">'Capital Expenditure'!AK$23-AK23</f>
        <v>0</v>
      </c>
      <c r="AL36" s="65" t="n">
        <f aca="false">'Capital Expenditure'!AL$23-AL23</f>
        <v>0</v>
      </c>
      <c r="AM36" s="65" t="n">
        <f aca="false">'Capital Expenditure'!AM$23-AM23</f>
        <v>0</v>
      </c>
      <c r="AN36" s="65" t="n">
        <f aca="false">'Capital Expenditure'!AN$23-AN23</f>
        <v>0</v>
      </c>
      <c r="AO36" s="64" t="n">
        <f aca="false">BA36</f>
        <v>0</v>
      </c>
      <c r="AP36" s="65" t="n">
        <f aca="false">'Capital Expenditure'!AP$23-AP23</f>
        <v>0</v>
      </c>
      <c r="AQ36" s="65" t="n">
        <f aca="false">'Capital Expenditure'!AQ$23-AQ23</f>
        <v>0</v>
      </c>
      <c r="AR36" s="65" t="n">
        <f aca="false">'Capital Expenditure'!AR$23-AR23</f>
        <v>0</v>
      </c>
      <c r="AS36" s="65" t="n">
        <f aca="false">'Capital Expenditure'!AS$23-AS23</f>
        <v>0</v>
      </c>
      <c r="AT36" s="65" t="n">
        <f aca="false">'Capital Expenditure'!AT$23-AT23</f>
        <v>0</v>
      </c>
      <c r="AU36" s="65" t="n">
        <f aca="false">'Capital Expenditure'!AU$23-AU23</f>
        <v>0</v>
      </c>
      <c r="AV36" s="65" t="n">
        <f aca="false">'Capital Expenditure'!AV$23-AV23</f>
        <v>0</v>
      </c>
      <c r="AW36" s="65" t="n">
        <f aca="false">'Capital Expenditure'!AW$23-AW23</f>
        <v>0</v>
      </c>
      <c r="AX36" s="65" t="n">
        <f aca="false">'Capital Expenditure'!AX$23-AX23</f>
        <v>0</v>
      </c>
      <c r="AY36" s="65" t="n">
        <f aca="false">'Capital Expenditure'!AY$23-AY23</f>
        <v>0</v>
      </c>
      <c r="AZ36" s="65" t="n">
        <f aca="false">'Capital Expenditure'!AZ$23-AZ23</f>
        <v>0</v>
      </c>
      <c r="BA36" s="65" t="n">
        <f aca="false">'Capital Expenditure'!BA$23-BA23</f>
        <v>0</v>
      </c>
      <c r="BB36" s="64" t="n">
        <f aca="false">BN36</f>
        <v>0</v>
      </c>
      <c r="BC36" s="65" t="n">
        <f aca="false">'Capital Expenditure'!BC$23-BC23</f>
        <v>0</v>
      </c>
      <c r="BD36" s="65" t="n">
        <f aca="false">'Capital Expenditure'!BD$23-BD23</f>
        <v>0</v>
      </c>
      <c r="BE36" s="65" t="n">
        <f aca="false">'Capital Expenditure'!BE$23-BE23</f>
        <v>0</v>
      </c>
      <c r="BF36" s="65" t="n">
        <f aca="false">'Capital Expenditure'!BF$23-BF23</f>
        <v>0</v>
      </c>
      <c r="BG36" s="65" t="n">
        <f aca="false">'Capital Expenditure'!BG$23-BG23</f>
        <v>0</v>
      </c>
      <c r="BH36" s="65" t="n">
        <f aca="false">'Capital Expenditure'!BH$23-BH23</f>
        <v>0</v>
      </c>
      <c r="BI36" s="65" t="n">
        <f aca="false">'Capital Expenditure'!BI$23-BI23</f>
        <v>0</v>
      </c>
      <c r="BJ36" s="65" t="n">
        <f aca="false">'Capital Expenditure'!BJ$23-BJ23</f>
        <v>0</v>
      </c>
      <c r="BK36" s="65" t="n">
        <f aca="false">'Capital Expenditure'!BK$23-BK23</f>
        <v>0</v>
      </c>
      <c r="BL36" s="65" t="n">
        <f aca="false">'Capital Expenditure'!BL$23-BL23</f>
        <v>0</v>
      </c>
      <c r="BM36" s="65" t="n">
        <f aca="false">'Capital Expenditure'!BM$23-BM23</f>
        <v>0</v>
      </c>
      <c r="BN36" s="65" t="n">
        <f aca="false">'Capital Expenditure'!BN$23-BN23</f>
        <v>0</v>
      </c>
    </row>
    <row r="37" customFormat="false" ht="15" hidden="false" customHeight="false" outlineLevel="0" collapsed="false">
      <c r="A37" s="12" t="s">
        <v>474</v>
      </c>
      <c r="B37" s="64" t="n">
        <f aca="false">N37</f>
        <v>1741.66666666667</v>
      </c>
      <c r="C37" s="65" t="n">
        <f aca="false">'Capital Expenditure'!C$24-C24</f>
        <v>0</v>
      </c>
      <c r="D37" s="65" t="n">
        <f aca="false">'Capital Expenditure'!D$24-D24</f>
        <v>2200</v>
      </c>
      <c r="E37" s="65" t="n">
        <f aca="false">'Capital Expenditure'!E$24-E24</f>
        <v>2154.16666666667</v>
      </c>
      <c r="F37" s="65" t="n">
        <f aca="false">'Capital Expenditure'!F$24-F24</f>
        <v>2108.33333333333</v>
      </c>
      <c r="G37" s="65" t="n">
        <f aca="false">'Capital Expenditure'!G$24-G24</f>
        <v>2062.5</v>
      </c>
      <c r="H37" s="65" t="n">
        <f aca="false">'Capital Expenditure'!H$24-H24</f>
        <v>2016.66666666667</v>
      </c>
      <c r="I37" s="65" t="n">
        <f aca="false">'Capital Expenditure'!I$24-I24</f>
        <v>1970.83333333333</v>
      </c>
      <c r="J37" s="65" t="n">
        <f aca="false">'Capital Expenditure'!J$24-J24</f>
        <v>1925</v>
      </c>
      <c r="K37" s="65" t="n">
        <f aca="false">'Capital Expenditure'!K$24-K24</f>
        <v>1879.16666666667</v>
      </c>
      <c r="L37" s="65" t="n">
        <f aca="false">'Capital Expenditure'!L$24-L24</f>
        <v>1833.33333333333</v>
      </c>
      <c r="M37" s="65" t="n">
        <f aca="false">'Capital Expenditure'!M$24-M24</f>
        <v>1787.5</v>
      </c>
      <c r="N37" s="65" t="n">
        <f aca="false">'Capital Expenditure'!N$24-N24</f>
        <v>1741.66666666667</v>
      </c>
      <c r="O37" s="64" t="n">
        <f aca="false">AA37</f>
        <v>1191.66666666667</v>
      </c>
      <c r="P37" s="65" t="n">
        <f aca="false">'Capital Expenditure'!P$24-P24</f>
        <v>1695.83333333333</v>
      </c>
      <c r="Q37" s="65" t="n">
        <f aca="false">'Capital Expenditure'!Q$24-Q24</f>
        <v>1650</v>
      </c>
      <c r="R37" s="65" t="n">
        <f aca="false">'Capital Expenditure'!R$24-R24</f>
        <v>1604.16666666667</v>
      </c>
      <c r="S37" s="65" t="n">
        <f aca="false">'Capital Expenditure'!S$24-S24</f>
        <v>1558.33333333333</v>
      </c>
      <c r="T37" s="65" t="n">
        <f aca="false">'Capital Expenditure'!T$24-T24</f>
        <v>1512.5</v>
      </c>
      <c r="U37" s="65" t="n">
        <f aca="false">'Capital Expenditure'!U$24-U24</f>
        <v>1466.66666666667</v>
      </c>
      <c r="V37" s="65" t="n">
        <f aca="false">'Capital Expenditure'!V$24-V24</f>
        <v>1420.83333333333</v>
      </c>
      <c r="W37" s="65" t="n">
        <f aca="false">'Capital Expenditure'!W$24-W24</f>
        <v>1375</v>
      </c>
      <c r="X37" s="65" t="n">
        <f aca="false">'Capital Expenditure'!X$24-X24</f>
        <v>1329.16666666667</v>
      </c>
      <c r="Y37" s="65" t="n">
        <f aca="false">'Capital Expenditure'!Y$24-Y24</f>
        <v>1283.33333333333</v>
      </c>
      <c r="Z37" s="65" t="n">
        <f aca="false">'Capital Expenditure'!Z$24-Z24</f>
        <v>1237.5</v>
      </c>
      <c r="AA37" s="65" t="n">
        <f aca="false">'Capital Expenditure'!AA$24-AA24</f>
        <v>1191.66666666667</v>
      </c>
      <c r="AB37" s="64" t="n">
        <f aca="false">AN37</f>
        <v>641.666666666667</v>
      </c>
      <c r="AC37" s="65" t="n">
        <f aca="false">'Capital Expenditure'!AC$24-AC24</f>
        <v>1145.83333333333</v>
      </c>
      <c r="AD37" s="65" t="n">
        <f aca="false">'Capital Expenditure'!AD$24-AD24</f>
        <v>1100</v>
      </c>
      <c r="AE37" s="65" t="n">
        <f aca="false">'Capital Expenditure'!AE$24-AE24</f>
        <v>1054.16666666667</v>
      </c>
      <c r="AF37" s="65" t="n">
        <f aca="false">'Capital Expenditure'!AF$24-AF24</f>
        <v>1008.33333333333</v>
      </c>
      <c r="AG37" s="65" t="n">
        <f aca="false">'Capital Expenditure'!AG$24-AG24</f>
        <v>962.5</v>
      </c>
      <c r="AH37" s="65" t="n">
        <f aca="false">'Capital Expenditure'!AH$24-AH24</f>
        <v>916.666666666667</v>
      </c>
      <c r="AI37" s="65" t="n">
        <f aca="false">'Capital Expenditure'!AI$24-AI24</f>
        <v>870.833333333334</v>
      </c>
      <c r="AJ37" s="65" t="n">
        <f aca="false">'Capital Expenditure'!AJ$24-AJ24</f>
        <v>825</v>
      </c>
      <c r="AK37" s="65" t="n">
        <f aca="false">'Capital Expenditure'!AK$24-AK24</f>
        <v>779.166666666667</v>
      </c>
      <c r="AL37" s="65" t="n">
        <f aca="false">'Capital Expenditure'!AL$24-AL24</f>
        <v>733.333333333334</v>
      </c>
      <c r="AM37" s="65" t="n">
        <f aca="false">'Capital Expenditure'!AM$24-AM24</f>
        <v>687.500000000001</v>
      </c>
      <c r="AN37" s="65" t="n">
        <f aca="false">'Capital Expenditure'!AN$24-AN24</f>
        <v>641.666666666667</v>
      </c>
      <c r="AO37" s="64" t="n">
        <f aca="false">BA37</f>
        <v>91.6666666666679</v>
      </c>
      <c r="AP37" s="65" t="n">
        <f aca="false">'Capital Expenditure'!AP$24-AP24</f>
        <v>595.833333333334</v>
      </c>
      <c r="AQ37" s="65" t="n">
        <f aca="false">'Capital Expenditure'!AQ$24-AQ24</f>
        <v>550.000000000001</v>
      </c>
      <c r="AR37" s="65" t="n">
        <f aca="false">'Capital Expenditure'!AR$24-AR24</f>
        <v>504.166666666667</v>
      </c>
      <c r="AS37" s="65" t="n">
        <f aca="false">'Capital Expenditure'!AS$24-AS24</f>
        <v>458.333333333334</v>
      </c>
      <c r="AT37" s="65" t="n">
        <f aca="false">'Capital Expenditure'!AT$24-AT24</f>
        <v>412.500000000001</v>
      </c>
      <c r="AU37" s="65" t="n">
        <f aca="false">'Capital Expenditure'!AU$24-AU24</f>
        <v>366.666666666668</v>
      </c>
      <c r="AV37" s="65" t="n">
        <f aca="false">'Capital Expenditure'!AV$24-AV24</f>
        <v>320.833333333334</v>
      </c>
      <c r="AW37" s="65" t="n">
        <f aca="false">'Capital Expenditure'!AW$24-AW24</f>
        <v>275.000000000001</v>
      </c>
      <c r="AX37" s="65" t="n">
        <f aca="false">'Capital Expenditure'!AX$24-AX24</f>
        <v>229.166666666668</v>
      </c>
      <c r="AY37" s="65" t="n">
        <f aca="false">'Capital Expenditure'!AY$24-AY24</f>
        <v>183.333333333335</v>
      </c>
      <c r="AZ37" s="65" t="n">
        <f aca="false">'Capital Expenditure'!AZ$24-AZ24</f>
        <v>137.500000000001</v>
      </c>
      <c r="BA37" s="65" t="n">
        <f aca="false">'Capital Expenditure'!BA$24-BA24</f>
        <v>91.6666666666679</v>
      </c>
      <c r="BB37" s="64" t="n">
        <f aca="false">BN37</f>
        <v>0</v>
      </c>
      <c r="BC37" s="65" t="n">
        <f aca="false">'Capital Expenditure'!BC$24-BC24</f>
        <v>45.8333333333344</v>
      </c>
      <c r="BD37" s="65" t="n">
        <f aca="false">'Capital Expenditure'!BD$24-BD24</f>
        <v>0</v>
      </c>
      <c r="BE37" s="65" t="n">
        <f aca="false">'Capital Expenditure'!BE$24-BE24</f>
        <v>0</v>
      </c>
      <c r="BF37" s="65" t="n">
        <f aca="false">'Capital Expenditure'!BF$24-BF24</f>
        <v>0</v>
      </c>
      <c r="BG37" s="65" t="n">
        <f aca="false">'Capital Expenditure'!BG$24-BG24</f>
        <v>0</v>
      </c>
      <c r="BH37" s="65" t="n">
        <f aca="false">'Capital Expenditure'!BH$24-BH24</f>
        <v>0</v>
      </c>
      <c r="BI37" s="65" t="n">
        <f aca="false">'Capital Expenditure'!BI$24-BI24</f>
        <v>0</v>
      </c>
      <c r="BJ37" s="65" t="n">
        <f aca="false">'Capital Expenditure'!BJ$24-BJ24</f>
        <v>0</v>
      </c>
      <c r="BK37" s="65" t="n">
        <f aca="false">'Capital Expenditure'!BK$24-BK24</f>
        <v>0</v>
      </c>
      <c r="BL37" s="65" t="n">
        <f aca="false">'Capital Expenditure'!BL$24-BL24</f>
        <v>0</v>
      </c>
      <c r="BM37" s="65" t="n">
        <f aca="false">'Capital Expenditure'!BM$24-BM24</f>
        <v>0</v>
      </c>
      <c r="BN37" s="65" t="n">
        <f aca="false">'Capital Expenditure'!BN$24-BN24</f>
        <v>0</v>
      </c>
    </row>
    <row r="38" customFormat="false" ht="15" hidden="false" customHeight="false" outlineLevel="0" collapsed="false">
      <c r="A38" s="12" t="s">
        <v>475</v>
      </c>
      <c r="B38" s="64" t="n">
        <f aca="false">N38</f>
        <v>462.5</v>
      </c>
      <c r="C38" s="65" t="n">
        <f aca="false">'Capital Expenditure'!C$25-C25</f>
        <v>600</v>
      </c>
      <c r="D38" s="65" t="n">
        <f aca="false">'Capital Expenditure'!D$25-D25</f>
        <v>587.5</v>
      </c>
      <c r="E38" s="65" t="n">
        <f aca="false">'Capital Expenditure'!E$25-E25</f>
        <v>575</v>
      </c>
      <c r="F38" s="65" t="n">
        <f aca="false">'Capital Expenditure'!F$25-F25</f>
        <v>562.5</v>
      </c>
      <c r="G38" s="65" t="n">
        <f aca="false">'Capital Expenditure'!G$25-G25</f>
        <v>550</v>
      </c>
      <c r="H38" s="65" t="n">
        <f aca="false">'Capital Expenditure'!H$25-H25</f>
        <v>537.5</v>
      </c>
      <c r="I38" s="65" t="n">
        <f aca="false">'Capital Expenditure'!I$25-I25</f>
        <v>525</v>
      </c>
      <c r="J38" s="65" t="n">
        <f aca="false">'Capital Expenditure'!J$25-J25</f>
        <v>512.5</v>
      </c>
      <c r="K38" s="65" t="n">
        <f aca="false">'Capital Expenditure'!K$25-K25</f>
        <v>500</v>
      </c>
      <c r="L38" s="65" t="n">
        <f aca="false">'Capital Expenditure'!L$25-L25</f>
        <v>487.5</v>
      </c>
      <c r="M38" s="65" t="n">
        <f aca="false">'Capital Expenditure'!M$25-M25</f>
        <v>475</v>
      </c>
      <c r="N38" s="65" t="n">
        <f aca="false">'Capital Expenditure'!N$25-N25</f>
        <v>462.5</v>
      </c>
      <c r="O38" s="64" t="n">
        <f aca="false">AA38</f>
        <v>312.5</v>
      </c>
      <c r="P38" s="65" t="n">
        <f aca="false">'Capital Expenditure'!P$25-P25</f>
        <v>450</v>
      </c>
      <c r="Q38" s="65" t="n">
        <f aca="false">'Capital Expenditure'!Q$25-Q25</f>
        <v>437.5</v>
      </c>
      <c r="R38" s="65" t="n">
        <f aca="false">'Capital Expenditure'!R$25-R25</f>
        <v>425</v>
      </c>
      <c r="S38" s="65" t="n">
        <f aca="false">'Capital Expenditure'!S$25-S25</f>
        <v>412.5</v>
      </c>
      <c r="T38" s="65" t="n">
        <f aca="false">'Capital Expenditure'!T$25-T25</f>
        <v>400</v>
      </c>
      <c r="U38" s="65" t="n">
        <f aca="false">'Capital Expenditure'!U$25-U25</f>
        <v>387.5</v>
      </c>
      <c r="V38" s="65" t="n">
        <f aca="false">'Capital Expenditure'!V$25-V25</f>
        <v>375</v>
      </c>
      <c r="W38" s="65" t="n">
        <f aca="false">'Capital Expenditure'!W$25-W25</f>
        <v>362.5</v>
      </c>
      <c r="X38" s="65" t="n">
        <f aca="false">'Capital Expenditure'!X$25-X25</f>
        <v>350</v>
      </c>
      <c r="Y38" s="65" t="n">
        <f aca="false">'Capital Expenditure'!Y$25-Y25</f>
        <v>337.5</v>
      </c>
      <c r="Z38" s="65" t="n">
        <f aca="false">'Capital Expenditure'!Z$25-Z25</f>
        <v>325</v>
      </c>
      <c r="AA38" s="65" t="n">
        <f aca="false">'Capital Expenditure'!AA$25-AA25</f>
        <v>312.5</v>
      </c>
      <c r="AB38" s="64" t="n">
        <f aca="false">AN38</f>
        <v>162.5</v>
      </c>
      <c r="AC38" s="65" t="n">
        <f aca="false">'Capital Expenditure'!AC$25-AC25</f>
        <v>300</v>
      </c>
      <c r="AD38" s="65" t="n">
        <f aca="false">'Capital Expenditure'!AD$25-AD25</f>
        <v>287.5</v>
      </c>
      <c r="AE38" s="65" t="n">
        <f aca="false">'Capital Expenditure'!AE$25-AE25</f>
        <v>275</v>
      </c>
      <c r="AF38" s="65" t="n">
        <f aca="false">'Capital Expenditure'!AF$25-AF25</f>
        <v>262.5</v>
      </c>
      <c r="AG38" s="65" t="n">
        <f aca="false">'Capital Expenditure'!AG$25-AG25</f>
        <v>250</v>
      </c>
      <c r="AH38" s="65" t="n">
        <f aca="false">'Capital Expenditure'!AH$25-AH25</f>
        <v>237.5</v>
      </c>
      <c r="AI38" s="65" t="n">
        <f aca="false">'Capital Expenditure'!AI$25-AI25</f>
        <v>225</v>
      </c>
      <c r="AJ38" s="65" t="n">
        <f aca="false">'Capital Expenditure'!AJ$25-AJ25</f>
        <v>212.5</v>
      </c>
      <c r="AK38" s="65" t="n">
        <f aca="false">'Capital Expenditure'!AK$25-AK25</f>
        <v>200</v>
      </c>
      <c r="AL38" s="65" t="n">
        <f aca="false">'Capital Expenditure'!AL$25-AL25</f>
        <v>187.5</v>
      </c>
      <c r="AM38" s="65" t="n">
        <f aca="false">'Capital Expenditure'!AM$25-AM25</f>
        <v>175</v>
      </c>
      <c r="AN38" s="65" t="n">
        <f aca="false">'Capital Expenditure'!AN$25-AN25</f>
        <v>162.5</v>
      </c>
      <c r="AO38" s="64" t="n">
        <f aca="false">BA38</f>
        <v>12.5</v>
      </c>
      <c r="AP38" s="65" t="n">
        <f aca="false">'Capital Expenditure'!AP$25-AP25</f>
        <v>150</v>
      </c>
      <c r="AQ38" s="65" t="n">
        <f aca="false">'Capital Expenditure'!AQ$25-AQ25</f>
        <v>137.5</v>
      </c>
      <c r="AR38" s="65" t="n">
        <f aca="false">'Capital Expenditure'!AR$25-AR25</f>
        <v>125</v>
      </c>
      <c r="AS38" s="65" t="n">
        <f aca="false">'Capital Expenditure'!AS$25-AS25</f>
        <v>112.5</v>
      </c>
      <c r="AT38" s="65" t="n">
        <f aca="false">'Capital Expenditure'!AT$25-AT25</f>
        <v>100</v>
      </c>
      <c r="AU38" s="65" t="n">
        <f aca="false">'Capital Expenditure'!AU$25-AU25</f>
        <v>87.5</v>
      </c>
      <c r="AV38" s="65" t="n">
        <f aca="false">'Capital Expenditure'!AV$25-AV25</f>
        <v>75</v>
      </c>
      <c r="AW38" s="65" t="n">
        <f aca="false">'Capital Expenditure'!AW$25-AW25</f>
        <v>62.5</v>
      </c>
      <c r="AX38" s="65" t="n">
        <f aca="false">'Capital Expenditure'!AX$25-AX25</f>
        <v>50</v>
      </c>
      <c r="AY38" s="65" t="n">
        <f aca="false">'Capital Expenditure'!AY$25-AY25</f>
        <v>37.5</v>
      </c>
      <c r="AZ38" s="65" t="n">
        <f aca="false">'Capital Expenditure'!AZ$25-AZ25</f>
        <v>25</v>
      </c>
      <c r="BA38" s="65" t="n">
        <f aca="false">'Capital Expenditure'!BA$25-BA25</f>
        <v>12.5</v>
      </c>
      <c r="BB38" s="64" t="n">
        <f aca="false">BN38</f>
        <v>0</v>
      </c>
      <c r="BC38" s="65" t="n">
        <f aca="false">'Capital Expenditure'!BC$25-BC25</f>
        <v>0</v>
      </c>
      <c r="BD38" s="65" t="n">
        <f aca="false">'Capital Expenditure'!BD$25-BD25</f>
        <v>0</v>
      </c>
      <c r="BE38" s="65" t="n">
        <f aca="false">'Capital Expenditure'!BE$25-BE25</f>
        <v>0</v>
      </c>
      <c r="BF38" s="65" t="n">
        <f aca="false">'Capital Expenditure'!BF$25-BF25</f>
        <v>0</v>
      </c>
      <c r="BG38" s="65" t="n">
        <f aca="false">'Capital Expenditure'!BG$25-BG25</f>
        <v>0</v>
      </c>
      <c r="BH38" s="65" t="n">
        <f aca="false">'Capital Expenditure'!BH$25-BH25</f>
        <v>0</v>
      </c>
      <c r="BI38" s="65" t="n">
        <f aca="false">'Capital Expenditure'!BI$25-BI25</f>
        <v>0</v>
      </c>
      <c r="BJ38" s="65" t="n">
        <f aca="false">'Capital Expenditure'!BJ$25-BJ25</f>
        <v>0</v>
      </c>
      <c r="BK38" s="65" t="n">
        <f aca="false">'Capital Expenditure'!BK$25-BK25</f>
        <v>0</v>
      </c>
      <c r="BL38" s="65" t="n">
        <f aca="false">'Capital Expenditure'!BL$25-BL25</f>
        <v>0</v>
      </c>
      <c r="BM38" s="65" t="n">
        <f aca="false">'Capital Expenditure'!BM$25-BM25</f>
        <v>0</v>
      </c>
      <c r="BN38" s="65" t="n">
        <f aca="false">'Capital Expenditure'!BN$25-BN25</f>
        <v>0</v>
      </c>
    </row>
    <row r="39" customFormat="false" ht="15" hidden="false" customHeight="false" outlineLevel="0" collapsed="false">
      <c r="A39" s="12" t="s">
        <v>476</v>
      </c>
      <c r="B39" s="64" t="n">
        <f aca="false">N39</f>
        <v>2450</v>
      </c>
      <c r="C39" s="65" t="n">
        <f aca="false">'Capital Expenditure'!C$26-C26</f>
        <v>3000</v>
      </c>
      <c r="D39" s="65" t="n">
        <f aca="false">'Capital Expenditure'!D$26-D26</f>
        <v>2950</v>
      </c>
      <c r="E39" s="65" t="n">
        <f aca="false">'Capital Expenditure'!E$26-E26</f>
        <v>2900</v>
      </c>
      <c r="F39" s="65" t="n">
        <f aca="false">'Capital Expenditure'!F$26-F26</f>
        <v>2850</v>
      </c>
      <c r="G39" s="65" t="n">
        <f aca="false">'Capital Expenditure'!G$26-G26</f>
        <v>2800</v>
      </c>
      <c r="H39" s="65" t="n">
        <f aca="false">'Capital Expenditure'!H$26-H26</f>
        <v>2750</v>
      </c>
      <c r="I39" s="65" t="n">
        <f aca="false">'Capital Expenditure'!I$26-I26</f>
        <v>2700</v>
      </c>
      <c r="J39" s="65" t="n">
        <f aca="false">'Capital Expenditure'!J$26-J26</f>
        <v>2650</v>
      </c>
      <c r="K39" s="65" t="n">
        <f aca="false">'Capital Expenditure'!K$26-K26</f>
        <v>2600</v>
      </c>
      <c r="L39" s="65" t="n">
        <f aca="false">'Capital Expenditure'!L$26-L26</f>
        <v>2550</v>
      </c>
      <c r="M39" s="65" t="n">
        <f aca="false">'Capital Expenditure'!M$26-M26</f>
        <v>2500</v>
      </c>
      <c r="N39" s="65" t="n">
        <f aca="false">'Capital Expenditure'!N$26-N26</f>
        <v>2450</v>
      </c>
      <c r="O39" s="64" t="n">
        <f aca="false">AA39</f>
        <v>1850</v>
      </c>
      <c r="P39" s="65" t="n">
        <f aca="false">'Capital Expenditure'!P$26-P26</f>
        <v>2400</v>
      </c>
      <c r="Q39" s="65" t="n">
        <f aca="false">'Capital Expenditure'!Q$26-Q26</f>
        <v>2350</v>
      </c>
      <c r="R39" s="65" t="n">
        <f aca="false">'Capital Expenditure'!R$26-R26</f>
        <v>2300</v>
      </c>
      <c r="S39" s="65" t="n">
        <f aca="false">'Capital Expenditure'!S$26-S26</f>
        <v>2250</v>
      </c>
      <c r="T39" s="65" t="n">
        <f aca="false">'Capital Expenditure'!T$26-T26</f>
        <v>2200</v>
      </c>
      <c r="U39" s="65" t="n">
        <f aca="false">'Capital Expenditure'!U$26-U26</f>
        <v>2150</v>
      </c>
      <c r="V39" s="65" t="n">
        <f aca="false">'Capital Expenditure'!V$26-V26</f>
        <v>2100</v>
      </c>
      <c r="W39" s="65" t="n">
        <f aca="false">'Capital Expenditure'!W$26-W26</f>
        <v>2050</v>
      </c>
      <c r="X39" s="65" t="n">
        <f aca="false">'Capital Expenditure'!X$26-X26</f>
        <v>2000</v>
      </c>
      <c r="Y39" s="65" t="n">
        <f aca="false">'Capital Expenditure'!Y$26-Y26</f>
        <v>1950</v>
      </c>
      <c r="Z39" s="65" t="n">
        <f aca="false">'Capital Expenditure'!Z$26-Z26</f>
        <v>1900</v>
      </c>
      <c r="AA39" s="65" t="n">
        <f aca="false">'Capital Expenditure'!AA$26-AA26</f>
        <v>1850</v>
      </c>
      <c r="AB39" s="64" t="n">
        <f aca="false">AN39</f>
        <v>1250</v>
      </c>
      <c r="AC39" s="65" t="n">
        <f aca="false">'Capital Expenditure'!AC$26-AC26</f>
        <v>1800</v>
      </c>
      <c r="AD39" s="65" t="n">
        <f aca="false">'Capital Expenditure'!AD$26-AD26</f>
        <v>1750</v>
      </c>
      <c r="AE39" s="65" t="n">
        <f aca="false">'Capital Expenditure'!AE$26-AE26</f>
        <v>1700</v>
      </c>
      <c r="AF39" s="65" t="n">
        <f aca="false">'Capital Expenditure'!AF$26-AF26</f>
        <v>1650</v>
      </c>
      <c r="AG39" s="65" t="n">
        <f aca="false">'Capital Expenditure'!AG$26-AG26</f>
        <v>1600</v>
      </c>
      <c r="AH39" s="65" t="n">
        <f aca="false">'Capital Expenditure'!AH$26-AH26</f>
        <v>1550</v>
      </c>
      <c r="AI39" s="65" t="n">
        <f aca="false">'Capital Expenditure'!AI$26-AI26</f>
        <v>1500</v>
      </c>
      <c r="AJ39" s="65" t="n">
        <f aca="false">'Capital Expenditure'!AJ$26-AJ26</f>
        <v>1450</v>
      </c>
      <c r="AK39" s="65" t="n">
        <f aca="false">'Capital Expenditure'!AK$26-AK26</f>
        <v>1400</v>
      </c>
      <c r="AL39" s="65" t="n">
        <f aca="false">'Capital Expenditure'!AL$26-AL26</f>
        <v>1350</v>
      </c>
      <c r="AM39" s="65" t="n">
        <f aca="false">'Capital Expenditure'!AM$26-AM26</f>
        <v>1300</v>
      </c>
      <c r="AN39" s="65" t="n">
        <f aca="false">'Capital Expenditure'!AN$26-AN26</f>
        <v>1250</v>
      </c>
      <c r="AO39" s="64" t="n">
        <f aca="false">BA39</f>
        <v>650</v>
      </c>
      <c r="AP39" s="65" t="n">
        <f aca="false">'Capital Expenditure'!AP$26-AP26</f>
        <v>1200</v>
      </c>
      <c r="AQ39" s="65" t="n">
        <f aca="false">'Capital Expenditure'!AQ$26-AQ26</f>
        <v>1150</v>
      </c>
      <c r="AR39" s="65" t="n">
        <f aca="false">'Capital Expenditure'!AR$26-AR26</f>
        <v>1100</v>
      </c>
      <c r="AS39" s="65" t="n">
        <f aca="false">'Capital Expenditure'!AS$26-AS26</f>
        <v>1050</v>
      </c>
      <c r="AT39" s="65" t="n">
        <f aca="false">'Capital Expenditure'!AT$26-AT26</f>
        <v>1000</v>
      </c>
      <c r="AU39" s="65" t="n">
        <f aca="false">'Capital Expenditure'!AU$26-AU26</f>
        <v>950</v>
      </c>
      <c r="AV39" s="65" t="n">
        <f aca="false">'Capital Expenditure'!AV$26-AV26</f>
        <v>900</v>
      </c>
      <c r="AW39" s="65" t="n">
        <f aca="false">'Capital Expenditure'!AW$26-AW26</f>
        <v>850</v>
      </c>
      <c r="AX39" s="65" t="n">
        <f aca="false">'Capital Expenditure'!AX$26-AX26</f>
        <v>800</v>
      </c>
      <c r="AY39" s="65" t="n">
        <f aca="false">'Capital Expenditure'!AY$26-AY26</f>
        <v>750</v>
      </c>
      <c r="AZ39" s="65" t="n">
        <f aca="false">'Capital Expenditure'!AZ$26-AZ26</f>
        <v>700</v>
      </c>
      <c r="BA39" s="65" t="n">
        <f aca="false">'Capital Expenditure'!BA$26-BA26</f>
        <v>650</v>
      </c>
      <c r="BB39" s="64" t="n">
        <f aca="false">BN39</f>
        <v>50</v>
      </c>
      <c r="BC39" s="65" t="n">
        <f aca="false">'Capital Expenditure'!BC$26-BC26</f>
        <v>600</v>
      </c>
      <c r="BD39" s="65" t="n">
        <f aca="false">'Capital Expenditure'!BD$26-BD26</f>
        <v>550</v>
      </c>
      <c r="BE39" s="65" t="n">
        <f aca="false">'Capital Expenditure'!BE$26-BE26</f>
        <v>500</v>
      </c>
      <c r="BF39" s="65" t="n">
        <f aca="false">'Capital Expenditure'!BF$26-BF26</f>
        <v>450</v>
      </c>
      <c r="BG39" s="65" t="n">
        <f aca="false">'Capital Expenditure'!BG$26-BG26</f>
        <v>400</v>
      </c>
      <c r="BH39" s="65" t="n">
        <f aca="false">'Capital Expenditure'!BH$26-BH26</f>
        <v>350</v>
      </c>
      <c r="BI39" s="65" t="n">
        <f aca="false">'Capital Expenditure'!BI$26-BI26</f>
        <v>300</v>
      </c>
      <c r="BJ39" s="65" t="n">
        <f aca="false">'Capital Expenditure'!BJ$26-BJ26</f>
        <v>250</v>
      </c>
      <c r="BK39" s="65" t="n">
        <f aca="false">'Capital Expenditure'!BK$26-BK26</f>
        <v>200</v>
      </c>
      <c r="BL39" s="65" t="n">
        <f aca="false">'Capital Expenditure'!BL$26-BL26</f>
        <v>150</v>
      </c>
      <c r="BM39" s="65" t="n">
        <f aca="false">'Capital Expenditure'!BM$26-BM26</f>
        <v>100</v>
      </c>
      <c r="BN39" s="65" t="n">
        <f aca="false">'Capital Expenditure'!BN$26-BN26</f>
        <v>50</v>
      </c>
    </row>
    <row r="40" customFormat="false" ht="15" hidden="false" customHeight="false" outlineLevel="0" collapsed="false">
      <c r="A40" s="12" t="s">
        <v>477</v>
      </c>
      <c r="B40" s="64" t="n">
        <f aca="false">N40</f>
        <v>0</v>
      </c>
      <c r="C40" s="65" t="n">
        <f aca="false">'Capital Expenditure'!C$27-C27</f>
        <v>0</v>
      </c>
      <c r="D40" s="65" t="n">
        <f aca="false">'Capital Expenditure'!D$27-D27</f>
        <v>0</v>
      </c>
      <c r="E40" s="65" t="n">
        <f aca="false">'Capital Expenditure'!E$27-E27</f>
        <v>0</v>
      </c>
      <c r="F40" s="65" t="n">
        <f aca="false">'Capital Expenditure'!F$27-F27</f>
        <v>0</v>
      </c>
      <c r="G40" s="65" t="n">
        <f aca="false">'Capital Expenditure'!G$27-G27</f>
        <v>0</v>
      </c>
      <c r="H40" s="65" t="n">
        <f aca="false">'Capital Expenditure'!H$27-H27</f>
        <v>0</v>
      </c>
      <c r="I40" s="65" t="n">
        <f aca="false">'Capital Expenditure'!I$27-I27</f>
        <v>0</v>
      </c>
      <c r="J40" s="65" t="n">
        <f aca="false">'Capital Expenditure'!J$27-J27</f>
        <v>0</v>
      </c>
      <c r="K40" s="65" t="n">
        <f aca="false">'Capital Expenditure'!K$27-K27</f>
        <v>0</v>
      </c>
      <c r="L40" s="65" t="n">
        <f aca="false">'Capital Expenditure'!L$27-L27</f>
        <v>0</v>
      </c>
      <c r="M40" s="65" t="n">
        <f aca="false">'Capital Expenditure'!M$27-M27</f>
        <v>0</v>
      </c>
      <c r="N40" s="65" t="n">
        <f aca="false">'Capital Expenditure'!N$27-N27</f>
        <v>0</v>
      </c>
      <c r="O40" s="64" t="n">
        <f aca="false">AA40</f>
        <v>0</v>
      </c>
      <c r="P40" s="65" t="n">
        <f aca="false">'Capital Expenditure'!P$27-P27</f>
        <v>0</v>
      </c>
      <c r="Q40" s="65" t="n">
        <f aca="false">'Capital Expenditure'!Q$27-Q27</f>
        <v>0</v>
      </c>
      <c r="R40" s="65" t="n">
        <f aca="false">'Capital Expenditure'!R$27-R27</f>
        <v>0</v>
      </c>
      <c r="S40" s="65" t="n">
        <f aca="false">'Capital Expenditure'!S$27-S27</f>
        <v>0</v>
      </c>
      <c r="T40" s="65" t="n">
        <f aca="false">'Capital Expenditure'!T$27-T27</f>
        <v>0</v>
      </c>
      <c r="U40" s="65" t="n">
        <f aca="false">'Capital Expenditure'!U$27-U27</f>
        <v>0</v>
      </c>
      <c r="V40" s="65" t="n">
        <f aca="false">'Capital Expenditure'!V$27-V27</f>
        <v>0</v>
      </c>
      <c r="W40" s="65" t="n">
        <f aca="false">'Capital Expenditure'!W$27-W27</f>
        <v>0</v>
      </c>
      <c r="X40" s="65" t="n">
        <f aca="false">'Capital Expenditure'!X$27-X27</f>
        <v>0</v>
      </c>
      <c r="Y40" s="65" t="n">
        <f aca="false">'Capital Expenditure'!Y$27-Y27</f>
        <v>0</v>
      </c>
      <c r="Z40" s="65" t="n">
        <f aca="false">'Capital Expenditure'!Z$27-Z27</f>
        <v>0</v>
      </c>
      <c r="AA40" s="65" t="n">
        <f aca="false">'Capital Expenditure'!AA$27-AA27</f>
        <v>0</v>
      </c>
      <c r="AB40" s="64" t="n">
        <f aca="false">AN40</f>
        <v>3266.66666666667</v>
      </c>
      <c r="AC40" s="65" t="n">
        <f aca="false">'Capital Expenditure'!AC$27-AC27</f>
        <v>4000</v>
      </c>
      <c r="AD40" s="65" t="n">
        <f aca="false">'Capital Expenditure'!AD$27-AD27</f>
        <v>3933.33333333333</v>
      </c>
      <c r="AE40" s="65" t="n">
        <f aca="false">'Capital Expenditure'!AE$27-AE27</f>
        <v>3866.66666666667</v>
      </c>
      <c r="AF40" s="65" t="n">
        <f aca="false">'Capital Expenditure'!AF$27-AF27</f>
        <v>3800</v>
      </c>
      <c r="AG40" s="65" t="n">
        <f aca="false">'Capital Expenditure'!AG$27-AG27</f>
        <v>3733.33333333333</v>
      </c>
      <c r="AH40" s="65" t="n">
        <f aca="false">'Capital Expenditure'!AH$27-AH27</f>
        <v>3666.66666666667</v>
      </c>
      <c r="AI40" s="65" t="n">
        <f aca="false">'Capital Expenditure'!AI$27-AI27</f>
        <v>3600</v>
      </c>
      <c r="AJ40" s="65" t="n">
        <f aca="false">'Capital Expenditure'!AJ$27-AJ27</f>
        <v>3533.33333333333</v>
      </c>
      <c r="AK40" s="65" t="n">
        <f aca="false">'Capital Expenditure'!AK$27-AK27</f>
        <v>3466.66666666667</v>
      </c>
      <c r="AL40" s="65" t="n">
        <f aca="false">'Capital Expenditure'!AL$27-AL27</f>
        <v>3400</v>
      </c>
      <c r="AM40" s="65" t="n">
        <f aca="false">'Capital Expenditure'!AM$27-AM27</f>
        <v>3333.33333333333</v>
      </c>
      <c r="AN40" s="65" t="n">
        <f aca="false">'Capital Expenditure'!AN$27-AN27</f>
        <v>3266.66666666667</v>
      </c>
      <c r="AO40" s="64" t="n">
        <f aca="false">BA40</f>
        <v>2466.66666666667</v>
      </c>
      <c r="AP40" s="65" t="n">
        <f aca="false">'Capital Expenditure'!AP$27-AP27</f>
        <v>3200</v>
      </c>
      <c r="AQ40" s="65" t="n">
        <f aca="false">'Capital Expenditure'!AQ$27-AQ27</f>
        <v>3133.33333333333</v>
      </c>
      <c r="AR40" s="65" t="n">
        <f aca="false">'Capital Expenditure'!AR$27-AR27</f>
        <v>3066.66666666667</v>
      </c>
      <c r="AS40" s="65" t="n">
        <f aca="false">'Capital Expenditure'!AS$27-AS27</f>
        <v>3000</v>
      </c>
      <c r="AT40" s="65" t="n">
        <f aca="false">'Capital Expenditure'!AT$27-AT27</f>
        <v>2933.33333333333</v>
      </c>
      <c r="AU40" s="65" t="n">
        <f aca="false">'Capital Expenditure'!AU$27-AU27</f>
        <v>2866.66666666667</v>
      </c>
      <c r="AV40" s="65" t="n">
        <f aca="false">'Capital Expenditure'!AV$27-AV27</f>
        <v>2800</v>
      </c>
      <c r="AW40" s="65" t="n">
        <f aca="false">'Capital Expenditure'!AW$27-AW27</f>
        <v>2733.33333333333</v>
      </c>
      <c r="AX40" s="65" t="n">
        <f aca="false">'Capital Expenditure'!AX$27-AX27</f>
        <v>2666.66666666667</v>
      </c>
      <c r="AY40" s="65" t="n">
        <f aca="false">'Capital Expenditure'!AY$27-AY27</f>
        <v>2600</v>
      </c>
      <c r="AZ40" s="65" t="n">
        <f aca="false">'Capital Expenditure'!AZ$27-AZ27</f>
        <v>2533.33333333333</v>
      </c>
      <c r="BA40" s="65" t="n">
        <f aca="false">'Capital Expenditure'!BA$27-BA27</f>
        <v>2466.66666666667</v>
      </c>
      <c r="BB40" s="64" t="n">
        <f aca="false">BN40</f>
        <v>1666.66666666667</v>
      </c>
      <c r="BC40" s="65" t="n">
        <f aca="false">'Capital Expenditure'!BC$27-BC27</f>
        <v>2400</v>
      </c>
      <c r="BD40" s="65" t="n">
        <f aca="false">'Capital Expenditure'!BD$27-BD27</f>
        <v>2333.33333333333</v>
      </c>
      <c r="BE40" s="65" t="n">
        <f aca="false">'Capital Expenditure'!BE$27-BE27</f>
        <v>2266.66666666667</v>
      </c>
      <c r="BF40" s="65" t="n">
        <f aca="false">'Capital Expenditure'!BF$27-BF27</f>
        <v>2200</v>
      </c>
      <c r="BG40" s="65" t="n">
        <f aca="false">'Capital Expenditure'!BG$27-BG27</f>
        <v>2133.33333333333</v>
      </c>
      <c r="BH40" s="65" t="n">
        <f aca="false">'Capital Expenditure'!BH$27-BH27</f>
        <v>2066.66666666667</v>
      </c>
      <c r="BI40" s="65" t="n">
        <f aca="false">'Capital Expenditure'!BI$27-BI27</f>
        <v>2000</v>
      </c>
      <c r="BJ40" s="65" t="n">
        <f aca="false">'Capital Expenditure'!BJ$27-BJ27</f>
        <v>1933.33333333333</v>
      </c>
      <c r="BK40" s="65" t="n">
        <f aca="false">'Capital Expenditure'!BK$27-BK27</f>
        <v>1866.66666666667</v>
      </c>
      <c r="BL40" s="65" t="n">
        <f aca="false">'Capital Expenditure'!BL$27-BL27</f>
        <v>1800</v>
      </c>
      <c r="BM40" s="65" t="n">
        <f aca="false">'Capital Expenditure'!BM$27-BM27</f>
        <v>1733.33333333333</v>
      </c>
      <c r="BN40" s="65" t="n">
        <f aca="false">'Capital Expenditure'!BN$27-BN27</f>
        <v>1666.66666666667</v>
      </c>
    </row>
    <row r="41" customFormat="false" ht="15" hidden="false" customHeight="false" outlineLevel="0" collapsed="false">
      <c r="A41" s="12" t="s">
        <v>478</v>
      </c>
      <c r="B41" s="64" t="n">
        <f aca="false">N41</f>
        <v>0</v>
      </c>
      <c r="C41" s="65" t="n">
        <f aca="false">'Capital Expenditure'!C$28-C28</f>
        <v>0</v>
      </c>
      <c r="D41" s="65" t="n">
        <f aca="false">'Capital Expenditure'!D$28-D28</f>
        <v>0</v>
      </c>
      <c r="E41" s="65" t="n">
        <f aca="false">'Capital Expenditure'!E$28-E28</f>
        <v>0</v>
      </c>
      <c r="F41" s="65" t="n">
        <f aca="false">'Capital Expenditure'!F$28-F28</f>
        <v>0</v>
      </c>
      <c r="G41" s="65" t="n">
        <f aca="false">'Capital Expenditure'!G$28-G28</f>
        <v>0</v>
      </c>
      <c r="H41" s="65" t="n">
        <f aca="false">'Capital Expenditure'!H$28-H28</f>
        <v>0</v>
      </c>
      <c r="I41" s="65" t="n">
        <f aca="false">'Capital Expenditure'!I$28-I28</f>
        <v>0</v>
      </c>
      <c r="J41" s="65" t="n">
        <f aca="false">'Capital Expenditure'!J$28-J28</f>
        <v>0</v>
      </c>
      <c r="K41" s="65" t="n">
        <f aca="false">'Capital Expenditure'!K$28-K28</f>
        <v>0</v>
      </c>
      <c r="L41" s="65" t="n">
        <f aca="false">'Capital Expenditure'!L$28-L28</f>
        <v>0</v>
      </c>
      <c r="M41" s="65" t="n">
        <f aca="false">'Capital Expenditure'!M$28-M28</f>
        <v>0</v>
      </c>
      <c r="N41" s="65" t="n">
        <f aca="false">'Capital Expenditure'!N$28-N28</f>
        <v>0</v>
      </c>
      <c r="O41" s="64" t="n">
        <f aca="false">AA41</f>
        <v>0</v>
      </c>
      <c r="P41" s="65" t="n">
        <f aca="false">'Capital Expenditure'!P$28-P28</f>
        <v>0</v>
      </c>
      <c r="Q41" s="65" t="n">
        <f aca="false">'Capital Expenditure'!Q$28-Q28</f>
        <v>0</v>
      </c>
      <c r="R41" s="65" t="n">
        <f aca="false">'Capital Expenditure'!R$28-R28</f>
        <v>0</v>
      </c>
      <c r="S41" s="65" t="n">
        <f aca="false">'Capital Expenditure'!S$28-S28</f>
        <v>0</v>
      </c>
      <c r="T41" s="65" t="n">
        <f aca="false">'Capital Expenditure'!T$28-T28</f>
        <v>0</v>
      </c>
      <c r="U41" s="65" t="n">
        <f aca="false">'Capital Expenditure'!U$28-U28</f>
        <v>0</v>
      </c>
      <c r="V41" s="65" t="n">
        <f aca="false">'Capital Expenditure'!V$28-V28</f>
        <v>0</v>
      </c>
      <c r="W41" s="65" t="n">
        <f aca="false">'Capital Expenditure'!W$28-W28</f>
        <v>0</v>
      </c>
      <c r="X41" s="65" t="n">
        <f aca="false">'Capital Expenditure'!X$28-X28</f>
        <v>0</v>
      </c>
      <c r="Y41" s="65" t="n">
        <f aca="false">'Capital Expenditure'!Y$28-Y28</f>
        <v>0</v>
      </c>
      <c r="Z41" s="65" t="n">
        <f aca="false">'Capital Expenditure'!Z$28-Z28</f>
        <v>0</v>
      </c>
      <c r="AA41" s="65" t="n">
        <f aca="false">'Capital Expenditure'!AA$28-AA28</f>
        <v>0</v>
      </c>
      <c r="AB41" s="64" t="n">
        <f aca="false">AN41</f>
        <v>4900</v>
      </c>
      <c r="AC41" s="65" t="n">
        <f aca="false">'Capital Expenditure'!AC$28-AC28</f>
        <v>6000</v>
      </c>
      <c r="AD41" s="65" t="n">
        <f aca="false">'Capital Expenditure'!AD$28-AD28</f>
        <v>5900</v>
      </c>
      <c r="AE41" s="65" t="n">
        <f aca="false">'Capital Expenditure'!AE$28-AE28</f>
        <v>5800</v>
      </c>
      <c r="AF41" s="65" t="n">
        <f aca="false">'Capital Expenditure'!AF$28-AF28</f>
        <v>5700</v>
      </c>
      <c r="AG41" s="65" t="n">
        <f aca="false">'Capital Expenditure'!AG$28-AG28</f>
        <v>5600</v>
      </c>
      <c r="AH41" s="65" t="n">
        <f aca="false">'Capital Expenditure'!AH$28-AH28</f>
        <v>5500</v>
      </c>
      <c r="AI41" s="65" t="n">
        <f aca="false">'Capital Expenditure'!AI$28-AI28</f>
        <v>5400</v>
      </c>
      <c r="AJ41" s="65" t="n">
        <f aca="false">'Capital Expenditure'!AJ$28-AJ28</f>
        <v>5300</v>
      </c>
      <c r="AK41" s="65" t="n">
        <f aca="false">'Capital Expenditure'!AK$28-AK28</f>
        <v>5200</v>
      </c>
      <c r="AL41" s="65" t="n">
        <f aca="false">'Capital Expenditure'!AL$28-AL28</f>
        <v>5100</v>
      </c>
      <c r="AM41" s="65" t="n">
        <f aca="false">'Capital Expenditure'!AM$28-AM28</f>
        <v>5000</v>
      </c>
      <c r="AN41" s="65" t="n">
        <f aca="false">'Capital Expenditure'!AN$28-AN28</f>
        <v>4900</v>
      </c>
      <c r="AO41" s="64" t="n">
        <f aca="false">BA41</f>
        <v>3700</v>
      </c>
      <c r="AP41" s="65" t="n">
        <f aca="false">'Capital Expenditure'!AP$28-AP28</f>
        <v>4800</v>
      </c>
      <c r="AQ41" s="65" t="n">
        <f aca="false">'Capital Expenditure'!AQ$28-AQ28</f>
        <v>4700</v>
      </c>
      <c r="AR41" s="65" t="n">
        <f aca="false">'Capital Expenditure'!AR$28-AR28</f>
        <v>4600</v>
      </c>
      <c r="AS41" s="65" t="n">
        <f aca="false">'Capital Expenditure'!AS$28-AS28</f>
        <v>4500</v>
      </c>
      <c r="AT41" s="65" t="n">
        <f aca="false">'Capital Expenditure'!AT$28-AT28</f>
        <v>4400</v>
      </c>
      <c r="AU41" s="65" t="n">
        <f aca="false">'Capital Expenditure'!AU$28-AU28</f>
        <v>4300</v>
      </c>
      <c r="AV41" s="65" t="n">
        <f aca="false">'Capital Expenditure'!AV$28-AV28</f>
        <v>4200</v>
      </c>
      <c r="AW41" s="65" t="n">
        <f aca="false">'Capital Expenditure'!AW$28-AW28</f>
        <v>4100</v>
      </c>
      <c r="AX41" s="65" t="n">
        <f aca="false">'Capital Expenditure'!AX$28-AX28</f>
        <v>4000</v>
      </c>
      <c r="AY41" s="65" t="n">
        <f aca="false">'Capital Expenditure'!AY$28-AY28</f>
        <v>3900</v>
      </c>
      <c r="AZ41" s="65" t="n">
        <f aca="false">'Capital Expenditure'!AZ$28-AZ28</f>
        <v>3800</v>
      </c>
      <c r="BA41" s="65" t="n">
        <f aca="false">'Capital Expenditure'!BA$28-BA28</f>
        <v>3700</v>
      </c>
      <c r="BB41" s="64" t="n">
        <f aca="false">BN41</f>
        <v>2500</v>
      </c>
      <c r="BC41" s="65" t="n">
        <f aca="false">'Capital Expenditure'!BC$28-BC28</f>
        <v>3600</v>
      </c>
      <c r="BD41" s="65" t="n">
        <f aca="false">'Capital Expenditure'!BD$28-BD28</f>
        <v>3500</v>
      </c>
      <c r="BE41" s="65" t="n">
        <f aca="false">'Capital Expenditure'!BE$28-BE28</f>
        <v>3400</v>
      </c>
      <c r="BF41" s="65" t="n">
        <f aca="false">'Capital Expenditure'!BF$28-BF28</f>
        <v>3300</v>
      </c>
      <c r="BG41" s="65" t="n">
        <f aca="false">'Capital Expenditure'!BG$28-BG28</f>
        <v>3200</v>
      </c>
      <c r="BH41" s="65" t="n">
        <f aca="false">'Capital Expenditure'!BH$28-BH28</f>
        <v>3100</v>
      </c>
      <c r="BI41" s="65" t="n">
        <f aca="false">'Capital Expenditure'!BI$28-BI28</f>
        <v>3000</v>
      </c>
      <c r="BJ41" s="65" t="n">
        <f aca="false">'Capital Expenditure'!BJ$28-BJ28</f>
        <v>2900</v>
      </c>
      <c r="BK41" s="65" t="n">
        <f aca="false">'Capital Expenditure'!BK$28-BK28</f>
        <v>2800</v>
      </c>
      <c r="BL41" s="65" t="n">
        <f aca="false">'Capital Expenditure'!BL$28-BL28</f>
        <v>2700</v>
      </c>
      <c r="BM41" s="65" t="n">
        <f aca="false">'Capital Expenditure'!BM$28-BM28</f>
        <v>2600</v>
      </c>
      <c r="BN41" s="65" t="n">
        <f aca="false">'Capital Expenditure'!BN$28-BN28</f>
        <v>2500</v>
      </c>
    </row>
    <row r="42" customFormat="false" ht="15" hidden="false" customHeight="false" outlineLevel="0" collapsed="false">
      <c r="A42" s="69" t="s">
        <v>795</v>
      </c>
      <c r="B42" s="64" t="n">
        <f aca="false">N42</f>
        <v>9057.91666666667</v>
      </c>
      <c r="C42" s="70" t="n">
        <f aca="false">SUM(C33:C41)</f>
        <v>10080</v>
      </c>
      <c r="D42" s="70" t="n">
        <f aca="false">SUM(D33:D41)</f>
        <v>12028.75</v>
      </c>
      <c r="E42" s="70" t="n">
        <f aca="false">SUM(E33:E41)</f>
        <v>11731.6666666667</v>
      </c>
      <c r="F42" s="70" t="n">
        <f aca="false">SUM(F33:F41)</f>
        <v>11434.5833333333</v>
      </c>
      <c r="G42" s="70" t="n">
        <f aca="false">SUM(G33:G41)</f>
        <v>11137.5</v>
      </c>
      <c r="H42" s="70" t="n">
        <f aca="false">SUM(H33:H41)</f>
        <v>10840.4166666667</v>
      </c>
      <c r="I42" s="70" t="n">
        <f aca="false">SUM(I33:I41)</f>
        <v>10543.3333333333</v>
      </c>
      <c r="J42" s="70" t="n">
        <f aca="false">SUM(J33:J41)</f>
        <v>10246.25</v>
      </c>
      <c r="K42" s="70" t="n">
        <f aca="false">SUM(K33:K41)</f>
        <v>9949.16666666667</v>
      </c>
      <c r="L42" s="70" t="n">
        <f aca="false">SUM(L33:L41)</f>
        <v>9652.08333333333</v>
      </c>
      <c r="M42" s="70" t="n">
        <f aca="false">SUM(M33:M41)</f>
        <v>9355</v>
      </c>
      <c r="N42" s="70" t="n">
        <f aca="false">SUM(N33:N41)</f>
        <v>9057.91666666667</v>
      </c>
      <c r="O42" s="64" t="n">
        <f aca="false">AA42</f>
        <v>7694.79166666667</v>
      </c>
      <c r="P42" s="70" t="n">
        <f aca="false">SUM(P33:P41)</f>
        <v>12000.8333333333</v>
      </c>
      <c r="Q42" s="70" t="n">
        <f aca="false">SUM(Q33:Q41)</f>
        <v>11609.375</v>
      </c>
      <c r="R42" s="70" t="n">
        <f aca="false">SUM(R33:R41)</f>
        <v>11217.9166666667</v>
      </c>
      <c r="S42" s="70" t="n">
        <f aca="false">SUM(S33:S41)</f>
        <v>10826.4583333333</v>
      </c>
      <c r="T42" s="70" t="n">
        <f aca="false">SUM(T33:T41)</f>
        <v>10435</v>
      </c>
      <c r="U42" s="70" t="n">
        <f aca="false">SUM(U33:U41)</f>
        <v>10043.5416666667</v>
      </c>
      <c r="V42" s="70" t="n">
        <f aca="false">SUM(V33:V41)</f>
        <v>9652.08333333333</v>
      </c>
      <c r="W42" s="70" t="n">
        <f aca="false">SUM(W33:W41)</f>
        <v>9260.625</v>
      </c>
      <c r="X42" s="70" t="n">
        <f aca="false">SUM(X33:X41)</f>
        <v>8869.16666666667</v>
      </c>
      <c r="Y42" s="70" t="n">
        <f aca="false">SUM(Y33:Y41)</f>
        <v>8477.70833333333</v>
      </c>
      <c r="Z42" s="70" t="n">
        <f aca="false">SUM(Z33:Z41)</f>
        <v>8086.25</v>
      </c>
      <c r="AA42" s="70" t="n">
        <f aca="false">SUM(AA33:AA41)</f>
        <v>7694.79166666667</v>
      </c>
      <c r="AB42" s="64" t="n">
        <f aca="false">AN42</f>
        <v>13545.8333333333</v>
      </c>
      <c r="AC42" s="70" t="n">
        <f aca="false">SUM(AC33:AC41)</f>
        <v>20543.3333333333</v>
      </c>
      <c r="AD42" s="70" t="n">
        <f aca="false">SUM(AD33:AD41)</f>
        <v>19890.8333333333</v>
      </c>
      <c r="AE42" s="70" t="n">
        <f aca="false">SUM(AE33:AE41)</f>
        <v>19238.3333333333</v>
      </c>
      <c r="AF42" s="70" t="n">
        <f aca="false">SUM(AF33:AF41)</f>
        <v>18585.8333333333</v>
      </c>
      <c r="AG42" s="70" t="n">
        <f aca="false">SUM(AG33:AG41)</f>
        <v>17933.3333333333</v>
      </c>
      <c r="AH42" s="70" t="n">
        <f aca="false">SUM(AH33:AH41)</f>
        <v>17280.8333333333</v>
      </c>
      <c r="AI42" s="70" t="n">
        <f aca="false">SUM(AI33:AI41)</f>
        <v>16628.3333333333</v>
      </c>
      <c r="AJ42" s="70" t="n">
        <f aca="false">SUM(AJ33:AJ41)</f>
        <v>15975.8333333333</v>
      </c>
      <c r="AK42" s="70" t="n">
        <f aca="false">SUM(AK33:AK41)</f>
        <v>15323.3333333333</v>
      </c>
      <c r="AL42" s="70" t="n">
        <f aca="false">SUM(AL33:AL41)</f>
        <v>14670.8333333333</v>
      </c>
      <c r="AM42" s="70" t="n">
        <f aca="false">SUM(AM33:AM41)</f>
        <v>14108.3333333333</v>
      </c>
      <c r="AN42" s="70" t="n">
        <f aca="false">SUM(AN33:AN41)</f>
        <v>13545.8333333333</v>
      </c>
      <c r="AO42" s="64" t="n">
        <f aca="false">BA42</f>
        <v>9341.66666666666</v>
      </c>
      <c r="AP42" s="70" t="n">
        <f aca="false">SUM(AP33:AP41)</f>
        <v>17303.3333333333</v>
      </c>
      <c r="AQ42" s="70" t="n">
        <f aca="false">SUM(AQ33:AQ41)</f>
        <v>16525</v>
      </c>
      <c r="AR42" s="70" t="n">
        <f aca="false">SUM(AR33:AR41)</f>
        <v>15746.6666666667</v>
      </c>
      <c r="AS42" s="70" t="n">
        <f aca="false">SUM(AS33:AS41)</f>
        <v>14968.3333333333</v>
      </c>
      <c r="AT42" s="70" t="n">
        <f aca="false">SUM(AT33:AT41)</f>
        <v>14190</v>
      </c>
      <c r="AU42" s="70" t="n">
        <f aca="false">SUM(AU33:AU41)</f>
        <v>13411.6666666667</v>
      </c>
      <c r="AV42" s="70" t="n">
        <f aca="false">SUM(AV33:AV41)</f>
        <v>12633.3333333333</v>
      </c>
      <c r="AW42" s="70" t="n">
        <f aca="false">SUM(AW33:AW41)</f>
        <v>11975</v>
      </c>
      <c r="AX42" s="70" t="n">
        <f aca="false">SUM(AX33:AX41)</f>
        <v>11316.6666666667</v>
      </c>
      <c r="AY42" s="70" t="n">
        <f aca="false">SUM(AY33:AY41)</f>
        <v>10658.3333333333</v>
      </c>
      <c r="AZ42" s="70" t="n">
        <f aca="false">SUM(AZ33:AZ41)</f>
        <v>10000</v>
      </c>
      <c r="BA42" s="70" t="n">
        <f aca="false">SUM(BA33:BA41)</f>
        <v>9341.66666666666</v>
      </c>
      <c r="BB42" s="64" t="n">
        <f aca="false">BN42</f>
        <v>4916.66666666667</v>
      </c>
      <c r="BC42" s="70" t="n">
        <f aca="false">SUM(BC33:BC41)</f>
        <v>13003.3333333333</v>
      </c>
      <c r="BD42" s="70" t="n">
        <f aca="false">SUM(BD33:BD41)</f>
        <v>12111.6666666667</v>
      </c>
      <c r="BE42" s="70" t="n">
        <f aca="false">SUM(BE33:BE41)</f>
        <v>11265.8333333333</v>
      </c>
      <c r="BF42" s="70" t="n">
        <f aca="false">SUM(BF33:BF41)</f>
        <v>10420</v>
      </c>
      <c r="BG42" s="70" t="n">
        <f aca="false">SUM(BG33:BG41)</f>
        <v>9574.16666666666</v>
      </c>
      <c r="BH42" s="70" t="n">
        <f aca="false">SUM(BH33:BH41)</f>
        <v>8758.33333333333</v>
      </c>
      <c r="BI42" s="70" t="n">
        <f aca="false">SUM(BI33:BI41)</f>
        <v>8062.5</v>
      </c>
      <c r="BJ42" s="70" t="n">
        <f aca="false">SUM(BJ33:BJ41)</f>
        <v>7366.66666666667</v>
      </c>
      <c r="BK42" s="70" t="n">
        <f aca="false">SUM(BK33:BK41)</f>
        <v>6670.83333333333</v>
      </c>
      <c r="BL42" s="70" t="n">
        <f aca="false">SUM(BL33:BL41)</f>
        <v>5975</v>
      </c>
      <c r="BM42" s="70" t="n">
        <f aca="false">SUM(BM33:BM41)</f>
        <v>5279.16666666667</v>
      </c>
      <c r="BN42" s="70" t="n">
        <f aca="false">SUM(BN33:BN41)</f>
        <v>4916.66666666667</v>
      </c>
    </row>
    <row r="44" customFormat="false" ht="15" hidden="false" customHeight="false" outlineLevel="0" collapsed="false">
      <c r="A44" s="18" t="s">
        <v>796</v>
      </c>
      <c r="B44" s="64" t="n">
        <f aca="false">N44</f>
        <v>6607.91666666667</v>
      </c>
      <c r="C44" s="77" t="n">
        <f aca="false">C33+C34+C35+C36+C37+C38+C40+C41</f>
        <v>7080</v>
      </c>
      <c r="D44" s="77" t="n">
        <f aca="false">D33+D34+D35+D36+D37+D38+D40+D41</f>
        <v>9078.75</v>
      </c>
      <c r="E44" s="77" t="n">
        <f aca="false">E33+E34+E35+E36+E37+E38+E40+E41</f>
        <v>8831.66666666667</v>
      </c>
      <c r="F44" s="77" t="n">
        <f aca="false">F33+F34+F35+F36+F37+F38+F40+F41</f>
        <v>8584.58333333333</v>
      </c>
      <c r="G44" s="77" t="n">
        <f aca="false">G33+G34+G35+G36+G37+G38+G40+G41</f>
        <v>8337.5</v>
      </c>
      <c r="H44" s="77" t="n">
        <f aca="false">H33+H34+H35+H36+H37+H38+H40+H41</f>
        <v>8090.41666666667</v>
      </c>
      <c r="I44" s="77" t="n">
        <f aca="false">I33+I34+I35+I36+I37+I38+I40+I41</f>
        <v>7843.33333333333</v>
      </c>
      <c r="J44" s="77" t="n">
        <f aca="false">J33+J34+J35+J36+J37+J38+J40+J41</f>
        <v>7596.25</v>
      </c>
      <c r="K44" s="77" t="n">
        <f aca="false">K33+K34+K35+K36+K37+K38+K40+K41</f>
        <v>7349.16666666667</v>
      </c>
      <c r="L44" s="77" t="n">
        <f aca="false">L33+L34+L35+L36+L37+L38+L40+L41</f>
        <v>7102.08333333333</v>
      </c>
      <c r="M44" s="77" t="n">
        <f aca="false">M33+M34+M35+M36+M37+M38+M40+M41</f>
        <v>6855</v>
      </c>
      <c r="N44" s="77" t="n">
        <f aca="false">N33+N34+N35+N36+N37+N38+N40+N41</f>
        <v>6607.91666666667</v>
      </c>
      <c r="O44" s="64" t="n">
        <f aca="false">AA44</f>
        <v>5844.79166666667</v>
      </c>
      <c r="P44" s="77" t="n">
        <f aca="false">P33+P34+P35+P36+P37+P38+P40+P41</f>
        <v>9600.83333333333</v>
      </c>
      <c r="Q44" s="77" t="n">
        <f aca="false">Q33+Q34+Q35+Q36+Q37+Q38+Q40+Q41</f>
        <v>9259.375</v>
      </c>
      <c r="R44" s="77" t="n">
        <f aca="false">R33+R34+R35+R36+R37+R38+R40+R41</f>
        <v>8917.91666666667</v>
      </c>
      <c r="S44" s="77" t="n">
        <f aca="false">S33+S34+S35+S36+S37+S38+S40+S41</f>
        <v>8576.45833333333</v>
      </c>
      <c r="T44" s="77" t="n">
        <f aca="false">T33+T34+T35+T36+T37+T38+T40+T41</f>
        <v>8235</v>
      </c>
      <c r="U44" s="77" t="n">
        <f aca="false">U33+U34+U35+U36+U37+U38+U40+U41</f>
        <v>7893.54166666667</v>
      </c>
      <c r="V44" s="77" t="n">
        <f aca="false">V33+V34+V35+V36+V37+V38+V40+V41</f>
        <v>7552.08333333333</v>
      </c>
      <c r="W44" s="77" t="n">
        <f aca="false">W33+W34+W35+W36+W37+W38+W40+W41</f>
        <v>7210.625</v>
      </c>
      <c r="X44" s="77" t="n">
        <f aca="false">X33+X34+X35+X36+X37+X38+X40+X41</f>
        <v>6869.16666666667</v>
      </c>
      <c r="Y44" s="77" t="n">
        <f aca="false">Y33+Y34+Y35+Y36+Y37+Y38+Y40+Y41</f>
        <v>6527.70833333333</v>
      </c>
      <c r="Z44" s="77" t="n">
        <f aca="false">Z33+Z34+Z35+Z36+Z37+Z38+Z40+Z41</f>
        <v>6186.25</v>
      </c>
      <c r="AA44" s="77" t="n">
        <f aca="false">AA33+AA34+AA35+AA36+AA37+AA38+AA40+AA41</f>
        <v>5844.79166666667</v>
      </c>
      <c r="AB44" s="64" t="n">
        <f aca="false">AN44</f>
        <v>12295.8333333333</v>
      </c>
      <c r="AC44" s="77" t="n">
        <f aca="false">AC33+AC34+AC35+AC36+AC37+AC38+AC40+AC41</f>
        <v>18743.3333333333</v>
      </c>
      <c r="AD44" s="77" t="n">
        <f aca="false">AD33+AD34+AD35+AD36+AD37+AD38+AD40+AD41</f>
        <v>18140.8333333333</v>
      </c>
      <c r="AE44" s="77" t="n">
        <f aca="false">AE33+AE34+AE35+AE36+AE37+AE38+AE40+AE41</f>
        <v>17538.3333333333</v>
      </c>
      <c r="AF44" s="77" t="n">
        <f aca="false">AF33+AF34+AF35+AF36+AF37+AF38+AF40+AF41</f>
        <v>16935.8333333333</v>
      </c>
      <c r="AG44" s="77" t="n">
        <f aca="false">AG33+AG34+AG35+AG36+AG37+AG38+AG40+AG41</f>
        <v>16333.3333333333</v>
      </c>
      <c r="AH44" s="77" t="n">
        <f aca="false">AH33+AH34+AH35+AH36+AH37+AH38+AH40+AH41</f>
        <v>15730.8333333333</v>
      </c>
      <c r="AI44" s="77" t="n">
        <f aca="false">AI33+AI34+AI35+AI36+AI37+AI38+AI40+AI41</f>
        <v>15128.3333333333</v>
      </c>
      <c r="AJ44" s="77" t="n">
        <f aca="false">AJ33+AJ34+AJ35+AJ36+AJ37+AJ38+AJ40+AJ41</f>
        <v>14525.8333333333</v>
      </c>
      <c r="AK44" s="77" t="n">
        <f aca="false">AK33+AK34+AK35+AK36+AK37+AK38+AK40+AK41</f>
        <v>13923.3333333333</v>
      </c>
      <c r="AL44" s="77" t="n">
        <f aca="false">AL33+AL34+AL35+AL36+AL37+AL38+AL40+AL41</f>
        <v>13320.8333333333</v>
      </c>
      <c r="AM44" s="77" t="n">
        <f aca="false">AM33+AM34+AM35+AM36+AM37+AM38+AM40+AM41</f>
        <v>12808.3333333333</v>
      </c>
      <c r="AN44" s="77" t="n">
        <f aca="false">AN33+AN34+AN35+AN36+AN37+AN38+AN40+AN41</f>
        <v>12295.8333333333</v>
      </c>
      <c r="AO44" s="64" t="n">
        <f aca="false">BA44</f>
        <v>8691.66666666666</v>
      </c>
      <c r="AP44" s="77" t="n">
        <f aca="false">AP33+AP34+AP35+AP36+AP37+AP38+AP40+AP41</f>
        <v>16103.3333333333</v>
      </c>
      <c r="AQ44" s="77" t="n">
        <f aca="false">AQ33+AQ34+AQ35+AQ36+AQ37+AQ38+AQ40+AQ41</f>
        <v>15375</v>
      </c>
      <c r="AR44" s="77" t="n">
        <f aca="false">AR33+AR34+AR35+AR36+AR37+AR38+AR40+AR41</f>
        <v>14646.6666666667</v>
      </c>
      <c r="AS44" s="77" t="n">
        <f aca="false">AS33+AS34+AS35+AS36+AS37+AS38+AS40+AS41</f>
        <v>13918.3333333333</v>
      </c>
      <c r="AT44" s="77" t="n">
        <f aca="false">AT33+AT34+AT35+AT36+AT37+AT38+AT40+AT41</f>
        <v>13190</v>
      </c>
      <c r="AU44" s="77" t="n">
        <f aca="false">AU33+AU34+AU35+AU36+AU37+AU38+AU40+AU41</f>
        <v>12461.6666666667</v>
      </c>
      <c r="AV44" s="77" t="n">
        <f aca="false">AV33+AV34+AV35+AV36+AV37+AV38+AV40+AV41</f>
        <v>11733.3333333333</v>
      </c>
      <c r="AW44" s="77" t="n">
        <f aca="false">AW33+AW34+AW35+AW36+AW37+AW38+AW40+AW41</f>
        <v>11125</v>
      </c>
      <c r="AX44" s="77" t="n">
        <f aca="false">AX33+AX34+AX35+AX36+AX37+AX38+AX40+AX41</f>
        <v>10516.6666666667</v>
      </c>
      <c r="AY44" s="77" t="n">
        <f aca="false">AY33+AY34+AY35+AY36+AY37+AY38+AY40+AY41</f>
        <v>9908.33333333333</v>
      </c>
      <c r="AZ44" s="77" t="n">
        <f aca="false">AZ33+AZ34+AZ35+AZ36+AZ37+AZ38+AZ40+AZ41</f>
        <v>9300</v>
      </c>
      <c r="BA44" s="77" t="n">
        <f aca="false">BA33+BA34+BA35+BA36+BA37+BA38+BA40+BA41</f>
        <v>8691.66666666666</v>
      </c>
      <c r="BB44" s="64" t="n">
        <f aca="false">BN44</f>
        <v>4866.66666666667</v>
      </c>
      <c r="BC44" s="77" t="n">
        <f aca="false">BC33+BC34+BC35+BC36+BC37+BC38+BC40+BC41</f>
        <v>12403.3333333333</v>
      </c>
      <c r="BD44" s="77" t="n">
        <f aca="false">BD33+BD34+BD35+BD36+BD37+BD38+BD40+BD41</f>
        <v>11561.6666666667</v>
      </c>
      <c r="BE44" s="77" t="n">
        <f aca="false">BE33+BE34+BE35+BE36+BE37+BE38+BE40+BE41</f>
        <v>10765.8333333333</v>
      </c>
      <c r="BF44" s="77" t="n">
        <f aca="false">BF33+BF34+BF35+BF36+BF37+BF38+BF40+BF41</f>
        <v>9970</v>
      </c>
      <c r="BG44" s="77" t="n">
        <f aca="false">BG33+BG34+BG35+BG36+BG37+BG38+BG40+BG41</f>
        <v>9174.16666666666</v>
      </c>
      <c r="BH44" s="77" t="n">
        <f aca="false">BH33+BH34+BH35+BH36+BH37+BH38+BH40+BH41</f>
        <v>8408.33333333333</v>
      </c>
      <c r="BI44" s="77" t="n">
        <f aca="false">BI33+BI34+BI35+BI36+BI37+BI38+BI40+BI41</f>
        <v>7762.5</v>
      </c>
      <c r="BJ44" s="77" t="n">
        <f aca="false">BJ33+BJ34+BJ35+BJ36+BJ37+BJ38+BJ40+BJ41</f>
        <v>7116.66666666667</v>
      </c>
      <c r="BK44" s="77" t="n">
        <f aca="false">BK33+BK34+BK35+BK36+BK37+BK38+BK40+BK41</f>
        <v>6470.83333333333</v>
      </c>
      <c r="BL44" s="77" t="n">
        <f aca="false">BL33+BL34+BL35+BL36+BL37+BL38+BL40+BL41</f>
        <v>5825</v>
      </c>
      <c r="BM44" s="77" t="n">
        <f aca="false">BM33+BM34+BM35+BM36+BM37+BM38+BM40+BM41</f>
        <v>5179.16666666667</v>
      </c>
      <c r="BN44" s="77" t="n">
        <f aca="false">BN33+BN34+BN35+BN36+BN37+BN38+BN40+BN41</f>
        <v>4866.66666666667</v>
      </c>
    </row>
    <row r="45" customFormat="false" ht="15" hidden="false" customHeight="false" outlineLevel="0" collapsed="false">
      <c r="A45" s="18" t="s">
        <v>797</v>
      </c>
      <c r="B45" s="64" t="n">
        <f aca="false">N45</f>
        <v>2450</v>
      </c>
      <c r="C45" s="77" t="n">
        <f aca="false">C39</f>
        <v>3000</v>
      </c>
      <c r="D45" s="77" t="n">
        <f aca="false">D39</f>
        <v>2950</v>
      </c>
      <c r="E45" s="77" t="n">
        <f aca="false">E39</f>
        <v>2900</v>
      </c>
      <c r="F45" s="77" t="n">
        <f aca="false">F39</f>
        <v>2850</v>
      </c>
      <c r="G45" s="77" t="n">
        <f aca="false">G39</f>
        <v>2800</v>
      </c>
      <c r="H45" s="77" t="n">
        <f aca="false">H39</f>
        <v>2750</v>
      </c>
      <c r="I45" s="77" t="n">
        <f aca="false">I39</f>
        <v>2700</v>
      </c>
      <c r="J45" s="77" t="n">
        <f aca="false">J39</f>
        <v>2650</v>
      </c>
      <c r="K45" s="77" t="n">
        <f aca="false">K39</f>
        <v>2600</v>
      </c>
      <c r="L45" s="77" t="n">
        <f aca="false">L39</f>
        <v>2550</v>
      </c>
      <c r="M45" s="77" t="n">
        <f aca="false">M39</f>
        <v>2500</v>
      </c>
      <c r="N45" s="77" t="n">
        <f aca="false">N39</f>
        <v>2450</v>
      </c>
      <c r="O45" s="64" t="n">
        <f aca="false">AA45</f>
        <v>1850</v>
      </c>
      <c r="P45" s="77" t="n">
        <f aca="false">P39</f>
        <v>2400</v>
      </c>
      <c r="Q45" s="77" t="n">
        <f aca="false">Q39</f>
        <v>2350</v>
      </c>
      <c r="R45" s="77" t="n">
        <f aca="false">R39</f>
        <v>2300</v>
      </c>
      <c r="S45" s="77" t="n">
        <f aca="false">S39</f>
        <v>2250</v>
      </c>
      <c r="T45" s="77" t="n">
        <f aca="false">T39</f>
        <v>2200</v>
      </c>
      <c r="U45" s="77" t="n">
        <f aca="false">U39</f>
        <v>2150</v>
      </c>
      <c r="V45" s="77" t="n">
        <f aca="false">V39</f>
        <v>2100</v>
      </c>
      <c r="W45" s="77" t="n">
        <f aca="false">W39</f>
        <v>2050</v>
      </c>
      <c r="X45" s="77" t="n">
        <f aca="false">X39</f>
        <v>2000</v>
      </c>
      <c r="Y45" s="77" t="n">
        <f aca="false">Y39</f>
        <v>1950</v>
      </c>
      <c r="Z45" s="77" t="n">
        <f aca="false">Z39</f>
        <v>1900</v>
      </c>
      <c r="AA45" s="77" t="n">
        <f aca="false">AA39</f>
        <v>1850</v>
      </c>
      <c r="AB45" s="64" t="n">
        <f aca="false">AN45</f>
        <v>1250</v>
      </c>
      <c r="AC45" s="77" t="n">
        <f aca="false">AC39</f>
        <v>1800</v>
      </c>
      <c r="AD45" s="77" t="n">
        <f aca="false">AD39</f>
        <v>1750</v>
      </c>
      <c r="AE45" s="77" t="n">
        <f aca="false">AE39</f>
        <v>1700</v>
      </c>
      <c r="AF45" s="77" t="n">
        <f aca="false">AF39</f>
        <v>1650</v>
      </c>
      <c r="AG45" s="77" t="n">
        <f aca="false">AG39</f>
        <v>1600</v>
      </c>
      <c r="AH45" s="77" t="n">
        <f aca="false">AH39</f>
        <v>1550</v>
      </c>
      <c r="AI45" s="77" t="n">
        <f aca="false">AI39</f>
        <v>1500</v>
      </c>
      <c r="AJ45" s="77" t="n">
        <f aca="false">AJ39</f>
        <v>1450</v>
      </c>
      <c r="AK45" s="77" t="n">
        <f aca="false">AK39</f>
        <v>1400</v>
      </c>
      <c r="AL45" s="77" t="n">
        <f aca="false">AL39</f>
        <v>1350</v>
      </c>
      <c r="AM45" s="77" t="n">
        <f aca="false">AM39</f>
        <v>1300</v>
      </c>
      <c r="AN45" s="77" t="n">
        <f aca="false">AN39</f>
        <v>1250</v>
      </c>
      <c r="AO45" s="64" t="n">
        <f aca="false">BA45</f>
        <v>650</v>
      </c>
      <c r="AP45" s="77" t="n">
        <f aca="false">AP39</f>
        <v>1200</v>
      </c>
      <c r="AQ45" s="77" t="n">
        <f aca="false">AQ39</f>
        <v>1150</v>
      </c>
      <c r="AR45" s="77" t="n">
        <f aca="false">AR39</f>
        <v>1100</v>
      </c>
      <c r="AS45" s="77" t="n">
        <f aca="false">AS39</f>
        <v>1050</v>
      </c>
      <c r="AT45" s="77" t="n">
        <f aca="false">AT39</f>
        <v>1000</v>
      </c>
      <c r="AU45" s="77" t="n">
        <f aca="false">AU39</f>
        <v>950</v>
      </c>
      <c r="AV45" s="77" t="n">
        <f aca="false">AV39</f>
        <v>900</v>
      </c>
      <c r="AW45" s="77" t="n">
        <f aca="false">AW39</f>
        <v>850</v>
      </c>
      <c r="AX45" s="77" t="n">
        <f aca="false">AX39</f>
        <v>800</v>
      </c>
      <c r="AY45" s="77" t="n">
        <f aca="false">AY39</f>
        <v>750</v>
      </c>
      <c r="AZ45" s="77" t="n">
        <f aca="false">AZ39</f>
        <v>700</v>
      </c>
      <c r="BA45" s="77" t="n">
        <f aca="false">BA39</f>
        <v>650</v>
      </c>
      <c r="BB45" s="64" t="n">
        <f aca="false">BN45</f>
        <v>50</v>
      </c>
      <c r="BC45" s="77" t="n">
        <f aca="false">BC39</f>
        <v>600</v>
      </c>
      <c r="BD45" s="77" t="n">
        <f aca="false">BD39</f>
        <v>550</v>
      </c>
      <c r="BE45" s="77" t="n">
        <f aca="false">BE39</f>
        <v>500</v>
      </c>
      <c r="BF45" s="77" t="n">
        <f aca="false">BF39</f>
        <v>450</v>
      </c>
      <c r="BG45" s="77" t="n">
        <f aca="false">BG39</f>
        <v>400</v>
      </c>
      <c r="BH45" s="77" t="n">
        <f aca="false">BH39</f>
        <v>350</v>
      </c>
      <c r="BI45" s="77" t="n">
        <f aca="false">BI39</f>
        <v>300</v>
      </c>
      <c r="BJ45" s="77" t="n">
        <f aca="false">BJ39</f>
        <v>250</v>
      </c>
      <c r="BK45" s="77" t="n">
        <f aca="false">BK39</f>
        <v>200</v>
      </c>
      <c r="BL45" s="77" t="n">
        <f aca="false">BL39</f>
        <v>150</v>
      </c>
      <c r="BM45" s="77" t="n">
        <f aca="false">BM39</f>
        <v>100</v>
      </c>
      <c r="BN45" s="77" t="n">
        <f aca="false">BN39</f>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593</v>
      </c>
    </row>
    <row r="2" customFormat="false" ht="13.5" hidden="false" customHeight="true" outlineLevel="0" collapsed="false">
      <c r="A2" s="6" t="s">
        <v>798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800</v>
      </c>
      <c r="B7" s="64" t="n">
        <f aca="false">SUM(C7:N7)</f>
        <v>19340.6035139136</v>
      </c>
      <c r="C7" s="65" t="n">
        <f aca="false">('Revenue Streams'!C$7+'Revenue Streams'!C$8)*'Assumption Setting'!$C$149*'Assumption Setting'!$C$150*'Assumption Setting'!$C$151</f>
        <v>646</v>
      </c>
      <c r="D7" s="65" t="n">
        <f aca="false">('Revenue Streams'!D$7+'Revenue Streams'!D$8)*'Assumption Setting'!$C$149*'Assumption Setting'!$C$150*'Assumption Setting'!$C$151</f>
        <v>1033.6</v>
      </c>
      <c r="E7" s="65" t="n">
        <f aca="false">('Revenue Streams'!E$7+'Revenue Streams'!E$8)*'Assumption Setting'!$C$149*'Assumption Setting'!$C$150*'Assumption Setting'!$C$151</f>
        <v>1292</v>
      </c>
      <c r="F7" s="65" t="n">
        <f aca="false">('Revenue Streams'!F$7+'Revenue Streams'!F$8)*'Assumption Setting'!$C$149*'Assumption Setting'!$C$150*'Assumption Setting'!$C$151</f>
        <v>1397.35563364253</v>
      </c>
      <c r="G7" s="65" t="n">
        <f aca="false">('Revenue Streams'!G$7+'Revenue Streams'!G$8)*'Assumption Setting'!$C$149*'Assumption Setting'!$C$150*'Assumption Setting'!$C$151</f>
        <v>1502.71126728505</v>
      </c>
      <c r="H7" s="65" t="n">
        <f aca="false">('Revenue Streams'!H$7+'Revenue Streams'!H$8)*'Assumption Setting'!$C$149*'Assumption Setting'!$C$150*'Assumption Setting'!$C$151</f>
        <v>1608.06690092758</v>
      </c>
      <c r="I7" s="65" t="n">
        <f aca="false">('Revenue Streams'!I$7+'Revenue Streams'!I$8)*'Assumption Setting'!$C$149*'Assumption Setting'!$C$150*'Assumption Setting'!$C$151</f>
        <v>1713.4225345701</v>
      </c>
      <c r="J7" s="65" t="n">
        <f aca="false">('Revenue Streams'!J$7+'Revenue Streams'!J$8)*'Assumption Setting'!$C$149*'Assumption Setting'!$C$150*'Assumption Setting'!$C$151</f>
        <v>1818.77816821263</v>
      </c>
      <c r="K7" s="65" t="n">
        <f aca="false">('Revenue Streams'!K$7+'Revenue Streams'!K$8)*'Assumption Setting'!$C$149*'Assumption Setting'!$C$150*'Assumption Setting'!$C$151</f>
        <v>1924.13380185515</v>
      </c>
      <c r="L7" s="65" t="n">
        <f aca="false">('Revenue Streams'!L$7+'Revenue Streams'!L$8)*'Assumption Setting'!$C$149*'Assumption Setting'!$C$150*'Assumption Setting'!$C$151</f>
        <v>2029.48943549768</v>
      </c>
      <c r="M7" s="65" t="n">
        <f aca="false">('Revenue Streams'!M$7+'Revenue Streams'!M$8)*'Assumption Setting'!$C$149*'Assumption Setting'!$C$150*'Assumption Setting'!$C$151</f>
        <v>2134.8450691402</v>
      </c>
      <c r="N7" s="65" t="n">
        <f aca="false">('Revenue Streams'!N$7+'Revenue Streams'!N$8)*'Assumption Setting'!$C$149*'Assumption Setting'!$C$150*'Assumption Setting'!$C$151</f>
        <v>2240.20070278273</v>
      </c>
      <c r="O7" s="64" t="n">
        <f aca="false">SUM(P7:AA7)</f>
        <v>56276.9487861311</v>
      </c>
      <c r="P7" s="65" t="n">
        <f aca="false">('Revenue Streams'!P$7+'Revenue Streams'!P$8)*'Assumption Setting'!$D$149*'Assumption Setting'!$C$150*'Assumption Setting'!$C$151</f>
        <v>4998.6951071331</v>
      </c>
      <c r="Q7" s="65" t="n">
        <f aca="false">('Revenue Streams'!Q$7+'Revenue Streams'!Q$8)*'Assumption Setting'!$D$149*'Assumption Setting'!$C$150*'Assumption Setting'!$C$151</f>
        <v>4168.56461784641</v>
      </c>
      <c r="R7" s="65" t="n">
        <f aca="false">('Revenue Streams'!R$7+'Revenue Streams'!R$8)*'Assumption Setting'!$D$149*'Assumption Setting'!$C$150*'Assumption Setting'!$C$151</f>
        <v>3749.42107963105</v>
      </c>
      <c r="S7" s="65" t="n">
        <f aca="false">('Revenue Streams'!S$7+'Revenue Streams'!S$8)*'Assumption Setting'!$D$149*'Assumption Setting'!$C$150*'Assumption Setting'!$C$151</f>
        <v>3963.0983744053</v>
      </c>
      <c r="T7" s="65" t="n">
        <f aca="false">('Revenue Streams'!T$7+'Revenue Streams'!T$8)*'Assumption Setting'!$D$149*'Assumption Setting'!$C$150*'Assumption Setting'!$C$151</f>
        <v>4176.77566917954</v>
      </c>
      <c r="U7" s="65" t="n">
        <f aca="false">('Revenue Streams'!U$7+'Revenue Streams'!U$8)*'Assumption Setting'!$D$149*'Assumption Setting'!$C$150*'Assumption Setting'!$C$151</f>
        <v>4390.45296395379</v>
      </c>
      <c r="V7" s="65" t="n">
        <f aca="false">('Revenue Streams'!V$7+'Revenue Streams'!V$8)*'Assumption Setting'!$D$149*'Assumption Setting'!$C$150*'Assumption Setting'!$C$151</f>
        <v>4604.13025872804</v>
      </c>
      <c r="W7" s="65" t="n">
        <f aca="false">('Revenue Streams'!W$7+'Revenue Streams'!W$8)*'Assumption Setting'!$D$149*'Assumption Setting'!$C$150*'Assumption Setting'!$C$151</f>
        <v>4817.80755350228</v>
      </c>
      <c r="X7" s="65" t="n">
        <f aca="false">('Revenue Streams'!X$7+'Revenue Streams'!X$8)*'Assumption Setting'!$D$149*'Assumption Setting'!$C$150*'Assumption Setting'!$C$151</f>
        <v>5031.48484827653</v>
      </c>
      <c r="Y7" s="65" t="n">
        <f aca="false">('Revenue Streams'!Y$7+'Revenue Streams'!Y$8)*'Assumption Setting'!$D$149*'Assumption Setting'!$C$150*'Assumption Setting'!$C$151</f>
        <v>5245.16214305077</v>
      </c>
      <c r="Z7" s="65" t="n">
        <f aca="false">('Revenue Streams'!Z$7+'Revenue Streams'!Z$8)*'Assumption Setting'!$D$149*'Assumption Setting'!$C$150*'Assumption Setting'!$C$151</f>
        <v>5458.83943782502</v>
      </c>
      <c r="AA7" s="65" t="n">
        <f aca="false">('Revenue Streams'!AA$7+'Revenue Streams'!AA$8)*'Assumption Setting'!$D$149*'Assumption Setting'!$C$150*'Assumption Setting'!$C$151</f>
        <v>5672.51673259927</v>
      </c>
      <c r="AB7" s="64" t="n">
        <f aca="false">SUM(AC7:AN7)</f>
        <v>99777.7292900117</v>
      </c>
      <c r="AC7" s="65" t="n">
        <f aca="false">('Revenue Streams'!AC$7+'Revenue Streams'!AC$8)*'Assumption Setting'!$E$149*'Assumption Setting'!$C$150*'Assumption Setting'!$C$151</f>
        <v>6505.79339867599</v>
      </c>
      <c r="AD7" s="65" t="n">
        <f aca="false">('Revenue Streams'!AD$7+'Revenue Streams'!AD$8)*'Assumption Setting'!$E$149*'Assumption Setting'!$C$150*'Assumption Setting'!$C$151</f>
        <v>6741.96304026858</v>
      </c>
      <c r="AE7" s="65" t="n">
        <f aca="false">('Revenue Streams'!AE$7+'Revenue Streams'!AE$8)*'Assumption Setting'!$E$149*'Assumption Setting'!$C$150*'Assumption Setting'!$C$151</f>
        <v>6996.48912787916</v>
      </c>
      <c r="AF7" s="65" t="n">
        <f aca="false">('Revenue Streams'!AF$7+'Revenue Streams'!AF$8)*'Assumption Setting'!$E$149*'Assumption Setting'!$C$150*'Assumption Setting'!$C$151</f>
        <v>7364.60205170751</v>
      </c>
      <c r="AG7" s="65" t="n">
        <f aca="false">('Revenue Streams'!AG$7+'Revenue Streams'!AG$8)*'Assumption Setting'!$E$149*'Assumption Setting'!$C$150*'Assumption Setting'!$C$151</f>
        <v>7732.71497553585</v>
      </c>
      <c r="AH7" s="65" t="n">
        <f aca="false">('Revenue Streams'!AH$7+'Revenue Streams'!AH$8)*'Assumption Setting'!$E$149*'Assumption Setting'!$C$150*'Assumption Setting'!$C$151</f>
        <v>8100.82789936419</v>
      </c>
      <c r="AI7" s="65" t="n">
        <f aca="false">('Revenue Streams'!AI$7+'Revenue Streams'!AI$8)*'Assumption Setting'!$E$149*'Assumption Setting'!$C$150*'Assumption Setting'!$C$151</f>
        <v>8468.94082319254</v>
      </c>
      <c r="AJ7" s="65" t="n">
        <f aca="false">('Revenue Streams'!AJ$7+'Revenue Streams'!AJ$8)*'Assumption Setting'!$E$149*'Assumption Setting'!$C$150*'Assumption Setting'!$C$151</f>
        <v>8837.05374702088</v>
      </c>
      <c r="AK7" s="65" t="n">
        <f aca="false">('Revenue Streams'!AK$7+'Revenue Streams'!AK$8)*'Assumption Setting'!$E$149*'Assumption Setting'!$C$150*'Assumption Setting'!$C$151</f>
        <v>9205.16667084923</v>
      </c>
      <c r="AL7" s="65" t="n">
        <f aca="false">('Revenue Streams'!AL$7+'Revenue Streams'!AL$8)*'Assumption Setting'!$E$149*'Assumption Setting'!$C$150*'Assumption Setting'!$C$151</f>
        <v>9573.27959467757</v>
      </c>
      <c r="AM7" s="65" t="n">
        <f aca="false">('Revenue Streams'!AM$7+'Revenue Streams'!AM$8)*'Assumption Setting'!$E$149*'Assumption Setting'!$C$150*'Assumption Setting'!$C$151</f>
        <v>9941.39251850592</v>
      </c>
      <c r="AN7" s="65" t="n">
        <f aca="false">('Revenue Streams'!AN$7+'Revenue Streams'!AN$8)*'Assumption Setting'!$E$149*'Assumption Setting'!$C$150*'Assumption Setting'!$C$151</f>
        <v>10309.5054423343</v>
      </c>
      <c r="AO7" s="64" t="n">
        <f aca="false">SUM(AP7:BA7)</f>
        <v>157856.470275283</v>
      </c>
      <c r="AP7" s="65" t="n">
        <f aca="false">('Revenue Streams'!AP$7+'Revenue Streams'!AP$8)*'Assumption Setting'!$F$149*'Assumption Setting'!$C$150*'Assumption Setting'!$C$151</f>
        <v>11186.0763835989</v>
      </c>
      <c r="AQ7" s="65" t="n">
        <f aca="false">('Revenue Streams'!AQ$7+'Revenue Streams'!AQ$8)*'Assumption Setting'!$F$149*'Assumption Setting'!$C$150*'Assumption Setting'!$C$151</f>
        <v>11571.7184942762</v>
      </c>
      <c r="AR7" s="65" t="n">
        <f aca="false">('Revenue Streams'!AR$7+'Revenue Streams'!AR$8)*'Assumption Setting'!$F$149*'Assumption Setting'!$C$150*'Assumption Setting'!$C$151</f>
        <v>11943.5776732873</v>
      </c>
      <c r="AS7" s="65" t="n">
        <f aca="false">('Revenue Streams'!AS$7+'Revenue Streams'!AS$8)*'Assumption Setting'!$F$149*'Assumption Setting'!$C$150*'Assumption Setting'!$C$151</f>
        <v>12291.6420880547</v>
      </c>
      <c r="AT7" s="65" t="n">
        <f aca="false">('Revenue Streams'!AT$7+'Revenue Streams'!AT$8)*'Assumption Setting'!$F$149*'Assumption Setting'!$C$150*'Assumption Setting'!$C$151</f>
        <v>12639.7065028222</v>
      </c>
      <c r="AU7" s="65" t="n">
        <f aca="false">('Revenue Streams'!AU$7+'Revenue Streams'!AU$8)*'Assumption Setting'!$F$149*'Assumption Setting'!$C$150*'Assumption Setting'!$C$151</f>
        <v>12987.7709175896</v>
      </c>
      <c r="AV7" s="65" t="n">
        <f aca="false">('Revenue Streams'!AV$7+'Revenue Streams'!AV$8)*'Assumption Setting'!$F$149*'Assumption Setting'!$C$150*'Assumption Setting'!$C$151</f>
        <v>13335.8353323571</v>
      </c>
      <c r="AW7" s="65" t="n">
        <f aca="false">('Revenue Streams'!AW$7+'Revenue Streams'!AW$8)*'Assumption Setting'!$F$149*'Assumption Setting'!$C$150*'Assumption Setting'!$C$151</f>
        <v>13683.8997471245</v>
      </c>
      <c r="AX7" s="65" t="n">
        <f aca="false">('Revenue Streams'!AX$7+'Revenue Streams'!AX$8)*'Assumption Setting'!$F$149*'Assumption Setting'!$C$150*'Assumption Setting'!$C$151</f>
        <v>14031.964161892</v>
      </c>
      <c r="AY7" s="65" t="n">
        <f aca="false">('Revenue Streams'!AY$7+'Revenue Streams'!AY$8)*'Assumption Setting'!$F$149*'Assumption Setting'!$C$150*'Assumption Setting'!$C$151</f>
        <v>14380.0285766594</v>
      </c>
      <c r="AZ7" s="65" t="n">
        <f aca="false">('Revenue Streams'!AZ$7+'Revenue Streams'!AZ$8)*'Assumption Setting'!$F$149*'Assumption Setting'!$C$150*'Assumption Setting'!$C$151</f>
        <v>14728.0929914268</v>
      </c>
      <c r="BA7" s="65" t="n">
        <f aca="false">('Revenue Streams'!BA$7+'Revenue Streams'!BA$8)*'Assumption Setting'!$F$149*'Assumption Setting'!$C$150*'Assumption Setting'!$C$151</f>
        <v>15076.1574061943</v>
      </c>
      <c r="BB7" s="64" t="n">
        <f aca="false">SUM(BC7:BN7)</f>
        <v>218775.388080391</v>
      </c>
      <c r="BC7" s="65" t="n">
        <f aca="false">('Revenue Streams'!BC$7+'Revenue Streams'!BC$8)*'Assumption Setting'!$G$149*'Assumption Setting'!$C$150*'Assumption Setting'!$C$151</f>
        <v>16125.3228128236</v>
      </c>
      <c r="BD7" s="65" t="n">
        <f aca="false">('Revenue Streams'!BD$7+'Revenue Streams'!BD$8)*'Assumption Setting'!$G$149*'Assumption Setting'!$C$150*'Assumption Setting'!$C$151</f>
        <v>16489.2083373532</v>
      </c>
      <c r="BE7" s="65" t="n">
        <f aca="false">('Revenue Streams'!BE$7+'Revenue Streams'!BE$8)*'Assumption Setting'!$G$149*'Assumption Setting'!$C$150*'Assumption Setting'!$C$151</f>
        <v>16865.9210520588</v>
      </c>
      <c r="BF7" s="65" t="n">
        <f aca="false">('Revenue Streams'!BF$7+'Revenue Streams'!BF$8)*'Assumption Setting'!$G$149*'Assumption Setting'!$C$150*'Assumption Setting'!$C$151</f>
        <v>17254.8465278283</v>
      </c>
      <c r="BG7" s="65" t="n">
        <f aca="false">('Revenue Streams'!BG$7+'Revenue Streams'!BG$8)*'Assumption Setting'!$G$149*'Assumption Setting'!$C$150*'Assumption Setting'!$C$151</f>
        <v>17643.7720035977</v>
      </c>
      <c r="BH7" s="65" t="n">
        <f aca="false">('Revenue Streams'!BH$7+'Revenue Streams'!BH$8)*'Assumption Setting'!$G$149*'Assumption Setting'!$C$150*'Assumption Setting'!$C$151</f>
        <v>18032.6974793672</v>
      </c>
      <c r="BI7" s="65" t="n">
        <f aca="false">('Revenue Streams'!BI$7+'Revenue Streams'!BI$8)*'Assumption Setting'!$G$149*'Assumption Setting'!$C$150*'Assumption Setting'!$C$151</f>
        <v>18421.6229551367</v>
      </c>
      <c r="BJ7" s="65" t="n">
        <f aca="false">('Revenue Streams'!BJ$7+'Revenue Streams'!BJ$8)*'Assumption Setting'!$G$149*'Assumption Setting'!$C$150*'Assumption Setting'!$C$151</f>
        <v>18810.5484309061</v>
      </c>
      <c r="BK7" s="65" t="n">
        <f aca="false">('Revenue Streams'!BK$7+'Revenue Streams'!BK$8)*'Assumption Setting'!$G$149*'Assumption Setting'!$C$150*'Assumption Setting'!$C$151</f>
        <v>19199.4739066756</v>
      </c>
      <c r="BL7" s="65" t="n">
        <f aca="false">('Revenue Streams'!BL$7+'Revenue Streams'!BL$8)*'Assumption Setting'!$G$149*'Assumption Setting'!$C$150*'Assumption Setting'!$C$151</f>
        <v>19588.3993824451</v>
      </c>
      <c r="BM7" s="65" t="n">
        <f aca="false">('Revenue Streams'!BM$7+'Revenue Streams'!BM$8)*'Assumption Setting'!$G$149*'Assumption Setting'!$C$150*'Assumption Setting'!$C$151</f>
        <v>19977.3248582145</v>
      </c>
      <c r="BN7" s="65" t="n">
        <f aca="false">('Revenue Streams'!BN$7+'Revenue Streams'!BN$8)*'Assumption Setting'!$G$149*'Assumption Setting'!$C$150*'Assumption Setting'!$C$151</f>
        <v>20366.250333984</v>
      </c>
    </row>
    <row r="8" customFormat="false" ht="15" hidden="false" customHeight="false" outlineLevel="0" collapsed="false">
      <c r="A8" s="12" t="s">
        <v>801</v>
      </c>
      <c r="B8" s="64" t="n">
        <f aca="false">SUM(C8:N8)</f>
        <v>892.124317134287</v>
      </c>
      <c r="C8" s="65" t="n">
        <f aca="false">'Revenue Streams'!C$10*'Assumption Setting'!$C$149*'Assumption Setting'!$C$150*'Assumption Setting'!$C$152</f>
        <v>0</v>
      </c>
      <c r="D8" s="65" t="n">
        <f aca="false">'Revenue Streams'!D$10*'Assumption Setting'!$C$149*'Assumption Setting'!$C$150*'Assumption Setting'!$C$152</f>
        <v>0</v>
      </c>
      <c r="E8" s="65" t="n">
        <f aca="false">'Revenue Streams'!E$10*'Assumption Setting'!$C$149*'Assumption Setting'!$C$150*'Assumption Setting'!$C$152</f>
        <v>0</v>
      </c>
      <c r="F8" s="65" t="n">
        <f aca="false">'Revenue Streams'!F$10*'Assumption Setting'!$C$149*'Assumption Setting'!$C$150*'Assumption Setting'!$C$152</f>
        <v>19.8249848252064</v>
      </c>
      <c r="G8" s="65" t="n">
        <f aca="false">'Revenue Streams'!G$10*'Assumption Setting'!$C$149*'Assumption Setting'!$C$150*'Assumption Setting'!$C$152</f>
        <v>39.6499696504128</v>
      </c>
      <c r="H8" s="65" t="n">
        <f aca="false">'Revenue Streams'!H$10*'Assumption Setting'!$C$149*'Assumption Setting'!$C$150*'Assumption Setting'!$C$152</f>
        <v>59.4749544756191</v>
      </c>
      <c r="I8" s="65" t="n">
        <f aca="false">'Revenue Streams'!I$10*'Assumption Setting'!$C$149*'Assumption Setting'!$C$150*'Assumption Setting'!$C$152</f>
        <v>79.2999393008255</v>
      </c>
      <c r="J8" s="65" t="n">
        <f aca="false">'Revenue Streams'!J$10*'Assumption Setting'!$C$149*'Assumption Setting'!$C$150*'Assumption Setting'!$C$152</f>
        <v>99.1249241260319</v>
      </c>
      <c r="K8" s="65" t="n">
        <f aca="false">'Revenue Streams'!K$10*'Assumption Setting'!$C$149*'Assumption Setting'!$C$150*'Assumption Setting'!$C$152</f>
        <v>118.949908951238</v>
      </c>
      <c r="L8" s="65" t="n">
        <f aca="false">'Revenue Streams'!L$10*'Assumption Setting'!$C$149*'Assumption Setting'!$C$150*'Assumption Setting'!$C$152</f>
        <v>138.774893776445</v>
      </c>
      <c r="M8" s="65" t="n">
        <f aca="false">'Revenue Streams'!M$10*'Assumption Setting'!$C$149*'Assumption Setting'!$C$150*'Assumption Setting'!$C$152</f>
        <v>158.599878601651</v>
      </c>
      <c r="N8" s="65" t="n">
        <f aca="false">'Revenue Streams'!N$10*'Assumption Setting'!$C$149*'Assumption Setting'!$C$150*'Assumption Setting'!$C$152</f>
        <v>178.424863426857</v>
      </c>
      <c r="O8" s="64" t="n">
        <f aca="false">SUM(P8:AA8)</f>
        <v>10089.2107930892</v>
      </c>
      <c r="P8" s="65" t="n">
        <f aca="false">'Revenue Streams'!P$10*'Assumption Setting'!$D$149*'Assumption Setting'!$C$150*'Assumption Setting'!$C$152</f>
        <v>583.087788976658</v>
      </c>
      <c r="Q8" s="65" t="n">
        <f aca="false">'Revenue Streams'!Q$10*'Assumption Setting'!$D$149*'Assumption Setting'!$C$150*'Assumption Setting'!$C$152</f>
        <v>641.396567874324</v>
      </c>
      <c r="R8" s="65" t="n">
        <f aca="false">'Revenue Streams'!R$10*'Assumption Setting'!$D$149*'Assumption Setting'!$C$150*'Assumption Setting'!$C$152</f>
        <v>705.536224661756</v>
      </c>
      <c r="S8" s="65" t="n">
        <f aca="false">'Revenue Streams'!S$10*'Assumption Setting'!$D$149*'Assumption Setting'!$C$150*'Assumption Setting'!$C$152</f>
        <v>745.744317764437</v>
      </c>
      <c r="T8" s="65" t="n">
        <f aca="false">'Revenue Streams'!T$10*'Assumption Setting'!$D$149*'Assumption Setting'!$C$150*'Assumption Setting'!$C$152</f>
        <v>785.952410867118</v>
      </c>
      <c r="U8" s="65" t="n">
        <f aca="false">'Revenue Streams'!U$10*'Assumption Setting'!$D$149*'Assumption Setting'!$C$150*'Assumption Setting'!$C$152</f>
        <v>826.160503969799</v>
      </c>
      <c r="V8" s="65" t="n">
        <f aca="false">'Revenue Streams'!V$10*'Assumption Setting'!$D$149*'Assumption Setting'!$C$150*'Assumption Setting'!$C$152</f>
        <v>866.36859707248</v>
      </c>
      <c r="W8" s="65" t="n">
        <f aca="false">'Revenue Streams'!W$10*'Assumption Setting'!$D$149*'Assumption Setting'!$C$150*'Assumption Setting'!$C$152</f>
        <v>906.57669017516</v>
      </c>
      <c r="X8" s="65" t="n">
        <f aca="false">'Revenue Streams'!X$10*'Assumption Setting'!$D$149*'Assumption Setting'!$C$150*'Assumption Setting'!$C$152</f>
        <v>946.784783277841</v>
      </c>
      <c r="Y8" s="65" t="n">
        <f aca="false">'Revenue Streams'!Y$10*'Assumption Setting'!$D$149*'Assumption Setting'!$C$150*'Assumption Setting'!$C$152</f>
        <v>986.992876380522</v>
      </c>
      <c r="Z8" s="65" t="n">
        <f aca="false">'Revenue Streams'!Z$10*'Assumption Setting'!$D$149*'Assumption Setting'!$C$150*'Assumption Setting'!$C$152</f>
        <v>1027.2009694832</v>
      </c>
      <c r="AA8" s="65" t="n">
        <f aca="false">'Revenue Streams'!AA$10*'Assumption Setting'!$D$149*'Assumption Setting'!$C$150*'Assumption Setting'!$C$152</f>
        <v>1067.40906258588</v>
      </c>
      <c r="AB8" s="64" t="n">
        <f aca="false">SUM(AC8:AN8)</f>
        <v>18775.3791674753</v>
      </c>
      <c r="AC8" s="65" t="n">
        <f aca="false">'Revenue Streams'!AC$10*'Assumption Setting'!$E$149*'Assumption Setting'!$C$150*'Assumption Setting'!$C$152</f>
        <v>1224.20843523473</v>
      </c>
      <c r="AD8" s="65" t="n">
        <f aca="false">'Revenue Streams'!AD$10*'Assumption Setting'!$E$149*'Assumption Setting'!$C$150*'Assumption Setting'!$C$152</f>
        <v>1268.64895919032</v>
      </c>
      <c r="AE8" s="65" t="n">
        <f aca="false">'Revenue Streams'!AE$10*'Assumption Setting'!$E$149*'Assumption Setting'!$C$150*'Assumption Setting'!$C$152</f>
        <v>1316.54365309554</v>
      </c>
      <c r="AF8" s="65" t="n">
        <f aca="false">'Revenue Streams'!AF$10*'Assumption Setting'!$E$149*'Assumption Setting'!$C$150*'Assumption Setting'!$C$152</f>
        <v>1385.81221403098</v>
      </c>
      <c r="AG8" s="65" t="n">
        <f aca="false">'Revenue Streams'!AG$10*'Assumption Setting'!$E$149*'Assumption Setting'!$C$150*'Assumption Setting'!$C$152</f>
        <v>1455.08077496642</v>
      </c>
      <c r="AH8" s="65" t="n">
        <f aca="false">'Revenue Streams'!AH$10*'Assumption Setting'!$E$149*'Assumption Setting'!$C$150*'Assumption Setting'!$C$152</f>
        <v>1524.34933590186</v>
      </c>
      <c r="AI8" s="65" t="n">
        <f aca="false">'Revenue Streams'!AI$10*'Assumption Setting'!$E$149*'Assumption Setting'!$C$150*'Assumption Setting'!$C$152</f>
        <v>1593.61789683731</v>
      </c>
      <c r="AJ8" s="65" t="n">
        <f aca="false">'Revenue Streams'!AJ$10*'Assumption Setting'!$E$149*'Assumption Setting'!$C$150*'Assumption Setting'!$C$152</f>
        <v>1662.88645777275</v>
      </c>
      <c r="AK8" s="65" t="n">
        <f aca="false">'Revenue Streams'!AK$10*'Assumption Setting'!$E$149*'Assumption Setting'!$C$150*'Assumption Setting'!$C$152</f>
        <v>1732.15501870819</v>
      </c>
      <c r="AL8" s="65" t="n">
        <f aca="false">'Revenue Streams'!AL$10*'Assumption Setting'!$E$149*'Assumption Setting'!$C$150*'Assumption Setting'!$C$152</f>
        <v>1801.42357964363</v>
      </c>
      <c r="AM8" s="65" t="n">
        <f aca="false">'Revenue Streams'!AM$10*'Assumption Setting'!$E$149*'Assumption Setting'!$C$150*'Assumption Setting'!$C$152</f>
        <v>1870.69214057907</v>
      </c>
      <c r="AN8" s="65" t="n">
        <f aca="false">'Revenue Streams'!AN$10*'Assumption Setting'!$E$149*'Assumption Setting'!$C$150*'Assumption Setting'!$C$152</f>
        <v>1939.96070151451</v>
      </c>
      <c r="AO8" s="64" t="n">
        <f aca="false">SUM(AP8:BA8)</f>
        <v>29704.1745141662</v>
      </c>
      <c r="AP8" s="65" t="n">
        <f aca="false">'Revenue Streams'!AP$10*'Assumption Setting'!$F$149*'Assumption Setting'!$C$150*'Assumption Setting'!$C$152</f>
        <v>2104.90684637614</v>
      </c>
      <c r="AQ8" s="65" t="n">
        <f aca="false">'Revenue Streams'!AQ$10*'Assumption Setting'!$F$149*'Assumption Setting'!$C$150*'Assumption Setting'!$C$152</f>
        <v>2177.47391021327</v>
      </c>
      <c r="AR8" s="65" t="n">
        <f aca="false">'Revenue Streams'!AR$10*'Assumption Setting'!$F$149*'Assumption Setting'!$C$150*'Assumption Setting'!$C$152</f>
        <v>2247.44741164008</v>
      </c>
      <c r="AS8" s="65" t="n">
        <f aca="false">'Revenue Streams'!AS$10*'Assumption Setting'!$F$149*'Assumption Setting'!$C$150*'Assumption Setting'!$C$152</f>
        <v>2312.94340366622</v>
      </c>
      <c r="AT8" s="65" t="n">
        <f aca="false">'Revenue Streams'!AT$10*'Assumption Setting'!$F$149*'Assumption Setting'!$C$150*'Assumption Setting'!$C$152</f>
        <v>2378.43939569235</v>
      </c>
      <c r="AU8" s="65" t="n">
        <f aca="false">'Revenue Streams'!AU$10*'Assumption Setting'!$F$149*'Assumption Setting'!$C$150*'Assumption Setting'!$C$152</f>
        <v>2443.93538771848</v>
      </c>
      <c r="AV8" s="65" t="n">
        <f aca="false">'Revenue Streams'!AV$10*'Assumption Setting'!$F$149*'Assumption Setting'!$C$150*'Assumption Setting'!$C$152</f>
        <v>2509.43137974461</v>
      </c>
      <c r="AW8" s="65" t="n">
        <f aca="false">'Revenue Streams'!AW$10*'Assumption Setting'!$F$149*'Assumption Setting'!$C$150*'Assumption Setting'!$C$152</f>
        <v>2574.92737177074</v>
      </c>
      <c r="AX8" s="65" t="n">
        <f aca="false">'Revenue Streams'!AX$10*'Assumption Setting'!$F$149*'Assumption Setting'!$C$150*'Assumption Setting'!$C$152</f>
        <v>2640.42336379688</v>
      </c>
      <c r="AY8" s="65" t="n">
        <f aca="false">'Revenue Streams'!AY$10*'Assumption Setting'!$F$149*'Assumption Setting'!$C$150*'Assumption Setting'!$C$152</f>
        <v>2705.91935582301</v>
      </c>
      <c r="AZ8" s="65" t="n">
        <f aca="false">'Revenue Streams'!AZ$10*'Assumption Setting'!$F$149*'Assumption Setting'!$C$150*'Assumption Setting'!$C$152</f>
        <v>2771.41534784914</v>
      </c>
      <c r="BA8" s="65" t="n">
        <f aca="false">'Revenue Streams'!BA$10*'Assumption Setting'!$F$149*'Assumption Setting'!$C$150*'Assumption Setting'!$C$152</f>
        <v>2836.91133987527</v>
      </c>
      <c r="BB8" s="64" t="n">
        <f aca="false">SUM(BC8:BN8)</f>
        <v>41167.4117355574</v>
      </c>
      <c r="BC8" s="65" t="n">
        <f aca="false">'Revenue Streams'!BC$10*'Assumption Setting'!$G$149*'Assumption Setting'!$C$150*'Assumption Setting'!$C$152</f>
        <v>3034.33493789692</v>
      </c>
      <c r="BD8" s="65" t="n">
        <f aca="false">'Revenue Streams'!BD$10*'Assumption Setting'!$G$149*'Assumption Setting'!$C$150*'Assumption Setting'!$C$152</f>
        <v>3102.80802046969</v>
      </c>
      <c r="BE8" s="65" t="n">
        <f aca="false">'Revenue Streams'!BE$10*'Assumption Setting'!$G$149*'Assumption Setting'!$C$150*'Assumption Setting'!$C$152</f>
        <v>3173.69482162397</v>
      </c>
      <c r="BF8" s="65" t="n">
        <f aca="false">'Revenue Streams'!BF$10*'Assumption Setting'!$G$149*'Assumption Setting'!$C$150*'Assumption Setting'!$C$152</f>
        <v>3246.87972297844</v>
      </c>
      <c r="BG8" s="65" t="n">
        <f aca="false">'Revenue Streams'!BG$10*'Assumption Setting'!$G$149*'Assumption Setting'!$C$150*'Assumption Setting'!$C$152</f>
        <v>3320.06462433291</v>
      </c>
      <c r="BH8" s="65" t="n">
        <f aca="false">'Revenue Streams'!BH$10*'Assumption Setting'!$G$149*'Assumption Setting'!$C$150*'Assumption Setting'!$C$152</f>
        <v>3393.24952568738</v>
      </c>
      <c r="BI8" s="65" t="n">
        <f aca="false">'Revenue Streams'!BI$10*'Assumption Setting'!$G$149*'Assumption Setting'!$C$150*'Assumption Setting'!$C$152</f>
        <v>3466.43442704185</v>
      </c>
      <c r="BJ8" s="65" t="n">
        <f aca="false">'Revenue Streams'!BJ$10*'Assumption Setting'!$G$149*'Assumption Setting'!$C$150*'Assumption Setting'!$C$152</f>
        <v>3539.61932839632</v>
      </c>
      <c r="BK8" s="65" t="n">
        <f aca="false">'Revenue Streams'!BK$10*'Assumption Setting'!$G$149*'Assumption Setting'!$C$150*'Assumption Setting'!$C$152</f>
        <v>3612.80422975078</v>
      </c>
      <c r="BL8" s="65" t="n">
        <f aca="false">'Revenue Streams'!BL$10*'Assumption Setting'!$G$149*'Assumption Setting'!$C$150*'Assumption Setting'!$C$152</f>
        <v>3685.98913110525</v>
      </c>
      <c r="BM8" s="65" t="n">
        <f aca="false">'Revenue Streams'!BM$10*'Assumption Setting'!$G$149*'Assumption Setting'!$C$150*'Assumption Setting'!$C$152</f>
        <v>3759.17403245972</v>
      </c>
      <c r="BN8" s="65" t="n">
        <f aca="false">'Revenue Streams'!BN$10*'Assumption Setting'!$G$149*'Assumption Setting'!$C$150*'Assumption Setting'!$C$152</f>
        <v>3832.35893381419</v>
      </c>
    </row>
    <row r="9" customFormat="false" ht="15" hidden="false" customHeight="false" outlineLevel="0" collapsed="false">
      <c r="A9" s="12" t="s">
        <v>802</v>
      </c>
      <c r="B9" s="64" t="n">
        <f aca="false">SUM(C9:N9)</f>
        <v>286.754244793164</v>
      </c>
      <c r="C9" s="65" t="n">
        <f aca="false">'Revenue Streams'!C$12*'Assumption Setting'!$C$149*'Assumption Setting'!$C$150*'Assumption Setting'!$C$153</f>
        <v>0</v>
      </c>
      <c r="D9" s="65" t="n">
        <f aca="false">'Revenue Streams'!D$12*'Assumption Setting'!$C$149*'Assumption Setting'!$C$150*'Assumption Setting'!$C$153</f>
        <v>0</v>
      </c>
      <c r="E9" s="65" t="n">
        <f aca="false">'Revenue Streams'!E$12*'Assumption Setting'!$C$149*'Assumption Setting'!$C$150*'Assumption Setting'!$C$153</f>
        <v>0</v>
      </c>
      <c r="F9" s="65" t="n">
        <f aca="false">'Revenue Streams'!F$12*'Assumption Setting'!$C$149*'Assumption Setting'!$C$150*'Assumption Setting'!$C$153</f>
        <v>6.37231655095919</v>
      </c>
      <c r="G9" s="65" t="n">
        <f aca="false">'Revenue Streams'!G$12*'Assumption Setting'!$C$149*'Assumption Setting'!$C$150*'Assumption Setting'!$C$153</f>
        <v>12.7446331019184</v>
      </c>
      <c r="H9" s="65" t="n">
        <f aca="false">'Revenue Streams'!H$12*'Assumption Setting'!$C$149*'Assumption Setting'!$C$150*'Assumption Setting'!$C$153</f>
        <v>19.1169496528776</v>
      </c>
      <c r="I9" s="65" t="n">
        <f aca="false">'Revenue Streams'!I$12*'Assumption Setting'!$C$149*'Assumption Setting'!$C$150*'Assumption Setting'!$C$153</f>
        <v>25.4892662038368</v>
      </c>
      <c r="J9" s="65" t="n">
        <f aca="false">'Revenue Streams'!J$12*'Assumption Setting'!$C$149*'Assumption Setting'!$C$150*'Assumption Setting'!$C$153</f>
        <v>31.861582754796</v>
      </c>
      <c r="K9" s="65" t="n">
        <f aca="false">'Revenue Streams'!K$12*'Assumption Setting'!$C$149*'Assumption Setting'!$C$150*'Assumption Setting'!$C$153</f>
        <v>38.2338993057552</v>
      </c>
      <c r="L9" s="65" t="n">
        <f aca="false">'Revenue Streams'!L$12*'Assumption Setting'!$C$149*'Assumption Setting'!$C$150*'Assumption Setting'!$C$153</f>
        <v>44.6062158567143</v>
      </c>
      <c r="M9" s="65" t="n">
        <f aca="false">'Revenue Streams'!M$12*'Assumption Setting'!$C$149*'Assumption Setting'!$C$150*'Assumption Setting'!$C$153</f>
        <v>50.9785324076735</v>
      </c>
      <c r="N9" s="65" t="n">
        <f aca="false">'Revenue Streams'!N$12*'Assumption Setting'!$C$149*'Assumption Setting'!$C$150*'Assumption Setting'!$C$153</f>
        <v>57.3508489586327</v>
      </c>
      <c r="O9" s="64" t="n">
        <f aca="false">SUM(P9:AA9)</f>
        <v>3242.96061206438</v>
      </c>
      <c r="P9" s="65" t="n">
        <f aca="false">'Revenue Streams'!P$12*'Assumption Setting'!$D$149*'Assumption Setting'!$C$150*'Assumption Setting'!$C$153</f>
        <v>187.421075028212</v>
      </c>
      <c r="Q9" s="65" t="n">
        <f aca="false">'Revenue Streams'!Q$12*'Assumption Setting'!$D$149*'Assumption Setting'!$C$150*'Assumption Setting'!$C$153</f>
        <v>206.163182531033</v>
      </c>
      <c r="R9" s="65" t="n">
        <f aca="false">'Revenue Streams'!R$12*'Assumption Setting'!$D$149*'Assumption Setting'!$C$150*'Assumption Setting'!$C$153</f>
        <v>226.779500784136</v>
      </c>
      <c r="S9" s="65" t="n">
        <f aca="false">'Revenue Streams'!S$12*'Assumption Setting'!$D$149*'Assumption Setting'!$C$150*'Assumption Setting'!$C$153</f>
        <v>239.703530709998</v>
      </c>
      <c r="T9" s="65" t="n">
        <f aca="false">'Revenue Streams'!T$12*'Assumption Setting'!$D$149*'Assumption Setting'!$C$150*'Assumption Setting'!$C$153</f>
        <v>252.627560635859</v>
      </c>
      <c r="U9" s="65" t="n">
        <f aca="false">'Revenue Streams'!U$12*'Assumption Setting'!$D$149*'Assumption Setting'!$C$150*'Assumption Setting'!$C$153</f>
        <v>265.551590561721</v>
      </c>
      <c r="V9" s="65" t="n">
        <f aca="false">'Revenue Streams'!V$12*'Assumption Setting'!$D$149*'Assumption Setting'!$C$150*'Assumption Setting'!$C$153</f>
        <v>278.475620487583</v>
      </c>
      <c r="W9" s="65" t="n">
        <f aca="false">'Revenue Streams'!W$12*'Assumption Setting'!$D$149*'Assumption Setting'!$C$150*'Assumption Setting'!$C$153</f>
        <v>291.399650413444</v>
      </c>
      <c r="X9" s="65" t="n">
        <f aca="false">'Revenue Streams'!X$12*'Assumption Setting'!$D$149*'Assumption Setting'!$C$150*'Assumption Setting'!$C$153</f>
        <v>304.323680339306</v>
      </c>
      <c r="Y9" s="65" t="n">
        <f aca="false">'Revenue Streams'!Y$12*'Assumption Setting'!$D$149*'Assumption Setting'!$C$150*'Assumption Setting'!$C$153</f>
        <v>317.247710265168</v>
      </c>
      <c r="Z9" s="65" t="n">
        <f aca="false">'Revenue Streams'!Z$12*'Assumption Setting'!$D$149*'Assumption Setting'!$C$150*'Assumption Setting'!$C$153</f>
        <v>330.171740191029</v>
      </c>
      <c r="AA9" s="65" t="n">
        <f aca="false">'Revenue Streams'!AA$12*'Assumption Setting'!$D$149*'Assumption Setting'!$C$150*'Assumption Setting'!$C$153</f>
        <v>343.095770116891</v>
      </c>
      <c r="AB9" s="64" t="n">
        <f aca="false">SUM(AC9:AN9)</f>
        <v>6034.94330383135</v>
      </c>
      <c r="AC9" s="65" t="n">
        <f aca="false">'Revenue Streams'!AC$12*'Assumption Setting'!$E$149*'Assumption Setting'!$C$150*'Assumption Setting'!$C$153</f>
        <v>393.495568468306</v>
      </c>
      <c r="AD9" s="65" t="n">
        <f aca="false">'Revenue Streams'!AD$12*'Assumption Setting'!$E$149*'Assumption Setting'!$C$150*'Assumption Setting'!$C$153</f>
        <v>407.78002259689</v>
      </c>
      <c r="AE9" s="65" t="n">
        <f aca="false">'Revenue Streams'!AE$12*'Assumption Setting'!$E$149*'Assumption Setting'!$C$150*'Assumption Setting'!$C$153</f>
        <v>423.174745637853</v>
      </c>
      <c r="AF9" s="65" t="n">
        <f aca="false">'Revenue Streams'!AF$12*'Assumption Setting'!$E$149*'Assumption Setting'!$C$150*'Assumption Setting'!$C$153</f>
        <v>445.439640224244</v>
      </c>
      <c r="AG9" s="65" t="n">
        <f aca="false">'Revenue Streams'!AG$12*'Assumption Setting'!$E$149*'Assumption Setting'!$C$150*'Assumption Setting'!$C$153</f>
        <v>467.704534810636</v>
      </c>
      <c r="AH9" s="65" t="n">
        <f aca="false">'Revenue Streams'!AH$12*'Assumption Setting'!$E$149*'Assumption Setting'!$C$150*'Assumption Setting'!$C$153</f>
        <v>489.969429397028</v>
      </c>
      <c r="AI9" s="65" t="n">
        <f aca="false">'Revenue Streams'!AI$12*'Assumption Setting'!$E$149*'Assumption Setting'!$C$150*'Assumption Setting'!$C$153</f>
        <v>512.23432398342</v>
      </c>
      <c r="AJ9" s="65" t="n">
        <f aca="false">'Revenue Streams'!AJ$12*'Assumption Setting'!$E$149*'Assumption Setting'!$C$150*'Assumption Setting'!$C$153</f>
        <v>534.499218569812</v>
      </c>
      <c r="AK9" s="65" t="n">
        <f aca="false">'Revenue Streams'!AK$12*'Assumption Setting'!$E$149*'Assumption Setting'!$C$150*'Assumption Setting'!$C$153</f>
        <v>556.764113156203</v>
      </c>
      <c r="AL9" s="65" t="n">
        <f aca="false">'Revenue Streams'!AL$12*'Assumption Setting'!$E$149*'Assumption Setting'!$C$150*'Assumption Setting'!$C$153</f>
        <v>579.029007742595</v>
      </c>
      <c r="AM9" s="65" t="n">
        <f aca="false">'Revenue Streams'!AM$12*'Assumption Setting'!$E$149*'Assumption Setting'!$C$150*'Assumption Setting'!$C$153</f>
        <v>601.293902328987</v>
      </c>
      <c r="AN9" s="65" t="n">
        <f aca="false">'Revenue Streams'!AN$12*'Assumption Setting'!$E$149*'Assumption Setting'!$C$150*'Assumption Setting'!$C$153</f>
        <v>623.558796915379</v>
      </c>
      <c r="AO9" s="64" t="n">
        <f aca="false">SUM(AP9:BA9)</f>
        <v>9547.77037955342</v>
      </c>
      <c r="AP9" s="65" t="n">
        <f aca="false">'Revenue Streams'!AP$12*'Assumption Setting'!$F$149*'Assumption Setting'!$C$150*'Assumption Setting'!$C$153</f>
        <v>676.577200620903</v>
      </c>
      <c r="AQ9" s="65" t="n">
        <f aca="false">'Revenue Streams'!AQ$12*'Assumption Setting'!$F$149*'Assumption Setting'!$C$150*'Assumption Setting'!$C$153</f>
        <v>699.902328282837</v>
      </c>
      <c r="AR9" s="65" t="n">
        <f aca="false">'Revenue Streams'!AR$12*'Assumption Setting'!$F$149*'Assumption Setting'!$C$150*'Assumption Setting'!$C$153</f>
        <v>722.393810884313</v>
      </c>
      <c r="AS9" s="65" t="n">
        <f aca="false">'Revenue Streams'!AS$12*'Assumption Setting'!$F$149*'Assumption Setting'!$C$150*'Assumption Setting'!$C$153</f>
        <v>743.44609403557</v>
      </c>
      <c r="AT9" s="65" t="n">
        <f aca="false">'Revenue Streams'!AT$12*'Assumption Setting'!$F$149*'Assumption Setting'!$C$150*'Assumption Setting'!$C$153</f>
        <v>764.498377186827</v>
      </c>
      <c r="AU9" s="65" t="n">
        <f aca="false">'Revenue Streams'!AU$12*'Assumption Setting'!$F$149*'Assumption Setting'!$C$150*'Assumption Setting'!$C$153</f>
        <v>785.550660338083</v>
      </c>
      <c r="AV9" s="65" t="n">
        <f aca="false">'Revenue Streams'!AV$12*'Assumption Setting'!$F$149*'Assumption Setting'!$C$150*'Assumption Setting'!$C$153</f>
        <v>806.60294348934</v>
      </c>
      <c r="AW9" s="65" t="n">
        <f aca="false">'Revenue Streams'!AW$12*'Assumption Setting'!$F$149*'Assumption Setting'!$C$150*'Assumption Setting'!$C$153</f>
        <v>827.655226640596</v>
      </c>
      <c r="AX9" s="65" t="n">
        <f aca="false">'Revenue Streams'!AX$12*'Assumption Setting'!$F$149*'Assumption Setting'!$C$150*'Assumption Setting'!$C$153</f>
        <v>848.707509791853</v>
      </c>
      <c r="AY9" s="65" t="n">
        <f aca="false">'Revenue Streams'!AY$12*'Assumption Setting'!$F$149*'Assumption Setting'!$C$150*'Assumption Setting'!$C$153</f>
        <v>869.75979294311</v>
      </c>
      <c r="AZ9" s="65" t="n">
        <f aca="false">'Revenue Streams'!AZ$12*'Assumption Setting'!$F$149*'Assumption Setting'!$C$150*'Assumption Setting'!$C$153</f>
        <v>890.812076094366</v>
      </c>
      <c r="BA9" s="65" t="n">
        <f aca="false">'Revenue Streams'!BA$12*'Assumption Setting'!$F$149*'Assumption Setting'!$C$150*'Assumption Setting'!$C$153</f>
        <v>911.864359245623</v>
      </c>
      <c r="BB9" s="64" t="n">
        <f aca="false">SUM(BC9:BN9)</f>
        <v>13232.382343572</v>
      </c>
      <c r="BC9" s="65" t="n">
        <f aca="false">'Revenue Streams'!BC$12*'Assumption Setting'!$G$149*'Assumption Setting'!$C$150*'Assumption Setting'!$C$153</f>
        <v>975.32194432401</v>
      </c>
      <c r="BD9" s="65" t="n">
        <f aca="false">'Revenue Streams'!BD$12*'Assumption Setting'!$G$149*'Assumption Setting'!$C$150*'Assumption Setting'!$C$153</f>
        <v>997.331149436687</v>
      </c>
      <c r="BE9" s="65" t="n">
        <f aca="false">'Revenue Streams'!BE$12*'Assumption Setting'!$G$149*'Assumption Setting'!$C$150*'Assumption Setting'!$C$153</f>
        <v>1020.11619266485</v>
      </c>
      <c r="BF9" s="65" t="n">
        <f aca="false">'Revenue Streams'!BF$12*'Assumption Setting'!$G$149*'Assumption Setting'!$C$150*'Assumption Setting'!$C$153</f>
        <v>1043.63991095736</v>
      </c>
      <c r="BG9" s="65" t="n">
        <f aca="false">'Revenue Streams'!BG$12*'Assumption Setting'!$G$149*'Assumption Setting'!$C$150*'Assumption Setting'!$C$153</f>
        <v>1067.16362924986</v>
      </c>
      <c r="BH9" s="65" t="n">
        <f aca="false">'Revenue Streams'!BH$12*'Assumption Setting'!$G$149*'Assumption Setting'!$C$150*'Assumption Setting'!$C$153</f>
        <v>1090.68734754237</v>
      </c>
      <c r="BI9" s="65" t="n">
        <f aca="false">'Revenue Streams'!BI$12*'Assumption Setting'!$G$149*'Assumption Setting'!$C$150*'Assumption Setting'!$C$153</f>
        <v>1114.21106583488</v>
      </c>
      <c r="BJ9" s="65" t="n">
        <f aca="false">'Revenue Streams'!BJ$12*'Assumption Setting'!$G$149*'Assumption Setting'!$C$150*'Assumption Setting'!$C$153</f>
        <v>1137.73478412739</v>
      </c>
      <c r="BK9" s="65" t="n">
        <f aca="false">'Revenue Streams'!BK$12*'Assumption Setting'!$G$149*'Assumption Setting'!$C$150*'Assumption Setting'!$C$153</f>
        <v>1161.2585024199</v>
      </c>
      <c r="BL9" s="65" t="n">
        <f aca="false">'Revenue Streams'!BL$12*'Assumption Setting'!$G$149*'Assumption Setting'!$C$150*'Assumption Setting'!$C$153</f>
        <v>1184.7822207124</v>
      </c>
      <c r="BM9" s="65" t="n">
        <f aca="false">'Revenue Streams'!BM$12*'Assumption Setting'!$G$149*'Assumption Setting'!$C$150*'Assumption Setting'!$C$153</f>
        <v>1208.30593900491</v>
      </c>
      <c r="BN9" s="65" t="n">
        <f aca="false">'Revenue Streams'!BN$12*'Assumption Setting'!$G$149*'Assumption Setting'!$C$150*'Assumption Setting'!$C$153</f>
        <v>1231.82965729742</v>
      </c>
    </row>
    <row r="10" customFormat="false" ht="15" hidden="false" customHeight="false" outlineLevel="0" collapsed="false">
      <c r="A10" s="12" t="s">
        <v>803</v>
      </c>
      <c r="B10" s="64" t="n">
        <f aca="false">SUM(C10:N10)</f>
        <v>5682.15321763538</v>
      </c>
      <c r="C10" s="65" t="n">
        <f aca="false">('Revenue Streams'!C$7+'Revenue Streams'!C$8)*'Assumption Setting'!$C$158+'Revenue Streams'!C$10*'Assumption Setting'!$C$159+'Revenue Streams'!C$12*'Assumption Setting'!$C$160</f>
        <v>177.333333333333</v>
      </c>
      <c r="D10" s="65" t="n">
        <f aca="false">('Revenue Streams'!D$7+'Revenue Streams'!D$8)*'Assumption Setting'!$C$158+'Revenue Streams'!D$10*'Assumption Setting'!$C$159+'Revenue Streams'!D$12*'Assumption Setting'!$C$160</f>
        <v>283.733333333333</v>
      </c>
      <c r="E10" s="65" t="n">
        <f aca="false">('Revenue Streams'!E$7+'Revenue Streams'!E$8)*'Assumption Setting'!$C$158+'Revenue Streams'!E$10*'Assumption Setting'!$C$159+'Revenue Streams'!E$12*'Assumption Setting'!$C$160</f>
        <v>354.666666666667</v>
      </c>
      <c r="F10" s="65" t="n">
        <f aca="false">('Revenue Streams'!F$7+'Revenue Streams'!F$8)*'Assumption Setting'!$C$158+'Revenue Streams'!F$10*'Assumption Setting'!$C$159+'Revenue Streams'!F$12*'Assumption Setting'!$C$160</f>
        <v>391.875997428934</v>
      </c>
      <c r="G10" s="65" t="n">
        <f aca="false">('Revenue Streams'!G$7+'Revenue Streams'!G$8)*'Assumption Setting'!$C$158+'Revenue Streams'!G$10*'Assumption Setting'!$C$159+'Revenue Streams'!G$12*'Assumption Setting'!$C$160</f>
        <v>429.085328191202</v>
      </c>
      <c r="H10" s="65" t="n">
        <f aca="false">('Revenue Streams'!H$7+'Revenue Streams'!H$8)*'Assumption Setting'!$C$158+'Revenue Streams'!H$10*'Assumption Setting'!$C$159+'Revenue Streams'!H$12*'Assumption Setting'!$C$160</f>
        <v>466.29465895347</v>
      </c>
      <c r="I10" s="65" t="n">
        <f aca="false">('Revenue Streams'!I$7+'Revenue Streams'!I$8)*'Assumption Setting'!$C$158+'Revenue Streams'!I$10*'Assumption Setting'!$C$159+'Revenue Streams'!I$12*'Assumption Setting'!$C$160</f>
        <v>503.503989715737</v>
      </c>
      <c r="J10" s="65" t="n">
        <f aca="false">('Revenue Streams'!J$7+'Revenue Streams'!J$8)*'Assumption Setting'!$C$158+'Revenue Streams'!J$10*'Assumption Setting'!$C$159+'Revenue Streams'!J$12*'Assumption Setting'!$C$160</f>
        <v>540.713320478005</v>
      </c>
      <c r="K10" s="65" t="n">
        <f aca="false">('Revenue Streams'!K$7+'Revenue Streams'!K$8)*'Assumption Setting'!$C$158+'Revenue Streams'!K$10*'Assumption Setting'!$C$159+'Revenue Streams'!K$12*'Assumption Setting'!$C$160</f>
        <v>577.922651240272</v>
      </c>
      <c r="L10" s="65" t="n">
        <f aca="false">('Revenue Streams'!L$7+'Revenue Streams'!L$8)*'Assumption Setting'!$C$158+'Revenue Streams'!L$10*'Assumption Setting'!$C$159+'Revenue Streams'!L$12*'Assumption Setting'!$C$160</f>
        <v>615.13198200254</v>
      </c>
      <c r="M10" s="65" t="n">
        <f aca="false">('Revenue Streams'!M$7+'Revenue Streams'!M$8)*'Assumption Setting'!$C$158+'Revenue Streams'!M$10*'Assumption Setting'!$C$159+'Revenue Streams'!M$12*'Assumption Setting'!$C$160</f>
        <v>652.341312764808</v>
      </c>
      <c r="N10" s="65" t="n">
        <f aca="false">('Revenue Streams'!N$7+'Revenue Streams'!N$8)*'Assumption Setting'!$C$158+'Revenue Streams'!N$10*'Assumption Setting'!$C$159+'Revenue Streams'!N$12*'Assumption Setting'!$C$160</f>
        <v>689.550643527075</v>
      </c>
      <c r="O10" s="64" t="n">
        <f aca="false">SUM(P10:AA10)</f>
        <v>19077.3525167012</v>
      </c>
      <c r="P10" s="65" t="n">
        <f aca="false">('Revenue Streams'!P$7+'Revenue Streams'!P$8)*'Assumption Setting'!$D$158+'Revenue Streams'!P$10*'Assumption Setting'!$C$159+'Revenue Streams'!P$12*'Assumption Setting'!$C$160</f>
        <v>1577.40418954563</v>
      </c>
      <c r="Q10" s="65" t="n">
        <f aca="false">('Revenue Streams'!Q$7+'Revenue Streams'!Q$8)*'Assumption Setting'!$D$158+'Revenue Streams'!Q$10*'Assumption Setting'!$C$159+'Revenue Streams'!Q$12*'Assumption Setting'!$C$160</f>
        <v>1373.47794183353</v>
      </c>
      <c r="R10" s="65" t="n">
        <f aca="false">('Revenue Streams'!R$7+'Revenue Streams'!R$8)*'Assumption Setting'!$D$158+'Revenue Streams'!R$10*'Assumption Setting'!$C$159+'Revenue Streams'!R$12*'Assumption Setting'!$C$160</f>
        <v>1283.49240268355</v>
      </c>
      <c r="S10" s="65" t="n">
        <f aca="false">('Revenue Streams'!S$7+'Revenue Streams'!S$8)*'Assumption Setting'!$D$158+'Revenue Streams'!S$10*'Assumption Setting'!$C$159+'Revenue Streams'!S$12*'Assumption Setting'!$C$160</f>
        <v>1356.63787731658</v>
      </c>
      <c r="T10" s="65" t="n">
        <f aca="false">('Revenue Streams'!T$7+'Revenue Streams'!T$8)*'Assumption Setting'!$D$158+'Revenue Streams'!T$10*'Assumption Setting'!$C$159+'Revenue Streams'!T$12*'Assumption Setting'!$C$160</f>
        <v>1429.78335194962</v>
      </c>
      <c r="U10" s="65" t="n">
        <f aca="false">('Revenue Streams'!U$7+'Revenue Streams'!U$8)*'Assumption Setting'!$D$158+'Revenue Streams'!U$10*'Assumption Setting'!$C$159+'Revenue Streams'!U$12*'Assumption Setting'!$C$160</f>
        <v>1502.92882658265</v>
      </c>
      <c r="V10" s="65" t="n">
        <f aca="false">('Revenue Streams'!V$7+'Revenue Streams'!V$8)*'Assumption Setting'!$D$158+'Revenue Streams'!V$10*'Assumption Setting'!$C$159+'Revenue Streams'!V$12*'Assumption Setting'!$C$160</f>
        <v>1576.07430121569</v>
      </c>
      <c r="W10" s="65" t="n">
        <f aca="false">('Revenue Streams'!W$7+'Revenue Streams'!W$8)*'Assumption Setting'!$D$158+'Revenue Streams'!W$10*'Assumption Setting'!$C$159+'Revenue Streams'!W$12*'Assumption Setting'!$C$160</f>
        <v>1649.21977584872</v>
      </c>
      <c r="X10" s="65" t="n">
        <f aca="false">('Revenue Streams'!X$7+'Revenue Streams'!X$8)*'Assumption Setting'!$D$158+'Revenue Streams'!X$10*'Assumption Setting'!$C$159+'Revenue Streams'!X$12*'Assumption Setting'!$C$160</f>
        <v>1722.36525048176</v>
      </c>
      <c r="Y10" s="65" t="n">
        <f aca="false">('Revenue Streams'!Y$7+'Revenue Streams'!Y$8)*'Assumption Setting'!$D$158+'Revenue Streams'!Y$10*'Assumption Setting'!$C$159+'Revenue Streams'!Y$12*'Assumption Setting'!$C$160</f>
        <v>1795.51072511479</v>
      </c>
      <c r="Z10" s="65" t="n">
        <f aca="false">('Revenue Streams'!Z$7+'Revenue Streams'!Z$8)*'Assumption Setting'!$D$158+'Revenue Streams'!Z$10*'Assumption Setting'!$C$159+'Revenue Streams'!Z$12*'Assumption Setting'!$C$160</f>
        <v>1868.65619974783</v>
      </c>
      <c r="AA10" s="65" t="n">
        <f aca="false">('Revenue Streams'!AA$7+'Revenue Streams'!AA$8)*'Assumption Setting'!$D$158+'Revenue Streams'!AA$10*'Assumption Setting'!$C$159+'Revenue Streams'!AA$12*'Assumption Setting'!$C$160</f>
        <v>1941.80167438086</v>
      </c>
      <c r="AB10" s="64" t="n">
        <f aca="false">SUM(AC10:AN10)</f>
        <v>33278.4016468415</v>
      </c>
      <c r="AC10" s="65" t="n">
        <f aca="false">('Revenue Streams'!AC$7+'Revenue Streams'!AC$8)*'Assumption Setting'!$E$158+'Revenue Streams'!AC$10*'Assumption Setting'!$C$159+'Revenue Streams'!AC$12*'Assumption Setting'!$C$160</f>
        <v>2169.84699183951</v>
      </c>
      <c r="AD10" s="65" t="n">
        <f aca="false">('Revenue Streams'!AD$7+'Revenue Streams'!AD$8)*'Assumption Setting'!$E$158+'Revenue Streams'!AD$10*'Assumption Setting'!$C$159+'Revenue Streams'!AD$12*'Assumption Setting'!$C$160</f>
        <v>2248.61555317713</v>
      </c>
      <c r="AE10" s="65" t="n">
        <f aca="false">('Revenue Streams'!AE$7+'Revenue Streams'!AE$8)*'Assumption Setting'!$E$158+'Revenue Streams'!AE$10*'Assumption Setting'!$C$159+'Revenue Streams'!AE$12*'Assumption Setting'!$C$160</f>
        <v>2333.5064545173</v>
      </c>
      <c r="AF10" s="65" t="n">
        <f aca="false">('Revenue Streams'!AF$7+'Revenue Streams'!AF$8)*'Assumption Setting'!$E$158+'Revenue Streams'!AF$10*'Assumption Setting'!$C$159+'Revenue Streams'!AF$12*'Assumption Setting'!$C$160</f>
        <v>2456.28144466512</v>
      </c>
      <c r="AG10" s="65" t="n">
        <f aca="false">('Revenue Streams'!AG$7+'Revenue Streams'!AG$8)*'Assumption Setting'!$E$158+'Revenue Streams'!AG$10*'Assumption Setting'!$C$159+'Revenue Streams'!AG$12*'Assumption Setting'!$C$160</f>
        <v>2579.05643481294</v>
      </c>
      <c r="AH10" s="65" t="n">
        <f aca="false">('Revenue Streams'!AH$7+'Revenue Streams'!AH$8)*'Assumption Setting'!$E$158+'Revenue Streams'!AH$10*'Assumption Setting'!$C$159+'Revenue Streams'!AH$12*'Assumption Setting'!$C$160</f>
        <v>2701.83142496075</v>
      </c>
      <c r="AI10" s="65" t="n">
        <f aca="false">('Revenue Streams'!AI$7+'Revenue Streams'!AI$8)*'Assumption Setting'!$E$158+'Revenue Streams'!AI$10*'Assumption Setting'!$C$159+'Revenue Streams'!AI$12*'Assumption Setting'!$C$160</f>
        <v>2824.60641510857</v>
      </c>
      <c r="AJ10" s="65" t="n">
        <f aca="false">('Revenue Streams'!AJ$7+'Revenue Streams'!AJ$8)*'Assumption Setting'!$E$158+'Revenue Streams'!AJ$10*'Assumption Setting'!$C$159+'Revenue Streams'!AJ$12*'Assumption Setting'!$C$160</f>
        <v>2947.38140525639</v>
      </c>
      <c r="AK10" s="65" t="n">
        <f aca="false">('Revenue Streams'!AK$7+'Revenue Streams'!AK$8)*'Assumption Setting'!$E$158+'Revenue Streams'!AK$10*'Assumption Setting'!$C$159+'Revenue Streams'!AK$12*'Assumption Setting'!$C$160</f>
        <v>3070.15639540421</v>
      </c>
      <c r="AL10" s="65" t="n">
        <f aca="false">('Revenue Streams'!AL$7+'Revenue Streams'!AL$8)*'Assumption Setting'!$E$158+'Revenue Streams'!AL$10*'Assumption Setting'!$C$159+'Revenue Streams'!AL$12*'Assumption Setting'!$C$160</f>
        <v>3192.93138555202</v>
      </c>
      <c r="AM10" s="65" t="n">
        <f aca="false">('Revenue Streams'!AM$7+'Revenue Streams'!AM$8)*'Assumption Setting'!$E$158+'Revenue Streams'!AM$10*'Assumption Setting'!$C$159+'Revenue Streams'!AM$12*'Assumption Setting'!$C$160</f>
        <v>3315.70637569984</v>
      </c>
      <c r="AN10" s="65" t="n">
        <f aca="false">('Revenue Streams'!AN$7+'Revenue Streams'!AN$8)*'Assumption Setting'!$E$158+'Revenue Streams'!AN$10*'Assumption Setting'!$C$159+'Revenue Streams'!AN$12*'Assumption Setting'!$C$160</f>
        <v>3438.48136584766</v>
      </c>
      <c r="AO10" s="64" t="n">
        <f aca="false">SUM(AP10:BA10)</f>
        <v>52647.7560626082</v>
      </c>
      <c r="AP10" s="65" t="n">
        <f aca="false">('Revenue Streams'!AP$7+'Revenue Streams'!AP$8)*'Assumption Setting'!$F$158+'Revenue Streams'!AP$10*'Assumption Setting'!$C$159+'Revenue Streams'!AP$12*'Assumption Setting'!$C$160</f>
        <v>3730.74236180758</v>
      </c>
      <c r="AQ10" s="65" t="n">
        <f aca="false">('Revenue Streams'!AQ$7+'Revenue Streams'!AQ$8)*'Assumption Setting'!$F$158+'Revenue Streams'!AQ$10*'Assumption Setting'!$C$159+'Revenue Streams'!AQ$12*'Assumption Setting'!$C$160</f>
        <v>3859.36041423839</v>
      </c>
      <c r="AR10" s="65" t="n">
        <f aca="false">('Revenue Streams'!AR$7+'Revenue Streams'!AR$8)*'Assumption Setting'!$F$158+'Revenue Streams'!AR$10*'Assumption Setting'!$C$159+'Revenue Streams'!AR$12*'Assumption Setting'!$C$160</f>
        <v>3983.38162991663</v>
      </c>
      <c r="AS10" s="65" t="n">
        <f aca="false">('Revenue Streams'!AS$7+'Revenue Streams'!AS$8)*'Assumption Setting'!$F$158+'Revenue Streams'!AS$10*'Assumption Setting'!$C$159+'Revenue Streams'!AS$12*'Assumption Setting'!$C$160</f>
        <v>4099.46689630321</v>
      </c>
      <c r="AT10" s="65" t="n">
        <f aca="false">('Revenue Streams'!AT$7+'Revenue Streams'!AT$8)*'Assumption Setting'!$F$158+'Revenue Streams'!AT$10*'Assumption Setting'!$C$159+'Revenue Streams'!AT$12*'Assumption Setting'!$C$160</f>
        <v>4215.55216268978</v>
      </c>
      <c r="AU10" s="65" t="n">
        <f aca="false">('Revenue Streams'!AU$7+'Revenue Streams'!AU$8)*'Assumption Setting'!$F$158+'Revenue Streams'!AU$10*'Assumption Setting'!$C$159+'Revenue Streams'!AU$12*'Assumption Setting'!$C$160</f>
        <v>4331.63742907636</v>
      </c>
      <c r="AV10" s="65" t="n">
        <f aca="false">('Revenue Streams'!AV$7+'Revenue Streams'!AV$8)*'Assumption Setting'!$F$158+'Revenue Streams'!AV$10*'Assumption Setting'!$C$159+'Revenue Streams'!AV$12*'Assumption Setting'!$C$160</f>
        <v>4447.72269546293</v>
      </c>
      <c r="AW10" s="65" t="n">
        <f aca="false">('Revenue Streams'!AW$7+'Revenue Streams'!AW$8)*'Assumption Setting'!$F$158+'Revenue Streams'!AW$10*'Assumption Setting'!$C$159+'Revenue Streams'!AW$12*'Assumption Setting'!$C$160</f>
        <v>4563.80796184951</v>
      </c>
      <c r="AX10" s="65" t="n">
        <f aca="false">('Revenue Streams'!AX$7+'Revenue Streams'!AX$8)*'Assumption Setting'!$F$158+'Revenue Streams'!AX$10*'Assumption Setting'!$C$159+'Revenue Streams'!AX$12*'Assumption Setting'!$C$160</f>
        <v>4679.89322823608</v>
      </c>
      <c r="AY10" s="65" t="n">
        <f aca="false">('Revenue Streams'!AY$7+'Revenue Streams'!AY$8)*'Assumption Setting'!$F$158+'Revenue Streams'!AY$10*'Assumption Setting'!$C$159+'Revenue Streams'!AY$12*'Assumption Setting'!$C$160</f>
        <v>4795.97849462266</v>
      </c>
      <c r="AZ10" s="65" t="n">
        <f aca="false">('Revenue Streams'!AZ$7+'Revenue Streams'!AZ$8)*'Assumption Setting'!$F$158+'Revenue Streams'!AZ$10*'Assumption Setting'!$C$159+'Revenue Streams'!AZ$12*'Assumption Setting'!$C$160</f>
        <v>4912.06376100923</v>
      </c>
      <c r="BA10" s="65" t="n">
        <f aca="false">('Revenue Streams'!BA$7+'Revenue Streams'!BA$8)*'Assumption Setting'!$F$158+'Revenue Streams'!BA$10*'Assumption Setting'!$C$159+'Revenue Streams'!BA$12*'Assumption Setting'!$C$160</f>
        <v>5028.14902739581</v>
      </c>
      <c r="BB10" s="64" t="n">
        <f aca="false">SUM(BC10:BN10)</f>
        <v>72963.4840915609</v>
      </c>
      <c r="BC10" s="65" t="n">
        <f aca="false">('Revenue Streams'!BC$7+'Revenue Streams'!BC$8)*'Assumption Setting'!$G$158+'Revenue Streams'!BC$10*'Assumption Setting'!$C$159+'Revenue Streams'!BC$12*'Assumption Setting'!$C$160</f>
        <v>5377.93462440302</v>
      </c>
      <c r="BD10" s="65" t="n">
        <f aca="false">('Revenue Streams'!BD$7+'Revenue Streams'!BD$8)*'Assumption Setting'!$G$158+'Revenue Streams'!BD$10*'Assumption Setting'!$C$159+'Revenue Streams'!BD$12*'Assumption Setting'!$C$160</f>
        <v>5499.29359404365</v>
      </c>
      <c r="BE10" s="65" t="n">
        <f aca="false">('Revenue Streams'!BE$7+'Revenue Streams'!BE$8)*'Assumption Setting'!$G$158+'Revenue Streams'!BE$10*'Assumption Setting'!$C$159+'Revenue Streams'!BE$12*'Assumption Setting'!$C$160</f>
        <v>5624.93054254907</v>
      </c>
      <c r="BF10" s="65" t="n">
        <f aca="false">('Revenue Streams'!BF$7+'Revenue Streams'!BF$8)*'Assumption Setting'!$G$158+'Revenue Streams'!BF$10*'Assumption Setting'!$C$159+'Revenue Streams'!BF$12*'Assumption Setting'!$C$160</f>
        <v>5754.64055249626</v>
      </c>
      <c r="BG10" s="65" t="n">
        <f aca="false">('Revenue Streams'!BG$7+'Revenue Streams'!BG$8)*'Assumption Setting'!$G$158+'Revenue Streams'!BG$10*'Assumption Setting'!$C$159+'Revenue Streams'!BG$12*'Assumption Setting'!$C$160</f>
        <v>5884.35056244345</v>
      </c>
      <c r="BH10" s="65" t="n">
        <f aca="false">('Revenue Streams'!BH$7+'Revenue Streams'!BH$8)*'Assumption Setting'!$G$158+'Revenue Streams'!BH$10*'Assumption Setting'!$C$159+'Revenue Streams'!BH$12*'Assumption Setting'!$C$160</f>
        <v>6014.06057239064</v>
      </c>
      <c r="BI10" s="65" t="n">
        <f aca="false">('Revenue Streams'!BI$7+'Revenue Streams'!BI$8)*'Assumption Setting'!$G$158+'Revenue Streams'!BI$10*'Assumption Setting'!$C$159+'Revenue Streams'!BI$12*'Assumption Setting'!$C$160</f>
        <v>6143.77058233783</v>
      </c>
      <c r="BJ10" s="65" t="n">
        <f aca="false">('Revenue Streams'!BJ$7+'Revenue Streams'!BJ$8)*'Assumption Setting'!$G$158+'Revenue Streams'!BJ$10*'Assumption Setting'!$C$159+'Revenue Streams'!BJ$12*'Assumption Setting'!$C$160</f>
        <v>6273.48059228502</v>
      </c>
      <c r="BK10" s="65" t="n">
        <f aca="false">('Revenue Streams'!BK$7+'Revenue Streams'!BK$8)*'Assumption Setting'!$G$158+'Revenue Streams'!BK$10*'Assumption Setting'!$C$159+'Revenue Streams'!BK$12*'Assumption Setting'!$C$160</f>
        <v>6403.19060223222</v>
      </c>
      <c r="BL10" s="65" t="n">
        <f aca="false">('Revenue Streams'!BL$7+'Revenue Streams'!BL$8)*'Assumption Setting'!$G$158+'Revenue Streams'!BL$10*'Assumption Setting'!$C$159+'Revenue Streams'!BL$12*'Assumption Setting'!$C$160</f>
        <v>6532.90061217941</v>
      </c>
      <c r="BM10" s="65" t="n">
        <f aca="false">('Revenue Streams'!BM$7+'Revenue Streams'!BM$8)*'Assumption Setting'!$G$158+'Revenue Streams'!BM$10*'Assumption Setting'!$C$159+'Revenue Streams'!BM$12*'Assumption Setting'!$C$160</f>
        <v>6662.6106221266</v>
      </c>
      <c r="BN10" s="65" t="n">
        <f aca="false">('Revenue Streams'!BN$7+'Revenue Streams'!BN$8)*'Assumption Setting'!$G$158+'Revenue Streams'!BN$10*'Assumption Setting'!$C$159+'Revenue Streams'!BN$12*'Assumption Setting'!$C$160</f>
        <v>6792.32063207379</v>
      </c>
    </row>
    <row r="11" customFormat="false" ht="15" hidden="false" customHeight="false" outlineLevel="0" collapsed="false">
      <c r="A11" s="12" t="s">
        <v>804</v>
      </c>
      <c r="B11" s="64" t="n">
        <f aca="false">SUM(C11:N11)</f>
        <v>2171.39463082453</v>
      </c>
      <c r="C11" s="65" t="n">
        <f aca="false">'Revenue Streams'!C$16*'Assumption Setting'!$C$161</f>
        <v>0</v>
      </c>
      <c r="D11" s="65" t="n">
        <f aca="false">'Revenue Streams'!D$16*'Assumption Setting'!$C$161</f>
        <v>0</v>
      </c>
      <c r="E11" s="65" t="n">
        <f aca="false">'Revenue Streams'!E$16*'Assumption Setting'!$C$161</f>
        <v>39.4799023786279</v>
      </c>
      <c r="F11" s="65" t="n">
        <f aca="false">'Revenue Streams'!F$16*'Assumption Setting'!$C$161</f>
        <v>78.9598047572557</v>
      </c>
      <c r="G11" s="65" t="n">
        <f aca="false">'Revenue Streams'!G$16*'Assumption Setting'!$C$161</f>
        <v>118.439707135884</v>
      </c>
      <c r="H11" s="65" t="n">
        <f aca="false">'Revenue Streams'!H$16*'Assumption Setting'!$C$161</f>
        <v>157.919609514511</v>
      </c>
      <c r="I11" s="65" t="n">
        <f aca="false">'Revenue Streams'!I$16*'Assumption Setting'!$C$161</f>
        <v>197.399511893139</v>
      </c>
      <c r="J11" s="65" t="n">
        <f aca="false">'Revenue Streams'!J$16*'Assumption Setting'!$C$161</f>
        <v>236.879414271767</v>
      </c>
      <c r="K11" s="65" t="n">
        <f aca="false">'Revenue Streams'!K$16*'Assumption Setting'!$C$161</f>
        <v>276.359316650395</v>
      </c>
      <c r="L11" s="65" t="n">
        <f aca="false">'Revenue Streams'!L$16*'Assumption Setting'!$C$161</f>
        <v>315.839219029023</v>
      </c>
      <c r="M11" s="65" t="n">
        <f aca="false">'Revenue Streams'!M$16*'Assumption Setting'!$C$161</f>
        <v>355.319121407651</v>
      </c>
      <c r="N11" s="65" t="n">
        <f aca="false">'Revenue Streams'!N$16*'Assumption Setting'!$C$161</f>
        <v>394.799023786279</v>
      </c>
      <c r="O11" s="64" t="n">
        <f aca="false">SUM(P11:AA11)</f>
        <v>22693.8523153642</v>
      </c>
      <c r="P11" s="65" t="n">
        <f aca="false">'Revenue Streams'!P$16*'Assumption Setting'!$D$161</f>
        <v>1371.4071352576</v>
      </c>
      <c r="Q11" s="65" t="n">
        <f aca="false">'Revenue Streams'!Q$16*'Assumption Setting'!$D$161</f>
        <v>1508.54784878336</v>
      </c>
      <c r="R11" s="65" t="n">
        <f aca="false">'Revenue Streams'!R$16*'Assumption Setting'!$D$161</f>
        <v>1594.51910048317</v>
      </c>
      <c r="S11" s="65" t="n">
        <f aca="false">'Revenue Streams'!S$16*'Assumption Setting'!$D$161</f>
        <v>1680.49035218298</v>
      </c>
      <c r="T11" s="65" t="n">
        <f aca="false">'Revenue Streams'!T$16*'Assumption Setting'!$D$161</f>
        <v>1766.46160388279</v>
      </c>
      <c r="U11" s="65" t="n">
        <f aca="false">'Revenue Streams'!U$16*'Assumption Setting'!$D$161</f>
        <v>1852.4328555826</v>
      </c>
      <c r="V11" s="65" t="n">
        <f aca="false">'Revenue Streams'!V$16*'Assumption Setting'!$D$161</f>
        <v>1938.40410728242</v>
      </c>
      <c r="W11" s="65" t="n">
        <f aca="false">'Revenue Streams'!W$16*'Assumption Setting'!$D$161</f>
        <v>2024.37535898223</v>
      </c>
      <c r="X11" s="65" t="n">
        <f aca="false">'Revenue Streams'!X$16*'Assumption Setting'!$D$161</f>
        <v>2110.34661068204</v>
      </c>
      <c r="Y11" s="65" t="n">
        <f aca="false">'Revenue Streams'!Y$16*'Assumption Setting'!$D$161</f>
        <v>2196.31786238185</v>
      </c>
      <c r="Z11" s="65" t="n">
        <f aca="false">'Revenue Streams'!Z$16*'Assumption Setting'!$D$161</f>
        <v>2282.28911408166</v>
      </c>
      <c r="AA11" s="65" t="n">
        <f aca="false">'Revenue Streams'!AA$16*'Assumption Setting'!$D$161</f>
        <v>2368.26036578147</v>
      </c>
      <c r="AB11" s="64" t="n">
        <f aca="false">SUM(AC11:AN11)</f>
        <v>45047.6898970694</v>
      </c>
      <c r="AC11" s="65" t="n">
        <f aca="false">'Revenue Streams'!AC$16*'Assumption Setting'!$E$161</f>
        <v>2921.70430652533</v>
      </c>
      <c r="AD11" s="65" t="n">
        <f aca="false">'Revenue Streams'!AD$16*'Assumption Setting'!$E$161</f>
        <v>3032.00600379855</v>
      </c>
      <c r="AE11" s="65" t="n">
        <f aca="false">'Revenue Streams'!AE$16*'Assumption Setting'!$E$161</f>
        <v>3191.531813776</v>
      </c>
      <c r="AF11" s="65" t="n">
        <f aca="false">'Revenue Streams'!AF$16*'Assumption Setting'!$E$161</f>
        <v>3351.05762375346</v>
      </c>
      <c r="AG11" s="65" t="n">
        <f aca="false">'Revenue Streams'!AG$16*'Assumption Setting'!$E$161</f>
        <v>3510.58343373091</v>
      </c>
      <c r="AH11" s="65" t="n">
        <f aca="false">'Revenue Streams'!AH$16*'Assumption Setting'!$E$161</f>
        <v>3670.10924370837</v>
      </c>
      <c r="AI11" s="65" t="n">
        <f aca="false">'Revenue Streams'!AI$16*'Assumption Setting'!$E$161</f>
        <v>3829.63505368582</v>
      </c>
      <c r="AJ11" s="65" t="n">
        <f aca="false">'Revenue Streams'!AJ$16*'Assumption Setting'!$E$161</f>
        <v>3989.16086366328</v>
      </c>
      <c r="AK11" s="65" t="n">
        <f aca="false">'Revenue Streams'!AK$16*'Assumption Setting'!$E$161</f>
        <v>4148.68667364073</v>
      </c>
      <c r="AL11" s="65" t="n">
        <f aca="false">'Revenue Streams'!AL$16*'Assumption Setting'!$E$161</f>
        <v>4308.21248361819</v>
      </c>
      <c r="AM11" s="65" t="n">
        <f aca="false">'Revenue Streams'!AM$16*'Assumption Setting'!$E$161</f>
        <v>4467.73829359564</v>
      </c>
      <c r="AN11" s="65" t="n">
        <f aca="false">'Revenue Streams'!AN$16*'Assumption Setting'!$E$161</f>
        <v>4627.2641035731</v>
      </c>
      <c r="AO11" s="64" t="n">
        <f aca="false">SUM(AP11:BA11)</f>
        <v>75098.8210219676</v>
      </c>
      <c r="AP11" s="65" t="n">
        <f aca="false">'Revenue Streams'!AP$16*'Assumption Setting'!$F$161</f>
        <v>5361.20470317662</v>
      </c>
      <c r="AQ11" s="65" t="n">
        <f aca="false">'Revenue Streams'!AQ$16*'Assumption Setting'!$F$161</f>
        <v>5533.48794532597</v>
      </c>
      <c r="AR11" s="65" t="n">
        <f aca="false">'Revenue Streams'!AR$16*'Assumption Setting'!$F$161</f>
        <v>5694.74701660243</v>
      </c>
      <c r="AS11" s="65" t="n">
        <f aca="false">'Revenue Streams'!AS$16*'Assumption Setting'!$F$161</f>
        <v>5856.00608787889</v>
      </c>
      <c r="AT11" s="65" t="n">
        <f aca="false">'Revenue Streams'!AT$16*'Assumption Setting'!$F$161</f>
        <v>6017.26515915535</v>
      </c>
      <c r="AU11" s="65" t="n">
        <f aca="false">'Revenue Streams'!AU$16*'Assumption Setting'!$F$161</f>
        <v>6178.52423043181</v>
      </c>
      <c r="AV11" s="65" t="n">
        <f aca="false">'Revenue Streams'!AV$16*'Assumption Setting'!$F$161</f>
        <v>6339.78330170827</v>
      </c>
      <c r="AW11" s="65" t="n">
        <f aca="false">'Revenue Streams'!AW$16*'Assumption Setting'!$F$161</f>
        <v>6501.04237298473</v>
      </c>
      <c r="AX11" s="65" t="n">
        <f aca="false">'Revenue Streams'!AX$16*'Assumption Setting'!$F$161</f>
        <v>6662.3014442612</v>
      </c>
      <c r="AY11" s="65" t="n">
        <f aca="false">'Revenue Streams'!AY$16*'Assumption Setting'!$F$161</f>
        <v>6823.56051553766</v>
      </c>
      <c r="AZ11" s="65" t="n">
        <f aca="false">'Revenue Streams'!AZ$16*'Assumption Setting'!$F$161</f>
        <v>6984.81958681412</v>
      </c>
      <c r="BA11" s="65" t="n">
        <f aca="false">'Revenue Streams'!BA$16*'Assumption Setting'!$F$161</f>
        <v>7146.07865809058</v>
      </c>
      <c r="BB11" s="64" t="n">
        <f aca="false">SUM(BC11:BN11)</f>
        <v>109611.569067224</v>
      </c>
      <c r="BC11" s="65" t="n">
        <f aca="false">'Revenue Streams'!BC$16*'Assumption Setting'!$G$161</f>
        <v>8090.26677179922</v>
      </c>
      <c r="BD11" s="65" t="n">
        <f aca="false">'Revenue Streams'!BD$16*'Assumption Setting'!$G$161</f>
        <v>8275.09713453974</v>
      </c>
      <c r="BE11" s="65" t="n">
        <f aca="false">'Revenue Streams'!BE$16*'Assumption Setting'!$G$161</f>
        <v>8465.91956754861</v>
      </c>
      <c r="BF11" s="65" t="n">
        <f aca="false">'Revenue Streams'!BF$16*'Assumption Setting'!$G$161</f>
        <v>8656.74200055748</v>
      </c>
      <c r="BG11" s="65" t="n">
        <f aca="false">'Revenue Streams'!BG$16*'Assumption Setting'!$G$161</f>
        <v>8847.56443356635</v>
      </c>
      <c r="BH11" s="65" t="n">
        <f aca="false">'Revenue Streams'!BH$16*'Assumption Setting'!$G$161</f>
        <v>9038.38686657522</v>
      </c>
      <c r="BI11" s="65" t="n">
        <f aca="false">'Revenue Streams'!BI$16*'Assumption Setting'!$G$161</f>
        <v>9229.20929958409</v>
      </c>
      <c r="BJ11" s="65" t="n">
        <f aca="false">'Revenue Streams'!BJ$16*'Assumption Setting'!$G$161</f>
        <v>9420.03173259296</v>
      </c>
      <c r="BK11" s="65" t="n">
        <f aca="false">'Revenue Streams'!BK$16*'Assumption Setting'!$G$161</f>
        <v>9610.85416560183</v>
      </c>
      <c r="BL11" s="65" t="n">
        <f aca="false">'Revenue Streams'!BL$16*'Assumption Setting'!$G$161</f>
        <v>9801.6765986107</v>
      </c>
      <c r="BM11" s="65" t="n">
        <f aca="false">'Revenue Streams'!BM$16*'Assumption Setting'!$G$161</f>
        <v>9992.49903161957</v>
      </c>
      <c r="BN11" s="65" t="n">
        <f aca="false">'Revenue Streams'!BN$16*'Assumption Setting'!$G$161</f>
        <v>10183.3214646284</v>
      </c>
    </row>
    <row r="12" customFormat="false" ht="15" hidden="false" customHeight="false" outlineLevel="0" collapsed="false">
      <c r="A12" s="12" t="s">
        <v>805</v>
      </c>
      <c r="B12" s="64" t="n">
        <f aca="false">SUM(C12:N12)</f>
        <v>2778.99285982713</v>
      </c>
      <c r="C12" s="65" t="n">
        <f aca="false">'Revenue Streams'!C$20*('Assumption Setting'!$C$162+'Assumption Setting'!$C$19)</f>
        <v>2778.99285982713</v>
      </c>
      <c r="D12" s="65" t="n">
        <f aca="false">'Revenue Streams'!D$20*('Assumption Setting'!$C$162+'Assumption Setting'!$C$19)</f>
        <v>0</v>
      </c>
      <c r="E12" s="65" t="n">
        <f aca="false">'Revenue Streams'!E$20*('Assumption Setting'!$C$162+'Assumption Setting'!$C$19)</f>
        <v>0</v>
      </c>
      <c r="F12" s="65" t="n">
        <f aca="false">'Revenue Streams'!F$20*('Assumption Setting'!$C$162+'Assumption Setting'!$C$19)</f>
        <v>0</v>
      </c>
      <c r="G12" s="65" t="n">
        <f aca="false">'Revenue Streams'!G$20*('Assumption Setting'!$C$162+'Assumption Setting'!$C$19)</f>
        <v>0</v>
      </c>
      <c r="H12" s="65" t="n">
        <f aca="false">'Revenue Streams'!H$20*('Assumption Setting'!$C$162+'Assumption Setting'!$C$19)</f>
        <v>0</v>
      </c>
      <c r="I12" s="65" t="n">
        <f aca="false">'Revenue Streams'!I$20*('Assumption Setting'!$C$162+'Assumption Setting'!$C$19)</f>
        <v>0</v>
      </c>
      <c r="J12" s="65" t="n">
        <f aca="false">'Revenue Streams'!J$20*('Assumption Setting'!$C$162+'Assumption Setting'!$C$19)</f>
        <v>0</v>
      </c>
      <c r="K12" s="65" t="n">
        <f aca="false">'Revenue Streams'!K$20*('Assumption Setting'!$C$162+'Assumption Setting'!$C$19)</f>
        <v>0</v>
      </c>
      <c r="L12" s="65" t="n">
        <f aca="false">'Revenue Streams'!L$20*('Assumption Setting'!$C$162+'Assumption Setting'!$C$19)</f>
        <v>0</v>
      </c>
      <c r="M12" s="65" t="n">
        <f aca="false">'Revenue Streams'!M$20*('Assumption Setting'!$C$162+'Assumption Setting'!$C$19)</f>
        <v>0</v>
      </c>
      <c r="N12" s="65" t="n">
        <f aca="false">'Revenue Streams'!N$20*('Assumption Setting'!$C$162+'Assumption Setting'!$C$19)</f>
        <v>0</v>
      </c>
      <c r="O12" s="64" t="n">
        <f aca="false">SUM(P12:AA12)</f>
        <v>0</v>
      </c>
      <c r="P12" s="65" t="n">
        <f aca="false">'Revenue Streams'!P$20*('Assumption Setting'!$C$162+'Assumption Setting'!$C$19)</f>
        <v>0</v>
      </c>
      <c r="Q12" s="65" t="n">
        <f aca="false">'Revenue Streams'!Q$20*('Assumption Setting'!$C$162+'Assumption Setting'!$C$19)</f>
        <v>0</v>
      </c>
      <c r="R12" s="65" t="n">
        <f aca="false">'Revenue Streams'!R$20*('Assumption Setting'!$C$162+'Assumption Setting'!$C$19)</f>
        <v>0</v>
      </c>
      <c r="S12" s="65" t="n">
        <f aca="false">'Revenue Streams'!S$20*('Assumption Setting'!$C$162+'Assumption Setting'!$C$19)</f>
        <v>0</v>
      </c>
      <c r="T12" s="65" t="n">
        <f aca="false">'Revenue Streams'!T$20*('Assumption Setting'!$C$162+'Assumption Setting'!$C$19)</f>
        <v>0</v>
      </c>
      <c r="U12" s="65" t="n">
        <f aca="false">'Revenue Streams'!U$20*('Assumption Setting'!$C$162+'Assumption Setting'!$C$19)</f>
        <v>0</v>
      </c>
      <c r="V12" s="65" t="n">
        <f aca="false">'Revenue Streams'!V$20*('Assumption Setting'!$C$162+'Assumption Setting'!$C$19)</f>
        <v>0</v>
      </c>
      <c r="W12" s="65" t="n">
        <f aca="false">'Revenue Streams'!W$20*('Assumption Setting'!$C$162+'Assumption Setting'!$C$19)</f>
        <v>0</v>
      </c>
      <c r="X12" s="65" t="n">
        <f aca="false">'Revenue Streams'!X$20*('Assumption Setting'!$C$162+'Assumption Setting'!$C$19)</f>
        <v>0</v>
      </c>
      <c r="Y12" s="65" t="n">
        <f aca="false">'Revenue Streams'!Y$20*('Assumption Setting'!$C$162+'Assumption Setting'!$C$19)</f>
        <v>0</v>
      </c>
      <c r="Z12" s="65" t="n">
        <f aca="false">'Revenue Streams'!Z$20*('Assumption Setting'!$C$162+'Assumption Setting'!$C$19)</f>
        <v>0</v>
      </c>
      <c r="AA12" s="65" t="n">
        <f aca="false">'Revenue Streams'!AA$20*('Assumption Setting'!$C$162+'Assumption Setting'!$C$19)</f>
        <v>0</v>
      </c>
      <c r="AB12" s="64" t="n">
        <f aca="false">SUM(AC12:AN12)</f>
        <v>0</v>
      </c>
      <c r="AC12" s="65" t="n">
        <f aca="false">'Revenue Streams'!AC$20*('Assumption Setting'!$C$162+'Assumption Setting'!$C$19)</f>
        <v>0</v>
      </c>
      <c r="AD12" s="65" t="n">
        <f aca="false">'Revenue Streams'!AD$20*('Assumption Setting'!$C$162+'Assumption Setting'!$C$19)</f>
        <v>0</v>
      </c>
      <c r="AE12" s="65" t="n">
        <f aca="false">'Revenue Streams'!AE$20*('Assumption Setting'!$C$162+'Assumption Setting'!$C$19)</f>
        <v>0</v>
      </c>
      <c r="AF12" s="65" t="n">
        <f aca="false">'Revenue Streams'!AF$20*('Assumption Setting'!$C$162+'Assumption Setting'!$C$19)</f>
        <v>0</v>
      </c>
      <c r="AG12" s="65" t="n">
        <f aca="false">'Revenue Streams'!AG$20*('Assumption Setting'!$C$162+'Assumption Setting'!$C$19)</f>
        <v>0</v>
      </c>
      <c r="AH12" s="65" t="n">
        <f aca="false">'Revenue Streams'!AH$20*('Assumption Setting'!$C$162+'Assumption Setting'!$C$19)</f>
        <v>0</v>
      </c>
      <c r="AI12" s="65" t="n">
        <f aca="false">'Revenue Streams'!AI$20*('Assumption Setting'!$C$162+'Assumption Setting'!$C$19)</f>
        <v>0</v>
      </c>
      <c r="AJ12" s="65" t="n">
        <f aca="false">'Revenue Streams'!AJ$20*('Assumption Setting'!$C$162+'Assumption Setting'!$C$19)</f>
        <v>0</v>
      </c>
      <c r="AK12" s="65" t="n">
        <f aca="false">'Revenue Streams'!AK$20*('Assumption Setting'!$C$162+'Assumption Setting'!$C$19)</f>
        <v>0</v>
      </c>
      <c r="AL12" s="65" t="n">
        <f aca="false">'Revenue Streams'!AL$20*('Assumption Setting'!$C$162+'Assumption Setting'!$C$19)</f>
        <v>0</v>
      </c>
      <c r="AM12" s="65" t="n">
        <f aca="false">'Revenue Streams'!AM$20*('Assumption Setting'!$C$162+'Assumption Setting'!$C$19)</f>
        <v>0</v>
      </c>
      <c r="AN12" s="65" t="n">
        <f aca="false">'Revenue Streams'!AN$20*('Assumption Setting'!$C$162+'Assumption Setting'!$C$19)</f>
        <v>0</v>
      </c>
      <c r="AO12" s="64" t="n">
        <f aca="false">SUM(AP12:BA12)</f>
        <v>0</v>
      </c>
      <c r="AP12" s="65" t="n">
        <f aca="false">'Revenue Streams'!AP$20*('Assumption Setting'!$C$162+'Assumption Setting'!$C$19)</f>
        <v>0</v>
      </c>
      <c r="AQ12" s="65" t="n">
        <f aca="false">'Revenue Streams'!AQ$20*('Assumption Setting'!$C$162+'Assumption Setting'!$C$19)</f>
        <v>0</v>
      </c>
      <c r="AR12" s="65" t="n">
        <f aca="false">'Revenue Streams'!AR$20*('Assumption Setting'!$C$162+'Assumption Setting'!$C$19)</f>
        <v>0</v>
      </c>
      <c r="AS12" s="65" t="n">
        <f aca="false">'Revenue Streams'!AS$20*('Assumption Setting'!$C$162+'Assumption Setting'!$C$19)</f>
        <v>0</v>
      </c>
      <c r="AT12" s="65" t="n">
        <f aca="false">'Revenue Streams'!AT$20*('Assumption Setting'!$C$162+'Assumption Setting'!$C$19)</f>
        <v>0</v>
      </c>
      <c r="AU12" s="65" t="n">
        <f aca="false">'Revenue Streams'!AU$20*('Assumption Setting'!$C$162+'Assumption Setting'!$C$19)</f>
        <v>0</v>
      </c>
      <c r="AV12" s="65" t="n">
        <f aca="false">'Revenue Streams'!AV$20*('Assumption Setting'!$C$162+'Assumption Setting'!$C$19)</f>
        <v>0</v>
      </c>
      <c r="AW12" s="65" t="n">
        <f aca="false">'Revenue Streams'!AW$20*('Assumption Setting'!$C$162+'Assumption Setting'!$C$19)</f>
        <v>0</v>
      </c>
      <c r="AX12" s="65" t="n">
        <f aca="false">'Revenue Streams'!AX$20*('Assumption Setting'!$C$162+'Assumption Setting'!$C$19)</f>
        <v>0</v>
      </c>
      <c r="AY12" s="65" t="n">
        <f aca="false">'Revenue Streams'!AY$20*('Assumption Setting'!$C$162+'Assumption Setting'!$C$19)</f>
        <v>0</v>
      </c>
      <c r="AZ12" s="65" t="n">
        <f aca="false">'Revenue Streams'!AZ$20*('Assumption Setting'!$C$162+'Assumption Setting'!$C$19)</f>
        <v>0</v>
      </c>
      <c r="BA12" s="65" t="n">
        <f aca="false">'Revenue Streams'!BA$20*('Assumption Setting'!$C$162+'Assumption Setting'!$C$19)</f>
        <v>0</v>
      </c>
      <c r="BB12" s="64" t="n">
        <f aca="false">SUM(BC12:BN12)</f>
        <v>0</v>
      </c>
      <c r="BC12" s="65" t="n">
        <f aca="false">'Revenue Streams'!BC$20*('Assumption Setting'!$C$162+'Assumption Setting'!$C$19)</f>
        <v>0</v>
      </c>
      <c r="BD12" s="65" t="n">
        <f aca="false">'Revenue Streams'!BD$20*('Assumption Setting'!$C$162+'Assumption Setting'!$C$19)</f>
        <v>0</v>
      </c>
      <c r="BE12" s="65" t="n">
        <f aca="false">'Revenue Streams'!BE$20*('Assumption Setting'!$C$162+'Assumption Setting'!$C$19)</f>
        <v>0</v>
      </c>
      <c r="BF12" s="65" t="n">
        <f aca="false">'Revenue Streams'!BF$20*('Assumption Setting'!$C$162+'Assumption Setting'!$C$19)</f>
        <v>0</v>
      </c>
      <c r="BG12" s="65" t="n">
        <f aca="false">'Revenue Streams'!BG$20*('Assumption Setting'!$C$162+'Assumption Setting'!$C$19)</f>
        <v>0</v>
      </c>
      <c r="BH12" s="65" t="n">
        <f aca="false">'Revenue Streams'!BH$20*('Assumption Setting'!$C$162+'Assumption Setting'!$C$19)</f>
        <v>0</v>
      </c>
      <c r="BI12" s="65" t="n">
        <f aca="false">'Revenue Streams'!BI$20*('Assumption Setting'!$C$162+'Assumption Setting'!$C$19)</f>
        <v>0</v>
      </c>
      <c r="BJ12" s="65" t="n">
        <f aca="false">'Revenue Streams'!BJ$20*('Assumption Setting'!$C$162+'Assumption Setting'!$C$19)</f>
        <v>0</v>
      </c>
      <c r="BK12" s="65" t="n">
        <f aca="false">'Revenue Streams'!BK$20*('Assumption Setting'!$C$162+'Assumption Setting'!$C$19)</f>
        <v>0</v>
      </c>
      <c r="BL12" s="65" t="n">
        <f aca="false">'Revenue Streams'!BL$20*('Assumption Setting'!$C$162+'Assumption Setting'!$C$19)</f>
        <v>0</v>
      </c>
      <c r="BM12" s="65" t="n">
        <f aca="false">'Revenue Streams'!BM$20*('Assumption Setting'!$C$162+'Assumption Setting'!$C$19)</f>
        <v>0</v>
      </c>
      <c r="BN12" s="65" t="n">
        <f aca="false">'Revenue Streams'!BN$20*('Assumption Setting'!$C$162+'Assumption Setting'!$C$19)</f>
        <v>0</v>
      </c>
    </row>
    <row r="13" customFormat="false" ht="15" hidden="false" customHeight="false" outlineLevel="0" collapsed="false">
      <c r="A13" s="12" t="s">
        <v>806</v>
      </c>
      <c r="B13" s="64" t="n">
        <f aca="false">SUM(C13:N13)</f>
        <v>2500</v>
      </c>
      <c r="C13" s="65" t="n">
        <f aca="false">'Assumption Setting'!$C$118/12*'Assumption Setting'!$C$163</f>
        <v>208.333333333333</v>
      </c>
      <c r="D13" s="65" t="n">
        <f aca="false">'Assumption Setting'!$C$118/12*'Assumption Setting'!$C$163</f>
        <v>208.333333333333</v>
      </c>
      <c r="E13" s="65" t="n">
        <f aca="false">'Assumption Setting'!$C$118/12*'Assumption Setting'!$C$163</f>
        <v>208.333333333333</v>
      </c>
      <c r="F13" s="65" t="n">
        <f aca="false">'Assumption Setting'!$C$118/12*'Assumption Setting'!$C$163</f>
        <v>208.333333333333</v>
      </c>
      <c r="G13" s="65" t="n">
        <f aca="false">'Assumption Setting'!$C$118/12*'Assumption Setting'!$C$163</f>
        <v>208.333333333333</v>
      </c>
      <c r="H13" s="65" t="n">
        <f aca="false">'Assumption Setting'!$C$118/12*'Assumption Setting'!$C$163</f>
        <v>208.333333333333</v>
      </c>
      <c r="I13" s="65" t="n">
        <f aca="false">'Assumption Setting'!$C$118/12*'Assumption Setting'!$C$163</f>
        <v>208.333333333333</v>
      </c>
      <c r="J13" s="65" t="n">
        <f aca="false">'Assumption Setting'!$C$118/12*'Assumption Setting'!$C$163</f>
        <v>208.333333333333</v>
      </c>
      <c r="K13" s="65" t="n">
        <f aca="false">'Assumption Setting'!$C$118/12*'Assumption Setting'!$C$163</f>
        <v>208.333333333333</v>
      </c>
      <c r="L13" s="65" t="n">
        <f aca="false">'Assumption Setting'!$C$118/12*'Assumption Setting'!$C$163</f>
        <v>208.333333333333</v>
      </c>
      <c r="M13" s="65" t="n">
        <f aca="false">'Assumption Setting'!$C$118/12*'Assumption Setting'!$C$163</f>
        <v>208.333333333333</v>
      </c>
      <c r="N13" s="65" t="n">
        <f aca="false">'Assumption Setting'!$C$118/12*'Assumption Setting'!$C$163</f>
        <v>208.333333333333</v>
      </c>
      <c r="O13" s="64" t="n">
        <f aca="false">SUM(P13:AA13)</f>
        <v>7000</v>
      </c>
      <c r="P13" s="65" t="n">
        <f aca="false">'Assumption Setting'!$D$118/12*'Assumption Setting'!$D$163</f>
        <v>583.333333333333</v>
      </c>
      <c r="Q13" s="65" t="n">
        <f aca="false">'Assumption Setting'!$D$118/12*'Assumption Setting'!$D$163</f>
        <v>583.333333333333</v>
      </c>
      <c r="R13" s="65" t="n">
        <f aca="false">'Assumption Setting'!$D$118/12*'Assumption Setting'!$D$163</f>
        <v>583.333333333333</v>
      </c>
      <c r="S13" s="65" t="n">
        <f aca="false">'Assumption Setting'!$D$118/12*'Assumption Setting'!$D$163</f>
        <v>583.333333333333</v>
      </c>
      <c r="T13" s="65" t="n">
        <f aca="false">'Assumption Setting'!$D$118/12*'Assumption Setting'!$D$163</f>
        <v>583.333333333333</v>
      </c>
      <c r="U13" s="65" t="n">
        <f aca="false">'Assumption Setting'!$D$118/12*'Assumption Setting'!$D$163</f>
        <v>583.333333333333</v>
      </c>
      <c r="V13" s="65" t="n">
        <f aca="false">'Assumption Setting'!$D$118/12*'Assumption Setting'!$D$163</f>
        <v>583.333333333333</v>
      </c>
      <c r="W13" s="65" t="n">
        <f aca="false">'Assumption Setting'!$D$118/12*'Assumption Setting'!$D$163</f>
        <v>583.333333333333</v>
      </c>
      <c r="X13" s="65" t="n">
        <f aca="false">'Assumption Setting'!$D$118/12*'Assumption Setting'!$D$163</f>
        <v>583.333333333333</v>
      </c>
      <c r="Y13" s="65" t="n">
        <f aca="false">'Assumption Setting'!$D$118/12*'Assumption Setting'!$D$163</f>
        <v>583.333333333333</v>
      </c>
      <c r="Z13" s="65" t="n">
        <f aca="false">'Assumption Setting'!$D$118/12*'Assumption Setting'!$D$163</f>
        <v>583.333333333333</v>
      </c>
      <c r="AA13" s="65" t="n">
        <f aca="false">'Assumption Setting'!$D$118/12*'Assumption Setting'!$D$163</f>
        <v>583.333333333333</v>
      </c>
      <c r="AB13" s="64" t="n">
        <f aca="false">SUM(AC13:AN13)</f>
        <v>13500</v>
      </c>
      <c r="AC13" s="65" t="n">
        <f aca="false">'Assumption Setting'!$E$118/12*'Assumption Setting'!$E$163</f>
        <v>1125</v>
      </c>
      <c r="AD13" s="65" t="n">
        <f aca="false">'Assumption Setting'!$E$118/12*'Assumption Setting'!$E$163</f>
        <v>1125</v>
      </c>
      <c r="AE13" s="65" t="n">
        <f aca="false">'Assumption Setting'!$E$118/12*'Assumption Setting'!$E$163</f>
        <v>1125</v>
      </c>
      <c r="AF13" s="65" t="n">
        <f aca="false">'Assumption Setting'!$E$118/12*'Assumption Setting'!$E$163</f>
        <v>1125</v>
      </c>
      <c r="AG13" s="65" t="n">
        <f aca="false">'Assumption Setting'!$E$118/12*'Assumption Setting'!$E$163</f>
        <v>1125</v>
      </c>
      <c r="AH13" s="65" t="n">
        <f aca="false">'Assumption Setting'!$E$118/12*'Assumption Setting'!$E$163</f>
        <v>1125</v>
      </c>
      <c r="AI13" s="65" t="n">
        <f aca="false">'Assumption Setting'!$E$118/12*'Assumption Setting'!$E$163</f>
        <v>1125</v>
      </c>
      <c r="AJ13" s="65" t="n">
        <f aca="false">'Assumption Setting'!$E$118/12*'Assumption Setting'!$E$163</f>
        <v>1125</v>
      </c>
      <c r="AK13" s="65" t="n">
        <f aca="false">'Assumption Setting'!$E$118/12*'Assumption Setting'!$E$163</f>
        <v>1125</v>
      </c>
      <c r="AL13" s="65" t="n">
        <f aca="false">'Assumption Setting'!$E$118/12*'Assumption Setting'!$E$163</f>
        <v>1125</v>
      </c>
      <c r="AM13" s="65" t="n">
        <f aca="false">'Assumption Setting'!$E$118/12*'Assumption Setting'!$E$163</f>
        <v>1125</v>
      </c>
      <c r="AN13" s="65" t="n">
        <f aca="false">'Assumption Setting'!$E$118/12*'Assumption Setting'!$E$163</f>
        <v>1125</v>
      </c>
      <c r="AO13" s="64" t="n">
        <f aca="false">SUM(AP13:BA13)</f>
        <v>15600</v>
      </c>
      <c r="AP13" s="65" t="n">
        <f aca="false">'Assumption Setting'!$F$118/12*'Assumption Setting'!$F$163</f>
        <v>1300</v>
      </c>
      <c r="AQ13" s="65" t="n">
        <f aca="false">'Assumption Setting'!$F$118/12*'Assumption Setting'!$F$163</f>
        <v>1300</v>
      </c>
      <c r="AR13" s="65" t="n">
        <f aca="false">'Assumption Setting'!$F$118/12*'Assumption Setting'!$F$163</f>
        <v>1300</v>
      </c>
      <c r="AS13" s="65" t="n">
        <f aca="false">'Assumption Setting'!$F$118/12*'Assumption Setting'!$F$163</f>
        <v>1300</v>
      </c>
      <c r="AT13" s="65" t="n">
        <f aca="false">'Assumption Setting'!$F$118/12*'Assumption Setting'!$F$163</f>
        <v>1300</v>
      </c>
      <c r="AU13" s="65" t="n">
        <f aca="false">'Assumption Setting'!$F$118/12*'Assumption Setting'!$F$163</f>
        <v>1300</v>
      </c>
      <c r="AV13" s="65" t="n">
        <f aca="false">'Assumption Setting'!$F$118/12*'Assumption Setting'!$F$163</f>
        <v>1300</v>
      </c>
      <c r="AW13" s="65" t="n">
        <f aca="false">'Assumption Setting'!$F$118/12*'Assumption Setting'!$F$163</f>
        <v>1300</v>
      </c>
      <c r="AX13" s="65" t="n">
        <f aca="false">'Assumption Setting'!$F$118/12*'Assumption Setting'!$F$163</f>
        <v>1300</v>
      </c>
      <c r="AY13" s="65" t="n">
        <f aca="false">'Assumption Setting'!$F$118/12*'Assumption Setting'!$F$163</f>
        <v>1300</v>
      </c>
      <c r="AZ13" s="65" t="n">
        <f aca="false">'Assumption Setting'!$F$118/12*'Assumption Setting'!$F$163</f>
        <v>1300</v>
      </c>
      <c r="BA13" s="65" t="n">
        <f aca="false">'Assumption Setting'!$F$118/12*'Assumption Setting'!$F$163</f>
        <v>1300</v>
      </c>
      <c r="BB13" s="64" t="n">
        <f aca="false">SUM(BC13:BN13)</f>
        <v>17400</v>
      </c>
      <c r="BC13" s="65" t="n">
        <f aca="false">'Assumption Setting'!$G$118/12*'Assumption Setting'!$G$163</f>
        <v>1450</v>
      </c>
      <c r="BD13" s="65" t="n">
        <f aca="false">'Assumption Setting'!$G$118/12*'Assumption Setting'!$G$163</f>
        <v>1450</v>
      </c>
      <c r="BE13" s="65" t="n">
        <f aca="false">'Assumption Setting'!$G$118/12*'Assumption Setting'!$G$163</f>
        <v>1450</v>
      </c>
      <c r="BF13" s="65" t="n">
        <f aca="false">'Assumption Setting'!$G$118/12*'Assumption Setting'!$G$163</f>
        <v>1450</v>
      </c>
      <c r="BG13" s="65" t="n">
        <f aca="false">'Assumption Setting'!$G$118/12*'Assumption Setting'!$G$163</f>
        <v>1450</v>
      </c>
      <c r="BH13" s="65" t="n">
        <f aca="false">'Assumption Setting'!$G$118/12*'Assumption Setting'!$G$163</f>
        <v>1450</v>
      </c>
      <c r="BI13" s="65" t="n">
        <f aca="false">'Assumption Setting'!$G$118/12*'Assumption Setting'!$G$163</f>
        <v>1450</v>
      </c>
      <c r="BJ13" s="65" t="n">
        <f aca="false">'Assumption Setting'!$G$118/12*'Assumption Setting'!$G$163</f>
        <v>1450</v>
      </c>
      <c r="BK13" s="65" t="n">
        <f aca="false">'Assumption Setting'!$G$118/12*'Assumption Setting'!$G$163</f>
        <v>1450</v>
      </c>
      <c r="BL13" s="65" t="n">
        <f aca="false">'Assumption Setting'!$G$118/12*'Assumption Setting'!$G$163</f>
        <v>1450</v>
      </c>
      <c r="BM13" s="65" t="n">
        <f aca="false">'Assumption Setting'!$G$118/12*'Assumption Setting'!$G$163</f>
        <v>1450</v>
      </c>
      <c r="BN13" s="65" t="n">
        <f aca="false">'Assumption Setting'!$G$118/12*'Assumption Setting'!$G$163</f>
        <v>1450</v>
      </c>
    </row>
    <row r="14" customFormat="false" ht="15" hidden="false" customHeight="false" outlineLevel="0" collapsed="false">
      <c r="A14" s="12" t="s">
        <v>807</v>
      </c>
      <c r="B14" s="64" t="n">
        <f aca="false">SUM(C14:N14)</f>
        <v>1475.94096584717</v>
      </c>
      <c r="C14" s="65" t="n">
        <f aca="false">'Revenue Streams'!C$15*'Assumption Setting'!$C$164</f>
        <v>0</v>
      </c>
      <c r="D14" s="65" t="n">
        <f aca="false">'Revenue Streams'!D$15*'Assumption Setting'!$C$164</f>
        <v>0</v>
      </c>
      <c r="E14" s="65" t="n">
        <f aca="false">'Revenue Streams'!E$15*'Assumption Setting'!$C$164</f>
        <v>0</v>
      </c>
      <c r="F14" s="65" t="n">
        <f aca="false">'Revenue Streams'!F$15*'Assumption Setting'!$C$164</f>
        <v>0</v>
      </c>
      <c r="G14" s="65" t="n">
        <f aca="false">'Revenue Streams'!G$15*'Assumption Setting'!$C$164</f>
        <v>40.9983601624213</v>
      </c>
      <c r="H14" s="65" t="n">
        <f aca="false">'Revenue Streams'!H$15*'Assumption Setting'!$C$164</f>
        <v>81.9967203248425</v>
      </c>
      <c r="I14" s="65" t="n">
        <f aca="false">'Revenue Streams'!I$15*'Assumption Setting'!$C$164</f>
        <v>122.995080487264</v>
      </c>
      <c r="J14" s="65" t="n">
        <f aca="false">'Revenue Streams'!J$15*'Assumption Setting'!$C$164</f>
        <v>163.993440649685</v>
      </c>
      <c r="K14" s="65" t="n">
        <f aca="false">'Revenue Streams'!K$15*'Assumption Setting'!$C$164</f>
        <v>204.991800812106</v>
      </c>
      <c r="L14" s="65" t="n">
        <f aca="false">'Revenue Streams'!L$15*'Assumption Setting'!$C$164</f>
        <v>245.990160974528</v>
      </c>
      <c r="M14" s="65" t="n">
        <f aca="false">'Revenue Streams'!M$15*'Assumption Setting'!$C$164</f>
        <v>286.988521136949</v>
      </c>
      <c r="N14" s="65" t="n">
        <f aca="false">'Revenue Streams'!N$15*'Assumption Setting'!$C$164</f>
        <v>327.98688129937</v>
      </c>
      <c r="O14" s="64" t="n">
        <f aca="false">SUM(P14:AA14)</f>
        <v>17664.3146926893</v>
      </c>
      <c r="P14" s="65" t="n">
        <f aca="false">'Revenue Streams'!P$15*'Assumption Setting'!$D$164</f>
        <v>971.013793320504</v>
      </c>
      <c r="Q14" s="65" t="n">
        <f aca="false">'Revenue Streams'!Q$15*'Assumption Setting'!$D$164</f>
        <v>1078.90421480056</v>
      </c>
      <c r="R14" s="65" t="n">
        <f aca="false">'Revenue Streams'!R$15*'Assumption Setting'!$D$164</f>
        <v>1186.79463628062</v>
      </c>
      <c r="S14" s="65" t="n">
        <f aca="false">'Revenue Streams'!S$15*'Assumption Setting'!$D$164</f>
        <v>1305.47409990868</v>
      </c>
      <c r="T14" s="65" t="n">
        <f aca="false">'Revenue Streams'!T$15*'Assumption Setting'!$D$164</f>
        <v>1379.87229849505</v>
      </c>
      <c r="U14" s="65" t="n">
        <f aca="false">'Revenue Streams'!U$15*'Assumption Setting'!$D$164</f>
        <v>1454.27049708143</v>
      </c>
      <c r="V14" s="65" t="n">
        <f aca="false">'Revenue Streams'!V$15*'Assumption Setting'!$D$164</f>
        <v>1528.6686956678</v>
      </c>
      <c r="W14" s="65" t="n">
        <f aca="false">'Revenue Streams'!W$15*'Assumption Setting'!$D$164</f>
        <v>1603.06689425418</v>
      </c>
      <c r="X14" s="65" t="n">
        <f aca="false">'Revenue Streams'!X$15*'Assumption Setting'!$D$164</f>
        <v>1677.46509284055</v>
      </c>
      <c r="Y14" s="65" t="n">
        <f aca="false">'Revenue Streams'!Y$15*'Assumption Setting'!$D$164</f>
        <v>1751.86329142693</v>
      </c>
      <c r="Z14" s="65" t="n">
        <f aca="false">'Revenue Streams'!Z$15*'Assumption Setting'!$D$164</f>
        <v>1826.2614900133</v>
      </c>
      <c r="AA14" s="65" t="n">
        <f aca="false">'Revenue Streams'!AA$15*'Assumption Setting'!$D$164</f>
        <v>1900.65968859968</v>
      </c>
      <c r="AB14" s="64" t="n">
        <f aca="false">SUM(AC14:AN14)</f>
        <v>34850.8069797796</v>
      </c>
      <c r="AC14" s="65" t="n">
        <f aca="false">'Revenue Streams'!AC$15*'Assumption Setting'!$E$164</f>
        <v>2282.28911408166</v>
      </c>
      <c r="AD14" s="65" t="n">
        <f aca="false">'Revenue Streams'!AD$15*'Assumption Setting'!$E$164</f>
        <v>2368.26036578147</v>
      </c>
      <c r="AE14" s="65" t="n">
        <f aca="false">'Revenue Streams'!AE$15*'Assumption Setting'!$E$164</f>
        <v>2454.23161748128</v>
      </c>
      <c r="AF14" s="65" t="n">
        <f aca="false">'Revenue Streams'!AF$15*'Assumption Setting'!$E$164</f>
        <v>2546.88504319078</v>
      </c>
      <c r="AG14" s="65" t="n">
        <f aca="false">'Revenue Streams'!AG$15*'Assumption Setting'!$E$164</f>
        <v>2680.88672357184</v>
      </c>
      <c r="AH14" s="65" t="n">
        <f aca="false">'Revenue Streams'!AH$15*'Assumption Setting'!$E$164</f>
        <v>2814.8884039529</v>
      </c>
      <c r="AI14" s="65" t="n">
        <f aca="false">'Revenue Streams'!AI$15*'Assumption Setting'!$E$164</f>
        <v>2948.89008433396</v>
      </c>
      <c r="AJ14" s="65" t="n">
        <f aca="false">'Revenue Streams'!AJ$15*'Assumption Setting'!$E$164</f>
        <v>3082.89176471502</v>
      </c>
      <c r="AK14" s="65" t="n">
        <f aca="false">'Revenue Streams'!AK$15*'Assumption Setting'!$E$164</f>
        <v>3216.89344509609</v>
      </c>
      <c r="AL14" s="65" t="n">
        <f aca="false">'Revenue Streams'!AL$15*'Assumption Setting'!$E$164</f>
        <v>3350.89512547715</v>
      </c>
      <c r="AM14" s="65" t="n">
        <f aca="false">'Revenue Streams'!AM$15*'Assumption Setting'!$E$164</f>
        <v>3484.89680585821</v>
      </c>
      <c r="AN14" s="65" t="n">
        <f aca="false">'Revenue Streams'!AN$15*'Assumption Setting'!$E$164</f>
        <v>3618.89848623927</v>
      </c>
      <c r="AO14" s="64" t="n">
        <f aca="false">SUM(AP14:BA14)</f>
        <v>57470.8013346049</v>
      </c>
      <c r="AP14" s="65" t="n">
        <f aca="false">'Revenue Streams'!AP$15*'Assumption Setting'!$F$164</f>
        <v>4041.5847948219</v>
      </c>
      <c r="AQ14" s="65" t="n">
        <f aca="false">'Revenue Streams'!AQ$15*'Assumption Setting'!$F$164</f>
        <v>4185.89429677073</v>
      </c>
      <c r="AR14" s="65" t="n">
        <f aca="false">'Revenue Streams'!AR$15*'Assumption Setting'!$F$164</f>
        <v>4330.20379871957</v>
      </c>
      <c r="AS14" s="65" t="n">
        <f aca="false">'Revenue Streams'!AS$15*'Assumption Setting'!$F$164</f>
        <v>4469.35564814789</v>
      </c>
      <c r="AT14" s="65" t="n">
        <f aca="false">'Revenue Streams'!AT$15*'Assumption Setting'!$F$164</f>
        <v>4599.60335956349</v>
      </c>
      <c r="AU14" s="65" t="n">
        <f aca="false">'Revenue Streams'!AU$15*'Assumption Setting'!$F$164</f>
        <v>4729.8510709791</v>
      </c>
      <c r="AV14" s="65" t="n">
        <f aca="false">'Revenue Streams'!AV$15*'Assumption Setting'!$F$164</f>
        <v>4860.0987823947</v>
      </c>
      <c r="AW14" s="65" t="n">
        <f aca="false">'Revenue Streams'!AW$15*'Assumption Setting'!$F$164</f>
        <v>4990.3464938103</v>
      </c>
      <c r="AX14" s="65" t="n">
        <f aca="false">'Revenue Streams'!AX$15*'Assumption Setting'!$F$164</f>
        <v>5120.59420522591</v>
      </c>
      <c r="AY14" s="65" t="n">
        <f aca="false">'Revenue Streams'!AY$15*'Assumption Setting'!$F$164</f>
        <v>5250.84191664151</v>
      </c>
      <c r="AZ14" s="65" t="n">
        <f aca="false">'Revenue Streams'!AZ$15*'Assumption Setting'!$F$164</f>
        <v>5381.08962805711</v>
      </c>
      <c r="BA14" s="65" t="n">
        <f aca="false">'Revenue Streams'!BA$15*'Assumption Setting'!$F$164</f>
        <v>5511.33733947272</v>
      </c>
      <c r="BB14" s="64" t="n">
        <f aca="false">SUM(BC14:BN14)</f>
        <v>82135.016284784</v>
      </c>
      <c r="BC14" s="65" t="n">
        <f aca="false">'Revenue Streams'!BC$15*'Assumption Setting'!$G$164</f>
        <v>6044.55541166606</v>
      </c>
      <c r="BD14" s="65" t="n">
        <f aca="false">'Revenue Streams'!BD$15*'Assumption Setting'!$G$164</f>
        <v>6184.10653103992</v>
      </c>
      <c r="BE14" s="65" t="n">
        <f aca="false">'Revenue Streams'!BE$15*'Assumption Setting'!$G$164</f>
        <v>6323.65765041378</v>
      </c>
      <c r="BF14" s="65" t="n">
        <f aca="false">'Revenue Streams'!BF$15*'Assumption Setting'!$G$164</f>
        <v>6468.12803320103</v>
      </c>
      <c r="BG14" s="65" t="n">
        <f aca="false">'Revenue Streams'!BG$15*'Assumption Setting'!$G$164</f>
        <v>6617.28204411367</v>
      </c>
      <c r="BH14" s="65" t="n">
        <f aca="false">'Revenue Streams'!BH$15*'Assumption Setting'!$G$164</f>
        <v>6766.43605502631</v>
      </c>
      <c r="BI14" s="65" t="n">
        <f aca="false">'Revenue Streams'!BI$15*'Assumption Setting'!$G$164</f>
        <v>6915.59006593895</v>
      </c>
      <c r="BJ14" s="65" t="n">
        <f aca="false">'Revenue Streams'!BJ$15*'Assumption Setting'!$G$164</f>
        <v>7064.74407685159</v>
      </c>
      <c r="BK14" s="65" t="n">
        <f aca="false">'Revenue Streams'!BK$15*'Assumption Setting'!$G$164</f>
        <v>7213.89808776423</v>
      </c>
      <c r="BL14" s="65" t="n">
        <f aca="false">'Revenue Streams'!BL$15*'Assumption Setting'!$G$164</f>
        <v>7363.05209867687</v>
      </c>
      <c r="BM14" s="65" t="n">
        <f aca="false">'Revenue Streams'!BM$15*'Assumption Setting'!$G$164</f>
        <v>7512.20610958951</v>
      </c>
      <c r="BN14" s="65" t="n">
        <f aca="false">'Revenue Streams'!BN$15*'Assumption Setting'!$G$164</f>
        <v>7661.36012050215</v>
      </c>
    </row>
    <row r="15" customFormat="false" ht="15" hidden="false" customHeight="false" outlineLevel="0" collapsed="false">
      <c r="A15" s="12" t="s">
        <v>808</v>
      </c>
      <c r="B15" s="64" t="n">
        <f aca="false">SUM(C15:N15)</f>
        <v>1610.64986352369</v>
      </c>
      <c r="C15" s="65" t="n">
        <f aca="false">'Revenue Streams'!C$18*'Assumption Setting'!$C$165</f>
        <v>0</v>
      </c>
      <c r="D15" s="65" t="n">
        <f aca="false">'Revenue Streams'!D$18*'Assumption Setting'!$C$165</f>
        <v>0</v>
      </c>
      <c r="E15" s="65" t="n">
        <f aca="false">'Revenue Streams'!E$18*'Assumption Setting'!$C$165</f>
        <v>0</v>
      </c>
      <c r="F15" s="65" t="n">
        <f aca="false">'Revenue Streams'!F$18*'Assumption Setting'!$C$165</f>
        <v>35.7922191894154</v>
      </c>
      <c r="G15" s="65" t="n">
        <f aca="false">'Revenue Streams'!G$18*'Assumption Setting'!$C$165</f>
        <v>71.5844383788308</v>
      </c>
      <c r="H15" s="65" t="n">
        <f aca="false">'Revenue Streams'!H$18*'Assumption Setting'!$C$165</f>
        <v>107.376657568246</v>
      </c>
      <c r="I15" s="65" t="n">
        <f aca="false">'Revenue Streams'!I$18*'Assumption Setting'!$C$165</f>
        <v>143.168876757662</v>
      </c>
      <c r="J15" s="65" t="n">
        <f aca="false">'Revenue Streams'!J$18*'Assumption Setting'!$C$165</f>
        <v>178.961095947077</v>
      </c>
      <c r="K15" s="65" t="n">
        <f aca="false">'Revenue Streams'!K$18*'Assumption Setting'!$C$165</f>
        <v>214.753315136492</v>
      </c>
      <c r="L15" s="65" t="n">
        <f aca="false">'Revenue Streams'!L$18*'Assumption Setting'!$C$165</f>
        <v>250.545534325908</v>
      </c>
      <c r="M15" s="65" t="n">
        <f aca="false">'Revenue Streams'!M$18*'Assumption Setting'!$C$165</f>
        <v>286.337753515323</v>
      </c>
      <c r="N15" s="65" t="n">
        <f aca="false">'Revenue Streams'!N$18*'Assumption Setting'!$C$165</f>
        <v>322.129972704739</v>
      </c>
      <c r="O15" s="64" t="n">
        <f aca="false">SUM(P15:AA15)</f>
        <v>16297.7735438177</v>
      </c>
      <c r="P15" s="65" t="n">
        <f aca="false">'Revenue Streams'!P$18*'Assumption Setting'!$D$165</f>
        <v>941.900504984615</v>
      </c>
      <c r="Q15" s="65" t="n">
        <f aca="false">'Revenue Streams'!Q$18*'Assumption Setting'!$D$165</f>
        <v>1036.09055548308</v>
      </c>
      <c r="R15" s="65" t="n">
        <f aca="false">'Revenue Streams'!R$18*'Assumption Setting'!$D$165</f>
        <v>1139.69961103138</v>
      </c>
      <c r="S15" s="65" t="n">
        <f aca="false">'Revenue Streams'!S$18*'Assumption Setting'!$D$165</f>
        <v>1204.65041932108</v>
      </c>
      <c r="T15" s="65" t="n">
        <f aca="false">'Revenue Streams'!T$18*'Assumption Setting'!$D$165</f>
        <v>1269.60122761077</v>
      </c>
      <c r="U15" s="65" t="n">
        <f aca="false">'Revenue Streams'!U$18*'Assumption Setting'!$D$165</f>
        <v>1334.55203590046</v>
      </c>
      <c r="V15" s="65" t="n">
        <f aca="false">'Revenue Streams'!V$18*'Assumption Setting'!$D$165</f>
        <v>1399.50284419015</v>
      </c>
      <c r="W15" s="65" t="n">
        <f aca="false">'Revenue Streams'!W$18*'Assumption Setting'!$D$165</f>
        <v>1464.45365247985</v>
      </c>
      <c r="X15" s="65" t="n">
        <f aca="false">'Revenue Streams'!X$18*'Assumption Setting'!$D$165</f>
        <v>1529.40446076954</v>
      </c>
      <c r="Y15" s="65" t="n">
        <f aca="false">'Revenue Streams'!Y$18*'Assumption Setting'!$D$165</f>
        <v>1594.35526905923</v>
      </c>
      <c r="Z15" s="65" t="n">
        <f aca="false">'Revenue Streams'!Z$18*'Assumption Setting'!$D$165</f>
        <v>1659.30607734892</v>
      </c>
      <c r="AA15" s="65" t="n">
        <f aca="false">'Revenue Streams'!AA$18*'Assumption Setting'!$D$165</f>
        <v>1724.25688563861</v>
      </c>
      <c r="AB15" s="64" t="n">
        <f aca="false">SUM(AC15:AN15)</f>
        <v>32928.7581062226</v>
      </c>
      <c r="AC15" s="65" t="n">
        <f aca="false">'Revenue Streams'!AC$18*'Assumption Setting'!$E$165</f>
        <v>2147.04923271397</v>
      </c>
      <c r="AD15" s="65" t="n">
        <f aca="false">'Revenue Streams'!AD$18*'Assumption Setting'!$E$165</f>
        <v>2224.9902026616</v>
      </c>
      <c r="AE15" s="65" t="n">
        <f aca="false">'Revenue Streams'!AE$18*'Assumption Setting'!$E$165</f>
        <v>2308.98918750812</v>
      </c>
      <c r="AF15" s="65" t="n">
        <f aca="false">'Revenue Streams'!AF$18*'Assumption Setting'!$E$165</f>
        <v>2430.47422741403</v>
      </c>
      <c r="AG15" s="65" t="n">
        <f aca="false">'Revenue Streams'!AG$18*'Assumption Setting'!$E$165</f>
        <v>2551.95926731994</v>
      </c>
      <c r="AH15" s="65" t="n">
        <f aca="false">'Revenue Streams'!AH$18*'Assumption Setting'!$E$165</f>
        <v>2673.44430722584</v>
      </c>
      <c r="AI15" s="65" t="n">
        <f aca="false">'Revenue Streams'!AI$18*'Assumption Setting'!$E$165</f>
        <v>2794.92934713175</v>
      </c>
      <c r="AJ15" s="65" t="n">
        <f aca="false">'Revenue Streams'!AJ$18*'Assumption Setting'!$E$165</f>
        <v>2916.41438703766</v>
      </c>
      <c r="AK15" s="65" t="n">
        <f aca="false">'Revenue Streams'!AK$18*'Assumption Setting'!$E$165</f>
        <v>3037.89942694357</v>
      </c>
      <c r="AL15" s="65" t="n">
        <f aca="false">'Revenue Streams'!AL$18*'Assumption Setting'!$E$165</f>
        <v>3159.38446684948</v>
      </c>
      <c r="AM15" s="65" t="n">
        <f aca="false">'Revenue Streams'!AM$18*'Assumption Setting'!$E$165</f>
        <v>3280.86950675538</v>
      </c>
      <c r="AN15" s="65" t="n">
        <f aca="false">'Revenue Streams'!AN$18*'Assumption Setting'!$E$165</f>
        <v>3402.35454666129</v>
      </c>
      <c r="AO15" s="64" t="n">
        <f aca="false">SUM(AP15:BA15)</f>
        <v>56358.3668237528</v>
      </c>
      <c r="AP15" s="65" t="n">
        <f aca="false">'Revenue Streams'!AP$18*'Assumption Setting'!$F$165</f>
        <v>3993.68486477616</v>
      </c>
      <c r="AQ15" s="65" t="n">
        <f aca="false">'Revenue Streams'!AQ$18*'Assumption Setting'!$F$165</f>
        <v>4131.36791000285</v>
      </c>
      <c r="AR15" s="65" t="n">
        <f aca="false">'Revenue Streams'!AR$18*'Assumption Setting'!$F$165</f>
        <v>4264.13013369212</v>
      </c>
      <c r="AS15" s="65" t="n">
        <f aca="false">'Revenue Streams'!AS$18*'Assumption Setting'!$F$165</f>
        <v>4388.39708284885</v>
      </c>
      <c r="AT15" s="65" t="n">
        <f aca="false">'Revenue Streams'!AT$18*'Assumption Setting'!$F$165</f>
        <v>4512.66403200557</v>
      </c>
      <c r="AU15" s="65" t="n">
        <f aca="false">'Revenue Streams'!AU$18*'Assumption Setting'!$F$165</f>
        <v>4636.93098116229</v>
      </c>
      <c r="AV15" s="65" t="n">
        <f aca="false">'Revenue Streams'!AV$18*'Assumption Setting'!$F$165</f>
        <v>4761.19793031902</v>
      </c>
      <c r="AW15" s="65" t="n">
        <f aca="false">'Revenue Streams'!AW$18*'Assumption Setting'!$F$165</f>
        <v>4885.46487947574</v>
      </c>
      <c r="AX15" s="65" t="n">
        <f aca="false">'Revenue Streams'!AX$18*'Assumption Setting'!$F$165</f>
        <v>5009.73182863246</v>
      </c>
      <c r="AY15" s="65" t="n">
        <f aca="false">'Revenue Streams'!AY$18*'Assumption Setting'!$F$165</f>
        <v>5133.99877778919</v>
      </c>
      <c r="AZ15" s="65" t="n">
        <f aca="false">'Revenue Streams'!AZ$18*'Assumption Setting'!$F$165</f>
        <v>5258.26572694591</v>
      </c>
      <c r="BA15" s="65" t="n">
        <f aca="false">'Revenue Streams'!BA$18*'Assumption Setting'!$F$165</f>
        <v>5382.53267610263</v>
      </c>
      <c r="BB15" s="64" t="n">
        <f aca="false">SUM(BC15:BN15)</f>
        <v>81304.0400639163</v>
      </c>
      <c r="BC15" s="65" t="n">
        <f aca="false">'Revenue Streams'!BC$18*'Assumption Setting'!$G$165</f>
        <v>5992.69370984106</v>
      </c>
      <c r="BD15" s="65" t="n">
        <f aca="false">'Revenue Streams'!BD$18*'Assumption Setting'!$G$165</f>
        <v>6127.92538980573</v>
      </c>
      <c r="BE15" s="65" t="n">
        <f aca="false">'Revenue Streams'!BE$18*'Assumption Setting'!$G$165</f>
        <v>6267.92407026862</v>
      </c>
      <c r="BF15" s="65" t="n">
        <f aca="false">'Revenue Streams'!BF$18*'Assumption Setting'!$G$165</f>
        <v>6412.46140941491</v>
      </c>
      <c r="BG15" s="65" t="n">
        <f aca="false">'Revenue Streams'!BG$18*'Assumption Setting'!$G$165</f>
        <v>6556.99874856121</v>
      </c>
      <c r="BH15" s="65" t="n">
        <f aca="false">'Revenue Streams'!BH$18*'Assumption Setting'!$G$165</f>
        <v>6701.53608770751</v>
      </c>
      <c r="BI15" s="65" t="n">
        <f aca="false">'Revenue Streams'!BI$18*'Assumption Setting'!$G$165</f>
        <v>6846.0734268538</v>
      </c>
      <c r="BJ15" s="65" t="n">
        <f aca="false">'Revenue Streams'!BJ$18*'Assumption Setting'!$G$165</f>
        <v>6990.6107660001</v>
      </c>
      <c r="BK15" s="65" t="n">
        <f aca="false">'Revenue Streams'!BK$18*'Assumption Setting'!$G$165</f>
        <v>7135.14810514639</v>
      </c>
      <c r="BL15" s="65" t="n">
        <f aca="false">'Revenue Streams'!BL$18*'Assumption Setting'!$G$165</f>
        <v>7279.68544429269</v>
      </c>
      <c r="BM15" s="65" t="n">
        <f aca="false">'Revenue Streams'!BM$18*'Assumption Setting'!$G$165</f>
        <v>7424.22278343899</v>
      </c>
      <c r="BN15" s="65" t="n">
        <f aca="false">'Revenue Streams'!BN$18*'Assumption Setting'!$G$165</f>
        <v>7568.76012258528</v>
      </c>
    </row>
    <row r="16" customFormat="false" ht="15" hidden="false" customHeight="false" outlineLevel="0" collapsed="false">
      <c r="A16" s="12" t="s">
        <v>809</v>
      </c>
      <c r="B16" s="64" t="n">
        <f aca="false">SUM(C16:N16)</f>
        <v>96.3879814430802</v>
      </c>
      <c r="C16" s="65" t="n">
        <f aca="false">'Revenue Streams'!C$14*'Assumption Setting'!$C$166</f>
        <v>0</v>
      </c>
      <c r="D16" s="65" t="n">
        <f aca="false">'Revenue Streams'!D$14*'Assumption Setting'!$C$166</f>
        <v>0</v>
      </c>
      <c r="E16" s="65" t="n">
        <f aca="false">'Revenue Streams'!E$14*'Assumption Setting'!$C$166</f>
        <v>0</v>
      </c>
      <c r="F16" s="65" t="n">
        <f aca="false">'Revenue Streams'!F$14*'Assumption Setting'!$C$166</f>
        <v>0</v>
      </c>
      <c r="G16" s="65" t="n">
        <f aca="false">'Revenue Streams'!G$14*'Assumption Setting'!$C$166</f>
        <v>2.67744392897445</v>
      </c>
      <c r="H16" s="65" t="n">
        <f aca="false">'Revenue Streams'!H$14*'Assumption Setting'!$C$166</f>
        <v>5.3548878579489</v>
      </c>
      <c r="I16" s="65" t="n">
        <f aca="false">'Revenue Streams'!I$14*'Assumption Setting'!$C$166</f>
        <v>8.03233178692335</v>
      </c>
      <c r="J16" s="65" t="n">
        <f aca="false">'Revenue Streams'!J$14*'Assumption Setting'!$C$166</f>
        <v>10.7097757158978</v>
      </c>
      <c r="K16" s="65" t="n">
        <f aca="false">'Revenue Streams'!K$14*'Assumption Setting'!$C$166</f>
        <v>13.3872196448723</v>
      </c>
      <c r="L16" s="65" t="n">
        <f aca="false">'Revenue Streams'!L$14*'Assumption Setting'!$C$166</f>
        <v>16.0646635738467</v>
      </c>
      <c r="M16" s="65" t="n">
        <f aca="false">'Revenue Streams'!M$14*'Assumption Setting'!$C$166</f>
        <v>18.7421075028212</v>
      </c>
      <c r="N16" s="65" t="n">
        <f aca="false">'Revenue Streams'!N$14*'Assumption Setting'!$C$166</f>
        <v>21.4195514317956</v>
      </c>
      <c r="O16" s="64" t="n">
        <f aca="false">SUM(P16:AA16)</f>
        <v>1153.58789829807</v>
      </c>
      <c r="P16" s="65" t="n">
        <f aca="false">'Revenue Streams'!P$14*'Assumption Setting'!$D$166</f>
        <v>63.413145686237</v>
      </c>
      <c r="Q16" s="65" t="n">
        <f aca="false">'Revenue Streams'!Q$14*'Assumption Setting'!$D$166</f>
        <v>70.4590507624855</v>
      </c>
      <c r="R16" s="65" t="n">
        <f aca="false">'Revenue Streams'!R$14*'Assumption Setting'!$D$166</f>
        <v>77.5049558387341</v>
      </c>
      <c r="S16" s="65" t="n">
        <f aca="false">'Revenue Streams'!S$14*'Assumption Setting'!$D$166</f>
        <v>85.2554514226075</v>
      </c>
      <c r="T16" s="65" t="n">
        <f aca="false">'Revenue Streams'!T$14*'Assumption Setting'!$D$166</f>
        <v>90.1141092894728</v>
      </c>
      <c r="U16" s="65" t="n">
        <f aca="false">'Revenue Streams'!U$14*'Assumption Setting'!$D$166</f>
        <v>94.9727671563381</v>
      </c>
      <c r="V16" s="65" t="n">
        <f aca="false">'Revenue Streams'!V$14*'Assumption Setting'!$D$166</f>
        <v>99.8314250232034</v>
      </c>
      <c r="W16" s="65" t="n">
        <f aca="false">'Revenue Streams'!W$14*'Assumption Setting'!$D$166</f>
        <v>104.690082890069</v>
      </c>
      <c r="X16" s="65" t="n">
        <f aca="false">'Revenue Streams'!X$14*'Assumption Setting'!$D$166</f>
        <v>109.548740756934</v>
      </c>
      <c r="Y16" s="65" t="n">
        <f aca="false">'Revenue Streams'!Y$14*'Assumption Setting'!$D$166</f>
        <v>114.407398623799</v>
      </c>
      <c r="Z16" s="65" t="n">
        <f aca="false">'Revenue Streams'!Z$14*'Assumption Setting'!$D$166</f>
        <v>119.266056490665</v>
      </c>
      <c r="AA16" s="65" t="n">
        <f aca="false">'Revenue Streams'!AA$14*'Assumption Setting'!$D$166</f>
        <v>124.12471435753</v>
      </c>
      <c r="AB16" s="64" t="n">
        <f aca="false">SUM(AC16:AN16)</f>
        <v>2215.78914078662</v>
      </c>
      <c r="AC16" s="65" t="n">
        <f aca="false">'Revenue Streams'!AC$14*'Assumption Setting'!$E$166</f>
        <v>145.106293752444</v>
      </c>
      <c r="AD16" s="65" t="n">
        <f aca="false">'Revenue Streams'!AD$14*'Assumption Setting'!$E$166</f>
        <v>150.572283852668</v>
      </c>
      <c r="AE16" s="65" t="n">
        <f aca="false">'Revenue Streams'!AE$14*'Assumption Setting'!$E$166</f>
        <v>156.038273952891</v>
      </c>
      <c r="AF16" s="65" t="n">
        <f aca="false">'Revenue Streams'!AF$14*'Assumption Setting'!$E$166</f>
        <v>161.929111851219</v>
      </c>
      <c r="AG16" s="65" t="n">
        <f aca="false">'Revenue Streams'!AG$14*'Assumption Setting'!$E$166</f>
        <v>170.448841922542</v>
      </c>
      <c r="AH16" s="65" t="n">
        <f aca="false">'Revenue Streams'!AH$14*'Assumption Setting'!$E$166</f>
        <v>178.968571993866</v>
      </c>
      <c r="AI16" s="65" t="n">
        <f aca="false">'Revenue Streams'!AI$14*'Assumption Setting'!$E$166</f>
        <v>187.488302065189</v>
      </c>
      <c r="AJ16" s="65" t="n">
        <f aca="false">'Revenue Streams'!AJ$14*'Assumption Setting'!$E$166</f>
        <v>196.008032136513</v>
      </c>
      <c r="AK16" s="65" t="n">
        <f aca="false">'Revenue Streams'!AK$14*'Assumption Setting'!$E$166</f>
        <v>204.527762207836</v>
      </c>
      <c r="AL16" s="65" t="n">
        <f aca="false">'Revenue Streams'!AL$14*'Assumption Setting'!$E$166</f>
        <v>213.047492279159</v>
      </c>
      <c r="AM16" s="65" t="n">
        <f aca="false">'Revenue Streams'!AM$14*'Assumption Setting'!$E$166</f>
        <v>221.567222350483</v>
      </c>
      <c r="AN16" s="65" t="n">
        <f aca="false">'Revenue Streams'!AN$14*'Assumption Setting'!$E$166</f>
        <v>230.086952421806</v>
      </c>
      <c r="AO16" s="64" t="n">
        <f aca="false">SUM(AP16:BA16)</f>
        <v>3675.70176174314</v>
      </c>
      <c r="AP16" s="65" t="n">
        <f aca="false">'Revenue Streams'!AP$14*'Assumption Setting'!$F$166</f>
        <v>258.49057270089</v>
      </c>
      <c r="AQ16" s="65" t="n">
        <f aca="false">'Revenue Streams'!AQ$14*'Assumption Setting'!$F$166</f>
        <v>267.720280278157</v>
      </c>
      <c r="AR16" s="65" t="n">
        <f aca="false">'Revenue Streams'!AR$14*'Assumption Setting'!$F$166</f>
        <v>276.949987855424</v>
      </c>
      <c r="AS16" s="65" t="n">
        <f aca="false">'Revenue Streams'!AS$14*'Assumption Setting'!$F$166</f>
        <v>285.849823706252</v>
      </c>
      <c r="AT16" s="65" t="n">
        <f aca="false">'Revenue Streams'!AT$14*'Assumption Setting'!$F$166</f>
        <v>294.180171138263</v>
      </c>
      <c r="AU16" s="65" t="n">
        <f aca="false">'Revenue Streams'!AU$14*'Assumption Setting'!$F$166</f>
        <v>302.510518570274</v>
      </c>
      <c r="AV16" s="65" t="n">
        <f aca="false">'Revenue Streams'!AV$14*'Assumption Setting'!$F$166</f>
        <v>310.840866002285</v>
      </c>
      <c r="AW16" s="65" t="n">
        <f aca="false">'Revenue Streams'!AW$14*'Assumption Setting'!$F$166</f>
        <v>319.171213434296</v>
      </c>
      <c r="AX16" s="65" t="n">
        <f aca="false">'Revenue Streams'!AX$14*'Assumption Setting'!$F$166</f>
        <v>327.501560866307</v>
      </c>
      <c r="AY16" s="65" t="n">
        <f aca="false">'Revenue Streams'!AY$14*'Assumption Setting'!$F$166</f>
        <v>335.831908298318</v>
      </c>
      <c r="AZ16" s="65" t="n">
        <f aca="false">'Revenue Streams'!AZ$14*'Assumption Setting'!$F$166</f>
        <v>344.162255730329</v>
      </c>
      <c r="BA16" s="65" t="n">
        <f aca="false">'Revenue Streams'!BA$14*'Assumption Setting'!$F$166</f>
        <v>352.49260316234</v>
      </c>
      <c r="BB16" s="64" t="n">
        <f aca="false">SUM(BC16:BN16)</f>
        <v>5280.10818973611</v>
      </c>
      <c r="BC16" s="65" t="n">
        <f aca="false">'Revenue Streams'!BC$14*'Assumption Setting'!$G$166</f>
        <v>388.578562178532</v>
      </c>
      <c r="BD16" s="65" t="n">
        <f aca="false">'Revenue Streams'!BD$14*'Assumption Setting'!$G$166</f>
        <v>397.549705566851</v>
      </c>
      <c r="BE16" s="65" t="n">
        <f aca="false">'Revenue Streams'!BE$14*'Assumption Setting'!$G$166</f>
        <v>406.520848955171</v>
      </c>
      <c r="BF16" s="65" t="n">
        <f aca="false">'Revenue Streams'!BF$14*'Assumption Setting'!$G$166</f>
        <v>415.80823070578</v>
      </c>
      <c r="BG16" s="65" t="n">
        <f aca="false">'Revenue Streams'!BG$14*'Assumption Setting'!$G$166</f>
        <v>425.396702835878</v>
      </c>
      <c r="BH16" s="65" t="n">
        <f aca="false">'Revenue Streams'!BH$14*'Assumption Setting'!$G$166</f>
        <v>434.985174965976</v>
      </c>
      <c r="BI16" s="65" t="n">
        <f aca="false">'Revenue Streams'!BI$14*'Assumption Setting'!$G$166</f>
        <v>444.573647096075</v>
      </c>
      <c r="BJ16" s="65" t="n">
        <f aca="false">'Revenue Streams'!BJ$14*'Assumption Setting'!$G$166</f>
        <v>454.162119226173</v>
      </c>
      <c r="BK16" s="65" t="n">
        <f aca="false">'Revenue Streams'!BK$14*'Assumption Setting'!$G$166</f>
        <v>463.750591356271</v>
      </c>
      <c r="BL16" s="65" t="n">
        <f aca="false">'Revenue Streams'!BL$14*'Assumption Setting'!$G$166</f>
        <v>473.33906348637</v>
      </c>
      <c r="BM16" s="65" t="n">
        <f aca="false">'Revenue Streams'!BM$14*'Assumption Setting'!$G$166</f>
        <v>482.927535616468</v>
      </c>
      <c r="BN16" s="65" t="n">
        <f aca="false">'Revenue Streams'!BN$14*'Assumption Setting'!$G$166</f>
        <v>492.516007746566</v>
      </c>
    </row>
    <row r="17" customFormat="false" ht="15" hidden="false" customHeight="false" outlineLevel="0" collapsed="false">
      <c r="A17" s="12" t="s">
        <v>810</v>
      </c>
      <c r="B17" s="64" t="n">
        <f aca="false">SUM(C17:N17)</f>
        <v>2061.63182531033</v>
      </c>
      <c r="C17" s="65" t="n">
        <f aca="false">'Revenue Streams'!C$13*'Assumption Setting'!$C$167</f>
        <v>0</v>
      </c>
      <c r="D17" s="65" t="n">
        <f aca="false">'Revenue Streams'!D$13*'Assumption Setting'!$C$167</f>
        <v>0</v>
      </c>
      <c r="E17" s="65" t="n">
        <f aca="false">'Revenue Streams'!E$13*'Assumption Setting'!$C$167</f>
        <v>0</v>
      </c>
      <c r="F17" s="65" t="n">
        <f aca="false">'Revenue Streams'!F$13*'Assumption Setting'!$C$167</f>
        <v>0</v>
      </c>
      <c r="G17" s="65" t="n">
        <f aca="false">'Revenue Streams'!G$13*'Assumption Setting'!$C$167</f>
        <v>57.2675507030646</v>
      </c>
      <c r="H17" s="65" t="n">
        <f aca="false">'Revenue Streams'!H$13*'Assumption Setting'!$C$167</f>
        <v>114.535101406129</v>
      </c>
      <c r="I17" s="65" t="n">
        <f aca="false">'Revenue Streams'!I$13*'Assumption Setting'!$C$167</f>
        <v>171.802652109194</v>
      </c>
      <c r="J17" s="65" t="n">
        <f aca="false">'Revenue Streams'!J$13*'Assumption Setting'!$C$167</f>
        <v>229.070202812259</v>
      </c>
      <c r="K17" s="65" t="n">
        <f aca="false">'Revenue Streams'!K$13*'Assumption Setting'!$C$167</f>
        <v>286.337753515323</v>
      </c>
      <c r="L17" s="65" t="n">
        <f aca="false">'Revenue Streams'!L$13*'Assumption Setting'!$C$167</f>
        <v>343.605304218388</v>
      </c>
      <c r="M17" s="65" t="n">
        <f aca="false">'Revenue Streams'!M$13*'Assumption Setting'!$C$167</f>
        <v>400.872854921452</v>
      </c>
      <c r="N17" s="65" t="n">
        <f aca="false">'Revenue Streams'!N$13*'Assumption Setting'!$C$167</f>
        <v>458.140405624517</v>
      </c>
      <c r="O17" s="64" t="n">
        <f aca="false">SUM(P17:AA17)</f>
        <v>24673.9633802644</v>
      </c>
      <c r="P17" s="65" t="n">
        <f aca="false">'Revenue Streams'!P$13*'Assumption Setting'!$D$167</f>
        <v>1356.33672717785</v>
      </c>
      <c r="Q17" s="65" t="n">
        <f aca="false">'Revenue Streams'!Q$13*'Assumption Setting'!$D$167</f>
        <v>1507.04080797539</v>
      </c>
      <c r="R17" s="65" t="n">
        <f aca="false">'Revenue Streams'!R$13*'Assumption Setting'!$D$167</f>
        <v>1657.74488877292</v>
      </c>
      <c r="S17" s="65" t="n">
        <f aca="false">'Revenue Streams'!S$13*'Assumption Setting'!$D$167</f>
        <v>1823.51937765022</v>
      </c>
      <c r="T17" s="65" t="n">
        <f aca="false">'Revenue Streams'!T$13*'Assumption Setting'!$D$167</f>
        <v>1927.44067091372</v>
      </c>
      <c r="U17" s="65" t="n">
        <f aca="false">'Revenue Streams'!U$13*'Assumption Setting'!$D$167</f>
        <v>2031.36196417723</v>
      </c>
      <c r="V17" s="65" t="n">
        <f aca="false">'Revenue Streams'!V$13*'Assumption Setting'!$D$167</f>
        <v>2135.28325744074</v>
      </c>
      <c r="W17" s="65" t="n">
        <f aca="false">'Revenue Streams'!W$13*'Assumption Setting'!$D$167</f>
        <v>2239.20455070425</v>
      </c>
      <c r="X17" s="65" t="n">
        <f aca="false">'Revenue Streams'!X$13*'Assumption Setting'!$D$167</f>
        <v>2343.12584396775</v>
      </c>
      <c r="Y17" s="65" t="n">
        <f aca="false">'Revenue Streams'!Y$13*'Assumption Setting'!$D$167</f>
        <v>2447.04713723126</v>
      </c>
      <c r="Z17" s="65" t="n">
        <f aca="false">'Revenue Streams'!Z$13*'Assumption Setting'!$D$167</f>
        <v>2550.96843049477</v>
      </c>
      <c r="AA17" s="65" t="n">
        <f aca="false">'Revenue Streams'!AA$13*'Assumption Setting'!$D$167</f>
        <v>2654.88972375828</v>
      </c>
      <c r="AB17" s="64" t="n">
        <f aca="false">SUM(AC17:AN17)</f>
        <v>38297.5900876699</v>
      </c>
      <c r="AC17" s="65" t="n">
        <f aca="false">'Revenue Streams'!AC$13*'Assumption Setting'!$E$167</f>
        <v>2508.01001547435</v>
      </c>
      <c r="AD17" s="65" t="n">
        <f aca="false">'Revenue Streams'!AD$13*'Assumption Setting'!$E$167</f>
        <v>2602.48391844117</v>
      </c>
      <c r="AE17" s="65" t="n">
        <f aca="false">'Revenue Streams'!AE$13*'Assumption Setting'!$E$167</f>
        <v>2696.957821408</v>
      </c>
      <c r="AF17" s="65" t="n">
        <f aca="false">'Revenue Streams'!AF$13*'Assumption Setting'!$E$167</f>
        <v>2798.77477273712</v>
      </c>
      <c r="AG17" s="65" t="n">
        <f aca="false">'Revenue Streams'!AG$13*'Assumption Setting'!$E$167</f>
        <v>2946.02936656246</v>
      </c>
      <c r="AH17" s="65" t="n">
        <f aca="false">'Revenue Streams'!AH$13*'Assumption Setting'!$E$167</f>
        <v>3093.2839603878</v>
      </c>
      <c r="AI17" s="65" t="n">
        <f aca="false">'Revenue Streams'!AI$13*'Assumption Setting'!$E$167</f>
        <v>3240.53855421315</v>
      </c>
      <c r="AJ17" s="65" t="n">
        <f aca="false">'Revenue Streams'!AJ$13*'Assumption Setting'!$E$167</f>
        <v>3387.79314803849</v>
      </c>
      <c r="AK17" s="65" t="n">
        <f aca="false">'Revenue Streams'!AK$13*'Assumption Setting'!$E$167</f>
        <v>3535.04774186383</v>
      </c>
      <c r="AL17" s="65" t="n">
        <f aca="false">'Revenue Streams'!AL$13*'Assumption Setting'!$E$167</f>
        <v>3682.30233568918</v>
      </c>
      <c r="AM17" s="65" t="n">
        <f aca="false">'Revenue Streams'!AM$13*'Assumption Setting'!$E$167</f>
        <v>3829.55692951452</v>
      </c>
      <c r="AN17" s="65" t="n">
        <f aca="false">'Revenue Streams'!AN$13*'Assumption Setting'!$E$167</f>
        <v>3976.81152333986</v>
      </c>
      <c r="AO17" s="64" t="n">
        <f aca="false">SUM(AP17:BA17)</f>
        <v>54245.3992188873</v>
      </c>
      <c r="AP17" s="65" t="n">
        <f aca="false">'Revenue Streams'!AP$13*'Assumption Setting'!$F$167</f>
        <v>3814.76115837781</v>
      </c>
      <c r="AQ17" s="65" t="n">
        <f aca="false">'Revenue Streams'!AQ$13*'Assumption Setting'!$F$167</f>
        <v>3950.97165766626</v>
      </c>
      <c r="AR17" s="65" t="n">
        <f aca="false">'Revenue Streams'!AR$13*'Assumption Setting'!$F$167</f>
        <v>4087.1821569547</v>
      </c>
      <c r="AS17" s="65" t="n">
        <f aca="false">'Revenue Streams'!AS$13*'Assumption Setting'!$F$167</f>
        <v>4218.52446381306</v>
      </c>
      <c r="AT17" s="65" t="n">
        <f aca="false">'Revenue Streams'!AT$13*'Assumption Setting'!$F$167</f>
        <v>4341.46235469004</v>
      </c>
      <c r="AU17" s="65" t="n">
        <f aca="false">'Revenue Streams'!AU$13*'Assumption Setting'!$F$167</f>
        <v>4464.40024556701</v>
      </c>
      <c r="AV17" s="65" t="n">
        <f aca="false">'Revenue Streams'!AV$13*'Assumption Setting'!$F$167</f>
        <v>4587.33813644398</v>
      </c>
      <c r="AW17" s="65" t="n">
        <f aca="false">'Revenue Streams'!AW$13*'Assumption Setting'!$F$167</f>
        <v>4710.27602732095</v>
      </c>
      <c r="AX17" s="65" t="n">
        <f aca="false">'Revenue Streams'!AX$13*'Assumption Setting'!$F$167</f>
        <v>4833.21391819792</v>
      </c>
      <c r="AY17" s="65" t="n">
        <f aca="false">'Revenue Streams'!AY$13*'Assumption Setting'!$F$167</f>
        <v>4956.15180907489</v>
      </c>
      <c r="AZ17" s="65" t="n">
        <f aca="false">'Revenue Streams'!AZ$13*'Assumption Setting'!$F$167</f>
        <v>5079.08969995186</v>
      </c>
      <c r="BA17" s="65" t="n">
        <f aca="false">'Revenue Streams'!BA$13*'Assumption Setting'!$F$167</f>
        <v>5202.02759082884</v>
      </c>
      <c r="BB17" s="64" t="n">
        <f aca="false">SUM(BC17:BN17)</f>
        <v>68445.8469039866</v>
      </c>
      <c r="BC17" s="65" t="n">
        <f aca="false">'Revenue Streams'!BC$13*'Assumption Setting'!$G$167</f>
        <v>5037.12950972171</v>
      </c>
      <c r="BD17" s="65" t="n">
        <f aca="false">'Revenue Streams'!BD$13*'Assumption Setting'!$G$167</f>
        <v>5153.42210919993</v>
      </c>
      <c r="BE17" s="65" t="n">
        <f aca="false">'Revenue Streams'!BE$13*'Assumption Setting'!$G$167</f>
        <v>5269.71470867814</v>
      </c>
      <c r="BF17" s="65" t="n">
        <f aca="false">'Revenue Streams'!BF$13*'Assumption Setting'!$G$167</f>
        <v>5390.10669433418</v>
      </c>
      <c r="BG17" s="65" t="n">
        <f aca="false">'Revenue Streams'!BG$13*'Assumption Setting'!$G$167</f>
        <v>5514.40170342805</v>
      </c>
      <c r="BH17" s="65" t="n">
        <f aca="false">'Revenue Streams'!BH$13*'Assumption Setting'!$G$167</f>
        <v>5638.69671252192</v>
      </c>
      <c r="BI17" s="65" t="n">
        <f aca="false">'Revenue Streams'!BI$13*'Assumption Setting'!$G$167</f>
        <v>5762.99172161578</v>
      </c>
      <c r="BJ17" s="65" t="n">
        <f aca="false">'Revenue Streams'!BJ$13*'Assumption Setting'!$G$167</f>
        <v>5887.28673070965</v>
      </c>
      <c r="BK17" s="65" t="n">
        <f aca="false">'Revenue Streams'!BK$13*'Assumption Setting'!$G$167</f>
        <v>6011.58173980352</v>
      </c>
      <c r="BL17" s="65" t="n">
        <f aca="false">'Revenue Streams'!BL$13*'Assumption Setting'!$G$167</f>
        <v>6135.87674889738</v>
      </c>
      <c r="BM17" s="65" t="n">
        <f aca="false">'Revenue Streams'!BM$13*'Assumption Setting'!$G$167</f>
        <v>6260.17175799125</v>
      </c>
      <c r="BN17" s="65" t="n">
        <f aca="false">'Revenue Streams'!BN$13*'Assumption Setting'!$G$167</f>
        <v>6384.46676708512</v>
      </c>
    </row>
    <row r="18" customFormat="false" ht="15" hidden="false" customHeight="false" outlineLevel="0" collapsed="false">
      <c r="A18" s="12" t="s">
        <v>811</v>
      </c>
      <c r="B18" s="64" t="n">
        <f aca="false">SUM(C18:N18)</f>
        <v>1417.19593995042</v>
      </c>
      <c r="C18" s="65" t="n">
        <f aca="false">'Revenue Streams'!C$19*'Assumption Setting'!$C$168</f>
        <v>31.35</v>
      </c>
      <c r="D18" s="65" t="n">
        <f aca="false">'Revenue Streams'!D$19*'Assumption Setting'!$C$168</f>
        <v>50.16</v>
      </c>
      <c r="E18" s="65" t="n">
        <f aca="false">'Revenue Streams'!E$19*'Assumption Setting'!$C$168</f>
        <v>75.5851989081896</v>
      </c>
      <c r="F18" s="65" t="n">
        <f aca="false">'Revenue Streams'!F$19*'Assumption Setting'!$C$168</f>
        <v>88.4703978163791</v>
      </c>
      <c r="G18" s="65" t="n">
        <f aca="false">'Revenue Streams'!G$19*'Assumption Setting'!$C$168</f>
        <v>101.355596724569</v>
      </c>
      <c r="H18" s="65" t="n">
        <f aca="false">'Revenue Streams'!H$19*'Assumption Setting'!$C$168</f>
        <v>114.240795632758</v>
      </c>
      <c r="I18" s="65" t="n">
        <f aca="false">'Revenue Streams'!I$19*'Assumption Setting'!$C$168</f>
        <v>127.125994540948</v>
      </c>
      <c r="J18" s="65" t="n">
        <f aca="false">'Revenue Streams'!J$19*'Assumption Setting'!$C$168</f>
        <v>140.011193449137</v>
      </c>
      <c r="K18" s="65" t="n">
        <f aca="false">'Revenue Streams'!K$19*'Assumption Setting'!$C$168</f>
        <v>152.896392357327</v>
      </c>
      <c r="L18" s="65" t="n">
        <f aca="false">'Revenue Streams'!L$19*'Assumption Setting'!$C$168</f>
        <v>165.781591265516</v>
      </c>
      <c r="M18" s="65" t="n">
        <f aca="false">'Revenue Streams'!M$19*'Assumption Setting'!$C$168</f>
        <v>178.666790173706</v>
      </c>
      <c r="N18" s="65" t="n">
        <f aca="false">'Revenue Streams'!N$19*'Assumption Setting'!$C$168</f>
        <v>191.551989081895</v>
      </c>
      <c r="O18" s="64" t="n">
        <f aca="false">SUM(P18:AA18)</f>
        <v>6287.7290637941</v>
      </c>
      <c r="P18" s="65" t="n">
        <f aca="false">'Revenue Streams'!P$19*'Assumption Setting'!$C$168</f>
        <v>455.492599973908</v>
      </c>
      <c r="Q18" s="65" t="n">
        <f aca="false">'Revenue Streams'!Q$19*'Assumption Setting'!$C$168</f>
        <v>443.291859971299</v>
      </c>
      <c r="R18" s="65" t="n">
        <f aca="false">'Revenue Streams'!R$19*'Assumption Setting'!$C$168</f>
        <v>433.674150955588</v>
      </c>
      <c r="S18" s="65" t="n">
        <f aca="false">'Revenue Streams'!S$19*'Assumption Setting'!$C$168</f>
        <v>457.056441939877</v>
      </c>
      <c r="T18" s="65" t="n">
        <f aca="false">'Revenue Streams'!T$19*'Assumption Setting'!$C$168</f>
        <v>480.438732924166</v>
      </c>
      <c r="U18" s="65" t="n">
        <f aca="false">'Revenue Streams'!U$19*'Assumption Setting'!$C$168</f>
        <v>503.821023908456</v>
      </c>
      <c r="V18" s="65" t="n">
        <f aca="false">'Revenue Streams'!V$19*'Assumption Setting'!$C$168</f>
        <v>527.203314892745</v>
      </c>
      <c r="W18" s="65" t="n">
        <f aca="false">'Revenue Streams'!W$19*'Assumption Setting'!$C$168</f>
        <v>550.585605877034</v>
      </c>
      <c r="X18" s="65" t="n">
        <f aca="false">'Revenue Streams'!X$19*'Assumption Setting'!$C$168</f>
        <v>573.967896861323</v>
      </c>
      <c r="Y18" s="65" t="n">
        <f aca="false">'Revenue Streams'!Y$19*'Assumption Setting'!$C$168</f>
        <v>597.350187845613</v>
      </c>
      <c r="Z18" s="65" t="n">
        <f aca="false">'Revenue Streams'!Z$19*'Assumption Setting'!$C$168</f>
        <v>620.732478829902</v>
      </c>
      <c r="AA18" s="65" t="n">
        <f aca="false">'Revenue Streams'!AA$19*'Assumption Setting'!$C$168</f>
        <v>644.114769814191</v>
      </c>
      <c r="AB18" s="64" t="n">
        <f aca="false">SUM(AC18:AN18)</f>
        <v>10291.6645380228</v>
      </c>
      <c r="AC18" s="65" t="n">
        <f aca="false">'Revenue Streams'!AC$19*'Assumption Setting'!$C$168</f>
        <v>667.49706079848</v>
      </c>
      <c r="AD18" s="65" t="n">
        <f aca="false">'Revenue Streams'!AD$19*'Assumption Setting'!$C$168</f>
        <v>692.696756252437</v>
      </c>
      <c r="AE18" s="65" t="n">
        <f aca="false">'Revenue Streams'!AE$19*'Assumption Setting'!$C$168</f>
        <v>729.14226822421</v>
      </c>
      <c r="AF18" s="65" t="n">
        <f aca="false">'Revenue Streams'!AF$19*'Assumption Setting'!$C$168</f>
        <v>765.587780195982</v>
      </c>
      <c r="AG18" s="65" t="n">
        <f aca="false">'Revenue Streams'!AG$19*'Assumption Setting'!$C$168</f>
        <v>802.033292167754</v>
      </c>
      <c r="AH18" s="65" t="n">
        <f aca="false">'Revenue Streams'!AH$19*'Assumption Setting'!$C$168</f>
        <v>838.478804139527</v>
      </c>
      <c r="AI18" s="65" t="n">
        <f aca="false">'Revenue Streams'!AI$19*'Assumption Setting'!$C$168</f>
        <v>874.924316111299</v>
      </c>
      <c r="AJ18" s="65" t="n">
        <f aca="false">'Revenue Streams'!AJ$19*'Assumption Setting'!$C$168</f>
        <v>911.369828083071</v>
      </c>
      <c r="AK18" s="65" t="n">
        <f aca="false">'Revenue Streams'!AK$19*'Assumption Setting'!$C$168</f>
        <v>947.815340054844</v>
      </c>
      <c r="AL18" s="65" t="n">
        <f aca="false">'Revenue Streams'!AL$19*'Assumption Setting'!$C$168</f>
        <v>984.260852026616</v>
      </c>
      <c r="AM18" s="65" t="n">
        <f aca="false">'Revenue Streams'!AM$19*'Assumption Setting'!$C$168</f>
        <v>1020.70636399839</v>
      </c>
      <c r="AN18" s="65" t="n">
        <f aca="false">'Revenue Streams'!AN$19*'Assumption Setting'!$C$168</f>
        <v>1057.15187597016</v>
      </c>
      <c r="AO18" s="64" t="n">
        <f aca="false">SUM(AP18:BA18)</f>
        <v>15318.9215958272</v>
      </c>
      <c r="AP18" s="65" t="n">
        <f aca="false">'Revenue Streams'!AP$19*'Assumption Setting'!$C$168</f>
        <v>1093.59738794193</v>
      </c>
      <c r="AQ18" s="65" t="n">
        <f aca="false">'Revenue Streams'!AQ$19*'Assumption Setting'!$C$168</f>
        <v>1128.74032950674</v>
      </c>
      <c r="AR18" s="65" t="n">
        <f aca="false">'Revenue Streams'!AR$19*'Assumption Setting'!$C$168</f>
        <v>1161.63452193058</v>
      </c>
      <c r="AS18" s="65" t="n">
        <f aca="false">'Revenue Streams'!AS$19*'Assumption Setting'!$C$168</f>
        <v>1194.52871435442</v>
      </c>
      <c r="AT18" s="65" t="n">
        <f aca="false">'Revenue Streams'!AT$19*'Assumption Setting'!$C$168</f>
        <v>1227.42290677825</v>
      </c>
      <c r="AU18" s="65" t="n">
        <f aca="false">'Revenue Streams'!AU$19*'Assumption Setting'!$C$168</f>
        <v>1260.31709920209</v>
      </c>
      <c r="AV18" s="65" t="n">
        <f aca="false">'Revenue Streams'!AV$19*'Assumption Setting'!$C$168</f>
        <v>1293.21129162593</v>
      </c>
      <c r="AW18" s="65" t="n">
        <f aca="false">'Revenue Streams'!AW$19*'Assumption Setting'!$C$168</f>
        <v>1326.10548404977</v>
      </c>
      <c r="AX18" s="65" t="n">
        <f aca="false">'Revenue Streams'!AX$19*'Assumption Setting'!$C$168</f>
        <v>1358.99967647361</v>
      </c>
      <c r="AY18" s="65" t="n">
        <f aca="false">'Revenue Streams'!AY$19*'Assumption Setting'!$C$168</f>
        <v>1391.89386889745</v>
      </c>
      <c r="AZ18" s="65" t="n">
        <f aca="false">'Revenue Streams'!AZ$19*'Assumption Setting'!$C$168</f>
        <v>1424.78806132129</v>
      </c>
      <c r="BA18" s="65" t="n">
        <f aca="false">'Revenue Streams'!BA$19*'Assumption Setting'!$C$168</f>
        <v>1457.68225374512</v>
      </c>
      <c r="BB18" s="64" t="n">
        <f aca="false">SUM(BC18:BN18)</f>
        <v>20195.1836308719</v>
      </c>
      <c r="BC18" s="65" t="n">
        <f aca="false">'Revenue Streams'!BC$19*'Assumption Setting'!$C$168</f>
        <v>1490.57644616896</v>
      </c>
      <c r="BD18" s="65" t="n">
        <f aca="false">'Revenue Streams'!BD$19*'Assumption Setting'!$C$168</f>
        <v>1524.63017925453</v>
      </c>
      <c r="BE18" s="65" t="n">
        <f aca="false">'Revenue Streams'!BE$19*'Assumption Setting'!$C$168</f>
        <v>1559.78791039822</v>
      </c>
      <c r="BF18" s="65" t="n">
        <f aca="false">'Revenue Streams'!BF$19*'Assumption Setting'!$C$168</f>
        <v>1594.94564154192</v>
      </c>
      <c r="BG18" s="65" t="n">
        <f aca="false">'Revenue Streams'!BG$19*'Assumption Setting'!$C$168</f>
        <v>1630.10337268561</v>
      </c>
      <c r="BH18" s="65" t="n">
        <f aca="false">'Revenue Streams'!BH$19*'Assumption Setting'!$C$168</f>
        <v>1665.2611038293</v>
      </c>
      <c r="BI18" s="65" t="n">
        <f aca="false">'Revenue Streams'!BI$19*'Assumption Setting'!$C$168</f>
        <v>1700.418834973</v>
      </c>
      <c r="BJ18" s="65" t="n">
        <f aca="false">'Revenue Streams'!BJ$19*'Assumption Setting'!$C$168</f>
        <v>1735.57656611669</v>
      </c>
      <c r="BK18" s="65" t="n">
        <f aca="false">'Revenue Streams'!BK$19*'Assumption Setting'!$C$168</f>
        <v>1770.73429726039</v>
      </c>
      <c r="BL18" s="65" t="n">
        <f aca="false">'Revenue Streams'!BL$19*'Assumption Setting'!$C$168</f>
        <v>1805.89202840408</v>
      </c>
      <c r="BM18" s="65" t="n">
        <f aca="false">'Revenue Streams'!BM$19*'Assumption Setting'!$C$168</f>
        <v>1841.04975954777</v>
      </c>
      <c r="BN18" s="65" t="n">
        <f aca="false">'Revenue Streams'!BN$19*'Assumption Setting'!$C$168</f>
        <v>1876.20749069147</v>
      </c>
    </row>
    <row r="19" customFormat="false" ht="15" hidden="false" customHeight="false" outlineLevel="0" collapsed="false">
      <c r="A19" s="12" t="s">
        <v>812</v>
      </c>
      <c r="B19" s="64" t="n">
        <f aca="false">SUM(C19:N19)</f>
        <v>91.2048539342053</v>
      </c>
      <c r="C19" s="65" t="n">
        <f aca="false">Acquisitions!C$149*'Assumption Setting'!$C$169</f>
        <v>3.22070634531069</v>
      </c>
      <c r="D19" s="65" t="n">
        <f aca="false">Acquisitions!D$149*'Assumption Setting'!$C$169</f>
        <v>3.48188530990274</v>
      </c>
      <c r="E19" s="65" t="n">
        <f aca="false">Acquisitions!E$149*'Assumption Setting'!$C$169</f>
        <v>3.86852759047805</v>
      </c>
      <c r="F19" s="65" t="n">
        <f aca="false">Acquisitions!F$149*'Assumption Setting'!$C$169</f>
        <v>4.32274553013207</v>
      </c>
      <c r="G19" s="65" t="n">
        <f aca="false">Acquisitions!G$149*'Assumption Setting'!$C$169</f>
        <v>5.01136575447703</v>
      </c>
      <c r="H19" s="65" t="n">
        <f aca="false">Acquisitions!H$149*'Assumption Setting'!$C$169</f>
        <v>5.92032412643148</v>
      </c>
      <c r="I19" s="65" t="n">
        <f aca="false">Acquisitions!I$149*'Assumption Setting'!$C$169</f>
        <v>7.03640035713885</v>
      </c>
      <c r="J19" s="65" t="n">
        <f aca="false">Acquisitions!J$149*'Assumption Setting'!$C$169</f>
        <v>8.34716737507396</v>
      </c>
      <c r="K19" s="65" t="n">
        <f aca="false">Acquisitions!K$149*'Assumption Setting'!$C$169</f>
        <v>9.84094373300316</v>
      </c>
      <c r="L19" s="65" t="n">
        <f aca="false">Acquisitions!L$149*'Assumption Setting'!$C$169</f>
        <v>11.5067488705268</v>
      </c>
      <c r="M19" s="65" t="n">
        <f aca="false">Acquisitions!M$149*'Assumption Setting'!$C$169</f>
        <v>13.3342610608692</v>
      </c>
      <c r="N19" s="65" t="n">
        <f aca="false">Acquisitions!N$149*'Assumption Setting'!$C$169</f>
        <v>15.3137778808612</v>
      </c>
      <c r="O19" s="64" t="n">
        <f aca="false">SUM(P19:AA19)</f>
        <v>819.926084835983</v>
      </c>
      <c r="P19" s="65" t="n">
        <f aca="false">Acquisitions!P$149*'Assumption Setting'!$C$169</f>
        <v>23.2267109233443</v>
      </c>
      <c r="Q19" s="65" t="n">
        <f aca="false">Acquisitions!Q$149*'Assumption Setting'!$C$169</f>
        <v>31.1294477320184</v>
      </c>
      <c r="R19" s="65" t="n">
        <f aca="false">Acquisitions!R$149*'Assumption Setting'!$C$169</f>
        <v>39.0636201839644</v>
      </c>
      <c r="S19" s="65" t="n">
        <f aca="false">Acquisitions!S$149*'Assumption Setting'!$C$169</f>
        <v>47.2753200715409</v>
      </c>
      <c r="T19" s="65" t="n">
        <f aca="false">Acquisitions!T$149*'Assumption Setting'!$C$169</f>
        <v>55.5369651055315</v>
      </c>
      <c r="U19" s="65" t="n">
        <f aca="false">Acquisitions!U$149*'Assumption Setting'!$C$169</f>
        <v>63.8455585771513</v>
      </c>
      <c r="V19" s="65" t="n">
        <f aca="false">Acquisitions!V$149*'Assumption Setting'!$C$169</f>
        <v>72.1982835801427</v>
      </c>
      <c r="W19" s="65" t="n">
        <f aca="false">Acquisitions!W$149*'Assumption Setting'!$C$169</f>
        <v>80.5924922226233</v>
      </c>
      <c r="X19" s="65" t="n">
        <f aca="false">Acquisitions!X$149*'Assumption Setting'!$C$169</f>
        <v>89.0256954862237</v>
      </c>
      <c r="Y19" s="65" t="n">
        <f aca="false">Acquisitions!Y$149*'Assumption Setting'!$C$169</f>
        <v>97.4955536936768</v>
      </c>
      <c r="Z19" s="65" t="n">
        <f aca="false">Acquisitions!Z$149*'Assumption Setting'!$C$169</f>
        <v>105.999867548351</v>
      </c>
      <c r="AA19" s="65" t="n">
        <f aca="false">Acquisitions!AA$149*'Assumption Setting'!$C$169</f>
        <v>114.536569711414</v>
      </c>
      <c r="AB19" s="64" t="n">
        <f aca="false">SUM(AC19:AN19)</f>
        <v>2299.15391501858</v>
      </c>
      <c r="AC19" s="65" t="n">
        <f aca="false">Acquisitions!AC$149*'Assumption Setting'!$C$169</f>
        <v>126.035345722605</v>
      </c>
      <c r="AD19" s="65" t="n">
        <f aca="false">Acquisitions!AD$149*'Assumption Setting'!$C$169</f>
        <v>137.466519378022</v>
      </c>
      <c r="AE19" s="65" t="n">
        <f aca="false">Acquisitions!AE$149*'Assumption Setting'!$C$169</f>
        <v>148.912064344854</v>
      </c>
      <c r="AF19" s="65" t="n">
        <f aca="false">Acquisitions!AF$149*'Assumption Setting'!$C$169</f>
        <v>160.430665187152</v>
      </c>
      <c r="AG19" s="65" t="n">
        <f aca="false">Acquisitions!AG$149*'Assumption Setting'!$C$169</f>
        <v>172.209689947488</v>
      </c>
      <c r="AH19" s="65" t="n">
        <f aca="false">Acquisitions!AH$149*'Assumption Setting'!$C$169</f>
        <v>184.233513190778</v>
      </c>
      <c r="AI19" s="65" t="n">
        <f aca="false">Acquisitions!AI$149*'Assumption Setting'!$C$169</f>
        <v>196.487447008045</v>
      </c>
      <c r="AJ19" s="65" t="n">
        <f aca="false">Acquisitions!AJ$149*'Assumption Setting'!$C$169</f>
        <v>208.957684764852</v>
      </c>
      <c r="AK19" s="65" t="n">
        <f aca="false">Acquisitions!AK$149*'Assumption Setting'!$C$169</f>
        <v>221.631248224825</v>
      </c>
      <c r="AL19" s="65" t="n">
        <f aca="false">Acquisitions!AL$149*'Assumption Setting'!$C$169</f>
        <v>234.495937845774</v>
      </c>
      <c r="AM19" s="65" t="n">
        <f aca="false">Acquisitions!AM$149*'Assumption Setting'!$C$169</f>
        <v>247.540286058041</v>
      </c>
      <c r="AN19" s="65" t="n">
        <f aca="false">Acquisitions!AN$149*'Assumption Setting'!$C$169</f>
        <v>260.753513346148</v>
      </c>
      <c r="AO19" s="64" t="n">
        <f aca="false">SUM(AP19:BA19)</f>
        <v>4492.67177720125</v>
      </c>
      <c r="AP19" s="65" t="n">
        <f aca="false">Acquisitions!AP$149*'Assumption Setting'!$C$169</f>
        <v>278.446416090262</v>
      </c>
      <c r="AQ19" s="65" t="n">
        <f aca="false">Acquisitions!AQ$149*'Assumption Setting'!$C$169</f>
        <v>296.125577533987</v>
      </c>
      <c r="AR19" s="65" t="n">
        <f aca="false">Acquisitions!AR$149*'Assumption Setting'!$C$169</f>
        <v>313.771860380025</v>
      </c>
      <c r="AS19" s="65" t="n">
        <f aca="false">Acquisitions!AS$149*'Assumption Setting'!$C$169</f>
        <v>331.356214403451</v>
      </c>
      <c r="AT19" s="65" t="n">
        <f aca="false">Acquisitions!AT$149*'Assumption Setting'!$C$169</f>
        <v>348.839751758988</v>
      </c>
      <c r="AU19" s="65" t="n">
        <f aca="false">Acquisitions!AU$149*'Assumption Setting'!$C$169</f>
        <v>366.228521446709</v>
      </c>
      <c r="AV19" s="65" t="n">
        <f aca="false">Acquisitions!AV$149*'Assumption Setting'!$C$169</f>
        <v>383.528209526683</v>
      </c>
      <c r="AW19" s="65" t="n">
        <f aca="false">Acquisitions!AW$149*'Assumption Setting'!$C$169</f>
        <v>400.744160895374</v>
      </c>
      <c r="AX19" s="65" t="n">
        <f aca="false">Acquisitions!AX$149*'Assumption Setting'!$C$169</f>
        <v>417.88139975546</v>
      </c>
      <c r="AY19" s="65" t="n">
        <f aca="false">Acquisitions!AY$149*'Assumption Setting'!$C$169</f>
        <v>434.944648857458</v>
      </c>
      <c r="AZ19" s="65" t="n">
        <f aca="false">Acquisitions!AZ$149*'Assumption Setting'!$C$169</f>
        <v>451.938347586851</v>
      </c>
      <c r="BA19" s="65" t="n">
        <f aca="false">Acquisitions!BA$149*'Assumption Setting'!$C$169</f>
        <v>468.866668965998</v>
      </c>
      <c r="BB19" s="64" t="n">
        <f aca="false">SUM(BC19:BN19)</f>
        <v>7325.67613445442</v>
      </c>
      <c r="BC19" s="65" t="n">
        <f aca="false">Acquisitions!BC$149*'Assumption Setting'!$C$169</f>
        <v>491.483139166902</v>
      </c>
      <c r="BD19" s="65" t="n">
        <f aca="false">Acquisitions!BD$149*'Assumption Setting'!$C$169</f>
        <v>513.801527860559</v>
      </c>
      <c r="BE19" s="65" t="n">
        <f aca="false">Acquisitions!BE$149*'Assumption Setting'!$C$169</f>
        <v>535.852114104238</v>
      </c>
      <c r="BF19" s="65" t="n">
        <f aca="false">Acquisitions!BF$149*'Assumption Setting'!$C$169</f>
        <v>557.678557461501</v>
      </c>
      <c r="BG19" s="65" t="n">
        <f aca="false">Acquisitions!BG$149*'Assumption Setting'!$C$169</f>
        <v>579.317313825065</v>
      </c>
      <c r="BH19" s="65" t="n">
        <f aca="false">Acquisitions!BH$149*'Assumption Setting'!$C$169</f>
        <v>600.779644414552</v>
      </c>
      <c r="BI19" s="65" t="n">
        <f aca="false">Acquisitions!BI$149*'Assumption Setting'!$C$169</f>
        <v>622.076134776406</v>
      </c>
      <c r="BJ19" s="65" t="n">
        <f aca="false">Acquisitions!BJ$149*'Assumption Setting'!$C$169</f>
        <v>643.216735324285</v>
      </c>
      <c r="BK19" s="65" t="n">
        <f aca="false">Acquisitions!BK$149*'Assumption Setting'!$C$169</f>
        <v>664.210799447028</v>
      </c>
      <c r="BL19" s="65" t="n">
        <f aca="false">Acquisitions!BL$149*'Assumption Setting'!$C$169</f>
        <v>685.067119330142</v>
      </c>
      <c r="BM19" s="65" t="n">
        <f aca="false">Acquisitions!BM$149*'Assumption Setting'!$C$169</f>
        <v>705.793959628007</v>
      </c>
      <c r="BN19" s="65" t="n">
        <f aca="false">Acquisitions!BN$149*'Assumption Setting'!$C$169</f>
        <v>726.399089115736</v>
      </c>
    </row>
    <row r="20" customFormat="false" ht="15" hidden="false" customHeight="false" outlineLevel="0" collapsed="false">
      <c r="A20" s="12" t="s">
        <v>813</v>
      </c>
      <c r="B20" s="64" t="n">
        <f aca="false">SUM(C20:N20)</f>
        <v>1200</v>
      </c>
      <c r="C20" s="65" t="n">
        <f aca="false">'GTM Capacity and Timing'!C$16*'Assumption Setting'!$C$156</f>
        <v>360</v>
      </c>
      <c r="D20" s="65" t="n">
        <f aca="false">'GTM Capacity and Timing'!D$16*'Assumption Setting'!$C$156</f>
        <v>240</v>
      </c>
      <c r="E20" s="65" t="n">
        <f aca="false">'GTM Capacity and Timing'!E$16*'Assumption Setting'!$C$156</f>
        <v>120</v>
      </c>
      <c r="F20" s="65" t="n">
        <f aca="false">'GTM Capacity and Timing'!F$16*'Assumption Setting'!$C$156</f>
        <v>0</v>
      </c>
      <c r="G20" s="65" t="n">
        <f aca="false">'GTM Capacity and Timing'!G$16*'Assumption Setting'!$C$156</f>
        <v>120</v>
      </c>
      <c r="H20" s="65" t="n">
        <f aca="false">'GTM Capacity and Timing'!H$16*'Assumption Setting'!$C$156</f>
        <v>0</v>
      </c>
      <c r="I20" s="65" t="n">
        <f aca="false">'GTM Capacity and Timing'!I$16*'Assumption Setting'!$C$156</f>
        <v>120</v>
      </c>
      <c r="J20" s="65" t="n">
        <f aca="false">'GTM Capacity and Timing'!J$16*'Assumption Setting'!$C$156</f>
        <v>0</v>
      </c>
      <c r="K20" s="65" t="n">
        <f aca="false">'GTM Capacity and Timing'!K$16*'Assumption Setting'!$C$156</f>
        <v>120</v>
      </c>
      <c r="L20" s="65" t="n">
        <f aca="false">'GTM Capacity and Timing'!L$16*'Assumption Setting'!$C$156</f>
        <v>0</v>
      </c>
      <c r="M20" s="65" t="n">
        <f aca="false">'GTM Capacity and Timing'!M$16*'Assumption Setting'!$C$156</f>
        <v>120</v>
      </c>
      <c r="N20" s="65" t="n">
        <f aca="false">'GTM Capacity and Timing'!N$16*'Assumption Setting'!$C$156</f>
        <v>0</v>
      </c>
      <c r="O20" s="64" t="n">
        <f aca="false">SUM(P20:AA20)</f>
        <v>2400</v>
      </c>
      <c r="P20" s="65" t="n">
        <f aca="false">'GTM Capacity and Timing'!P$16*'Assumption Setting'!$C$156</f>
        <v>1320</v>
      </c>
      <c r="Q20" s="65" t="n">
        <f aca="false">'GTM Capacity and Timing'!Q$16*'Assumption Setting'!$C$156</f>
        <v>0</v>
      </c>
      <c r="R20" s="65" t="n">
        <f aca="false">'GTM Capacity and Timing'!R$16*'Assumption Setting'!$C$156</f>
        <v>0</v>
      </c>
      <c r="S20" s="65" t="n">
        <f aca="false">'GTM Capacity and Timing'!S$16*'Assumption Setting'!$C$156</f>
        <v>120</v>
      </c>
      <c r="T20" s="65" t="n">
        <f aca="false">'GTM Capacity and Timing'!T$16*'Assumption Setting'!$C$156</f>
        <v>120</v>
      </c>
      <c r="U20" s="65" t="n">
        <f aca="false">'GTM Capacity and Timing'!U$16*'Assumption Setting'!$C$156</f>
        <v>120</v>
      </c>
      <c r="V20" s="65" t="n">
        <f aca="false">'GTM Capacity and Timing'!V$16*'Assumption Setting'!$C$156</f>
        <v>120</v>
      </c>
      <c r="W20" s="65" t="n">
        <f aca="false">'GTM Capacity and Timing'!W$16*'Assumption Setting'!$C$156</f>
        <v>120</v>
      </c>
      <c r="X20" s="65" t="n">
        <f aca="false">'GTM Capacity and Timing'!X$16*'Assumption Setting'!$C$156</f>
        <v>120</v>
      </c>
      <c r="Y20" s="65" t="n">
        <f aca="false">'GTM Capacity and Timing'!Y$16*'Assumption Setting'!$C$156</f>
        <v>120</v>
      </c>
      <c r="Z20" s="65" t="n">
        <f aca="false">'GTM Capacity and Timing'!Z$16*'Assumption Setting'!$C$156</f>
        <v>120</v>
      </c>
      <c r="AA20" s="65" t="n">
        <f aca="false">'GTM Capacity and Timing'!AA$16*'Assumption Setting'!$C$156</f>
        <v>120</v>
      </c>
      <c r="AB20" s="64" t="n">
        <f aca="false">SUM(AC20:AN20)</f>
        <v>2040</v>
      </c>
      <c r="AC20" s="65" t="n">
        <f aca="false">'GTM Capacity and Timing'!AC$16*'Assumption Setting'!$C$156</f>
        <v>120</v>
      </c>
      <c r="AD20" s="65" t="n">
        <f aca="false">'GTM Capacity and Timing'!AD$16*'Assumption Setting'!$C$156</f>
        <v>120</v>
      </c>
      <c r="AE20" s="65" t="n">
        <f aca="false">'GTM Capacity and Timing'!AE$16*'Assumption Setting'!$C$156</f>
        <v>120</v>
      </c>
      <c r="AF20" s="65" t="n">
        <f aca="false">'GTM Capacity and Timing'!AF$16*'Assumption Setting'!$C$156</f>
        <v>240</v>
      </c>
      <c r="AG20" s="65" t="n">
        <f aca="false">'GTM Capacity and Timing'!AG$16*'Assumption Setting'!$C$156</f>
        <v>120</v>
      </c>
      <c r="AH20" s="65" t="n">
        <f aca="false">'GTM Capacity and Timing'!AH$16*'Assumption Setting'!$C$156</f>
        <v>240</v>
      </c>
      <c r="AI20" s="65" t="n">
        <f aca="false">'GTM Capacity and Timing'!AI$16*'Assumption Setting'!$C$156</f>
        <v>120</v>
      </c>
      <c r="AJ20" s="65" t="n">
        <f aca="false">'GTM Capacity and Timing'!AJ$16*'Assumption Setting'!$C$156</f>
        <v>240</v>
      </c>
      <c r="AK20" s="65" t="n">
        <f aca="false">'GTM Capacity and Timing'!AK$16*'Assumption Setting'!$C$156</f>
        <v>120</v>
      </c>
      <c r="AL20" s="65" t="n">
        <f aca="false">'GTM Capacity and Timing'!AL$16*'Assumption Setting'!$C$156</f>
        <v>240</v>
      </c>
      <c r="AM20" s="65" t="n">
        <f aca="false">'GTM Capacity and Timing'!AM$16*'Assumption Setting'!$C$156</f>
        <v>120</v>
      </c>
      <c r="AN20" s="65" t="n">
        <f aca="false">'GTM Capacity and Timing'!AN$16*'Assumption Setting'!$C$156</f>
        <v>240</v>
      </c>
      <c r="AO20" s="64" t="n">
        <f aca="false">SUM(AP20:BA20)</f>
        <v>1920</v>
      </c>
      <c r="AP20" s="65" t="n">
        <f aca="false">'GTM Capacity and Timing'!AP$16*'Assumption Setting'!$C$156</f>
        <v>120</v>
      </c>
      <c r="AQ20" s="65" t="n">
        <f aca="false">'GTM Capacity and Timing'!AQ$16*'Assumption Setting'!$C$156</f>
        <v>240</v>
      </c>
      <c r="AR20" s="65" t="n">
        <f aca="false">'GTM Capacity and Timing'!AR$16*'Assumption Setting'!$C$156</f>
        <v>120</v>
      </c>
      <c r="AS20" s="65" t="n">
        <f aca="false">'GTM Capacity and Timing'!AS$16*'Assumption Setting'!$C$156</f>
        <v>120</v>
      </c>
      <c r="AT20" s="65" t="n">
        <f aca="false">'GTM Capacity and Timing'!AT$16*'Assumption Setting'!$C$156</f>
        <v>240</v>
      </c>
      <c r="AU20" s="65" t="n">
        <f aca="false">'GTM Capacity and Timing'!AU$16*'Assumption Setting'!$C$156</f>
        <v>120</v>
      </c>
      <c r="AV20" s="65" t="n">
        <f aca="false">'GTM Capacity and Timing'!AV$16*'Assumption Setting'!$C$156</f>
        <v>120</v>
      </c>
      <c r="AW20" s="65" t="n">
        <f aca="false">'GTM Capacity and Timing'!AW$16*'Assumption Setting'!$C$156</f>
        <v>240</v>
      </c>
      <c r="AX20" s="65" t="n">
        <f aca="false">'GTM Capacity and Timing'!AX$16*'Assumption Setting'!$C$156</f>
        <v>120</v>
      </c>
      <c r="AY20" s="65" t="n">
        <f aca="false">'GTM Capacity and Timing'!AY$16*'Assumption Setting'!$C$156</f>
        <v>120</v>
      </c>
      <c r="AZ20" s="65" t="n">
        <f aca="false">'GTM Capacity and Timing'!AZ$16*'Assumption Setting'!$C$156</f>
        <v>240</v>
      </c>
      <c r="BA20" s="65" t="n">
        <f aca="false">'GTM Capacity and Timing'!BA$16*'Assumption Setting'!$C$156</f>
        <v>120</v>
      </c>
      <c r="BB20" s="64" t="n">
        <f aca="false">SUM(BC20:BN20)</f>
        <v>2040</v>
      </c>
      <c r="BC20" s="65" t="n">
        <f aca="false">'GTM Capacity and Timing'!BC$16*'Assumption Setting'!$C$156</f>
        <v>240</v>
      </c>
      <c r="BD20" s="65" t="n">
        <f aca="false">'GTM Capacity and Timing'!BD$16*'Assumption Setting'!$C$156</f>
        <v>120</v>
      </c>
      <c r="BE20" s="65" t="n">
        <f aca="false">'GTM Capacity and Timing'!BE$16*'Assumption Setting'!$C$156</f>
        <v>120</v>
      </c>
      <c r="BF20" s="65" t="n">
        <f aca="false">'GTM Capacity and Timing'!BF$16*'Assumption Setting'!$C$156</f>
        <v>240</v>
      </c>
      <c r="BG20" s="65" t="n">
        <f aca="false">'GTM Capacity and Timing'!BG$16*'Assumption Setting'!$C$156</f>
        <v>120</v>
      </c>
      <c r="BH20" s="65" t="n">
        <f aca="false">'GTM Capacity and Timing'!BH$16*'Assumption Setting'!$C$156</f>
        <v>240</v>
      </c>
      <c r="BI20" s="65" t="n">
        <f aca="false">'GTM Capacity and Timing'!BI$16*'Assumption Setting'!$C$156</f>
        <v>120</v>
      </c>
      <c r="BJ20" s="65" t="n">
        <f aca="false">'GTM Capacity and Timing'!BJ$16*'Assumption Setting'!$C$156</f>
        <v>240</v>
      </c>
      <c r="BK20" s="65" t="n">
        <f aca="false">'GTM Capacity and Timing'!BK$16*'Assumption Setting'!$C$156</f>
        <v>120</v>
      </c>
      <c r="BL20" s="65" t="n">
        <f aca="false">'GTM Capacity and Timing'!BL$16*'Assumption Setting'!$C$156</f>
        <v>120</v>
      </c>
      <c r="BM20" s="65" t="n">
        <f aca="false">'GTM Capacity and Timing'!BM$16*'Assumption Setting'!$C$156</f>
        <v>240</v>
      </c>
      <c r="BN20" s="65" t="n">
        <f aca="false">'GTM Capacity and Timing'!BN$16*'Assumption Setting'!$C$156</f>
        <v>120</v>
      </c>
    </row>
    <row r="21" customFormat="false" ht="15" hidden="false" customHeight="false" outlineLevel="0" collapsed="false">
      <c r="A21" s="12" t="s">
        <v>814</v>
      </c>
      <c r="B21" s="64" t="n">
        <f aca="false">SUM(C21:N21)</f>
        <v>0</v>
      </c>
      <c r="C21" s="65" t="n">
        <f aca="false">('Revenue Streams'!C$25+'Revenue Streams'!C$27+'Revenue Streams'!C$29)*'Assumption Setting'!$C$174*'Assumption Setting'!$C$175</f>
        <v>0</v>
      </c>
      <c r="D21" s="65" t="n">
        <f aca="false">('Revenue Streams'!D$25+'Revenue Streams'!D$27+'Revenue Streams'!D$29)*'Assumption Setting'!$C$174*'Assumption Setting'!$C$175</f>
        <v>0</v>
      </c>
      <c r="E21" s="65" t="n">
        <f aca="false">('Revenue Streams'!E$25+'Revenue Streams'!E$27+'Revenue Streams'!E$29)*'Assumption Setting'!$C$174*'Assumption Setting'!$C$175</f>
        <v>0</v>
      </c>
      <c r="F21" s="65" t="n">
        <f aca="false">('Revenue Streams'!F$25+'Revenue Streams'!F$27+'Revenue Streams'!F$29)*'Assumption Setting'!$C$174*'Assumption Setting'!$C$175</f>
        <v>0</v>
      </c>
      <c r="G21" s="65" t="n">
        <f aca="false">('Revenue Streams'!G$25+'Revenue Streams'!G$27+'Revenue Streams'!G$29)*'Assumption Setting'!$C$174*'Assumption Setting'!$C$175</f>
        <v>0</v>
      </c>
      <c r="H21" s="65" t="n">
        <f aca="false">('Revenue Streams'!H$25+'Revenue Streams'!H$27+'Revenue Streams'!H$29)*'Assumption Setting'!$C$174*'Assumption Setting'!$C$175</f>
        <v>0</v>
      </c>
      <c r="I21" s="65" t="n">
        <f aca="false">('Revenue Streams'!I$25+'Revenue Streams'!I$27+'Revenue Streams'!I$29)*'Assumption Setting'!$C$174*'Assumption Setting'!$C$175</f>
        <v>0</v>
      </c>
      <c r="J21" s="65" t="n">
        <f aca="false">('Revenue Streams'!J$25+'Revenue Streams'!J$27+'Revenue Streams'!J$29)*'Assumption Setting'!$C$174*'Assumption Setting'!$C$175</f>
        <v>0</v>
      </c>
      <c r="K21" s="65" t="n">
        <f aca="false">('Revenue Streams'!K$25+'Revenue Streams'!K$27+'Revenue Streams'!K$29)*'Assumption Setting'!$C$174*'Assumption Setting'!$C$175</f>
        <v>0</v>
      </c>
      <c r="L21" s="65" t="n">
        <f aca="false">('Revenue Streams'!L$25+'Revenue Streams'!L$27+'Revenue Streams'!L$29)*'Assumption Setting'!$C$174*'Assumption Setting'!$C$175</f>
        <v>0</v>
      </c>
      <c r="M21" s="65" t="n">
        <f aca="false">('Revenue Streams'!M$25+'Revenue Streams'!M$27+'Revenue Streams'!M$29)*'Assumption Setting'!$C$174*'Assumption Setting'!$C$175</f>
        <v>0</v>
      </c>
      <c r="N21" s="65" t="n">
        <f aca="false">('Revenue Streams'!N$25+'Revenue Streams'!N$27+'Revenue Streams'!N$29)*'Assumption Setting'!$C$174*'Assumption Setting'!$C$175</f>
        <v>0</v>
      </c>
      <c r="O21" s="64" t="n">
        <f aca="false">SUM(P21:AA21)</f>
        <v>7413.24000384231</v>
      </c>
      <c r="P21" s="65" t="n">
        <f aca="false">('Revenue Streams'!P$25+'Revenue Streams'!P$27+'Revenue Streams'!P$29)*'Assumption Setting'!$D$174*'Assumption Setting'!$C$175</f>
        <v>614.703679893601</v>
      </c>
      <c r="Q21" s="65" t="n">
        <f aca="false">('Revenue Streams'!Q$25+'Revenue Streams'!Q$27+'Revenue Streams'!Q$29)*'Assumption Setting'!$D$174*'Assumption Setting'!$C$175</f>
        <v>534.307381216294</v>
      </c>
      <c r="R21" s="65" t="n">
        <f aca="false">('Revenue Streams'!R$25+'Revenue Streams'!R$27+'Revenue Streams'!R$29)*'Assumption Setting'!$D$174*'Assumption Setting'!$C$175</f>
        <v>498.564786004591</v>
      </c>
      <c r="S21" s="65" t="n">
        <f aca="false">('Revenue Streams'!S$25+'Revenue Streams'!S$27+'Revenue Streams'!S$29)*'Assumption Setting'!$D$174*'Assumption Setting'!$C$175</f>
        <v>526.97769895318</v>
      </c>
      <c r="T21" s="65" t="n">
        <f aca="false">('Revenue Streams'!T$25+'Revenue Streams'!T$27+'Revenue Streams'!T$29)*'Assumption Setting'!$D$174*'Assumption Setting'!$C$175</f>
        <v>555.390611901769</v>
      </c>
      <c r="U21" s="65" t="n">
        <f aca="false">('Revenue Streams'!U$25+'Revenue Streams'!U$27+'Revenue Streams'!U$29)*'Assumption Setting'!$D$174*'Assumption Setting'!$C$175</f>
        <v>583.803524850358</v>
      </c>
      <c r="V21" s="65" t="n">
        <f aca="false">('Revenue Streams'!V$25+'Revenue Streams'!V$27+'Revenue Streams'!V$29)*'Assumption Setting'!$D$174*'Assumption Setting'!$C$175</f>
        <v>612.216437798947</v>
      </c>
      <c r="W21" s="65" t="n">
        <f aca="false">('Revenue Streams'!W$25+'Revenue Streams'!W$27+'Revenue Streams'!W$29)*'Assumption Setting'!$D$174*'Assumption Setting'!$C$175</f>
        <v>640.629350747536</v>
      </c>
      <c r="X21" s="65" t="n">
        <f aca="false">('Revenue Streams'!X$25+'Revenue Streams'!X$27+'Revenue Streams'!X$29)*'Assumption Setting'!$D$174*'Assumption Setting'!$C$175</f>
        <v>669.042263696125</v>
      </c>
      <c r="Y21" s="65" t="n">
        <f aca="false">('Revenue Streams'!Y$25+'Revenue Streams'!Y$27+'Revenue Streams'!Y$29)*'Assumption Setting'!$D$174*'Assumption Setting'!$C$175</f>
        <v>697.455176644714</v>
      </c>
      <c r="Z21" s="65" t="n">
        <f aca="false">('Revenue Streams'!Z$25+'Revenue Streams'!Z$27+'Revenue Streams'!Z$29)*'Assumption Setting'!$D$174*'Assumption Setting'!$C$175</f>
        <v>725.868089593303</v>
      </c>
      <c r="AA21" s="65" t="n">
        <f aca="false">('Revenue Streams'!AA$25+'Revenue Streams'!AA$27+'Revenue Streams'!AA$29)*'Assumption Setting'!$D$174*'Assumption Setting'!$C$175</f>
        <v>754.281002541893</v>
      </c>
      <c r="AB21" s="64" t="n">
        <f aca="false">SUM(AC21:AN21)</f>
        <v>36540.2086752699</v>
      </c>
      <c r="AC21" s="65" t="n">
        <f aca="false">('Revenue Streams'!AC$25+'Revenue Streams'!AC$27+'Revenue Streams'!AC$29)*'Assumption Setting'!$E$174*'Assumption Setting'!$C$175</f>
        <v>2382.5261416288</v>
      </c>
      <c r="AD21" s="65" t="n">
        <f aca="false">('Revenue Streams'!AD$25+'Revenue Streams'!AD$27+'Revenue Streams'!AD$29)*'Assumption Setting'!$E$174*'Assumption Setting'!$C$175</f>
        <v>2469.01526147511</v>
      </c>
      <c r="AE21" s="65" t="n">
        <f aca="false">('Revenue Streams'!AE$25+'Revenue Streams'!AE$27+'Revenue Streams'!AE$29)*'Assumption Setting'!$E$174*'Assumption Setting'!$C$175</f>
        <v>2562.22680698501</v>
      </c>
      <c r="AF21" s="65" t="n">
        <f aca="false">('Revenue Streams'!AF$25+'Revenue Streams'!AF$27+'Revenue Streams'!AF$29)*'Assumption Setting'!$E$174*'Assumption Setting'!$C$175</f>
        <v>2697.03567814759</v>
      </c>
      <c r="AG21" s="65" t="n">
        <f aca="false">('Revenue Streams'!AG$25+'Revenue Streams'!AG$27+'Revenue Streams'!AG$29)*'Assumption Setting'!$E$174*'Assumption Setting'!$C$175</f>
        <v>2831.84454931016</v>
      </c>
      <c r="AH21" s="65" t="n">
        <f aca="false">('Revenue Streams'!AH$25+'Revenue Streams'!AH$27+'Revenue Streams'!AH$29)*'Assumption Setting'!$E$174*'Assumption Setting'!$C$175</f>
        <v>2966.65342047274</v>
      </c>
      <c r="AI21" s="65" t="n">
        <f aca="false">('Revenue Streams'!AI$25+'Revenue Streams'!AI$27+'Revenue Streams'!AI$29)*'Assumption Setting'!$E$174*'Assumption Setting'!$C$175</f>
        <v>3101.46229163531</v>
      </c>
      <c r="AJ21" s="65" t="n">
        <f aca="false">('Revenue Streams'!AJ$25+'Revenue Streams'!AJ$27+'Revenue Streams'!AJ$29)*'Assumption Setting'!$E$174*'Assumption Setting'!$C$175</f>
        <v>3236.27116279789</v>
      </c>
      <c r="AK21" s="65" t="n">
        <f aca="false">('Revenue Streams'!AK$25+'Revenue Streams'!AK$27+'Revenue Streams'!AK$29)*'Assumption Setting'!$E$174*'Assumption Setting'!$C$175</f>
        <v>3371.08003396046</v>
      </c>
      <c r="AL21" s="65" t="n">
        <f aca="false">('Revenue Streams'!AL$25+'Revenue Streams'!AL$27+'Revenue Streams'!AL$29)*'Assumption Setting'!$E$174*'Assumption Setting'!$C$175</f>
        <v>3505.88890512304</v>
      </c>
      <c r="AM21" s="65" t="n">
        <f aca="false">('Revenue Streams'!AM$25+'Revenue Streams'!AM$27+'Revenue Streams'!AM$29)*'Assumption Setting'!$E$174*'Assumption Setting'!$C$175</f>
        <v>3640.69777628561</v>
      </c>
      <c r="AN21" s="65" t="n">
        <f aca="false">('Revenue Streams'!AN$25+'Revenue Streams'!AN$27+'Revenue Streams'!AN$29)*'Assumption Setting'!$E$174*'Assumption Setting'!$C$175</f>
        <v>3775.50664744819</v>
      </c>
      <c r="AO21" s="64" t="n">
        <f aca="false">SUM(AP21:BA21)</f>
        <v>94000.2104398295</v>
      </c>
      <c r="AP21" s="65" t="n">
        <f aca="false">('Revenue Streams'!AP$25+'Revenue Streams'!AP$27+'Revenue Streams'!AP$29)*'Assumption Setting'!$F$174*'Assumption Setting'!$C$175</f>
        <v>6661.07339294122</v>
      </c>
      <c r="AQ21" s="65" t="n">
        <f aca="false">('Revenue Streams'!AQ$25+'Revenue Streams'!AQ$27+'Revenue Streams'!AQ$29)*'Assumption Setting'!$F$174*'Assumption Setting'!$C$175</f>
        <v>6890.71516495672</v>
      </c>
      <c r="AR21" s="65" t="n">
        <f aca="false">('Revenue Streams'!AR$25+'Revenue Streams'!AR$27+'Revenue Streams'!AR$29)*'Assumption Setting'!$F$174*'Assumption Setting'!$C$175</f>
        <v>7112.14949083557</v>
      </c>
      <c r="AS21" s="65" t="n">
        <f aca="false">('Revenue Streams'!AS$25+'Revenue Streams'!AS$27+'Revenue Streams'!AS$29)*'Assumption Setting'!$F$174*'Assumption Setting'!$C$175</f>
        <v>7319.41453469281</v>
      </c>
      <c r="AT21" s="65" t="n">
        <f aca="false">('Revenue Streams'!AT$25+'Revenue Streams'!AT$27+'Revenue Streams'!AT$29)*'Assumption Setting'!$F$174*'Assumption Setting'!$C$175</f>
        <v>7526.67957855006</v>
      </c>
      <c r="AU21" s="65" t="n">
        <f aca="false">('Revenue Streams'!AU$25+'Revenue Streams'!AU$27+'Revenue Streams'!AU$29)*'Assumption Setting'!$F$174*'Assumption Setting'!$C$175</f>
        <v>7733.9446224073</v>
      </c>
      <c r="AV21" s="65" t="n">
        <f aca="false">('Revenue Streams'!AV$25+'Revenue Streams'!AV$27+'Revenue Streams'!AV$29)*'Assumption Setting'!$F$174*'Assumption Setting'!$C$175</f>
        <v>7941.20966626454</v>
      </c>
      <c r="AW21" s="65" t="n">
        <f aca="false">('Revenue Streams'!AW$25+'Revenue Streams'!AW$27+'Revenue Streams'!AW$29)*'Assumption Setting'!$F$174*'Assumption Setting'!$C$175</f>
        <v>8148.47471012178</v>
      </c>
      <c r="AX21" s="65" t="n">
        <f aca="false">('Revenue Streams'!AX$25+'Revenue Streams'!AX$27+'Revenue Streams'!AX$29)*'Assumption Setting'!$F$174*'Assumption Setting'!$C$175</f>
        <v>8355.73975397902</v>
      </c>
      <c r="AY21" s="65" t="n">
        <f aca="false">('Revenue Streams'!AY$25+'Revenue Streams'!AY$27+'Revenue Streams'!AY$29)*'Assumption Setting'!$F$174*'Assumption Setting'!$C$175</f>
        <v>8563.00479783626</v>
      </c>
      <c r="AZ21" s="65" t="n">
        <f aca="false">('Revenue Streams'!AZ$25+'Revenue Streams'!AZ$27+'Revenue Streams'!AZ$29)*'Assumption Setting'!$F$174*'Assumption Setting'!$C$175</f>
        <v>8770.2698416935</v>
      </c>
      <c r="BA21" s="65" t="n">
        <f aca="false">('Revenue Streams'!BA$25+'Revenue Streams'!BA$27+'Revenue Streams'!BA$29)*'Assumption Setting'!$F$174*'Assumption Setting'!$C$175</f>
        <v>8977.53488555074</v>
      </c>
      <c r="BB21" s="64" t="n">
        <f aca="false">SUM(BC21:BN21)</f>
        <v>170801.290006942</v>
      </c>
      <c r="BC21" s="65" t="n">
        <f aca="false">('Revenue Streams'!BC$25+'Revenue Streams'!BC$27+'Revenue Streams'!BC$29)*'Assumption Setting'!$G$174*'Assumption Setting'!$C$175</f>
        <v>12589.2860361266</v>
      </c>
      <c r="BD21" s="65" t="n">
        <f aca="false">('Revenue Streams'!BD$25+'Revenue Streams'!BD$27+'Revenue Streams'!BD$29)*'Assumption Setting'!$G$174*'Assumption Setting'!$C$175</f>
        <v>12873.3770280332</v>
      </c>
      <c r="BE21" s="65" t="n">
        <f aca="false">('Revenue Streams'!BE$25+'Revenue Streams'!BE$27+'Revenue Streams'!BE$29)*'Assumption Setting'!$G$174*'Assumption Setting'!$C$175</f>
        <v>13167.4824034061</v>
      </c>
      <c r="BF21" s="65" t="n">
        <f aca="false">('Revenue Streams'!BF$25+'Revenue Streams'!BF$27+'Revenue Streams'!BF$29)*'Assumption Setting'!$G$174*'Assumption Setting'!$C$175</f>
        <v>13471.1224680443</v>
      </c>
      <c r="BG21" s="65" t="n">
        <f aca="false">('Revenue Streams'!BG$25+'Revenue Streams'!BG$27+'Revenue Streams'!BG$29)*'Assumption Setting'!$G$174*'Assumption Setting'!$C$175</f>
        <v>13774.7625326826</v>
      </c>
      <c r="BH21" s="65" t="n">
        <f aca="false">('Revenue Streams'!BH$25+'Revenue Streams'!BH$27+'Revenue Streams'!BH$29)*'Assumption Setting'!$G$174*'Assumption Setting'!$C$175</f>
        <v>14078.4025973208</v>
      </c>
      <c r="BI21" s="65" t="n">
        <f aca="false">('Revenue Streams'!BI$25+'Revenue Streams'!BI$27+'Revenue Streams'!BI$29)*'Assumption Setting'!$G$174*'Assumption Setting'!$C$175</f>
        <v>14382.0426619591</v>
      </c>
      <c r="BJ21" s="65" t="n">
        <f aca="false">('Revenue Streams'!BJ$25+'Revenue Streams'!BJ$27+'Revenue Streams'!BJ$29)*'Assumption Setting'!$G$174*'Assumption Setting'!$C$175</f>
        <v>14685.6827265973</v>
      </c>
      <c r="BK21" s="65" t="n">
        <f aca="false">('Revenue Streams'!BK$25+'Revenue Streams'!BK$27+'Revenue Streams'!BK$29)*'Assumption Setting'!$G$174*'Assumption Setting'!$C$175</f>
        <v>14989.3227912356</v>
      </c>
      <c r="BL21" s="65" t="n">
        <f aca="false">('Revenue Streams'!BL$25+'Revenue Streams'!BL$27+'Revenue Streams'!BL$29)*'Assumption Setting'!$G$174*'Assumption Setting'!$C$175</f>
        <v>15292.9628558738</v>
      </c>
      <c r="BM21" s="65" t="n">
        <f aca="false">('Revenue Streams'!BM$25+'Revenue Streams'!BM$27+'Revenue Streams'!BM$29)*'Assumption Setting'!$G$174*'Assumption Setting'!$C$175</f>
        <v>15596.6029205121</v>
      </c>
      <c r="BN21" s="65" t="n">
        <f aca="false">('Revenue Streams'!BN$25+'Revenue Streams'!BN$27+'Revenue Streams'!BN$29)*'Assumption Setting'!$G$174*'Assumption Setting'!$C$175</f>
        <v>15900.2429851503</v>
      </c>
    </row>
    <row r="22" customFormat="false" ht="15" hidden="false" customHeight="false" outlineLevel="0" collapsed="false">
      <c r="A22" s="12" t="s">
        <v>815</v>
      </c>
      <c r="B22" s="64" t="n">
        <f aca="false">SUM(C22:N22)</f>
        <v>1779.9224168184</v>
      </c>
      <c r="C22" s="65" t="n">
        <f aca="false">'Revenue Streams'!C$33*'Assumption Setting'!$C$176+'Revenue Streams'!C$35*'Assumption Setting'!$C$177</f>
        <v>25.65</v>
      </c>
      <c r="D22" s="65" t="n">
        <f aca="false">'Revenue Streams'!D$33*'Assumption Setting'!$C$176+'Revenue Streams'!D$35*'Assumption Setting'!$C$177</f>
        <v>41.04</v>
      </c>
      <c r="E22" s="65" t="n">
        <f aca="false">'Revenue Streams'!E$33*'Assumption Setting'!$C$176+'Revenue Streams'!E$35*'Assumption Setting'!$C$177</f>
        <v>73.1224075785163</v>
      </c>
      <c r="F22" s="65" t="n">
        <f aca="false">'Revenue Streams'!F$33*'Assumption Setting'!$C$176+'Revenue Streams'!F$35*'Assumption Setting'!$C$177</f>
        <v>94.9448151570326</v>
      </c>
      <c r="G22" s="65" t="n">
        <f aca="false">'Revenue Streams'!G$33*'Assumption Setting'!$C$176+'Revenue Streams'!G$35*'Assumption Setting'!$C$177</f>
        <v>116.767222735549</v>
      </c>
      <c r="H22" s="65" t="n">
        <f aca="false">'Revenue Streams'!H$33*'Assumption Setting'!$C$176+'Revenue Streams'!H$35*'Assumption Setting'!$C$177</f>
        <v>138.589630314065</v>
      </c>
      <c r="I22" s="65" t="n">
        <f aca="false">'Revenue Streams'!I$33*'Assumption Setting'!$C$176+'Revenue Streams'!I$35*'Assumption Setting'!$C$177</f>
        <v>160.412037892581</v>
      </c>
      <c r="J22" s="65" t="n">
        <f aca="false">'Revenue Streams'!J$33*'Assumption Setting'!$C$176+'Revenue Streams'!J$35*'Assumption Setting'!$C$177</f>
        <v>182.234445471098</v>
      </c>
      <c r="K22" s="65" t="n">
        <f aca="false">'Revenue Streams'!K$33*'Assumption Setting'!$C$176+'Revenue Streams'!K$35*'Assumption Setting'!$C$177</f>
        <v>204.056853049614</v>
      </c>
      <c r="L22" s="65" t="n">
        <f aca="false">'Revenue Streams'!L$33*'Assumption Setting'!$C$176+'Revenue Streams'!L$35*'Assumption Setting'!$C$177</f>
        <v>225.87926062813</v>
      </c>
      <c r="M22" s="65" t="n">
        <f aca="false">'Revenue Streams'!M$33*'Assumption Setting'!$C$176+'Revenue Streams'!M$35*'Assumption Setting'!$C$177</f>
        <v>247.701668206647</v>
      </c>
      <c r="N22" s="65" t="n">
        <f aca="false">'Revenue Streams'!N$33*'Assumption Setting'!$C$176+'Revenue Streams'!N$35*'Assumption Setting'!$C$177</f>
        <v>269.524075785163</v>
      </c>
      <c r="O22" s="64" t="n">
        <f aca="false">SUM(P22:AA22)</f>
        <v>12200.0751351117</v>
      </c>
      <c r="P22" s="65" t="n">
        <f aca="false">'Revenue Streams'!P$33*'Assumption Setting'!$D$176+'Revenue Streams'!P$35*'Assumption Setting'!$C$177</f>
        <v>805.914791868062</v>
      </c>
      <c r="Q22" s="65" t="n">
        <f aca="false">'Revenue Streams'!Q$33*'Assumption Setting'!$D$176+'Revenue Streams'!Q$35*'Assumption Setting'!$C$177</f>
        <v>834.006271054868</v>
      </c>
      <c r="R22" s="65" t="n">
        <f aca="false">'Revenue Streams'!R$33*'Assumption Setting'!$D$176+'Revenue Streams'!R$35*'Assumption Setting'!$C$177</f>
        <v>849.826113993778</v>
      </c>
      <c r="S22" s="65" t="n">
        <f aca="false">'Revenue Streams'!S$33*'Assumption Setting'!$D$176+'Revenue Streams'!S$35*'Assumption Setting'!$C$177</f>
        <v>895.645956932689</v>
      </c>
      <c r="T22" s="65" t="n">
        <f aca="false">'Revenue Streams'!T$33*'Assumption Setting'!$D$176+'Revenue Streams'!T$35*'Assumption Setting'!$C$177</f>
        <v>941.465799871599</v>
      </c>
      <c r="U22" s="65" t="n">
        <f aca="false">'Revenue Streams'!U$33*'Assumption Setting'!$D$176+'Revenue Streams'!U$35*'Assumption Setting'!$C$177</f>
        <v>987.285642810509</v>
      </c>
      <c r="V22" s="65" t="n">
        <f aca="false">'Revenue Streams'!V$33*'Assumption Setting'!$D$176+'Revenue Streams'!V$35*'Assumption Setting'!$C$177</f>
        <v>1033.10548574942</v>
      </c>
      <c r="W22" s="65" t="n">
        <f aca="false">'Revenue Streams'!W$33*'Assumption Setting'!$D$176+'Revenue Streams'!W$35*'Assumption Setting'!$C$177</f>
        <v>1078.92532868833</v>
      </c>
      <c r="X22" s="65" t="n">
        <f aca="false">'Revenue Streams'!X$33*'Assumption Setting'!$D$176+'Revenue Streams'!X$35*'Assumption Setting'!$C$177</f>
        <v>1124.74517162724</v>
      </c>
      <c r="Y22" s="65" t="n">
        <f aca="false">'Revenue Streams'!Y$33*'Assumption Setting'!$D$176+'Revenue Streams'!Y$35*'Assumption Setting'!$C$177</f>
        <v>1170.56501456615</v>
      </c>
      <c r="Z22" s="65" t="n">
        <f aca="false">'Revenue Streams'!Z$33*'Assumption Setting'!$D$176+'Revenue Streams'!Z$35*'Assumption Setting'!$C$177</f>
        <v>1216.38485750506</v>
      </c>
      <c r="AA22" s="65" t="n">
        <f aca="false">'Revenue Streams'!AA$33*'Assumption Setting'!$D$176+'Revenue Streams'!AA$35*'Assumption Setting'!$C$177</f>
        <v>1262.20470044397</v>
      </c>
      <c r="AB22" s="64" t="n">
        <f aca="false">SUM(AC22:AN22)</f>
        <v>22905.0177092022</v>
      </c>
      <c r="AC22" s="65" t="n">
        <f aca="false">'Revenue Streams'!AC$33*'Assumption Setting'!$E$176+'Revenue Streams'!AC$35*'Assumption Setting'!$C$177</f>
        <v>1485.57426662557</v>
      </c>
      <c r="AD22" s="65" t="n">
        <f aca="false">'Revenue Streams'!AD$33*'Assumption Setting'!$E$176+'Revenue Streams'!AD$35*'Assumption Setting'!$C$177</f>
        <v>1541.65843731603</v>
      </c>
      <c r="AE22" s="65" t="n">
        <f aca="false">'Revenue Streams'!AE$33*'Assumption Setting'!$E$176+'Revenue Streams'!AE$35*'Assumption Setting'!$C$177</f>
        <v>1622.77117608149</v>
      </c>
      <c r="AF22" s="65" t="n">
        <f aca="false">'Revenue Streams'!AF$33*'Assumption Setting'!$E$176+'Revenue Streams'!AF$35*'Assumption Setting'!$C$177</f>
        <v>1703.88391484695</v>
      </c>
      <c r="AG22" s="65" t="n">
        <f aca="false">'Revenue Streams'!AG$33*'Assumption Setting'!$E$176+'Revenue Streams'!AG$35*'Assumption Setting'!$C$177</f>
        <v>1784.99665361241</v>
      </c>
      <c r="AH22" s="65" t="n">
        <f aca="false">'Revenue Streams'!AH$33*'Assumption Setting'!$E$176+'Revenue Streams'!AH$35*'Assumption Setting'!$C$177</f>
        <v>1866.10939237787</v>
      </c>
      <c r="AI22" s="65" t="n">
        <f aca="false">'Revenue Streams'!AI$33*'Assumption Setting'!$E$176+'Revenue Streams'!AI$35*'Assumption Setting'!$C$177</f>
        <v>1947.22213114333</v>
      </c>
      <c r="AJ22" s="65" t="n">
        <f aca="false">'Revenue Streams'!AJ$33*'Assumption Setting'!$E$176+'Revenue Streams'!AJ$35*'Assumption Setting'!$C$177</f>
        <v>2028.33486990879</v>
      </c>
      <c r="AK22" s="65" t="n">
        <f aca="false">'Revenue Streams'!AK$33*'Assumption Setting'!$E$176+'Revenue Streams'!AK$35*'Assumption Setting'!$C$177</f>
        <v>2109.44760867425</v>
      </c>
      <c r="AL22" s="65" t="n">
        <f aca="false">'Revenue Streams'!AL$33*'Assumption Setting'!$E$176+'Revenue Streams'!AL$35*'Assumption Setting'!$C$177</f>
        <v>2190.56034743971</v>
      </c>
      <c r="AM22" s="65" t="n">
        <f aca="false">'Revenue Streams'!AM$33*'Assumption Setting'!$E$176+'Revenue Streams'!AM$35*'Assumption Setting'!$C$177</f>
        <v>2271.67308620517</v>
      </c>
      <c r="AN22" s="65" t="n">
        <f aca="false">'Revenue Streams'!AN$33*'Assumption Setting'!$E$176+'Revenue Streams'!AN$35*'Assumption Setting'!$C$177</f>
        <v>2352.78582497063</v>
      </c>
      <c r="AO22" s="64" t="n">
        <f aca="false">SUM(AP22:BA22)</f>
        <v>38168.3568380879</v>
      </c>
      <c r="AP22" s="65" t="n">
        <f aca="false">'Revenue Streams'!AP$33*'Assumption Setting'!$F$176+'Revenue Streams'!AP$35*'Assumption Setting'!$C$177</f>
        <v>2724.78810463647</v>
      </c>
      <c r="AQ22" s="65" t="n">
        <f aca="false">'Revenue Streams'!AQ$33*'Assumption Setting'!$F$176+'Revenue Streams'!AQ$35*'Assumption Setting'!$C$177</f>
        <v>2812.34964254204</v>
      </c>
      <c r="AR22" s="65" t="n">
        <f aca="false">'Revenue Streams'!AR$33*'Assumption Setting'!$F$176+'Revenue Streams'!AR$35*'Assumption Setting'!$C$177</f>
        <v>2894.30823646003</v>
      </c>
      <c r="AS22" s="65" t="n">
        <f aca="false">'Revenue Streams'!AS$33*'Assumption Setting'!$F$176+'Revenue Streams'!AS$35*'Assumption Setting'!$C$177</f>
        <v>2976.26683037801</v>
      </c>
      <c r="AT22" s="65" t="n">
        <f aca="false">'Revenue Streams'!AT$33*'Assumption Setting'!$F$176+'Revenue Streams'!AT$35*'Assumption Setting'!$C$177</f>
        <v>3058.22542429599</v>
      </c>
      <c r="AU22" s="65" t="n">
        <f aca="false">'Revenue Streams'!AU$33*'Assumption Setting'!$F$176+'Revenue Streams'!AU$35*'Assumption Setting'!$C$177</f>
        <v>3140.18401821397</v>
      </c>
      <c r="AV22" s="65" t="n">
        <f aca="false">'Revenue Streams'!AV$33*'Assumption Setting'!$F$176+'Revenue Streams'!AV$35*'Assumption Setting'!$C$177</f>
        <v>3222.14261213195</v>
      </c>
      <c r="AW22" s="65" t="n">
        <f aca="false">'Revenue Streams'!AW$33*'Assumption Setting'!$F$176+'Revenue Streams'!AW$35*'Assumption Setting'!$C$177</f>
        <v>3304.10120604993</v>
      </c>
      <c r="AX22" s="65" t="n">
        <f aca="false">'Revenue Streams'!AX$33*'Assumption Setting'!$F$176+'Revenue Streams'!AX$35*'Assumption Setting'!$C$177</f>
        <v>3386.05979996792</v>
      </c>
      <c r="AY22" s="65" t="n">
        <f aca="false">'Revenue Streams'!AY$33*'Assumption Setting'!$F$176+'Revenue Streams'!AY$35*'Assumption Setting'!$C$177</f>
        <v>3468.0183938859</v>
      </c>
      <c r="AZ22" s="65" t="n">
        <f aca="false">'Revenue Streams'!AZ$33*'Assumption Setting'!$F$176+'Revenue Streams'!AZ$35*'Assumption Setting'!$C$177</f>
        <v>3549.97698780388</v>
      </c>
      <c r="BA22" s="65" t="n">
        <f aca="false">'Revenue Streams'!BA$33*'Assumption Setting'!$F$176+'Revenue Streams'!BA$35*'Assumption Setting'!$C$177</f>
        <v>3631.93558172186</v>
      </c>
      <c r="BB22" s="64" t="n">
        <f aca="false">SUM(BC22:BN22)</f>
        <v>55689.7488002833</v>
      </c>
      <c r="BC22" s="65" t="n">
        <f aca="false">'Revenue Streams'!BC$33*'Assumption Setting'!$G$176+'Revenue Streams'!BC$35*'Assumption Setting'!$C$177</f>
        <v>4110.37747276896</v>
      </c>
      <c r="BD22" s="65" t="n">
        <f aca="false">'Revenue Streams'!BD$33*'Assumption Setting'!$G$176+'Revenue Streams'!BD$35*'Assumption Setting'!$C$177</f>
        <v>4204.28322158067</v>
      </c>
      <c r="BE22" s="65" t="n">
        <f aca="false">'Revenue Streams'!BE$33*'Assumption Setting'!$G$176+'Revenue Streams'!BE$35*'Assumption Setting'!$C$177</f>
        <v>4301.23332867389</v>
      </c>
      <c r="BF22" s="65" t="n">
        <f aca="false">'Revenue Streams'!BF$33*'Assumption Setting'!$G$176+'Revenue Streams'!BF$35*'Assumption Setting'!$C$177</f>
        <v>4398.18343576711</v>
      </c>
      <c r="BG22" s="65" t="n">
        <f aca="false">'Revenue Streams'!BG$33*'Assumption Setting'!$G$176+'Revenue Streams'!BG$35*'Assumption Setting'!$C$177</f>
        <v>4495.13354286032</v>
      </c>
      <c r="BH22" s="65" t="n">
        <f aca="false">'Revenue Streams'!BH$33*'Assumption Setting'!$G$176+'Revenue Streams'!BH$35*'Assumption Setting'!$C$177</f>
        <v>4592.08364995354</v>
      </c>
      <c r="BI22" s="65" t="n">
        <f aca="false">'Revenue Streams'!BI$33*'Assumption Setting'!$G$176+'Revenue Streams'!BI$35*'Assumption Setting'!$C$177</f>
        <v>4689.03375704675</v>
      </c>
      <c r="BJ22" s="65" t="n">
        <f aca="false">'Revenue Streams'!BJ$33*'Assumption Setting'!$G$176+'Revenue Streams'!BJ$35*'Assumption Setting'!$C$177</f>
        <v>4785.98386413997</v>
      </c>
      <c r="BK22" s="65" t="n">
        <f aca="false">'Revenue Streams'!BK$33*'Assumption Setting'!$G$176+'Revenue Streams'!BK$35*'Assumption Setting'!$C$177</f>
        <v>4882.93397123319</v>
      </c>
      <c r="BL22" s="65" t="n">
        <f aca="false">'Revenue Streams'!BL$33*'Assumption Setting'!$G$176+'Revenue Streams'!BL$35*'Assumption Setting'!$C$177</f>
        <v>4979.8840783264</v>
      </c>
      <c r="BM22" s="65" t="n">
        <f aca="false">'Revenue Streams'!BM$33*'Assumption Setting'!$G$176+'Revenue Streams'!BM$35*'Assumption Setting'!$C$177</f>
        <v>5076.83418541962</v>
      </c>
      <c r="BN22" s="65" t="n">
        <f aca="false">'Revenue Streams'!BN$33*'Assumption Setting'!$G$176+'Revenue Streams'!BN$35*'Assumption Setting'!$C$177</f>
        <v>5173.78429251284</v>
      </c>
    </row>
    <row r="23" customFormat="false" ht="15" hidden="false" customHeight="false" outlineLevel="0" collapsed="false">
      <c r="A23" s="12" t="s">
        <v>816</v>
      </c>
      <c r="B23" s="64" t="n">
        <f aca="false">SUM(C23:N23)</f>
        <v>359.360338811324</v>
      </c>
      <c r="C23" s="65" t="n">
        <f aca="false">'Revenue Streams'!C$30*'Assumption Setting'!$C$178+'Revenue Streams'!C$45*'Assumption Setting'!$C$179</f>
        <v>0.834372684048951</v>
      </c>
      <c r="D23" s="65" t="n">
        <f aca="false">'Revenue Streams'!D$30*'Assumption Setting'!$C$178+'Revenue Streams'!D$45*'Assumption Setting'!$C$179</f>
        <v>0.966912243097902</v>
      </c>
      <c r="E23" s="65" t="n">
        <f aca="false">'Revenue Streams'!E$30*'Assumption Setting'!$C$178+'Revenue Streams'!E$45*'Assumption Setting'!$C$179</f>
        <v>1.140615901189</v>
      </c>
      <c r="F23" s="65" t="n">
        <f aca="false">'Revenue Streams'!F$30*'Assumption Setting'!$C$178+'Revenue Streams'!F$45*'Assumption Setting'!$C$179</f>
        <v>1.34079536642145</v>
      </c>
      <c r="G23" s="65" t="n">
        <f aca="false">'Revenue Streams'!G$30*'Assumption Setting'!$C$178+'Revenue Streams'!G$45*'Assumption Setting'!$C$179</f>
        <v>10.728037681393</v>
      </c>
      <c r="H23" s="65" t="n">
        <f aca="false">'Revenue Streams'!H$30*'Assumption Setting'!$C$178+'Revenue Streams'!H$45*'Assumption Setting'!$C$179</f>
        <v>20.1915961433433</v>
      </c>
      <c r="I23" s="65" t="n">
        <f aca="false">'Revenue Streams'!I$30*'Assumption Setting'!$C$178+'Revenue Streams'!I$45*'Assumption Setting'!$C$179</f>
        <v>29.7314707522725</v>
      </c>
      <c r="J23" s="65" t="n">
        <f aca="false">'Revenue Streams'!J$30*'Assumption Setting'!$C$178+'Revenue Streams'!J$45*'Assumption Setting'!$C$179</f>
        <v>39.3476615081804</v>
      </c>
      <c r="K23" s="65" t="n">
        <f aca="false">'Revenue Streams'!K$30*'Assumption Setting'!$C$178+'Revenue Streams'!K$45*'Assumption Setting'!$C$179</f>
        <v>49.0401684110672</v>
      </c>
      <c r="L23" s="65" t="n">
        <f aca="false">'Revenue Streams'!L$30*'Assumption Setting'!$C$178+'Revenue Streams'!L$45*'Assumption Setting'!$C$179</f>
        <v>58.8089914609328</v>
      </c>
      <c r="M23" s="65" t="n">
        <f aca="false">'Revenue Streams'!M$30*'Assumption Setting'!$C$178+'Revenue Streams'!M$45*'Assumption Setting'!$C$179</f>
        <v>68.6541306577771</v>
      </c>
      <c r="N23" s="65" t="n">
        <f aca="false">'Revenue Streams'!N$30*'Assumption Setting'!$C$178+'Revenue Streams'!N$45*'Assumption Setting'!$C$179</f>
        <v>78.5755860016003</v>
      </c>
      <c r="O23" s="64" t="n">
        <f aca="false">SUM(P23:AA23)</f>
        <v>6564.4068313728</v>
      </c>
      <c r="P23" s="65" t="n">
        <f aca="false">'Revenue Streams'!P$30*'Assumption Setting'!$D$178+'Revenue Streams'!P$45*'Assumption Setting'!$C$179</f>
        <v>352.680518348621</v>
      </c>
      <c r="Q23" s="65" t="n">
        <f aca="false">'Revenue Streams'!Q$30*'Assumption Setting'!$D$178+'Revenue Streams'!Q$45*'Assumption Setting'!$C$179</f>
        <v>393.620449881725</v>
      </c>
      <c r="R23" s="65" t="n">
        <f aca="false">'Revenue Streams'!R$30*'Assumption Setting'!$D$178+'Revenue Streams'!R$45*'Assumption Setting'!$C$179</f>
        <v>434.666683939226</v>
      </c>
      <c r="S23" s="65" t="n">
        <f aca="false">'Revenue Streams'!S$30*'Assumption Setting'!$D$178+'Revenue Streams'!S$45*'Assumption Setting'!$C$179</f>
        <v>479.7423395844</v>
      </c>
      <c r="T23" s="65" t="n">
        <f aca="false">'Revenue Streams'!T$30*'Assumption Setting'!$D$178+'Revenue Streams'!T$45*'Assumption Setting'!$C$179</f>
        <v>509.155501372399</v>
      </c>
      <c r="U23" s="65" t="n">
        <f aca="false">'Revenue Streams'!U$30*'Assumption Setting'!$D$178+'Revenue Streams'!U$45*'Assumption Setting'!$C$179</f>
        <v>538.650619095823</v>
      </c>
      <c r="V23" s="65" t="n">
        <f aca="false">'Revenue Streams'!V$30*'Assumption Setting'!$D$178+'Revenue Streams'!V$45*'Assumption Setting'!$C$179</f>
        <v>568.227692754671</v>
      </c>
      <c r="W23" s="65" t="n">
        <f aca="false">'Revenue Streams'!W$30*'Assumption Setting'!$D$178+'Revenue Streams'!W$45*'Assumption Setting'!$C$179</f>
        <v>597.886722348944</v>
      </c>
      <c r="X23" s="65" t="n">
        <f aca="false">'Revenue Streams'!X$30*'Assumption Setting'!$D$178+'Revenue Streams'!X$45*'Assumption Setting'!$C$179</f>
        <v>627.627707878641</v>
      </c>
      <c r="Y23" s="65" t="n">
        <f aca="false">'Revenue Streams'!Y$30*'Assumption Setting'!$D$178+'Revenue Streams'!Y$45*'Assumption Setting'!$C$179</f>
        <v>657.450649343763</v>
      </c>
      <c r="Z23" s="65" t="n">
        <f aca="false">'Revenue Streams'!Z$30*'Assumption Setting'!$D$178+'Revenue Streams'!Z$45*'Assumption Setting'!$C$179</f>
        <v>687.355546744309</v>
      </c>
      <c r="AA23" s="65" t="n">
        <f aca="false">'Revenue Streams'!AA$30*'Assumption Setting'!$D$178+'Revenue Streams'!AA$45*'Assumption Setting'!$C$179</f>
        <v>717.34240008028</v>
      </c>
      <c r="AB23" s="64" t="n">
        <f aca="false">SUM(AC23:AN23)</f>
        <v>10119.1057993665</v>
      </c>
      <c r="AC23" s="65" t="n">
        <f aca="false">'Revenue Streams'!AC$30*'Assumption Setting'!$E$178+'Revenue Streams'!AC$45*'Assumption Setting'!$C$179</f>
        <v>658.797012092296</v>
      </c>
      <c r="AD23" s="65" t="n">
        <f aca="false">'Revenue Streams'!AD$30*'Assumption Setting'!$E$178+'Revenue Streams'!AD$45*'Assumption Setting'!$C$179</f>
        <v>684.771396841789</v>
      </c>
      <c r="AE23" s="65" t="n">
        <f aca="false">'Revenue Streams'!AE$30*'Assumption Setting'!$E$178+'Revenue Streams'!AE$45*'Assumption Setting'!$C$179</f>
        <v>710.802552139308</v>
      </c>
      <c r="AF23" s="65" t="n">
        <f aca="false">'Revenue Streams'!AF$30*'Assumption Setting'!$E$178+'Revenue Streams'!AF$45*'Assumption Setting'!$C$179</f>
        <v>738.634565766218</v>
      </c>
      <c r="AG23" s="65" t="n">
        <f aca="false">'Revenue Streams'!AG$30*'Assumption Setting'!$E$178+'Revenue Streams'!AG$45*'Assumption Setting'!$C$179</f>
        <v>777.718062213134</v>
      </c>
      <c r="AH23" s="65" t="n">
        <f aca="false">'Revenue Streams'!AH$30*'Assumption Setting'!$E$178+'Revenue Streams'!AH$45*'Assumption Setting'!$C$179</f>
        <v>816.920819068481</v>
      </c>
      <c r="AI23" s="65" t="n">
        <f aca="false">'Revenue Streams'!AI$30*'Assumption Setting'!$E$178+'Revenue Streams'!AI$45*'Assumption Setting'!$C$179</f>
        <v>856.242836332259</v>
      </c>
      <c r="AJ23" s="65" t="n">
        <f aca="false">'Revenue Streams'!AJ$30*'Assumption Setting'!$E$178+'Revenue Streams'!AJ$45*'Assumption Setting'!$C$179</f>
        <v>895.684114004468</v>
      </c>
      <c r="AK23" s="65" t="n">
        <f aca="false">'Revenue Streams'!AK$30*'Assumption Setting'!$E$178+'Revenue Streams'!AK$45*'Assumption Setting'!$C$179</f>
        <v>935.244652085108</v>
      </c>
      <c r="AL23" s="65" t="n">
        <f aca="false">'Revenue Streams'!AL$30*'Assumption Setting'!$E$178+'Revenue Streams'!AL$45*'Assumption Setting'!$C$179</f>
        <v>974.924450574179</v>
      </c>
      <c r="AM23" s="65" t="n">
        <f aca="false">'Revenue Streams'!AM$30*'Assumption Setting'!$E$178+'Revenue Streams'!AM$45*'Assumption Setting'!$C$179</f>
        <v>1014.72350947168</v>
      </c>
      <c r="AN23" s="65" t="n">
        <f aca="false">'Revenue Streams'!AN$30*'Assumption Setting'!$E$178+'Revenue Streams'!AN$45*'Assumption Setting'!$C$179</f>
        <v>1054.64182877761</v>
      </c>
      <c r="AO23" s="64" t="n">
        <f aca="false">SUM(AP23:BA23)</f>
        <v>12756.548000775</v>
      </c>
      <c r="AP23" s="65" t="n">
        <f aca="false">'Revenue Streams'!AP$30*'Assumption Setting'!$F$178+'Revenue Streams'!AP$45*'Assumption Setting'!$C$179</f>
        <v>888.881315217273</v>
      </c>
      <c r="AQ23" s="65" t="n">
        <f aca="false">'Revenue Streams'!AQ$30*'Assumption Setting'!$F$178+'Revenue Streams'!AQ$45*'Assumption Setting'!$C$179</f>
        <v>922.085484516239</v>
      </c>
      <c r="AR23" s="65" t="n">
        <f aca="false">'Revenue Streams'!AR$30*'Assumption Setting'!$F$178+'Revenue Streams'!AR$45*'Assumption Setting'!$C$179</f>
        <v>955.385212378012</v>
      </c>
      <c r="AS23" s="65" t="n">
        <f aca="false">'Revenue Streams'!AS$30*'Assumption Setting'!$F$178+'Revenue Streams'!AS$45*'Assumption Setting'!$C$179</f>
        <v>987.727815022364</v>
      </c>
      <c r="AT23" s="65" t="n">
        <f aca="false">'Revenue Streams'!AT$30*'Assumption Setting'!$F$178+'Revenue Streams'!AT$45*'Assumption Setting'!$C$179</f>
        <v>1018.2994647624</v>
      </c>
      <c r="AU23" s="65" t="n">
        <f aca="false">'Revenue Streams'!AU$30*'Assumption Setting'!$F$178+'Revenue Streams'!AU$45*'Assumption Setting'!$C$179</f>
        <v>1048.87190334553</v>
      </c>
      <c r="AV23" s="65" t="n">
        <f aca="false">'Revenue Streams'!AV$30*'Assumption Setting'!$F$178+'Revenue Streams'!AV$45*'Assumption Setting'!$C$179</f>
        <v>1079.44513077178</v>
      </c>
      <c r="AW23" s="65" t="n">
        <f aca="false">'Revenue Streams'!AW$30*'Assumption Setting'!$F$178+'Revenue Streams'!AW$45*'Assumption Setting'!$C$179</f>
        <v>1110.01914704114</v>
      </c>
      <c r="AX23" s="65" t="n">
        <f aca="false">'Revenue Streams'!AX$30*'Assumption Setting'!$F$178+'Revenue Streams'!AX$45*'Assumption Setting'!$C$179</f>
        <v>1140.5939521536</v>
      </c>
      <c r="AY23" s="65" t="n">
        <f aca="false">'Revenue Streams'!AY$30*'Assumption Setting'!$F$178+'Revenue Streams'!AY$45*'Assumption Setting'!$C$179</f>
        <v>1171.16954610917</v>
      </c>
      <c r="AZ23" s="65" t="n">
        <f aca="false">'Revenue Streams'!AZ$30*'Assumption Setting'!$F$178+'Revenue Streams'!AZ$45*'Assumption Setting'!$C$179</f>
        <v>1201.74592890785</v>
      </c>
      <c r="BA23" s="65" t="n">
        <f aca="false">'Revenue Streams'!BA$30*'Assumption Setting'!$F$178+'Revenue Streams'!BA$45*'Assumption Setting'!$C$179</f>
        <v>1232.32310054963</v>
      </c>
      <c r="BB23" s="64" t="n">
        <f aca="false">SUM(BC23:BN23)</f>
        <v>16112.6445912917</v>
      </c>
      <c r="BC23" s="65" t="n">
        <f aca="false">'Revenue Streams'!BC$30*'Assumption Setting'!$G$178+'Revenue Streams'!BC$45*'Assumption Setting'!$C$179</f>
        <v>1176.96696614113</v>
      </c>
      <c r="BD23" s="65" t="n">
        <f aca="false">'Revenue Streams'!BD$30*'Assumption Setting'!$G$178+'Revenue Streams'!BD$45*'Assumption Setting'!$C$179</f>
        <v>1205.97126577838</v>
      </c>
      <c r="BE23" s="65" t="n">
        <f aca="false">'Revenue Streams'!BE$30*'Assumption Setting'!$G$178+'Revenue Streams'!BE$45*'Assumption Setting'!$C$179</f>
        <v>1234.9882324356</v>
      </c>
      <c r="BF23" s="65" t="n">
        <f aca="false">'Revenue Streams'!BF$30*'Assumption Setting'!$G$178+'Revenue Streams'!BF$45*'Assumption Setting'!$C$179</f>
        <v>1264.87826426643</v>
      </c>
      <c r="BG23" s="65" t="n">
        <f aca="false">'Revenue Streams'!BG$30*'Assumption Setting'!$G$178+'Revenue Streams'!BG$45*'Assumption Setting'!$C$179</f>
        <v>1295.62010316088</v>
      </c>
      <c r="BH23" s="65" t="n">
        <f aca="false">'Revenue Streams'!BH$30*'Assumption Setting'!$G$178+'Revenue Streams'!BH$45*'Assumption Setting'!$C$179</f>
        <v>1326.41084144032</v>
      </c>
      <c r="BI23" s="65" t="n">
        <f aca="false">'Revenue Streams'!BI$30*'Assumption Setting'!$G$178+'Revenue Streams'!BI$45*'Assumption Setting'!$C$179</f>
        <v>1357.25047910473</v>
      </c>
      <c r="BJ23" s="65" t="n">
        <f aca="false">'Revenue Streams'!BJ$30*'Assumption Setting'!$G$178+'Revenue Streams'!BJ$45*'Assumption Setting'!$C$179</f>
        <v>1388.13901615413</v>
      </c>
      <c r="BK23" s="65" t="n">
        <f aca="false">'Revenue Streams'!BK$30*'Assumption Setting'!$G$178+'Revenue Streams'!BK$45*'Assumption Setting'!$C$179</f>
        <v>1419.0764525885</v>
      </c>
      <c r="BL23" s="65" t="n">
        <f aca="false">'Revenue Streams'!BL$30*'Assumption Setting'!$G$178+'Revenue Streams'!BL$45*'Assumption Setting'!$C$179</f>
        <v>1450.06278840786</v>
      </c>
      <c r="BM23" s="65" t="n">
        <f aca="false">'Revenue Streams'!BM$30*'Assumption Setting'!$G$178+'Revenue Streams'!BM$45*'Assumption Setting'!$C$179</f>
        <v>1481.0980236122</v>
      </c>
      <c r="BN23" s="65" t="n">
        <f aca="false">'Revenue Streams'!BN$30*'Assumption Setting'!$G$178+'Revenue Streams'!BN$45*'Assumption Setting'!$C$179</f>
        <v>1512.18215820152</v>
      </c>
    </row>
    <row r="24" customFormat="false" ht="15" hidden="false" customHeight="false" outlineLevel="0" collapsed="false">
      <c r="A24" s="69" t="s">
        <v>817</v>
      </c>
      <c r="B24" s="64" t="n">
        <f aca="false">SUM(C24:N24)</f>
        <v>43744.3169697668</v>
      </c>
      <c r="C24" s="70" t="n">
        <f aca="false">SUM(C7:C23)</f>
        <v>4231.71460552316</v>
      </c>
      <c r="D24" s="70" t="n">
        <f aca="false">SUM(D7:D23)</f>
        <v>1861.31546421967</v>
      </c>
      <c r="E24" s="70" t="n">
        <f aca="false">SUM(E7:E23)</f>
        <v>2168.196652357</v>
      </c>
      <c r="F24" s="70" t="n">
        <f aca="false">SUM(F7:F23)</f>
        <v>2327.59304359759</v>
      </c>
      <c r="G24" s="70" t="n">
        <f aca="false">SUM(G7:G23)</f>
        <v>2837.35425476708</v>
      </c>
      <c r="H24" s="70" t="n">
        <f aca="false">SUM(H7:H23)</f>
        <v>3107.41212023115</v>
      </c>
      <c r="I24" s="70" t="n">
        <f aca="false">SUM(I7:I23)</f>
        <v>3617.75341970096</v>
      </c>
      <c r="J24" s="70" t="n">
        <f aca="false">SUM(J7:J23)</f>
        <v>3888.36572610497</v>
      </c>
      <c r="K24" s="70" t="n">
        <f aca="false">SUM(K7:K23)</f>
        <v>4399.23735799595</v>
      </c>
      <c r="L24" s="70" t="n">
        <f aca="false">SUM(L7:L23)</f>
        <v>4670.35733481351</v>
      </c>
      <c r="M24" s="70" t="n">
        <f aca="false">SUM(M7:M23)</f>
        <v>5181.71533483086</v>
      </c>
      <c r="N24" s="70" t="n">
        <f aca="false">SUM(N7:N23)</f>
        <v>5453.30165562485</v>
      </c>
      <c r="O24" s="64" t="n">
        <f aca="false">SUM(P24:AA24)</f>
        <v>213855.341657376</v>
      </c>
      <c r="P24" s="70" t="n">
        <f aca="false">SUM(P7:P23)</f>
        <v>16206.0311014513</v>
      </c>
      <c r="Q24" s="70" t="n">
        <f aca="false">SUM(Q7:Q23)</f>
        <v>14410.3335310797</v>
      </c>
      <c r="R24" s="70" t="n">
        <f aca="false">SUM(R7:R23)</f>
        <v>14460.6210885778</v>
      </c>
      <c r="S24" s="70" t="n">
        <f aca="false">SUM(S7:S23)</f>
        <v>15514.6048914969</v>
      </c>
      <c r="T24" s="70" t="n">
        <f aca="false">SUM(T7:T23)</f>
        <v>16323.9498473327</v>
      </c>
      <c r="U24" s="70" t="n">
        <f aca="false">SUM(U7:U23)</f>
        <v>17133.4237075417</v>
      </c>
      <c r="V24" s="70" t="n">
        <f aca="false">SUM(V7:V23)</f>
        <v>17943.0236552174</v>
      </c>
      <c r="W24" s="70" t="n">
        <f aca="false">SUM(W7:W23)</f>
        <v>18752.747042468</v>
      </c>
      <c r="X24" s="70" t="n">
        <f aca="false">SUM(X7:X23)</f>
        <v>19562.5913802751</v>
      </c>
      <c r="Y24" s="70" t="n">
        <f aca="false">SUM(Y7:Y23)</f>
        <v>20372.5543289616</v>
      </c>
      <c r="Z24" s="70" t="n">
        <f aca="false">SUM(Z7:Z23)</f>
        <v>21182.6336892307</v>
      </c>
      <c r="AA24" s="70" t="n">
        <f aca="false">SUM(AA7:AA23)</f>
        <v>21992.8273937436</v>
      </c>
      <c r="AB24" s="64" t="n">
        <f aca="false">SUM(AC24:AN24)</f>
        <v>408902.238256568</v>
      </c>
      <c r="AC24" s="70" t="n">
        <f aca="false">SUM(AC7:AC23)</f>
        <v>26862.933183634</v>
      </c>
      <c r="AD24" s="70" t="n">
        <f aca="false">SUM(AD7:AD23)</f>
        <v>27815.9287210318</v>
      </c>
      <c r="AE24" s="70" t="n">
        <f aca="false">SUM(AE7:AE23)</f>
        <v>28896.317563031</v>
      </c>
      <c r="AF24" s="70" t="n">
        <f aca="false">SUM(AF7:AF23)</f>
        <v>30371.8287337183</v>
      </c>
      <c r="AG24" s="70" t="n">
        <f aca="false">SUM(AG7:AG23)</f>
        <v>31708.2666004845</v>
      </c>
      <c r="AH24" s="70" t="n">
        <f aca="false">SUM(AH7:AH23)</f>
        <v>33285.068526142</v>
      </c>
      <c r="AI24" s="70" t="n">
        <f aca="false">SUM(AI7:AI23)</f>
        <v>34622.219822782</v>
      </c>
      <c r="AJ24" s="70" t="n">
        <f aca="false">SUM(AJ7:AJ23)</f>
        <v>36199.7066837699</v>
      </c>
      <c r="AK24" s="70" t="n">
        <f aca="false">SUM(AK7:AK23)</f>
        <v>37537.5161308694</v>
      </c>
      <c r="AL24" s="70" t="n">
        <f aca="false">SUM(AL7:AL23)</f>
        <v>39115.6359645383</v>
      </c>
      <c r="AM24" s="70" t="n">
        <f aca="false">SUM(AM7:AM23)</f>
        <v>40454.0547172069</v>
      </c>
      <c r="AN24" s="70" t="n">
        <f aca="false">SUM(AN7:AN23)</f>
        <v>42032.7616093599</v>
      </c>
      <c r="AO24" s="64" t="n">
        <f aca="false">SUM(AP24:BA24)</f>
        <v>678861.970044288</v>
      </c>
      <c r="AP24" s="70" t="n">
        <f aca="false">SUM(AP7:AP23)</f>
        <v>48234.8155030841</v>
      </c>
      <c r="AQ24" s="70" t="n">
        <f aca="false">SUM(AQ7:AQ23)</f>
        <v>49967.9134361104</v>
      </c>
      <c r="AR24" s="70" t="n">
        <f aca="false">SUM(AR7:AR23)</f>
        <v>51407.2629415368</v>
      </c>
      <c r="AS24" s="70" t="n">
        <f aca="false">SUM(AS7:AS23)</f>
        <v>52894.9256973057</v>
      </c>
      <c r="AT24" s="70" t="n">
        <f aca="false">SUM(AT7:AT23)</f>
        <v>54482.8386410895</v>
      </c>
      <c r="AU24" s="70" t="n">
        <f aca="false">SUM(AU7:AU23)</f>
        <v>55830.6576060486</v>
      </c>
      <c r="AV24" s="70" t="n">
        <f aca="false">SUM(AV7:AV23)</f>
        <v>57298.3882782431</v>
      </c>
      <c r="AW24" s="70" t="n">
        <f aca="false">SUM(AW7:AW23)</f>
        <v>58886.0360025694</v>
      </c>
      <c r="AX24" s="70" t="n">
        <f aca="false">SUM(AX7:AX23)</f>
        <v>60233.6058032302</v>
      </c>
      <c r="AY24" s="70" t="n">
        <f aca="false">SUM(AY7:AY23)</f>
        <v>61701.102402976</v>
      </c>
      <c r="AZ24" s="70" t="n">
        <f aca="false">SUM(AZ7:AZ23)</f>
        <v>63288.5302411923</v>
      </c>
      <c r="BA24" s="70" t="n">
        <f aca="false">SUM(BA7:BA23)</f>
        <v>64635.8934909014</v>
      </c>
      <c r="BB24" s="64" t="n">
        <f aca="false">SUM(BC24:BN24)</f>
        <v>982479.789924572</v>
      </c>
      <c r="BC24" s="70" t="n">
        <f aca="false">SUM(BC7:BC23)</f>
        <v>72614.8283450267</v>
      </c>
      <c r="BD24" s="70" t="n">
        <f aca="false">SUM(BD7:BD23)</f>
        <v>74118.8051939628</v>
      </c>
      <c r="BE24" s="70" t="n">
        <f aca="false">SUM(BE7:BE23)</f>
        <v>75787.7434437791</v>
      </c>
      <c r="BF24" s="70" t="n">
        <f aca="false">SUM(BF7:BF23)</f>
        <v>77620.061449555</v>
      </c>
      <c r="BG24" s="70" t="n">
        <f aca="false">SUM(BG7:BG23)</f>
        <v>79221.9313173436</v>
      </c>
      <c r="BH24" s="70" t="n">
        <f aca="false">SUM(BH7:BH23)</f>
        <v>81063.6736587431</v>
      </c>
      <c r="BI24" s="70" t="n">
        <f aca="false">SUM(BI7:BI23)</f>
        <v>82665.2990592999</v>
      </c>
      <c r="BJ24" s="70" t="n">
        <f aca="false">SUM(BJ7:BJ23)</f>
        <v>84506.8174694277</v>
      </c>
      <c r="BK24" s="70" t="n">
        <f aca="false">SUM(BK7:BK23)</f>
        <v>86108.2382425154</v>
      </c>
      <c r="BL24" s="70" t="n">
        <f aca="false">SUM(BL7:BL23)</f>
        <v>87829.5701707485</v>
      </c>
      <c r="BM24" s="70" t="n">
        <f aca="false">SUM(BM7:BM23)</f>
        <v>89670.8215187812</v>
      </c>
      <c r="BN24" s="70" t="n">
        <f aca="false">SUM(BN7:BN23)</f>
        <v>91272.0000553888</v>
      </c>
    </row>
    <row r="25" customFormat="false" ht="15" hidden="false" customHeight="false" outlineLevel="0" collapsed="false">
      <c r="A25" s="66" t="s">
        <v>87</v>
      </c>
      <c r="B25" s="67" t="n">
        <f aca="false">SUM(C25:N25)</f>
        <v>59843.0693390569</v>
      </c>
      <c r="C25" s="68" t="n">
        <f aca="false">'Total Revenue'!C$25-C24</f>
        <v>-1734.70871931224</v>
      </c>
      <c r="D25" s="68" t="n">
        <f aca="false">'Total Revenue'!D$25-D24</f>
        <v>2123.37726653551</v>
      </c>
      <c r="E25" s="68" t="n">
        <f aca="false">'Total Revenue'!E$25-E24</f>
        <v>3049.19588629367</v>
      </c>
      <c r="F25" s="68" t="n">
        <f aca="false">'Total Revenue'!F$25-F24</f>
        <v>3685.52766259474</v>
      </c>
      <c r="G25" s="68" t="n">
        <f aca="false">'Total Revenue'!G$25-G24</f>
        <v>4219.85117488989</v>
      </c>
      <c r="H25" s="68" t="n">
        <f aca="false">'Total Revenue'!H$25-H24</f>
        <v>4996.0584942327</v>
      </c>
      <c r="I25" s="68" t="n">
        <f aca="false">'Total Revenue'!I$25-I24</f>
        <v>5534.16284091203</v>
      </c>
      <c r="J25" s="68" t="n">
        <f aca="false">'Total Revenue'!J$25-J24</f>
        <v>6314.1766419994</v>
      </c>
      <c r="K25" s="68" t="n">
        <f aca="false">'Total Revenue'!K$25-K24</f>
        <v>6856.11157894206</v>
      </c>
      <c r="L25" s="68" t="n">
        <f aca="false">'Total Revenue'!L$25-L24</f>
        <v>7639.97863230039</v>
      </c>
      <c r="M25" s="68" t="n">
        <f aca="false">'Total Revenue'!M$25-M24</f>
        <v>8185.78812380117</v>
      </c>
      <c r="N25" s="68" t="n">
        <f aca="false">'Total Revenue'!N$25-N24</f>
        <v>8973.54975586759</v>
      </c>
      <c r="O25" s="67" t="n">
        <f aca="false">SUM(P25:AA25)</f>
        <v>384250.365714855</v>
      </c>
      <c r="P25" s="68" t="n">
        <f aca="false">'Total Revenue'!P$25-P24</f>
        <v>24569.026561127</v>
      </c>
      <c r="Q25" s="68" t="n">
        <f aca="false">'Total Revenue'!Q$25-Q24</f>
        <v>25632.1520393129</v>
      </c>
      <c r="R25" s="68" t="n">
        <f aca="false">'Total Revenue'!R$25-R24</f>
        <v>26132.9390103321</v>
      </c>
      <c r="S25" s="68" t="n">
        <f aca="false">'Total Revenue'!S$25-S24</f>
        <v>27878.1544363594</v>
      </c>
      <c r="T25" s="68" t="n">
        <f aca="false">'Total Revenue'!T$25-T24</f>
        <v>29477.1407069373</v>
      </c>
      <c r="U25" s="68" t="n">
        <f aca="false">'Total Revenue'!U$25-U24</f>
        <v>31078.3396712972</v>
      </c>
      <c r="V25" s="68" t="n">
        <f aca="false">'Total Revenue'!V$25-V24</f>
        <v>32681.7541463452</v>
      </c>
      <c r="W25" s="68" t="n">
        <f aca="false">'Total Revenue'!W$25-W24</f>
        <v>34242.8887019498</v>
      </c>
      <c r="X25" s="68" t="n">
        <f aca="false">'Total Revenue'!X$25-X24</f>
        <v>35799.3061915611</v>
      </c>
      <c r="Y25" s="68" t="n">
        <f aca="false">'Total Revenue'!Y$25-Y24</f>
        <v>37357.9466684481</v>
      </c>
      <c r="Z25" s="68" t="n">
        <f aca="false">'Total Revenue'!Z$25-Z24</f>
        <v>38918.8123319074</v>
      </c>
      <c r="AA25" s="68" t="n">
        <f aca="false">'Total Revenue'!AA$25-AA24</f>
        <v>40481.9052492779</v>
      </c>
      <c r="AB25" s="67" t="n">
        <f aca="false">SUM(AC25:AN25)</f>
        <v>676752.137863852</v>
      </c>
      <c r="AC25" s="68" t="n">
        <f aca="false">'Total Revenue'!AC$25-AC24</f>
        <v>44003.6541404131</v>
      </c>
      <c r="AD25" s="68" t="n">
        <f aca="false">'Total Revenue'!AD$25-AD24</f>
        <v>45705.894747651</v>
      </c>
      <c r="AE25" s="68" t="n">
        <f aca="false">'Total Revenue'!AE$25-AE24</f>
        <v>47664.9875686563</v>
      </c>
      <c r="AF25" s="68" t="n">
        <f aca="false">'Total Revenue'!AF$25-AF24</f>
        <v>49901.5192018658</v>
      </c>
      <c r="AG25" s="68" t="n">
        <f aca="false">'Total Revenue'!AG$25-AG24</f>
        <v>52574.2462843194</v>
      </c>
      <c r="AH25" s="68" t="n">
        <f aca="false">'Total Revenue'!AH$25-AH24</f>
        <v>54925.315520394</v>
      </c>
      <c r="AI25" s="68" t="n">
        <f aca="false">'Total Revenue'!AI$25-AI24</f>
        <v>57519.442825727</v>
      </c>
      <c r="AJ25" s="68" t="n">
        <f aca="false">'Total Revenue'!AJ$25-AJ24</f>
        <v>59876.6420069529</v>
      </c>
      <c r="AK25" s="68" t="n">
        <f aca="false">'Total Revenue'!AK$25-AK24</f>
        <v>62476.9260423082</v>
      </c>
      <c r="AL25" s="68" t="n">
        <f aca="false">'Total Revenue'!AL$25-AL24</f>
        <v>64840.3071313349</v>
      </c>
      <c r="AM25" s="68" t="n">
        <f aca="false">'Total Revenue'!AM$25-AM24</f>
        <v>67446.7967416027</v>
      </c>
      <c r="AN25" s="68" t="n">
        <f aca="false">'Total Revenue'!AN$25-AN24</f>
        <v>69816.4056526272</v>
      </c>
      <c r="AO25" s="67" t="n">
        <f aca="false">SUM(AP25:BA25)</f>
        <v>1080809.94298645</v>
      </c>
      <c r="AP25" s="68" t="n">
        <f aca="false">'Total Revenue'!AP$25-AP24</f>
        <v>76596.7840290377</v>
      </c>
      <c r="AQ25" s="68" t="n">
        <f aca="false">'Total Revenue'!AQ$25-AQ24</f>
        <v>79089.0076297071</v>
      </c>
      <c r="AR25" s="68" t="n">
        <f aca="false">'Total Revenue'!AR$25-AR24</f>
        <v>81743.288354769</v>
      </c>
      <c r="AS25" s="68" t="n">
        <f aca="false">'Total Revenue'!AS$25-AS24</f>
        <v>84179.1530614589</v>
      </c>
      <c r="AT25" s="68" t="n">
        <f aca="false">'Total Revenue'!AT$25-AT24</f>
        <v>86451.3578700127</v>
      </c>
      <c r="AU25" s="68" t="n">
        <f aca="false">'Total Revenue'!AU$25-AU24</f>
        <v>88963.6791957656</v>
      </c>
      <c r="AV25" s="68" t="n">
        <f aca="false">'Total Revenue'!AV$25-AV24</f>
        <v>91356.1113526577</v>
      </c>
      <c r="AW25" s="68" t="n">
        <f aca="false">'Total Revenue'!AW$25-AW24</f>
        <v>93628.6489957925</v>
      </c>
      <c r="AX25" s="68" t="n">
        <f aca="false">'Total Revenue'!AX$25-AX24</f>
        <v>96141.2871009673</v>
      </c>
      <c r="AY25" s="68" t="n">
        <f aca="false">'Total Revenue'!AY$25-AY24</f>
        <v>98534.0209454316</v>
      </c>
      <c r="AZ25" s="68" t="n">
        <f aca="false">'Total Revenue'!AZ$25-AZ24</f>
        <v>100806.8460898</v>
      </c>
      <c r="BA25" s="68" t="n">
        <f aca="false">'Total Revenue'!BA$25-BA24</f>
        <v>103319.75836105</v>
      </c>
      <c r="BB25" s="67" t="n">
        <f aca="false">SUM(BC25:BN25)</f>
        <v>1500619.30079151</v>
      </c>
      <c r="BC25" s="68" t="n">
        <f aca="false">'Total Revenue'!BC$25-BC24</f>
        <v>110517.543222102</v>
      </c>
      <c r="BD25" s="68" t="n">
        <f aca="false">'Total Revenue'!BD$25-BD24</f>
        <v>113160.01728071</v>
      </c>
      <c r="BE25" s="68" t="n">
        <f aca="false">'Total Revenue'!BE$25-BE24</f>
        <v>115743.043586815</v>
      </c>
      <c r="BF25" s="68" t="n">
        <f aca="false">'Total Revenue'!BF$25-BF24</f>
        <v>118267.906915244</v>
      </c>
      <c r="BG25" s="68" t="n">
        <f aca="false">'Total Revenue'!BG$25-BG24</f>
        <v>121056.260265137</v>
      </c>
      <c r="BH25" s="68" t="n">
        <f aca="false">'Total Revenue'!BH$25-BH24</f>
        <v>123606.138266705</v>
      </c>
      <c r="BI25" s="68" t="n">
        <f aca="false">'Total Revenue'!BI$25-BI24</f>
        <v>126397.5303344</v>
      </c>
      <c r="BJ25" s="68" t="n">
        <f aca="false">'Total Revenue'!BJ$25-BJ24</f>
        <v>128950.426517809</v>
      </c>
      <c r="BK25" s="68" t="n">
        <f aca="false">'Total Revenue'!BK$25-BK24</f>
        <v>131744.817463543</v>
      </c>
      <c r="BL25" s="68" t="n">
        <f aca="false">'Total Revenue'!BL$25-BL24</f>
        <v>134420.694379418</v>
      </c>
      <c r="BM25" s="68" t="n">
        <f aca="false">'Total Revenue'!BM$25-BM24</f>
        <v>136978.049000777</v>
      </c>
      <c r="BN25" s="68" t="n">
        <f aca="false">'Total Revenue'!BN$25-BN24</f>
        <v>139776.873558848</v>
      </c>
    </row>
    <row r="26" customFormat="false" ht="15" hidden="false" customHeight="false" outlineLevel="0" collapsed="false">
      <c r="A26" s="12" t="s">
        <v>818</v>
      </c>
      <c r="B26" s="89" t="n">
        <f aca="false">IFERROR(AVERAGE(C26:N26),0)</f>
        <v>0.494808505811247</v>
      </c>
      <c r="C26" s="90" t="n">
        <f aca="false">IFERROR(C25/'Total Revenue'!C$25,0)</f>
        <v>-0.694715510640853</v>
      </c>
      <c r="D26" s="90" t="n">
        <f aca="false">IFERROR(D25/'Total Revenue'!D$25,0)</f>
        <v>0.532883564684068</v>
      </c>
      <c r="E26" s="90" t="n">
        <f aca="false">IFERROR(E25/'Total Revenue'!E$25,0)</f>
        <v>0.58442907327848</v>
      </c>
      <c r="F26" s="90" t="n">
        <f aca="false">IFERROR(F25/'Total Revenue'!F$25,0)</f>
        <v>0.612914299026023</v>
      </c>
      <c r="G26" s="90" t="n">
        <f aca="false">IFERROR(G25/'Total Revenue'!G$25,0)</f>
        <v>0.597949318175793</v>
      </c>
      <c r="H26" s="90" t="n">
        <f aca="false">IFERROR(H25/'Total Revenue'!H$25,0)</f>
        <v>0.616533178427926</v>
      </c>
      <c r="I26" s="90" t="n">
        <f aca="false">IFERROR(I25/'Total Revenue'!I$25,0)</f>
        <v>0.604699899269113</v>
      </c>
      <c r="J26" s="90" t="n">
        <f aca="false">IFERROR(J25/'Total Revenue'!J$25,0)</f>
        <v>0.618882668082718</v>
      </c>
      <c r="K26" s="90" t="n">
        <f aca="false">IFERROR(K25/'Total Revenue'!K$25,0)</f>
        <v>0.609142516802971</v>
      </c>
      <c r="L26" s="90" t="n">
        <f aca="false">IFERROR(L25/'Total Revenue'!L$25,0)</f>
        <v>0.620614957439829</v>
      </c>
      <c r="M26" s="90" t="n">
        <f aca="false">IFERROR(M25/'Total Revenue'!M$25,0)</f>
        <v>0.612364765727083</v>
      </c>
      <c r="N26" s="90" t="n">
        <f aca="false">IFERROR(N25/'Total Revenue'!N$25,0)</f>
        <v>0.622003339461808</v>
      </c>
      <c r="O26" s="89" t="n">
        <f aca="false">IFERROR(AVERAGE(P26:AA26),0)</f>
        <v>0.641508907849624</v>
      </c>
      <c r="P26" s="90" t="n">
        <f aca="false">IFERROR(P25/'Total Revenue'!P$25,0)</f>
        <v>0.602550381766241</v>
      </c>
      <c r="Q26" s="90" t="n">
        <f aca="false">IFERROR(Q25/'Total Revenue'!Q$25,0)</f>
        <v>0.640123900257213</v>
      </c>
      <c r="R26" s="90" t="n">
        <f aca="false">IFERROR(R25/'Total Revenue'!R$25,0)</f>
        <v>0.643770562292561</v>
      </c>
      <c r="S26" s="90" t="n">
        <f aca="false">IFERROR(S25/'Total Revenue'!S$25,0)</f>
        <v>0.642460974323493</v>
      </c>
      <c r="T26" s="90" t="n">
        <f aca="false">IFERROR(T25/'Total Revenue'!T$25,0)</f>
        <v>0.643590367613837</v>
      </c>
      <c r="U26" s="90" t="n">
        <f aca="false">IFERROR(U25/'Total Revenue'!U$25,0)</f>
        <v>0.644621509217357</v>
      </c>
      <c r="V26" s="90" t="n">
        <f aca="false">IFERROR(V25/'Total Revenue'!V$25,0)</f>
        <v>0.645568347469102</v>
      </c>
      <c r="W26" s="90" t="n">
        <f aca="false">IFERROR(W25/'Total Revenue'!W$25,0)</f>
        <v>0.646145446147548</v>
      </c>
      <c r="X26" s="90" t="n">
        <f aca="false">IFERROR(X25/'Total Revenue'!X$25,0)</f>
        <v>0.646641603010605</v>
      </c>
      <c r="Y26" s="90" t="n">
        <f aca="false">IFERROR(Y25/'Total Revenue'!Y$25,0)</f>
        <v>0.647109344679415</v>
      </c>
      <c r="Z26" s="90" t="n">
        <f aca="false">IFERROR(Z25/'Total Revenue'!Z$25,0)</f>
        <v>0.647552012612465</v>
      </c>
      <c r="AA26" s="90" t="n">
        <f aca="false">IFERROR(AA25/'Total Revenue'!AA$25,0)</f>
        <v>0.647972444805649</v>
      </c>
      <c r="AB26" s="89" t="n">
        <f aca="false">IFERROR(AVERAGE(AC26:AN26),0)</f>
        <v>0.623202259208627</v>
      </c>
      <c r="AC26" s="90" t="n">
        <f aca="false">IFERROR(AC25/'Total Revenue'!AC$25,0)</f>
        <v>0.620936548548619</v>
      </c>
      <c r="AD26" s="90" t="n">
        <f aca="false">IFERROR(AD25/'Total Revenue'!AD$25,0)</f>
        <v>0.621664324839819</v>
      </c>
      <c r="AE26" s="90" t="n">
        <f aca="false">IFERROR(AE25/'Total Revenue'!AE$25,0)</f>
        <v>0.622572819084932</v>
      </c>
      <c r="AF26" s="90" t="n">
        <f aca="false">IFERROR(AF25/'Total Revenue'!AF$25,0)</f>
        <v>0.621644923068483</v>
      </c>
      <c r="AG26" s="90" t="n">
        <f aca="false">IFERROR(AG25/'Total Revenue'!AG$25,0)</f>
        <v>0.6237859371395</v>
      </c>
      <c r="AH26" s="90" t="n">
        <f aca="false">IFERROR(AH25/'Total Revenue'!AH$25,0)</f>
        <v>0.622662695714121</v>
      </c>
      <c r="AI26" s="90" t="n">
        <f aca="false">IFERROR(AI25/'Total Revenue'!AI$25,0)</f>
        <v>0.624250107632042</v>
      </c>
      <c r="AJ26" s="90" t="n">
        <f aca="false">IFERROR(AJ25/'Total Revenue'!AJ$25,0)</f>
        <v>0.62321937524604</v>
      </c>
      <c r="AK26" s="90" t="n">
        <f aca="false">IFERROR(AK25/'Total Revenue'!AK$25,0)</f>
        <v>0.62467904319386</v>
      </c>
      <c r="AL26" s="90" t="n">
        <f aca="false">IFERROR(AL25/'Total Revenue'!AL$25,0)</f>
        <v>0.623728718150688</v>
      </c>
      <c r="AM26" s="90" t="n">
        <f aca="false">IFERROR(AM25/'Total Revenue'!AM$25,0)</f>
        <v>0.625081228087899</v>
      </c>
      <c r="AN26" s="90" t="n">
        <f aca="false">IFERROR(AN25/'Total Revenue'!AN$25,0)</f>
        <v>0.624201389797517</v>
      </c>
      <c r="AO26" s="89" t="n">
        <f aca="false">IFERROR(AVERAGE(AP26:BA26),0)</f>
        <v>0.614163633038392</v>
      </c>
      <c r="AP26" s="90" t="n">
        <f aca="false">IFERROR(AP25/'Total Revenue'!AP$25,0)</f>
        <v>0.613600917685331</v>
      </c>
      <c r="AQ26" s="90" t="n">
        <f aca="false">IFERROR(AQ25/'Total Revenue'!AQ$25,0)</f>
        <v>0.612822675270338</v>
      </c>
      <c r="AR26" s="90" t="n">
        <f aca="false">IFERROR(AR25/'Total Revenue'!AR$25,0)</f>
        <v>0.613916259143847</v>
      </c>
      <c r="AS26" s="90" t="n">
        <f aca="false">IFERROR(AS25/'Total Revenue'!AS$25,0)</f>
        <v>0.614114308290228</v>
      </c>
      <c r="AT26" s="90" t="n">
        <f aca="false">IFERROR(AT25/'Total Revenue'!AT$25,0)</f>
        <v>0.613416473859149</v>
      </c>
      <c r="AU26" s="90" t="n">
        <f aca="false">IFERROR(AU25/'Total Revenue'!AU$25,0)</f>
        <v>0.614414079726984</v>
      </c>
      <c r="AV26" s="90" t="n">
        <f aca="false">IFERROR(AV25/'Total Revenue'!AV$25,0)</f>
        <v>0.61455328684627</v>
      </c>
      <c r="AW26" s="90" t="n">
        <f aca="false">IFERROR(AW25/'Total Revenue'!AW$25,0)</f>
        <v>0.613899238599864</v>
      </c>
      <c r="AX26" s="90" t="n">
        <f aca="false">IFERROR(AX25/'Total Revenue'!AX$25,0)</f>
        <v>0.614812808600086</v>
      </c>
      <c r="AY26" s="90" t="n">
        <f aca="false">IFERROR(AY25/'Total Revenue'!AY$25,0)</f>
        <v>0.6149339725672</v>
      </c>
      <c r="AZ26" s="90" t="n">
        <f aca="false">IFERROR(AZ25/'Total Revenue'!AZ$25,0)</f>
        <v>0.614318625812255</v>
      </c>
      <c r="BA26" s="90" t="n">
        <f aca="false">IFERROR(BA25/'Total Revenue'!BA$25,0)</f>
        <v>0.615160950059148</v>
      </c>
      <c r="BB26" s="89" t="n">
        <f aca="false">IFERROR(AVERAGE(BC26:BN26),0)</f>
        <v>0.604310685232523</v>
      </c>
      <c r="BC26" s="90" t="n">
        <f aca="false">IFERROR(BC25/'Total Revenue'!BC$25,0)</f>
        <v>0.603484475608349</v>
      </c>
      <c r="BD26" s="90" t="n">
        <f aca="false">IFERROR(BD25/'Total Revenue'!BD$25,0)</f>
        <v>0.604232853375685</v>
      </c>
      <c r="BE26" s="90" t="n">
        <f aca="false">IFERROR(BE25/'Total Revenue'!BE$25,0)</f>
        <v>0.60430516357836</v>
      </c>
      <c r="BF26" s="90" t="n">
        <f aca="false">IFERROR(BF25/'Total Revenue'!BF$25,0)</f>
        <v>0.603752787384041</v>
      </c>
      <c r="BG26" s="90" t="n">
        <f aca="false">IFERROR(BG25/'Total Revenue'!BG$25,0)</f>
        <v>0.604440549960142</v>
      </c>
      <c r="BH26" s="90" t="n">
        <f aca="false">IFERROR(BH25/'Total Revenue'!BH$25,0)</f>
        <v>0.603929505303542</v>
      </c>
      <c r="BI26" s="90" t="n">
        <f aca="false">IFERROR(BI25/'Total Revenue'!BI$25,0)</f>
        <v>0.604591120769596</v>
      </c>
      <c r="BJ26" s="90" t="n">
        <f aca="false">IFERROR(BJ25/'Total Revenue'!BJ$25,0)</f>
        <v>0.604104241716525</v>
      </c>
      <c r="BK26" s="90" t="n">
        <f aca="false">IFERROR(BK25/'Total Revenue'!BK$25,0)</f>
        <v>0.604741655041561</v>
      </c>
      <c r="BL26" s="90" t="n">
        <f aca="false">IFERROR(BL25/'Total Revenue'!BL$25,0)</f>
        <v>0.604816802587321</v>
      </c>
      <c r="BM26" s="90" t="n">
        <f aca="false">IFERROR(BM25/'Total Revenue'!BM$25,0)</f>
        <v>0.604362372010836</v>
      </c>
      <c r="BN26" s="90" t="n">
        <f aca="false">IFERROR(BN25/'Total Revenue'!BN$25,0)</f>
        <v>0.604966695454321</v>
      </c>
    </row>
    <row r="28" customFormat="false" ht="16.5" hidden="false" customHeight="true" outlineLevel="0" collapsed="false">
      <c r="A28" s="15" t="s">
        <v>819</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820</v>
      </c>
      <c r="B30" s="64" t="n">
        <f aca="false">SUM(C30:N30)</f>
        <v>60984</v>
      </c>
      <c r="C30" s="76" t="n">
        <f aca="false">Payroll!C$45</f>
        <v>5082</v>
      </c>
      <c r="D30" s="76" t="n">
        <f aca="false">Payroll!D$45</f>
        <v>5082</v>
      </c>
      <c r="E30" s="76" t="n">
        <f aca="false">Payroll!E$45</f>
        <v>5082</v>
      </c>
      <c r="F30" s="76" t="n">
        <f aca="false">Payroll!F$45</f>
        <v>5082</v>
      </c>
      <c r="G30" s="76" t="n">
        <f aca="false">Payroll!G$45</f>
        <v>5082</v>
      </c>
      <c r="H30" s="76" t="n">
        <f aca="false">Payroll!H$45</f>
        <v>5082</v>
      </c>
      <c r="I30" s="76" t="n">
        <f aca="false">Payroll!I$45</f>
        <v>5082</v>
      </c>
      <c r="J30" s="76" t="n">
        <f aca="false">Payroll!J$45</f>
        <v>5082</v>
      </c>
      <c r="K30" s="76" t="n">
        <f aca="false">Payroll!K$45</f>
        <v>5082</v>
      </c>
      <c r="L30" s="76" t="n">
        <f aca="false">Payroll!L$45</f>
        <v>5082</v>
      </c>
      <c r="M30" s="76" t="n">
        <f aca="false">Payroll!M$45</f>
        <v>5082</v>
      </c>
      <c r="N30" s="76" t="n">
        <f aca="false">Payroll!N$45</f>
        <v>5082</v>
      </c>
      <c r="O30" s="64" t="n">
        <f aca="false">SUM(P30:AA30)</f>
        <v>127512</v>
      </c>
      <c r="P30" s="76" t="n">
        <f aca="false">Payroll!P$45</f>
        <v>10626</v>
      </c>
      <c r="Q30" s="76" t="n">
        <f aca="false">Payroll!Q$45</f>
        <v>10626</v>
      </c>
      <c r="R30" s="76" t="n">
        <f aca="false">Payroll!R$45</f>
        <v>10626</v>
      </c>
      <c r="S30" s="76" t="n">
        <f aca="false">Payroll!S$45</f>
        <v>10626</v>
      </c>
      <c r="T30" s="76" t="n">
        <f aca="false">Payroll!T$45</f>
        <v>10626</v>
      </c>
      <c r="U30" s="76" t="n">
        <f aca="false">Payroll!U$45</f>
        <v>10626</v>
      </c>
      <c r="V30" s="76" t="n">
        <f aca="false">Payroll!V$45</f>
        <v>10626</v>
      </c>
      <c r="W30" s="76" t="n">
        <f aca="false">Payroll!W$45</f>
        <v>10626</v>
      </c>
      <c r="X30" s="76" t="n">
        <f aca="false">Payroll!X$45</f>
        <v>10626</v>
      </c>
      <c r="Y30" s="76" t="n">
        <f aca="false">Payroll!Y$45</f>
        <v>10626</v>
      </c>
      <c r="Z30" s="76" t="n">
        <f aca="false">Payroll!Z$45</f>
        <v>10626</v>
      </c>
      <c r="AA30" s="76" t="n">
        <f aca="false">Payroll!AA$45</f>
        <v>10626</v>
      </c>
      <c r="AB30" s="64" t="n">
        <f aca="false">SUM(AC30:AN30)</f>
        <v>216216</v>
      </c>
      <c r="AC30" s="76" t="n">
        <f aca="false">Payroll!AC$45</f>
        <v>18018</v>
      </c>
      <c r="AD30" s="76" t="n">
        <f aca="false">Payroll!AD$45</f>
        <v>18018</v>
      </c>
      <c r="AE30" s="76" t="n">
        <f aca="false">Payroll!AE$45</f>
        <v>18018</v>
      </c>
      <c r="AF30" s="76" t="n">
        <f aca="false">Payroll!AF$45</f>
        <v>18018</v>
      </c>
      <c r="AG30" s="76" t="n">
        <f aca="false">Payroll!AG$45</f>
        <v>18018</v>
      </c>
      <c r="AH30" s="76" t="n">
        <f aca="false">Payroll!AH$45</f>
        <v>18018</v>
      </c>
      <c r="AI30" s="76" t="n">
        <f aca="false">Payroll!AI$45</f>
        <v>18018</v>
      </c>
      <c r="AJ30" s="76" t="n">
        <f aca="false">Payroll!AJ$45</f>
        <v>18018</v>
      </c>
      <c r="AK30" s="76" t="n">
        <f aca="false">Payroll!AK$45</f>
        <v>18018</v>
      </c>
      <c r="AL30" s="76" t="n">
        <f aca="false">Payroll!AL$45</f>
        <v>18018</v>
      </c>
      <c r="AM30" s="76" t="n">
        <f aca="false">Payroll!AM$45</f>
        <v>18018</v>
      </c>
      <c r="AN30" s="76" t="n">
        <f aca="false">Payroll!AN$45</f>
        <v>18018</v>
      </c>
      <c r="AO30" s="64" t="n">
        <f aca="false">SUM(AP30:BA30)</f>
        <v>297990</v>
      </c>
      <c r="AP30" s="76" t="n">
        <f aca="false">Payroll!AP$45</f>
        <v>24832.5</v>
      </c>
      <c r="AQ30" s="76" t="n">
        <f aca="false">Payroll!AQ$45</f>
        <v>24832.5</v>
      </c>
      <c r="AR30" s="76" t="n">
        <f aca="false">Payroll!AR$45</f>
        <v>24832.5</v>
      </c>
      <c r="AS30" s="76" t="n">
        <f aca="false">Payroll!AS$45</f>
        <v>24832.5</v>
      </c>
      <c r="AT30" s="76" t="n">
        <f aca="false">Payroll!AT$45</f>
        <v>24832.5</v>
      </c>
      <c r="AU30" s="76" t="n">
        <f aca="false">Payroll!AU$45</f>
        <v>24832.5</v>
      </c>
      <c r="AV30" s="76" t="n">
        <f aca="false">Payroll!AV$45</f>
        <v>24832.5</v>
      </c>
      <c r="AW30" s="76" t="n">
        <f aca="false">Payroll!AW$45</f>
        <v>24832.5</v>
      </c>
      <c r="AX30" s="76" t="n">
        <f aca="false">Payroll!AX$45</f>
        <v>24832.5</v>
      </c>
      <c r="AY30" s="76" t="n">
        <f aca="false">Payroll!AY$45</f>
        <v>24832.5</v>
      </c>
      <c r="AZ30" s="76" t="n">
        <f aca="false">Payroll!AZ$45</f>
        <v>24832.5</v>
      </c>
      <c r="BA30" s="76" t="n">
        <f aca="false">Payroll!BA$45</f>
        <v>24832.5</v>
      </c>
      <c r="BB30" s="64" t="n">
        <f aca="false">SUM(BC30:BN30)</f>
        <v>374220</v>
      </c>
      <c r="BC30" s="76" t="n">
        <f aca="false">Payroll!BC$45</f>
        <v>31185</v>
      </c>
      <c r="BD30" s="76" t="n">
        <f aca="false">Payroll!BD$45</f>
        <v>31185</v>
      </c>
      <c r="BE30" s="76" t="n">
        <f aca="false">Payroll!BE$45</f>
        <v>31185</v>
      </c>
      <c r="BF30" s="76" t="n">
        <f aca="false">Payroll!BF$45</f>
        <v>31185</v>
      </c>
      <c r="BG30" s="76" t="n">
        <f aca="false">Payroll!BG$45</f>
        <v>31185</v>
      </c>
      <c r="BH30" s="76" t="n">
        <f aca="false">Payroll!BH$45</f>
        <v>31185</v>
      </c>
      <c r="BI30" s="76" t="n">
        <f aca="false">Payroll!BI$45</f>
        <v>31185</v>
      </c>
      <c r="BJ30" s="76" t="n">
        <f aca="false">Payroll!BJ$45</f>
        <v>31185</v>
      </c>
      <c r="BK30" s="76" t="n">
        <f aca="false">Payroll!BK$45</f>
        <v>31185</v>
      </c>
      <c r="BL30" s="76" t="n">
        <f aca="false">Payroll!BL$45</f>
        <v>31185</v>
      </c>
      <c r="BM30" s="76" t="n">
        <f aca="false">Payroll!BM$45</f>
        <v>31185</v>
      </c>
      <c r="BN30" s="76" t="n">
        <f aca="false">Payroll!BN$45</f>
        <v>31185</v>
      </c>
    </row>
    <row r="31" customFormat="false" ht="15" hidden="false" customHeight="false" outlineLevel="0" collapsed="false">
      <c r="A31" s="12" t="s">
        <v>821</v>
      </c>
      <c r="B31" s="64" t="n">
        <f aca="false">SUM(C31:N31)</f>
        <v>4107.64007233928</v>
      </c>
      <c r="C31" s="65" t="n">
        <f aca="false">'Revenue Streams'!C$37*'Assumption Setting'!$C$197</f>
        <v>98.9266666666667</v>
      </c>
      <c r="D31" s="65" t="n">
        <f aca="false">'Revenue Streams'!D$37*'Assumption Setting'!$C$197</f>
        <v>158.282666666667</v>
      </c>
      <c r="E31" s="65" t="n">
        <f aca="false">'Revenue Streams'!E$37*'Assumption Setting'!$C$197</f>
        <v>207.392140516096</v>
      </c>
      <c r="F31" s="65" t="n">
        <f aca="false">'Revenue Streams'!F$37*'Assumption Setting'!$C$197</f>
        <v>238.992490686069</v>
      </c>
      <c r="G31" s="65" t="n">
        <f aca="false">'Revenue Streams'!G$37*'Assumption Setting'!$C$197</f>
        <v>280.43988463927</v>
      </c>
      <c r="H31" s="65" t="n">
        <f aca="false">'Revenue Streams'!H$37*'Assumption Setting'!$C$197</f>
        <v>321.887278592471</v>
      </c>
      <c r="I31" s="65" t="n">
        <f aca="false">'Revenue Streams'!I$37*'Assumption Setting'!$C$197</f>
        <v>363.334672545672</v>
      </c>
      <c r="J31" s="65" t="n">
        <f aca="false">'Revenue Streams'!J$37*'Assumption Setting'!$C$197</f>
        <v>404.782066498873</v>
      </c>
      <c r="K31" s="65" t="n">
        <f aca="false">'Revenue Streams'!K$37*'Assumption Setting'!$C$197</f>
        <v>446.229460452074</v>
      </c>
      <c r="L31" s="65" t="n">
        <f aca="false">'Revenue Streams'!L$37*'Assumption Setting'!$C$197</f>
        <v>487.676854405275</v>
      </c>
      <c r="M31" s="65" t="n">
        <f aca="false">'Revenue Streams'!M$37*'Assumption Setting'!$C$197</f>
        <v>529.124248358476</v>
      </c>
      <c r="N31" s="65" t="n">
        <f aca="false">'Revenue Streams'!N$37*'Assumption Setting'!$C$197</f>
        <v>570.571642311677</v>
      </c>
      <c r="O31" s="64" t="n">
        <f aca="false">SUM(P31:AA31)</f>
        <v>23599.9293151115</v>
      </c>
      <c r="P31" s="65" t="n">
        <f aca="false">'Revenue Streams'!P$37*'Assumption Setting'!$C$197</f>
        <v>1622.50954123177</v>
      </c>
      <c r="Q31" s="65" t="n">
        <f aca="false">'Revenue Streams'!Q$37*'Assumption Setting'!$C$197</f>
        <v>1590.25935150475</v>
      </c>
      <c r="R31" s="65" t="n">
        <f aca="false">'Revenue Streams'!R$37*'Assumption Setting'!$C$197</f>
        <v>1609.23353800655</v>
      </c>
      <c r="S31" s="65" t="n">
        <f aca="false">'Revenue Streams'!S$37*'Assumption Setting'!$C$197</f>
        <v>1717.91177799656</v>
      </c>
      <c r="T31" s="65" t="n">
        <f aca="false">'Revenue Streams'!T$37*'Assumption Setting'!$C$197</f>
        <v>1810.86163395907</v>
      </c>
      <c r="U31" s="65" t="n">
        <f aca="false">'Revenue Streams'!U$37*'Assumption Setting'!$C$197</f>
        <v>1903.81148992157</v>
      </c>
      <c r="V31" s="65" t="n">
        <f aca="false">'Revenue Streams'!V$37*'Assumption Setting'!$C$197</f>
        <v>1996.76134588408</v>
      </c>
      <c r="W31" s="65" t="n">
        <f aca="false">'Revenue Streams'!W$37*'Assumption Setting'!$C$197</f>
        <v>2087.93127872565</v>
      </c>
      <c r="X31" s="65" t="n">
        <f aca="false">'Revenue Streams'!X$37*'Assumption Setting'!$C$197</f>
        <v>2178.82370302354</v>
      </c>
      <c r="Y31" s="65" t="n">
        <f aca="false">'Revenue Streams'!Y$37*'Assumption Setting'!$C$197</f>
        <v>2269.71612732144</v>
      </c>
      <c r="Z31" s="65" t="n">
        <f aca="false">'Revenue Streams'!Z$37*'Assumption Setting'!$C$197</f>
        <v>2360.60855161934</v>
      </c>
      <c r="AA31" s="65" t="n">
        <f aca="false">'Revenue Streams'!AA$37*'Assumption Setting'!$C$197</f>
        <v>2451.50097591723</v>
      </c>
      <c r="AB31" s="64" t="n">
        <f aca="false">SUM(AC31:AN31)</f>
        <v>42584.8079272312</v>
      </c>
      <c r="AC31" s="65" t="n">
        <f aca="false">'Revenue Streams'!AC$37*'Assumption Setting'!$C$197</f>
        <v>2783.99542633208</v>
      </c>
      <c r="AD31" s="65" t="n">
        <f aca="false">'Revenue Streams'!AD$37*'Assumption Setting'!$C$197</f>
        <v>2886.97255380594</v>
      </c>
      <c r="AE31" s="65" t="n">
        <f aca="false">'Revenue Streams'!AE$37*'Assumption Setting'!$C$197</f>
        <v>3005.25462138824</v>
      </c>
      <c r="AF31" s="65" t="n">
        <f aca="false">'Revenue Streams'!AF$37*'Assumption Setting'!$C$197</f>
        <v>3150.43706434265</v>
      </c>
      <c r="AG31" s="65" t="n">
        <f aca="false">'Revenue Streams'!AG$37*'Assumption Setting'!$C$197</f>
        <v>3307.36809550035</v>
      </c>
      <c r="AH31" s="65" t="n">
        <f aca="false">'Revenue Streams'!AH$37*'Assumption Setting'!$C$197</f>
        <v>3460.9110775489</v>
      </c>
      <c r="AI31" s="65" t="n">
        <f aca="false">'Revenue Streams'!AI$37*'Assumption Setting'!$C$197</f>
        <v>3614.45405959746</v>
      </c>
      <c r="AJ31" s="65" t="n">
        <f aca="false">'Revenue Streams'!AJ$37*'Assumption Setting'!$C$197</f>
        <v>3767.99704164601</v>
      </c>
      <c r="AK31" s="65" t="n">
        <f aca="false">'Revenue Streams'!AK$37*'Assumption Setting'!$C$197</f>
        <v>3921.54002369457</v>
      </c>
      <c r="AL31" s="65" t="n">
        <f aca="false">'Revenue Streams'!AL$37*'Assumption Setting'!$C$197</f>
        <v>4075.08300574312</v>
      </c>
      <c r="AM31" s="65" t="n">
        <f aca="false">'Revenue Streams'!AM$37*'Assumption Setting'!$C$197</f>
        <v>4228.62598779167</v>
      </c>
      <c r="AN31" s="65" t="n">
        <f aca="false">'Revenue Streams'!AN$37*'Assumption Setting'!$C$197</f>
        <v>4382.16896984023</v>
      </c>
      <c r="AO31" s="64" t="n">
        <f aca="false">SUM(AP31:BA31)</f>
        <v>68877.1263398749</v>
      </c>
      <c r="AP31" s="65" t="n">
        <f aca="false">'Revenue Streams'!AP$37*'Assumption Setting'!$C$197</f>
        <v>4896.47721286195</v>
      </c>
      <c r="AQ31" s="65" t="n">
        <f aca="false">'Revenue Streams'!AQ$37*'Assumption Setting'!$C$197</f>
        <v>5060.35919020632</v>
      </c>
      <c r="AR31" s="65" t="n">
        <f aca="false">'Revenue Streams'!AR$37*'Assumption Setting'!$C$197</f>
        <v>5218.86430563633</v>
      </c>
      <c r="AS31" s="65" t="n">
        <f aca="false">'Revenue Streams'!AS$37*'Assumption Setting'!$C$197</f>
        <v>5370.48629048694</v>
      </c>
      <c r="AT31" s="65" t="n">
        <f aca="false">'Revenue Streams'!AT$37*'Assumption Setting'!$C$197</f>
        <v>5519.57098539772</v>
      </c>
      <c r="AU31" s="65" t="n">
        <f aca="false">'Revenue Streams'!AU$37*'Assumption Setting'!$C$197</f>
        <v>5668.65568030849</v>
      </c>
      <c r="AV31" s="65" t="n">
        <f aca="false">'Revenue Streams'!AV$37*'Assumption Setting'!$C$197</f>
        <v>5817.74037521926</v>
      </c>
      <c r="AW31" s="65" t="n">
        <f aca="false">'Revenue Streams'!AW$37*'Assumption Setting'!$C$197</f>
        <v>5966.82507013004</v>
      </c>
      <c r="AX31" s="65" t="n">
        <f aca="false">'Revenue Streams'!AX$37*'Assumption Setting'!$C$197</f>
        <v>6115.90976504081</v>
      </c>
      <c r="AY31" s="65" t="n">
        <f aca="false">'Revenue Streams'!AY$37*'Assumption Setting'!$C$197</f>
        <v>6264.99445995159</v>
      </c>
      <c r="AZ31" s="65" t="n">
        <f aca="false">'Revenue Streams'!AZ$37*'Assumption Setting'!$C$197</f>
        <v>6414.07915486236</v>
      </c>
      <c r="BA31" s="65" t="n">
        <f aca="false">'Revenue Streams'!BA$37*'Assumption Setting'!$C$197</f>
        <v>6563.16384977314</v>
      </c>
      <c r="BB31" s="64" t="n">
        <f aca="false">SUM(BC31:BN31)</f>
        <v>97001.2709596961</v>
      </c>
      <c r="BC31" s="65" t="n">
        <f aca="false">'Revenue Streams'!BC$37*'Assumption Setting'!$C$197</f>
        <v>7164.42918611557</v>
      </c>
      <c r="BD31" s="65" t="n">
        <f aca="false">'Revenue Streams'!BD$37*'Assumption Setting'!$C$197</f>
        <v>7324.48007887248</v>
      </c>
      <c r="BE31" s="65" t="n">
        <f aca="false">'Revenue Streams'!BE$37*'Assumption Setting'!$C$197</f>
        <v>7488.73704097029</v>
      </c>
      <c r="BF31" s="65" t="n">
        <f aca="false">'Revenue Streams'!BF$37*'Assumption Setting'!$C$197</f>
        <v>7657.16865948606</v>
      </c>
      <c r="BG31" s="65" t="n">
        <f aca="false">'Revenue Streams'!BG$37*'Assumption Setting'!$C$197</f>
        <v>7826.86606832948</v>
      </c>
      <c r="BH31" s="65" t="n">
        <f aca="false">'Revenue Streams'!BH$37*'Assumption Setting'!$C$197</f>
        <v>7996.5634771729</v>
      </c>
      <c r="BI31" s="65" t="n">
        <f aca="false">'Revenue Streams'!BI$37*'Assumption Setting'!$C$197</f>
        <v>8166.26088601633</v>
      </c>
      <c r="BJ31" s="65" t="n">
        <f aca="false">'Revenue Streams'!BJ$37*'Assumption Setting'!$C$197</f>
        <v>8335.95829485975</v>
      </c>
      <c r="BK31" s="65" t="n">
        <f aca="false">'Revenue Streams'!BK$37*'Assumption Setting'!$C$197</f>
        <v>8505.65570370318</v>
      </c>
      <c r="BL31" s="65" t="n">
        <f aca="false">'Revenue Streams'!BL$37*'Assumption Setting'!$C$197</f>
        <v>8675.3531125466</v>
      </c>
      <c r="BM31" s="65" t="n">
        <f aca="false">'Revenue Streams'!BM$37*'Assumption Setting'!$C$197</f>
        <v>8845.05052139002</v>
      </c>
      <c r="BN31" s="65" t="n">
        <f aca="false">'Revenue Streams'!BN$37*'Assumption Setting'!$C$197</f>
        <v>9014.74793023345</v>
      </c>
    </row>
    <row r="32" customFormat="false" ht="15" hidden="false" customHeight="false" outlineLevel="0" collapsed="false">
      <c r="A32" s="12" t="s">
        <v>822</v>
      </c>
      <c r="B32" s="64" t="n">
        <f aca="false">SUM(C32:N32)</f>
        <v>6060</v>
      </c>
      <c r="C32" s="76" t="n">
        <f aca="false">Acquisitions!C$58</f>
        <v>505</v>
      </c>
      <c r="D32" s="76" t="n">
        <f aca="false">Acquisitions!D$58</f>
        <v>505</v>
      </c>
      <c r="E32" s="76" t="n">
        <f aca="false">Acquisitions!E$58</f>
        <v>505</v>
      </c>
      <c r="F32" s="76" t="n">
        <f aca="false">Acquisitions!F$58</f>
        <v>505</v>
      </c>
      <c r="G32" s="76" t="n">
        <f aca="false">Acquisitions!G$58</f>
        <v>505</v>
      </c>
      <c r="H32" s="76" t="n">
        <f aca="false">Acquisitions!H$58</f>
        <v>505</v>
      </c>
      <c r="I32" s="76" t="n">
        <f aca="false">Acquisitions!I$58</f>
        <v>505</v>
      </c>
      <c r="J32" s="76" t="n">
        <f aca="false">Acquisitions!J$58</f>
        <v>505</v>
      </c>
      <c r="K32" s="76" t="n">
        <f aca="false">Acquisitions!K$58</f>
        <v>505</v>
      </c>
      <c r="L32" s="76" t="n">
        <f aca="false">Acquisitions!L$58</f>
        <v>505</v>
      </c>
      <c r="M32" s="76" t="n">
        <f aca="false">Acquisitions!M$58</f>
        <v>505</v>
      </c>
      <c r="N32" s="76" t="n">
        <f aca="false">Acquisitions!N$58</f>
        <v>505</v>
      </c>
      <c r="O32" s="64" t="n">
        <f aca="false">SUM(P32:AA32)</f>
        <v>23340</v>
      </c>
      <c r="P32" s="76" t="n">
        <f aca="false">Acquisitions!P$58</f>
        <v>1945</v>
      </c>
      <c r="Q32" s="76" t="n">
        <f aca="false">Acquisitions!Q$58</f>
        <v>1945</v>
      </c>
      <c r="R32" s="76" t="n">
        <f aca="false">Acquisitions!R$58</f>
        <v>1945</v>
      </c>
      <c r="S32" s="76" t="n">
        <f aca="false">Acquisitions!S$58</f>
        <v>1945</v>
      </c>
      <c r="T32" s="76" t="n">
        <f aca="false">Acquisitions!T$58</f>
        <v>1945</v>
      </c>
      <c r="U32" s="76" t="n">
        <f aca="false">Acquisitions!U$58</f>
        <v>1945</v>
      </c>
      <c r="V32" s="76" t="n">
        <f aca="false">Acquisitions!V$58</f>
        <v>1945</v>
      </c>
      <c r="W32" s="76" t="n">
        <f aca="false">Acquisitions!W$58</f>
        <v>1945</v>
      </c>
      <c r="X32" s="76" t="n">
        <f aca="false">Acquisitions!X$58</f>
        <v>1945</v>
      </c>
      <c r="Y32" s="76" t="n">
        <f aca="false">Acquisitions!Y$58</f>
        <v>1945</v>
      </c>
      <c r="Z32" s="76" t="n">
        <f aca="false">Acquisitions!Z$58</f>
        <v>1945</v>
      </c>
      <c r="AA32" s="76" t="n">
        <f aca="false">Acquisitions!AA$58</f>
        <v>1945</v>
      </c>
      <c r="AB32" s="64" t="n">
        <f aca="false">SUM(AC32:AN32)</f>
        <v>45720</v>
      </c>
      <c r="AC32" s="76" t="n">
        <f aca="false">Acquisitions!AC$58</f>
        <v>3810</v>
      </c>
      <c r="AD32" s="76" t="n">
        <f aca="false">Acquisitions!AD$58</f>
        <v>3810</v>
      </c>
      <c r="AE32" s="76" t="n">
        <f aca="false">Acquisitions!AE$58</f>
        <v>3810</v>
      </c>
      <c r="AF32" s="76" t="n">
        <f aca="false">Acquisitions!AF$58</f>
        <v>3810</v>
      </c>
      <c r="AG32" s="76" t="n">
        <f aca="false">Acquisitions!AG$58</f>
        <v>3810</v>
      </c>
      <c r="AH32" s="76" t="n">
        <f aca="false">Acquisitions!AH$58</f>
        <v>3810</v>
      </c>
      <c r="AI32" s="76" t="n">
        <f aca="false">Acquisitions!AI$58</f>
        <v>3810</v>
      </c>
      <c r="AJ32" s="76" t="n">
        <f aca="false">Acquisitions!AJ$58</f>
        <v>3810</v>
      </c>
      <c r="AK32" s="76" t="n">
        <f aca="false">Acquisitions!AK$58</f>
        <v>3810</v>
      </c>
      <c r="AL32" s="76" t="n">
        <f aca="false">Acquisitions!AL$58</f>
        <v>3810</v>
      </c>
      <c r="AM32" s="76" t="n">
        <f aca="false">Acquisitions!AM$58</f>
        <v>3810</v>
      </c>
      <c r="AN32" s="76" t="n">
        <f aca="false">Acquisitions!AN$58</f>
        <v>3810</v>
      </c>
      <c r="AO32" s="64" t="n">
        <f aca="false">SUM(AP32:BA32)</f>
        <v>60480</v>
      </c>
      <c r="AP32" s="76" t="n">
        <f aca="false">Acquisitions!AP$58</f>
        <v>5040</v>
      </c>
      <c r="AQ32" s="76" t="n">
        <f aca="false">Acquisitions!AQ$58</f>
        <v>5040</v>
      </c>
      <c r="AR32" s="76" t="n">
        <f aca="false">Acquisitions!AR$58</f>
        <v>5040</v>
      </c>
      <c r="AS32" s="76" t="n">
        <f aca="false">Acquisitions!AS$58</f>
        <v>5040</v>
      </c>
      <c r="AT32" s="76" t="n">
        <f aca="false">Acquisitions!AT$58</f>
        <v>5040</v>
      </c>
      <c r="AU32" s="76" t="n">
        <f aca="false">Acquisitions!AU$58</f>
        <v>5040</v>
      </c>
      <c r="AV32" s="76" t="n">
        <f aca="false">Acquisitions!AV$58</f>
        <v>5040</v>
      </c>
      <c r="AW32" s="76" t="n">
        <f aca="false">Acquisitions!AW$58</f>
        <v>5040</v>
      </c>
      <c r="AX32" s="76" t="n">
        <f aca="false">Acquisitions!AX$58</f>
        <v>5040</v>
      </c>
      <c r="AY32" s="76" t="n">
        <f aca="false">Acquisitions!AY$58</f>
        <v>5040</v>
      </c>
      <c r="AZ32" s="76" t="n">
        <f aca="false">Acquisitions!AZ$58</f>
        <v>5040</v>
      </c>
      <c r="BA32" s="76" t="n">
        <f aca="false">Acquisitions!BA$58</f>
        <v>5040</v>
      </c>
      <c r="BB32" s="64" t="n">
        <f aca="false">SUM(BC32:BN32)</f>
        <v>75240</v>
      </c>
      <c r="BC32" s="76" t="n">
        <f aca="false">Acquisitions!BC$58</f>
        <v>6270</v>
      </c>
      <c r="BD32" s="76" t="n">
        <f aca="false">Acquisitions!BD$58</f>
        <v>6270</v>
      </c>
      <c r="BE32" s="76" t="n">
        <f aca="false">Acquisitions!BE$58</f>
        <v>6270</v>
      </c>
      <c r="BF32" s="76" t="n">
        <f aca="false">Acquisitions!BF$58</f>
        <v>6270</v>
      </c>
      <c r="BG32" s="76" t="n">
        <f aca="false">Acquisitions!BG$58</f>
        <v>6270</v>
      </c>
      <c r="BH32" s="76" t="n">
        <f aca="false">Acquisitions!BH$58</f>
        <v>6270</v>
      </c>
      <c r="BI32" s="76" t="n">
        <f aca="false">Acquisitions!BI$58</f>
        <v>6270</v>
      </c>
      <c r="BJ32" s="76" t="n">
        <f aca="false">Acquisitions!BJ$58</f>
        <v>6270</v>
      </c>
      <c r="BK32" s="76" t="n">
        <f aca="false">Acquisitions!BK$58</f>
        <v>6270</v>
      </c>
      <c r="BL32" s="76" t="n">
        <f aca="false">Acquisitions!BL$58</f>
        <v>6270</v>
      </c>
      <c r="BM32" s="76" t="n">
        <f aca="false">Acquisitions!BM$58</f>
        <v>6270</v>
      </c>
      <c r="BN32" s="76" t="n">
        <f aca="false">Acquisitions!BN$58</f>
        <v>6270</v>
      </c>
    </row>
    <row r="33" customFormat="false" ht="15" hidden="false" customHeight="false" outlineLevel="0" collapsed="false">
      <c r="A33" s="12" t="s">
        <v>823</v>
      </c>
      <c r="B33" s="64" t="n">
        <f aca="false">SUM(C33:N33)</f>
        <v>4080</v>
      </c>
      <c r="C33" s="76" t="n">
        <f aca="false">Acquisitions!C$31</f>
        <v>340</v>
      </c>
      <c r="D33" s="76" t="n">
        <f aca="false">Acquisitions!D$31</f>
        <v>340</v>
      </c>
      <c r="E33" s="76" t="n">
        <f aca="false">Acquisitions!E$31</f>
        <v>340</v>
      </c>
      <c r="F33" s="76" t="n">
        <f aca="false">Acquisitions!F$31</f>
        <v>340</v>
      </c>
      <c r="G33" s="76" t="n">
        <f aca="false">Acquisitions!G$31</f>
        <v>340</v>
      </c>
      <c r="H33" s="76" t="n">
        <f aca="false">Acquisitions!H$31</f>
        <v>340</v>
      </c>
      <c r="I33" s="76" t="n">
        <f aca="false">Acquisitions!I$31</f>
        <v>340</v>
      </c>
      <c r="J33" s="76" t="n">
        <f aca="false">Acquisitions!J$31</f>
        <v>340</v>
      </c>
      <c r="K33" s="76" t="n">
        <f aca="false">Acquisitions!K$31</f>
        <v>340</v>
      </c>
      <c r="L33" s="76" t="n">
        <f aca="false">Acquisitions!L$31</f>
        <v>340</v>
      </c>
      <c r="M33" s="76" t="n">
        <f aca="false">Acquisitions!M$31</f>
        <v>340</v>
      </c>
      <c r="N33" s="76" t="n">
        <f aca="false">Acquisitions!N$31</f>
        <v>340</v>
      </c>
      <c r="O33" s="64" t="n">
        <f aca="false">SUM(P33:AA33)</f>
        <v>14160</v>
      </c>
      <c r="P33" s="76" t="n">
        <f aca="false">Acquisitions!P$31</f>
        <v>1180</v>
      </c>
      <c r="Q33" s="76" t="n">
        <f aca="false">Acquisitions!Q$31</f>
        <v>1180</v>
      </c>
      <c r="R33" s="76" t="n">
        <f aca="false">Acquisitions!R$31</f>
        <v>1180</v>
      </c>
      <c r="S33" s="76" t="n">
        <f aca="false">Acquisitions!S$31</f>
        <v>1180</v>
      </c>
      <c r="T33" s="76" t="n">
        <f aca="false">Acquisitions!T$31</f>
        <v>1180</v>
      </c>
      <c r="U33" s="76" t="n">
        <f aca="false">Acquisitions!U$31</f>
        <v>1180</v>
      </c>
      <c r="V33" s="76" t="n">
        <f aca="false">Acquisitions!V$31</f>
        <v>1180</v>
      </c>
      <c r="W33" s="76" t="n">
        <f aca="false">Acquisitions!W$31</f>
        <v>1180</v>
      </c>
      <c r="X33" s="76" t="n">
        <f aca="false">Acquisitions!X$31</f>
        <v>1180</v>
      </c>
      <c r="Y33" s="76" t="n">
        <f aca="false">Acquisitions!Y$31</f>
        <v>1180</v>
      </c>
      <c r="Z33" s="76" t="n">
        <f aca="false">Acquisitions!Z$31</f>
        <v>1180</v>
      </c>
      <c r="AA33" s="76" t="n">
        <f aca="false">Acquisitions!AA$31</f>
        <v>1180</v>
      </c>
      <c r="AB33" s="64" t="n">
        <f aca="false">SUM(AC33:AN33)</f>
        <v>28800</v>
      </c>
      <c r="AC33" s="76" t="n">
        <f aca="false">Acquisitions!AC$31</f>
        <v>2400</v>
      </c>
      <c r="AD33" s="76" t="n">
        <f aca="false">Acquisitions!AD$31</f>
        <v>2400</v>
      </c>
      <c r="AE33" s="76" t="n">
        <f aca="false">Acquisitions!AE$31</f>
        <v>2400</v>
      </c>
      <c r="AF33" s="76" t="n">
        <f aca="false">Acquisitions!AF$31</f>
        <v>2400</v>
      </c>
      <c r="AG33" s="76" t="n">
        <f aca="false">Acquisitions!AG$31</f>
        <v>2400</v>
      </c>
      <c r="AH33" s="76" t="n">
        <f aca="false">Acquisitions!AH$31</f>
        <v>2400</v>
      </c>
      <c r="AI33" s="76" t="n">
        <f aca="false">Acquisitions!AI$31</f>
        <v>2400</v>
      </c>
      <c r="AJ33" s="76" t="n">
        <f aca="false">Acquisitions!AJ$31</f>
        <v>2400</v>
      </c>
      <c r="AK33" s="76" t="n">
        <f aca="false">Acquisitions!AK$31</f>
        <v>2400</v>
      </c>
      <c r="AL33" s="76" t="n">
        <f aca="false">Acquisitions!AL$31</f>
        <v>2400</v>
      </c>
      <c r="AM33" s="76" t="n">
        <f aca="false">Acquisitions!AM$31</f>
        <v>2400</v>
      </c>
      <c r="AN33" s="76" t="n">
        <f aca="false">Acquisitions!AN$31</f>
        <v>2400</v>
      </c>
      <c r="AO33" s="64" t="n">
        <f aca="false">SUM(AP33:BA33)</f>
        <v>44400</v>
      </c>
      <c r="AP33" s="76" t="n">
        <f aca="false">Acquisitions!AP$31</f>
        <v>3700</v>
      </c>
      <c r="AQ33" s="76" t="n">
        <f aca="false">Acquisitions!AQ$31</f>
        <v>3700</v>
      </c>
      <c r="AR33" s="76" t="n">
        <f aca="false">Acquisitions!AR$31</f>
        <v>3700</v>
      </c>
      <c r="AS33" s="76" t="n">
        <f aca="false">Acquisitions!AS$31</f>
        <v>3700</v>
      </c>
      <c r="AT33" s="76" t="n">
        <f aca="false">Acquisitions!AT$31</f>
        <v>3700</v>
      </c>
      <c r="AU33" s="76" t="n">
        <f aca="false">Acquisitions!AU$31</f>
        <v>3700</v>
      </c>
      <c r="AV33" s="76" t="n">
        <f aca="false">Acquisitions!AV$31</f>
        <v>3700</v>
      </c>
      <c r="AW33" s="76" t="n">
        <f aca="false">Acquisitions!AW$31</f>
        <v>3700</v>
      </c>
      <c r="AX33" s="76" t="n">
        <f aca="false">Acquisitions!AX$31</f>
        <v>3700</v>
      </c>
      <c r="AY33" s="76" t="n">
        <f aca="false">Acquisitions!AY$31</f>
        <v>3700</v>
      </c>
      <c r="AZ33" s="76" t="n">
        <f aca="false">Acquisitions!AZ$31</f>
        <v>3700</v>
      </c>
      <c r="BA33" s="76" t="n">
        <f aca="false">Acquisitions!BA$31</f>
        <v>3700</v>
      </c>
      <c r="BB33" s="64" t="n">
        <f aca="false">SUM(BC33:BN33)</f>
        <v>59400</v>
      </c>
      <c r="BC33" s="76" t="n">
        <f aca="false">Acquisitions!BC$31</f>
        <v>4950</v>
      </c>
      <c r="BD33" s="76" t="n">
        <f aca="false">Acquisitions!BD$31</f>
        <v>4950</v>
      </c>
      <c r="BE33" s="76" t="n">
        <f aca="false">Acquisitions!BE$31</f>
        <v>4950</v>
      </c>
      <c r="BF33" s="76" t="n">
        <f aca="false">Acquisitions!BF$31</f>
        <v>4950</v>
      </c>
      <c r="BG33" s="76" t="n">
        <f aca="false">Acquisitions!BG$31</f>
        <v>4950</v>
      </c>
      <c r="BH33" s="76" t="n">
        <f aca="false">Acquisitions!BH$31</f>
        <v>4950</v>
      </c>
      <c r="BI33" s="76" t="n">
        <f aca="false">Acquisitions!BI$31</f>
        <v>4950</v>
      </c>
      <c r="BJ33" s="76" t="n">
        <f aca="false">Acquisitions!BJ$31</f>
        <v>4950</v>
      </c>
      <c r="BK33" s="76" t="n">
        <f aca="false">Acquisitions!BK$31</f>
        <v>4950</v>
      </c>
      <c r="BL33" s="76" t="n">
        <f aca="false">Acquisitions!BL$31</f>
        <v>4950</v>
      </c>
      <c r="BM33" s="76" t="n">
        <f aca="false">Acquisitions!BM$31</f>
        <v>4950</v>
      </c>
      <c r="BN33" s="76" t="n">
        <f aca="false">Acquisitions!BN$31</f>
        <v>4950</v>
      </c>
    </row>
    <row r="34" customFormat="false" ht="15" hidden="false" customHeight="false" outlineLevel="0" collapsed="false">
      <c r="A34" s="12" t="s">
        <v>824</v>
      </c>
      <c r="B34" s="64" t="n">
        <f aca="false">SUM(C34:N34)</f>
        <v>1680</v>
      </c>
      <c r="C34" s="65" t="n">
        <f aca="false">'Assumption Setting'!$C$194*'Assumption Setting'!$C$195*'Assumption Setting'!$C$196/12</f>
        <v>140</v>
      </c>
      <c r="D34" s="65" t="n">
        <f aca="false">'Assumption Setting'!$C$194*'Assumption Setting'!$C$195*'Assumption Setting'!$C$196/12</f>
        <v>140</v>
      </c>
      <c r="E34" s="65" t="n">
        <f aca="false">'Assumption Setting'!$C$194*'Assumption Setting'!$C$195*'Assumption Setting'!$C$196/12</f>
        <v>140</v>
      </c>
      <c r="F34" s="65" t="n">
        <f aca="false">'Assumption Setting'!$C$194*'Assumption Setting'!$C$195*'Assumption Setting'!$C$196/12</f>
        <v>140</v>
      </c>
      <c r="G34" s="65" t="n">
        <f aca="false">'Assumption Setting'!$C$194*'Assumption Setting'!$C$195*'Assumption Setting'!$C$196/12</f>
        <v>140</v>
      </c>
      <c r="H34" s="65" t="n">
        <f aca="false">'Assumption Setting'!$C$194*'Assumption Setting'!$C$195*'Assumption Setting'!$C$196/12</f>
        <v>140</v>
      </c>
      <c r="I34" s="65" t="n">
        <f aca="false">'Assumption Setting'!$C$194*'Assumption Setting'!$C$195*'Assumption Setting'!$C$196/12</f>
        <v>140</v>
      </c>
      <c r="J34" s="65" t="n">
        <f aca="false">'Assumption Setting'!$C$194*'Assumption Setting'!$C$195*'Assumption Setting'!$C$196/12</f>
        <v>140</v>
      </c>
      <c r="K34" s="65" t="n">
        <f aca="false">'Assumption Setting'!$C$194*'Assumption Setting'!$C$195*'Assumption Setting'!$C$196/12</f>
        <v>140</v>
      </c>
      <c r="L34" s="65" t="n">
        <f aca="false">'Assumption Setting'!$C$194*'Assumption Setting'!$C$195*'Assumption Setting'!$C$196/12</f>
        <v>140</v>
      </c>
      <c r="M34" s="65" t="n">
        <f aca="false">'Assumption Setting'!$C$194*'Assumption Setting'!$C$195*'Assumption Setting'!$C$196/12</f>
        <v>140</v>
      </c>
      <c r="N34" s="65" t="n">
        <f aca="false">'Assumption Setting'!$C$194*'Assumption Setting'!$C$195*'Assumption Setting'!$C$196/12</f>
        <v>140</v>
      </c>
      <c r="O34" s="64" t="n">
        <f aca="false">SUM(P34:AA34)</f>
        <v>5250</v>
      </c>
      <c r="P34" s="65" t="n">
        <f aca="false">'Assumption Setting'!$D$194*'Assumption Setting'!$C$195*'Assumption Setting'!$C$196/12</f>
        <v>437.5</v>
      </c>
      <c r="Q34" s="65" t="n">
        <f aca="false">'Assumption Setting'!$D$194*'Assumption Setting'!$C$195*'Assumption Setting'!$C$196/12</f>
        <v>437.5</v>
      </c>
      <c r="R34" s="65" t="n">
        <f aca="false">'Assumption Setting'!$D$194*'Assumption Setting'!$C$195*'Assumption Setting'!$C$196/12</f>
        <v>437.5</v>
      </c>
      <c r="S34" s="65" t="n">
        <f aca="false">'Assumption Setting'!$D$194*'Assumption Setting'!$C$195*'Assumption Setting'!$C$196/12</f>
        <v>437.5</v>
      </c>
      <c r="T34" s="65" t="n">
        <f aca="false">'Assumption Setting'!$D$194*'Assumption Setting'!$C$195*'Assumption Setting'!$C$196/12</f>
        <v>437.5</v>
      </c>
      <c r="U34" s="65" t="n">
        <f aca="false">'Assumption Setting'!$D$194*'Assumption Setting'!$C$195*'Assumption Setting'!$C$196/12</f>
        <v>437.5</v>
      </c>
      <c r="V34" s="65" t="n">
        <f aca="false">'Assumption Setting'!$D$194*'Assumption Setting'!$C$195*'Assumption Setting'!$C$196/12</f>
        <v>437.5</v>
      </c>
      <c r="W34" s="65" t="n">
        <f aca="false">'Assumption Setting'!$D$194*'Assumption Setting'!$C$195*'Assumption Setting'!$C$196/12</f>
        <v>437.5</v>
      </c>
      <c r="X34" s="65" t="n">
        <f aca="false">'Assumption Setting'!$D$194*'Assumption Setting'!$C$195*'Assumption Setting'!$C$196/12</f>
        <v>437.5</v>
      </c>
      <c r="Y34" s="65" t="n">
        <f aca="false">'Assumption Setting'!$D$194*'Assumption Setting'!$C$195*'Assumption Setting'!$C$196/12</f>
        <v>437.5</v>
      </c>
      <c r="Z34" s="65" t="n">
        <f aca="false">'Assumption Setting'!$D$194*'Assumption Setting'!$C$195*'Assumption Setting'!$C$196/12</f>
        <v>437.5</v>
      </c>
      <c r="AA34" s="65" t="n">
        <f aca="false">'Assumption Setting'!$D$194*'Assumption Setting'!$C$195*'Assumption Setting'!$C$196/12</f>
        <v>437.5</v>
      </c>
      <c r="AB34" s="64" t="n">
        <f aca="false">SUM(AC34:AN34)</f>
        <v>11550</v>
      </c>
      <c r="AC34" s="65" t="n">
        <f aca="false">'Assumption Setting'!$E$194*'Assumption Setting'!$C$195*'Assumption Setting'!$C$196/12</f>
        <v>962.5</v>
      </c>
      <c r="AD34" s="65" t="n">
        <f aca="false">'Assumption Setting'!$E$194*'Assumption Setting'!$C$195*'Assumption Setting'!$C$196/12</f>
        <v>962.5</v>
      </c>
      <c r="AE34" s="65" t="n">
        <f aca="false">'Assumption Setting'!$E$194*'Assumption Setting'!$C$195*'Assumption Setting'!$C$196/12</f>
        <v>962.5</v>
      </c>
      <c r="AF34" s="65" t="n">
        <f aca="false">'Assumption Setting'!$E$194*'Assumption Setting'!$C$195*'Assumption Setting'!$C$196/12</f>
        <v>962.5</v>
      </c>
      <c r="AG34" s="65" t="n">
        <f aca="false">'Assumption Setting'!$E$194*'Assumption Setting'!$C$195*'Assumption Setting'!$C$196/12</f>
        <v>962.5</v>
      </c>
      <c r="AH34" s="65" t="n">
        <f aca="false">'Assumption Setting'!$E$194*'Assumption Setting'!$C$195*'Assumption Setting'!$C$196/12</f>
        <v>962.5</v>
      </c>
      <c r="AI34" s="65" t="n">
        <f aca="false">'Assumption Setting'!$E$194*'Assumption Setting'!$C$195*'Assumption Setting'!$C$196/12</f>
        <v>962.5</v>
      </c>
      <c r="AJ34" s="65" t="n">
        <f aca="false">'Assumption Setting'!$E$194*'Assumption Setting'!$C$195*'Assumption Setting'!$C$196/12</f>
        <v>962.5</v>
      </c>
      <c r="AK34" s="65" t="n">
        <f aca="false">'Assumption Setting'!$E$194*'Assumption Setting'!$C$195*'Assumption Setting'!$C$196/12</f>
        <v>962.5</v>
      </c>
      <c r="AL34" s="65" t="n">
        <f aca="false">'Assumption Setting'!$E$194*'Assumption Setting'!$C$195*'Assumption Setting'!$C$196/12</f>
        <v>962.5</v>
      </c>
      <c r="AM34" s="65" t="n">
        <f aca="false">'Assumption Setting'!$E$194*'Assumption Setting'!$C$195*'Assumption Setting'!$C$196/12</f>
        <v>962.5</v>
      </c>
      <c r="AN34" s="65" t="n">
        <f aca="false">'Assumption Setting'!$E$194*'Assumption Setting'!$C$195*'Assumption Setting'!$C$196/12</f>
        <v>962.5</v>
      </c>
      <c r="AO34" s="64" t="n">
        <f aca="false">SUM(AP34:BA34)</f>
        <v>18900</v>
      </c>
      <c r="AP34" s="65" t="n">
        <f aca="false">'Assumption Setting'!$F$194*'Assumption Setting'!$C$195*'Assumption Setting'!$C$196/12</f>
        <v>1575</v>
      </c>
      <c r="AQ34" s="65" t="n">
        <f aca="false">'Assumption Setting'!$F$194*'Assumption Setting'!$C$195*'Assumption Setting'!$C$196/12</f>
        <v>1575</v>
      </c>
      <c r="AR34" s="65" t="n">
        <f aca="false">'Assumption Setting'!$F$194*'Assumption Setting'!$C$195*'Assumption Setting'!$C$196/12</f>
        <v>1575</v>
      </c>
      <c r="AS34" s="65" t="n">
        <f aca="false">'Assumption Setting'!$F$194*'Assumption Setting'!$C$195*'Assumption Setting'!$C$196/12</f>
        <v>1575</v>
      </c>
      <c r="AT34" s="65" t="n">
        <f aca="false">'Assumption Setting'!$F$194*'Assumption Setting'!$C$195*'Assumption Setting'!$C$196/12</f>
        <v>1575</v>
      </c>
      <c r="AU34" s="65" t="n">
        <f aca="false">'Assumption Setting'!$F$194*'Assumption Setting'!$C$195*'Assumption Setting'!$C$196/12</f>
        <v>1575</v>
      </c>
      <c r="AV34" s="65" t="n">
        <f aca="false">'Assumption Setting'!$F$194*'Assumption Setting'!$C$195*'Assumption Setting'!$C$196/12</f>
        <v>1575</v>
      </c>
      <c r="AW34" s="65" t="n">
        <f aca="false">'Assumption Setting'!$F$194*'Assumption Setting'!$C$195*'Assumption Setting'!$C$196/12</f>
        <v>1575</v>
      </c>
      <c r="AX34" s="65" t="n">
        <f aca="false">'Assumption Setting'!$F$194*'Assumption Setting'!$C$195*'Assumption Setting'!$C$196/12</f>
        <v>1575</v>
      </c>
      <c r="AY34" s="65" t="n">
        <f aca="false">'Assumption Setting'!$F$194*'Assumption Setting'!$C$195*'Assumption Setting'!$C$196/12</f>
        <v>1575</v>
      </c>
      <c r="AZ34" s="65" t="n">
        <f aca="false">'Assumption Setting'!$F$194*'Assumption Setting'!$C$195*'Assumption Setting'!$C$196/12</f>
        <v>1575</v>
      </c>
      <c r="BA34" s="65" t="n">
        <f aca="false">'Assumption Setting'!$F$194*'Assumption Setting'!$C$195*'Assumption Setting'!$C$196/12</f>
        <v>1575</v>
      </c>
      <c r="BB34" s="64" t="n">
        <f aca="false">SUM(BC34:BN34)</f>
        <v>26250</v>
      </c>
      <c r="BC34" s="65" t="n">
        <f aca="false">'Assumption Setting'!$G$194*'Assumption Setting'!$C$195*'Assumption Setting'!$C$196/12</f>
        <v>2187.5</v>
      </c>
      <c r="BD34" s="65" t="n">
        <f aca="false">'Assumption Setting'!$G$194*'Assumption Setting'!$C$195*'Assumption Setting'!$C$196/12</f>
        <v>2187.5</v>
      </c>
      <c r="BE34" s="65" t="n">
        <f aca="false">'Assumption Setting'!$G$194*'Assumption Setting'!$C$195*'Assumption Setting'!$C$196/12</f>
        <v>2187.5</v>
      </c>
      <c r="BF34" s="65" t="n">
        <f aca="false">'Assumption Setting'!$G$194*'Assumption Setting'!$C$195*'Assumption Setting'!$C$196/12</f>
        <v>2187.5</v>
      </c>
      <c r="BG34" s="65" t="n">
        <f aca="false">'Assumption Setting'!$G$194*'Assumption Setting'!$C$195*'Assumption Setting'!$C$196/12</f>
        <v>2187.5</v>
      </c>
      <c r="BH34" s="65" t="n">
        <f aca="false">'Assumption Setting'!$G$194*'Assumption Setting'!$C$195*'Assumption Setting'!$C$196/12</f>
        <v>2187.5</v>
      </c>
      <c r="BI34" s="65" t="n">
        <f aca="false">'Assumption Setting'!$G$194*'Assumption Setting'!$C$195*'Assumption Setting'!$C$196/12</f>
        <v>2187.5</v>
      </c>
      <c r="BJ34" s="65" t="n">
        <f aca="false">'Assumption Setting'!$G$194*'Assumption Setting'!$C$195*'Assumption Setting'!$C$196/12</f>
        <v>2187.5</v>
      </c>
      <c r="BK34" s="65" t="n">
        <f aca="false">'Assumption Setting'!$G$194*'Assumption Setting'!$C$195*'Assumption Setting'!$C$196/12</f>
        <v>2187.5</v>
      </c>
      <c r="BL34" s="65" t="n">
        <f aca="false">'Assumption Setting'!$G$194*'Assumption Setting'!$C$195*'Assumption Setting'!$C$196/12</f>
        <v>2187.5</v>
      </c>
      <c r="BM34" s="65" t="n">
        <f aca="false">'Assumption Setting'!$G$194*'Assumption Setting'!$C$195*'Assumption Setting'!$C$196/12</f>
        <v>2187.5</v>
      </c>
      <c r="BN34" s="65" t="n">
        <f aca="false">'Assumption Setting'!$G$194*'Assumption Setting'!$C$195*'Assumption Setting'!$C$196/12</f>
        <v>2187.5</v>
      </c>
    </row>
    <row r="35" customFormat="false" ht="15" hidden="false" customHeight="false" outlineLevel="0" collapsed="false">
      <c r="A35" s="12" t="s">
        <v>825</v>
      </c>
      <c r="B35" s="64" t="n">
        <f aca="false">SUM(C35:N35)</f>
        <v>4680</v>
      </c>
      <c r="C35" s="65" t="n">
        <f aca="false">Payroll!C$64*'Assumption Setting'!$C$184</f>
        <v>390</v>
      </c>
      <c r="D35" s="65" t="n">
        <f aca="false">Payroll!D$64*'Assumption Setting'!$C$184</f>
        <v>390</v>
      </c>
      <c r="E35" s="65" t="n">
        <f aca="false">Payroll!E$64*'Assumption Setting'!$C$184</f>
        <v>390</v>
      </c>
      <c r="F35" s="65" t="n">
        <f aca="false">Payroll!F$64*'Assumption Setting'!$C$184</f>
        <v>390</v>
      </c>
      <c r="G35" s="65" t="n">
        <f aca="false">Payroll!G$64*'Assumption Setting'!$C$184</f>
        <v>390</v>
      </c>
      <c r="H35" s="65" t="n">
        <f aca="false">Payroll!H$64*'Assumption Setting'!$C$184</f>
        <v>390</v>
      </c>
      <c r="I35" s="65" t="n">
        <f aca="false">Payroll!I$64*'Assumption Setting'!$C$184</f>
        <v>390</v>
      </c>
      <c r="J35" s="65" t="n">
        <f aca="false">Payroll!J$64*'Assumption Setting'!$C$184</f>
        <v>390</v>
      </c>
      <c r="K35" s="65" t="n">
        <f aca="false">Payroll!K$64*'Assumption Setting'!$C$184</f>
        <v>390</v>
      </c>
      <c r="L35" s="65" t="n">
        <f aca="false">Payroll!L$64*'Assumption Setting'!$C$184</f>
        <v>390</v>
      </c>
      <c r="M35" s="65" t="n">
        <f aca="false">Payroll!M$64*'Assumption Setting'!$C$184</f>
        <v>390</v>
      </c>
      <c r="N35" s="65" t="n">
        <f aca="false">Payroll!N$64*'Assumption Setting'!$C$184</f>
        <v>390</v>
      </c>
      <c r="O35" s="64" t="n">
        <f aca="false">SUM(P35:AA35)</f>
        <v>9180</v>
      </c>
      <c r="P35" s="65" t="n">
        <f aca="false">Payroll!P$64*'Assumption Setting'!$D$184</f>
        <v>765</v>
      </c>
      <c r="Q35" s="65" t="n">
        <f aca="false">Payroll!Q$64*'Assumption Setting'!$D$184</f>
        <v>765</v>
      </c>
      <c r="R35" s="65" t="n">
        <f aca="false">Payroll!R$64*'Assumption Setting'!$D$184</f>
        <v>765</v>
      </c>
      <c r="S35" s="65" t="n">
        <f aca="false">Payroll!S$64*'Assumption Setting'!$D$184</f>
        <v>765</v>
      </c>
      <c r="T35" s="65" t="n">
        <f aca="false">Payroll!T$64*'Assumption Setting'!$D$184</f>
        <v>765</v>
      </c>
      <c r="U35" s="65" t="n">
        <f aca="false">Payroll!U$64*'Assumption Setting'!$D$184</f>
        <v>765</v>
      </c>
      <c r="V35" s="65" t="n">
        <f aca="false">Payroll!V$64*'Assumption Setting'!$D$184</f>
        <v>765</v>
      </c>
      <c r="W35" s="65" t="n">
        <f aca="false">Payroll!W$64*'Assumption Setting'!$D$184</f>
        <v>765</v>
      </c>
      <c r="X35" s="65" t="n">
        <f aca="false">Payroll!X$64*'Assumption Setting'!$D$184</f>
        <v>765</v>
      </c>
      <c r="Y35" s="65" t="n">
        <f aca="false">Payroll!Y$64*'Assumption Setting'!$D$184</f>
        <v>765</v>
      </c>
      <c r="Z35" s="65" t="n">
        <f aca="false">Payroll!Z$64*'Assumption Setting'!$D$184</f>
        <v>765</v>
      </c>
      <c r="AA35" s="65" t="n">
        <f aca="false">Payroll!AA$64*'Assumption Setting'!$D$184</f>
        <v>765</v>
      </c>
      <c r="AB35" s="64" t="n">
        <f aca="false">SUM(AC35:AN35)</f>
        <v>14400</v>
      </c>
      <c r="AC35" s="65" t="n">
        <f aca="false">Payroll!AC$64*'Assumption Setting'!$E$184</f>
        <v>1200</v>
      </c>
      <c r="AD35" s="65" t="n">
        <f aca="false">Payroll!AD$64*'Assumption Setting'!$E$184</f>
        <v>1200</v>
      </c>
      <c r="AE35" s="65" t="n">
        <f aca="false">Payroll!AE$64*'Assumption Setting'!$E$184</f>
        <v>1200</v>
      </c>
      <c r="AF35" s="65" t="n">
        <f aca="false">Payroll!AF$64*'Assumption Setting'!$E$184</f>
        <v>1200</v>
      </c>
      <c r="AG35" s="65" t="n">
        <f aca="false">Payroll!AG$64*'Assumption Setting'!$E$184</f>
        <v>1200</v>
      </c>
      <c r="AH35" s="65" t="n">
        <f aca="false">Payroll!AH$64*'Assumption Setting'!$E$184</f>
        <v>1200</v>
      </c>
      <c r="AI35" s="65" t="n">
        <f aca="false">Payroll!AI$64*'Assumption Setting'!$E$184</f>
        <v>1200</v>
      </c>
      <c r="AJ35" s="65" t="n">
        <f aca="false">Payroll!AJ$64*'Assumption Setting'!$E$184</f>
        <v>1200</v>
      </c>
      <c r="AK35" s="65" t="n">
        <f aca="false">Payroll!AK$64*'Assumption Setting'!$E$184</f>
        <v>1200</v>
      </c>
      <c r="AL35" s="65" t="n">
        <f aca="false">Payroll!AL$64*'Assumption Setting'!$E$184</f>
        <v>1200</v>
      </c>
      <c r="AM35" s="65" t="n">
        <f aca="false">Payroll!AM$64*'Assumption Setting'!$E$184</f>
        <v>1200</v>
      </c>
      <c r="AN35" s="65" t="n">
        <f aca="false">Payroll!AN$64*'Assumption Setting'!$E$184</f>
        <v>1200</v>
      </c>
      <c r="AO35" s="64" t="n">
        <f aca="false">SUM(AP35:BA35)</f>
        <v>21120</v>
      </c>
      <c r="AP35" s="65" t="n">
        <f aca="false">Payroll!AP$64*'Assumption Setting'!$F$184</f>
        <v>1760</v>
      </c>
      <c r="AQ35" s="65" t="n">
        <f aca="false">Payroll!AQ$64*'Assumption Setting'!$F$184</f>
        <v>1760</v>
      </c>
      <c r="AR35" s="65" t="n">
        <f aca="false">Payroll!AR$64*'Assumption Setting'!$F$184</f>
        <v>1760</v>
      </c>
      <c r="AS35" s="65" t="n">
        <f aca="false">Payroll!AS$64*'Assumption Setting'!$F$184</f>
        <v>1760</v>
      </c>
      <c r="AT35" s="65" t="n">
        <f aca="false">Payroll!AT$64*'Assumption Setting'!$F$184</f>
        <v>1760</v>
      </c>
      <c r="AU35" s="65" t="n">
        <f aca="false">Payroll!AU$64*'Assumption Setting'!$F$184</f>
        <v>1760</v>
      </c>
      <c r="AV35" s="65" t="n">
        <f aca="false">Payroll!AV$64*'Assumption Setting'!$F$184</f>
        <v>1760</v>
      </c>
      <c r="AW35" s="65" t="n">
        <f aca="false">Payroll!AW$64*'Assumption Setting'!$F$184</f>
        <v>1760</v>
      </c>
      <c r="AX35" s="65" t="n">
        <f aca="false">Payroll!AX$64*'Assumption Setting'!$F$184</f>
        <v>1760</v>
      </c>
      <c r="AY35" s="65" t="n">
        <f aca="false">Payroll!AY$64*'Assumption Setting'!$F$184</f>
        <v>1760</v>
      </c>
      <c r="AZ35" s="65" t="n">
        <f aca="false">Payroll!AZ$64*'Assumption Setting'!$F$184</f>
        <v>1760</v>
      </c>
      <c r="BA35" s="65" t="n">
        <f aca="false">Payroll!BA$64*'Assumption Setting'!$F$184</f>
        <v>1760</v>
      </c>
      <c r="BB35" s="64" t="n">
        <f aca="false">SUM(BC35:BN35)</f>
        <v>28800</v>
      </c>
      <c r="BC35" s="65" t="n">
        <f aca="false">Payroll!BC$64*'Assumption Setting'!$G$184</f>
        <v>2400</v>
      </c>
      <c r="BD35" s="65" t="n">
        <f aca="false">Payroll!BD$64*'Assumption Setting'!$G$184</f>
        <v>2400</v>
      </c>
      <c r="BE35" s="65" t="n">
        <f aca="false">Payroll!BE$64*'Assumption Setting'!$G$184</f>
        <v>2400</v>
      </c>
      <c r="BF35" s="65" t="n">
        <f aca="false">Payroll!BF$64*'Assumption Setting'!$G$184</f>
        <v>2400</v>
      </c>
      <c r="BG35" s="65" t="n">
        <f aca="false">Payroll!BG$64*'Assumption Setting'!$G$184</f>
        <v>2400</v>
      </c>
      <c r="BH35" s="65" t="n">
        <f aca="false">Payroll!BH$64*'Assumption Setting'!$G$184</f>
        <v>2400</v>
      </c>
      <c r="BI35" s="65" t="n">
        <f aca="false">Payroll!BI$64*'Assumption Setting'!$G$184</f>
        <v>2400</v>
      </c>
      <c r="BJ35" s="65" t="n">
        <f aca="false">Payroll!BJ$64*'Assumption Setting'!$G$184</f>
        <v>2400</v>
      </c>
      <c r="BK35" s="65" t="n">
        <f aca="false">Payroll!BK$64*'Assumption Setting'!$G$184</f>
        <v>2400</v>
      </c>
      <c r="BL35" s="65" t="n">
        <f aca="false">Payroll!BL$64*'Assumption Setting'!$G$184</f>
        <v>2400</v>
      </c>
      <c r="BM35" s="65" t="n">
        <f aca="false">Payroll!BM$64*'Assumption Setting'!$G$184</f>
        <v>2400</v>
      </c>
      <c r="BN35" s="65" t="n">
        <f aca="false">Payroll!BN$64*'Assumption Setting'!$G$184</f>
        <v>2400</v>
      </c>
    </row>
    <row r="36" customFormat="false" ht="15" hidden="false" customHeight="false" outlineLevel="0" collapsed="false">
      <c r="A36" s="12" t="s">
        <v>826</v>
      </c>
      <c r="B36" s="64" t="n">
        <f aca="false">SUM(C36:N36)</f>
        <v>1440</v>
      </c>
      <c r="C36" s="65" t="n">
        <f aca="false">Payroll!C$64*'Assumption Setting'!$C$185</f>
        <v>120</v>
      </c>
      <c r="D36" s="65" t="n">
        <f aca="false">Payroll!D$64*'Assumption Setting'!$C$185</f>
        <v>120</v>
      </c>
      <c r="E36" s="65" t="n">
        <f aca="false">Payroll!E$64*'Assumption Setting'!$C$185</f>
        <v>120</v>
      </c>
      <c r="F36" s="65" t="n">
        <f aca="false">Payroll!F$64*'Assumption Setting'!$C$185</f>
        <v>120</v>
      </c>
      <c r="G36" s="65" t="n">
        <f aca="false">Payroll!G$64*'Assumption Setting'!$C$185</f>
        <v>120</v>
      </c>
      <c r="H36" s="65" t="n">
        <f aca="false">Payroll!H$64*'Assumption Setting'!$C$185</f>
        <v>120</v>
      </c>
      <c r="I36" s="65" t="n">
        <f aca="false">Payroll!I$64*'Assumption Setting'!$C$185</f>
        <v>120</v>
      </c>
      <c r="J36" s="65" t="n">
        <f aca="false">Payroll!J$64*'Assumption Setting'!$C$185</f>
        <v>120</v>
      </c>
      <c r="K36" s="65" t="n">
        <f aca="false">Payroll!K$64*'Assumption Setting'!$C$185</f>
        <v>120</v>
      </c>
      <c r="L36" s="65" t="n">
        <f aca="false">Payroll!L$64*'Assumption Setting'!$C$185</f>
        <v>120</v>
      </c>
      <c r="M36" s="65" t="n">
        <f aca="false">Payroll!M$64*'Assumption Setting'!$C$185</f>
        <v>120</v>
      </c>
      <c r="N36" s="65" t="n">
        <f aca="false">Payroll!N$64*'Assumption Setting'!$C$185</f>
        <v>120</v>
      </c>
      <c r="O36" s="64" t="n">
        <f aca="false">SUM(P36:AA36)</f>
        <v>2700</v>
      </c>
      <c r="P36" s="65" t="n">
        <f aca="false">Payroll!P$64*'Assumption Setting'!$D$185</f>
        <v>225</v>
      </c>
      <c r="Q36" s="65" t="n">
        <f aca="false">Payroll!Q$64*'Assumption Setting'!$D$185</f>
        <v>225</v>
      </c>
      <c r="R36" s="65" t="n">
        <f aca="false">Payroll!R$64*'Assumption Setting'!$D$185</f>
        <v>225</v>
      </c>
      <c r="S36" s="65" t="n">
        <f aca="false">Payroll!S$64*'Assumption Setting'!$D$185</f>
        <v>225</v>
      </c>
      <c r="T36" s="65" t="n">
        <f aca="false">Payroll!T$64*'Assumption Setting'!$D$185</f>
        <v>225</v>
      </c>
      <c r="U36" s="65" t="n">
        <f aca="false">Payroll!U$64*'Assumption Setting'!$D$185</f>
        <v>225</v>
      </c>
      <c r="V36" s="65" t="n">
        <f aca="false">Payroll!V$64*'Assumption Setting'!$D$185</f>
        <v>225</v>
      </c>
      <c r="W36" s="65" t="n">
        <f aca="false">Payroll!W$64*'Assumption Setting'!$D$185</f>
        <v>225</v>
      </c>
      <c r="X36" s="65" t="n">
        <f aca="false">Payroll!X$64*'Assumption Setting'!$D$185</f>
        <v>225</v>
      </c>
      <c r="Y36" s="65" t="n">
        <f aca="false">Payroll!Y$64*'Assumption Setting'!$D$185</f>
        <v>225</v>
      </c>
      <c r="Z36" s="65" t="n">
        <f aca="false">Payroll!Z$64*'Assumption Setting'!$D$185</f>
        <v>225</v>
      </c>
      <c r="AA36" s="65" t="n">
        <f aca="false">Payroll!AA$64*'Assumption Setting'!$D$185</f>
        <v>225</v>
      </c>
      <c r="AB36" s="64" t="n">
        <f aca="false">SUM(AC36:AN36)</f>
        <v>4032</v>
      </c>
      <c r="AC36" s="65" t="n">
        <f aca="false">Payroll!AC$64*'Assumption Setting'!$E$185</f>
        <v>336</v>
      </c>
      <c r="AD36" s="65" t="n">
        <f aca="false">Payroll!AD$64*'Assumption Setting'!$E$185</f>
        <v>336</v>
      </c>
      <c r="AE36" s="65" t="n">
        <f aca="false">Payroll!AE$64*'Assumption Setting'!$E$185</f>
        <v>336</v>
      </c>
      <c r="AF36" s="65" t="n">
        <f aca="false">Payroll!AF$64*'Assumption Setting'!$E$185</f>
        <v>336</v>
      </c>
      <c r="AG36" s="65" t="n">
        <f aca="false">Payroll!AG$64*'Assumption Setting'!$E$185</f>
        <v>336</v>
      </c>
      <c r="AH36" s="65" t="n">
        <f aca="false">Payroll!AH$64*'Assumption Setting'!$E$185</f>
        <v>336</v>
      </c>
      <c r="AI36" s="65" t="n">
        <f aca="false">Payroll!AI$64*'Assumption Setting'!$E$185</f>
        <v>336</v>
      </c>
      <c r="AJ36" s="65" t="n">
        <f aca="false">Payroll!AJ$64*'Assumption Setting'!$E$185</f>
        <v>336</v>
      </c>
      <c r="AK36" s="65" t="n">
        <f aca="false">Payroll!AK$64*'Assumption Setting'!$E$185</f>
        <v>336</v>
      </c>
      <c r="AL36" s="65" t="n">
        <f aca="false">Payroll!AL$64*'Assumption Setting'!$E$185</f>
        <v>336</v>
      </c>
      <c r="AM36" s="65" t="n">
        <f aca="false">Payroll!AM$64*'Assumption Setting'!$E$185</f>
        <v>336</v>
      </c>
      <c r="AN36" s="65" t="n">
        <f aca="false">Payroll!AN$64*'Assumption Setting'!$E$185</f>
        <v>336</v>
      </c>
      <c r="AO36" s="64" t="n">
        <f aca="false">SUM(AP36:BA36)</f>
        <v>5760</v>
      </c>
      <c r="AP36" s="65" t="n">
        <f aca="false">Payroll!AP$64*'Assumption Setting'!$F$185</f>
        <v>480</v>
      </c>
      <c r="AQ36" s="65" t="n">
        <f aca="false">Payroll!AQ$64*'Assumption Setting'!$F$185</f>
        <v>480</v>
      </c>
      <c r="AR36" s="65" t="n">
        <f aca="false">Payroll!AR$64*'Assumption Setting'!$F$185</f>
        <v>480</v>
      </c>
      <c r="AS36" s="65" t="n">
        <f aca="false">Payroll!AS$64*'Assumption Setting'!$F$185</f>
        <v>480</v>
      </c>
      <c r="AT36" s="65" t="n">
        <f aca="false">Payroll!AT$64*'Assumption Setting'!$F$185</f>
        <v>480</v>
      </c>
      <c r="AU36" s="65" t="n">
        <f aca="false">Payroll!AU$64*'Assumption Setting'!$F$185</f>
        <v>480</v>
      </c>
      <c r="AV36" s="65" t="n">
        <f aca="false">Payroll!AV$64*'Assumption Setting'!$F$185</f>
        <v>480</v>
      </c>
      <c r="AW36" s="65" t="n">
        <f aca="false">Payroll!AW$64*'Assumption Setting'!$F$185</f>
        <v>480</v>
      </c>
      <c r="AX36" s="65" t="n">
        <f aca="false">Payroll!AX$64*'Assumption Setting'!$F$185</f>
        <v>480</v>
      </c>
      <c r="AY36" s="65" t="n">
        <f aca="false">Payroll!AY$64*'Assumption Setting'!$F$185</f>
        <v>480</v>
      </c>
      <c r="AZ36" s="65" t="n">
        <f aca="false">Payroll!AZ$64*'Assumption Setting'!$F$185</f>
        <v>480</v>
      </c>
      <c r="BA36" s="65" t="n">
        <f aca="false">Payroll!BA$64*'Assumption Setting'!$F$185</f>
        <v>480</v>
      </c>
      <c r="BB36" s="64" t="n">
        <f aca="false">SUM(BC36:BN36)</f>
        <v>7680</v>
      </c>
      <c r="BC36" s="65" t="n">
        <f aca="false">Payroll!BC$64*'Assumption Setting'!$G$185</f>
        <v>640</v>
      </c>
      <c r="BD36" s="65" t="n">
        <f aca="false">Payroll!BD$64*'Assumption Setting'!$G$185</f>
        <v>640</v>
      </c>
      <c r="BE36" s="65" t="n">
        <f aca="false">Payroll!BE$64*'Assumption Setting'!$G$185</f>
        <v>640</v>
      </c>
      <c r="BF36" s="65" t="n">
        <f aca="false">Payroll!BF$64*'Assumption Setting'!$G$185</f>
        <v>640</v>
      </c>
      <c r="BG36" s="65" t="n">
        <f aca="false">Payroll!BG$64*'Assumption Setting'!$G$185</f>
        <v>640</v>
      </c>
      <c r="BH36" s="65" t="n">
        <f aca="false">Payroll!BH$64*'Assumption Setting'!$G$185</f>
        <v>640</v>
      </c>
      <c r="BI36" s="65" t="n">
        <f aca="false">Payroll!BI$64*'Assumption Setting'!$G$185</f>
        <v>640</v>
      </c>
      <c r="BJ36" s="65" t="n">
        <f aca="false">Payroll!BJ$64*'Assumption Setting'!$G$185</f>
        <v>640</v>
      </c>
      <c r="BK36" s="65" t="n">
        <f aca="false">Payroll!BK$64*'Assumption Setting'!$G$185</f>
        <v>640</v>
      </c>
      <c r="BL36" s="65" t="n">
        <f aca="false">Payroll!BL$64*'Assumption Setting'!$G$185</f>
        <v>640</v>
      </c>
      <c r="BM36" s="65" t="n">
        <f aca="false">Payroll!BM$64*'Assumption Setting'!$G$185</f>
        <v>640</v>
      </c>
      <c r="BN36" s="65" t="n">
        <f aca="false">Payroll!BN$64*'Assumption Setting'!$G$185</f>
        <v>640</v>
      </c>
    </row>
    <row r="37" customFormat="false" ht="15" hidden="false" customHeight="false" outlineLevel="0" collapsed="false">
      <c r="A37" s="12" t="s">
        <v>827</v>
      </c>
      <c r="B37" s="64" t="n">
        <f aca="false">SUM(C37:N37)</f>
        <v>1924.6503965424</v>
      </c>
      <c r="C37" s="65" t="n">
        <f aca="false">'Assumption Setting'!$C$186+(Acquisitions!C$146+Acquisitions!C$149)*'Assumption Setting'!$C$187</f>
        <v>165.539025297978</v>
      </c>
      <c r="D37" s="65" t="n">
        <f aca="false">'Assumption Setting'!$C$186+(Acquisitions!D$146+Acquisitions!D$149)*'Assumption Setting'!$C$187</f>
        <v>154.12405512541</v>
      </c>
      <c r="E37" s="65" t="n">
        <f aca="false">'Assumption Setting'!$C$186+(Acquisitions!E$146+Acquisitions!E$149)*'Assumption Setting'!$C$187</f>
        <v>154.860562428643</v>
      </c>
      <c r="F37" s="65" t="n">
        <f aca="false">'Assumption Setting'!$C$186+(Acquisitions!F$146+Acquisitions!F$149)*'Assumption Setting'!$C$187</f>
        <v>155.368523494363</v>
      </c>
      <c r="G37" s="65" t="n">
        <f aca="false">'Assumption Setting'!$C$186+(Acquisitions!G$146+Acquisitions!G$149)*'Assumption Setting'!$C$187</f>
        <v>156.729271441611</v>
      </c>
      <c r="H37" s="65" t="n">
        <f aca="false">'Assumption Setting'!$C$186+(Acquisitions!H$146+Acquisitions!H$149)*'Assumption Setting'!$C$187</f>
        <v>158.126742413462</v>
      </c>
      <c r="I37" s="65" t="n">
        <f aca="false">'Assumption Setting'!$C$186+(Acquisitions!I$146+Acquisitions!I$149)*'Assumption Setting'!$C$187</f>
        <v>159.558733028438</v>
      </c>
      <c r="J37" s="65" t="n">
        <f aca="false">'Assumption Setting'!$C$186+(Acquisitions!J$146+Acquisitions!J$149)*'Assumption Setting'!$C$187</f>
        <v>161.023172107952</v>
      </c>
      <c r="K37" s="65" t="n">
        <f aca="false">'Assumption Setting'!$C$186+(Acquisitions!K$146+Acquisitions!K$149)*'Assumption Setting'!$C$187</f>
        <v>162.518112744131</v>
      </c>
      <c r="L37" s="65" t="n">
        <f aca="false">'Assumption Setting'!$C$186+(Acquisitions!L$146+Acquisitions!L$149)*'Assumption Setting'!$C$187</f>
        <v>164.041724843577</v>
      </c>
      <c r="M37" s="65" t="n">
        <f aca="false">'Assumption Setting'!$C$186+(Acquisitions!M$146+Acquisitions!M$149)*'Assumption Setting'!$C$187</f>
        <v>165.592288118492</v>
      </c>
      <c r="N37" s="65" t="n">
        <f aca="false">'Assumption Setting'!$C$186+(Acquisitions!N$146+Acquisitions!N$149)*'Assumption Setting'!$C$187</f>
        <v>167.168185498348</v>
      </c>
      <c r="O37" s="64" t="n">
        <f aca="false">SUM(P37:AA37)</f>
        <v>5349.41601536764</v>
      </c>
      <c r="P37" s="65" t="n">
        <f aca="false">'Assumption Setting'!$D$186+(Acquisitions!P$146+Acquisitions!P$149)*'Assumption Setting'!$C$187</f>
        <v>425.599912746923</v>
      </c>
      <c r="Q37" s="65" t="n">
        <f aca="false">'Assumption Setting'!$D$186+(Acquisitions!Q$146+Acquisitions!Q$149)*'Assumption Setting'!$C$187</f>
        <v>428.852784501452</v>
      </c>
      <c r="R37" s="65" t="n">
        <f aca="false">'Assumption Setting'!$D$186+(Acquisitions!R$146+Acquisitions!R$149)*'Assumption Setting'!$C$187</f>
        <v>432.281812625911</v>
      </c>
      <c r="S37" s="65" t="n">
        <f aca="false">'Assumption Setting'!$D$186+(Acquisitions!S$146+Acquisitions!S$149)*'Assumption Setting'!$C$187</f>
        <v>436.790336701954</v>
      </c>
      <c r="T37" s="65" t="n">
        <f aca="false">'Assumption Setting'!$D$186+(Acquisitions!T$146+Acquisitions!T$149)*'Assumption Setting'!$C$187</f>
        <v>440.428307289572</v>
      </c>
      <c r="U37" s="65" t="n">
        <f aca="false">'Assumption Setting'!$D$186+(Acquisitions!U$146+Acquisitions!U$149)*'Assumption Setting'!$C$187</f>
        <v>444.074102616795</v>
      </c>
      <c r="V37" s="65" t="n">
        <f aca="false">'Assumption Setting'!$D$186+(Acquisitions!V$146+Acquisitions!V$149)*'Assumption Setting'!$C$187</f>
        <v>447.727253199247</v>
      </c>
      <c r="W37" s="65" t="n">
        <f aca="false">'Assumption Setting'!$D$186+(Acquisitions!W$146+Acquisitions!W$149)*'Assumption Setting'!$C$187</f>
        <v>451.387317721613</v>
      </c>
      <c r="X37" s="65" t="n">
        <f aca="false">'Assumption Setting'!$D$186+(Acquisitions!X$146+Acquisitions!X$149)*'Assumption Setting'!$C$187</f>
        <v>455.053881347499</v>
      </c>
      <c r="Y37" s="65" t="n">
        <f aca="false">'Assumption Setting'!$D$186+(Acquisitions!Y$146+Acquisitions!Y$149)*'Assumption Setting'!$C$187</f>
        <v>458.726554130694</v>
      </c>
      <c r="Z37" s="65" t="n">
        <f aca="false">'Assumption Setting'!$D$186+(Acquisitions!Z$146+Acquisitions!Z$149)*'Assumption Setting'!$C$187</f>
        <v>462.40496952176</v>
      </c>
      <c r="AA37" s="65" t="n">
        <f aca="false">'Assumption Setting'!$D$186+(Acquisitions!AA$146+Acquisitions!AA$149)*'Assumption Setting'!$C$187</f>
        <v>466.088782964223</v>
      </c>
      <c r="AB37" s="64" t="n">
        <f aca="false">SUM(AC37:AN37)</f>
        <v>11723.1895283399</v>
      </c>
      <c r="AC37" s="65" t="n">
        <f aca="false">'Assumption Setting'!$E$186+(Acquisitions!AC$146+Acquisitions!AC$149)*'Assumption Setting'!$C$187</f>
        <v>949.048399251504</v>
      </c>
      <c r="AD37" s="65" t="n">
        <f aca="false">'Assumption Setting'!$E$186+(Acquisitions!AD$146+Acquisitions!AD$149)*'Assumption Setting'!$C$187</f>
        <v>953.258499323325</v>
      </c>
      <c r="AE37" s="65" t="n">
        <f aca="false">'Assumption Setting'!$E$186+(Acquisitions!AE$146+Acquisitions!AE$149)*'Assumption Setting'!$C$187</f>
        <v>957.759578042759</v>
      </c>
      <c r="AF37" s="65" t="n">
        <f aca="false">'Assumption Setting'!$E$186+(Acquisitions!AF$146+Acquisitions!AF$149)*'Assumption Setting'!$C$187</f>
        <v>962.493376603426</v>
      </c>
      <c r="AG37" s="65" t="n">
        <f aca="false">'Assumption Setting'!$E$186+(Acquisitions!AG$146+Acquisitions!AG$149)*'Assumption Setting'!$C$187</f>
        <v>967.980769502648</v>
      </c>
      <c r="AH37" s="65" t="n">
        <f aca="false">'Assumption Setting'!$E$186+(Acquisitions!AH$146+Acquisitions!AH$149)*'Assumption Setting'!$C$187</f>
        <v>973.508962149029</v>
      </c>
      <c r="AI37" s="65" t="n">
        <f aca="false">'Assumption Setting'!$E$186+(Acquisitions!AI$146+Acquisitions!AI$149)*'Assumption Setting'!$C$187</f>
        <v>979.07550655774</v>
      </c>
      <c r="AJ37" s="65" t="n">
        <f aca="false">'Assumption Setting'!$E$186+(Acquisitions!AJ$146+Acquisitions!AJ$149)*'Assumption Setting'!$C$187</f>
        <v>984.678101623041</v>
      </c>
      <c r="AK37" s="65" t="n">
        <f aca="false">'Assumption Setting'!$E$186+(Acquisitions!AK$146+Acquisitions!AK$149)*'Assumption Setting'!$C$187</f>
        <v>990.314584305536</v>
      </c>
      <c r="AL37" s="65" t="n">
        <f aca="false">'Assumption Setting'!$E$186+(Acquisitions!AL$146+Acquisitions!AL$149)*'Assumption Setting'!$C$187</f>
        <v>995.982921348194</v>
      </c>
      <c r="AM37" s="65" t="n">
        <f aca="false">'Assumption Setting'!$E$186+(Acquisitions!AM$146+Acquisitions!AM$149)*'Assumption Setting'!$C$187</f>
        <v>1001.6812014894</v>
      </c>
      <c r="AN37" s="65" t="n">
        <f aca="false">'Assumption Setting'!$E$186+(Acquisitions!AN$146+Acquisitions!AN$149)*'Assumption Setting'!$C$187</f>
        <v>1007.40762814325</v>
      </c>
      <c r="AO37" s="64" t="n">
        <f aca="false">SUM(AP37:BA37)</f>
        <v>19270.4828159392</v>
      </c>
      <c r="AP37" s="65" t="n">
        <f aca="false">'Assumption Setting'!$F$186+(Acquisitions!AP$146+Acquisitions!AP$149)*'Assumption Setting'!$C$187</f>
        <v>1571.7916097777</v>
      </c>
      <c r="AQ37" s="65" t="n">
        <f aca="false">'Assumption Setting'!$F$186+(Acquisitions!AQ$146+Acquisitions!AQ$149)*'Assumption Setting'!$C$187</f>
        <v>1578.23091289918</v>
      </c>
      <c r="AR37" s="65" t="n">
        <f aca="false">'Assumption Setting'!$F$186+(Acquisitions!AR$146+Acquisitions!AR$149)*'Assumption Setting'!$C$187</f>
        <v>1584.59819700331</v>
      </c>
      <c r="AS37" s="65" t="n">
        <f aca="false">'Assumption Setting'!$F$186+(Acquisitions!AS$146+Acquisitions!AS$149)*'Assumption Setting'!$C$187</f>
        <v>1590.85174983438</v>
      </c>
      <c r="AT37" s="65" t="n">
        <f aca="false">'Assumption Setting'!$F$186+(Acquisitions!AT$146+Acquisitions!AT$149)*'Assumption Setting'!$C$187</f>
        <v>1596.94648797202</v>
      </c>
      <c r="AU37" s="65" t="n">
        <f aca="false">'Assumption Setting'!$F$186+(Acquisitions!AU$146+Acquisitions!AU$149)*'Assumption Setting'!$C$187</f>
        <v>1603.02543149837</v>
      </c>
      <c r="AV37" s="65" t="n">
        <f aca="false">'Assumption Setting'!$F$186+(Acquisitions!AV$146+Acquisitions!AV$149)*'Assumption Setting'!$C$187</f>
        <v>1609.08952809008</v>
      </c>
      <c r="AW37" s="65" t="n">
        <f aca="false">'Assumption Setting'!$F$186+(Acquisitions!AW$146+Acquisitions!AW$149)*'Assumption Setting'!$C$187</f>
        <v>1615.13966856325</v>
      </c>
      <c r="AX37" s="65" t="n">
        <f aca="false">'Assumption Setting'!$F$186+(Acquisitions!AX$146+Acquisitions!AX$149)*'Assumption Setting'!$C$187</f>
        <v>1621.17669028499</v>
      </c>
      <c r="AY37" s="65" t="n">
        <f aca="false">'Assumption Setting'!$F$186+(Acquisitions!AY$146+Acquisitions!AY$149)*'Assumption Setting'!$C$187</f>
        <v>1627.20138038037</v>
      </c>
      <c r="AZ37" s="65" t="n">
        <f aca="false">'Assumption Setting'!$F$186+(Acquisitions!AZ$146+Acquisitions!AZ$149)*'Assumption Setting'!$C$187</f>
        <v>1633.21447874699</v>
      </c>
      <c r="BA37" s="65" t="n">
        <f aca="false">'Assumption Setting'!$F$186+(Acquisitions!BA$146+Acquisitions!BA$149)*'Assumption Setting'!$C$187</f>
        <v>1639.21668088857</v>
      </c>
      <c r="BB37" s="64" t="n">
        <f aca="false">SUM(BC37:BN37)</f>
        <v>26305.1837671185</v>
      </c>
      <c r="BC37" s="65" t="n">
        <f aca="false">'Assumption Setting'!$G$186+(Acquisitions!BC$146+Acquisitions!BC$149)*'Assumption Setting'!$C$187</f>
        <v>2153.92371935925</v>
      </c>
      <c r="BD37" s="65" t="n">
        <f aca="false">'Assumption Setting'!$G$186+(Acquisitions!BD$146+Acquisitions!BD$149)*'Assumption Setting'!$C$187</f>
        <v>2160.85225900458</v>
      </c>
      <c r="BE37" s="65" t="n">
        <f aca="false">'Assumption Setting'!$G$186+(Acquisitions!BE$146+Acquisitions!BE$149)*'Assumption Setting'!$C$187</f>
        <v>2167.77372298956</v>
      </c>
      <c r="BF37" s="65" t="n">
        <f aca="false">'Assumption Setting'!$G$186+(Acquisitions!BF$146+Acquisitions!BF$149)*'Assumption Setting'!$C$187</f>
        <v>2174.74144018003</v>
      </c>
      <c r="BG37" s="65" t="n">
        <f aca="false">'Assumption Setting'!$G$186+(Acquisitions!BG$146+Acquisitions!BG$149)*'Assumption Setting'!$C$187</f>
        <v>2181.74759535497</v>
      </c>
      <c r="BH37" s="65" t="n">
        <f aca="false">'Assumption Setting'!$G$186+(Acquisitions!BH$146+Acquisitions!BH$149)*'Assumption Setting'!$C$187</f>
        <v>2188.72434623424</v>
      </c>
      <c r="BI37" s="65" t="n">
        <f aca="false">'Assumption Setting'!$G$186+(Acquisitions!BI$146+Acquisitions!BI$149)*'Assumption Setting'!$C$187</f>
        <v>2195.67345707557</v>
      </c>
      <c r="BJ37" s="65" t="n">
        <f aca="false">'Assumption Setting'!$G$186+(Acquisitions!BJ$146+Acquisitions!BJ$149)*'Assumption Setting'!$C$187</f>
        <v>2202.59658628124</v>
      </c>
      <c r="BK37" s="65" t="n">
        <f aca="false">'Assumption Setting'!$G$186+(Acquisitions!BK$146+Acquisitions!BK$149)*'Assumption Setting'!$C$187</f>
        <v>2209.49529274938</v>
      </c>
      <c r="BL37" s="65" t="n">
        <f aca="false">'Assumption Setting'!$G$186+(Acquisitions!BL$146+Acquisitions!BL$149)*'Assumption Setting'!$C$187</f>
        <v>2216.37104184425</v>
      </c>
      <c r="BM37" s="65" t="n">
        <f aca="false">'Assumption Setting'!$G$186+(Acquisitions!BM$146+Acquisitions!BM$149)*'Assumption Setting'!$C$187</f>
        <v>2223.22521100825</v>
      </c>
      <c r="BN37" s="65" t="n">
        <f aca="false">'Assumption Setting'!$G$186+(Acquisitions!BN$146+Acquisitions!BN$149)*'Assumption Setting'!$C$187</f>
        <v>2230.05909503722</v>
      </c>
    </row>
    <row r="38" customFormat="false" ht="15" hidden="false" customHeight="false" outlineLevel="0" collapsed="false">
      <c r="A38" s="12" t="s">
        <v>828</v>
      </c>
      <c r="B38" s="64" t="n">
        <f aca="false">SUM(C38:N38)</f>
        <v>3960</v>
      </c>
      <c r="C38" s="65" t="n">
        <f aca="false">Payroll!C$64*'Assumption Setting'!$C$188</f>
        <v>330</v>
      </c>
      <c r="D38" s="65" t="n">
        <f aca="false">Payroll!D$64*'Assumption Setting'!$C$188</f>
        <v>330</v>
      </c>
      <c r="E38" s="65" t="n">
        <f aca="false">Payroll!E$64*'Assumption Setting'!$C$188</f>
        <v>330</v>
      </c>
      <c r="F38" s="65" t="n">
        <f aca="false">Payroll!F$64*'Assumption Setting'!$C$188</f>
        <v>330</v>
      </c>
      <c r="G38" s="65" t="n">
        <f aca="false">Payroll!G$64*'Assumption Setting'!$C$188</f>
        <v>330</v>
      </c>
      <c r="H38" s="65" t="n">
        <f aca="false">Payroll!H$64*'Assumption Setting'!$C$188</f>
        <v>330</v>
      </c>
      <c r="I38" s="65" t="n">
        <f aca="false">Payroll!I$64*'Assumption Setting'!$C$188</f>
        <v>330</v>
      </c>
      <c r="J38" s="65" t="n">
        <f aca="false">Payroll!J$64*'Assumption Setting'!$C$188</f>
        <v>330</v>
      </c>
      <c r="K38" s="65" t="n">
        <f aca="false">Payroll!K$64*'Assumption Setting'!$C$188</f>
        <v>330</v>
      </c>
      <c r="L38" s="65" t="n">
        <f aca="false">Payroll!L$64*'Assumption Setting'!$C$188</f>
        <v>330</v>
      </c>
      <c r="M38" s="65" t="n">
        <f aca="false">Payroll!M$64*'Assumption Setting'!$C$188</f>
        <v>330</v>
      </c>
      <c r="N38" s="65" t="n">
        <f aca="false">Payroll!N$64*'Assumption Setting'!$C$188</f>
        <v>330</v>
      </c>
      <c r="O38" s="64" t="n">
        <f aca="false">SUM(P38:AA38)</f>
        <v>7560</v>
      </c>
      <c r="P38" s="65" t="n">
        <f aca="false">Payroll!P$64*'Assumption Setting'!$D$188</f>
        <v>630</v>
      </c>
      <c r="Q38" s="65" t="n">
        <f aca="false">Payroll!Q$64*'Assumption Setting'!$D$188</f>
        <v>630</v>
      </c>
      <c r="R38" s="65" t="n">
        <f aca="false">Payroll!R$64*'Assumption Setting'!$D$188</f>
        <v>630</v>
      </c>
      <c r="S38" s="65" t="n">
        <f aca="false">Payroll!S$64*'Assumption Setting'!$D$188</f>
        <v>630</v>
      </c>
      <c r="T38" s="65" t="n">
        <f aca="false">Payroll!T$64*'Assumption Setting'!$D$188</f>
        <v>630</v>
      </c>
      <c r="U38" s="65" t="n">
        <f aca="false">Payroll!U$64*'Assumption Setting'!$D$188</f>
        <v>630</v>
      </c>
      <c r="V38" s="65" t="n">
        <f aca="false">Payroll!V$64*'Assumption Setting'!$D$188</f>
        <v>630</v>
      </c>
      <c r="W38" s="65" t="n">
        <f aca="false">Payroll!W$64*'Assumption Setting'!$D$188</f>
        <v>630</v>
      </c>
      <c r="X38" s="65" t="n">
        <f aca="false">Payroll!X$64*'Assumption Setting'!$D$188</f>
        <v>630</v>
      </c>
      <c r="Y38" s="65" t="n">
        <f aca="false">Payroll!Y$64*'Assumption Setting'!$D$188</f>
        <v>630</v>
      </c>
      <c r="Z38" s="65" t="n">
        <f aca="false">Payroll!Z$64*'Assumption Setting'!$D$188</f>
        <v>630</v>
      </c>
      <c r="AA38" s="65" t="n">
        <f aca="false">Payroll!AA$64*'Assumption Setting'!$D$188</f>
        <v>630</v>
      </c>
      <c r="AB38" s="64" t="n">
        <f aca="false">SUM(AC38:AN38)</f>
        <v>11520</v>
      </c>
      <c r="AC38" s="65" t="n">
        <f aca="false">Payroll!AC$64*'Assumption Setting'!$E$188</f>
        <v>960</v>
      </c>
      <c r="AD38" s="65" t="n">
        <f aca="false">Payroll!AD$64*'Assumption Setting'!$E$188</f>
        <v>960</v>
      </c>
      <c r="AE38" s="65" t="n">
        <f aca="false">Payroll!AE$64*'Assumption Setting'!$E$188</f>
        <v>960</v>
      </c>
      <c r="AF38" s="65" t="n">
        <f aca="false">Payroll!AF$64*'Assumption Setting'!$E$188</f>
        <v>960</v>
      </c>
      <c r="AG38" s="65" t="n">
        <f aca="false">Payroll!AG$64*'Assumption Setting'!$E$188</f>
        <v>960</v>
      </c>
      <c r="AH38" s="65" t="n">
        <f aca="false">Payroll!AH$64*'Assumption Setting'!$E$188</f>
        <v>960</v>
      </c>
      <c r="AI38" s="65" t="n">
        <f aca="false">Payroll!AI$64*'Assumption Setting'!$E$188</f>
        <v>960</v>
      </c>
      <c r="AJ38" s="65" t="n">
        <f aca="false">Payroll!AJ$64*'Assumption Setting'!$E$188</f>
        <v>960</v>
      </c>
      <c r="AK38" s="65" t="n">
        <f aca="false">Payroll!AK$64*'Assumption Setting'!$E$188</f>
        <v>960</v>
      </c>
      <c r="AL38" s="65" t="n">
        <f aca="false">Payroll!AL$64*'Assumption Setting'!$E$188</f>
        <v>960</v>
      </c>
      <c r="AM38" s="65" t="n">
        <f aca="false">Payroll!AM$64*'Assumption Setting'!$E$188</f>
        <v>960</v>
      </c>
      <c r="AN38" s="65" t="n">
        <f aca="false">Payroll!AN$64*'Assumption Setting'!$E$188</f>
        <v>960</v>
      </c>
      <c r="AO38" s="64" t="n">
        <f aca="false">SUM(AP38:BA38)</f>
        <v>16320</v>
      </c>
      <c r="AP38" s="65" t="n">
        <f aca="false">Payroll!AP$64*'Assumption Setting'!$F$188</f>
        <v>1360</v>
      </c>
      <c r="AQ38" s="65" t="n">
        <f aca="false">Payroll!AQ$64*'Assumption Setting'!$F$188</f>
        <v>1360</v>
      </c>
      <c r="AR38" s="65" t="n">
        <f aca="false">Payroll!AR$64*'Assumption Setting'!$F$188</f>
        <v>1360</v>
      </c>
      <c r="AS38" s="65" t="n">
        <f aca="false">Payroll!AS$64*'Assumption Setting'!$F$188</f>
        <v>1360</v>
      </c>
      <c r="AT38" s="65" t="n">
        <f aca="false">Payroll!AT$64*'Assumption Setting'!$F$188</f>
        <v>1360</v>
      </c>
      <c r="AU38" s="65" t="n">
        <f aca="false">Payroll!AU$64*'Assumption Setting'!$F$188</f>
        <v>1360</v>
      </c>
      <c r="AV38" s="65" t="n">
        <f aca="false">Payroll!AV$64*'Assumption Setting'!$F$188</f>
        <v>1360</v>
      </c>
      <c r="AW38" s="65" t="n">
        <f aca="false">Payroll!AW$64*'Assumption Setting'!$F$188</f>
        <v>1360</v>
      </c>
      <c r="AX38" s="65" t="n">
        <f aca="false">Payroll!AX$64*'Assumption Setting'!$F$188</f>
        <v>1360</v>
      </c>
      <c r="AY38" s="65" t="n">
        <f aca="false">Payroll!AY$64*'Assumption Setting'!$F$188</f>
        <v>1360</v>
      </c>
      <c r="AZ38" s="65" t="n">
        <f aca="false">Payroll!AZ$64*'Assumption Setting'!$F$188</f>
        <v>1360</v>
      </c>
      <c r="BA38" s="65" t="n">
        <f aca="false">Payroll!BA$64*'Assumption Setting'!$F$188</f>
        <v>1360</v>
      </c>
      <c r="BB38" s="64" t="n">
        <f aca="false">SUM(BC38:BN38)</f>
        <v>21600</v>
      </c>
      <c r="BC38" s="65" t="n">
        <f aca="false">Payroll!BC$64*'Assumption Setting'!$G$188</f>
        <v>1800</v>
      </c>
      <c r="BD38" s="65" t="n">
        <f aca="false">Payroll!BD$64*'Assumption Setting'!$G$188</f>
        <v>1800</v>
      </c>
      <c r="BE38" s="65" t="n">
        <f aca="false">Payroll!BE$64*'Assumption Setting'!$G$188</f>
        <v>1800</v>
      </c>
      <c r="BF38" s="65" t="n">
        <f aca="false">Payroll!BF$64*'Assumption Setting'!$G$188</f>
        <v>1800</v>
      </c>
      <c r="BG38" s="65" t="n">
        <f aca="false">Payroll!BG$64*'Assumption Setting'!$G$188</f>
        <v>1800</v>
      </c>
      <c r="BH38" s="65" t="n">
        <f aca="false">Payroll!BH$64*'Assumption Setting'!$G$188</f>
        <v>1800</v>
      </c>
      <c r="BI38" s="65" t="n">
        <f aca="false">Payroll!BI$64*'Assumption Setting'!$G$188</f>
        <v>1800</v>
      </c>
      <c r="BJ38" s="65" t="n">
        <f aca="false">Payroll!BJ$64*'Assumption Setting'!$G$188</f>
        <v>1800</v>
      </c>
      <c r="BK38" s="65" t="n">
        <f aca="false">Payroll!BK$64*'Assumption Setting'!$G$188</f>
        <v>1800</v>
      </c>
      <c r="BL38" s="65" t="n">
        <f aca="false">Payroll!BL$64*'Assumption Setting'!$G$188</f>
        <v>1800</v>
      </c>
      <c r="BM38" s="65" t="n">
        <f aca="false">Payroll!BM$64*'Assumption Setting'!$G$188</f>
        <v>1800</v>
      </c>
      <c r="BN38" s="65" t="n">
        <f aca="false">Payroll!BN$64*'Assumption Setting'!$G$188</f>
        <v>1800</v>
      </c>
    </row>
    <row r="39" customFormat="false" ht="15" hidden="false" customHeight="false" outlineLevel="0" collapsed="false">
      <c r="A39" s="12" t="s">
        <v>829</v>
      </c>
      <c r="B39" s="64" t="n">
        <f aca="false">SUM(C39:N39)</f>
        <v>2880</v>
      </c>
      <c r="C39" s="65" t="n">
        <f aca="false">Payroll!C$64*'Assumption Setting'!$C$189</f>
        <v>240</v>
      </c>
      <c r="D39" s="65" t="n">
        <f aca="false">Payroll!D$64*'Assumption Setting'!$C$189</f>
        <v>240</v>
      </c>
      <c r="E39" s="65" t="n">
        <f aca="false">Payroll!E$64*'Assumption Setting'!$C$189</f>
        <v>240</v>
      </c>
      <c r="F39" s="65" t="n">
        <f aca="false">Payroll!F$64*'Assumption Setting'!$C$189</f>
        <v>240</v>
      </c>
      <c r="G39" s="65" t="n">
        <f aca="false">Payroll!G$64*'Assumption Setting'!$C$189</f>
        <v>240</v>
      </c>
      <c r="H39" s="65" t="n">
        <f aca="false">Payroll!H$64*'Assumption Setting'!$C$189</f>
        <v>240</v>
      </c>
      <c r="I39" s="65" t="n">
        <f aca="false">Payroll!I$64*'Assumption Setting'!$C$189</f>
        <v>240</v>
      </c>
      <c r="J39" s="65" t="n">
        <f aca="false">Payroll!J$64*'Assumption Setting'!$C$189</f>
        <v>240</v>
      </c>
      <c r="K39" s="65" t="n">
        <f aca="false">Payroll!K$64*'Assumption Setting'!$C$189</f>
        <v>240</v>
      </c>
      <c r="L39" s="65" t="n">
        <f aca="false">Payroll!L$64*'Assumption Setting'!$C$189</f>
        <v>240</v>
      </c>
      <c r="M39" s="65" t="n">
        <f aca="false">Payroll!M$64*'Assumption Setting'!$C$189</f>
        <v>240</v>
      </c>
      <c r="N39" s="65" t="n">
        <f aca="false">Payroll!N$64*'Assumption Setting'!$C$189</f>
        <v>240</v>
      </c>
      <c r="O39" s="64" t="n">
        <f aca="false">SUM(P39:AA39)</f>
        <v>8640</v>
      </c>
      <c r="P39" s="65" t="n">
        <f aca="false">Payroll!P$64*'Assumption Setting'!$D$189</f>
        <v>720</v>
      </c>
      <c r="Q39" s="65" t="n">
        <f aca="false">Payroll!Q$64*'Assumption Setting'!$D$189</f>
        <v>720</v>
      </c>
      <c r="R39" s="65" t="n">
        <f aca="false">Payroll!R$64*'Assumption Setting'!$D$189</f>
        <v>720</v>
      </c>
      <c r="S39" s="65" t="n">
        <f aca="false">Payroll!S$64*'Assumption Setting'!$D$189</f>
        <v>720</v>
      </c>
      <c r="T39" s="65" t="n">
        <f aca="false">Payroll!T$64*'Assumption Setting'!$D$189</f>
        <v>720</v>
      </c>
      <c r="U39" s="65" t="n">
        <f aca="false">Payroll!U$64*'Assumption Setting'!$D$189</f>
        <v>720</v>
      </c>
      <c r="V39" s="65" t="n">
        <f aca="false">Payroll!V$64*'Assumption Setting'!$D$189</f>
        <v>720</v>
      </c>
      <c r="W39" s="65" t="n">
        <f aca="false">Payroll!W$64*'Assumption Setting'!$D$189</f>
        <v>720</v>
      </c>
      <c r="X39" s="65" t="n">
        <f aca="false">Payroll!X$64*'Assumption Setting'!$D$189</f>
        <v>720</v>
      </c>
      <c r="Y39" s="65" t="n">
        <f aca="false">Payroll!Y$64*'Assumption Setting'!$D$189</f>
        <v>720</v>
      </c>
      <c r="Z39" s="65" t="n">
        <f aca="false">Payroll!Z$64*'Assumption Setting'!$D$189</f>
        <v>720</v>
      </c>
      <c r="AA39" s="65" t="n">
        <f aca="false">Payroll!AA$64*'Assumption Setting'!$D$189</f>
        <v>720</v>
      </c>
      <c r="AB39" s="64" t="n">
        <f aca="false">SUM(AC39:AN39)</f>
        <v>15840</v>
      </c>
      <c r="AC39" s="65" t="n">
        <f aca="false">Payroll!AC$64*'Assumption Setting'!$E$189</f>
        <v>1320</v>
      </c>
      <c r="AD39" s="65" t="n">
        <f aca="false">Payroll!AD$64*'Assumption Setting'!$E$189</f>
        <v>1320</v>
      </c>
      <c r="AE39" s="65" t="n">
        <f aca="false">Payroll!AE$64*'Assumption Setting'!$E$189</f>
        <v>1320</v>
      </c>
      <c r="AF39" s="65" t="n">
        <f aca="false">Payroll!AF$64*'Assumption Setting'!$E$189</f>
        <v>1320</v>
      </c>
      <c r="AG39" s="65" t="n">
        <f aca="false">Payroll!AG$64*'Assumption Setting'!$E$189</f>
        <v>1320</v>
      </c>
      <c r="AH39" s="65" t="n">
        <f aca="false">Payroll!AH$64*'Assumption Setting'!$E$189</f>
        <v>1320</v>
      </c>
      <c r="AI39" s="65" t="n">
        <f aca="false">Payroll!AI$64*'Assumption Setting'!$E$189</f>
        <v>1320</v>
      </c>
      <c r="AJ39" s="65" t="n">
        <f aca="false">Payroll!AJ$64*'Assumption Setting'!$E$189</f>
        <v>1320</v>
      </c>
      <c r="AK39" s="65" t="n">
        <f aca="false">Payroll!AK$64*'Assumption Setting'!$E$189</f>
        <v>1320</v>
      </c>
      <c r="AL39" s="65" t="n">
        <f aca="false">Payroll!AL$64*'Assumption Setting'!$E$189</f>
        <v>1320</v>
      </c>
      <c r="AM39" s="65" t="n">
        <f aca="false">Payroll!AM$64*'Assumption Setting'!$E$189</f>
        <v>1320</v>
      </c>
      <c r="AN39" s="65" t="n">
        <f aca="false">Payroll!AN$64*'Assumption Setting'!$E$189</f>
        <v>1320</v>
      </c>
      <c r="AO39" s="64" t="n">
        <f aca="false">SUM(AP39:BA39)</f>
        <v>23040</v>
      </c>
      <c r="AP39" s="65" t="n">
        <f aca="false">Payroll!AP$64*'Assumption Setting'!$F$189</f>
        <v>1920</v>
      </c>
      <c r="AQ39" s="65" t="n">
        <f aca="false">Payroll!AQ$64*'Assumption Setting'!$F$189</f>
        <v>1920</v>
      </c>
      <c r="AR39" s="65" t="n">
        <f aca="false">Payroll!AR$64*'Assumption Setting'!$F$189</f>
        <v>1920</v>
      </c>
      <c r="AS39" s="65" t="n">
        <f aca="false">Payroll!AS$64*'Assumption Setting'!$F$189</f>
        <v>1920</v>
      </c>
      <c r="AT39" s="65" t="n">
        <f aca="false">Payroll!AT$64*'Assumption Setting'!$F$189</f>
        <v>1920</v>
      </c>
      <c r="AU39" s="65" t="n">
        <f aca="false">Payroll!AU$64*'Assumption Setting'!$F$189</f>
        <v>1920</v>
      </c>
      <c r="AV39" s="65" t="n">
        <f aca="false">Payroll!AV$64*'Assumption Setting'!$F$189</f>
        <v>1920</v>
      </c>
      <c r="AW39" s="65" t="n">
        <f aca="false">Payroll!AW$64*'Assumption Setting'!$F$189</f>
        <v>1920</v>
      </c>
      <c r="AX39" s="65" t="n">
        <f aca="false">Payroll!AX$64*'Assumption Setting'!$F$189</f>
        <v>1920</v>
      </c>
      <c r="AY39" s="65" t="n">
        <f aca="false">Payroll!AY$64*'Assumption Setting'!$F$189</f>
        <v>1920</v>
      </c>
      <c r="AZ39" s="65" t="n">
        <f aca="false">Payroll!AZ$64*'Assumption Setting'!$F$189</f>
        <v>1920</v>
      </c>
      <c r="BA39" s="65" t="n">
        <f aca="false">Payroll!BA$64*'Assumption Setting'!$F$189</f>
        <v>1920</v>
      </c>
      <c r="BB39" s="64" t="n">
        <f aca="false">SUM(BC39:BN39)</f>
        <v>31200</v>
      </c>
      <c r="BC39" s="65" t="n">
        <f aca="false">Payroll!BC$64*'Assumption Setting'!$G$189</f>
        <v>2600</v>
      </c>
      <c r="BD39" s="65" t="n">
        <f aca="false">Payroll!BD$64*'Assumption Setting'!$G$189</f>
        <v>2600</v>
      </c>
      <c r="BE39" s="65" t="n">
        <f aca="false">Payroll!BE$64*'Assumption Setting'!$G$189</f>
        <v>2600</v>
      </c>
      <c r="BF39" s="65" t="n">
        <f aca="false">Payroll!BF$64*'Assumption Setting'!$G$189</f>
        <v>2600</v>
      </c>
      <c r="BG39" s="65" t="n">
        <f aca="false">Payroll!BG$64*'Assumption Setting'!$G$189</f>
        <v>2600</v>
      </c>
      <c r="BH39" s="65" t="n">
        <f aca="false">Payroll!BH$64*'Assumption Setting'!$G$189</f>
        <v>2600</v>
      </c>
      <c r="BI39" s="65" t="n">
        <f aca="false">Payroll!BI$64*'Assumption Setting'!$G$189</f>
        <v>2600</v>
      </c>
      <c r="BJ39" s="65" t="n">
        <f aca="false">Payroll!BJ$64*'Assumption Setting'!$G$189</f>
        <v>2600</v>
      </c>
      <c r="BK39" s="65" t="n">
        <f aca="false">Payroll!BK$64*'Assumption Setting'!$G$189</f>
        <v>2600</v>
      </c>
      <c r="BL39" s="65" t="n">
        <f aca="false">Payroll!BL$64*'Assumption Setting'!$G$189</f>
        <v>2600</v>
      </c>
      <c r="BM39" s="65" t="n">
        <f aca="false">Payroll!BM$64*'Assumption Setting'!$G$189</f>
        <v>2600</v>
      </c>
      <c r="BN39" s="65" t="n">
        <f aca="false">Payroll!BN$64*'Assumption Setting'!$G$189</f>
        <v>2600</v>
      </c>
    </row>
    <row r="40" customFormat="false" ht="15" hidden="false" customHeight="false" outlineLevel="0" collapsed="false">
      <c r="A40" s="12" t="s">
        <v>830</v>
      </c>
      <c r="B40" s="64" t="n">
        <f aca="false">SUM(C40:N40)</f>
        <v>3960</v>
      </c>
      <c r="C40" s="65" t="n">
        <f aca="false">'Assumption Setting'!$C$190</f>
        <v>330</v>
      </c>
      <c r="D40" s="65" t="n">
        <f aca="false">'Assumption Setting'!$C$190</f>
        <v>330</v>
      </c>
      <c r="E40" s="65" t="n">
        <f aca="false">'Assumption Setting'!$C$190</f>
        <v>330</v>
      </c>
      <c r="F40" s="65" t="n">
        <f aca="false">'Assumption Setting'!$C$190</f>
        <v>330</v>
      </c>
      <c r="G40" s="65" t="n">
        <f aca="false">'Assumption Setting'!$C$190</f>
        <v>330</v>
      </c>
      <c r="H40" s="65" t="n">
        <f aca="false">'Assumption Setting'!$C$190</f>
        <v>330</v>
      </c>
      <c r="I40" s="65" t="n">
        <f aca="false">'Assumption Setting'!$C$190</f>
        <v>330</v>
      </c>
      <c r="J40" s="65" t="n">
        <f aca="false">'Assumption Setting'!$C$190</f>
        <v>330</v>
      </c>
      <c r="K40" s="65" t="n">
        <f aca="false">'Assumption Setting'!$C$190</f>
        <v>330</v>
      </c>
      <c r="L40" s="65" t="n">
        <f aca="false">'Assumption Setting'!$C$190</f>
        <v>330</v>
      </c>
      <c r="M40" s="65" t="n">
        <f aca="false">'Assumption Setting'!$C$190</f>
        <v>330</v>
      </c>
      <c r="N40" s="65" t="n">
        <f aca="false">'Assumption Setting'!$C$190</f>
        <v>330</v>
      </c>
      <c r="O40" s="64" t="n">
        <f aca="false">SUM(P40:AA40)</f>
        <v>9600</v>
      </c>
      <c r="P40" s="65" t="n">
        <f aca="false">'Assumption Setting'!$D$190</f>
        <v>800</v>
      </c>
      <c r="Q40" s="65" t="n">
        <f aca="false">'Assumption Setting'!$D$190</f>
        <v>800</v>
      </c>
      <c r="R40" s="65" t="n">
        <f aca="false">'Assumption Setting'!$D$190</f>
        <v>800</v>
      </c>
      <c r="S40" s="65" t="n">
        <f aca="false">'Assumption Setting'!$D$190</f>
        <v>800</v>
      </c>
      <c r="T40" s="65" t="n">
        <f aca="false">'Assumption Setting'!$D$190</f>
        <v>800</v>
      </c>
      <c r="U40" s="65" t="n">
        <f aca="false">'Assumption Setting'!$D$190</f>
        <v>800</v>
      </c>
      <c r="V40" s="65" t="n">
        <f aca="false">'Assumption Setting'!$D$190</f>
        <v>800</v>
      </c>
      <c r="W40" s="65" t="n">
        <f aca="false">'Assumption Setting'!$D$190</f>
        <v>800</v>
      </c>
      <c r="X40" s="65" t="n">
        <f aca="false">'Assumption Setting'!$D$190</f>
        <v>800</v>
      </c>
      <c r="Y40" s="65" t="n">
        <f aca="false">'Assumption Setting'!$D$190</f>
        <v>800</v>
      </c>
      <c r="Z40" s="65" t="n">
        <f aca="false">'Assumption Setting'!$D$190</f>
        <v>800</v>
      </c>
      <c r="AA40" s="65" t="n">
        <f aca="false">'Assumption Setting'!$D$190</f>
        <v>800</v>
      </c>
      <c r="AB40" s="64" t="n">
        <f aca="false">SUM(AC40:AN40)</f>
        <v>16800</v>
      </c>
      <c r="AC40" s="65" t="n">
        <f aca="false">'Assumption Setting'!$E$190</f>
        <v>1400</v>
      </c>
      <c r="AD40" s="65" t="n">
        <f aca="false">'Assumption Setting'!$E$190</f>
        <v>1400</v>
      </c>
      <c r="AE40" s="65" t="n">
        <f aca="false">'Assumption Setting'!$E$190</f>
        <v>1400</v>
      </c>
      <c r="AF40" s="65" t="n">
        <f aca="false">'Assumption Setting'!$E$190</f>
        <v>1400</v>
      </c>
      <c r="AG40" s="65" t="n">
        <f aca="false">'Assumption Setting'!$E$190</f>
        <v>1400</v>
      </c>
      <c r="AH40" s="65" t="n">
        <f aca="false">'Assumption Setting'!$E$190</f>
        <v>1400</v>
      </c>
      <c r="AI40" s="65" t="n">
        <f aca="false">'Assumption Setting'!$E$190</f>
        <v>1400</v>
      </c>
      <c r="AJ40" s="65" t="n">
        <f aca="false">'Assumption Setting'!$E$190</f>
        <v>1400</v>
      </c>
      <c r="AK40" s="65" t="n">
        <f aca="false">'Assumption Setting'!$E$190</f>
        <v>1400</v>
      </c>
      <c r="AL40" s="65" t="n">
        <f aca="false">'Assumption Setting'!$E$190</f>
        <v>1400</v>
      </c>
      <c r="AM40" s="65" t="n">
        <f aca="false">'Assumption Setting'!$E$190</f>
        <v>1400</v>
      </c>
      <c r="AN40" s="65" t="n">
        <f aca="false">'Assumption Setting'!$E$190</f>
        <v>1400</v>
      </c>
      <c r="AO40" s="64" t="n">
        <f aca="false">SUM(AP40:BA40)</f>
        <v>22800</v>
      </c>
      <c r="AP40" s="65" t="n">
        <f aca="false">'Assumption Setting'!$F$190</f>
        <v>1900</v>
      </c>
      <c r="AQ40" s="65" t="n">
        <f aca="false">'Assumption Setting'!$F$190</f>
        <v>1900</v>
      </c>
      <c r="AR40" s="65" t="n">
        <f aca="false">'Assumption Setting'!$F$190</f>
        <v>1900</v>
      </c>
      <c r="AS40" s="65" t="n">
        <f aca="false">'Assumption Setting'!$F$190</f>
        <v>1900</v>
      </c>
      <c r="AT40" s="65" t="n">
        <f aca="false">'Assumption Setting'!$F$190</f>
        <v>1900</v>
      </c>
      <c r="AU40" s="65" t="n">
        <f aca="false">'Assumption Setting'!$F$190</f>
        <v>1900</v>
      </c>
      <c r="AV40" s="65" t="n">
        <f aca="false">'Assumption Setting'!$F$190</f>
        <v>1900</v>
      </c>
      <c r="AW40" s="65" t="n">
        <f aca="false">'Assumption Setting'!$F$190</f>
        <v>1900</v>
      </c>
      <c r="AX40" s="65" t="n">
        <f aca="false">'Assumption Setting'!$F$190</f>
        <v>1900</v>
      </c>
      <c r="AY40" s="65" t="n">
        <f aca="false">'Assumption Setting'!$F$190</f>
        <v>1900</v>
      </c>
      <c r="AZ40" s="65" t="n">
        <f aca="false">'Assumption Setting'!$F$190</f>
        <v>1900</v>
      </c>
      <c r="BA40" s="65" t="n">
        <f aca="false">'Assumption Setting'!$F$190</f>
        <v>1900</v>
      </c>
      <c r="BB40" s="64" t="n">
        <f aca="false">SUM(BC40:BN40)</f>
        <v>27600</v>
      </c>
      <c r="BC40" s="65" t="n">
        <f aca="false">'Assumption Setting'!$G$190</f>
        <v>2300</v>
      </c>
      <c r="BD40" s="65" t="n">
        <f aca="false">'Assumption Setting'!$G$190</f>
        <v>2300</v>
      </c>
      <c r="BE40" s="65" t="n">
        <f aca="false">'Assumption Setting'!$G$190</f>
        <v>2300</v>
      </c>
      <c r="BF40" s="65" t="n">
        <f aca="false">'Assumption Setting'!$G$190</f>
        <v>2300</v>
      </c>
      <c r="BG40" s="65" t="n">
        <f aca="false">'Assumption Setting'!$G$190</f>
        <v>2300</v>
      </c>
      <c r="BH40" s="65" t="n">
        <f aca="false">'Assumption Setting'!$G$190</f>
        <v>2300</v>
      </c>
      <c r="BI40" s="65" t="n">
        <f aca="false">'Assumption Setting'!$G$190</f>
        <v>2300</v>
      </c>
      <c r="BJ40" s="65" t="n">
        <f aca="false">'Assumption Setting'!$G$190</f>
        <v>2300</v>
      </c>
      <c r="BK40" s="65" t="n">
        <f aca="false">'Assumption Setting'!$G$190</f>
        <v>2300</v>
      </c>
      <c r="BL40" s="65" t="n">
        <f aca="false">'Assumption Setting'!$G$190</f>
        <v>2300</v>
      </c>
      <c r="BM40" s="65" t="n">
        <f aca="false">'Assumption Setting'!$G$190</f>
        <v>2300</v>
      </c>
      <c r="BN40" s="65" t="n">
        <f aca="false">'Assumption Setting'!$G$190</f>
        <v>2300</v>
      </c>
    </row>
    <row r="41" customFormat="false" ht="15" hidden="false" customHeight="false" outlineLevel="0" collapsed="false">
      <c r="A41" s="12" t="s">
        <v>831</v>
      </c>
      <c r="B41" s="64" t="n">
        <f aca="false">SUM(C41:N41)</f>
        <v>480</v>
      </c>
      <c r="C41" s="65" t="n">
        <f aca="false">'Assumption Setting'!$C$191</f>
        <v>40</v>
      </c>
      <c r="D41" s="65" t="n">
        <f aca="false">'Assumption Setting'!$C$191</f>
        <v>40</v>
      </c>
      <c r="E41" s="65" t="n">
        <f aca="false">'Assumption Setting'!$C$191</f>
        <v>40</v>
      </c>
      <c r="F41" s="65" t="n">
        <f aca="false">'Assumption Setting'!$C$191</f>
        <v>40</v>
      </c>
      <c r="G41" s="65" t="n">
        <f aca="false">'Assumption Setting'!$C$191</f>
        <v>40</v>
      </c>
      <c r="H41" s="65" t="n">
        <f aca="false">'Assumption Setting'!$C$191</f>
        <v>40</v>
      </c>
      <c r="I41" s="65" t="n">
        <f aca="false">'Assumption Setting'!$C$191</f>
        <v>40</v>
      </c>
      <c r="J41" s="65" t="n">
        <f aca="false">'Assumption Setting'!$C$191</f>
        <v>40</v>
      </c>
      <c r="K41" s="65" t="n">
        <f aca="false">'Assumption Setting'!$C$191</f>
        <v>40</v>
      </c>
      <c r="L41" s="65" t="n">
        <f aca="false">'Assumption Setting'!$C$191</f>
        <v>40</v>
      </c>
      <c r="M41" s="65" t="n">
        <f aca="false">'Assumption Setting'!$C$191</f>
        <v>40</v>
      </c>
      <c r="N41" s="65" t="n">
        <f aca="false">'Assumption Setting'!$C$191</f>
        <v>40</v>
      </c>
      <c r="O41" s="64" t="n">
        <f aca="false">SUM(P41:AA41)</f>
        <v>2160</v>
      </c>
      <c r="P41" s="65" t="n">
        <f aca="false">'Assumption Setting'!$D$191</f>
        <v>180</v>
      </c>
      <c r="Q41" s="65" t="n">
        <f aca="false">'Assumption Setting'!$D$191</f>
        <v>180</v>
      </c>
      <c r="R41" s="65" t="n">
        <f aca="false">'Assumption Setting'!$D$191</f>
        <v>180</v>
      </c>
      <c r="S41" s="65" t="n">
        <f aca="false">'Assumption Setting'!$D$191</f>
        <v>180</v>
      </c>
      <c r="T41" s="65" t="n">
        <f aca="false">'Assumption Setting'!$D$191</f>
        <v>180</v>
      </c>
      <c r="U41" s="65" t="n">
        <f aca="false">'Assumption Setting'!$D$191</f>
        <v>180</v>
      </c>
      <c r="V41" s="65" t="n">
        <f aca="false">'Assumption Setting'!$D$191</f>
        <v>180</v>
      </c>
      <c r="W41" s="65" t="n">
        <f aca="false">'Assumption Setting'!$D$191</f>
        <v>180</v>
      </c>
      <c r="X41" s="65" t="n">
        <f aca="false">'Assumption Setting'!$D$191</f>
        <v>180</v>
      </c>
      <c r="Y41" s="65" t="n">
        <f aca="false">'Assumption Setting'!$D$191</f>
        <v>180</v>
      </c>
      <c r="Z41" s="65" t="n">
        <f aca="false">'Assumption Setting'!$D$191</f>
        <v>180</v>
      </c>
      <c r="AA41" s="65" t="n">
        <f aca="false">'Assumption Setting'!$D$191</f>
        <v>180</v>
      </c>
      <c r="AB41" s="64" t="n">
        <f aca="false">SUM(AC41:AN41)</f>
        <v>5400</v>
      </c>
      <c r="AC41" s="65" t="n">
        <f aca="false">'Assumption Setting'!$E$191</f>
        <v>450</v>
      </c>
      <c r="AD41" s="65" t="n">
        <f aca="false">'Assumption Setting'!$E$191</f>
        <v>450</v>
      </c>
      <c r="AE41" s="65" t="n">
        <f aca="false">'Assumption Setting'!$E$191</f>
        <v>450</v>
      </c>
      <c r="AF41" s="65" t="n">
        <f aca="false">'Assumption Setting'!$E$191</f>
        <v>450</v>
      </c>
      <c r="AG41" s="65" t="n">
        <f aca="false">'Assumption Setting'!$E$191</f>
        <v>450</v>
      </c>
      <c r="AH41" s="65" t="n">
        <f aca="false">'Assumption Setting'!$E$191</f>
        <v>450</v>
      </c>
      <c r="AI41" s="65" t="n">
        <f aca="false">'Assumption Setting'!$E$191</f>
        <v>450</v>
      </c>
      <c r="AJ41" s="65" t="n">
        <f aca="false">'Assumption Setting'!$E$191</f>
        <v>450</v>
      </c>
      <c r="AK41" s="65" t="n">
        <f aca="false">'Assumption Setting'!$E$191</f>
        <v>450</v>
      </c>
      <c r="AL41" s="65" t="n">
        <f aca="false">'Assumption Setting'!$E$191</f>
        <v>450</v>
      </c>
      <c r="AM41" s="65" t="n">
        <f aca="false">'Assumption Setting'!$E$191</f>
        <v>450</v>
      </c>
      <c r="AN41" s="65" t="n">
        <f aca="false">'Assumption Setting'!$E$191</f>
        <v>450</v>
      </c>
      <c r="AO41" s="64" t="n">
        <f aca="false">SUM(AP41:BA41)</f>
        <v>8400</v>
      </c>
      <c r="AP41" s="65" t="n">
        <f aca="false">'Assumption Setting'!$F$191</f>
        <v>700</v>
      </c>
      <c r="AQ41" s="65" t="n">
        <f aca="false">'Assumption Setting'!$F$191</f>
        <v>700</v>
      </c>
      <c r="AR41" s="65" t="n">
        <f aca="false">'Assumption Setting'!$F$191</f>
        <v>700</v>
      </c>
      <c r="AS41" s="65" t="n">
        <f aca="false">'Assumption Setting'!$F$191</f>
        <v>700</v>
      </c>
      <c r="AT41" s="65" t="n">
        <f aca="false">'Assumption Setting'!$F$191</f>
        <v>700</v>
      </c>
      <c r="AU41" s="65" t="n">
        <f aca="false">'Assumption Setting'!$F$191</f>
        <v>700</v>
      </c>
      <c r="AV41" s="65" t="n">
        <f aca="false">'Assumption Setting'!$F$191</f>
        <v>700</v>
      </c>
      <c r="AW41" s="65" t="n">
        <f aca="false">'Assumption Setting'!$F$191</f>
        <v>700</v>
      </c>
      <c r="AX41" s="65" t="n">
        <f aca="false">'Assumption Setting'!$F$191</f>
        <v>700</v>
      </c>
      <c r="AY41" s="65" t="n">
        <f aca="false">'Assumption Setting'!$F$191</f>
        <v>700</v>
      </c>
      <c r="AZ41" s="65" t="n">
        <f aca="false">'Assumption Setting'!$F$191</f>
        <v>700</v>
      </c>
      <c r="BA41" s="65" t="n">
        <f aca="false">'Assumption Setting'!$F$191</f>
        <v>700</v>
      </c>
      <c r="BB41" s="64" t="n">
        <f aca="false">SUM(BC41:BN41)</f>
        <v>10800</v>
      </c>
      <c r="BC41" s="65" t="n">
        <f aca="false">'Assumption Setting'!$G$191</f>
        <v>900</v>
      </c>
      <c r="BD41" s="65" t="n">
        <f aca="false">'Assumption Setting'!$G$191</f>
        <v>900</v>
      </c>
      <c r="BE41" s="65" t="n">
        <f aca="false">'Assumption Setting'!$G$191</f>
        <v>900</v>
      </c>
      <c r="BF41" s="65" t="n">
        <f aca="false">'Assumption Setting'!$G$191</f>
        <v>900</v>
      </c>
      <c r="BG41" s="65" t="n">
        <f aca="false">'Assumption Setting'!$G$191</f>
        <v>900</v>
      </c>
      <c r="BH41" s="65" t="n">
        <f aca="false">'Assumption Setting'!$G$191</f>
        <v>900</v>
      </c>
      <c r="BI41" s="65" t="n">
        <f aca="false">'Assumption Setting'!$G$191</f>
        <v>900</v>
      </c>
      <c r="BJ41" s="65" t="n">
        <f aca="false">'Assumption Setting'!$G$191</f>
        <v>900</v>
      </c>
      <c r="BK41" s="65" t="n">
        <f aca="false">'Assumption Setting'!$G$191</f>
        <v>900</v>
      </c>
      <c r="BL41" s="65" t="n">
        <f aca="false">'Assumption Setting'!$G$191</f>
        <v>900</v>
      </c>
      <c r="BM41" s="65" t="n">
        <f aca="false">'Assumption Setting'!$G$191</f>
        <v>900</v>
      </c>
      <c r="BN41" s="65" t="n">
        <f aca="false">'Assumption Setting'!$G$191</f>
        <v>900</v>
      </c>
    </row>
    <row r="42" customFormat="false" ht="15" hidden="false" customHeight="false" outlineLevel="0" collapsed="false">
      <c r="A42" s="12" t="s">
        <v>832</v>
      </c>
      <c r="B42" s="64" t="n">
        <f aca="false">SUM(C42:N42)</f>
        <v>0</v>
      </c>
      <c r="C42" s="65" t="n">
        <f aca="false">'Assumption Setting'!$C$192</f>
        <v>0</v>
      </c>
      <c r="D42" s="65" t="n">
        <f aca="false">'Assumption Setting'!$C$192</f>
        <v>0</v>
      </c>
      <c r="E42" s="65" t="n">
        <f aca="false">'Assumption Setting'!$C$192</f>
        <v>0</v>
      </c>
      <c r="F42" s="65" t="n">
        <f aca="false">'Assumption Setting'!$C$192</f>
        <v>0</v>
      </c>
      <c r="G42" s="65" t="n">
        <f aca="false">'Assumption Setting'!$C$192</f>
        <v>0</v>
      </c>
      <c r="H42" s="65" t="n">
        <f aca="false">'Assumption Setting'!$C$192</f>
        <v>0</v>
      </c>
      <c r="I42" s="65" t="n">
        <f aca="false">'Assumption Setting'!$C$192</f>
        <v>0</v>
      </c>
      <c r="J42" s="65" t="n">
        <f aca="false">'Assumption Setting'!$C$192</f>
        <v>0</v>
      </c>
      <c r="K42" s="65" t="n">
        <f aca="false">'Assumption Setting'!$C$192</f>
        <v>0</v>
      </c>
      <c r="L42" s="65" t="n">
        <f aca="false">'Assumption Setting'!$C$192</f>
        <v>0</v>
      </c>
      <c r="M42" s="65" t="n">
        <f aca="false">'Assumption Setting'!$C$192</f>
        <v>0</v>
      </c>
      <c r="N42" s="65" t="n">
        <f aca="false">'Assumption Setting'!$C$192</f>
        <v>0</v>
      </c>
      <c r="O42" s="64" t="n">
        <f aca="false">SUM(P42:AA42)</f>
        <v>2400</v>
      </c>
      <c r="P42" s="65" t="n">
        <f aca="false">'Assumption Setting'!$D$192</f>
        <v>200</v>
      </c>
      <c r="Q42" s="65" t="n">
        <f aca="false">'Assumption Setting'!$D$192</f>
        <v>200</v>
      </c>
      <c r="R42" s="65" t="n">
        <f aca="false">'Assumption Setting'!$D$192</f>
        <v>200</v>
      </c>
      <c r="S42" s="65" t="n">
        <f aca="false">'Assumption Setting'!$D$192</f>
        <v>200</v>
      </c>
      <c r="T42" s="65" t="n">
        <f aca="false">'Assumption Setting'!$D$192</f>
        <v>200</v>
      </c>
      <c r="U42" s="65" t="n">
        <f aca="false">'Assumption Setting'!$D$192</f>
        <v>200</v>
      </c>
      <c r="V42" s="65" t="n">
        <f aca="false">'Assumption Setting'!$D$192</f>
        <v>200</v>
      </c>
      <c r="W42" s="65" t="n">
        <f aca="false">'Assumption Setting'!$D$192</f>
        <v>200</v>
      </c>
      <c r="X42" s="65" t="n">
        <f aca="false">'Assumption Setting'!$D$192</f>
        <v>200</v>
      </c>
      <c r="Y42" s="65" t="n">
        <f aca="false">'Assumption Setting'!$D$192</f>
        <v>200</v>
      </c>
      <c r="Z42" s="65" t="n">
        <f aca="false">'Assumption Setting'!$D$192</f>
        <v>200</v>
      </c>
      <c r="AA42" s="65" t="n">
        <f aca="false">'Assumption Setting'!$D$192</f>
        <v>200</v>
      </c>
      <c r="AB42" s="64" t="n">
        <f aca="false">SUM(AC42:AN42)</f>
        <v>9600</v>
      </c>
      <c r="AC42" s="65" t="n">
        <f aca="false">'Assumption Setting'!$E$192</f>
        <v>800</v>
      </c>
      <c r="AD42" s="65" t="n">
        <f aca="false">'Assumption Setting'!$E$192</f>
        <v>800</v>
      </c>
      <c r="AE42" s="65" t="n">
        <f aca="false">'Assumption Setting'!$E$192</f>
        <v>800</v>
      </c>
      <c r="AF42" s="65" t="n">
        <f aca="false">'Assumption Setting'!$E$192</f>
        <v>800</v>
      </c>
      <c r="AG42" s="65" t="n">
        <f aca="false">'Assumption Setting'!$E$192</f>
        <v>800</v>
      </c>
      <c r="AH42" s="65" t="n">
        <f aca="false">'Assumption Setting'!$E$192</f>
        <v>800</v>
      </c>
      <c r="AI42" s="65" t="n">
        <f aca="false">'Assumption Setting'!$E$192</f>
        <v>800</v>
      </c>
      <c r="AJ42" s="65" t="n">
        <f aca="false">'Assumption Setting'!$E$192</f>
        <v>800</v>
      </c>
      <c r="AK42" s="65" t="n">
        <f aca="false">'Assumption Setting'!$E$192</f>
        <v>800</v>
      </c>
      <c r="AL42" s="65" t="n">
        <f aca="false">'Assumption Setting'!$E$192</f>
        <v>800</v>
      </c>
      <c r="AM42" s="65" t="n">
        <f aca="false">'Assumption Setting'!$E$192</f>
        <v>800</v>
      </c>
      <c r="AN42" s="65" t="n">
        <f aca="false">'Assumption Setting'!$E$192</f>
        <v>800</v>
      </c>
      <c r="AO42" s="64" t="n">
        <f aca="false">SUM(AP42:BA42)</f>
        <v>18000</v>
      </c>
      <c r="AP42" s="65" t="n">
        <f aca="false">'Assumption Setting'!$F$192</f>
        <v>1500</v>
      </c>
      <c r="AQ42" s="65" t="n">
        <f aca="false">'Assumption Setting'!$F$192</f>
        <v>1500</v>
      </c>
      <c r="AR42" s="65" t="n">
        <f aca="false">'Assumption Setting'!$F$192</f>
        <v>1500</v>
      </c>
      <c r="AS42" s="65" t="n">
        <f aca="false">'Assumption Setting'!$F$192</f>
        <v>1500</v>
      </c>
      <c r="AT42" s="65" t="n">
        <f aca="false">'Assumption Setting'!$F$192</f>
        <v>1500</v>
      </c>
      <c r="AU42" s="65" t="n">
        <f aca="false">'Assumption Setting'!$F$192</f>
        <v>1500</v>
      </c>
      <c r="AV42" s="65" t="n">
        <f aca="false">'Assumption Setting'!$F$192</f>
        <v>1500</v>
      </c>
      <c r="AW42" s="65" t="n">
        <f aca="false">'Assumption Setting'!$F$192</f>
        <v>1500</v>
      </c>
      <c r="AX42" s="65" t="n">
        <f aca="false">'Assumption Setting'!$F$192</f>
        <v>1500</v>
      </c>
      <c r="AY42" s="65" t="n">
        <f aca="false">'Assumption Setting'!$F$192</f>
        <v>1500</v>
      </c>
      <c r="AZ42" s="65" t="n">
        <f aca="false">'Assumption Setting'!$F$192</f>
        <v>1500</v>
      </c>
      <c r="BA42" s="65" t="n">
        <f aca="false">'Assumption Setting'!$F$192</f>
        <v>1500</v>
      </c>
      <c r="BB42" s="64" t="n">
        <f aca="false">SUM(BC42:BN42)</f>
        <v>25200</v>
      </c>
      <c r="BC42" s="65" t="n">
        <f aca="false">'Assumption Setting'!$G$192</f>
        <v>2100</v>
      </c>
      <c r="BD42" s="65" t="n">
        <f aca="false">'Assumption Setting'!$G$192</f>
        <v>2100</v>
      </c>
      <c r="BE42" s="65" t="n">
        <f aca="false">'Assumption Setting'!$G$192</f>
        <v>2100</v>
      </c>
      <c r="BF42" s="65" t="n">
        <f aca="false">'Assumption Setting'!$G$192</f>
        <v>2100</v>
      </c>
      <c r="BG42" s="65" t="n">
        <f aca="false">'Assumption Setting'!$G$192</f>
        <v>2100</v>
      </c>
      <c r="BH42" s="65" t="n">
        <f aca="false">'Assumption Setting'!$G$192</f>
        <v>2100</v>
      </c>
      <c r="BI42" s="65" t="n">
        <f aca="false">'Assumption Setting'!$G$192</f>
        <v>2100</v>
      </c>
      <c r="BJ42" s="65" t="n">
        <f aca="false">'Assumption Setting'!$G$192</f>
        <v>2100</v>
      </c>
      <c r="BK42" s="65" t="n">
        <f aca="false">'Assumption Setting'!$G$192</f>
        <v>2100</v>
      </c>
      <c r="BL42" s="65" t="n">
        <f aca="false">'Assumption Setting'!$G$192</f>
        <v>2100</v>
      </c>
      <c r="BM42" s="65" t="n">
        <f aca="false">'Assumption Setting'!$G$192</f>
        <v>2100</v>
      </c>
      <c r="BN42" s="65" t="n">
        <f aca="false">'Assumption Setting'!$G$192</f>
        <v>2100</v>
      </c>
    </row>
    <row r="43" customFormat="false" ht="15" hidden="false" customHeight="false" outlineLevel="0" collapsed="false">
      <c r="A43" s="12" t="s">
        <v>833</v>
      </c>
      <c r="B43" s="64" t="n">
        <f aca="false">SUM(C43:N43)</f>
        <v>1320</v>
      </c>
      <c r="C43" s="65" t="n">
        <f aca="false">'Assumption Setting'!$C$193</f>
        <v>110</v>
      </c>
      <c r="D43" s="65" t="n">
        <f aca="false">'Assumption Setting'!$C$193</f>
        <v>110</v>
      </c>
      <c r="E43" s="65" t="n">
        <f aca="false">'Assumption Setting'!$C$193</f>
        <v>110</v>
      </c>
      <c r="F43" s="65" t="n">
        <f aca="false">'Assumption Setting'!$C$193</f>
        <v>110</v>
      </c>
      <c r="G43" s="65" t="n">
        <f aca="false">'Assumption Setting'!$C$193</f>
        <v>110</v>
      </c>
      <c r="H43" s="65" t="n">
        <f aca="false">'Assumption Setting'!$C$193</f>
        <v>110</v>
      </c>
      <c r="I43" s="65" t="n">
        <f aca="false">'Assumption Setting'!$C$193</f>
        <v>110</v>
      </c>
      <c r="J43" s="65" t="n">
        <f aca="false">'Assumption Setting'!$C$193</f>
        <v>110</v>
      </c>
      <c r="K43" s="65" t="n">
        <f aca="false">'Assumption Setting'!$C$193</f>
        <v>110</v>
      </c>
      <c r="L43" s="65" t="n">
        <f aca="false">'Assumption Setting'!$C$193</f>
        <v>110</v>
      </c>
      <c r="M43" s="65" t="n">
        <f aca="false">'Assumption Setting'!$C$193</f>
        <v>110</v>
      </c>
      <c r="N43" s="65" t="n">
        <f aca="false">'Assumption Setting'!$C$193</f>
        <v>110</v>
      </c>
      <c r="O43" s="64" t="n">
        <f aca="false">SUM(P43:AA43)</f>
        <v>2160</v>
      </c>
      <c r="P43" s="65" t="n">
        <f aca="false">'Assumption Setting'!$D$193</f>
        <v>180</v>
      </c>
      <c r="Q43" s="65" t="n">
        <f aca="false">'Assumption Setting'!$D$193</f>
        <v>180</v>
      </c>
      <c r="R43" s="65" t="n">
        <f aca="false">'Assumption Setting'!$D$193</f>
        <v>180</v>
      </c>
      <c r="S43" s="65" t="n">
        <f aca="false">'Assumption Setting'!$D$193</f>
        <v>180</v>
      </c>
      <c r="T43" s="65" t="n">
        <f aca="false">'Assumption Setting'!$D$193</f>
        <v>180</v>
      </c>
      <c r="U43" s="65" t="n">
        <f aca="false">'Assumption Setting'!$D$193</f>
        <v>180</v>
      </c>
      <c r="V43" s="65" t="n">
        <f aca="false">'Assumption Setting'!$D$193</f>
        <v>180</v>
      </c>
      <c r="W43" s="65" t="n">
        <f aca="false">'Assumption Setting'!$D$193</f>
        <v>180</v>
      </c>
      <c r="X43" s="65" t="n">
        <f aca="false">'Assumption Setting'!$D$193</f>
        <v>180</v>
      </c>
      <c r="Y43" s="65" t="n">
        <f aca="false">'Assumption Setting'!$D$193</f>
        <v>180</v>
      </c>
      <c r="Z43" s="65" t="n">
        <f aca="false">'Assumption Setting'!$D$193</f>
        <v>180</v>
      </c>
      <c r="AA43" s="65" t="n">
        <f aca="false">'Assumption Setting'!$D$193</f>
        <v>180</v>
      </c>
      <c r="AB43" s="64" t="n">
        <f aca="false">SUM(AC43:AN43)</f>
        <v>3360</v>
      </c>
      <c r="AC43" s="65" t="n">
        <f aca="false">'Assumption Setting'!$E$193</f>
        <v>280</v>
      </c>
      <c r="AD43" s="65" t="n">
        <f aca="false">'Assumption Setting'!$E$193</f>
        <v>280</v>
      </c>
      <c r="AE43" s="65" t="n">
        <f aca="false">'Assumption Setting'!$E$193</f>
        <v>280</v>
      </c>
      <c r="AF43" s="65" t="n">
        <f aca="false">'Assumption Setting'!$E$193</f>
        <v>280</v>
      </c>
      <c r="AG43" s="65" t="n">
        <f aca="false">'Assumption Setting'!$E$193</f>
        <v>280</v>
      </c>
      <c r="AH43" s="65" t="n">
        <f aca="false">'Assumption Setting'!$E$193</f>
        <v>280</v>
      </c>
      <c r="AI43" s="65" t="n">
        <f aca="false">'Assumption Setting'!$E$193</f>
        <v>280</v>
      </c>
      <c r="AJ43" s="65" t="n">
        <f aca="false">'Assumption Setting'!$E$193</f>
        <v>280</v>
      </c>
      <c r="AK43" s="65" t="n">
        <f aca="false">'Assumption Setting'!$E$193</f>
        <v>280</v>
      </c>
      <c r="AL43" s="65" t="n">
        <f aca="false">'Assumption Setting'!$E$193</f>
        <v>280</v>
      </c>
      <c r="AM43" s="65" t="n">
        <f aca="false">'Assumption Setting'!$E$193</f>
        <v>280</v>
      </c>
      <c r="AN43" s="65" t="n">
        <f aca="false">'Assumption Setting'!$E$193</f>
        <v>280</v>
      </c>
      <c r="AO43" s="64" t="n">
        <f aca="false">SUM(AP43:BA43)</f>
        <v>4320</v>
      </c>
      <c r="AP43" s="65" t="n">
        <f aca="false">'Assumption Setting'!$F$193</f>
        <v>360</v>
      </c>
      <c r="AQ43" s="65" t="n">
        <f aca="false">'Assumption Setting'!$F$193</f>
        <v>360</v>
      </c>
      <c r="AR43" s="65" t="n">
        <f aca="false">'Assumption Setting'!$F$193</f>
        <v>360</v>
      </c>
      <c r="AS43" s="65" t="n">
        <f aca="false">'Assumption Setting'!$F$193</f>
        <v>360</v>
      </c>
      <c r="AT43" s="65" t="n">
        <f aca="false">'Assumption Setting'!$F$193</f>
        <v>360</v>
      </c>
      <c r="AU43" s="65" t="n">
        <f aca="false">'Assumption Setting'!$F$193</f>
        <v>360</v>
      </c>
      <c r="AV43" s="65" t="n">
        <f aca="false">'Assumption Setting'!$F$193</f>
        <v>360</v>
      </c>
      <c r="AW43" s="65" t="n">
        <f aca="false">'Assumption Setting'!$F$193</f>
        <v>360</v>
      </c>
      <c r="AX43" s="65" t="n">
        <f aca="false">'Assumption Setting'!$F$193</f>
        <v>360</v>
      </c>
      <c r="AY43" s="65" t="n">
        <f aca="false">'Assumption Setting'!$F$193</f>
        <v>360</v>
      </c>
      <c r="AZ43" s="65" t="n">
        <f aca="false">'Assumption Setting'!$F$193</f>
        <v>360</v>
      </c>
      <c r="BA43" s="65" t="n">
        <f aca="false">'Assumption Setting'!$F$193</f>
        <v>360</v>
      </c>
      <c r="BB43" s="64" t="n">
        <f aca="false">SUM(BC43:BN43)</f>
        <v>5280</v>
      </c>
      <c r="BC43" s="65" t="n">
        <f aca="false">'Assumption Setting'!$G$193</f>
        <v>440</v>
      </c>
      <c r="BD43" s="65" t="n">
        <f aca="false">'Assumption Setting'!$G$193</f>
        <v>440</v>
      </c>
      <c r="BE43" s="65" t="n">
        <f aca="false">'Assumption Setting'!$G$193</f>
        <v>440</v>
      </c>
      <c r="BF43" s="65" t="n">
        <f aca="false">'Assumption Setting'!$G$193</f>
        <v>440</v>
      </c>
      <c r="BG43" s="65" t="n">
        <f aca="false">'Assumption Setting'!$G$193</f>
        <v>440</v>
      </c>
      <c r="BH43" s="65" t="n">
        <f aca="false">'Assumption Setting'!$G$193</f>
        <v>440</v>
      </c>
      <c r="BI43" s="65" t="n">
        <f aca="false">'Assumption Setting'!$G$193</f>
        <v>440</v>
      </c>
      <c r="BJ43" s="65" t="n">
        <f aca="false">'Assumption Setting'!$G$193</f>
        <v>440</v>
      </c>
      <c r="BK43" s="65" t="n">
        <f aca="false">'Assumption Setting'!$G$193</f>
        <v>440</v>
      </c>
      <c r="BL43" s="65" t="n">
        <f aca="false">'Assumption Setting'!$G$193</f>
        <v>440</v>
      </c>
      <c r="BM43" s="65" t="n">
        <f aca="false">'Assumption Setting'!$G$193</f>
        <v>440</v>
      </c>
      <c r="BN43" s="65" t="n">
        <f aca="false">'Assumption Setting'!$G$193</f>
        <v>440</v>
      </c>
    </row>
    <row r="44" customFormat="false" ht="15" hidden="false" customHeight="false" outlineLevel="0" collapsed="false">
      <c r="A44" s="12" t="s">
        <v>834</v>
      </c>
      <c r="B44" s="64" t="n">
        <f aca="false">SUM(C44:N44)</f>
        <v>3902.25161875527</v>
      </c>
      <c r="C44" s="65" t="n">
        <f aca="false">SUM(C30:C43)*'Assumption Setting'!$C$198</f>
        <v>315.658627678586</v>
      </c>
      <c r="D44" s="65" t="n">
        <f aca="false">SUM(D30:D43)*'Assumption Setting'!$C$198</f>
        <v>317.576268871683</v>
      </c>
      <c r="E44" s="65" t="n">
        <f aca="false">SUM(E30:E43)*'Assumption Setting'!$C$198</f>
        <v>319.57010811779</v>
      </c>
      <c r="F44" s="65" t="n">
        <f aca="false">SUM(F30:F43)*'Assumption Setting'!$C$198</f>
        <v>320.854440567217</v>
      </c>
      <c r="G44" s="65" t="n">
        <f aca="false">SUM(G30:G43)*'Assumption Setting'!$C$198</f>
        <v>322.566766243235</v>
      </c>
      <c r="H44" s="65" t="n">
        <f aca="false">SUM(H30:H43)*'Assumption Setting'!$C$198</f>
        <v>324.280560840237</v>
      </c>
      <c r="I44" s="65" t="n">
        <f aca="false">SUM(I30:I43)*'Assumption Setting'!$C$198</f>
        <v>325.995736222964</v>
      </c>
      <c r="J44" s="65" t="n">
        <f aca="false">SUM(J30:J43)*'Assumption Setting'!$C$198</f>
        <v>327.712209544273</v>
      </c>
      <c r="K44" s="65" t="n">
        <f aca="false">SUM(K30:K43)*'Assumption Setting'!$C$198</f>
        <v>329.429902927848</v>
      </c>
      <c r="L44" s="65" t="n">
        <f aca="false">SUM(L30:L43)*'Assumption Setting'!$C$198</f>
        <v>331.148743169954</v>
      </c>
      <c r="M44" s="65" t="n">
        <f aca="false">SUM(M30:M43)*'Assumption Setting'!$C$198</f>
        <v>332.868661459079</v>
      </c>
      <c r="N44" s="65" t="n">
        <f aca="false">SUM(N30:N43)*'Assumption Setting'!$C$198</f>
        <v>334.589593112401</v>
      </c>
      <c r="O44" s="64" t="n">
        <f aca="false">SUM(P44:AA44)</f>
        <v>9744.45381321917</v>
      </c>
      <c r="P44" s="65" t="n">
        <f aca="false">SUM(P30:P43)*'Assumption Setting'!$C$198</f>
        <v>797.464378159148</v>
      </c>
      <c r="Q44" s="65" t="n">
        <f aca="false">SUM(Q30:Q43)*'Assumption Setting'!$C$198</f>
        <v>796.304485440248</v>
      </c>
      <c r="R44" s="65" t="n">
        <f aca="false">SUM(R30:R43)*'Assumption Setting'!$C$198</f>
        <v>797.200614025298</v>
      </c>
      <c r="S44" s="65" t="n">
        <f aca="false">SUM(S30:S43)*'Assumption Setting'!$C$198</f>
        <v>801.728084587941</v>
      </c>
      <c r="T44" s="65" t="n">
        <f aca="false">SUM(T30:T43)*'Assumption Setting'!$C$198</f>
        <v>805.591597649946</v>
      </c>
      <c r="U44" s="65" t="n">
        <f aca="false">SUM(U30:U43)*'Assumption Setting'!$C$198</f>
        <v>809.455423701535</v>
      </c>
      <c r="V44" s="65" t="n">
        <f aca="false">SUM(V30:V43)*'Assumption Setting'!$C$198</f>
        <v>813.319543963333</v>
      </c>
      <c r="W44" s="65" t="n">
        <f aca="false">SUM(W30:W43)*'Assumption Setting'!$C$198</f>
        <v>817.11274385789</v>
      </c>
      <c r="X44" s="65" t="n">
        <f aca="false">SUM(X30:X43)*'Assumption Setting'!$C$198</f>
        <v>820.895103374842</v>
      </c>
      <c r="Y44" s="65" t="n">
        <f aca="false">SUM(Y30:Y43)*'Assumption Setting'!$C$198</f>
        <v>824.677707258085</v>
      </c>
      <c r="Z44" s="65" t="n">
        <f aca="false">SUM(Z30:Z43)*'Assumption Setting'!$C$198</f>
        <v>828.460540845644</v>
      </c>
      <c r="AA44" s="65" t="n">
        <f aca="false">SUM(AA30:AA43)*'Assumption Setting'!$C$198</f>
        <v>832.243590355258</v>
      </c>
      <c r="AB44" s="64" t="n">
        <f aca="false">SUM(AC44:AN44)</f>
        <v>17501.8398982228</v>
      </c>
      <c r="AC44" s="65" t="n">
        <f aca="false">SUM(AC30:AC43)*'Assumption Setting'!$C$198</f>
        <v>1426.78175302334</v>
      </c>
      <c r="AD44" s="65" t="n">
        <f aca="false">SUM(AD30:AD43)*'Assumption Setting'!$C$198</f>
        <v>1431.06924212517</v>
      </c>
      <c r="AE44" s="65" t="n">
        <f aca="false">SUM(AE30:AE43)*'Assumption Setting'!$C$198</f>
        <v>1435.98056797724</v>
      </c>
      <c r="AF44" s="65" t="n">
        <f aca="false">SUM(AF30:AF43)*'Assumption Setting'!$C$198</f>
        <v>1441.97721763784</v>
      </c>
      <c r="AG44" s="65" t="n">
        <f aca="false">SUM(AG30:AG43)*'Assumption Setting'!$C$198</f>
        <v>1448.47395460012</v>
      </c>
      <c r="AH44" s="65" t="n">
        <f aca="false">SUM(AH30:AH43)*'Assumption Setting'!$C$198</f>
        <v>1454.83680158792</v>
      </c>
      <c r="AI44" s="65" t="n">
        <f aca="false">SUM(AI30:AI43)*'Assumption Setting'!$C$198</f>
        <v>1461.20118264621</v>
      </c>
      <c r="AJ44" s="65" t="n">
        <f aca="false">SUM(AJ30:AJ43)*'Assumption Setting'!$C$198</f>
        <v>1467.56700573076</v>
      </c>
      <c r="AK44" s="65" t="n">
        <f aca="false">SUM(AK30:AK43)*'Assumption Setting'!$C$198</f>
        <v>1473.93418432</v>
      </c>
      <c r="AL44" s="65" t="n">
        <f aca="false">SUM(AL30:AL43)*'Assumption Setting'!$C$198</f>
        <v>1480.30263708365</v>
      </c>
      <c r="AM44" s="65" t="n">
        <f aca="false">SUM(AM30:AM43)*'Assumption Setting'!$C$198</f>
        <v>1486.67228757124</v>
      </c>
      <c r="AN44" s="65" t="n">
        <f aca="false">SUM(AN30:AN43)*'Assumption Setting'!$C$198</f>
        <v>1493.04306391934</v>
      </c>
      <c r="AO44" s="64" t="n">
        <f aca="false">SUM(AP44:BA44)</f>
        <v>25187.1043662326</v>
      </c>
      <c r="AP44" s="65" t="n">
        <f aca="false">SUM(AP30:AP43)*'Assumption Setting'!$C$198</f>
        <v>2063.83075290559</v>
      </c>
      <c r="AQ44" s="65" t="n">
        <f aca="false">SUM(AQ30:AQ43)*'Assumption Setting'!$C$198</f>
        <v>2070.64360412422</v>
      </c>
      <c r="AR44" s="65" t="n">
        <f aca="false">SUM(AR30:AR43)*'Assumption Setting'!$C$198</f>
        <v>2077.23850010559</v>
      </c>
      <c r="AS44" s="65" t="n">
        <f aca="false">SUM(AS30:AS43)*'Assumption Setting'!$C$198</f>
        <v>2083.55352161285</v>
      </c>
      <c r="AT44" s="65" t="n">
        <f aca="false">SUM(AT30:AT43)*'Assumption Setting'!$C$198</f>
        <v>2089.76069893479</v>
      </c>
      <c r="AU44" s="65" t="n">
        <f aca="false">SUM(AU30:AU43)*'Assumption Setting'!$C$198</f>
        <v>2095.96724447227</v>
      </c>
      <c r="AV44" s="65" t="n">
        <f aca="false">SUM(AV30:AV43)*'Assumption Setting'!$C$198</f>
        <v>2102.17319613237</v>
      </c>
      <c r="AW44" s="65" t="n">
        <f aca="false">SUM(AW30:AW43)*'Assumption Setting'!$C$198</f>
        <v>2108.37858954773</v>
      </c>
      <c r="AX44" s="65" t="n">
        <f aca="false">SUM(AX30:AX43)*'Assumption Setting'!$C$198</f>
        <v>2114.58345821303</v>
      </c>
      <c r="AY44" s="65" t="n">
        <f aca="false">SUM(AY30:AY43)*'Assumption Setting'!$C$198</f>
        <v>2120.78783361328</v>
      </c>
      <c r="AZ44" s="65" t="n">
        <f aca="false">SUM(AZ30:AZ43)*'Assumption Setting'!$C$198</f>
        <v>2126.99174534437</v>
      </c>
      <c r="BA44" s="65" t="n">
        <f aca="false">SUM(BA30:BA43)*'Assumption Setting'!$C$198</f>
        <v>2133.19522122647</v>
      </c>
      <c r="BB44" s="64" t="n">
        <f aca="false">SUM(BC44:BN44)</f>
        <v>32663.0581890726</v>
      </c>
      <c r="BC44" s="65" t="n">
        <f aca="false">SUM(BC30:BC43)*'Assumption Setting'!$C$198</f>
        <v>2683.63411621899</v>
      </c>
      <c r="BD44" s="65" t="n">
        <f aca="false">SUM(BD30:BD43)*'Assumption Setting'!$C$198</f>
        <v>2690.31329351508</v>
      </c>
      <c r="BE44" s="65" t="n">
        <f aca="false">SUM(BE30:BE43)*'Assumption Setting'!$C$198</f>
        <v>2697.16043055839</v>
      </c>
      <c r="BF44" s="65" t="n">
        <f aca="false">SUM(BF30:BF43)*'Assumption Setting'!$C$198</f>
        <v>2704.17640398664</v>
      </c>
      <c r="BG44" s="65" t="n">
        <f aca="false">SUM(BG30:BG43)*'Assumption Setting'!$C$198</f>
        <v>2711.24454654738</v>
      </c>
      <c r="BH44" s="65" t="n">
        <f aca="false">SUM(BH30:BH43)*'Assumption Setting'!$C$198</f>
        <v>2718.31151293629</v>
      </c>
      <c r="BI44" s="65" t="n">
        <f aca="false">SUM(BI30:BI43)*'Assumption Setting'!$C$198</f>
        <v>2725.37737372368</v>
      </c>
      <c r="BJ44" s="65" t="n">
        <f aca="false">SUM(BJ30:BJ43)*'Assumption Setting'!$C$198</f>
        <v>2732.44219524564</v>
      </c>
      <c r="BK44" s="65" t="n">
        <f aca="false">SUM(BK30:BK43)*'Assumption Setting'!$C$198</f>
        <v>2739.5060398581</v>
      </c>
      <c r="BL44" s="65" t="n">
        <f aca="false">SUM(BL30:BL43)*'Assumption Setting'!$C$198</f>
        <v>2746.56896617563</v>
      </c>
      <c r="BM44" s="65" t="n">
        <f aca="false">SUM(BM30:BM43)*'Assumption Setting'!$C$198</f>
        <v>2753.63102929593</v>
      </c>
      <c r="BN44" s="65" t="n">
        <f aca="false">SUM(BN30:BN43)*'Assumption Setting'!$C$198</f>
        <v>2760.69228101083</v>
      </c>
    </row>
    <row r="45" customFormat="false" ht="15" hidden="false" customHeight="false" outlineLevel="0" collapsed="false">
      <c r="A45" s="69" t="s">
        <v>835</v>
      </c>
      <c r="B45" s="64" t="n">
        <f aca="false">SUM(C45:N45)</f>
        <v>101458.542087637</v>
      </c>
      <c r="C45" s="70" t="n">
        <f aca="false">SUM(C30:C43)+C44</f>
        <v>8207.12431964323</v>
      </c>
      <c r="D45" s="70" t="n">
        <f aca="false">SUM(D30:D43)+D44</f>
        <v>8256.98299066376</v>
      </c>
      <c r="E45" s="70" t="n">
        <f aca="false">SUM(E30:E43)+E44</f>
        <v>8308.82281106253</v>
      </c>
      <c r="F45" s="70" t="n">
        <f aca="false">SUM(F30:F43)+F44</f>
        <v>8342.21545474765</v>
      </c>
      <c r="G45" s="70" t="n">
        <f aca="false">SUM(G30:G43)+G44</f>
        <v>8386.73592232412</v>
      </c>
      <c r="H45" s="70" t="n">
        <f aca="false">SUM(H30:H43)+H44</f>
        <v>8431.29458184617</v>
      </c>
      <c r="I45" s="70" t="n">
        <f aca="false">SUM(I30:I43)+I44</f>
        <v>8475.88914179708</v>
      </c>
      <c r="J45" s="70" t="n">
        <f aca="false">SUM(J30:J43)+J44</f>
        <v>8520.5174481511</v>
      </c>
      <c r="K45" s="70" t="n">
        <f aca="false">SUM(K30:K43)+K44</f>
        <v>8565.17747612405</v>
      </c>
      <c r="L45" s="70" t="n">
        <f aca="false">SUM(L30:L43)+L44</f>
        <v>8609.8673224188</v>
      </c>
      <c r="M45" s="70" t="n">
        <f aca="false">SUM(M30:M43)+M44</f>
        <v>8654.58519793605</v>
      </c>
      <c r="N45" s="70" t="n">
        <f aca="false">SUM(N30:N43)+N44</f>
        <v>8699.32942092243</v>
      </c>
      <c r="O45" s="64" t="n">
        <f aca="false">SUM(P45:AA45)</f>
        <v>253355.799143698</v>
      </c>
      <c r="P45" s="70" t="n">
        <f aca="false">SUM(P30:P43)+P44</f>
        <v>20734.0738321378</v>
      </c>
      <c r="Q45" s="70" t="n">
        <f aca="false">SUM(Q30:Q43)+Q44</f>
        <v>20703.9166214465</v>
      </c>
      <c r="R45" s="70" t="n">
        <f aca="false">SUM(R30:R43)+R44</f>
        <v>20727.2159646578</v>
      </c>
      <c r="S45" s="70" t="n">
        <f aca="false">SUM(S30:S43)+S44</f>
        <v>20844.9301992865</v>
      </c>
      <c r="T45" s="70" t="n">
        <f aca="false">SUM(T30:T43)+T44</f>
        <v>20945.3815388986</v>
      </c>
      <c r="U45" s="70" t="n">
        <f aca="false">SUM(U30:U43)+U44</f>
        <v>21045.8410162399</v>
      </c>
      <c r="V45" s="70" t="n">
        <f aca="false">SUM(V30:V43)+V44</f>
        <v>21146.3081430467</v>
      </c>
      <c r="W45" s="70" t="n">
        <f aca="false">SUM(W30:W43)+W44</f>
        <v>21244.9313403052</v>
      </c>
      <c r="X45" s="70" t="n">
        <f aca="false">SUM(X30:X43)+X44</f>
        <v>21343.2726877459</v>
      </c>
      <c r="Y45" s="70" t="n">
        <f aca="false">SUM(Y30:Y43)+Y44</f>
        <v>21441.6203887102</v>
      </c>
      <c r="Z45" s="70" t="n">
        <f aca="false">SUM(Z30:Z43)+Z44</f>
        <v>21539.9740619867</v>
      </c>
      <c r="AA45" s="70" t="n">
        <f aca="false">SUM(AA30:AA43)+AA44</f>
        <v>21638.3333492367</v>
      </c>
      <c r="AB45" s="64" t="n">
        <f aca="false">SUM(AC45:AN45)</f>
        <v>455047.837353794</v>
      </c>
      <c r="AC45" s="70" t="n">
        <f aca="false">SUM(AC30:AC43)+AC44</f>
        <v>37096.3255786069</v>
      </c>
      <c r="AD45" s="70" t="n">
        <f aca="false">SUM(AD30:AD43)+AD44</f>
        <v>37207.8002952544</v>
      </c>
      <c r="AE45" s="70" t="n">
        <f aca="false">SUM(AE30:AE43)+AE44</f>
        <v>37335.4947674082</v>
      </c>
      <c r="AF45" s="70" t="n">
        <f aca="false">SUM(AF30:AF43)+AF44</f>
        <v>37491.4076585839</v>
      </c>
      <c r="AG45" s="70" t="n">
        <f aca="false">SUM(AG30:AG43)+AG44</f>
        <v>37660.3228196031</v>
      </c>
      <c r="AH45" s="70" t="n">
        <f aca="false">SUM(AH30:AH43)+AH44</f>
        <v>37825.7568412858</v>
      </c>
      <c r="AI45" s="70" t="n">
        <f aca="false">SUM(AI30:AI43)+AI44</f>
        <v>37991.2307488014</v>
      </c>
      <c r="AJ45" s="70" t="n">
        <f aca="false">SUM(AJ30:AJ43)+AJ44</f>
        <v>38156.7421489998</v>
      </c>
      <c r="AK45" s="70" t="n">
        <f aca="false">SUM(AK30:AK43)+AK44</f>
        <v>38322.2887923201</v>
      </c>
      <c r="AL45" s="70" t="n">
        <f aca="false">SUM(AL30:AL43)+AL44</f>
        <v>38487.868564175</v>
      </c>
      <c r="AM45" s="70" t="n">
        <f aca="false">SUM(AM30:AM43)+AM44</f>
        <v>38653.4794768523</v>
      </c>
      <c r="AN45" s="70" t="n">
        <f aca="false">SUM(AN30:AN43)+AN44</f>
        <v>38819.1196619028</v>
      </c>
      <c r="AO45" s="64" t="n">
        <f aca="false">SUM(AP45:BA45)</f>
        <v>654864.713522047</v>
      </c>
      <c r="AP45" s="70" t="n">
        <f aca="false">SUM(AP30:AP43)+AP44</f>
        <v>53659.5995755452</v>
      </c>
      <c r="AQ45" s="70" t="n">
        <f aca="false">SUM(AQ30:AQ43)+AQ44</f>
        <v>53836.7337072297</v>
      </c>
      <c r="AR45" s="70" t="n">
        <f aca="false">SUM(AR30:AR43)+AR44</f>
        <v>54008.2010027452</v>
      </c>
      <c r="AS45" s="70" t="n">
        <f aca="false">SUM(AS30:AS43)+AS44</f>
        <v>54172.3915619342</v>
      </c>
      <c r="AT45" s="70" t="n">
        <f aca="false">SUM(AT30:AT43)+AT44</f>
        <v>54333.7781723045</v>
      </c>
      <c r="AU45" s="70" t="n">
        <f aca="false">SUM(AU30:AU43)+AU44</f>
        <v>54495.1483562791</v>
      </c>
      <c r="AV45" s="70" t="n">
        <f aca="false">SUM(AV30:AV43)+AV44</f>
        <v>54656.5030994417</v>
      </c>
      <c r="AW45" s="70" t="n">
        <f aca="false">SUM(AW30:AW43)+AW44</f>
        <v>54817.843328241</v>
      </c>
      <c r="AX45" s="70" t="n">
        <f aca="false">SUM(AX30:AX43)+AX44</f>
        <v>54979.1699135388</v>
      </c>
      <c r="AY45" s="70" t="n">
        <f aca="false">SUM(AY30:AY43)+AY44</f>
        <v>55140.4836739452</v>
      </c>
      <c r="AZ45" s="70" t="n">
        <f aca="false">SUM(AZ30:AZ43)+AZ44</f>
        <v>55301.7853789537</v>
      </c>
      <c r="BA45" s="70" t="n">
        <f aca="false">SUM(BA30:BA43)+BA44</f>
        <v>55463.0757518882</v>
      </c>
      <c r="BB45" s="64" t="n">
        <f aca="false">SUM(BC45:BN45)</f>
        <v>849239.512915887</v>
      </c>
      <c r="BC45" s="70" t="n">
        <f aca="false">SUM(BC30:BC43)+BC44</f>
        <v>69774.4870216938</v>
      </c>
      <c r="BD45" s="70" t="n">
        <f aca="false">SUM(BD30:BD43)+BD44</f>
        <v>69948.1456313921</v>
      </c>
      <c r="BE45" s="70" t="n">
        <f aca="false">SUM(BE30:BE43)+BE44</f>
        <v>70126.1711945182</v>
      </c>
      <c r="BF45" s="70" t="n">
        <f aca="false">SUM(BF30:BF43)+BF44</f>
        <v>70308.5865036527</v>
      </c>
      <c r="BG45" s="70" t="n">
        <f aca="false">SUM(BG30:BG43)+BG44</f>
        <v>70492.3582102318</v>
      </c>
      <c r="BH45" s="70" t="n">
        <f aca="false">SUM(BH30:BH43)+BH44</f>
        <v>70676.0993363434</v>
      </c>
      <c r="BI45" s="70" t="n">
        <f aca="false">SUM(BI30:BI43)+BI44</f>
        <v>70859.8117168156</v>
      </c>
      <c r="BJ45" s="70" t="n">
        <f aca="false">SUM(BJ30:BJ43)+BJ44</f>
        <v>71043.4970763866</v>
      </c>
      <c r="BK45" s="70" t="n">
        <f aca="false">SUM(BK30:BK43)+BK44</f>
        <v>71227.1570363107</v>
      </c>
      <c r="BL45" s="70" t="n">
        <f aca="false">SUM(BL30:BL43)+BL44</f>
        <v>71410.7931205665</v>
      </c>
      <c r="BM45" s="70" t="n">
        <f aca="false">SUM(BM30:BM43)+BM44</f>
        <v>71594.4067616942</v>
      </c>
      <c r="BN45" s="70" t="n">
        <f aca="false">SUM(BN30:BN43)+BN44</f>
        <v>71777.9993062815</v>
      </c>
    </row>
    <row r="46" customFormat="false" ht="15" hidden="false" customHeight="false" outlineLevel="0" collapsed="false">
      <c r="A46" s="12" t="s">
        <v>836</v>
      </c>
      <c r="B46" s="64" t="n">
        <f aca="false">SUM(C46:N46)</f>
        <v>3222.08333333333</v>
      </c>
      <c r="C46" s="76" t="n">
        <f aca="false">'Depreciation and Amortization'!C$16</f>
        <v>0</v>
      </c>
      <c r="D46" s="76" t="n">
        <f aca="false">'Depreciation and Amortization'!D$16</f>
        <v>251.25</v>
      </c>
      <c r="E46" s="76" t="n">
        <f aca="false">'Depreciation and Amortization'!E$16</f>
        <v>297.083333333333</v>
      </c>
      <c r="F46" s="76" t="n">
        <f aca="false">'Depreciation and Amortization'!F$16</f>
        <v>297.083333333333</v>
      </c>
      <c r="G46" s="76" t="n">
        <f aca="false">'Depreciation and Amortization'!G$16</f>
        <v>297.083333333333</v>
      </c>
      <c r="H46" s="76" t="n">
        <f aca="false">'Depreciation and Amortization'!H$16</f>
        <v>297.083333333333</v>
      </c>
      <c r="I46" s="76" t="n">
        <f aca="false">'Depreciation and Amortization'!I$16</f>
        <v>297.083333333333</v>
      </c>
      <c r="J46" s="76" t="n">
        <f aca="false">'Depreciation and Amortization'!J$16</f>
        <v>297.083333333333</v>
      </c>
      <c r="K46" s="76" t="n">
        <f aca="false">'Depreciation and Amortization'!K$16</f>
        <v>297.083333333333</v>
      </c>
      <c r="L46" s="76" t="n">
        <f aca="false">'Depreciation and Amortization'!L$16</f>
        <v>297.083333333333</v>
      </c>
      <c r="M46" s="76" t="n">
        <f aca="false">'Depreciation and Amortization'!M$16</f>
        <v>297.083333333333</v>
      </c>
      <c r="N46" s="76" t="n">
        <f aca="false">'Depreciation and Amortization'!N$16</f>
        <v>297.083333333333</v>
      </c>
      <c r="O46" s="64" t="n">
        <f aca="false">SUM(P46:AA46)</f>
        <v>4603.125</v>
      </c>
      <c r="P46" s="76" t="n">
        <f aca="false">'Depreciation and Amortization'!P$16</f>
        <v>297.083333333333</v>
      </c>
      <c r="Q46" s="76" t="n">
        <f aca="false">'Depreciation and Amortization'!Q$16</f>
        <v>391.458333333333</v>
      </c>
      <c r="R46" s="76" t="n">
        <f aca="false">'Depreciation and Amortization'!R$16</f>
        <v>391.458333333333</v>
      </c>
      <c r="S46" s="76" t="n">
        <f aca="false">'Depreciation and Amortization'!S$16</f>
        <v>391.458333333333</v>
      </c>
      <c r="T46" s="76" t="n">
        <f aca="false">'Depreciation and Amortization'!T$16</f>
        <v>391.458333333333</v>
      </c>
      <c r="U46" s="76" t="n">
        <f aca="false">'Depreciation and Amortization'!U$16</f>
        <v>391.458333333333</v>
      </c>
      <c r="V46" s="76" t="n">
        <f aca="false">'Depreciation and Amortization'!V$16</f>
        <v>391.458333333333</v>
      </c>
      <c r="W46" s="76" t="n">
        <f aca="false">'Depreciation and Amortization'!W$16</f>
        <v>391.458333333333</v>
      </c>
      <c r="X46" s="76" t="n">
        <f aca="false">'Depreciation and Amortization'!X$16</f>
        <v>391.458333333333</v>
      </c>
      <c r="Y46" s="76" t="n">
        <f aca="false">'Depreciation and Amortization'!Y$16</f>
        <v>391.458333333333</v>
      </c>
      <c r="Z46" s="76" t="n">
        <f aca="false">'Depreciation and Amortization'!Z$16</f>
        <v>391.458333333333</v>
      </c>
      <c r="AA46" s="76" t="n">
        <f aca="false">'Depreciation and Amortization'!AA$16</f>
        <v>391.458333333333</v>
      </c>
      <c r="AB46" s="64" t="n">
        <f aca="false">SUM(AC46:AN46)</f>
        <v>7388.95833333333</v>
      </c>
      <c r="AC46" s="76" t="n">
        <f aca="false">'Depreciation and Amortization'!AC$16</f>
        <v>391.458333333333</v>
      </c>
      <c r="AD46" s="76" t="n">
        <f aca="false">'Depreciation and Amortization'!AD$16</f>
        <v>652.5</v>
      </c>
      <c r="AE46" s="76" t="n">
        <f aca="false">'Depreciation and Amortization'!AE$16</f>
        <v>652.5</v>
      </c>
      <c r="AF46" s="76" t="n">
        <f aca="false">'Depreciation and Amortization'!AF$16</f>
        <v>652.5</v>
      </c>
      <c r="AG46" s="76" t="n">
        <f aca="false">'Depreciation and Amortization'!AG$16</f>
        <v>652.5</v>
      </c>
      <c r="AH46" s="76" t="n">
        <f aca="false">'Depreciation and Amortization'!AH$16</f>
        <v>652.5</v>
      </c>
      <c r="AI46" s="76" t="n">
        <f aca="false">'Depreciation and Amortization'!AI$16</f>
        <v>652.5</v>
      </c>
      <c r="AJ46" s="76" t="n">
        <f aca="false">'Depreciation and Amortization'!AJ$16</f>
        <v>652.5</v>
      </c>
      <c r="AK46" s="76" t="n">
        <f aca="false">'Depreciation and Amortization'!AK$16</f>
        <v>652.5</v>
      </c>
      <c r="AL46" s="76" t="n">
        <f aca="false">'Depreciation and Amortization'!AL$16</f>
        <v>652.5</v>
      </c>
      <c r="AM46" s="76" t="n">
        <f aca="false">'Depreciation and Amortization'!AM$16</f>
        <v>562.5</v>
      </c>
      <c r="AN46" s="76" t="n">
        <f aca="false">'Depreciation and Amortization'!AN$16</f>
        <v>562.5</v>
      </c>
      <c r="AO46" s="64" t="n">
        <f aca="false">SUM(AP46:BA46)</f>
        <v>8524.16666666667</v>
      </c>
      <c r="AP46" s="76" t="n">
        <f aca="false">'Depreciation and Amortization'!AP$16</f>
        <v>562.5</v>
      </c>
      <c r="AQ46" s="76" t="n">
        <f aca="false">'Depreciation and Amortization'!AQ$16</f>
        <v>778.333333333333</v>
      </c>
      <c r="AR46" s="76" t="n">
        <f aca="false">'Depreciation and Amortization'!AR$16</f>
        <v>778.333333333333</v>
      </c>
      <c r="AS46" s="76" t="n">
        <f aca="false">'Depreciation and Amortization'!AS$16</f>
        <v>778.333333333333</v>
      </c>
      <c r="AT46" s="76" t="n">
        <f aca="false">'Depreciation and Amortization'!AT$16</f>
        <v>778.333333333333</v>
      </c>
      <c r="AU46" s="76" t="n">
        <f aca="false">'Depreciation and Amortization'!AU$16</f>
        <v>778.333333333333</v>
      </c>
      <c r="AV46" s="76" t="n">
        <f aca="false">'Depreciation and Amortization'!AV$16</f>
        <v>778.333333333333</v>
      </c>
      <c r="AW46" s="76" t="n">
        <f aca="false">'Depreciation and Amortization'!AW$16</f>
        <v>658.333333333333</v>
      </c>
      <c r="AX46" s="76" t="n">
        <f aca="false">'Depreciation and Amortization'!AX$16</f>
        <v>658.333333333333</v>
      </c>
      <c r="AY46" s="76" t="n">
        <f aca="false">'Depreciation and Amortization'!AY$16</f>
        <v>658.333333333333</v>
      </c>
      <c r="AZ46" s="76" t="n">
        <f aca="false">'Depreciation and Amortization'!AZ$16</f>
        <v>658.333333333333</v>
      </c>
      <c r="BA46" s="76" t="n">
        <f aca="false">'Depreciation and Amortization'!BA$16</f>
        <v>658.333333333333</v>
      </c>
      <c r="BB46" s="64" t="n">
        <f aca="false">SUM(BC46:BN46)</f>
        <v>8745</v>
      </c>
      <c r="BC46" s="76" t="n">
        <f aca="false">'Depreciation and Amortization'!BC$16</f>
        <v>658.333333333333</v>
      </c>
      <c r="BD46" s="76" t="n">
        <f aca="false">'Depreciation and Amortization'!BD$16</f>
        <v>891.666666666667</v>
      </c>
      <c r="BE46" s="76" t="n">
        <f aca="false">'Depreciation and Amortization'!BE$16</f>
        <v>845.833333333333</v>
      </c>
      <c r="BF46" s="76" t="n">
        <f aca="false">'Depreciation and Amortization'!BF$16</f>
        <v>845.833333333333</v>
      </c>
      <c r="BG46" s="76" t="n">
        <f aca="false">'Depreciation and Amortization'!BG$16</f>
        <v>845.833333333333</v>
      </c>
      <c r="BH46" s="76" t="n">
        <f aca="false">'Depreciation and Amortization'!BH$16</f>
        <v>815.833333333333</v>
      </c>
      <c r="BI46" s="76" t="n">
        <f aca="false">'Depreciation and Amortization'!BI$16</f>
        <v>695.833333333333</v>
      </c>
      <c r="BJ46" s="76" t="n">
        <f aca="false">'Depreciation and Amortization'!BJ$16</f>
        <v>695.833333333333</v>
      </c>
      <c r="BK46" s="76" t="n">
        <f aca="false">'Depreciation and Amortization'!BK$16</f>
        <v>695.833333333333</v>
      </c>
      <c r="BL46" s="76" t="n">
        <f aca="false">'Depreciation and Amortization'!BL$16</f>
        <v>695.833333333333</v>
      </c>
      <c r="BM46" s="76" t="n">
        <f aca="false">'Depreciation and Amortization'!BM$16</f>
        <v>695.833333333333</v>
      </c>
      <c r="BN46" s="76" t="n">
        <f aca="false">'Depreciation and Amortization'!BN$16</f>
        <v>362.500000000002</v>
      </c>
    </row>
    <row r="47" customFormat="false" ht="15" hidden="false" customHeight="false" outlineLevel="0" collapsed="false">
      <c r="A47" s="69" t="s">
        <v>837</v>
      </c>
      <c r="B47" s="64" t="n">
        <f aca="false">SUM(C47:N47)</f>
        <v>104680.62542097</v>
      </c>
      <c r="C47" s="70" t="n">
        <f aca="false">C45+C46</f>
        <v>8207.12431964323</v>
      </c>
      <c r="D47" s="70" t="n">
        <f aca="false">D45+D46</f>
        <v>8508.23299066376</v>
      </c>
      <c r="E47" s="70" t="n">
        <f aca="false">E45+E46</f>
        <v>8605.90614439586</v>
      </c>
      <c r="F47" s="70" t="n">
        <f aca="false">F45+F46</f>
        <v>8639.29878808098</v>
      </c>
      <c r="G47" s="70" t="n">
        <f aca="false">G45+G46</f>
        <v>8683.81925565745</v>
      </c>
      <c r="H47" s="70" t="n">
        <f aca="false">H45+H46</f>
        <v>8728.3779151795</v>
      </c>
      <c r="I47" s="70" t="n">
        <f aca="false">I45+I46</f>
        <v>8772.97247513041</v>
      </c>
      <c r="J47" s="70" t="n">
        <f aca="false">J45+J46</f>
        <v>8817.60078148443</v>
      </c>
      <c r="K47" s="70" t="n">
        <f aca="false">K45+K46</f>
        <v>8862.26080945739</v>
      </c>
      <c r="L47" s="70" t="n">
        <f aca="false">L45+L46</f>
        <v>8906.95065575214</v>
      </c>
      <c r="M47" s="70" t="n">
        <f aca="false">M45+M46</f>
        <v>8951.66853126938</v>
      </c>
      <c r="N47" s="70" t="n">
        <f aca="false">N45+N46</f>
        <v>8996.41275425576</v>
      </c>
      <c r="O47" s="64" t="n">
        <f aca="false">SUM(P47:AA47)</f>
        <v>257958.924143698</v>
      </c>
      <c r="P47" s="70" t="n">
        <f aca="false">P45+P46</f>
        <v>21031.1571654712</v>
      </c>
      <c r="Q47" s="70" t="n">
        <f aca="false">Q45+Q46</f>
        <v>21095.3749547798</v>
      </c>
      <c r="R47" s="70" t="n">
        <f aca="false">R45+R46</f>
        <v>21118.6742979911</v>
      </c>
      <c r="S47" s="70" t="n">
        <f aca="false">S45+S46</f>
        <v>21236.3885326198</v>
      </c>
      <c r="T47" s="70" t="n">
        <f aca="false">T45+T46</f>
        <v>21336.8398722319</v>
      </c>
      <c r="U47" s="70" t="n">
        <f aca="false">U45+U46</f>
        <v>21437.2993495732</v>
      </c>
      <c r="V47" s="70" t="n">
        <f aca="false">V45+V46</f>
        <v>21537.76647638</v>
      </c>
      <c r="W47" s="70" t="n">
        <f aca="false">W45+W46</f>
        <v>21636.3896736385</v>
      </c>
      <c r="X47" s="70" t="n">
        <f aca="false">X45+X46</f>
        <v>21734.7310210792</v>
      </c>
      <c r="Y47" s="70" t="n">
        <f aca="false">Y45+Y46</f>
        <v>21833.0787220436</v>
      </c>
      <c r="Z47" s="70" t="n">
        <f aca="false">Z45+Z46</f>
        <v>21931.4323953201</v>
      </c>
      <c r="AA47" s="70" t="n">
        <f aca="false">AA45+AA46</f>
        <v>22029.79168257</v>
      </c>
      <c r="AB47" s="64" t="n">
        <f aca="false">SUM(AC47:AN47)</f>
        <v>462436.795687127</v>
      </c>
      <c r="AC47" s="70" t="n">
        <f aca="false">AC45+AC46</f>
        <v>37487.7839119403</v>
      </c>
      <c r="AD47" s="70" t="n">
        <f aca="false">AD45+AD46</f>
        <v>37860.3002952544</v>
      </c>
      <c r="AE47" s="70" t="n">
        <f aca="false">AE45+AE46</f>
        <v>37987.9947674082</v>
      </c>
      <c r="AF47" s="70" t="n">
        <f aca="false">AF45+AF46</f>
        <v>38143.9076585839</v>
      </c>
      <c r="AG47" s="70" t="n">
        <f aca="false">AG45+AG46</f>
        <v>38312.8228196031</v>
      </c>
      <c r="AH47" s="70" t="n">
        <f aca="false">AH45+AH46</f>
        <v>38478.2568412858</v>
      </c>
      <c r="AI47" s="70" t="n">
        <f aca="false">AI45+AI46</f>
        <v>38643.7307488014</v>
      </c>
      <c r="AJ47" s="70" t="n">
        <f aca="false">AJ45+AJ46</f>
        <v>38809.2421489998</v>
      </c>
      <c r="AK47" s="70" t="n">
        <f aca="false">AK45+AK46</f>
        <v>38974.7887923201</v>
      </c>
      <c r="AL47" s="70" t="n">
        <f aca="false">AL45+AL46</f>
        <v>39140.368564175</v>
      </c>
      <c r="AM47" s="70" t="n">
        <f aca="false">AM45+AM46</f>
        <v>39215.9794768523</v>
      </c>
      <c r="AN47" s="70" t="n">
        <f aca="false">AN45+AN46</f>
        <v>39381.6196619028</v>
      </c>
      <c r="AO47" s="64" t="n">
        <f aca="false">SUM(AP47:BA47)</f>
        <v>663388.880188713</v>
      </c>
      <c r="AP47" s="70" t="n">
        <f aca="false">AP45+AP46</f>
        <v>54222.0995755452</v>
      </c>
      <c r="AQ47" s="70" t="n">
        <f aca="false">AQ45+AQ46</f>
        <v>54615.0670405631</v>
      </c>
      <c r="AR47" s="70" t="n">
        <f aca="false">AR45+AR46</f>
        <v>54786.5343360786</v>
      </c>
      <c r="AS47" s="70" t="n">
        <f aca="false">AS45+AS46</f>
        <v>54950.7248952675</v>
      </c>
      <c r="AT47" s="70" t="n">
        <f aca="false">AT45+AT46</f>
        <v>55112.1115056379</v>
      </c>
      <c r="AU47" s="70" t="n">
        <f aca="false">AU45+AU46</f>
        <v>55273.4816896125</v>
      </c>
      <c r="AV47" s="70" t="n">
        <f aca="false">AV45+AV46</f>
        <v>55434.8364327751</v>
      </c>
      <c r="AW47" s="70" t="n">
        <f aca="false">AW45+AW46</f>
        <v>55476.1766615744</v>
      </c>
      <c r="AX47" s="70" t="n">
        <f aca="false">AX45+AX46</f>
        <v>55637.5032468722</v>
      </c>
      <c r="AY47" s="70" t="n">
        <f aca="false">AY45+AY46</f>
        <v>55798.8170072786</v>
      </c>
      <c r="AZ47" s="70" t="n">
        <f aca="false">AZ45+AZ46</f>
        <v>55960.1187122871</v>
      </c>
      <c r="BA47" s="70" t="n">
        <f aca="false">BA45+BA46</f>
        <v>56121.4090852215</v>
      </c>
      <c r="BB47" s="64" t="n">
        <f aca="false">SUM(BC47:BN47)</f>
        <v>857984.512915887</v>
      </c>
      <c r="BC47" s="70" t="n">
        <f aca="false">BC45+BC46</f>
        <v>70432.8203550271</v>
      </c>
      <c r="BD47" s="70" t="n">
        <f aca="false">BD45+BD46</f>
        <v>70839.8122980588</v>
      </c>
      <c r="BE47" s="70" t="n">
        <f aca="false">BE45+BE46</f>
        <v>70972.0045278516</v>
      </c>
      <c r="BF47" s="70" t="n">
        <f aca="false">BF45+BF46</f>
        <v>71154.4198369861</v>
      </c>
      <c r="BG47" s="70" t="n">
        <f aca="false">BG45+BG46</f>
        <v>71338.1915435652</v>
      </c>
      <c r="BH47" s="70" t="n">
        <f aca="false">BH45+BH46</f>
        <v>71491.9326696768</v>
      </c>
      <c r="BI47" s="70" t="n">
        <f aca="false">BI45+BI46</f>
        <v>71555.6450501489</v>
      </c>
      <c r="BJ47" s="70" t="n">
        <f aca="false">BJ45+BJ46</f>
        <v>71739.3304097199</v>
      </c>
      <c r="BK47" s="70" t="n">
        <f aca="false">BK45+BK46</f>
        <v>71922.990369644</v>
      </c>
      <c r="BL47" s="70" t="n">
        <f aca="false">BL45+BL46</f>
        <v>72106.6264538998</v>
      </c>
      <c r="BM47" s="70" t="n">
        <f aca="false">BM45+BM46</f>
        <v>72290.2400950275</v>
      </c>
      <c r="BN47" s="70" t="n">
        <f aca="false">BN45+BN46</f>
        <v>72140.4993062815</v>
      </c>
    </row>
    <row r="49" customFormat="false" ht="16.5" hidden="false" customHeight="true" outlineLevel="0" collapsed="false">
      <c r="A49" s="15" t="s">
        <v>838</v>
      </c>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row>
    <row r="50" customFormat="false" ht="15" hidden="false" customHeight="true" outlineLevel="0" collapsed="false">
      <c r="A50" s="26" t="s">
        <v>481</v>
      </c>
      <c r="B50" s="61" t="s">
        <v>81</v>
      </c>
      <c r="C50" s="62" t="s">
        <v>482</v>
      </c>
      <c r="D50" s="62" t="s">
        <v>483</v>
      </c>
      <c r="E50" s="62" t="s">
        <v>484</v>
      </c>
      <c r="F50" s="62" t="s">
        <v>485</v>
      </c>
      <c r="G50" s="62" t="s">
        <v>486</v>
      </c>
      <c r="H50" s="62" t="s">
        <v>487</v>
      </c>
      <c r="I50" s="62" t="s">
        <v>488</v>
      </c>
      <c r="J50" s="62" t="s">
        <v>489</v>
      </c>
      <c r="K50" s="62" t="s">
        <v>490</v>
      </c>
      <c r="L50" s="62" t="s">
        <v>491</v>
      </c>
      <c r="M50" s="62" t="s">
        <v>492</v>
      </c>
      <c r="N50" s="62" t="s">
        <v>493</v>
      </c>
      <c r="O50" s="61" t="s">
        <v>82</v>
      </c>
      <c r="P50" s="63" t="s">
        <v>494</v>
      </c>
      <c r="Q50" s="63" t="s">
        <v>495</v>
      </c>
      <c r="R50" s="63" t="s">
        <v>496</v>
      </c>
      <c r="S50" s="63" t="s">
        <v>497</v>
      </c>
      <c r="T50" s="63" t="s">
        <v>498</v>
      </c>
      <c r="U50" s="63" t="s">
        <v>499</v>
      </c>
      <c r="V50" s="63" t="s">
        <v>500</v>
      </c>
      <c r="W50" s="63" t="s">
        <v>501</v>
      </c>
      <c r="X50" s="63" t="s">
        <v>502</v>
      </c>
      <c r="Y50" s="63" t="s">
        <v>503</v>
      </c>
      <c r="Z50" s="63" t="s">
        <v>504</v>
      </c>
      <c r="AA50" s="63" t="s">
        <v>505</v>
      </c>
      <c r="AB50" s="61" t="s">
        <v>83</v>
      </c>
      <c r="AC50" s="62" t="s">
        <v>506</v>
      </c>
      <c r="AD50" s="62" t="s">
        <v>507</v>
      </c>
      <c r="AE50" s="62" t="s">
        <v>508</v>
      </c>
      <c r="AF50" s="62" t="s">
        <v>509</v>
      </c>
      <c r="AG50" s="62" t="s">
        <v>510</v>
      </c>
      <c r="AH50" s="62" t="s">
        <v>511</v>
      </c>
      <c r="AI50" s="62" t="s">
        <v>512</v>
      </c>
      <c r="AJ50" s="62" t="s">
        <v>513</v>
      </c>
      <c r="AK50" s="62" t="s">
        <v>514</v>
      </c>
      <c r="AL50" s="62" t="s">
        <v>515</v>
      </c>
      <c r="AM50" s="62" t="s">
        <v>516</v>
      </c>
      <c r="AN50" s="62" t="s">
        <v>517</v>
      </c>
      <c r="AO50" s="61" t="s">
        <v>84</v>
      </c>
      <c r="AP50" s="63" t="s">
        <v>518</v>
      </c>
      <c r="AQ50" s="63" t="s">
        <v>519</v>
      </c>
      <c r="AR50" s="63" t="s">
        <v>520</v>
      </c>
      <c r="AS50" s="63" t="s">
        <v>521</v>
      </c>
      <c r="AT50" s="63" t="s">
        <v>522</v>
      </c>
      <c r="AU50" s="63" t="s">
        <v>523</v>
      </c>
      <c r="AV50" s="63" t="s">
        <v>524</v>
      </c>
      <c r="AW50" s="63" t="s">
        <v>525</v>
      </c>
      <c r="AX50" s="63" t="s">
        <v>526</v>
      </c>
      <c r="AY50" s="63" t="s">
        <v>527</v>
      </c>
      <c r="AZ50" s="63" t="s">
        <v>528</v>
      </c>
      <c r="BA50" s="63" t="s">
        <v>529</v>
      </c>
      <c r="BB50" s="61" t="s">
        <v>85</v>
      </c>
      <c r="BC50" s="62" t="s">
        <v>530</v>
      </c>
      <c r="BD50" s="62" t="s">
        <v>531</v>
      </c>
      <c r="BE50" s="62" t="s">
        <v>532</v>
      </c>
      <c r="BF50" s="62" t="s">
        <v>533</v>
      </c>
      <c r="BG50" s="62" t="s">
        <v>534</v>
      </c>
      <c r="BH50" s="62" t="s">
        <v>535</v>
      </c>
      <c r="BI50" s="62" t="s">
        <v>536</v>
      </c>
      <c r="BJ50" s="62" t="s">
        <v>537</v>
      </c>
      <c r="BK50" s="62" t="s">
        <v>538</v>
      </c>
      <c r="BL50" s="62" t="s">
        <v>539</v>
      </c>
      <c r="BM50" s="62" t="s">
        <v>540</v>
      </c>
      <c r="BN50" s="62" t="s">
        <v>541</v>
      </c>
    </row>
    <row r="51" customFormat="false" ht="15" hidden="false" customHeight="false" outlineLevel="0" collapsed="false">
      <c r="A51" s="69" t="s">
        <v>90</v>
      </c>
      <c r="B51" s="64" t="n">
        <f aca="false">SUM(C51:N51)</f>
        <v>148424.942390737</v>
      </c>
      <c r="C51" s="70" t="n">
        <f aca="false">C24+C47</f>
        <v>12438.8389251664</v>
      </c>
      <c r="D51" s="70" t="n">
        <f aca="false">D24+D47</f>
        <v>10369.5484548834</v>
      </c>
      <c r="E51" s="70" t="n">
        <f aca="false">E24+E47</f>
        <v>10774.1027967529</v>
      </c>
      <c r="F51" s="70" t="n">
        <f aca="false">F24+F47</f>
        <v>10966.8918316786</v>
      </c>
      <c r="G51" s="70" t="n">
        <f aca="false">G24+G47</f>
        <v>11521.1735104245</v>
      </c>
      <c r="H51" s="70" t="n">
        <f aca="false">H24+H47</f>
        <v>11835.7900354107</v>
      </c>
      <c r="I51" s="70" t="n">
        <f aca="false">I24+I47</f>
        <v>12390.7258948314</v>
      </c>
      <c r="J51" s="70" t="n">
        <f aca="false">J24+J47</f>
        <v>12705.9665075894</v>
      </c>
      <c r="K51" s="70" t="n">
        <f aca="false">K24+K47</f>
        <v>13261.4981674533</v>
      </c>
      <c r="L51" s="70" t="n">
        <f aca="false">L24+L47</f>
        <v>13577.3079905656</v>
      </c>
      <c r="M51" s="70" t="n">
        <f aca="false">M24+M47</f>
        <v>14133.3838661002</v>
      </c>
      <c r="N51" s="70" t="n">
        <f aca="false">N24+N47</f>
        <v>14449.7144098806</v>
      </c>
      <c r="O51" s="64" t="n">
        <f aca="false">SUM(P51:AA51)</f>
        <v>471814.265801075</v>
      </c>
      <c r="P51" s="70" t="n">
        <f aca="false">P24+P47</f>
        <v>37237.1882669224</v>
      </c>
      <c r="Q51" s="70" t="n">
        <f aca="false">Q24+Q47</f>
        <v>35505.7084858595</v>
      </c>
      <c r="R51" s="70" t="n">
        <f aca="false">R24+R47</f>
        <v>35579.2953865689</v>
      </c>
      <c r="S51" s="70" t="n">
        <f aca="false">S24+S47</f>
        <v>36750.9934241167</v>
      </c>
      <c r="T51" s="70" t="n">
        <f aca="false">T24+T47</f>
        <v>37660.7897195647</v>
      </c>
      <c r="U51" s="70" t="n">
        <f aca="false">U24+U47</f>
        <v>38570.7230571149</v>
      </c>
      <c r="V51" s="70" t="n">
        <f aca="false">V24+V47</f>
        <v>39480.7901315974</v>
      </c>
      <c r="W51" s="70" t="n">
        <f aca="false">W24+W47</f>
        <v>40389.1367161065</v>
      </c>
      <c r="X51" s="70" t="n">
        <f aca="false">X24+X47</f>
        <v>41297.3224013544</v>
      </c>
      <c r="Y51" s="70" t="n">
        <f aca="false">Y24+Y47</f>
        <v>42205.6330510051</v>
      </c>
      <c r="Z51" s="70" t="n">
        <f aca="false">Z24+Z47</f>
        <v>43114.0660845507</v>
      </c>
      <c r="AA51" s="70" t="n">
        <f aca="false">AA24+AA47</f>
        <v>44022.6190763136</v>
      </c>
      <c r="AB51" s="64" t="n">
        <f aca="false">SUM(AC51:AN51)</f>
        <v>871339.033943695</v>
      </c>
      <c r="AC51" s="70" t="n">
        <f aca="false">AC24+AC47</f>
        <v>64350.7170955743</v>
      </c>
      <c r="AD51" s="70" t="n">
        <f aca="false">AD24+AD47</f>
        <v>65676.2290162862</v>
      </c>
      <c r="AE51" s="70" t="n">
        <f aca="false">AE24+AE47</f>
        <v>66884.3123304393</v>
      </c>
      <c r="AF51" s="70" t="n">
        <f aca="false">AF24+AF47</f>
        <v>68515.7363923023</v>
      </c>
      <c r="AG51" s="70" t="n">
        <f aca="false">AG24+AG47</f>
        <v>70021.0894200876</v>
      </c>
      <c r="AH51" s="70" t="n">
        <f aca="false">AH24+AH47</f>
        <v>71763.3253674279</v>
      </c>
      <c r="AI51" s="70" t="n">
        <f aca="false">AI24+AI47</f>
        <v>73265.9505715834</v>
      </c>
      <c r="AJ51" s="70" t="n">
        <f aca="false">AJ24+AJ47</f>
        <v>75008.9488327697</v>
      </c>
      <c r="AK51" s="70" t="n">
        <f aca="false">AK24+AK47</f>
        <v>76512.3049231895</v>
      </c>
      <c r="AL51" s="70" t="n">
        <f aca="false">AL24+AL47</f>
        <v>78256.0045287133</v>
      </c>
      <c r="AM51" s="70" t="n">
        <f aca="false">AM24+AM47</f>
        <v>79670.0341940593</v>
      </c>
      <c r="AN51" s="70" t="n">
        <f aca="false">AN24+AN47</f>
        <v>81414.3812712627</v>
      </c>
      <c r="AO51" s="64" t="n">
        <f aca="false">SUM(AP51:BA51)</f>
        <v>1342250.850233</v>
      </c>
      <c r="AP51" s="70" t="n">
        <f aca="false">AP24+AP47</f>
        <v>102456.915078629</v>
      </c>
      <c r="AQ51" s="70" t="n">
        <f aca="false">AQ24+AQ47</f>
        <v>104582.980476673</v>
      </c>
      <c r="AR51" s="70" t="n">
        <f aca="false">AR24+AR47</f>
        <v>106193.797277615</v>
      </c>
      <c r="AS51" s="70" t="n">
        <f aca="false">AS24+AS47</f>
        <v>107845.650592573</v>
      </c>
      <c r="AT51" s="70" t="n">
        <f aca="false">AT24+AT47</f>
        <v>109594.950146727</v>
      </c>
      <c r="AU51" s="70" t="n">
        <f aca="false">AU24+AU47</f>
        <v>111104.139295661</v>
      </c>
      <c r="AV51" s="70" t="n">
        <f aca="false">AV24+AV47</f>
        <v>112733.224711018</v>
      </c>
      <c r="AW51" s="70" t="n">
        <f aca="false">AW24+AW47</f>
        <v>114362.212664144</v>
      </c>
      <c r="AX51" s="70" t="n">
        <f aca="false">AX24+AX47</f>
        <v>115871.109050102</v>
      </c>
      <c r="AY51" s="70" t="n">
        <f aca="false">AY24+AY47</f>
        <v>117499.919410255</v>
      </c>
      <c r="AZ51" s="70" t="n">
        <f aca="false">AZ24+AZ47</f>
        <v>119248.648953479</v>
      </c>
      <c r="BA51" s="70" t="n">
        <f aca="false">BA24+BA47</f>
        <v>120757.302576123</v>
      </c>
      <c r="BB51" s="64" t="n">
        <f aca="false">SUM(BC51:BN51)</f>
        <v>1840464.30284046</v>
      </c>
      <c r="BC51" s="70" t="n">
        <f aca="false">BC24+BC47</f>
        <v>143047.648700054</v>
      </c>
      <c r="BD51" s="70" t="n">
        <f aca="false">BD24+BD47</f>
        <v>144958.617492022</v>
      </c>
      <c r="BE51" s="70" t="n">
        <f aca="false">BE24+BE47</f>
        <v>146759.747971631</v>
      </c>
      <c r="BF51" s="70" t="n">
        <f aca="false">BF24+BF47</f>
        <v>148774.481286541</v>
      </c>
      <c r="BG51" s="70" t="n">
        <f aca="false">BG24+BG47</f>
        <v>150560.122860909</v>
      </c>
      <c r="BH51" s="70" t="n">
        <f aca="false">BH24+BH47</f>
        <v>152555.60632842</v>
      </c>
      <c r="BI51" s="70" t="n">
        <f aca="false">BI24+BI47</f>
        <v>154220.944109449</v>
      </c>
      <c r="BJ51" s="70" t="n">
        <f aca="false">BJ24+BJ47</f>
        <v>156246.147879148</v>
      </c>
      <c r="BK51" s="70" t="n">
        <f aca="false">BK24+BK47</f>
        <v>158031.228612159</v>
      </c>
      <c r="BL51" s="70" t="n">
        <f aca="false">BL24+BL47</f>
        <v>159936.196624648</v>
      </c>
      <c r="BM51" s="70" t="n">
        <f aca="false">BM24+BM47</f>
        <v>161961.061613809</v>
      </c>
      <c r="BN51" s="70" t="n">
        <f aca="false">BN24+BN47</f>
        <v>163412.49936167</v>
      </c>
    </row>
    <row r="52" customFormat="false" ht="15" hidden="false" customHeight="false" outlineLevel="0" collapsed="false">
      <c r="A52" s="66" t="s">
        <v>88</v>
      </c>
      <c r="B52" s="67" t="n">
        <f aca="false">SUM(C52:N52)</f>
        <v>-41615.4727485801</v>
      </c>
      <c r="C52" s="68" t="n">
        <f aca="false">C25-C45</f>
        <v>-9941.83303895547</v>
      </c>
      <c r="D52" s="68" t="n">
        <f aca="false">D25-D45</f>
        <v>-6133.60572412825</v>
      </c>
      <c r="E52" s="68" t="n">
        <f aca="false">E25-E45</f>
        <v>-5259.62692476886</v>
      </c>
      <c r="F52" s="68" t="n">
        <f aca="false">F25-F45</f>
        <v>-4656.68779215291</v>
      </c>
      <c r="G52" s="68" t="n">
        <f aca="false">G25-G45</f>
        <v>-4166.88474743423</v>
      </c>
      <c r="H52" s="68" t="n">
        <f aca="false">H25-H45</f>
        <v>-3435.23608761347</v>
      </c>
      <c r="I52" s="68" t="n">
        <f aca="false">I25-I45</f>
        <v>-2941.72630088505</v>
      </c>
      <c r="J52" s="68" t="n">
        <f aca="false">J25-J45</f>
        <v>-2206.3408061517</v>
      </c>
      <c r="K52" s="68" t="n">
        <f aca="false">K25-K45</f>
        <v>-1709.06589718199</v>
      </c>
      <c r="L52" s="68" t="n">
        <f aca="false">L25-L45</f>
        <v>-969.888690118416</v>
      </c>
      <c r="M52" s="68" t="n">
        <f aca="false">M25-M45</f>
        <v>-468.797074134875</v>
      </c>
      <c r="N52" s="68" t="n">
        <f aca="false">N25-N45</f>
        <v>274.220334945159</v>
      </c>
      <c r="O52" s="67" t="n">
        <f aca="false">SUM(P52:AA52)</f>
        <v>130894.566571157</v>
      </c>
      <c r="P52" s="68" t="n">
        <f aca="false">P25-P45</f>
        <v>3834.95272898919</v>
      </c>
      <c r="Q52" s="68" t="n">
        <f aca="false">Q25-Q45</f>
        <v>4928.2354178664</v>
      </c>
      <c r="R52" s="68" t="n">
        <f aca="false">R25-R45</f>
        <v>5405.72304567433</v>
      </c>
      <c r="S52" s="68" t="n">
        <f aca="false">S25-S45</f>
        <v>7033.22423707296</v>
      </c>
      <c r="T52" s="68" t="n">
        <f aca="false">T25-T45</f>
        <v>8531.75916803873</v>
      </c>
      <c r="U52" s="68" t="n">
        <f aca="false">U25-U45</f>
        <v>10032.4986550573</v>
      </c>
      <c r="V52" s="68" t="n">
        <f aca="false">V25-V45</f>
        <v>11535.4460032986</v>
      </c>
      <c r="W52" s="68" t="n">
        <f aca="false">W25-W45</f>
        <v>12997.9573616446</v>
      </c>
      <c r="X52" s="68" t="n">
        <f aca="false">X25-X45</f>
        <v>14456.0335038152</v>
      </c>
      <c r="Y52" s="68" t="n">
        <f aca="false">Y25-Y45</f>
        <v>15916.3262797378</v>
      </c>
      <c r="Z52" s="68" t="n">
        <f aca="false">Z25-Z45</f>
        <v>17378.8382699207</v>
      </c>
      <c r="AA52" s="68" t="n">
        <f aca="false">AA25-AA45</f>
        <v>18843.5719000412</v>
      </c>
      <c r="AB52" s="67" t="n">
        <f aca="false">SUM(AC52:AN52)</f>
        <v>221704.300510058</v>
      </c>
      <c r="AC52" s="68" t="n">
        <f aca="false">AC25-AC45</f>
        <v>6907.32856180622</v>
      </c>
      <c r="AD52" s="68" t="n">
        <f aca="false">AD25-AD45</f>
        <v>8498.09445239657</v>
      </c>
      <c r="AE52" s="68" t="n">
        <f aca="false">AE25-AE45</f>
        <v>10329.492801248</v>
      </c>
      <c r="AF52" s="68" t="n">
        <f aca="false">AF25-AF45</f>
        <v>12410.1115432819</v>
      </c>
      <c r="AG52" s="68" t="n">
        <f aca="false">AG25-AG45</f>
        <v>14913.9234647163</v>
      </c>
      <c r="AH52" s="68" t="n">
        <f aca="false">AH25-AH45</f>
        <v>17099.5586791081</v>
      </c>
      <c r="AI52" s="68" t="n">
        <f aca="false">AI25-AI45</f>
        <v>19528.2120769256</v>
      </c>
      <c r="AJ52" s="68" t="n">
        <f aca="false">AJ25-AJ45</f>
        <v>21719.8998579531</v>
      </c>
      <c r="AK52" s="68" t="n">
        <f aca="false">AK25-AK45</f>
        <v>24154.6372499881</v>
      </c>
      <c r="AL52" s="68" t="n">
        <f aca="false">AL25-AL45</f>
        <v>26352.4385671599</v>
      </c>
      <c r="AM52" s="68" t="n">
        <f aca="false">AM25-AM45</f>
        <v>28793.3172647504</v>
      </c>
      <c r="AN52" s="68" t="n">
        <f aca="false">AN25-AN45</f>
        <v>30997.2859907244</v>
      </c>
      <c r="AO52" s="67" t="n">
        <f aca="false">SUM(AP52:BA52)</f>
        <v>425945.229464403</v>
      </c>
      <c r="AP52" s="68" t="n">
        <f aca="false">AP25-AP45</f>
        <v>22937.1844534925</v>
      </c>
      <c r="AQ52" s="68" t="n">
        <f aca="false">AQ25-AQ45</f>
        <v>25252.2739224774</v>
      </c>
      <c r="AR52" s="68" t="n">
        <f aca="false">AR25-AR45</f>
        <v>27735.0873520238</v>
      </c>
      <c r="AS52" s="68" t="n">
        <f aca="false">AS25-AS45</f>
        <v>30006.7614995248</v>
      </c>
      <c r="AT52" s="68" t="n">
        <f aca="false">AT25-AT45</f>
        <v>32117.5796977082</v>
      </c>
      <c r="AU52" s="68" t="n">
        <f aca="false">AU25-AU45</f>
        <v>34468.5308394865</v>
      </c>
      <c r="AV52" s="68" t="n">
        <f aca="false">AV25-AV45</f>
        <v>36699.608253216</v>
      </c>
      <c r="AW52" s="68" t="n">
        <f aca="false">AW25-AW45</f>
        <v>38810.8056675515</v>
      </c>
      <c r="AX52" s="68" t="n">
        <f aca="false">AX25-AX45</f>
        <v>41162.1171874284</v>
      </c>
      <c r="AY52" s="68" t="n">
        <f aca="false">AY25-AY45</f>
        <v>43393.5372714863</v>
      </c>
      <c r="AZ52" s="68" t="n">
        <f aca="false">AZ25-AZ45</f>
        <v>45505.0607108461</v>
      </c>
      <c r="BA52" s="68" t="n">
        <f aca="false">BA25-BA45</f>
        <v>47856.6826091616</v>
      </c>
      <c r="BB52" s="67" t="n">
        <f aca="false">SUM(BC52:BN52)</f>
        <v>651379.787875621</v>
      </c>
      <c r="BC52" s="68" t="n">
        <f aca="false">BC25-BC45</f>
        <v>40743.056200408</v>
      </c>
      <c r="BD52" s="68" t="n">
        <f aca="false">BD25-BD45</f>
        <v>43211.8716493175</v>
      </c>
      <c r="BE52" s="68" t="n">
        <f aca="false">BE25-BE45</f>
        <v>45616.8723922973</v>
      </c>
      <c r="BF52" s="68" t="n">
        <f aca="false">BF25-BF45</f>
        <v>47959.3204115918</v>
      </c>
      <c r="BG52" s="68" t="n">
        <f aca="false">BG25-BG45</f>
        <v>50563.9020549056</v>
      </c>
      <c r="BH52" s="68" t="n">
        <f aca="false">BH25-BH45</f>
        <v>52930.0389303612</v>
      </c>
      <c r="BI52" s="68" t="n">
        <f aca="false">BI25-BI45</f>
        <v>55537.7186175841</v>
      </c>
      <c r="BJ52" s="68" t="n">
        <f aca="false">BJ25-BJ45</f>
        <v>57906.9294414222</v>
      </c>
      <c r="BK52" s="68" t="n">
        <f aca="false">BK25-BK45</f>
        <v>60517.6604272327</v>
      </c>
      <c r="BL52" s="68" t="n">
        <f aca="false">BL25-BL45</f>
        <v>63009.9012588512</v>
      </c>
      <c r="BM52" s="68" t="n">
        <f aca="false">BM25-BM45</f>
        <v>65383.6422390832</v>
      </c>
      <c r="BN52" s="68" t="n">
        <f aca="false">BN25-BN45</f>
        <v>67998.874252566</v>
      </c>
    </row>
    <row r="53" customFormat="false" ht="15" hidden="false" customHeight="false" outlineLevel="0" collapsed="false">
      <c r="A53" s="66" t="s">
        <v>839</v>
      </c>
      <c r="B53" s="67" t="n">
        <f aca="false">SUM(C53:N53)</f>
        <v>-44837.5560819134</v>
      </c>
      <c r="C53" s="68" t="n">
        <f aca="false">C52-C46</f>
        <v>-9941.83303895547</v>
      </c>
      <c r="D53" s="68" t="n">
        <f aca="false">D52-D46</f>
        <v>-6384.85572412825</v>
      </c>
      <c r="E53" s="68" t="n">
        <f aca="false">E52-E46</f>
        <v>-5556.7102581022</v>
      </c>
      <c r="F53" s="68" t="n">
        <f aca="false">F52-F46</f>
        <v>-4953.77112548624</v>
      </c>
      <c r="G53" s="68" t="n">
        <f aca="false">G52-G46</f>
        <v>-4463.96808076756</v>
      </c>
      <c r="H53" s="68" t="n">
        <f aca="false">H52-H46</f>
        <v>-3732.3194209468</v>
      </c>
      <c r="I53" s="68" t="n">
        <f aca="false">I52-I46</f>
        <v>-3238.80963421838</v>
      </c>
      <c r="J53" s="68" t="n">
        <f aca="false">J52-J46</f>
        <v>-2503.42413948503</v>
      </c>
      <c r="K53" s="68" t="n">
        <f aca="false">K52-K46</f>
        <v>-2006.14923051533</v>
      </c>
      <c r="L53" s="68" t="n">
        <f aca="false">L52-L46</f>
        <v>-1266.97202345175</v>
      </c>
      <c r="M53" s="68" t="n">
        <f aca="false">M52-M46</f>
        <v>-765.880407468208</v>
      </c>
      <c r="N53" s="68" t="n">
        <f aca="false">N52-N46</f>
        <v>-22.8629983881741</v>
      </c>
      <c r="O53" s="67" t="n">
        <f aca="false">SUM(P53:AA53)</f>
        <v>126291.441571157</v>
      </c>
      <c r="P53" s="68" t="n">
        <f aca="false">P52-P46</f>
        <v>3537.86939565586</v>
      </c>
      <c r="Q53" s="68" t="n">
        <f aca="false">Q52-Q46</f>
        <v>4536.77708453307</v>
      </c>
      <c r="R53" s="68" t="n">
        <f aca="false">R52-R46</f>
        <v>5014.26471234099</v>
      </c>
      <c r="S53" s="68" t="n">
        <f aca="false">S52-S46</f>
        <v>6641.76590373962</v>
      </c>
      <c r="T53" s="68" t="n">
        <f aca="false">T52-T46</f>
        <v>8140.30083470539</v>
      </c>
      <c r="U53" s="68" t="n">
        <f aca="false">U52-U46</f>
        <v>9641.04032172393</v>
      </c>
      <c r="V53" s="68" t="n">
        <f aca="false">V52-V46</f>
        <v>11143.9876699652</v>
      </c>
      <c r="W53" s="68" t="n">
        <f aca="false">W52-W46</f>
        <v>12606.4990283113</v>
      </c>
      <c r="X53" s="68" t="n">
        <f aca="false">X52-X46</f>
        <v>14064.5751704818</v>
      </c>
      <c r="Y53" s="68" t="n">
        <f aca="false">Y52-Y46</f>
        <v>15524.8679464045</v>
      </c>
      <c r="Z53" s="68" t="n">
        <f aca="false">Z52-Z46</f>
        <v>16987.3799365873</v>
      </c>
      <c r="AA53" s="68" t="n">
        <f aca="false">AA52-AA46</f>
        <v>18452.1135667079</v>
      </c>
      <c r="AB53" s="67" t="n">
        <f aca="false">SUM(AC53:AN53)</f>
        <v>214315.342176725</v>
      </c>
      <c r="AC53" s="68" t="n">
        <f aca="false">AC52-AC46</f>
        <v>6515.87022847288</v>
      </c>
      <c r="AD53" s="68" t="n">
        <f aca="false">AD52-AD46</f>
        <v>7845.59445239657</v>
      </c>
      <c r="AE53" s="68" t="n">
        <f aca="false">AE52-AE46</f>
        <v>9676.99280124802</v>
      </c>
      <c r="AF53" s="68" t="n">
        <f aca="false">AF52-AF46</f>
        <v>11757.6115432819</v>
      </c>
      <c r="AG53" s="68" t="n">
        <f aca="false">AG52-AG46</f>
        <v>14261.4234647163</v>
      </c>
      <c r="AH53" s="68" t="n">
        <f aca="false">AH52-AH46</f>
        <v>16447.0586791081</v>
      </c>
      <c r="AI53" s="68" t="n">
        <f aca="false">AI52-AI46</f>
        <v>18875.7120769256</v>
      </c>
      <c r="AJ53" s="68" t="n">
        <f aca="false">AJ52-AJ46</f>
        <v>21067.3998579531</v>
      </c>
      <c r="AK53" s="68" t="n">
        <f aca="false">AK52-AK46</f>
        <v>23502.1372499881</v>
      </c>
      <c r="AL53" s="68" t="n">
        <f aca="false">AL52-AL46</f>
        <v>25699.9385671599</v>
      </c>
      <c r="AM53" s="68" t="n">
        <f aca="false">AM52-AM46</f>
        <v>28230.8172647504</v>
      </c>
      <c r="AN53" s="68" t="n">
        <f aca="false">AN52-AN46</f>
        <v>30434.7859907244</v>
      </c>
      <c r="AO53" s="67" t="n">
        <f aca="false">SUM(AP53:BA53)</f>
        <v>417421.062797736</v>
      </c>
      <c r="AP53" s="68" t="n">
        <f aca="false">AP52-AP46</f>
        <v>22374.6844534925</v>
      </c>
      <c r="AQ53" s="68" t="n">
        <f aca="false">AQ52-AQ46</f>
        <v>24473.9405891441</v>
      </c>
      <c r="AR53" s="68" t="n">
        <f aca="false">AR52-AR46</f>
        <v>26956.7540186904</v>
      </c>
      <c r="AS53" s="68" t="n">
        <f aca="false">AS52-AS46</f>
        <v>29228.4281661914</v>
      </c>
      <c r="AT53" s="68" t="n">
        <f aca="false">AT52-AT46</f>
        <v>31339.2463643748</v>
      </c>
      <c r="AU53" s="68" t="n">
        <f aca="false">AU52-AU46</f>
        <v>33690.1975061532</v>
      </c>
      <c r="AV53" s="68" t="n">
        <f aca="false">AV52-AV46</f>
        <v>35921.2749198826</v>
      </c>
      <c r="AW53" s="68" t="n">
        <f aca="false">AW52-AW46</f>
        <v>38152.4723342181</v>
      </c>
      <c r="AX53" s="68" t="n">
        <f aca="false">AX52-AX46</f>
        <v>40503.7838540951</v>
      </c>
      <c r="AY53" s="68" t="n">
        <f aca="false">AY52-AY46</f>
        <v>42735.203938153</v>
      </c>
      <c r="AZ53" s="68" t="n">
        <f aca="false">AZ52-AZ46</f>
        <v>44846.7273775128</v>
      </c>
      <c r="BA53" s="68" t="n">
        <f aca="false">BA52-BA46</f>
        <v>47198.3492758282</v>
      </c>
      <c r="BB53" s="67" t="n">
        <f aca="false">SUM(BC53:BN53)</f>
        <v>642634.787875621</v>
      </c>
      <c r="BC53" s="68" t="n">
        <f aca="false">BC52-BC46</f>
        <v>40084.7228670747</v>
      </c>
      <c r="BD53" s="68" t="n">
        <f aca="false">BD52-BD46</f>
        <v>42320.2049826509</v>
      </c>
      <c r="BE53" s="68" t="n">
        <f aca="false">BE52-BE46</f>
        <v>44771.0390589639</v>
      </c>
      <c r="BF53" s="68" t="n">
        <f aca="false">BF52-BF46</f>
        <v>47113.4870782584</v>
      </c>
      <c r="BG53" s="68" t="n">
        <f aca="false">BG52-BG46</f>
        <v>49718.0687215723</v>
      </c>
      <c r="BH53" s="68" t="n">
        <f aca="false">BH52-BH46</f>
        <v>52114.2055970278</v>
      </c>
      <c r="BI53" s="68" t="n">
        <f aca="false">BI52-BI46</f>
        <v>54841.8852842507</v>
      </c>
      <c r="BJ53" s="68" t="n">
        <f aca="false">BJ52-BJ46</f>
        <v>57211.0961080888</v>
      </c>
      <c r="BK53" s="68" t="n">
        <f aca="false">BK52-BK46</f>
        <v>59821.8270938993</v>
      </c>
      <c r="BL53" s="68" t="n">
        <f aca="false">BL52-BL46</f>
        <v>62314.0679255179</v>
      </c>
      <c r="BM53" s="68" t="n">
        <f aca="false">BM52-BM46</f>
        <v>64687.8089057499</v>
      </c>
      <c r="BN53" s="68" t="n">
        <f aca="false">BN52-BN46</f>
        <v>67636.374252566</v>
      </c>
    </row>
    <row r="54" customFormat="false" ht="15" hidden="false" customHeight="false" outlineLevel="0" collapsed="false">
      <c r="A54" s="12" t="s">
        <v>840</v>
      </c>
      <c r="B54" s="64" t="n">
        <f aca="false">SUM(C54:N54)</f>
        <v>40474.542087637</v>
      </c>
      <c r="C54" s="65" t="n">
        <f aca="false">C45-Payroll!C$45</f>
        <v>3125.12431964323</v>
      </c>
      <c r="D54" s="65" t="n">
        <f aca="false">D45-Payroll!D$45</f>
        <v>3174.98299066376</v>
      </c>
      <c r="E54" s="65" t="n">
        <f aca="false">E45-Payroll!E$45</f>
        <v>3226.82281106253</v>
      </c>
      <c r="F54" s="65" t="n">
        <f aca="false">F45-Payroll!F$45</f>
        <v>3260.21545474765</v>
      </c>
      <c r="G54" s="65" t="n">
        <f aca="false">G45-Payroll!G$45</f>
        <v>3304.73592232412</v>
      </c>
      <c r="H54" s="65" t="n">
        <f aca="false">H45-Payroll!H$45</f>
        <v>3349.29458184617</v>
      </c>
      <c r="I54" s="65" t="n">
        <f aca="false">I45-Payroll!I$45</f>
        <v>3393.88914179708</v>
      </c>
      <c r="J54" s="65" t="n">
        <f aca="false">J45-Payroll!J$45</f>
        <v>3438.5174481511</v>
      </c>
      <c r="K54" s="65" t="n">
        <f aca="false">K45-Payroll!K$45</f>
        <v>3483.17747612405</v>
      </c>
      <c r="L54" s="65" t="n">
        <f aca="false">L45-Payroll!L$45</f>
        <v>3527.8673224188</v>
      </c>
      <c r="M54" s="65" t="n">
        <f aca="false">M45-Payroll!M$45</f>
        <v>3572.58519793605</v>
      </c>
      <c r="N54" s="65" t="n">
        <f aca="false">N45-Payroll!N$45</f>
        <v>3617.32942092243</v>
      </c>
      <c r="O54" s="64" t="n">
        <f aca="false">SUM(P54:AA54)</f>
        <v>125843.799143698</v>
      </c>
      <c r="P54" s="65" t="n">
        <f aca="false">P45-Payroll!P$45</f>
        <v>10108.0738321378</v>
      </c>
      <c r="Q54" s="65" t="n">
        <f aca="false">Q45-Payroll!Q$45</f>
        <v>10077.9166214465</v>
      </c>
      <c r="R54" s="65" t="n">
        <f aca="false">R45-Payroll!R$45</f>
        <v>10101.2159646578</v>
      </c>
      <c r="S54" s="65" t="n">
        <f aca="false">S45-Payroll!S$45</f>
        <v>10218.9301992865</v>
      </c>
      <c r="T54" s="65" t="n">
        <f aca="false">T45-Payroll!T$45</f>
        <v>10319.3815388986</v>
      </c>
      <c r="U54" s="65" t="n">
        <f aca="false">U45-Payroll!U$45</f>
        <v>10419.8410162399</v>
      </c>
      <c r="V54" s="65" t="n">
        <f aca="false">V45-Payroll!V$45</f>
        <v>10520.3081430467</v>
      </c>
      <c r="W54" s="65" t="n">
        <f aca="false">W45-Payroll!W$45</f>
        <v>10618.9313403052</v>
      </c>
      <c r="X54" s="65" t="n">
        <f aca="false">X45-Payroll!X$45</f>
        <v>10717.2726877459</v>
      </c>
      <c r="Y54" s="65" t="n">
        <f aca="false">Y45-Payroll!Y$45</f>
        <v>10815.6203887102</v>
      </c>
      <c r="Z54" s="65" t="n">
        <f aca="false">Z45-Payroll!Z$45</f>
        <v>10913.9740619867</v>
      </c>
      <c r="AA54" s="65" t="n">
        <f aca="false">AA45-Payroll!AA$45</f>
        <v>11012.3333492367</v>
      </c>
      <c r="AB54" s="64" t="n">
        <f aca="false">SUM(AC54:AN54)</f>
        <v>238831.837353794</v>
      </c>
      <c r="AC54" s="65" t="n">
        <f aca="false">AC45-Payroll!AC$45</f>
        <v>19078.3255786069</v>
      </c>
      <c r="AD54" s="65" t="n">
        <f aca="false">AD45-Payroll!AD$45</f>
        <v>19189.8002952544</v>
      </c>
      <c r="AE54" s="65" t="n">
        <f aca="false">AE45-Payroll!AE$45</f>
        <v>19317.4947674082</v>
      </c>
      <c r="AF54" s="65" t="n">
        <f aca="false">AF45-Payroll!AF$45</f>
        <v>19473.4076585839</v>
      </c>
      <c r="AG54" s="65" t="n">
        <f aca="false">AG45-Payroll!AG$45</f>
        <v>19642.3228196031</v>
      </c>
      <c r="AH54" s="65" t="n">
        <f aca="false">AH45-Payroll!AH$45</f>
        <v>19807.7568412858</v>
      </c>
      <c r="AI54" s="65" t="n">
        <f aca="false">AI45-Payroll!AI$45</f>
        <v>19973.2307488014</v>
      </c>
      <c r="AJ54" s="65" t="n">
        <f aca="false">AJ45-Payroll!AJ$45</f>
        <v>20138.7421489998</v>
      </c>
      <c r="AK54" s="65" t="n">
        <f aca="false">AK45-Payroll!AK$45</f>
        <v>20304.2887923201</v>
      </c>
      <c r="AL54" s="65" t="n">
        <f aca="false">AL45-Payroll!AL$45</f>
        <v>20469.868564175</v>
      </c>
      <c r="AM54" s="65" t="n">
        <f aca="false">AM45-Payroll!AM$45</f>
        <v>20635.4794768523</v>
      </c>
      <c r="AN54" s="65" t="n">
        <f aca="false">AN45-Payroll!AN$45</f>
        <v>20801.1196619028</v>
      </c>
      <c r="AO54" s="64" t="n">
        <f aca="false">SUM(AP54:BA54)</f>
        <v>356874.713522047</v>
      </c>
      <c r="AP54" s="65" t="n">
        <f aca="false">AP45-Payroll!AP$45</f>
        <v>28827.0995755452</v>
      </c>
      <c r="AQ54" s="65" t="n">
        <f aca="false">AQ45-Payroll!AQ$45</f>
        <v>29004.2337072297</v>
      </c>
      <c r="AR54" s="65" t="n">
        <f aca="false">AR45-Payroll!AR$45</f>
        <v>29175.7010027452</v>
      </c>
      <c r="AS54" s="65" t="n">
        <f aca="false">AS45-Payroll!AS$45</f>
        <v>29339.8915619342</v>
      </c>
      <c r="AT54" s="65" t="n">
        <f aca="false">AT45-Payroll!AT$45</f>
        <v>29501.2781723045</v>
      </c>
      <c r="AU54" s="65" t="n">
        <f aca="false">AU45-Payroll!AU$45</f>
        <v>29662.6483562791</v>
      </c>
      <c r="AV54" s="65" t="n">
        <f aca="false">AV45-Payroll!AV$45</f>
        <v>29824.0030994417</v>
      </c>
      <c r="AW54" s="65" t="n">
        <f aca="false">AW45-Payroll!AW$45</f>
        <v>29985.343328241</v>
      </c>
      <c r="AX54" s="65" t="n">
        <f aca="false">AX45-Payroll!AX$45</f>
        <v>30146.6699135388</v>
      </c>
      <c r="AY54" s="65" t="n">
        <f aca="false">AY45-Payroll!AY$45</f>
        <v>30307.9836739452</v>
      </c>
      <c r="AZ54" s="65" t="n">
        <f aca="false">AZ45-Payroll!AZ$45</f>
        <v>30469.2853789537</v>
      </c>
      <c r="BA54" s="65" t="n">
        <f aca="false">BA45-Payroll!BA$45</f>
        <v>30630.5757518882</v>
      </c>
      <c r="BB54" s="64" t="n">
        <f aca="false">SUM(BC54:BN54)</f>
        <v>475019.512915887</v>
      </c>
      <c r="BC54" s="65" t="n">
        <f aca="false">BC45-Payroll!BC$45</f>
        <v>38589.4870216938</v>
      </c>
      <c r="BD54" s="65" t="n">
        <f aca="false">BD45-Payroll!BD$45</f>
        <v>38763.1456313921</v>
      </c>
      <c r="BE54" s="65" t="n">
        <f aca="false">BE45-Payroll!BE$45</f>
        <v>38941.1711945182</v>
      </c>
      <c r="BF54" s="65" t="n">
        <f aca="false">BF45-Payroll!BF$45</f>
        <v>39123.5865036527</v>
      </c>
      <c r="BG54" s="65" t="n">
        <f aca="false">BG45-Payroll!BG$45</f>
        <v>39307.3582102318</v>
      </c>
      <c r="BH54" s="65" t="n">
        <f aca="false">BH45-Payroll!BH$45</f>
        <v>39491.0993363434</v>
      </c>
      <c r="BI54" s="65" t="n">
        <f aca="false">BI45-Payroll!BI$45</f>
        <v>39674.8117168156</v>
      </c>
      <c r="BJ54" s="65" t="n">
        <f aca="false">BJ45-Payroll!BJ$45</f>
        <v>39858.4970763866</v>
      </c>
      <c r="BK54" s="65" t="n">
        <f aca="false">BK45-Payroll!BK$45</f>
        <v>40042.1570363107</v>
      </c>
      <c r="BL54" s="65" t="n">
        <f aca="false">BL45-Payroll!BL$45</f>
        <v>40225.7931205665</v>
      </c>
      <c r="BM54" s="65" t="n">
        <f aca="false">BM45-Payroll!BM$45</f>
        <v>40409.4067616942</v>
      </c>
      <c r="BN54" s="65" t="n">
        <f aca="false">BN45-Payroll!BN$45</f>
        <v>40592.9993062815</v>
      </c>
    </row>
    <row r="56" customFormat="false" ht="15" hidden="false" customHeight="false" outlineLevel="0" collapsed="false">
      <c r="A56" s="113" t="s">
        <v>841</v>
      </c>
      <c r="B56" s="19" t="n">
        <f aca="false">B51</f>
        <v>148424.942390737</v>
      </c>
      <c r="C56" s="22" t="s">
        <v>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56</v>
      </c>
    </row>
    <row r="3" customFormat="false" ht="15" hidden="false" customHeight="false" outlineLevel="0" collapsed="false">
      <c r="B3" s="3"/>
      <c r="C3" s="3"/>
    </row>
    <row r="5" customFormat="false" ht="30" hidden="false" customHeight="true" outlineLevel="0" collapsed="false">
      <c r="B5" s="35" t="s">
        <v>843</v>
      </c>
      <c r="C5" s="36" t="s">
        <v>59</v>
      </c>
    </row>
    <row r="6" customFormat="false" ht="30" hidden="false" customHeight="true" outlineLevel="0" collapsed="false">
      <c r="B6" s="35" t="s">
        <v>844</v>
      </c>
      <c r="C6" s="36" t="s">
        <v>61</v>
      </c>
    </row>
    <row r="7" customFormat="false" ht="30" hidden="false" customHeight="true" outlineLevel="0" collapsed="false">
      <c r="B7" s="35" t="s">
        <v>845</v>
      </c>
      <c r="C7" s="36" t="s">
        <v>63</v>
      </c>
    </row>
    <row r="8" customFormat="false" ht="30" hidden="false" customHeight="true" outlineLevel="0" collapsed="false">
      <c r="B8" s="35" t="s">
        <v>846</v>
      </c>
      <c r="C8" s="36"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843</v>
      </c>
    </row>
    <row r="2" customFormat="false" ht="13.5" hidden="false" customHeight="true" outlineLevel="0" collapsed="false">
      <c r="A2" s="6" t="s">
        <v>847</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848</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B7" s="22" t="s">
        <v>849</v>
      </c>
      <c r="C7" s="117" t="n">
        <f aca="false">'Total Revenue'!B$25</f>
        <v>103587.386308824</v>
      </c>
      <c r="D7" s="117" t="n">
        <f aca="false">'Total Revenue'!O$25</f>
        <v>598105.707372232</v>
      </c>
      <c r="E7" s="117" t="n">
        <f aca="false">'Total Revenue'!AB$25</f>
        <v>1085654.37612042</v>
      </c>
      <c r="F7" s="117" t="n">
        <f aca="false">'Total Revenue'!AO$25</f>
        <v>1759671.91303074</v>
      </c>
      <c r="G7" s="117" t="n">
        <f aca="false">'Total Revenue'!BB$25</f>
        <v>2483099.09071608</v>
      </c>
    </row>
    <row r="8" customFormat="false" ht="15" hidden="false" customHeight="false" outlineLevel="0" collapsed="false">
      <c r="A8" s="37" t="s">
        <v>850</v>
      </c>
      <c r="D8" s="118" t="n">
        <f aca="false">IFERROR(D7/C7-1,0)</f>
        <v>4.77392411069343</v>
      </c>
      <c r="E8" s="118" t="n">
        <f aca="false">IFERROR(E7/D7-1,0)</f>
        <v>0.815154683760211</v>
      </c>
      <c r="F8" s="118" t="n">
        <f aca="false">IFERROR(F7/E7-1,0)</f>
        <v>0.620839883977546</v>
      </c>
      <c r="G8" s="118" t="n">
        <f aca="false">IFERROR(G7/F7-1,0)</f>
        <v>0.411114806304638</v>
      </c>
    </row>
    <row r="9" customFormat="false" ht="15" hidden="false" customHeight="false" outlineLevel="0" collapsed="false">
      <c r="A9" s="12" t="s">
        <v>851</v>
      </c>
      <c r="B9" s="22" t="s">
        <v>852</v>
      </c>
      <c r="C9" s="20" t="n">
        <f aca="false">Expenses!B$24</f>
        <v>43744.3169697668</v>
      </c>
      <c r="D9" s="20" t="n">
        <f aca="false">Expenses!O$24</f>
        <v>213855.341657376</v>
      </c>
      <c r="E9" s="20" t="n">
        <f aca="false">Expenses!AB$24</f>
        <v>408902.238256568</v>
      </c>
      <c r="F9" s="20" t="n">
        <f aca="false">Expenses!AO$24</f>
        <v>678861.970044288</v>
      </c>
      <c r="G9" s="20" t="n">
        <f aca="false">Expenses!BB$24</f>
        <v>982479.789924572</v>
      </c>
    </row>
    <row r="10" customFormat="false" ht="15" hidden="false" customHeight="false" outlineLevel="0" collapsed="false">
      <c r="A10" s="18" t="s">
        <v>87</v>
      </c>
      <c r="C10" s="117" t="n">
        <f aca="false">Expenses!B$25</f>
        <v>59843.0693390569</v>
      </c>
      <c r="D10" s="117" t="n">
        <f aca="false">Expenses!O$25</f>
        <v>384250.365714855</v>
      </c>
      <c r="E10" s="117" t="n">
        <f aca="false">Expenses!AB$25</f>
        <v>676752.137863852</v>
      </c>
      <c r="F10" s="117" t="n">
        <f aca="false">Expenses!AO$25</f>
        <v>1080809.94298645</v>
      </c>
      <c r="G10" s="117" t="n">
        <f aca="false">Expenses!BB$25</f>
        <v>1500619.30079151</v>
      </c>
    </row>
    <row r="11" customFormat="false" ht="15" hidden="false" customHeight="false" outlineLevel="0" collapsed="false">
      <c r="A11" s="37" t="s">
        <v>853</v>
      </c>
      <c r="C11" s="118" t="n">
        <f aca="false">IFERROR(C10/C7,0)</f>
        <v>0.577706142335203</v>
      </c>
      <c r="D11" s="118" t="n">
        <f aca="false">IFERROR(D10/D7,0)</f>
        <v>0.642445576055533</v>
      </c>
      <c r="E11" s="118" t="n">
        <f aca="false">IFERROR(E10/E7,0)</f>
        <v>0.623358734372004</v>
      </c>
      <c r="F11" s="118" t="n">
        <f aca="false">IFERROR(F10/F7,0)</f>
        <v>0.614211055471663</v>
      </c>
      <c r="G11" s="118" t="n">
        <f aca="false">IFERROR(G10/G7,0)</f>
        <v>0.604333232774354</v>
      </c>
    </row>
    <row r="13" customFormat="false" ht="15" hidden="false" customHeight="false" outlineLevel="0" collapsed="false">
      <c r="A13" s="113" t="s">
        <v>854</v>
      </c>
    </row>
    <row r="14" customFormat="false" ht="15" hidden="false" customHeight="false" outlineLevel="0" collapsed="false">
      <c r="A14" s="12" t="s">
        <v>855</v>
      </c>
      <c r="C14" s="20" t="n">
        <f aca="false">Expenses!B$30</f>
        <v>60984</v>
      </c>
      <c r="D14" s="20" t="n">
        <f aca="false">Expenses!O$30</f>
        <v>127512</v>
      </c>
      <c r="E14" s="20" t="n">
        <f aca="false">Expenses!AB$30</f>
        <v>216216</v>
      </c>
      <c r="F14" s="20" t="n">
        <f aca="false">Expenses!AO$30</f>
        <v>297990</v>
      </c>
      <c r="G14" s="20" t="n">
        <f aca="false">Expenses!BB$30</f>
        <v>374220</v>
      </c>
    </row>
    <row r="15" customFormat="false" ht="15" hidden="false" customHeight="false" outlineLevel="0" collapsed="false">
      <c r="A15" s="12" t="s">
        <v>856</v>
      </c>
      <c r="C15" s="20" t="n">
        <f aca="false">Expenses!B$31</f>
        <v>4107.64007233928</v>
      </c>
      <c r="D15" s="20" t="n">
        <f aca="false">Expenses!O$31</f>
        <v>23599.9293151115</v>
      </c>
      <c r="E15" s="20" t="n">
        <f aca="false">Expenses!AB$31</f>
        <v>42584.8079272312</v>
      </c>
      <c r="F15" s="20" t="n">
        <f aca="false">Expenses!AO$31</f>
        <v>68877.1263398749</v>
      </c>
      <c r="G15" s="20" t="n">
        <f aca="false">Expenses!BB$31</f>
        <v>97001.2709596961</v>
      </c>
    </row>
    <row r="16" customFormat="false" ht="15" hidden="false" customHeight="false" outlineLevel="0" collapsed="false">
      <c r="A16" s="12" t="s">
        <v>857</v>
      </c>
      <c r="C16" s="20" t="n">
        <f aca="false">Expenses!B$32</f>
        <v>6060</v>
      </c>
      <c r="D16" s="20" t="n">
        <f aca="false">Expenses!O$32</f>
        <v>23340</v>
      </c>
      <c r="E16" s="20" t="n">
        <f aca="false">Expenses!AB$32</f>
        <v>45720</v>
      </c>
      <c r="F16" s="20" t="n">
        <f aca="false">Expenses!AO$32</f>
        <v>60480</v>
      </c>
      <c r="G16" s="20" t="n">
        <f aca="false">Expenses!BB$32</f>
        <v>75240</v>
      </c>
    </row>
    <row r="17" customFormat="false" ht="15" hidden="false" customHeight="false" outlineLevel="0" collapsed="false">
      <c r="A17" s="12" t="s">
        <v>858</v>
      </c>
      <c r="C17" s="20" t="n">
        <f aca="false">Expenses!B$33</f>
        <v>4080</v>
      </c>
      <c r="D17" s="20" t="n">
        <f aca="false">Expenses!O$33</f>
        <v>14160</v>
      </c>
      <c r="E17" s="20" t="n">
        <f aca="false">Expenses!AB$33</f>
        <v>28800</v>
      </c>
      <c r="F17" s="20" t="n">
        <f aca="false">Expenses!AO$33</f>
        <v>44400</v>
      </c>
      <c r="G17" s="20" t="n">
        <f aca="false">Expenses!BB$33</f>
        <v>59400</v>
      </c>
    </row>
    <row r="18" customFormat="false" ht="15" hidden="false" customHeight="false" outlineLevel="0" collapsed="false">
      <c r="A18" s="12" t="s">
        <v>859</v>
      </c>
      <c r="C18" s="20" t="n">
        <f aca="false">Expenses!B$34</f>
        <v>1680</v>
      </c>
      <c r="D18" s="20" t="n">
        <f aca="false">Expenses!O$34</f>
        <v>5250</v>
      </c>
      <c r="E18" s="20" t="n">
        <f aca="false">Expenses!AB$34</f>
        <v>11550</v>
      </c>
      <c r="F18" s="20" t="n">
        <f aca="false">Expenses!AO$34</f>
        <v>18900</v>
      </c>
      <c r="G18" s="20" t="n">
        <f aca="false">Expenses!BB$34</f>
        <v>26250</v>
      </c>
    </row>
    <row r="19" customFormat="false" ht="15" hidden="false" customHeight="false" outlineLevel="0" collapsed="false">
      <c r="A19" s="12" t="s">
        <v>860</v>
      </c>
      <c r="C19" s="20" t="n">
        <f aca="false">Expenses!B$35</f>
        <v>4680</v>
      </c>
      <c r="D19" s="20" t="n">
        <f aca="false">Expenses!O$35</f>
        <v>9180</v>
      </c>
      <c r="E19" s="20" t="n">
        <f aca="false">Expenses!AB$35</f>
        <v>14400</v>
      </c>
      <c r="F19" s="20" t="n">
        <f aca="false">Expenses!AO$35</f>
        <v>21120</v>
      </c>
      <c r="G19" s="20" t="n">
        <f aca="false">Expenses!BB$35</f>
        <v>28800</v>
      </c>
    </row>
    <row r="20" customFormat="false" ht="15" hidden="false" customHeight="false" outlineLevel="0" collapsed="false">
      <c r="A20" s="12" t="s">
        <v>861</v>
      </c>
      <c r="C20" s="20" t="n">
        <f aca="false">Expenses!B$36</f>
        <v>1440</v>
      </c>
      <c r="D20" s="20" t="n">
        <f aca="false">Expenses!O$36</f>
        <v>2700</v>
      </c>
      <c r="E20" s="20" t="n">
        <f aca="false">Expenses!AB$36</f>
        <v>4032</v>
      </c>
      <c r="F20" s="20" t="n">
        <f aca="false">Expenses!AO$36</f>
        <v>5760</v>
      </c>
      <c r="G20" s="20" t="n">
        <f aca="false">Expenses!BB$36</f>
        <v>7680</v>
      </c>
    </row>
    <row r="21" customFormat="false" ht="15" hidden="false" customHeight="false" outlineLevel="0" collapsed="false">
      <c r="A21" s="12" t="s">
        <v>862</v>
      </c>
      <c r="C21" s="20" t="n">
        <f aca="false">Expenses!B$37</f>
        <v>1924.6503965424</v>
      </c>
      <c r="D21" s="20" t="n">
        <f aca="false">Expenses!O$37</f>
        <v>5349.41601536764</v>
      </c>
      <c r="E21" s="20" t="n">
        <f aca="false">Expenses!AB$37</f>
        <v>11723.1895283399</v>
      </c>
      <c r="F21" s="20" t="n">
        <f aca="false">Expenses!AO$37</f>
        <v>19270.4828159392</v>
      </c>
      <c r="G21" s="20" t="n">
        <f aca="false">Expenses!BB$37</f>
        <v>26305.1837671185</v>
      </c>
    </row>
    <row r="22" customFormat="false" ht="15" hidden="false" customHeight="false" outlineLevel="0" collapsed="false">
      <c r="A22" s="12" t="s">
        <v>863</v>
      </c>
      <c r="C22" s="20" t="n">
        <f aca="false">Expenses!B$38</f>
        <v>3960</v>
      </c>
      <c r="D22" s="20" t="n">
        <f aca="false">Expenses!O$38</f>
        <v>7560</v>
      </c>
      <c r="E22" s="20" t="n">
        <f aca="false">Expenses!AB$38</f>
        <v>11520</v>
      </c>
      <c r="F22" s="20" t="n">
        <f aca="false">Expenses!AO$38</f>
        <v>16320</v>
      </c>
      <c r="G22" s="20" t="n">
        <f aca="false">Expenses!BB$38</f>
        <v>21600</v>
      </c>
    </row>
    <row r="23" customFormat="false" ht="15" hidden="false" customHeight="false" outlineLevel="0" collapsed="false">
      <c r="A23" s="12" t="s">
        <v>864</v>
      </c>
      <c r="C23" s="20" t="n">
        <f aca="false">Expenses!B$39</f>
        <v>2880</v>
      </c>
      <c r="D23" s="20" t="n">
        <f aca="false">Expenses!O$39</f>
        <v>8640</v>
      </c>
      <c r="E23" s="20" t="n">
        <f aca="false">Expenses!AB$39</f>
        <v>15840</v>
      </c>
      <c r="F23" s="20" t="n">
        <f aca="false">Expenses!AO$39</f>
        <v>23040</v>
      </c>
      <c r="G23" s="20" t="n">
        <f aca="false">Expenses!BB$39</f>
        <v>31200</v>
      </c>
    </row>
    <row r="24" customFormat="false" ht="15" hidden="false" customHeight="false" outlineLevel="0" collapsed="false">
      <c r="A24" s="12" t="s">
        <v>865</v>
      </c>
      <c r="C24" s="20" t="n">
        <f aca="false">Expenses!B$40</f>
        <v>3960</v>
      </c>
      <c r="D24" s="20" t="n">
        <f aca="false">Expenses!O$40</f>
        <v>9600</v>
      </c>
      <c r="E24" s="20" t="n">
        <f aca="false">Expenses!AB$40</f>
        <v>16800</v>
      </c>
      <c r="F24" s="20" t="n">
        <f aca="false">Expenses!AO$40</f>
        <v>22800</v>
      </c>
      <c r="G24" s="20" t="n">
        <f aca="false">Expenses!BB$40</f>
        <v>27600</v>
      </c>
    </row>
    <row r="25" customFormat="false" ht="15" hidden="false" customHeight="false" outlineLevel="0" collapsed="false">
      <c r="A25" s="12" t="s">
        <v>866</v>
      </c>
      <c r="C25" s="20" t="n">
        <f aca="false">Expenses!B$41</f>
        <v>480</v>
      </c>
      <c r="D25" s="20" t="n">
        <f aca="false">Expenses!O$41</f>
        <v>2160</v>
      </c>
      <c r="E25" s="20" t="n">
        <f aca="false">Expenses!AB$41</f>
        <v>5400</v>
      </c>
      <c r="F25" s="20" t="n">
        <f aca="false">Expenses!AO$41</f>
        <v>8400</v>
      </c>
      <c r="G25" s="20" t="n">
        <f aca="false">Expenses!BB$41</f>
        <v>10800</v>
      </c>
    </row>
    <row r="26" customFormat="false" ht="15" hidden="false" customHeight="false" outlineLevel="0" collapsed="false">
      <c r="A26" s="12" t="s">
        <v>867</v>
      </c>
      <c r="C26" s="20" t="n">
        <f aca="false">Expenses!B$42</f>
        <v>0</v>
      </c>
      <c r="D26" s="20" t="n">
        <f aca="false">Expenses!O$42</f>
        <v>2400</v>
      </c>
      <c r="E26" s="20" t="n">
        <f aca="false">Expenses!AB$42</f>
        <v>9600</v>
      </c>
      <c r="F26" s="20" t="n">
        <f aca="false">Expenses!AO$42</f>
        <v>18000</v>
      </c>
      <c r="G26" s="20" t="n">
        <f aca="false">Expenses!BB$42</f>
        <v>25200</v>
      </c>
    </row>
    <row r="27" customFormat="false" ht="15" hidden="false" customHeight="false" outlineLevel="0" collapsed="false">
      <c r="A27" s="12" t="s">
        <v>868</v>
      </c>
      <c r="C27" s="20" t="n">
        <f aca="false">Expenses!B$43</f>
        <v>1320</v>
      </c>
      <c r="D27" s="20" t="n">
        <f aca="false">Expenses!O$43</f>
        <v>2160</v>
      </c>
      <c r="E27" s="20" t="n">
        <f aca="false">Expenses!AB$43</f>
        <v>3360</v>
      </c>
      <c r="F27" s="20" t="n">
        <f aca="false">Expenses!AO$43</f>
        <v>4320</v>
      </c>
      <c r="G27" s="20" t="n">
        <f aca="false">Expenses!BB$43</f>
        <v>5280</v>
      </c>
    </row>
    <row r="28" customFormat="false" ht="15" hidden="false" customHeight="false" outlineLevel="0" collapsed="false">
      <c r="A28" s="12" t="s">
        <v>869</v>
      </c>
      <c r="C28" s="20" t="n">
        <f aca="false">Expenses!B$44</f>
        <v>3902.25161875527</v>
      </c>
      <c r="D28" s="20" t="n">
        <f aca="false">Expenses!O$44</f>
        <v>9744.45381321917</v>
      </c>
      <c r="E28" s="20" t="n">
        <f aca="false">Expenses!AB$44</f>
        <v>17501.8398982228</v>
      </c>
      <c r="F28" s="20" t="n">
        <f aca="false">Expenses!AO$44</f>
        <v>25187.1043662326</v>
      </c>
      <c r="G28" s="20" t="n">
        <f aca="false">Expenses!BB$44</f>
        <v>32663.0581890726</v>
      </c>
    </row>
    <row r="29" customFormat="false" ht="15" hidden="false" customHeight="false" outlineLevel="0" collapsed="false">
      <c r="A29" s="18" t="s">
        <v>870</v>
      </c>
      <c r="C29" s="117" t="n">
        <f aca="false">Expenses!B$45</f>
        <v>101458.542087637</v>
      </c>
      <c r="D29" s="117" t="n">
        <f aca="false">Expenses!O$45</f>
        <v>253355.799143698</v>
      </c>
      <c r="E29" s="117" t="n">
        <f aca="false">Expenses!AB$45</f>
        <v>455047.837353794</v>
      </c>
      <c r="F29" s="117" t="n">
        <f aca="false">Expenses!AO$45</f>
        <v>654864.713522047</v>
      </c>
      <c r="G29" s="117" t="n">
        <f aca="false">Expenses!BB$45</f>
        <v>849239.512915887</v>
      </c>
    </row>
    <row r="30" customFormat="false" ht="15" hidden="false" customHeight="false" outlineLevel="0" collapsed="false">
      <c r="A30" s="18" t="s">
        <v>88</v>
      </c>
      <c r="C30" s="119" t="n">
        <f aca="false">Expenses!B$52</f>
        <v>-41615.4727485801</v>
      </c>
      <c r="D30" s="119" t="n">
        <f aca="false">Expenses!O$52</f>
        <v>130894.566571157</v>
      </c>
      <c r="E30" s="119" t="n">
        <f aca="false">Expenses!AB$52</f>
        <v>221704.300510058</v>
      </c>
      <c r="F30" s="119" t="n">
        <f aca="false">Expenses!AO$52</f>
        <v>425945.229464403</v>
      </c>
      <c r="G30" s="119" t="n">
        <f aca="false">Expenses!BB$52</f>
        <v>651379.787875621</v>
      </c>
    </row>
    <row r="31" customFormat="false" ht="15" hidden="false" customHeight="false" outlineLevel="0" collapsed="false">
      <c r="A31" s="37" t="s">
        <v>871</v>
      </c>
      <c r="C31" s="118" t="n">
        <f aca="false">IFERROR(C30/C7,0)</f>
        <v>-0.401742666085931</v>
      </c>
      <c r="D31" s="118" t="n">
        <f aca="false">IFERROR(D30/D7,0)</f>
        <v>0.218848549608798</v>
      </c>
      <c r="E31" s="118" t="n">
        <f aca="false">IFERROR(E30/E7,0)</f>
        <v>0.204212597845658</v>
      </c>
      <c r="F31" s="118" t="n">
        <f aca="false">IFERROR(F30/F7,0)</f>
        <v>0.24205945796497</v>
      </c>
      <c r="G31" s="118" t="n">
        <f aca="false">IFERROR(G30/G7,0)</f>
        <v>0.262325329790917</v>
      </c>
    </row>
    <row r="32" customFormat="false" ht="15" hidden="false" customHeight="false" outlineLevel="0" collapsed="false">
      <c r="A32" s="12" t="s">
        <v>836</v>
      </c>
      <c r="C32" s="20" t="n">
        <f aca="false">Expenses!B$46</f>
        <v>3222.08333333333</v>
      </c>
      <c r="D32" s="20" t="n">
        <f aca="false">Expenses!O$46</f>
        <v>4603.125</v>
      </c>
      <c r="E32" s="20" t="n">
        <f aca="false">Expenses!AB$46</f>
        <v>7388.95833333333</v>
      </c>
      <c r="F32" s="20" t="n">
        <f aca="false">Expenses!AO$46</f>
        <v>8524.16666666667</v>
      </c>
      <c r="G32" s="20" t="n">
        <f aca="false">Expenses!BB$46</f>
        <v>8745</v>
      </c>
    </row>
    <row r="33" customFormat="false" ht="15" hidden="false" customHeight="false" outlineLevel="0" collapsed="false">
      <c r="A33" s="18" t="s">
        <v>839</v>
      </c>
      <c r="C33" s="117" t="n">
        <f aca="false">Expenses!B$53</f>
        <v>-44837.5560819134</v>
      </c>
      <c r="D33" s="117" t="n">
        <f aca="false">Expenses!O$53</f>
        <v>126291.441571157</v>
      </c>
      <c r="E33" s="117" t="n">
        <f aca="false">Expenses!AB$53</f>
        <v>214315.342176725</v>
      </c>
      <c r="F33" s="117" t="n">
        <f aca="false">Expenses!AO$53</f>
        <v>417421.062797736</v>
      </c>
      <c r="G33" s="117" t="n">
        <f aca="false">Expenses!BB$53</f>
        <v>642634.787875621</v>
      </c>
    </row>
    <row r="35" customFormat="false" ht="15" hidden="false" customHeight="false" outlineLevel="0" collapsed="false">
      <c r="A35" s="18" t="s">
        <v>872</v>
      </c>
      <c r="B35" s="22" t="s">
        <v>873</v>
      </c>
      <c r="C35" s="19" t="n">
        <f aca="false">C33</f>
        <v>-44837.5560819134</v>
      </c>
      <c r="D35" s="19" t="n">
        <f aca="false">D33</f>
        <v>126291.441571157</v>
      </c>
      <c r="E35" s="19" t="n">
        <f aca="false">E33</f>
        <v>214315.342176725</v>
      </c>
      <c r="F35" s="19" t="n">
        <f aca="false">F33</f>
        <v>417421.062797736</v>
      </c>
      <c r="G35" s="19" t="n">
        <f aca="false">G33</f>
        <v>642634.787875621</v>
      </c>
    </row>
    <row r="36" customFormat="false" ht="15" hidden="false" customHeight="false" outlineLevel="0" collapsed="false">
      <c r="A36" s="12" t="s">
        <v>874</v>
      </c>
      <c r="B36" s="22" t="s">
        <v>875</v>
      </c>
      <c r="C36" s="120" t="n">
        <f aca="false">'Assumption Setting'!$C$214</f>
        <v>0</v>
      </c>
      <c r="D36" s="120" t="n">
        <f aca="false">C37</f>
        <v>44837.5560819134</v>
      </c>
      <c r="E36" s="120" t="n">
        <f aca="false">D37</f>
        <v>0</v>
      </c>
      <c r="F36" s="120" t="n">
        <f aca="false">E37</f>
        <v>0</v>
      </c>
      <c r="G36" s="120" t="n">
        <f aca="false">F37</f>
        <v>0</v>
      </c>
    </row>
    <row r="37" customFormat="false" ht="15" hidden="false" customHeight="false" outlineLevel="0" collapsed="false">
      <c r="A37" s="12" t="s">
        <v>876</v>
      </c>
      <c r="C37" s="120" t="n">
        <f aca="false">MAX(0,C36-MAX(0,C35))+MAX(0,-C35)</f>
        <v>44837.5560819134</v>
      </c>
      <c r="D37" s="120" t="n">
        <f aca="false">MAX(0,D36-MAX(0,D35))+MAX(0,-D35)</f>
        <v>0</v>
      </c>
      <c r="E37" s="120" t="n">
        <f aca="false">MAX(0,E36-MAX(0,E35))+MAX(0,-E35)</f>
        <v>0</v>
      </c>
      <c r="F37" s="120" t="n">
        <f aca="false">MAX(0,F36-MAX(0,F35))+MAX(0,-F35)</f>
        <v>0</v>
      </c>
      <c r="G37" s="120" t="n">
        <f aca="false">MAX(0,G36-MAX(0,G35))+MAX(0,-G35)</f>
        <v>0</v>
      </c>
    </row>
    <row r="38" customFormat="false" ht="15" hidden="false" customHeight="false" outlineLevel="0" collapsed="false">
      <c r="A38" s="12" t="s">
        <v>877</v>
      </c>
      <c r="C38" s="120" t="n">
        <f aca="false">MAX(0,C35-C36)</f>
        <v>0</v>
      </c>
      <c r="D38" s="120" t="n">
        <f aca="false">MAX(0,D35-D36)</f>
        <v>81453.8854892435</v>
      </c>
      <c r="E38" s="120" t="n">
        <f aca="false">MAX(0,E35-E36)</f>
        <v>214315.342176725</v>
      </c>
      <c r="F38" s="120" t="n">
        <f aca="false">MAX(0,F35-F36)</f>
        <v>417421.062797736</v>
      </c>
      <c r="G38" s="120" t="n">
        <f aca="false">MAX(0,G35-G36)</f>
        <v>642634.787875621</v>
      </c>
    </row>
    <row r="39" customFormat="false" ht="15" hidden="false" customHeight="false" outlineLevel="0" collapsed="false">
      <c r="A39" s="12" t="s">
        <v>878</v>
      </c>
      <c r="C39" s="120" t="n">
        <f aca="false">-C38*'Assumption Setting'!$C$212</f>
        <v>-0</v>
      </c>
      <c r="D39" s="120" t="n">
        <f aca="false">-D38*'Assumption Setting'!$C$212</f>
        <v>-18327.1242350798</v>
      </c>
      <c r="E39" s="120" t="n">
        <f aca="false">-E38*'Assumption Setting'!$C$212</f>
        <v>-48220.9519897632</v>
      </c>
      <c r="F39" s="120" t="n">
        <f aca="false">-F38*'Assumption Setting'!$C$212</f>
        <v>-93919.7391294906</v>
      </c>
      <c r="G39" s="120" t="n">
        <f aca="false">-G38*'Assumption Setting'!$C$212</f>
        <v>-144592.827272015</v>
      </c>
    </row>
    <row r="40" customFormat="false" ht="15" hidden="false" customHeight="false" outlineLevel="0" collapsed="false">
      <c r="A40" s="18" t="s">
        <v>879</v>
      </c>
      <c r="C40" s="119" t="n">
        <f aca="false">C35+C39</f>
        <v>-44837.5560819134</v>
      </c>
      <c r="D40" s="119" t="n">
        <f aca="false">D35+D39</f>
        <v>107964.317336077</v>
      </c>
      <c r="E40" s="119" t="n">
        <f aca="false">E35+E39</f>
        <v>166094.390186962</v>
      </c>
      <c r="F40" s="119" t="n">
        <f aca="false">F35+F39</f>
        <v>323501.323668246</v>
      </c>
      <c r="G40" s="119" t="n">
        <f aca="false">G35+G39</f>
        <v>498041.960603606</v>
      </c>
    </row>
    <row r="41" customFormat="false" ht="15" hidden="false" customHeight="false" outlineLevel="0" collapsed="false">
      <c r="A41" s="37" t="s">
        <v>880</v>
      </c>
      <c r="C41" s="118" t="n">
        <f aca="false">IFERROR(C40/C7,0)</f>
        <v>-0.432847643710594</v>
      </c>
      <c r="D41" s="118" t="n">
        <f aca="false">IFERROR(D40/D7,0)</f>
        <v>0.180510428182364</v>
      </c>
      <c r="E41" s="118" t="n">
        <f aca="false">IFERROR(E40/E7,0)</f>
        <v>0.152990117149898</v>
      </c>
      <c r="F41" s="118" t="n">
        <f aca="false">IFERROR(F40/F7,0)</f>
        <v>0.183841840784439</v>
      </c>
      <c r="G41" s="118" t="n">
        <f aca="false">IFERROR(G40/G7,0)</f>
        <v>0.20057272883942</v>
      </c>
    </row>
    <row r="43" customFormat="false" ht="15" hidden="false" customHeight="false" outlineLevel="0" collapsed="false">
      <c r="A43" s="18" t="s">
        <v>90</v>
      </c>
      <c r="C43" s="19" t="n">
        <f aca="false">Expenses!B$51</f>
        <v>148424.942390737</v>
      </c>
      <c r="D43" s="19" t="n">
        <f aca="false">Expenses!O$51</f>
        <v>471814.265801075</v>
      </c>
      <c r="E43" s="19" t="n">
        <f aca="false">Expenses!AB$51</f>
        <v>871339.033943695</v>
      </c>
      <c r="F43" s="19" t="n">
        <f aca="false">Expenses!AO$51</f>
        <v>1342250.850233</v>
      </c>
      <c r="G43" s="19" t="n">
        <f aca="false">Expenses!BB$51</f>
        <v>1840464.30284046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844</v>
      </c>
    </row>
    <row r="2" customFormat="false" ht="13.5" hidden="false" customHeight="true" outlineLevel="0" collapsed="false">
      <c r="A2" s="6" t="s">
        <v>881</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882</v>
      </c>
      <c r="B5" s="15"/>
      <c r="C5" s="15"/>
      <c r="D5" s="15"/>
      <c r="E5" s="15"/>
      <c r="F5" s="15"/>
      <c r="G5" s="15"/>
      <c r="H5" s="15"/>
      <c r="I5" s="15"/>
      <c r="J5" s="15"/>
    </row>
    <row r="6" customFormat="false" ht="15" hidden="false" customHeight="false" outlineLevel="0" collapsed="false">
      <c r="A6" s="16"/>
      <c r="B6" s="16"/>
      <c r="C6" s="17" t="s">
        <v>883</v>
      </c>
      <c r="D6" s="17" t="s">
        <v>81</v>
      </c>
      <c r="E6" s="17" t="s">
        <v>82</v>
      </c>
      <c r="F6" s="17" t="s">
        <v>83</v>
      </c>
      <c r="G6" s="17" t="s">
        <v>84</v>
      </c>
      <c r="H6" s="17" t="s">
        <v>85</v>
      </c>
    </row>
    <row r="7" customFormat="false" ht="15" hidden="false" customHeight="false" outlineLevel="0" collapsed="false">
      <c r="A7" s="12" t="s">
        <v>884</v>
      </c>
      <c r="B7" s="22" t="s">
        <v>885</v>
      </c>
      <c r="C7" s="120" t="n">
        <f aca="false">Actuals!$C$6</f>
        <v>50000</v>
      </c>
      <c r="D7" s="120" t="n">
        <f aca="false">'Cash Flow Statement'!N$35</f>
        <v>127329.777681178</v>
      </c>
      <c r="E7" s="120" t="n">
        <f aca="false">'Cash Flow Statement'!AA$35</f>
        <v>185024.401768413</v>
      </c>
      <c r="F7" s="120" t="n">
        <f aca="false">'Cash Flow Statement'!AN$35</f>
        <v>310256.966602296</v>
      </c>
      <c r="G7" s="120" t="n">
        <f aca="false">'Cash Flow Statement'!BA$35</f>
        <v>609759.273298992</v>
      </c>
      <c r="H7" s="120" t="n">
        <f aca="false">'Cash Flow Statement'!BN$35</f>
        <v>1079788.04891833</v>
      </c>
    </row>
    <row r="8" customFormat="false" ht="15" hidden="false" customHeight="false" outlineLevel="0" collapsed="false">
      <c r="A8" s="12" t="s">
        <v>548</v>
      </c>
      <c r="B8" s="22" t="s">
        <v>886</v>
      </c>
      <c r="C8" s="120" t="n">
        <f aca="false">Actuals!$C$7</f>
        <v>0</v>
      </c>
      <c r="D8" s="120" t="n">
        <f aca="false">'Cash Flow Statement'!N$14</f>
        <v>35671.5650013932</v>
      </c>
      <c r="E8" s="120" t="n">
        <f aca="false">'Cash Flow Statement'!AA$14</f>
        <v>153297.958211166</v>
      </c>
      <c r="F8" s="120" t="n">
        <f aca="false">'Cash Flow Statement'!AN$14</f>
        <v>274038.55681608</v>
      </c>
      <c r="G8" s="120" t="n">
        <f aca="false">'Cash Flow Statement'!BA$14</f>
        <v>410456.177651329</v>
      </c>
      <c r="H8" s="120" t="n">
        <f aca="false">'Cash Flow Statement'!BN$14</f>
        <v>563800.423996817</v>
      </c>
    </row>
    <row r="9" customFormat="false" ht="15" hidden="false" customHeight="false" outlineLevel="0" collapsed="false">
      <c r="A9" s="12" t="s">
        <v>550</v>
      </c>
      <c r="B9" s="22" t="s">
        <v>887</v>
      </c>
      <c r="C9" s="120" t="n">
        <f aca="false">Actuals!$C$8</f>
        <v>0</v>
      </c>
      <c r="D9" s="120" t="n">
        <f aca="false">'Depreciation and Amortization'!N$44</f>
        <v>6607.91666666667</v>
      </c>
      <c r="E9" s="120" t="n">
        <f aca="false">'Depreciation and Amortization'!AA$44</f>
        <v>5844.79166666667</v>
      </c>
      <c r="F9" s="120" t="n">
        <f aca="false">'Depreciation and Amortization'!AN$44</f>
        <v>12295.8333333333</v>
      </c>
      <c r="G9" s="120" t="n">
        <f aca="false">'Depreciation and Amortization'!BA$44</f>
        <v>8691.66666666666</v>
      </c>
      <c r="H9" s="120" t="n">
        <f aca="false">'Depreciation and Amortization'!BN$44</f>
        <v>4866.66666666667</v>
      </c>
    </row>
    <row r="10" customFormat="false" ht="15" hidden="false" customHeight="false" outlineLevel="0" collapsed="false">
      <c r="A10" s="12" t="s">
        <v>552</v>
      </c>
      <c r="B10" s="22" t="s">
        <v>888</v>
      </c>
      <c r="C10" s="120" t="n">
        <f aca="false">Actuals!$C$9</f>
        <v>0</v>
      </c>
      <c r="D10" s="120" t="n">
        <f aca="false">'Depreciation and Amortization'!N$45</f>
        <v>2450</v>
      </c>
      <c r="E10" s="120" t="n">
        <f aca="false">'Depreciation and Amortization'!AA$45</f>
        <v>1850</v>
      </c>
      <c r="F10" s="120" t="n">
        <f aca="false">'Depreciation and Amortization'!AN$45</f>
        <v>1250</v>
      </c>
      <c r="G10" s="120" t="n">
        <f aca="false">'Depreciation and Amortization'!BA$45</f>
        <v>650</v>
      </c>
      <c r="H10" s="120" t="n">
        <f aca="false">'Depreciation and Amortization'!BN$45</f>
        <v>50</v>
      </c>
    </row>
    <row r="11" customFormat="false" ht="15" hidden="false" customHeight="false" outlineLevel="0" collapsed="false">
      <c r="A11" s="18" t="s">
        <v>889</v>
      </c>
      <c r="C11" s="117" t="n">
        <f aca="false">SUM(C7:C10)</f>
        <v>50000</v>
      </c>
      <c r="D11" s="117" t="n">
        <f aca="false">SUM(D7:D10)</f>
        <v>172059.259349238</v>
      </c>
      <c r="E11" s="117" t="n">
        <f aca="false">SUM(E7:E10)</f>
        <v>346017.151646246</v>
      </c>
      <c r="F11" s="117" t="n">
        <f aca="false">SUM(F7:F10)</f>
        <v>597841.356751709</v>
      </c>
      <c r="G11" s="117" t="n">
        <f aca="false">SUM(G7:G10)</f>
        <v>1029557.11761699</v>
      </c>
      <c r="H11" s="117" t="n">
        <f aca="false">SUM(H7:H10)</f>
        <v>1648505.13958181</v>
      </c>
    </row>
    <row r="13" customFormat="false" ht="15" hidden="false" customHeight="false" outlineLevel="0" collapsed="false">
      <c r="A13" s="12" t="s">
        <v>555</v>
      </c>
      <c r="C13" s="120" t="n">
        <f aca="false">Actuals!$C$12</f>
        <v>0</v>
      </c>
      <c r="D13" s="120" t="n">
        <f aca="false">'Cash Flow Statement'!N$15</f>
        <v>10582.4029226385</v>
      </c>
      <c r="E13" s="120" t="n">
        <f aca="false">'Cash Flow Statement'!AA$15</f>
        <v>38506.0208668103</v>
      </c>
      <c r="F13" s="120" t="n">
        <f aca="false">'Cash Flow Statement'!AN$15</f>
        <v>73306.1948164731</v>
      </c>
      <c r="G13" s="120" t="n">
        <f aca="false">'Cash Flow Statement'!BA$15</f>
        <v>111144.214116588</v>
      </c>
      <c r="H13" s="120" t="n">
        <f aca="false">'Cash Flow Statement'!BN$15</f>
        <v>153842.499255282</v>
      </c>
    </row>
    <row r="14" customFormat="false" ht="15" hidden="false" customHeight="false" outlineLevel="0" collapsed="false">
      <c r="A14" s="12" t="s">
        <v>557</v>
      </c>
      <c r="C14" s="120" t="n">
        <f aca="false">Actuals!$C$13</f>
        <v>0</v>
      </c>
      <c r="D14" s="120" t="n">
        <f aca="false">'Cash Flow Statement'!N$16</f>
        <v>1694</v>
      </c>
      <c r="E14" s="120" t="n">
        <f aca="false">'Cash Flow Statement'!AA$16</f>
        <v>3542</v>
      </c>
      <c r="F14" s="120" t="n">
        <f aca="false">'Cash Flow Statement'!AN$16</f>
        <v>6006</v>
      </c>
      <c r="G14" s="120" t="n">
        <f aca="false">'Cash Flow Statement'!BA$16</f>
        <v>8277.5</v>
      </c>
      <c r="H14" s="120" t="n">
        <f aca="false">'Cash Flow Statement'!BN$16</f>
        <v>10395</v>
      </c>
    </row>
    <row r="15" customFormat="false" ht="15" hidden="false" customHeight="false" outlineLevel="0" collapsed="false">
      <c r="A15" s="12" t="s">
        <v>559</v>
      </c>
      <c r="B15" s="22" t="s">
        <v>890</v>
      </c>
      <c r="C15" s="120" t="n">
        <f aca="false">Actuals!$C$14</f>
        <v>0</v>
      </c>
      <c r="D15" s="120" t="n">
        <f aca="false">'Cash Flow Statement'!N$17</f>
        <v>4620.41250851263</v>
      </c>
      <c r="E15" s="120" t="n">
        <f aca="false">'Cash Flow Statement'!AA$17</f>
        <v>22515.2452901923</v>
      </c>
      <c r="F15" s="120" t="n">
        <f aca="false">'Cash Flow Statement'!AN$17</f>
        <v>41087.0585043473</v>
      </c>
      <c r="G15" s="120" t="n">
        <f aca="false">'Cash Flow Statement'!BA$17</f>
        <v>63493.1892615379</v>
      </c>
      <c r="H15" s="120" t="n">
        <f aca="false">'Cash Flow Statement'!BN$17</f>
        <v>88910.3773415398</v>
      </c>
    </row>
    <row r="16" customFormat="false" ht="15" hidden="false" customHeight="false" outlineLevel="0" collapsed="false">
      <c r="A16" s="12" t="s">
        <v>561</v>
      </c>
      <c r="B16" s="22" t="s">
        <v>891</v>
      </c>
      <c r="C16" s="120" t="n">
        <f aca="false">Actuals!$C$15</f>
        <v>0</v>
      </c>
      <c r="D16" s="120" t="n">
        <f aca="false">'Cash Flow Statement'!N$18</f>
        <v>0</v>
      </c>
      <c r="E16" s="120" t="n">
        <f aca="false">'Cash Flow Statement'!AA$18</f>
        <v>18327.1242350798</v>
      </c>
      <c r="F16" s="120" t="n">
        <f aca="false">'Cash Flow Statement'!AN$18</f>
        <v>48220.9519897632</v>
      </c>
      <c r="G16" s="120" t="n">
        <f aca="false">'Cash Flow Statement'!BA$18</f>
        <v>93919.7391294907</v>
      </c>
      <c r="H16" s="120" t="n">
        <f aca="false">'Cash Flow Statement'!BN$18</f>
        <v>144592.827272015</v>
      </c>
    </row>
    <row r="17" customFormat="false" ht="15" hidden="false" customHeight="false" outlineLevel="0" collapsed="false">
      <c r="A17" s="18" t="s">
        <v>892</v>
      </c>
      <c r="C17" s="117" t="n">
        <f aca="false">SUM(C13:C16)</f>
        <v>0</v>
      </c>
      <c r="D17" s="117" t="n">
        <f aca="false">SUM(D13:D16)</f>
        <v>16896.8154311511</v>
      </c>
      <c r="E17" s="117" t="n">
        <f aca="false">SUM(E13:E16)</f>
        <v>82890.3903920824</v>
      </c>
      <c r="F17" s="117" t="n">
        <f aca="false">SUM(F13:F16)</f>
        <v>168620.205310584</v>
      </c>
      <c r="G17" s="117" t="n">
        <f aca="false">SUM(G13:G16)</f>
        <v>276834.642507617</v>
      </c>
      <c r="H17" s="117" t="n">
        <f aca="false">SUM(H13:H16)</f>
        <v>397740.703868836</v>
      </c>
    </row>
    <row r="19" customFormat="false" ht="15" hidden="false" customHeight="false" outlineLevel="0" collapsed="false">
      <c r="A19" s="12" t="s">
        <v>893</v>
      </c>
      <c r="B19" s="22" t="s">
        <v>894</v>
      </c>
      <c r="C19" s="120" t="n">
        <f aca="false">Actuals!$C$16</f>
        <v>50000</v>
      </c>
      <c r="D19" s="120" t="n">
        <f aca="false">'Assumption Setting'!$C$18+IF(12&gt;='Assumption Setting'!$C$207,'Assumption Setting'!$C$206,0)</f>
        <v>200000</v>
      </c>
      <c r="E19" s="120" t="n">
        <f aca="false">'Assumption Setting'!$C$18+IF(24&gt;='Assumption Setting'!$C$207,'Assumption Setting'!$C$206,0)</f>
        <v>200000</v>
      </c>
      <c r="F19" s="120" t="n">
        <f aca="false">'Assumption Setting'!$C$18+IF(36&gt;='Assumption Setting'!$C$207,'Assumption Setting'!$C$206,0)</f>
        <v>200000</v>
      </c>
      <c r="G19" s="120" t="n">
        <f aca="false">'Assumption Setting'!$C$18+IF(48&gt;='Assumption Setting'!$C$207,'Assumption Setting'!$C$206,0)</f>
        <v>200000</v>
      </c>
      <c r="H19" s="120" t="n">
        <f aca="false">'Assumption Setting'!$C$18+IF(60&gt;='Assumption Setting'!$C$207,'Assumption Setting'!$C$206,0)</f>
        <v>200000</v>
      </c>
    </row>
    <row r="20" customFormat="false" ht="15" hidden="false" customHeight="false" outlineLevel="0" collapsed="false">
      <c r="A20" s="12" t="s">
        <v>565</v>
      </c>
      <c r="B20" s="22" t="s">
        <v>895</v>
      </c>
      <c r="C20" s="120" t="n">
        <f aca="false">Actuals!$C$17</f>
        <v>0</v>
      </c>
      <c r="D20" s="120" t="n">
        <f aca="false">'Income Statement'!$C$40</f>
        <v>-44837.5560819134</v>
      </c>
      <c r="E20" s="120" t="n">
        <f aca="false">'Income Statement'!$C$40+'Income Statement'!$D$40</f>
        <v>63126.7612541637</v>
      </c>
      <c r="F20" s="120" t="n">
        <f aca="false">'Income Statement'!$C$40+'Income Statement'!$D$40+'Income Statement'!$E$40</f>
        <v>229221.151441126</v>
      </c>
      <c r="G20" s="120" t="n">
        <f aca="false">'Income Statement'!$C$40+'Income Statement'!$D$40+'Income Statement'!$E$40+'Income Statement'!$F$40</f>
        <v>552722.475109371</v>
      </c>
      <c r="H20" s="120" t="n">
        <f aca="false">'Income Statement'!$C$40+'Income Statement'!$D$40+'Income Statement'!$E$40+'Income Statement'!$F$40+'Income Statement'!$G$40</f>
        <v>1050764.43571298</v>
      </c>
    </row>
    <row r="21" customFormat="false" ht="15" hidden="false" customHeight="false" outlineLevel="0" collapsed="false">
      <c r="A21" s="18" t="s">
        <v>896</v>
      </c>
      <c r="C21" s="117" t="n">
        <f aca="false">C19+C20</f>
        <v>50000</v>
      </c>
      <c r="D21" s="117" t="n">
        <f aca="false">D19+D20</f>
        <v>155162.443918087</v>
      </c>
      <c r="E21" s="117" t="n">
        <f aca="false">E19+E20</f>
        <v>263126.761254164</v>
      </c>
      <c r="F21" s="117" t="n">
        <f aca="false">F19+F20</f>
        <v>429221.151441126</v>
      </c>
      <c r="G21" s="117" t="n">
        <f aca="false">G19+G20</f>
        <v>752722.475109371</v>
      </c>
      <c r="H21" s="117" t="n">
        <f aca="false">H19+H20</f>
        <v>1250764.43571298</v>
      </c>
    </row>
    <row r="22" customFormat="false" ht="15" hidden="false" customHeight="false" outlineLevel="0" collapsed="false">
      <c r="A22" s="18" t="s">
        <v>897</v>
      </c>
      <c r="C22" s="119" t="n">
        <f aca="false">C17+C21</f>
        <v>50000</v>
      </c>
      <c r="D22" s="119" t="n">
        <f aca="false">D17+D21</f>
        <v>172059.259349238</v>
      </c>
      <c r="E22" s="119" t="n">
        <f aca="false">E17+E21</f>
        <v>346017.151646246</v>
      </c>
      <c r="F22" s="119" t="n">
        <f aca="false">F17+F21</f>
        <v>597841.356751709</v>
      </c>
      <c r="G22" s="119" t="n">
        <f aca="false">G17+G21</f>
        <v>1029557.11761699</v>
      </c>
      <c r="H22" s="119" t="n">
        <f aca="false">H17+H21</f>
        <v>1648505.13958181</v>
      </c>
    </row>
    <row r="24" customFormat="false" ht="15" hidden="false" customHeight="false" outlineLevel="0" collapsed="false">
      <c r="A24" s="18" t="s">
        <v>898</v>
      </c>
      <c r="B24" s="22" t="s">
        <v>899</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845</v>
      </c>
    </row>
    <row r="2" customFormat="false" ht="13.5" hidden="false" customHeight="true" outlineLevel="0" collapsed="false">
      <c r="A2" s="6" t="s">
        <v>900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901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839</v>
      </c>
      <c r="B7" s="64" t="n">
        <f aca="false">SUM(C7:N7)</f>
        <v>-44837.5560819134</v>
      </c>
      <c r="C7" s="76" t="n">
        <f aca="false">Expenses!C$53</f>
        <v>-9941.83303895547</v>
      </c>
      <c r="D7" s="76" t="n">
        <f aca="false">Expenses!D$53</f>
        <v>-6384.85572412825</v>
      </c>
      <c r="E7" s="76" t="n">
        <f aca="false">Expenses!E$53</f>
        <v>-5556.7102581022</v>
      </c>
      <c r="F7" s="76" t="n">
        <f aca="false">Expenses!F$53</f>
        <v>-4953.77112548624</v>
      </c>
      <c r="G7" s="76" t="n">
        <f aca="false">Expenses!G$53</f>
        <v>-4463.96808076756</v>
      </c>
      <c r="H7" s="76" t="n">
        <f aca="false">Expenses!H$53</f>
        <v>-3732.3194209468</v>
      </c>
      <c r="I7" s="76" t="n">
        <f aca="false">Expenses!I$53</f>
        <v>-3238.80963421838</v>
      </c>
      <c r="J7" s="76" t="n">
        <f aca="false">Expenses!J$53</f>
        <v>-2503.42413948503</v>
      </c>
      <c r="K7" s="76" t="n">
        <f aca="false">Expenses!K$53</f>
        <v>-2006.14923051533</v>
      </c>
      <c r="L7" s="76" t="n">
        <f aca="false">Expenses!L$53</f>
        <v>-1266.97202345175</v>
      </c>
      <c r="M7" s="76" t="n">
        <f aca="false">Expenses!M$53</f>
        <v>-765.880407468208</v>
      </c>
      <c r="N7" s="76" t="n">
        <f aca="false">Expenses!N$53</f>
        <v>-22.8629983881741</v>
      </c>
      <c r="O7" s="64" t="n">
        <f aca="false">SUM(P7:AA7)</f>
        <v>126291.441571157</v>
      </c>
      <c r="P7" s="76" t="n">
        <f aca="false">Expenses!P$53</f>
        <v>3537.86939565586</v>
      </c>
      <c r="Q7" s="76" t="n">
        <f aca="false">Expenses!Q$53</f>
        <v>4536.77708453307</v>
      </c>
      <c r="R7" s="76" t="n">
        <f aca="false">Expenses!R$53</f>
        <v>5014.26471234099</v>
      </c>
      <c r="S7" s="76" t="n">
        <f aca="false">Expenses!S$53</f>
        <v>6641.76590373962</v>
      </c>
      <c r="T7" s="76" t="n">
        <f aca="false">Expenses!T$53</f>
        <v>8140.30083470539</v>
      </c>
      <c r="U7" s="76" t="n">
        <f aca="false">Expenses!U$53</f>
        <v>9641.04032172393</v>
      </c>
      <c r="V7" s="76" t="n">
        <f aca="false">Expenses!V$53</f>
        <v>11143.9876699652</v>
      </c>
      <c r="W7" s="76" t="n">
        <f aca="false">Expenses!W$53</f>
        <v>12606.4990283113</v>
      </c>
      <c r="X7" s="76" t="n">
        <f aca="false">Expenses!X$53</f>
        <v>14064.5751704818</v>
      </c>
      <c r="Y7" s="76" t="n">
        <f aca="false">Expenses!Y$53</f>
        <v>15524.8679464045</v>
      </c>
      <c r="Z7" s="76" t="n">
        <f aca="false">Expenses!Z$53</f>
        <v>16987.3799365873</v>
      </c>
      <c r="AA7" s="76" t="n">
        <f aca="false">Expenses!AA$53</f>
        <v>18452.1135667079</v>
      </c>
      <c r="AB7" s="64" t="n">
        <f aca="false">SUM(AC7:AN7)</f>
        <v>214315.342176725</v>
      </c>
      <c r="AC7" s="76" t="n">
        <f aca="false">Expenses!AC$53</f>
        <v>6515.87022847288</v>
      </c>
      <c r="AD7" s="76" t="n">
        <f aca="false">Expenses!AD$53</f>
        <v>7845.59445239657</v>
      </c>
      <c r="AE7" s="76" t="n">
        <f aca="false">Expenses!AE$53</f>
        <v>9676.99280124802</v>
      </c>
      <c r="AF7" s="76" t="n">
        <f aca="false">Expenses!AF$53</f>
        <v>11757.6115432819</v>
      </c>
      <c r="AG7" s="76" t="n">
        <f aca="false">Expenses!AG$53</f>
        <v>14261.4234647163</v>
      </c>
      <c r="AH7" s="76" t="n">
        <f aca="false">Expenses!AH$53</f>
        <v>16447.0586791081</v>
      </c>
      <c r="AI7" s="76" t="n">
        <f aca="false">Expenses!AI$53</f>
        <v>18875.7120769256</v>
      </c>
      <c r="AJ7" s="76" t="n">
        <f aca="false">Expenses!AJ$53</f>
        <v>21067.3998579531</v>
      </c>
      <c r="AK7" s="76" t="n">
        <f aca="false">Expenses!AK$53</f>
        <v>23502.1372499881</v>
      </c>
      <c r="AL7" s="76" t="n">
        <f aca="false">Expenses!AL$53</f>
        <v>25699.9385671599</v>
      </c>
      <c r="AM7" s="76" t="n">
        <f aca="false">Expenses!AM$53</f>
        <v>28230.8172647504</v>
      </c>
      <c r="AN7" s="76" t="n">
        <f aca="false">Expenses!AN$53</f>
        <v>30434.7859907244</v>
      </c>
      <c r="AO7" s="64" t="n">
        <f aca="false">SUM(AP7:BA7)</f>
        <v>417421.062797736</v>
      </c>
      <c r="AP7" s="76" t="n">
        <f aca="false">Expenses!AP$53</f>
        <v>22374.6844534925</v>
      </c>
      <c r="AQ7" s="76" t="n">
        <f aca="false">Expenses!AQ$53</f>
        <v>24473.9405891441</v>
      </c>
      <c r="AR7" s="76" t="n">
        <f aca="false">Expenses!AR$53</f>
        <v>26956.7540186904</v>
      </c>
      <c r="AS7" s="76" t="n">
        <f aca="false">Expenses!AS$53</f>
        <v>29228.4281661914</v>
      </c>
      <c r="AT7" s="76" t="n">
        <f aca="false">Expenses!AT$53</f>
        <v>31339.2463643748</v>
      </c>
      <c r="AU7" s="76" t="n">
        <f aca="false">Expenses!AU$53</f>
        <v>33690.1975061532</v>
      </c>
      <c r="AV7" s="76" t="n">
        <f aca="false">Expenses!AV$53</f>
        <v>35921.2749198826</v>
      </c>
      <c r="AW7" s="76" t="n">
        <f aca="false">Expenses!AW$53</f>
        <v>38152.4723342181</v>
      </c>
      <c r="AX7" s="76" t="n">
        <f aca="false">Expenses!AX$53</f>
        <v>40503.7838540951</v>
      </c>
      <c r="AY7" s="76" t="n">
        <f aca="false">Expenses!AY$53</f>
        <v>42735.203938153</v>
      </c>
      <c r="AZ7" s="76" t="n">
        <f aca="false">Expenses!AZ$53</f>
        <v>44846.7273775128</v>
      </c>
      <c r="BA7" s="76" t="n">
        <f aca="false">Expenses!BA$53</f>
        <v>47198.3492758282</v>
      </c>
      <c r="BB7" s="64" t="n">
        <f aca="false">SUM(BC7:BN7)</f>
        <v>642634.787875621</v>
      </c>
      <c r="BC7" s="76" t="n">
        <f aca="false">Expenses!BC$53</f>
        <v>40084.7228670747</v>
      </c>
      <c r="BD7" s="76" t="n">
        <f aca="false">Expenses!BD$53</f>
        <v>42320.2049826509</v>
      </c>
      <c r="BE7" s="76" t="n">
        <f aca="false">Expenses!BE$53</f>
        <v>44771.0390589639</v>
      </c>
      <c r="BF7" s="76" t="n">
        <f aca="false">Expenses!BF$53</f>
        <v>47113.4870782584</v>
      </c>
      <c r="BG7" s="76" t="n">
        <f aca="false">Expenses!BG$53</f>
        <v>49718.0687215723</v>
      </c>
      <c r="BH7" s="76" t="n">
        <f aca="false">Expenses!BH$53</f>
        <v>52114.2055970278</v>
      </c>
      <c r="BI7" s="76" t="n">
        <f aca="false">Expenses!BI$53</f>
        <v>54841.8852842507</v>
      </c>
      <c r="BJ7" s="76" t="n">
        <f aca="false">Expenses!BJ$53</f>
        <v>57211.0961080888</v>
      </c>
      <c r="BK7" s="76" t="n">
        <f aca="false">Expenses!BK$53</f>
        <v>59821.8270938993</v>
      </c>
      <c r="BL7" s="76" t="n">
        <f aca="false">Expenses!BL$53</f>
        <v>62314.0679255179</v>
      </c>
      <c r="BM7" s="76" t="n">
        <f aca="false">Expenses!BM$53</f>
        <v>64687.8089057499</v>
      </c>
      <c r="BN7" s="76" t="n">
        <f aca="false">Expenses!BN$53</f>
        <v>67636.374252566</v>
      </c>
    </row>
    <row r="8" customFormat="false" ht="15" hidden="false" customHeight="false" outlineLevel="0" collapsed="false">
      <c r="A8" s="12" t="s">
        <v>902</v>
      </c>
      <c r="B8" s="64" t="n">
        <f aca="false">SUM(C8:N8)</f>
        <v>0</v>
      </c>
      <c r="C8" s="76" t="n">
        <f aca="false">'Income Statement'!$C$39/12</f>
        <v>-0</v>
      </c>
      <c r="D8" s="76" t="n">
        <f aca="false">'Income Statement'!$C$39/12</f>
        <v>-0</v>
      </c>
      <c r="E8" s="76" t="n">
        <f aca="false">'Income Statement'!$C$39/12</f>
        <v>-0</v>
      </c>
      <c r="F8" s="76" t="n">
        <f aca="false">'Income Statement'!$C$39/12</f>
        <v>-0</v>
      </c>
      <c r="G8" s="76" t="n">
        <f aca="false">'Income Statement'!$C$39/12</f>
        <v>-0</v>
      </c>
      <c r="H8" s="76" t="n">
        <f aca="false">'Income Statement'!$C$39/12</f>
        <v>-0</v>
      </c>
      <c r="I8" s="76" t="n">
        <f aca="false">'Income Statement'!$C$39/12</f>
        <v>-0</v>
      </c>
      <c r="J8" s="76" t="n">
        <f aca="false">'Income Statement'!$C$39/12</f>
        <v>-0</v>
      </c>
      <c r="K8" s="76" t="n">
        <f aca="false">'Income Statement'!$C$39/12</f>
        <v>-0</v>
      </c>
      <c r="L8" s="76" t="n">
        <f aca="false">'Income Statement'!$C$39/12</f>
        <v>-0</v>
      </c>
      <c r="M8" s="76" t="n">
        <f aca="false">'Income Statement'!$C$39/12</f>
        <v>-0</v>
      </c>
      <c r="N8" s="76" t="n">
        <f aca="false">'Income Statement'!$C$39/12</f>
        <v>-0</v>
      </c>
      <c r="O8" s="64" t="n">
        <f aca="false">SUM(P8:AA8)</f>
        <v>-18327.1242350798</v>
      </c>
      <c r="P8" s="76" t="n">
        <f aca="false">'Income Statement'!$D$39/12</f>
        <v>-1527.26035292332</v>
      </c>
      <c r="Q8" s="76" t="n">
        <f aca="false">'Income Statement'!$D$39/12</f>
        <v>-1527.26035292332</v>
      </c>
      <c r="R8" s="76" t="n">
        <f aca="false">'Income Statement'!$D$39/12</f>
        <v>-1527.26035292332</v>
      </c>
      <c r="S8" s="76" t="n">
        <f aca="false">'Income Statement'!$D$39/12</f>
        <v>-1527.26035292332</v>
      </c>
      <c r="T8" s="76" t="n">
        <f aca="false">'Income Statement'!$D$39/12</f>
        <v>-1527.26035292332</v>
      </c>
      <c r="U8" s="76" t="n">
        <f aca="false">'Income Statement'!$D$39/12</f>
        <v>-1527.26035292332</v>
      </c>
      <c r="V8" s="76" t="n">
        <f aca="false">'Income Statement'!$D$39/12</f>
        <v>-1527.26035292332</v>
      </c>
      <c r="W8" s="76" t="n">
        <f aca="false">'Income Statement'!$D$39/12</f>
        <v>-1527.26035292332</v>
      </c>
      <c r="X8" s="76" t="n">
        <f aca="false">'Income Statement'!$D$39/12</f>
        <v>-1527.26035292332</v>
      </c>
      <c r="Y8" s="76" t="n">
        <f aca="false">'Income Statement'!$D$39/12</f>
        <v>-1527.26035292332</v>
      </c>
      <c r="Z8" s="76" t="n">
        <f aca="false">'Income Statement'!$D$39/12</f>
        <v>-1527.26035292332</v>
      </c>
      <c r="AA8" s="76" t="n">
        <f aca="false">'Income Statement'!$D$39/12</f>
        <v>-1527.26035292332</v>
      </c>
      <c r="AB8" s="64" t="n">
        <f aca="false">SUM(AC8:AN8)</f>
        <v>-48220.9519897632</v>
      </c>
      <c r="AC8" s="76" t="n">
        <f aca="false">'Income Statement'!$E$39/12</f>
        <v>-4018.4126658136</v>
      </c>
      <c r="AD8" s="76" t="n">
        <f aca="false">'Income Statement'!$E$39/12</f>
        <v>-4018.4126658136</v>
      </c>
      <c r="AE8" s="76" t="n">
        <f aca="false">'Income Statement'!$E$39/12</f>
        <v>-4018.4126658136</v>
      </c>
      <c r="AF8" s="76" t="n">
        <f aca="false">'Income Statement'!$E$39/12</f>
        <v>-4018.4126658136</v>
      </c>
      <c r="AG8" s="76" t="n">
        <f aca="false">'Income Statement'!$E$39/12</f>
        <v>-4018.4126658136</v>
      </c>
      <c r="AH8" s="76" t="n">
        <f aca="false">'Income Statement'!$E$39/12</f>
        <v>-4018.4126658136</v>
      </c>
      <c r="AI8" s="76" t="n">
        <f aca="false">'Income Statement'!$E$39/12</f>
        <v>-4018.4126658136</v>
      </c>
      <c r="AJ8" s="76" t="n">
        <f aca="false">'Income Statement'!$E$39/12</f>
        <v>-4018.4126658136</v>
      </c>
      <c r="AK8" s="76" t="n">
        <f aca="false">'Income Statement'!$E$39/12</f>
        <v>-4018.4126658136</v>
      </c>
      <c r="AL8" s="76" t="n">
        <f aca="false">'Income Statement'!$E$39/12</f>
        <v>-4018.4126658136</v>
      </c>
      <c r="AM8" s="76" t="n">
        <f aca="false">'Income Statement'!$E$39/12</f>
        <v>-4018.4126658136</v>
      </c>
      <c r="AN8" s="76" t="n">
        <f aca="false">'Income Statement'!$E$39/12</f>
        <v>-4018.4126658136</v>
      </c>
      <c r="AO8" s="64" t="n">
        <f aca="false">SUM(AP8:BA8)</f>
        <v>-93919.7391294906</v>
      </c>
      <c r="AP8" s="76" t="n">
        <f aca="false">'Income Statement'!$F$39/12</f>
        <v>-7826.64492745755</v>
      </c>
      <c r="AQ8" s="76" t="n">
        <f aca="false">'Income Statement'!$F$39/12</f>
        <v>-7826.64492745755</v>
      </c>
      <c r="AR8" s="76" t="n">
        <f aca="false">'Income Statement'!$F$39/12</f>
        <v>-7826.64492745755</v>
      </c>
      <c r="AS8" s="76" t="n">
        <f aca="false">'Income Statement'!$F$39/12</f>
        <v>-7826.64492745755</v>
      </c>
      <c r="AT8" s="76" t="n">
        <f aca="false">'Income Statement'!$F$39/12</f>
        <v>-7826.64492745755</v>
      </c>
      <c r="AU8" s="76" t="n">
        <f aca="false">'Income Statement'!$F$39/12</f>
        <v>-7826.64492745755</v>
      </c>
      <c r="AV8" s="76" t="n">
        <f aca="false">'Income Statement'!$F$39/12</f>
        <v>-7826.64492745755</v>
      </c>
      <c r="AW8" s="76" t="n">
        <f aca="false">'Income Statement'!$F$39/12</f>
        <v>-7826.64492745755</v>
      </c>
      <c r="AX8" s="76" t="n">
        <f aca="false">'Income Statement'!$F$39/12</f>
        <v>-7826.64492745755</v>
      </c>
      <c r="AY8" s="76" t="n">
        <f aca="false">'Income Statement'!$F$39/12</f>
        <v>-7826.64492745755</v>
      </c>
      <c r="AZ8" s="76" t="n">
        <f aca="false">'Income Statement'!$F$39/12</f>
        <v>-7826.64492745755</v>
      </c>
      <c r="BA8" s="76" t="n">
        <f aca="false">'Income Statement'!$F$39/12</f>
        <v>-7826.64492745755</v>
      </c>
      <c r="BB8" s="64" t="n">
        <f aca="false">SUM(BC8:BN8)</f>
        <v>-144592.827272015</v>
      </c>
      <c r="BC8" s="76" t="n">
        <f aca="false">'Income Statement'!$G$39/12</f>
        <v>-12049.4022726679</v>
      </c>
      <c r="BD8" s="76" t="n">
        <f aca="false">'Income Statement'!$G$39/12</f>
        <v>-12049.4022726679</v>
      </c>
      <c r="BE8" s="76" t="n">
        <f aca="false">'Income Statement'!$G$39/12</f>
        <v>-12049.4022726679</v>
      </c>
      <c r="BF8" s="76" t="n">
        <f aca="false">'Income Statement'!$G$39/12</f>
        <v>-12049.4022726679</v>
      </c>
      <c r="BG8" s="76" t="n">
        <f aca="false">'Income Statement'!$G$39/12</f>
        <v>-12049.4022726679</v>
      </c>
      <c r="BH8" s="76" t="n">
        <f aca="false">'Income Statement'!$G$39/12</f>
        <v>-12049.4022726679</v>
      </c>
      <c r="BI8" s="76" t="n">
        <f aca="false">'Income Statement'!$G$39/12</f>
        <v>-12049.4022726679</v>
      </c>
      <c r="BJ8" s="76" t="n">
        <f aca="false">'Income Statement'!$G$39/12</f>
        <v>-12049.4022726679</v>
      </c>
      <c r="BK8" s="76" t="n">
        <f aca="false">'Income Statement'!$G$39/12</f>
        <v>-12049.4022726679</v>
      </c>
      <c r="BL8" s="76" t="n">
        <f aca="false">'Income Statement'!$G$39/12</f>
        <v>-12049.4022726679</v>
      </c>
      <c r="BM8" s="76" t="n">
        <f aca="false">'Income Statement'!$G$39/12</f>
        <v>-12049.4022726679</v>
      </c>
      <c r="BN8" s="76" t="n">
        <f aca="false">'Income Statement'!$G$39/12</f>
        <v>-12049.4022726679</v>
      </c>
    </row>
    <row r="9" customFormat="false" ht="15" hidden="false" customHeight="false" outlineLevel="0" collapsed="false">
      <c r="A9" s="18" t="s">
        <v>89</v>
      </c>
      <c r="B9" s="64" t="n">
        <f aca="false">SUM(C9:N9)</f>
        <v>-44837.5560819134</v>
      </c>
      <c r="C9" s="77" t="n">
        <f aca="false">C7+C8</f>
        <v>-9941.83303895547</v>
      </c>
      <c r="D9" s="77" t="n">
        <f aca="false">D7+D8</f>
        <v>-6384.85572412825</v>
      </c>
      <c r="E9" s="77" t="n">
        <f aca="false">E7+E8</f>
        <v>-5556.7102581022</v>
      </c>
      <c r="F9" s="77" t="n">
        <f aca="false">F7+F8</f>
        <v>-4953.77112548624</v>
      </c>
      <c r="G9" s="77" t="n">
        <f aca="false">G7+G8</f>
        <v>-4463.96808076756</v>
      </c>
      <c r="H9" s="77" t="n">
        <f aca="false">H7+H8</f>
        <v>-3732.3194209468</v>
      </c>
      <c r="I9" s="77" t="n">
        <f aca="false">I7+I8</f>
        <v>-3238.80963421838</v>
      </c>
      <c r="J9" s="77" t="n">
        <f aca="false">J7+J8</f>
        <v>-2503.42413948503</v>
      </c>
      <c r="K9" s="77" t="n">
        <f aca="false">K7+K8</f>
        <v>-2006.14923051533</v>
      </c>
      <c r="L9" s="77" t="n">
        <f aca="false">L7+L8</f>
        <v>-1266.97202345175</v>
      </c>
      <c r="M9" s="77" t="n">
        <f aca="false">M7+M8</f>
        <v>-765.880407468208</v>
      </c>
      <c r="N9" s="77" t="n">
        <f aca="false">N7+N8</f>
        <v>-22.8629983881741</v>
      </c>
      <c r="O9" s="64" t="n">
        <f aca="false">SUM(P9:AA9)</f>
        <v>107964.317336077</v>
      </c>
      <c r="P9" s="77" t="n">
        <f aca="false">P7+P8</f>
        <v>2010.60904273254</v>
      </c>
      <c r="Q9" s="77" t="n">
        <f aca="false">Q7+Q8</f>
        <v>3009.51673160975</v>
      </c>
      <c r="R9" s="77" t="n">
        <f aca="false">R7+R8</f>
        <v>3487.00435941768</v>
      </c>
      <c r="S9" s="77" t="n">
        <f aca="false">S7+S8</f>
        <v>5114.50555081631</v>
      </c>
      <c r="T9" s="77" t="n">
        <f aca="false">T7+T8</f>
        <v>6613.04048178208</v>
      </c>
      <c r="U9" s="77" t="n">
        <f aca="false">U7+U8</f>
        <v>8113.77996880061</v>
      </c>
      <c r="V9" s="77" t="n">
        <f aca="false">V7+V8</f>
        <v>9616.72731704191</v>
      </c>
      <c r="W9" s="77" t="n">
        <f aca="false">W7+W8</f>
        <v>11079.238675388</v>
      </c>
      <c r="X9" s="77" t="n">
        <f aca="false">X7+X8</f>
        <v>12537.3148175585</v>
      </c>
      <c r="Y9" s="77" t="n">
        <f aca="false">Y7+Y8</f>
        <v>13997.6075934812</v>
      </c>
      <c r="Z9" s="77" t="n">
        <f aca="false">Z7+Z8</f>
        <v>15460.119583664</v>
      </c>
      <c r="AA9" s="77" t="n">
        <f aca="false">AA7+AA8</f>
        <v>16924.8532137845</v>
      </c>
      <c r="AB9" s="64" t="n">
        <f aca="false">SUM(AC9:AN9)</f>
        <v>166094.390186962</v>
      </c>
      <c r="AC9" s="77" t="n">
        <f aca="false">AC7+AC8</f>
        <v>2497.45756265928</v>
      </c>
      <c r="AD9" s="77" t="n">
        <f aca="false">AD7+AD8</f>
        <v>3827.18178658298</v>
      </c>
      <c r="AE9" s="77" t="n">
        <f aca="false">AE7+AE8</f>
        <v>5658.58013543442</v>
      </c>
      <c r="AF9" s="77" t="n">
        <f aca="false">AF7+AF8</f>
        <v>7739.19887746829</v>
      </c>
      <c r="AG9" s="77" t="n">
        <f aca="false">AG7+AG8</f>
        <v>10243.0107989027</v>
      </c>
      <c r="AH9" s="77" t="n">
        <f aca="false">AH7+AH8</f>
        <v>12428.6460132945</v>
      </c>
      <c r="AI9" s="77" t="n">
        <f aca="false">AI7+AI8</f>
        <v>14857.299411112</v>
      </c>
      <c r="AJ9" s="77" t="n">
        <f aca="false">AJ7+AJ8</f>
        <v>17048.9871921395</v>
      </c>
      <c r="AK9" s="77" t="n">
        <f aca="false">AK7+AK8</f>
        <v>19483.7245841745</v>
      </c>
      <c r="AL9" s="77" t="n">
        <f aca="false">AL7+AL8</f>
        <v>21681.5259013463</v>
      </c>
      <c r="AM9" s="77" t="n">
        <f aca="false">AM7+AM8</f>
        <v>24212.4045989368</v>
      </c>
      <c r="AN9" s="77" t="n">
        <f aca="false">AN7+AN8</f>
        <v>26416.3733249108</v>
      </c>
      <c r="AO9" s="64" t="n">
        <f aca="false">SUM(AP9:BA9)</f>
        <v>323501.323668245</v>
      </c>
      <c r="AP9" s="77" t="n">
        <f aca="false">AP7+AP8</f>
        <v>14548.0395260349</v>
      </c>
      <c r="AQ9" s="77" t="n">
        <f aca="false">AQ7+AQ8</f>
        <v>16647.2956616865</v>
      </c>
      <c r="AR9" s="77" t="n">
        <f aca="false">AR7+AR8</f>
        <v>19130.1090912329</v>
      </c>
      <c r="AS9" s="77" t="n">
        <f aca="false">AS7+AS8</f>
        <v>21401.7832387339</v>
      </c>
      <c r="AT9" s="77" t="n">
        <f aca="false">AT7+AT8</f>
        <v>23512.6014369173</v>
      </c>
      <c r="AU9" s="77" t="n">
        <f aca="false">AU7+AU8</f>
        <v>25863.5525786956</v>
      </c>
      <c r="AV9" s="77" t="n">
        <f aca="false">AV7+AV8</f>
        <v>28094.6299924251</v>
      </c>
      <c r="AW9" s="77" t="n">
        <f aca="false">AW7+AW8</f>
        <v>30325.8274067606</v>
      </c>
      <c r="AX9" s="77" t="n">
        <f aca="false">AX7+AX8</f>
        <v>32677.1389266375</v>
      </c>
      <c r="AY9" s="77" t="n">
        <f aca="false">AY7+AY8</f>
        <v>34908.5590106954</v>
      </c>
      <c r="AZ9" s="77" t="n">
        <f aca="false">AZ7+AZ8</f>
        <v>37020.0824500552</v>
      </c>
      <c r="BA9" s="77" t="n">
        <f aca="false">BA7+BA8</f>
        <v>39371.7043483707</v>
      </c>
      <c r="BB9" s="64" t="n">
        <f aca="false">SUM(BC9:BN9)</f>
        <v>498041.960603606</v>
      </c>
      <c r="BC9" s="77" t="n">
        <f aca="false">BC7+BC8</f>
        <v>28035.3205944068</v>
      </c>
      <c r="BD9" s="77" t="n">
        <f aca="false">BD7+BD8</f>
        <v>30270.802709983</v>
      </c>
      <c r="BE9" s="77" t="n">
        <f aca="false">BE7+BE8</f>
        <v>32721.636786296</v>
      </c>
      <c r="BF9" s="77" t="n">
        <f aca="false">BF7+BF8</f>
        <v>35064.0848055905</v>
      </c>
      <c r="BG9" s="77" t="n">
        <f aca="false">BG7+BG8</f>
        <v>37668.6664489044</v>
      </c>
      <c r="BH9" s="77" t="n">
        <f aca="false">BH7+BH8</f>
        <v>40064.80332436</v>
      </c>
      <c r="BI9" s="77" t="n">
        <f aca="false">BI7+BI8</f>
        <v>42792.4830115828</v>
      </c>
      <c r="BJ9" s="77" t="n">
        <f aca="false">BJ7+BJ8</f>
        <v>45161.693835421</v>
      </c>
      <c r="BK9" s="77" t="n">
        <f aca="false">BK7+BK8</f>
        <v>47772.4248212314</v>
      </c>
      <c r="BL9" s="77" t="n">
        <f aca="false">BL7+BL8</f>
        <v>50264.66565285</v>
      </c>
      <c r="BM9" s="77" t="n">
        <f aca="false">BM7+BM8</f>
        <v>52638.406633082</v>
      </c>
      <c r="BN9" s="77" t="n">
        <f aca="false">BN7+BN8</f>
        <v>55586.9719798981</v>
      </c>
    </row>
    <row r="10" customFormat="false" ht="15" hidden="false" customHeight="false" outlineLevel="0" collapsed="false">
      <c r="A10" s="12" t="s">
        <v>903</v>
      </c>
      <c r="B10" s="64" t="n">
        <f aca="false">SUM(C10:N10)</f>
        <v>3222.08333333333</v>
      </c>
      <c r="C10" s="76" t="n">
        <f aca="false">Expenses!C$46</f>
        <v>0</v>
      </c>
      <c r="D10" s="76" t="n">
        <f aca="false">Expenses!D$46</f>
        <v>251.25</v>
      </c>
      <c r="E10" s="76" t="n">
        <f aca="false">Expenses!E$46</f>
        <v>297.083333333333</v>
      </c>
      <c r="F10" s="76" t="n">
        <f aca="false">Expenses!F$46</f>
        <v>297.083333333333</v>
      </c>
      <c r="G10" s="76" t="n">
        <f aca="false">Expenses!G$46</f>
        <v>297.083333333333</v>
      </c>
      <c r="H10" s="76" t="n">
        <f aca="false">Expenses!H$46</f>
        <v>297.083333333333</v>
      </c>
      <c r="I10" s="76" t="n">
        <f aca="false">Expenses!I$46</f>
        <v>297.083333333333</v>
      </c>
      <c r="J10" s="76" t="n">
        <f aca="false">Expenses!J$46</f>
        <v>297.083333333333</v>
      </c>
      <c r="K10" s="76" t="n">
        <f aca="false">Expenses!K$46</f>
        <v>297.083333333333</v>
      </c>
      <c r="L10" s="76" t="n">
        <f aca="false">Expenses!L$46</f>
        <v>297.083333333333</v>
      </c>
      <c r="M10" s="76" t="n">
        <f aca="false">Expenses!M$46</f>
        <v>297.083333333333</v>
      </c>
      <c r="N10" s="76" t="n">
        <f aca="false">Expenses!N$46</f>
        <v>297.083333333333</v>
      </c>
      <c r="O10" s="64" t="n">
        <f aca="false">SUM(P10:AA10)</f>
        <v>4603.125</v>
      </c>
      <c r="P10" s="76" t="n">
        <f aca="false">Expenses!P$46</f>
        <v>297.083333333333</v>
      </c>
      <c r="Q10" s="76" t="n">
        <f aca="false">Expenses!Q$46</f>
        <v>391.458333333333</v>
      </c>
      <c r="R10" s="76" t="n">
        <f aca="false">Expenses!R$46</f>
        <v>391.458333333333</v>
      </c>
      <c r="S10" s="76" t="n">
        <f aca="false">Expenses!S$46</f>
        <v>391.458333333333</v>
      </c>
      <c r="T10" s="76" t="n">
        <f aca="false">Expenses!T$46</f>
        <v>391.458333333333</v>
      </c>
      <c r="U10" s="76" t="n">
        <f aca="false">Expenses!U$46</f>
        <v>391.458333333333</v>
      </c>
      <c r="V10" s="76" t="n">
        <f aca="false">Expenses!V$46</f>
        <v>391.458333333333</v>
      </c>
      <c r="W10" s="76" t="n">
        <f aca="false">Expenses!W$46</f>
        <v>391.458333333333</v>
      </c>
      <c r="X10" s="76" t="n">
        <f aca="false">Expenses!X$46</f>
        <v>391.458333333333</v>
      </c>
      <c r="Y10" s="76" t="n">
        <f aca="false">Expenses!Y$46</f>
        <v>391.458333333333</v>
      </c>
      <c r="Z10" s="76" t="n">
        <f aca="false">Expenses!Z$46</f>
        <v>391.458333333333</v>
      </c>
      <c r="AA10" s="76" t="n">
        <f aca="false">Expenses!AA$46</f>
        <v>391.458333333333</v>
      </c>
      <c r="AB10" s="64" t="n">
        <f aca="false">SUM(AC10:AN10)</f>
        <v>7388.95833333333</v>
      </c>
      <c r="AC10" s="76" t="n">
        <f aca="false">Expenses!AC$46</f>
        <v>391.458333333333</v>
      </c>
      <c r="AD10" s="76" t="n">
        <f aca="false">Expenses!AD$46</f>
        <v>652.5</v>
      </c>
      <c r="AE10" s="76" t="n">
        <f aca="false">Expenses!AE$46</f>
        <v>652.5</v>
      </c>
      <c r="AF10" s="76" t="n">
        <f aca="false">Expenses!AF$46</f>
        <v>652.5</v>
      </c>
      <c r="AG10" s="76" t="n">
        <f aca="false">Expenses!AG$46</f>
        <v>652.5</v>
      </c>
      <c r="AH10" s="76" t="n">
        <f aca="false">Expenses!AH$46</f>
        <v>652.5</v>
      </c>
      <c r="AI10" s="76" t="n">
        <f aca="false">Expenses!AI$46</f>
        <v>652.5</v>
      </c>
      <c r="AJ10" s="76" t="n">
        <f aca="false">Expenses!AJ$46</f>
        <v>652.5</v>
      </c>
      <c r="AK10" s="76" t="n">
        <f aca="false">Expenses!AK$46</f>
        <v>652.5</v>
      </c>
      <c r="AL10" s="76" t="n">
        <f aca="false">Expenses!AL$46</f>
        <v>652.5</v>
      </c>
      <c r="AM10" s="76" t="n">
        <f aca="false">Expenses!AM$46</f>
        <v>562.5</v>
      </c>
      <c r="AN10" s="76" t="n">
        <f aca="false">Expenses!AN$46</f>
        <v>562.5</v>
      </c>
      <c r="AO10" s="64" t="n">
        <f aca="false">SUM(AP10:BA10)</f>
        <v>8524.16666666667</v>
      </c>
      <c r="AP10" s="76" t="n">
        <f aca="false">Expenses!AP$46</f>
        <v>562.5</v>
      </c>
      <c r="AQ10" s="76" t="n">
        <f aca="false">Expenses!AQ$46</f>
        <v>778.333333333333</v>
      </c>
      <c r="AR10" s="76" t="n">
        <f aca="false">Expenses!AR$46</f>
        <v>778.333333333333</v>
      </c>
      <c r="AS10" s="76" t="n">
        <f aca="false">Expenses!AS$46</f>
        <v>778.333333333333</v>
      </c>
      <c r="AT10" s="76" t="n">
        <f aca="false">Expenses!AT$46</f>
        <v>778.333333333333</v>
      </c>
      <c r="AU10" s="76" t="n">
        <f aca="false">Expenses!AU$46</f>
        <v>778.333333333333</v>
      </c>
      <c r="AV10" s="76" t="n">
        <f aca="false">Expenses!AV$46</f>
        <v>778.333333333333</v>
      </c>
      <c r="AW10" s="76" t="n">
        <f aca="false">Expenses!AW$46</f>
        <v>658.333333333333</v>
      </c>
      <c r="AX10" s="76" t="n">
        <f aca="false">Expenses!AX$46</f>
        <v>658.333333333333</v>
      </c>
      <c r="AY10" s="76" t="n">
        <f aca="false">Expenses!AY$46</f>
        <v>658.333333333333</v>
      </c>
      <c r="AZ10" s="76" t="n">
        <f aca="false">Expenses!AZ$46</f>
        <v>658.333333333333</v>
      </c>
      <c r="BA10" s="76" t="n">
        <f aca="false">Expenses!BA$46</f>
        <v>658.333333333333</v>
      </c>
      <c r="BB10" s="64" t="n">
        <f aca="false">SUM(BC10:BN10)</f>
        <v>8745</v>
      </c>
      <c r="BC10" s="76" t="n">
        <f aca="false">Expenses!BC$46</f>
        <v>658.333333333333</v>
      </c>
      <c r="BD10" s="76" t="n">
        <f aca="false">Expenses!BD$46</f>
        <v>891.666666666667</v>
      </c>
      <c r="BE10" s="76" t="n">
        <f aca="false">Expenses!BE$46</f>
        <v>845.833333333333</v>
      </c>
      <c r="BF10" s="76" t="n">
        <f aca="false">Expenses!BF$46</f>
        <v>845.833333333333</v>
      </c>
      <c r="BG10" s="76" t="n">
        <f aca="false">Expenses!BG$46</f>
        <v>845.833333333333</v>
      </c>
      <c r="BH10" s="76" t="n">
        <f aca="false">Expenses!BH$46</f>
        <v>815.833333333333</v>
      </c>
      <c r="BI10" s="76" t="n">
        <f aca="false">Expenses!BI$46</f>
        <v>695.833333333333</v>
      </c>
      <c r="BJ10" s="76" t="n">
        <f aca="false">Expenses!BJ$46</f>
        <v>695.833333333333</v>
      </c>
      <c r="BK10" s="76" t="n">
        <f aca="false">Expenses!BK$46</f>
        <v>695.833333333333</v>
      </c>
      <c r="BL10" s="76" t="n">
        <f aca="false">Expenses!BL$46</f>
        <v>695.833333333333</v>
      </c>
      <c r="BM10" s="76" t="n">
        <f aca="false">Expenses!BM$46</f>
        <v>695.833333333333</v>
      </c>
      <c r="BN10" s="76" t="n">
        <f aca="false">Expenses!BN$46</f>
        <v>362.500000000002</v>
      </c>
    </row>
    <row r="12" customFormat="false" ht="16.5" hidden="false" customHeight="true" outlineLevel="0" collapsed="false">
      <c r="A12" s="15" t="s">
        <v>904</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481</v>
      </c>
      <c r="B13" s="61" t="s">
        <v>81</v>
      </c>
      <c r="C13" s="62" t="s">
        <v>482</v>
      </c>
      <c r="D13" s="62" t="s">
        <v>483</v>
      </c>
      <c r="E13" s="62" t="s">
        <v>484</v>
      </c>
      <c r="F13" s="62" t="s">
        <v>485</v>
      </c>
      <c r="G13" s="62" t="s">
        <v>486</v>
      </c>
      <c r="H13" s="62" t="s">
        <v>487</v>
      </c>
      <c r="I13" s="62" t="s">
        <v>488</v>
      </c>
      <c r="J13" s="62" t="s">
        <v>489</v>
      </c>
      <c r="K13" s="62" t="s">
        <v>490</v>
      </c>
      <c r="L13" s="62" t="s">
        <v>491</v>
      </c>
      <c r="M13" s="62" t="s">
        <v>492</v>
      </c>
      <c r="N13" s="62" t="s">
        <v>493</v>
      </c>
      <c r="O13" s="61" t="s">
        <v>82</v>
      </c>
      <c r="P13" s="63" t="s">
        <v>494</v>
      </c>
      <c r="Q13" s="63" t="s">
        <v>495</v>
      </c>
      <c r="R13" s="63" t="s">
        <v>496</v>
      </c>
      <c r="S13" s="63" t="s">
        <v>497</v>
      </c>
      <c r="T13" s="63" t="s">
        <v>498</v>
      </c>
      <c r="U13" s="63" t="s">
        <v>499</v>
      </c>
      <c r="V13" s="63" t="s">
        <v>500</v>
      </c>
      <c r="W13" s="63" t="s">
        <v>501</v>
      </c>
      <c r="X13" s="63" t="s">
        <v>502</v>
      </c>
      <c r="Y13" s="63" t="s">
        <v>503</v>
      </c>
      <c r="Z13" s="63" t="s">
        <v>504</v>
      </c>
      <c r="AA13" s="63" t="s">
        <v>505</v>
      </c>
      <c r="AB13" s="61" t="s">
        <v>83</v>
      </c>
      <c r="AC13" s="62" t="s">
        <v>506</v>
      </c>
      <c r="AD13" s="62" t="s">
        <v>507</v>
      </c>
      <c r="AE13" s="62" t="s">
        <v>508</v>
      </c>
      <c r="AF13" s="62" t="s">
        <v>509</v>
      </c>
      <c r="AG13" s="62" t="s">
        <v>510</v>
      </c>
      <c r="AH13" s="62" t="s">
        <v>511</v>
      </c>
      <c r="AI13" s="62" t="s">
        <v>512</v>
      </c>
      <c r="AJ13" s="62" t="s">
        <v>513</v>
      </c>
      <c r="AK13" s="62" t="s">
        <v>514</v>
      </c>
      <c r="AL13" s="62" t="s">
        <v>515</v>
      </c>
      <c r="AM13" s="62" t="s">
        <v>516</v>
      </c>
      <c r="AN13" s="62" t="s">
        <v>517</v>
      </c>
      <c r="AO13" s="61" t="s">
        <v>84</v>
      </c>
      <c r="AP13" s="63" t="s">
        <v>518</v>
      </c>
      <c r="AQ13" s="63" t="s">
        <v>519</v>
      </c>
      <c r="AR13" s="63" t="s">
        <v>520</v>
      </c>
      <c r="AS13" s="63" t="s">
        <v>521</v>
      </c>
      <c r="AT13" s="63" t="s">
        <v>522</v>
      </c>
      <c r="AU13" s="63" t="s">
        <v>523</v>
      </c>
      <c r="AV13" s="63" t="s">
        <v>524</v>
      </c>
      <c r="AW13" s="63" t="s">
        <v>525</v>
      </c>
      <c r="AX13" s="63" t="s">
        <v>526</v>
      </c>
      <c r="AY13" s="63" t="s">
        <v>527</v>
      </c>
      <c r="AZ13" s="63" t="s">
        <v>528</v>
      </c>
      <c r="BA13" s="63" t="s">
        <v>529</v>
      </c>
      <c r="BB13" s="61" t="s">
        <v>85</v>
      </c>
      <c r="BC13" s="62" t="s">
        <v>530</v>
      </c>
      <c r="BD13" s="62" t="s">
        <v>531</v>
      </c>
      <c r="BE13" s="62" t="s">
        <v>532</v>
      </c>
      <c r="BF13" s="62" t="s">
        <v>533</v>
      </c>
      <c r="BG13" s="62" t="s">
        <v>534</v>
      </c>
      <c r="BH13" s="62" t="s">
        <v>535</v>
      </c>
      <c r="BI13" s="62" t="s">
        <v>536</v>
      </c>
      <c r="BJ13" s="62" t="s">
        <v>537</v>
      </c>
      <c r="BK13" s="62" t="s">
        <v>538</v>
      </c>
      <c r="BL13" s="62" t="s">
        <v>539</v>
      </c>
      <c r="BM13" s="62" t="s">
        <v>540</v>
      </c>
      <c r="BN13" s="62" t="s">
        <v>541</v>
      </c>
    </row>
    <row r="14" customFormat="false" ht="15" hidden="false" customHeight="false" outlineLevel="0" collapsed="false">
      <c r="A14" s="12" t="s">
        <v>548</v>
      </c>
      <c r="B14" s="64" t="n">
        <f aca="false">N14</f>
        <v>35671.5650013932</v>
      </c>
      <c r="C14" s="65" t="n">
        <f aca="false">'Revenue Streams'!C$37*'Assumption Setting'!$C$201/30+'Revenue Streams'!C$45*'Assumption Setting'!$C$202/30</f>
        <v>6184.50594796962</v>
      </c>
      <c r="D14" s="65" t="n">
        <f aca="false">'Revenue Streams'!D$37*'Assumption Setting'!$C$201/30+'Revenue Streams'!D$45*'Assumption Setting'!$C$202/30</f>
        <v>9894.50840427257</v>
      </c>
      <c r="E14" s="65" t="n">
        <f aca="false">'Revenue Streams'!E$37*'Assumption Setting'!$C$201/30+'Revenue Streams'!E$45*'Assumption Setting'!$C$202/30</f>
        <v>12964.1813839726</v>
      </c>
      <c r="F14" s="65" t="n">
        <f aca="false">'Revenue Streams'!F$37*'Assumption Setting'!$C$201/30+'Revenue Streams'!F$45*'Assumption Setting'!$C$202/30</f>
        <v>14939.5845638154</v>
      </c>
      <c r="G14" s="65" t="n">
        <f aca="false">'Revenue Streams'!G$37*'Assumption Setting'!$C$201/30+'Revenue Streams'!G$45*'Assumption Setting'!$C$202/30</f>
        <v>17530.5733441994</v>
      </c>
      <c r="H14" s="65" t="n">
        <f aca="false">'Revenue Streams'!H$37*'Assumption Setting'!$C$201/30+'Revenue Streams'!H$45*'Assumption Setting'!$C$202/30</f>
        <v>20121.7074886729</v>
      </c>
      <c r="I14" s="65" t="n">
        <f aca="false">'Revenue Streams'!I$37*'Assumption Setting'!$C$201/30+'Revenue Streams'!I$45*'Assumption Setting'!$C$202/30</f>
        <v>22712.9869972359</v>
      </c>
      <c r="J14" s="65" t="n">
        <f aca="false">'Revenue Streams'!J$37*'Assumption Setting'!$C$201/30+'Revenue Streams'!J$45*'Assumption Setting'!$C$202/30</f>
        <v>25304.4118698884</v>
      </c>
      <c r="K14" s="65" t="n">
        <f aca="false">'Revenue Streams'!K$37*'Assumption Setting'!$C$201/30+'Revenue Streams'!K$45*'Assumption Setting'!$C$202/30</f>
        <v>27895.9821066304</v>
      </c>
      <c r="L14" s="65" t="n">
        <f aca="false">'Revenue Streams'!L$37*'Assumption Setting'!$C$201/30+'Revenue Streams'!L$45*'Assumption Setting'!$C$202/30</f>
        <v>30487.6977074618</v>
      </c>
      <c r="M14" s="65" t="n">
        <f aca="false">'Revenue Streams'!M$37*'Assumption Setting'!$C$201/30+'Revenue Streams'!M$45*'Assumption Setting'!$C$202/30</f>
        <v>33079.5586723827</v>
      </c>
      <c r="N14" s="65" t="n">
        <f aca="false">'Revenue Streams'!N$37*'Assumption Setting'!$C$201/30+'Revenue Streams'!N$45*'Assumption Setting'!$C$202/30</f>
        <v>35671.5650013932</v>
      </c>
      <c r="O14" s="64" t="n">
        <f aca="false">AA14</f>
        <v>153297.958211166</v>
      </c>
      <c r="P14" s="65" t="n">
        <f aca="false">'Revenue Streams'!P$37*'Assumption Setting'!$C$201/30+'Revenue Streams'!P$45*'Assumption Setting'!$C$202/30</f>
        <v>101421.000935771</v>
      </c>
      <c r="Q14" s="65" t="n">
        <f aca="false">'Revenue Streams'!Q$37*'Assumption Setting'!$C$201/30+'Revenue Streams'!Q$45*'Assumption Setting'!$C$202/30</f>
        <v>99410.2762545652</v>
      </c>
      <c r="R14" s="65" t="n">
        <f aca="false">'Revenue Streams'!R$37*'Assumption Setting'!$C$201/30+'Revenue Streams'!R$45*'Assumption Setting'!$C$202/30</f>
        <v>100601.277568659</v>
      </c>
      <c r="S14" s="65" t="n">
        <f aca="false">'Revenue Streams'!S$37*'Assumption Setting'!$C$201/30+'Revenue Streams'!S$45*'Assumption Setting'!$C$202/30</f>
        <v>107399.150449981</v>
      </c>
      <c r="T14" s="65" t="n">
        <f aca="false">'Revenue Streams'!T$37*'Assumption Setting'!$C$201/30+'Revenue Streams'!T$45*'Assumption Setting'!$C$202/30</f>
        <v>113214.155436128</v>
      </c>
      <c r="U14" s="65" t="n">
        <f aca="false">'Revenue Streams'!U$37*'Assumption Setting'!$C$201/30+'Revenue Streams'!U$45*'Assumption Setting'!$C$202/30</f>
        <v>119029.316528818</v>
      </c>
      <c r="V14" s="65" t="n">
        <f aca="false">'Revenue Streams'!V$37*'Assumption Setting'!$C$201/30+'Revenue Streams'!V$45*'Assumption Setting'!$C$202/30</f>
        <v>124844.633728052</v>
      </c>
      <c r="W14" s="65" t="n">
        <f aca="false">'Revenue Streams'!W$37*'Assumption Setting'!$C$201/30+'Revenue Streams'!W$45*'Assumption Setting'!$C$202/30</f>
        <v>130548.861838771</v>
      </c>
      <c r="X14" s="65" t="n">
        <f aca="false">'Revenue Streams'!X$37*'Assumption Setting'!$C$201/30+'Revenue Streams'!X$45*'Assumption Setting'!$C$202/30</f>
        <v>136235.901772055</v>
      </c>
      <c r="Y14" s="65" t="n">
        <f aca="false">'Revenue Streams'!Y$37*'Assumption Setting'!$C$201/30+'Revenue Streams'!Y$45*'Assumption Setting'!$C$202/30</f>
        <v>141923.097811881</v>
      </c>
      <c r="Z14" s="65" t="n">
        <f aca="false">'Revenue Streams'!Z$37*'Assumption Setting'!$C$201/30+'Revenue Streams'!Z$45*'Assumption Setting'!$C$202/30</f>
        <v>147610.449958252</v>
      </c>
      <c r="AA14" s="65" t="n">
        <f aca="false">'Revenue Streams'!AA$37*'Assumption Setting'!$C$201/30+'Revenue Streams'!AA$45*'Assumption Setting'!$C$202/30</f>
        <v>153297.958211166</v>
      </c>
      <c r="AB14" s="64" t="n">
        <f aca="false">AN14</f>
        <v>274038.55681608</v>
      </c>
      <c r="AC14" s="65" t="n">
        <f aca="false">'Revenue Streams'!AC$37*'Assumption Setting'!$C$201/30+'Revenue Streams'!AC$45*'Assumption Setting'!$C$202/30</f>
        <v>174084.160923471</v>
      </c>
      <c r="AD14" s="65" t="n">
        <f aca="false">'Revenue Streams'!AD$37*'Assumption Setting'!$C$201/30+'Revenue Streams'!AD$45*'Assumption Setting'!$C$202/30</f>
        <v>180525.618587773</v>
      </c>
      <c r="AE14" s="65" t="n">
        <f aca="false">'Revenue Streams'!AE$37*'Assumption Setting'!$C$201/30+'Revenue Streams'!AE$45*'Assumption Setting'!$C$202/30</f>
        <v>187923.74314323</v>
      </c>
      <c r="AF14" s="65" t="n">
        <f aca="false">'Revenue Streams'!AF$37*'Assumption Setting'!$C$201/30+'Revenue Streams'!AF$45*'Assumption Setting'!$C$202/30</f>
        <v>197003.144609884</v>
      </c>
      <c r="AG14" s="65" t="n">
        <f aca="false">'Revenue Streams'!AG$37*'Assumption Setting'!$C$201/30+'Revenue Streams'!AG$45*'Assumption Setting'!$C$202/30</f>
        <v>206817.060001925</v>
      </c>
      <c r="AH14" s="65" t="n">
        <f aca="false">'Revenue Streams'!AH$37*'Assumption Setting'!$C$201/30+'Revenue Streams'!AH$45*'Assumption Setting'!$C$202/30</f>
        <v>216419.449487327</v>
      </c>
      <c r="AI14" s="65" t="n">
        <f aca="false">'Revenue Streams'!AI$37*'Assumption Setting'!$C$201/30+'Revenue Streams'!AI$45*'Assumption Setting'!$C$202/30</f>
        <v>226022.066135413</v>
      </c>
      <c r="AJ14" s="65" t="n">
        <f aca="false">'Revenue Streams'!AJ$37*'Assumption Setting'!$C$201/30+'Revenue Streams'!AJ$45*'Assumption Setting'!$C$202/30</f>
        <v>235624.909946181</v>
      </c>
      <c r="AK14" s="65" t="n">
        <f aca="false">'Revenue Streams'!AK$37*'Assumption Setting'!$C$201/30+'Revenue Streams'!AK$45*'Assumption Setting'!$C$202/30</f>
        <v>245227.980919631</v>
      </c>
      <c r="AL14" s="65" t="n">
        <f aca="false">'Revenue Streams'!AL$37*'Assumption Setting'!$C$201/30+'Revenue Streams'!AL$45*'Assumption Setting'!$C$202/30</f>
        <v>254831.279055765</v>
      </c>
      <c r="AM14" s="65" t="n">
        <f aca="false">'Revenue Streams'!AM$37*'Assumption Setting'!$C$201/30+'Revenue Streams'!AM$45*'Assumption Setting'!$C$202/30</f>
        <v>264434.804354581</v>
      </c>
      <c r="AN14" s="65" t="n">
        <f aca="false">'Revenue Streams'!AN$37*'Assumption Setting'!$C$201/30+'Revenue Streams'!AN$45*'Assumption Setting'!$C$202/30</f>
        <v>274038.55681608</v>
      </c>
      <c r="AO14" s="64" t="n">
        <f aca="false">BA14</f>
        <v>410456.177651329</v>
      </c>
      <c r="AP14" s="65" t="n">
        <f aca="false">'Revenue Streams'!AP$37*'Assumption Setting'!$C$201/30+'Revenue Streams'!AP$45*'Assumption Setting'!$C$202/30</f>
        <v>306191.137084577</v>
      </c>
      <c r="AQ14" s="65" t="n">
        <f aca="false">'Revenue Streams'!AQ$37*'Assumption Setting'!$C$201/30+'Revenue Streams'!AQ$45*'Assumption Setting'!$C$202/30</f>
        <v>316442.312141939</v>
      </c>
      <c r="AR14" s="65" t="n">
        <f aca="false">'Revenue Streams'!AR$37*'Assumption Setting'!$C$201/30+'Revenue Streams'!AR$45*'Assumption Setting'!$C$202/30</f>
        <v>326357.615345964</v>
      </c>
      <c r="AS14" s="65" t="n">
        <f aca="false">'Revenue Streams'!AS$37*'Assumption Setting'!$C$201/30+'Revenue Streams'!AS$45*'Assumption Setting'!$C$202/30</f>
        <v>335842.85458854</v>
      </c>
      <c r="AT14" s="65" t="n">
        <f aca="false">'Revenue Streams'!AT$37*'Assumption Setting'!$C$201/30+'Revenue Streams'!AT$45*'Assumption Setting'!$C$202/30</f>
        <v>345169.514712435</v>
      </c>
      <c r="AU14" s="65" t="n">
        <f aca="false">'Revenue Streams'!AU$37*'Assumption Setting'!$C$201/30+'Revenue Streams'!AU$45*'Assumption Setting'!$C$202/30</f>
        <v>354496.176338887</v>
      </c>
      <c r="AV14" s="65" t="n">
        <f aca="false">'Revenue Streams'!AV$37*'Assumption Setting'!$C$201/30+'Revenue Streams'!AV$45*'Assumption Setting'!$C$202/30</f>
        <v>363822.839467899</v>
      </c>
      <c r="AW14" s="65" t="n">
        <f aca="false">'Revenue Streams'!AW$37*'Assumption Setting'!$C$201/30+'Revenue Streams'!AW$45*'Assumption Setting'!$C$202/30</f>
        <v>373149.504099468</v>
      </c>
      <c r="AX14" s="65" t="n">
        <f aca="false">'Revenue Streams'!AX$37*'Assumption Setting'!$C$201/30+'Revenue Streams'!AX$45*'Assumption Setting'!$C$202/30</f>
        <v>382476.170233596</v>
      </c>
      <c r="AY14" s="65" t="n">
        <f aca="false">'Revenue Streams'!AY$37*'Assumption Setting'!$C$201/30+'Revenue Streams'!AY$45*'Assumption Setting'!$C$202/30</f>
        <v>391802.837870282</v>
      </c>
      <c r="AZ14" s="65" t="n">
        <f aca="false">'Revenue Streams'!AZ$37*'Assumption Setting'!$C$201/30+'Revenue Streams'!AZ$45*'Assumption Setting'!$C$202/30</f>
        <v>401129.507009527</v>
      </c>
      <c r="BA14" s="65" t="n">
        <f aca="false">'Revenue Streams'!BA$37*'Assumption Setting'!$C$201/30+'Revenue Streams'!BA$45*'Assumption Setting'!$C$202/30</f>
        <v>410456.177651329</v>
      </c>
      <c r="BB14" s="64" t="n">
        <f aca="false">BN14</f>
        <v>563800.423996817</v>
      </c>
      <c r="BC14" s="65" t="n">
        <f aca="false">'Revenue Streams'!BC$37*'Assumption Setting'!$C$201/30+'Revenue Streams'!BC$45*'Assumption Setting'!$C$202/30</f>
        <v>448044.933593172</v>
      </c>
      <c r="BD14" s="65" t="n">
        <f aca="false">'Revenue Streams'!BD$37*'Assumption Setting'!$C$201/30+'Revenue Streams'!BD$45*'Assumption Setting'!$C$202/30</f>
        <v>458057.792963054</v>
      </c>
      <c r="BE14" s="65" t="n">
        <f aca="false">'Revenue Streams'!BE$37*'Assumption Setting'!$C$201/30+'Revenue Streams'!BE$45*'Assumption Setting'!$C$202/30</f>
        <v>468333.555794399</v>
      </c>
      <c r="BF14" s="65" t="n">
        <f aca="false">'Revenue Streams'!BF$37*'Assumption Setting'!$C$201/30+'Revenue Streams'!BF$45*'Assumption Setting'!$C$202/30</f>
        <v>478870.291343055</v>
      </c>
      <c r="BG14" s="65" t="n">
        <f aca="false">'Revenue Streams'!BG$37*'Assumption Setting'!$C$201/30+'Revenue Streams'!BG$45*'Assumption Setting'!$C$202/30</f>
        <v>489486.231928875</v>
      </c>
      <c r="BH14" s="65" t="n">
        <f aca="false">'Revenue Streams'!BH$37*'Assumption Setting'!$C$201/30+'Revenue Streams'!BH$45*'Assumption Setting'!$C$202/30</f>
        <v>500102.265656381</v>
      </c>
      <c r="BI14" s="65" t="n">
        <f aca="false">'Revenue Streams'!BI$37*'Assumption Setting'!$C$201/30+'Revenue Streams'!BI$45*'Assumption Setting'!$C$202/30</f>
        <v>510718.392525573</v>
      </c>
      <c r="BJ14" s="65" t="n">
        <f aca="false">'Revenue Streams'!BJ$37*'Assumption Setting'!$C$201/30+'Revenue Streams'!BJ$45*'Assumption Setting'!$C$202/30</f>
        <v>521334.612536451</v>
      </c>
      <c r="BK14" s="65" t="n">
        <f aca="false">'Revenue Streams'!BK$37*'Assumption Setting'!$C$201/30+'Revenue Streams'!BK$45*'Assumption Setting'!$C$202/30</f>
        <v>531950.925689014</v>
      </c>
      <c r="BL14" s="65" t="n">
        <f aca="false">'Revenue Streams'!BL$37*'Assumption Setting'!$C$201/30+'Revenue Streams'!BL$45*'Assumption Setting'!$C$202/30</f>
        <v>542567.331983262</v>
      </c>
      <c r="BM14" s="65" t="n">
        <f aca="false">'Revenue Streams'!BM$37*'Assumption Setting'!$C$201/30+'Revenue Streams'!BM$45*'Assumption Setting'!$C$202/30</f>
        <v>553183.831419197</v>
      </c>
      <c r="BN14" s="65" t="n">
        <f aca="false">'Revenue Streams'!BN$37*'Assumption Setting'!$C$201/30+'Revenue Streams'!BN$45*'Assumption Setting'!$C$202/30</f>
        <v>563800.423996817</v>
      </c>
    </row>
    <row r="15" customFormat="false" ht="15" hidden="false" customHeight="false" outlineLevel="0" collapsed="false">
      <c r="A15" s="12" t="s">
        <v>555</v>
      </c>
      <c r="B15" s="64" t="n">
        <f aca="false">N15</f>
        <v>10582.4029226385</v>
      </c>
      <c r="C15" s="65" t="n">
        <f aca="false">(Expenses!C$24+Expenses!C$54)*'Assumption Setting'!$C$203/30</f>
        <v>8582.97874602746</v>
      </c>
      <c r="D15" s="65" t="n">
        <f aca="false">(Expenses!D$24+Expenses!D$54)*'Assumption Setting'!$C$203/30</f>
        <v>5875.68153069733</v>
      </c>
      <c r="E15" s="65" t="n">
        <f aca="false">(Expenses!E$24+Expenses!E$54)*'Assumption Setting'!$C$203/30</f>
        <v>6294.18937398945</v>
      </c>
      <c r="F15" s="65" t="n">
        <f aca="false">(Expenses!F$24+Expenses!F$54)*'Assumption Setting'!$C$203/30</f>
        <v>6519.10991473612</v>
      </c>
      <c r="G15" s="65" t="n">
        <f aca="false">(Expenses!G$24+Expenses!G$54)*'Assumption Setting'!$C$203/30</f>
        <v>7165.77187327306</v>
      </c>
      <c r="H15" s="65" t="n">
        <f aca="false">(Expenses!H$24+Expenses!H$54)*'Assumption Setting'!$C$203/30</f>
        <v>7532.82448575688</v>
      </c>
      <c r="I15" s="65" t="n">
        <f aca="false">(Expenses!I$24+Expenses!I$54)*'Assumption Setting'!$C$203/30</f>
        <v>8180.24965508104</v>
      </c>
      <c r="J15" s="65" t="n">
        <f aca="false">(Expenses!J$24+Expenses!J$54)*'Assumption Setting'!$C$203/30</f>
        <v>8548.03036996541</v>
      </c>
      <c r="K15" s="65" t="n">
        <f aca="false">(Expenses!K$24+Expenses!K$54)*'Assumption Setting'!$C$203/30</f>
        <v>9196.15063980667</v>
      </c>
      <c r="L15" s="65" t="n">
        <f aca="false">(Expenses!L$24+Expenses!L$54)*'Assumption Setting'!$C$203/30</f>
        <v>9564.5954334377</v>
      </c>
      <c r="M15" s="65" t="n">
        <f aca="false">(Expenses!M$24+Expenses!M$54)*'Assumption Setting'!$C$203/30</f>
        <v>10213.3506215614</v>
      </c>
      <c r="N15" s="65" t="n">
        <f aca="false">(Expenses!N$24+Expenses!N$54)*'Assumption Setting'!$C$203/30</f>
        <v>10582.4029226385</v>
      </c>
      <c r="O15" s="64" t="n">
        <f aca="false">AA15</f>
        <v>38506.0208668103</v>
      </c>
      <c r="P15" s="65" t="n">
        <f aca="false">(Expenses!P$24+Expenses!P$54)*'Assumption Setting'!$C$203/30</f>
        <v>30699.7890891873</v>
      </c>
      <c r="Q15" s="65" t="n">
        <f aca="false">(Expenses!Q$24+Expenses!Q$54)*'Assumption Setting'!$C$203/30</f>
        <v>28569.6251779472</v>
      </c>
      <c r="R15" s="65" t="n">
        <f aca="false">(Expenses!R$24+Expenses!R$54)*'Assumption Setting'!$C$203/30</f>
        <v>28655.4765621081</v>
      </c>
      <c r="S15" s="65" t="n">
        <f aca="false">(Expenses!S$24+Expenses!S$54)*'Assumption Setting'!$C$203/30</f>
        <v>30022.4576059139</v>
      </c>
      <c r="T15" s="65" t="n">
        <f aca="false">(Expenses!T$24+Expenses!T$54)*'Assumption Setting'!$C$203/30</f>
        <v>31083.8866172699</v>
      </c>
      <c r="U15" s="65" t="n">
        <f aca="false">(Expenses!U$24+Expenses!U$54)*'Assumption Setting'!$C$203/30</f>
        <v>32145.4755110785</v>
      </c>
      <c r="V15" s="65" t="n">
        <f aca="false">(Expenses!V$24+Expenses!V$54)*'Assumption Setting'!$C$203/30</f>
        <v>33207.220431308</v>
      </c>
      <c r="W15" s="65" t="n">
        <f aca="false">(Expenses!W$24+Expenses!W$54)*'Assumption Setting'!$C$203/30</f>
        <v>34266.9581132353</v>
      </c>
      <c r="X15" s="65" t="n">
        <f aca="false">(Expenses!X$24+Expenses!X$54)*'Assumption Setting'!$C$203/30</f>
        <v>35326.5080793578</v>
      </c>
      <c r="Y15" s="65" t="n">
        <f aca="false">(Expenses!Y$24+Expenses!Y$54)*'Assumption Setting'!$C$203/30</f>
        <v>36386.2038372838</v>
      </c>
      <c r="Z15" s="65" t="n">
        <f aca="false">(Expenses!Z$24+Expenses!Z$54)*'Assumption Setting'!$C$203/30</f>
        <v>37446.0423764203</v>
      </c>
      <c r="AA15" s="65" t="n">
        <f aca="false">(Expenses!AA$24+Expenses!AA$54)*'Assumption Setting'!$C$203/30</f>
        <v>38506.0208668103</v>
      </c>
      <c r="AB15" s="64" t="n">
        <f aca="false">AN15</f>
        <v>73306.1948164731</v>
      </c>
      <c r="AC15" s="65" t="n">
        <f aca="false">(Expenses!AC$24+Expenses!AC$54)*'Assumption Setting'!$C$203/30</f>
        <v>53598.1352226145</v>
      </c>
      <c r="AD15" s="65" t="n">
        <f aca="false">(Expenses!AD$24+Expenses!AD$54)*'Assumption Setting'!$C$203/30</f>
        <v>54840.0171856672</v>
      </c>
      <c r="AE15" s="65" t="n">
        <f aca="false">(Expenses!AE$24+Expenses!AE$54)*'Assumption Setting'!$C$203/30</f>
        <v>56249.4477188458</v>
      </c>
      <c r="AF15" s="65" t="n">
        <f aca="false">(Expenses!AF$24+Expenses!AF$54)*'Assumption Setting'!$C$203/30</f>
        <v>58152.7757910193</v>
      </c>
      <c r="AG15" s="65" t="n">
        <f aca="false">(Expenses!AG$24+Expenses!AG$54)*'Assumption Setting'!$C$203/30</f>
        <v>59909.0209901022</v>
      </c>
      <c r="AH15" s="65" t="n">
        <f aca="false">(Expenses!AH$24+Expenses!AH$54)*'Assumption Setting'!$C$203/30</f>
        <v>61941.6295953325</v>
      </c>
      <c r="AI15" s="65" t="n">
        <f aca="false">(Expenses!AI$24+Expenses!AI$54)*'Assumption Setting'!$C$203/30</f>
        <v>63694.6923335139</v>
      </c>
      <c r="AJ15" s="65" t="n">
        <f aca="false">(Expenses!AJ$24+Expenses!AJ$54)*'Assumption Setting'!$C$203/30</f>
        <v>65728.1903048979</v>
      </c>
      <c r="AK15" s="65" t="n">
        <f aca="false">(Expenses!AK$24+Expenses!AK$54)*'Assumption Setting'!$C$203/30</f>
        <v>67482.1057437211</v>
      </c>
      <c r="AL15" s="65" t="n">
        <f aca="false">(Expenses!AL$24+Expenses!AL$54)*'Assumption Setting'!$C$203/30</f>
        <v>69516.4219501655</v>
      </c>
      <c r="AM15" s="65" t="n">
        <f aca="false">(Expenses!AM$24+Expenses!AM$54)*'Assumption Setting'!$C$203/30</f>
        <v>71271.1232264025</v>
      </c>
      <c r="AN15" s="65" t="n">
        <f aca="false">(Expenses!AN$24+Expenses!AN$54)*'Assumption Setting'!$C$203/30</f>
        <v>73306.1948164731</v>
      </c>
      <c r="AO15" s="64" t="n">
        <f aca="false">BA15</f>
        <v>111144.214116588</v>
      </c>
      <c r="AP15" s="65" t="n">
        <f aca="false">(Expenses!AP$24+Expenses!AP$54)*'Assumption Setting'!$C$203/30</f>
        <v>89905.5675917342</v>
      </c>
      <c r="AQ15" s="65" t="n">
        <f aca="false">(Expenses!AQ$24+Expenses!AQ$54)*'Assumption Setting'!$C$203/30</f>
        <v>92134.1716672302</v>
      </c>
      <c r="AR15" s="65" t="n">
        <f aca="false">(Expenses!AR$24+Expenses!AR$54)*'Assumption Setting'!$C$203/30</f>
        <v>94013.4579349957</v>
      </c>
      <c r="AS15" s="65" t="n">
        <f aca="false">(Expenses!AS$24+Expenses!AS$54)*'Assumption Setting'!$C$203/30</f>
        <v>95940.6201357799</v>
      </c>
      <c r="AT15" s="65" t="n">
        <f aca="false">(Expenses!AT$24+Expenses!AT$54)*'Assumption Setting'!$C$203/30</f>
        <v>97981.4696156264</v>
      </c>
      <c r="AU15" s="65" t="n">
        <f aca="false">(Expenses!AU$24+Expenses!AU$54)*'Assumption Setting'!$C$203/30</f>
        <v>99742.1902893824</v>
      </c>
      <c r="AV15" s="65" t="n">
        <f aca="false">(Expenses!AV$24+Expenses!AV$54)*'Assumption Setting'!$C$203/30</f>
        <v>101642.789940632</v>
      </c>
      <c r="AW15" s="65" t="n">
        <f aca="false">(Expenses!AW$24+Expenses!AW$54)*'Assumption Setting'!$C$203/30</f>
        <v>103683.275885945</v>
      </c>
      <c r="AX15" s="65" t="n">
        <f aca="false">(Expenses!AX$24+Expenses!AX$54)*'Assumption Setting'!$C$203/30</f>
        <v>105443.655002897</v>
      </c>
      <c r="AY15" s="65" t="n">
        <f aca="false">(Expenses!AY$24+Expenses!AY$54)*'Assumption Setting'!$C$203/30</f>
        <v>107343.933756408</v>
      </c>
      <c r="AZ15" s="65" t="n">
        <f aca="false">(Expenses!AZ$24+Expenses!AZ$54)*'Assumption Setting'!$C$203/30</f>
        <v>109384.118223504</v>
      </c>
      <c r="BA15" s="65" t="n">
        <f aca="false">(Expenses!BA$24+Expenses!BA$54)*'Assumption Setting'!$C$203/30</f>
        <v>111144.214116588</v>
      </c>
      <c r="BB15" s="64" t="n">
        <f aca="false">BN15</f>
        <v>153842.499255282</v>
      </c>
      <c r="BC15" s="65" t="n">
        <f aca="false">(Expenses!BC$24+Expenses!BC$54)*'Assumption Setting'!$C$203/30</f>
        <v>129738.367927841</v>
      </c>
      <c r="BD15" s="65" t="n">
        <f aca="false">(Expenses!BD$24+Expenses!BD$54)*'Assumption Setting'!$C$203/30</f>
        <v>131695.609296247</v>
      </c>
      <c r="BE15" s="65" t="n">
        <f aca="false">(Expenses!BE$24+Expenses!BE$54)*'Assumption Setting'!$C$203/30</f>
        <v>133850.400411347</v>
      </c>
      <c r="BF15" s="65" t="n">
        <f aca="false">(Expenses!BF$24+Expenses!BF$54)*'Assumption Setting'!$C$203/30</f>
        <v>136200.922612076</v>
      </c>
      <c r="BG15" s="65" t="n">
        <f aca="false">(Expenses!BG$24+Expenses!BG$54)*'Assumption Setting'!$C$203/30</f>
        <v>138284.171115505</v>
      </c>
      <c r="BH15" s="65" t="n">
        <f aca="false">(Expenses!BH$24+Expenses!BH$54)*'Assumption Setting'!$C$203/30</f>
        <v>140647.235160934</v>
      </c>
      <c r="BI15" s="65" t="n">
        <f aca="false">(Expenses!BI$24+Expenses!BI$54)*'Assumption Setting'!$C$203/30</f>
        <v>142730.129238801</v>
      </c>
      <c r="BJ15" s="65" t="n">
        <f aca="false">(Expenses!BJ$24+Expenses!BJ$54)*'Assumption Setting'!$C$203/30</f>
        <v>145092.866970117</v>
      </c>
      <c r="BK15" s="65" t="n">
        <f aca="false">(Expenses!BK$24+Expenses!BK$54)*'Assumption Setting'!$C$203/30</f>
        <v>147175.46115863</v>
      </c>
      <c r="BL15" s="65" t="n">
        <f aca="false">(Expenses!BL$24+Expenses!BL$54)*'Assumption Setting'!$C$203/30</f>
        <v>149397.923839867</v>
      </c>
      <c r="BM15" s="65" t="n">
        <f aca="false">(Expenses!BM$24+Expenses!BM$54)*'Assumption Setting'!$C$203/30</f>
        <v>151760.266327221</v>
      </c>
      <c r="BN15" s="65" t="n">
        <f aca="false">(Expenses!BN$24+Expenses!BN$54)*'Assumption Setting'!$C$203/30</f>
        <v>153842.499255282</v>
      </c>
    </row>
    <row r="16" customFormat="false" ht="15" hidden="false" customHeight="false" outlineLevel="0" collapsed="false">
      <c r="A16" s="12" t="s">
        <v>557</v>
      </c>
      <c r="B16" s="64" t="n">
        <f aca="false">N16</f>
        <v>1694</v>
      </c>
      <c r="C16" s="65" t="n">
        <f aca="false">Payroll!C$45*'Assumption Setting'!$C$204/30</f>
        <v>1694</v>
      </c>
      <c r="D16" s="65" t="n">
        <f aca="false">Payroll!D$45*'Assumption Setting'!$C$204/30</f>
        <v>1694</v>
      </c>
      <c r="E16" s="65" t="n">
        <f aca="false">Payroll!E$45*'Assumption Setting'!$C$204/30</f>
        <v>1694</v>
      </c>
      <c r="F16" s="65" t="n">
        <f aca="false">Payroll!F$45*'Assumption Setting'!$C$204/30</f>
        <v>1694</v>
      </c>
      <c r="G16" s="65" t="n">
        <f aca="false">Payroll!G$45*'Assumption Setting'!$C$204/30</f>
        <v>1694</v>
      </c>
      <c r="H16" s="65" t="n">
        <f aca="false">Payroll!H$45*'Assumption Setting'!$C$204/30</f>
        <v>1694</v>
      </c>
      <c r="I16" s="65" t="n">
        <f aca="false">Payroll!I$45*'Assumption Setting'!$C$204/30</f>
        <v>1694</v>
      </c>
      <c r="J16" s="65" t="n">
        <f aca="false">Payroll!J$45*'Assumption Setting'!$C$204/30</f>
        <v>1694</v>
      </c>
      <c r="K16" s="65" t="n">
        <f aca="false">Payroll!K$45*'Assumption Setting'!$C$204/30</f>
        <v>1694</v>
      </c>
      <c r="L16" s="65" t="n">
        <f aca="false">Payroll!L$45*'Assumption Setting'!$C$204/30</f>
        <v>1694</v>
      </c>
      <c r="M16" s="65" t="n">
        <f aca="false">Payroll!M$45*'Assumption Setting'!$C$204/30</f>
        <v>1694</v>
      </c>
      <c r="N16" s="65" t="n">
        <f aca="false">Payroll!N$45*'Assumption Setting'!$C$204/30</f>
        <v>1694</v>
      </c>
      <c r="O16" s="64" t="n">
        <f aca="false">AA16</f>
        <v>3542</v>
      </c>
      <c r="P16" s="65" t="n">
        <f aca="false">Payroll!P$45*'Assumption Setting'!$C$204/30</f>
        <v>3542</v>
      </c>
      <c r="Q16" s="65" t="n">
        <f aca="false">Payroll!Q$45*'Assumption Setting'!$C$204/30</f>
        <v>3542</v>
      </c>
      <c r="R16" s="65" t="n">
        <f aca="false">Payroll!R$45*'Assumption Setting'!$C$204/30</f>
        <v>3542</v>
      </c>
      <c r="S16" s="65" t="n">
        <f aca="false">Payroll!S$45*'Assumption Setting'!$C$204/30</f>
        <v>3542</v>
      </c>
      <c r="T16" s="65" t="n">
        <f aca="false">Payroll!T$45*'Assumption Setting'!$C$204/30</f>
        <v>3542</v>
      </c>
      <c r="U16" s="65" t="n">
        <f aca="false">Payroll!U$45*'Assumption Setting'!$C$204/30</f>
        <v>3542</v>
      </c>
      <c r="V16" s="65" t="n">
        <f aca="false">Payroll!V$45*'Assumption Setting'!$C$204/30</f>
        <v>3542</v>
      </c>
      <c r="W16" s="65" t="n">
        <f aca="false">Payroll!W$45*'Assumption Setting'!$C$204/30</f>
        <v>3542</v>
      </c>
      <c r="X16" s="65" t="n">
        <f aca="false">Payroll!X$45*'Assumption Setting'!$C$204/30</f>
        <v>3542</v>
      </c>
      <c r="Y16" s="65" t="n">
        <f aca="false">Payroll!Y$45*'Assumption Setting'!$C$204/30</f>
        <v>3542</v>
      </c>
      <c r="Z16" s="65" t="n">
        <f aca="false">Payroll!Z$45*'Assumption Setting'!$C$204/30</f>
        <v>3542</v>
      </c>
      <c r="AA16" s="65" t="n">
        <f aca="false">Payroll!AA$45*'Assumption Setting'!$C$204/30</f>
        <v>3542</v>
      </c>
      <c r="AB16" s="64" t="n">
        <f aca="false">AN16</f>
        <v>6006</v>
      </c>
      <c r="AC16" s="65" t="n">
        <f aca="false">Payroll!AC$45*'Assumption Setting'!$C$204/30</f>
        <v>6006</v>
      </c>
      <c r="AD16" s="65" t="n">
        <f aca="false">Payroll!AD$45*'Assumption Setting'!$C$204/30</f>
        <v>6006</v>
      </c>
      <c r="AE16" s="65" t="n">
        <f aca="false">Payroll!AE$45*'Assumption Setting'!$C$204/30</f>
        <v>6006</v>
      </c>
      <c r="AF16" s="65" t="n">
        <f aca="false">Payroll!AF$45*'Assumption Setting'!$C$204/30</f>
        <v>6006</v>
      </c>
      <c r="AG16" s="65" t="n">
        <f aca="false">Payroll!AG$45*'Assumption Setting'!$C$204/30</f>
        <v>6006</v>
      </c>
      <c r="AH16" s="65" t="n">
        <f aca="false">Payroll!AH$45*'Assumption Setting'!$C$204/30</f>
        <v>6006</v>
      </c>
      <c r="AI16" s="65" t="n">
        <f aca="false">Payroll!AI$45*'Assumption Setting'!$C$204/30</f>
        <v>6006</v>
      </c>
      <c r="AJ16" s="65" t="n">
        <f aca="false">Payroll!AJ$45*'Assumption Setting'!$C$204/30</f>
        <v>6006</v>
      </c>
      <c r="AK16" s="65" t="n">
        <f aca="false">Payroll!AK$45*'Assumption Setting'!$C$204/30</f>
        <v>6006</v>
      </c>
      <c r="AL16" s="65" t="n">
        <f aca="false">Payroll!AL$45*'Assumption Setting'!$C$204/30</f>
        <v>6006</v>
      </c>
      <c r="AM16" s="65" t="n">
        <f aca="false">Payroll!AM$45*'Assumption Setting'!$C$204/30</f>
        <v>6006</v>
      </c>
      <c r="AN16" s="65" t="n">
        <f aca="false">Payroll!AN$45*'Assumption Setting'!$C$204/30</f>
        <v>6006</v>
      </c>
      <c r="AO16" s="64" t="n">
        <f aca="false">BA16</f>
        <v>8277.5</v>
      </c>
      <c r="AP16" s="65" t="n">
        <f aca="false">Payroll!AP$45*'Assumption Setting'!$C$204/30</f>
        <v>8277.5</v>
      </c>
      <c r="AQ16" s="65" t="n">
        <f aca="false">Payroll!AQ$45*'Assumption Setting'!$C$204/30</f>
        <v>8277.5</v>
      </c>
      <c r="AR16" s="65" t="n">
        <f aca="false">Payroll!AR$45*'Assumption Setting'!$C$204/30</f>
        <v>8277.5</v>
      </c>
      <c r="AS16" s="65" t="n">
        <f aca="false">Payroll!AS$45*'Assumption Setting'!$C$204/30</f>
        <v>8277.5</v>
      </c>
      <c r="AT16" s="65" t="n">
        <f aca="false">Payroll!AT$45*'Assumption Setting'!$C$204/30</f>
        <v>8277.5</v>
      </c>
      <c r="AU16" s="65" t="n">
        <f aca="false">Payroll!AU$45*'Assumption Setting'!$C$204/30</f>
        <v>8277.5</v>
      </c>
      <c r="AV16" s="65" t="n">
        <f aca="false">Payroll!AV$45*'Assumption Setting'!$C$204/30</f>
        <v>8277.5</v>
      </c>
      <c r="AW16" s="65" t="n">
        <f aca="false">Payroll!AW$45*'Assumption Setting'!$C$204/30</f>
        <v>8277.5</v>
      </c>
      <c r="AX16" s="65" t="n">
        <f aca="false">Payroll!AX$45*'Assumption Setting'!$C$204/30</f>
        <v>8277.5</v>
      </c>
      <c r="AY16" s="65" t="n">
        <f aca="false">Payroll!AY$45*'Assumption Setting'!$C$204/30</f>
        <v>8277.5</v>
      </c>
      <c r="AZ16" s="65" t="n">
        <f aca="false">Payroll!AZ$45*'Assumption Setting'!$C$204/30</f>
        <v>8277.5</v>
      </c>
      <c r="BA16" s="65" t="n">
        <f aca="false">Payroll!BA$45*'Assumption Setting'!$C$204/30</f>
        <v>8277.5</v>
      </c>
      <c r="BB16" s="64" t="n">
        <f aca="false">BN16</f>
        <v>10395</v>
      </c>
      <c r="BC16" s="65" t="n">
        <f aca="false">Payroll!BC$45*'Assumption Setting'!$C$204/30</f>
        <v>10395</v>
      </c>
      <c r="BD16" s="65" t="n">
        <f aca="false">Payroll!BD$45*'Assumption Setting'!$C$204/30</f>
        <v>10395</v>
      </c>
      <c r="BE16" s="65" t="n">
        <f aca="false">Payroll!BE$45*'Assumption Setting'!$C$204/30</f>
        <v>10395</v>
      </c>
      <c r="BF16" s="65" t="n">
        <f aca="false">Payroll!BF$45*'Assumption Setting'!$C$204/30</f>
        <v>10395</v>
      </c>
      <c r="BG16" s="65" t="n">
        <f aca="false">Payroll!BG$45*'Assumption Setting'!$C$204/30</f>
        <v>10395</v>
      </c>
      <c r="BH16" s="65" t="n">
        <f aca="false">Payroll!BH$45*'Assumption Setting'!$C$204/30</f>
        <v>10395</v>
      </c>
      <c r="BI16" s="65" t="n">
        <f aca="false">Payroll!BI$45*'Assumption Setting'!$C$204/30</f>
        <v>10395</v>
      </c>
      <c r="BJ16" s="65" t="n">
        <f aca="false">Payroll!BJ$45*'Assumption Setting'!$C$204/30</f>
        <v>10395</v>
      </c>
      <c r="BK16" s="65" t="n">
        <f aca="false">Payroll!BK$45*'Assumption Setting'!$C$204/30</f>
        <v>10395</v>
      </c>
      <c r="BL16" s="65" t="n">
        <f aca="false">Payroll!BL$45*'Assumption Setting'!$C$204/30</f>
        <v>10395</v>
      </c>
      <c r="BM16" s="65" t="n">
        <f aca="false">Payroll!BM$45*'Assumption Setting'!$C$204/30</f>
        <v>10395</v>
      </c>
      <c r="BN16" s="65" t="n">
        <f aca="false">Payroll!BN$45*'Assumption Setting'!$C$204/30</f>
        <v>10395</v>
      </c>
    </row>
    <row r="17" customFormat="false" ht="15" hidden="false" customHeight="false" outlineLevel="0" collapsed="false">
      <c r="A17" s="12" t="s">
        <v>559</v>
      </c>
      <c r="B17" s="64" t="n">
        <f aca="false">N17</f>
        <v>4620.41250851263</v>
      </c>
      <c r="C17" s="65" t="n">
        <f aca="false">'Revenue Streams'!C$46+'Revenue Streams'!C$37*'Assumption Setting'!$C$205</f>
        <v>880.52308165348</v>
      </c>
      <c r="D17" s="65" t="n">
        <f aca="false">'Revenue Streams'!D$46+'Revenue Streams'!D$37*'Assumption Setting'!$C$205</f>
        <v>1269.31415209604</v>
      </c>
      <c r="E17" s="65" t="n">
        <f aca="false">'Revenue Streams'!E$46+'Revenue Streams'!E$37*'Assumption Setting'!$C$205</f>
        <v>1603.21487782366</v>
      </c>
      <c r="F17" s="65" t="n">
        <f aca="false">'Revenue Streams'!F$46+'Revenue Streams'!F$37*'Assumption Setting'!$C$205</f>
        <v>1831.04158685365</v>
      </c>
      <c r="G17" s="65" t="n">
        <f aca="false">'Revenue Streams'!G$46+'Revenue Streams'!G$37*'Assumption Setting'!$C$205</f>
        <v>2138.67798100122</v>
      </c>
      <c r="H17" s="65" t="n">
        <f aca="false">'Revenue Streams'!H$46+'Revenue Streams'!H$37*'Assumption Setting'!$C$205</f>
        <v>2462.39957527896</v>
      </c>
      <c r="I17" s="65" t="n">
        <f aca="false">'Revenue Streams'!I$46+'Revenue Streams'!I$37*'Assumption Setting'!$C$205</f>
        <v>2800.0259083446</v>
      </c>
      <c r="J17" s="65" t="n">
        <f aca="false">'Revenue Streams'!J$46+'Revenue Streams'!J$37*'Assumption Setting'!$C$205</f>
        <v>3149.3765188559</v>
      </c>
      <c r="K17" s="65" t="n">
        <f aca="false">'Revenue Streams'!K$46+'Revenue Streams'!K$37*'Assumption Setting'!$C$205</f>
        <v>3508.2709454706</v>
      </c>
      <c r="L17" s="65" t="n">
        <f aca="false">'Revenue Streams'!L$46+'Revenue Streams'!L$37*'Assumption Setting'!$C$205</f>
        <v>3874.52872684646</v>
      </c>
      <c r="M17" s="65" t="n">
        <f aca="false">'Revenue Streams'!M$46+'Revenue Streams'!M$37*'Assumption Setting'!$C$205</f>
        <v>4245.96940164122</v>
      </c>
      <c r="N17" s="65" t="n">
        <f aca="false">'Revenue Streams'!N$46+'Revenue Streams'!N$37*'Assumption Setting'!$C$205</f>
        <v>4620.41250851263</v>
      </c>
      <c r="O17" s="64" t="n">
        <f aca="false">AA17</f>
        <v>22515.2452901923</v>
      </c>
      <c r="P17" s="65" t="n">
        <f aca="false">'Revenue Streams'!P$46+'Revenue Streams'!P$37*'Assumption Setting'!$C$205</f>
        <v>11865.8812165126</v>
      </c>
      <c r="Q17" s="65" t="n">
        <f aca="false">'Revenue Streams'!Q$46+'Revenue Streams'!Q$37*'Assumption Setting'!$C$205</f>
        <v>12307.9496943525</v>
      </c>
      <c r="R17" s="65" t="n">
        <f aca="false">'Revenue Streams'!R$46+'Revenue Streams'!R$37*'Assumption Setting'!$C$205</f>
        <v>13044.0106428292</v>
      </c>
      <c r="S17" s="65" t="n">
        <f aca="false">'Revenue Streams'!S$46+'Revenue Streams'!S$37*'Assumption Setting'!$C$205</f>
        <v>14333.8364746859</v>
      </c>
      <c r="T17" s="65" t="n">
        <f aca="false">'Revenue Streams'!T$46+'Revenue Streams'!T$37*'Assumption Setting'!$C$205</f>
        <v>15495.0397929864</v>
      </c>
      <c r="U17" s="65" t="n">
        <f aca="false">'Revenue Streams'!U$46+'Revenue Streams'!U$37*'Assumption Setting'!$C$205</f>
        <v>16623.5813997478</v>
      </c>
      <c r="V17" s="65" t="n">
        <f aca="false">'Revenue Streams'!V$46+'Revenue Streams'!V$37*'Assumption Setting'!$C$205</f>
        <v>17717.119696815</v>
      </c>
      <c r="W17" s="65" t="n">
        <f aca="false">'Revenue Streams'!W$46+'Revenue Streams'!W$37*'Assumption Setting'!$C$205</f>
        <v>18762.1885665271</v>
      </c>
      <c r="X17" s="65" t="n">
        <f aca="false">'Revenue Streams'!X$46+'Revenue Streams'!X$37*'Assumption Setting'!$C$205</f>
        <v>19765.8365018371</v>
      </c>
      <c r="Y17" s="65" t="n">
        <f aca="false">'Revenue Streams'!Y$46+'Revenue Streams'!Y$37*'Assumption Setting'!$C$205</f>
        <v>20727.456332988</v>
      </c>
      <c r="Z17" s="65" t="n">
        <f aca="false">'Revenue Streams'!Z$46+'Revenue Streams'!Z$37*'Assumption Setting'!$C$205</f>
        <v>21644.7064618247</v>
      </c>
      <c r="AA17" s="65" t="n">
        <f aca="false">'Revenue Streams'!AA$46+'Revenue Streams'!AA$37*'Assumption Setting'!$C$205</f>
        <v>22515.2452901923</v>
      </c>
      <c r="AB17" s="64" t="n">
        <f aca="false">AN17</f>
        <v>41087.0585043473</v>
      </c>
      <c r="AC17" s="65" t="n">
        <f aca="false">'Revenue Streams'!AC$46+'Revenue Streams'!AC$37*'Assumption Setting'!$C$205</f>
        <v>25163.7309589275</v>
      </c>
      <c r="AD17" s="65" t="n">
        <f aca="false">'Revenue Streams'!AD$46+'Revenue Streams'!AD$37*'Assumption Setting'!$C$205</f>
        <v>26359.1578219821</v>
      </c>
      <c r="AE17" s="65" t="n">
        <f aca="false">'Revenue Streams'!AE$46+'Revenue Streams'!AE$37*'Assumption Setting'!$C$205</f>
        <v>27637.8347603414</v>
      </c>
      <c r="AF17" s="65" t="n">
        <f aca="false">'Revenue Streams'!AF$46+'Revenue Streams'!AF$37*'Assumption Setting'!$C$205</f>
        <v>29078.1361720876</v>
      </c>
      <c r="AG17" s="65" t="n">
        <f aca="false">'Revenue Streams'!AG$46+'Revenue Streams'!AG$37*'Assumption Setting'!$C$205</f>
        <v>30601.1310866845</v>
      </c>
      <c r="AH17" s="65" t="n">
        <f aca="false">'Revenue Streams'!AH$46+'Revenue Streams'!AH$37*'Assumption Setting'!$C$205</f>
        <v>32108.8080806885</v>
      </c>
      <c r="AI17" s="65" t="n">
        <f aca="false">'Revenue Streams'!AI$46+'Revenue Streams'!AI$37*'Assumption Setting'!$C$205</f>
        <v>33618.9350207909</v>
      </c>
      <c r="AJ17" s="65" t="n">
        <f aca="false">'Revenue Streams'!AJ$46+'Revenue Streams'!AJ$37*'Assumption Setting'!$C$205</f>
        <v>35128.1044667507</v>
      </c>
      <c r="AK17" s="65" t="n">
        <f aca="false">'Revenue Streams'!AK$46+'Revenue Streams'!AK$37*'Assumption Setting'!$C$205</f>
        <v>36632.9089783272</v>
      </c>
      <c r="AL17" s="65" t="n">
        <f aca="false">'Revenue Streams'!AL$46+'Revenue Streams'!AL$37*'Assumption Setting'!$C$205</f>
        <v>38129.9411152794</v>
      </c>
      <c r="AM17" s="65" t="n">
        <f aca="false">'Revenue Streams'!AM$46+'Revenue Streams'!AM$37*'Assumption Setting'!$C$205</f>
        <v>39615.7934373664</v>
      </c>
      <c r="AN17" s="65" t="n">
        <f aca="false">'Revenue Streams'!AN$46+'Revenue Streams'!AN$37*'Assumption Setting'!$C$205</f>
        <v>41087.0585043473</v>
      </c>
      <c r="AO17" s="64" t="n">
        <f aca="false">BA17</f>
        <v>63493.1892615379</v>
      </c>
      <c r="AP17" s="65" t="n">
        <f aca="false">'Revenue Streams'!AP$46+'Revenue Streams'!AP$37*'Assumption Setting'!$C$205</f>
        <v>45215.6271671483</v>
      </c>
      <c r="AQ17" s="65" t="n">
        <f aca="false">'Revenue Streams'!AQ$46+'Revenue Streams'!AQ$37*'Assumption Setting'!$C$205</f>
        <v>47130.5428558052</v>
      </c>
      <c r="AR17" s="65" t="n">
        <f aca="false">'Revenue Streams'!AR$46+'Revenue Streams'!AR$37*'Assumption Setting'!$C$205</f>
        <v>48983.637921653</v>
      </c>
      <c r="AS17" s="65" t="n">
        <f aca="false">'Revenue Streams'!AS$46+'Revenue Streams'!AS$37*'Assumption Setting'!$C$205</f>
        <v>50760.4203950009</v>
      </c>
      <c r="AT17" s="65" t="n">
        <f aca="false">'Revenue Streams'!AT$46+'Revenue Streams'!AT$37*'Assumption Setting'!$C$205</f>
        <v>52483.7688840083</v>
      </c>
      <c r="AU17" s="65" t="n">
        <f aca="false">'Revenue Streams'!AU$46+'Revenue Streams'!AU$37*'Assumption Setting'!$C$205</f>
        <v>54169.5189124246</v>
      </c>
      <c r="AV17" s="65" t="n">
        <f aca="false">'Revenue Streams'!AV$46+'Revenue Streams'!AV$37*'Assumption Setting'!$C$205</f>
        <v>55817.6479418754</v>
      </c>
      <c r="AW17" s="65" t="n">
        <f aca="false">'Revenue Streams'!AW$46+'Revenue Streams'!AW$37*'Assumption Setting'!$C$205</f>
        <v>57428.1334339861</v>
      </c>
      <c r="AX17" s="65" t="n">
        <f aca="false">'Revenue Streams'!AX$46+'Revenue Streams'!AX$37*'Assumption Setting'!$C$205</f>
        <v>59000.9528503822</v>
      </c>
      <c r="AY17" s="65" t="n">
        <f aca="false">'Revenue Streams'!AY$46+'Revenue Streams'!AY$37*'Assumption Setting'!$C$205</f>
        <v>60536.0836526892</v>
      </c>
      <c r="AZ17" s="65" t="n">
        <f aca="false">'Revenue Streams'!AZ$46+'Revenue Streams'!AZ$37*'Assumption Setting'!$C$205</f>
        <v>62033.5033025326</v>
      </c>
      <c r="BA17" s="65" t="n">
        <f aca="false">'Revenue Streams'!BA$46+'Revenue Streams'!BA$37*'Assumption Setting'!$C$205</f>
        <v>63493.1892615379</v>
      </c>
      <c r="BB17" s="64" t="n">
        <f aca="false">BN17</f>
        <v>88910.3773415398</v>
      </c>
      <c r="BC17" s="65" t="n">
        <f aca="false">'Revenue Streams'!BC$46+'Revenue Streams'!BC$37*'Assumption Setting'!$C$205</f>
        <v>68304.3027333253</v>
      </c>
      <c r="BD17" s="65" t="n">
        <f aca="false">'Revenue Streams'!BD$46+'Revenue Streams'!BD$37*'Assumption Setting'!$C$205</f>
        <v>70318.5380145627</v>
      </c>
      <c r="BE17" s="65" t="n">
        <f aca="false">'Revenue Streams'!BE$46+'Revenue Streams'!BE$37*'Assumption Setting'!$C$205</f>
        <v>72320.6508128679</v>
      </c>
      <c r="BF17" s="65" t="n">
        <f aca="false">'Revenue Streams'!BF$46+'Revenue Streams'!BF$37*'Assumption Setting'!$C$205</f>
        <v>74312.3535712951</v>
      </c>
      <c r="BG17" s="65" t="n">
        <f aca="false">'Revenue Streams'!BG$46+'Revenue Streams'!BG$37*'Assumption Setting'!$C$205</f>
        <v>76276.3694834479</v>
      </c>
      <c r="BH17" s="65" t="n">
        <f aca="false">'Revenue Streams'!BH$46+'Revenue Streams'!BH$37*'Assumption Setting'!$C$205</f>
        <v>78203.3902344933</v>
      </c>
      <c r="BI17" s="65" t="n">
        <f aca="false">'Revenue Streams'!BI$46+'Revenue Streams'!BI$37*'Assumption Setting'!$C$205</f>
        <v>80092.018699146</v>
      </c>
      <c r="BJ17" s="65" t="n">
        <f aca="false">'Revenue Streams'!BJ$46+'Revenue Streams'!BJ$37*'Assumption Setting'!$C$205</f>
        <v>81940.857752121</v>
      </c>
      <c r="BK17" s="65" t="n">
        <f aca="false">'Revenue Streams'!BK$46+'Revenue Streams'!BK$37*'Assumption Setting'!$C$205</f>
        <v>83748.5102681331</v>
      </c>
      <c r="BL17" s="65" t="n">
        <f aca="false">'Revenue Streams'!BL$46+'Revenue Streams'!BL$37*'Assumption Setting'!$C$205</f>
        <v>85513.579121897</v>
      </c>
      <c r="BM17" s="65" t="n">
        <f aca="false">'Revenue Streams'!BM$46+'Revenue Streams'!BM$37*'Assumption Setting'!$C$205</f>
        <v>87234.6671881276</v>
      </c>
      <c r="BN17" s="65" t="n">
        <f aca="false">'Revenue Streams'!BN$46+'Revenue Streams'!BN$37*'Assumption Setting'!$C$205</f>
        <v>88910.3773415398</v>
      </c>
    </row>
    <row r="18" customFormat="false" ht="15" hidden="false" customHeight="false" outlineLevel="0" collapsed="false">
      <c r="A18" s="12" t="s">
        <v>561</v>
      </c>
      <c r="B18" s="64" t="n">
        <f aca="false">N18</f>
        <v>0</v>
      </c>
      <c r="C18" s="65" t="n">
        <f aca="false">-C8</f>
        <v>0</v>
      </c>
      <c r="D18" s="65" t="n">
        <f aca="false">C18-D8-D19</f>
        <v>0</v>
      </c>
      <c r="E18" s="65" t="n">
        <f aca="false">D18-E8-E19</f>
        <v>0</v>
      </c>
      <c r="F18" s="65" t="n">
        <f aca="false">E18-F8-F19</f>
        <v>0</v>
      </c>
      <c r="G18" s="65" t="n">
        <f aca="false">F18-G8-G19</f>
        <v>0</v>
      </c>
      <c r="H18" s="65" t="n">
        <f aca="false">G18-H8-H19</f>
        <v>0</v>
      </c>
      <c r="I18" s="65" t="n">
        <f aca="false">H18-I8-I19</f>
        <v>0</v>
      </c>
      <c r="J18" s="65" t="n">
        <f aca="false">I18-J8-J19</f>
        <v>0</v>
      </c>
      <c r="K18" s="65" t="n">
        <f aca="false">J18-K8-K19</f>
        <v>0</v>
      </c>
      <c r="L18" s="65" t="n">
        <f aca="false">K18-L8-L19</f>
        <v>0</v>
      </c>
      <c r="M18" s="65" t="n">
        <f aca="false">L18-M8-M19</f>
        <v>0</v>
      </c>
      <c r="N18" s="65" t="n">
        <f aca="false">M18-N8-N19</f>
        <v>0</v>
      </c>
      <c r="O18" s="64" t="n">
        <f aca="false">AA18</f>
        <v>18327.1242350798</v>
      </c>
      <c r="P18" s="65" t="n">
        <f aca="false">N18-P8-P19</f>
        <v>1527.26035292332</v>
      </c>
      <c r="Q18" s="65" t="n">
        <f aca="false">P18-Q8-Q19</f>
        <v>3054.52070584663</v>
      </c>
      <c r="R18" s="65" t="n">
        <f aca="false">Q18-R8-R19</f>
        <v>4581.78105876995</v>
      </c>
      <c r="S18" s="65" t="n">
        <f aca="false">R18-S8-S19</f>
        <v>6109.04141169326</v>
      </c>
      <c r="T18" s="65" t="n">
        <f aca="false">S18-T8-T19</f>
        <v>7636.30176461658</v>
      </c>
      <c r="U18" s="65" t="n">
        <f aca="false">T18-U8-U19</f>
        <v>9163.5621175399</v>
      </c>
      <c r="V18" s="65" t="n">
        <f aca="false">U18-V8-V19</f>
        <v>10690.8224704632</v>
      </c>
      <c r="W18" s="65" t="n">
        <f aca="false">V18-W8-W19</f>
        <v>12218.0828233865</v>
      </c>
      <c r="X18" s="65" t="n">
        <f aca="false">W18-X8-X19</f>
        <v>13745.3431763098</v>
      </c>
      <c r="Y18" s="65" t="n">
        <f aca="false">X18-Y8-Y19</f>
        <v>15272.6035292332</v>
      </c>
      <c r="Z18" s="65" t="n">
        <f aca="false">Y18-Z8-Z19</f>
        <v>16799.8638821565</v>
      </c>
      <c r="AA18" s="65" t="n">
        <f aca="false">Z18-AA8-AA19</f>
        <v>18327.1242350798</v>
      </c>
      <c r="AB18" s="64" t="n">
        <f aca="false">AN18</f>
        <v>48220.9519897632</v>
      </c>
      <c r="AC18" s="65" t="n">
        <f aca="false">AA18-AC8-AC19</f>
        <v>22345.5369008934</v>
      </c>
      <c r="AD18" s="65" t="n">
        <f aca="false">AC18-AD8-AD19</f>
        <v>26363.949566707</v>
      </c>
      <c r="AE18" s="65" t="n">
        <f aca="false">AD18-AE8-AE19</f>
        <v>30382.3622325206</v>
      </c>
      <c r="AF18" s="65" t="n">
        <f aca="false">AE18-AF8-AF19</f>
        <v>16073.6506632544</v>
      </c>
      <c r="AG18" s="65" t="n">
        <f aca="false">AF18-AG8-AG19</f>
        <v>20092.063329068</v>
      </c>
      <c r="AH18" s="65" t="n">
        <f aca="false">AG18-AH8-AH19</f>
        <v>24110.4759948816</v>
      </c>
      <c r="AI18" s="65" t="n">
        <f aca="false">AH18-AI8-AI19</f>
        <v>28128.8886606952</v>
      </c>
      <c r="AJ18" s="65" t="n">
        <f aca="false">AI18-AJ8-AJ19</f>
        <v>32147.3013265088</v>
      </c>
      <c r="AK18" s="65" t="n">
        <f aca="false">AJ18-AK8-AK19</f>
        <v>36165.7139923224</v>
      </c>
      <c r="AL18" s="65" t="n">
        <f aca="false">AK18-AL8-AL19</f>
        <v>40184.126658136</v>
      </c>
      <c r="AM18" s="65" t="n">
        <f aca="false">AL18-AM8-AM19</f>
        <v>44202.5393239496</v>
      </c>
      <c r="AN18" s="65" t="n">
        <f aca="false">AM18-AN8-AN19</f>
        <v>48220.9519897632</v>
      </c>
      <c r="AO18" s="64" t="n">
        <f aca="false">BA18</f>
        <v>93919.7391294907</v>
      </c>
      <c r="AP18" s="65" t="n">
        <f aca="false">AN18-AP8-AP19</f>
        <v>56047.5969172207</v>
      </c>
      <c r="AQ18" s="65" t="n">
        <f aca="false">AP18-AQ8-AQ19</f>
        <v>63874.2418446783</v>
      </c>
      <c r="AR18" s="65" t="n">
        <f aca="false">AQ18-AR8-AR19</f>
        <v>71700.8867721358</v>
      </c>
      <c r="AS18" s="65" t="n">
        <f aca="false">AR18-AS8-AS19</f>
        <v>31306.5797098302</v>
      </c>
      <c r="AT18" s="65" t="n">
        <f aca="false">AS18-AT8-AT19</f>
        <v>39133.2246372878</v>
      </c>
      <c r="AU18" s="65" t="n">
        <f aca="false">AT18-AU8-AU19</f>
        <v>46959.8695647453</v>
      </c>
      <c r="AV18" s="65" t="n">
        <f aca="false">AU18-AV8-AV19</f>
        <v>54786.5144922029</v>
      </c>
      <c r="AW18" s="65" t="n">
        <f aca="false">AV18-AW8-AW19</f>
        <v>62613.1594196604</v>
      </c>
      <c r="AX18" s="65" t="n">
        <f aca="false">AW18-AX8-AX19</f>
        <v>70439.804347118</v>
      </c>
      <c r="AY18" s="65" t="n">
        <f aca="false">AX18-AY8-AY19</f>
        <v>78266.4492745756</v>
      </c>
      <c r="AZ18" s="65" t="n">
        <f aca="false">AY18-AZ8-AZ19</f>
        <v>86093.0942020331</v>
      </c>
      <c r="BA18" s="65" t="n">
        <f aca="false">AZ18-BA8-BA19</f>
        <v>93919.7391294907</v>
      </c>
      <c r="BB18" s="64" t="n">
        <f aca="false">BN18</f>
        <v>144592.827272015</v>
      </c>
      <c r="BC18" s="65" t="n">
        <f aca="false">BA18-BC8-BC19</f>
        <v>105969.141402159</v>
      </c>
      <c r="BD18" s="65" t="n">
        <f aca="false">BC18-BD8-BD19</f>
        <v>118018.543674826</v>
      </c>
      <c r="BE18" s="65" t="n">
        <f aca="false">BD18-BE8-BE19</f>
        <v>130067.945947494</v>
      </c>
      <c r="BF18" s="65" t="n">
        <f aca="false">BE18-BF8-BF19</f>
        <v>48197.6090906716</v>
      </c>
      <c r="BG18" s="65" t="n">
        <f aca="false">BF18-BG8-BG19</f>
        <v>60247.0113633395</v>
      </c>
      <c r="BH18" s="65" t="n">
        <f aca="false">BG18-BH8-BH19</f>
        <v>72296.4136360074</v>
      </c>
      <c r="BI18" s="65" t="n">
        <f aca="false">BH18-BI8-BI19</f>
        <v>84345.8159086752</v>
      </c>
      <c r="BJ18" s="65" t="n">
        <f aca="false">BI18-BJ8-BJ19</f>
        <v>96395.2181813431</v>
      </c>
      <c r="BK18" s="65" t="n">
        <f aca="false">BJ18-BK8-BK19</f>
        <v>108444.620454011</v>
      </c>
      <c r="BL18" s="65" t="n">
        <f aca="false">BK18-BL8-BL19</f>
        <v>120494.022726679</v>
      </c>
      <c r="BM18" s="65" t="n">
        <f aca="false">BL18-BM8-BM19</f>
        <v>132543.424999347</v>
      </c>
      <c r="BN18" s="65" t="n">
        <f aca="false">BM18-BN8-BN19</f>
        <v>144592.827272015</v>
      </c>
    </row>
    <row r="19" customFormat="false" ht="15" hidden="false" customHeight="false" outlineLevel="0" collapsed="false">
      <c r="A19" s="12" t="s">
        <v>905</v>
      </c>
      <c r="B19" s="64" t="n">
        <f aca="false">SUM(C19:N19)</f>
        <v>0</v>
      </c>
      <c r="C19" s="65" t="n">
        <f aca="false">0</f>
        <v>0</v>
      </c>
      <c r="D19" s="65" t="n">
        <f aca="false">0</f>
        <v>0</v>
      </c>
      <c r="E19" s="65" t="n">
        <f aca="false">0</f>
        <v>0</v>
      </c>
      <c r="F19" s="65" t="n">
        <f aca="false">0</f>
        <v>0</v>
      </c>
      <c r="G19" s="65" t="n">
        <f aca="false">0</f>
        <v>0</v>
      </c>
      <c r="H19" s="65" t="n">
        <f aca="false">0</f>
        <v>0</v>
      </c>
      <c r="I19" s="65" t="n">
        <f aca="false">0</f>
        <v>0</v>
      </c>
      <c r="J19" s="65" t="n">
        <f aca="false">0</f>
        <v>0</v>
      </c>
      <c r="K19" s="65" t="n">
        <f aca="false">0</f>
        <v>0</v>
      </c>
      <c r="L19" s="65" t="n">
        <f aca="false">0</f>
        <v>0</v>
      </c>
      <c r="M19" s="65" t="n">
        <f aca="false">0</f>
        <v>0</v>
      </c>
      <c r="N19" s="65" t="n">
        <f aca="false">0</f>
        <v>0</v>
      </c>
      <c r="O19" s="64" t="n">
        <f aca="false">SUM(P19:AA19)</f>
        <v>0</v>
      </c>
      <c r="P19" s="65" t="n">
        <f aca="false">IF(13=12+'Assumption Setting'!$C$213,-'Income Statement'!$C$39,0)</f>
        <v>0</v>
      </c>
      <c r="Q19" s="65" t="n">
        <f aca="false">IF(14=12+'Assumption Setting'!$C$213,-'Income Statement'!$C$39,0)</f>
        <v>0</v>
      </c>
      <c r="R19" s="65" t="n">
        <f aca="false">IF(15=12+'Assumption Setting'!$C$213,-'Income Statement'!$C$39,0)</f>
        <v>0</v>
      </c>
      <c r="S19" s="65" t="n">
        <f aca="false">IF(16=12+'Assumption Setting'!$C$213,-'Income Statement'!$C$39,0)</f>
        <v>0</v>
      </c>
      <c r="T19" s="65" t="n">
        <f aca="false">IF(17=12+'Assumption Setting'!$C$213,-'Income Statement'!$C$39,0)</f>
        <v>0</v>
      </c>
      <c r="U19" s="65" t="n">
        <f aca="false">IF(18=12+'Assumption Setting'!$C$213,-'Income Statement'!$C$39,0)</f>
        <v>0</v>
      </c>
      <c r="V19" s="65" t="n">
        <f aca="false">IF(19=12+'Assumption Setting'!$C$213,-'Income Statement'!$C$39,0)</f>
        <v>0</v>
      </c>
      <c r="W19" s="65" t="n">
        <f aca="false">IF(20=12+'Assumption Setting'!$C$213,-'Income Statement'!$C$39,0)</f>
        <v>0</v>
      </c>
      <c r="X19" s="65" t="n">
        <f aca="false">IF(21=12+'Assumption Setting'!$C$213,-'Income Statement'!$C$39,0)</f>
        <v>0</v>
      </c>
      <c r="Y19" s="65" t="n">
        <f aca="false">IF(22=12+'Assumption Setting'!$C$213,-'Income Statement'!$C$39,0)</f>
        <v>0</v>
      </c>
      <c r="Z19" s="65" t="n">
        <f aca="false">IF(23=12+'Assumption Setting'!$C$213,-'Income Statement'!$C$39,0)</f>
        <v>0</v>
      </c>
      <c r="AA19" s="65" t="n">
        <f aca="false">IF(24=12+'Assumption Setting'!$C$213,-'Income Statement'!$C$39,0)</f>
        <v>0</v>
      </c>
      <c r="AB19" s="64" t="n">
        <f aca="false">SUM(AC19:AN19)</f>
        <v>18327.1242350798</v>
      </c>
      <c r="AC19" s="65" t="n">
        <f aca="false">IF(25=24+'Assumption Setting'!$C$213,-'Income Statement'!$D$39,0)</f>
        <v>0</v>
      </c>
      <c r="AD19" s="65" t="n">
        <f aca="false">IF(26=24+'Assumption Setting'!$C$213,-'Income Statement'!$D$39,0)</f>
        <v>0</v>
      </c>
      <c r="AE19" s="65" t="n">
        <f aca="false">IF(27=24+'Assumption Setting'!$C$213,-'Income Statement'!$D$39,0)</f>
        <v>0</v>
      </c>
      <c r="AF19" s="65" t="n">
        <f aca="false">IF(28=24+'Assumption Setting'!$C$213,-'Income Statement'!$D$39,0)</f>
        <v>18327.1242350798</v>
      </c>
      <c r="AG19" s="65" t="n">
        <f aca="false">IF(29=24+'Assumption Setting'!$C$213,-'Income Statement'!$D$39,0)</f>
        <v>0</v>
      </c>
      <c r="AH19" s="65" t="n">
        <f aca="false">IF(30=24+'Assumption Setting'!$C$213,-'Income Statement'!$D$39,0)</f>
        <v>0</v>
      </c>
      <c r="AI19" s="65" t="n">
        <f aca="false">IF(31=24+'Assumption Setting'!$C$213,-'Income Statement'!$D$39,0)</f>
        <v>0</v>
      </c>
      <c r="AJ19" s="65" t="n">
        <f aca="false">IF(32=24+'Assumption Setting'!$C$213,-'Income Statement'!$D$39,0)</f>
        <v>0</v>
      </c>
      <c r="AK19" s="65" t="n">
        <f aca="false">IF(33=24+'Assumption Setting'!$C$213,-'Income Statement'!$D$39,0)</f>
        <v>0</v>
      </c>
      <c r="AL19" s="65" t="n">
        <f aca="false">IF(34=24+'Assumption Setting'!$C$213,-'Income Statement'!$D$39,0)</f>
        <v>0</v>
      </c>
      <c r="AM19" s="65" t="n">
        <f aca="false">IF(35=24+'Assumption Setting'!$C$213,-'Income Statement'!$D$39,0)</f>
        <v>0</v>
      </c>
      <c r="AN19" s="65" t="n">
        <f aca="false">IF(36=24+'Assumption Setting'!$C$213,-'Income Statement'!$D$39,0)</f>
        <v>0</v>
      </c>
      <c r="AO19" s="64" t="n">
        <f aca="false">SUM(AP19:BA19)</f>
        <v>48220.9519897632</v>
      </c>
      <c r="AP19" s="65" t="n">
        <f aca="false">IF(37=36+'Assumption Setting'!$C$213,-'Income Statement'!$E$39,0)</f>
        <v>0</v>
      </c>
      <c r="AQ19" s="65" t="n">
        <f aca="false">IF(38=36+'Assumption Setting'!$C$213,-'Income Statement'!$E$39,0)</f>
        <v>0</v>
      </c>
      <c r="AR19" s="65" t="n">
        <f aca="false">IF(39=36+'Assumption Setting'!$C$213,-'Income Statement'!$E$39,0)</f>
        <v>0</v>
      </c>
      <c r="AS19" s="65" t="n">
        <f aca="false">IF(40=36+'Assumption Setting'!$C$213,-'Income Statement'!$E$39,0)</f>
        <v>48220.9519897632</v>
      </c>
      <c r="AT19" s="65" t="n">
        <f aca="false">IF(41=36+'Assumption Setting'!$C$213,-'Income Statement'!$E$39,0)</f>
        <v>0</v>
      </c>
      <c r="AU19" s="65" t="n">
        <f aca="false">IF(42=36+'Assumption Setting'!$C$213,-'Income Statement'!$E$39,0)</f>
        <v>0</v>
      </c>
      <c r="AV19" s="65" t="n">
        <f aca="false">IF(43=36+'Assumption Setting'!$C$213,-'Income Statement'!$E$39,0)</f>
        <v>0</v>
      </c>
      <c r="AW19" s="65" t="n">
        <f aca="false">IF(44=36+'Assumption Setting'!$C$213,-'Income Statement'!$E$39,0)</f>
        <v>0</v>
      </c>
      <c r="AX19" s="65" t="n">
        <f aca="false">IF(45=36+'Assumption Setting'!$C$213,-'Income Statement'!$E$39,0)</f>
        <v>0</v>
      </c>
      <c r="AY19" s="65" t="n">
        <f aca="false">IF(46=36+'Assumption Setting'!$C$213,-'Income Statement'!$E$39,0)</f>
        <v>0</v>
      </c>
      <c r="AZ19" s="65" t="n">
        <f aca="false">IF(47=36+'Assumption Setting'!$C$213,-'Income Statement'!$E$39,0)</f>
        <v>0</v>
      </c>
      <c r="BA19" s="65" t="n">
        <f aca="false">IF(48=36+'Assumption Setting'!$C$213,-'Income Statement'!$E$39,0)</f>
        <v>0</v>
      </c>
      <c r="BB19" s="64" t="n">
        <f aca="false">SUM(BC19:BN19)</f>
        <v>93919.7391294906</v>
      </c>
      <c r="BC19" s="65" t="n">
        <f aca="false">IF(49=48+'Assumption Setting'!$C$213,-'Income Statement'!$F$39,0)</f>
        <v>0</v>
      </c>
      <c r="BD19" s="65" t="n">
        <f aca="false">IF(50=48+'Assumption Setting'!$C$213,-'Income Statement'!$F$39,0)</f>
        <v>0</v>
      </c>
      <c r="BE19" s="65" t="n">
        <f aca="false">IF(51=48+'Assumption Setting'!$C$213,-'Income Statement'!$F$39,0)</f>
        <v>0</v>
      </c>
      <c r="BF19" s="65" t="n">
        <f aca="false">IF(52=48+'Assumption Setting'!$C$213,-'Income Statement'!$F$39,0)</f>
        <v>93919.7391294906</v>
      </c>
      <c r="BG19" s="65" t="n">
        <f aca="false">IF(53=48+'Assumption Setting'!$C$213,-'Income Statement'!$F$39,0)</f>
        <v>0</v>
      </c>
      <c r="BH19" s="65" t="n">
        <f aca="false">IF(54=48+'Assumption Setting'!$C$213,-'Income Statement'!$F$39,0)</f>
        <v>0</v>
      </c>
      <c r="BI19" s="65" t="n">
        <f aca="false">IF(55=48+'Assumption Setting'!$C$213,-'Income Statement'!$F$39,0)</f>
        <v>0</v>
      </c>
      <c r="BJ19" s="65" t="n">
        <f aca="false">IF(56=48+'Assumption Setting'!$C$213,-'Income Statement'!$F$39,0)</f>
        <v>0</v>
      </c>
      <c r="BK19" s="65" t="n">
        <f aca="false">IF(57=48+'Assumption Setting'!$C$213,-'Income Statement'!$F$39,0)</f>
        <v>0</v>
      </c>
      <c r="BL19" s="65" t="n">
        <f aca="false">IF(58=48+'Assumption Setting'!$C$213,-'Income Statement'!$F$39,0)</f>
        <v>0</v>
      </c>
      <c r="BM19" s="65" t="n">
        <f aca="false">IF(59=48+'Assumption Setting'!$C$213,-'Income Statement'!$F$39,0)</f>
        <v>0</v>
      </c>
      <c r="BN19" s="65" t="n">
        <f aca="false">IF(60=48+'Assumption Setting'!$C$213,-'Income Statement'!$F$39,0)</f>
        <v>0</v>
      </c>
    </row>
    <row r="21" customFormat="false" ht="16.5" hidden="false" customHeight="true" outlineLevel="0" collapsed="false">
      <c r="A21" s="15" t="s">
        <v>906</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907</v>
      </c>
      <c r="B23" s="64" t="n">
        <f aca="false">SUM(C23:N23)</f>
        <v>-35671.5650013932</v>
      </c>
      <c r="C23" s="65" t="n">
        <f aca="false">-C14</f>
        <v>-6184.50594796962</v>
      </c>
      <c r="D23" s="65" t="n">
        <f aca="false">-(D14-C14)</f>
        <v>-3710.00245630295</v>
      </c>
      <c r="E23" s="65" t="n">
        <f aca="false">-(E14-D14)</f>
        <v>-3069.67297970001</v>
      </c>
      <c r="F23" s="65" t="n">
        <f aca="false">-(F14-E14)</f>
        <v>-1975.40317984278</v>
      </c>
      <c r="G23" s="65" t="n">
        <f aca="false">-(G14-F14)</f>
        <v>-2590.98878038403</v>
      </c>
      <c r="H23" s="65" t="n">
        <f aca="false">-(H14-G14)</f>
        <v>-2591.13414447352</v>
      </c>
      <c r="I23" s="65" t="n">
        <f aca="false">-(I14-H14)</f>
        <v>-2591.279508563</v>
      </c>
      <c r="J23" s="65" t="n">
        <f aca="false">-(J14-I14)</f>
        <v>-2591.42487265249</v>
      </c>
      <c r="K23" s="65" t="n">
        <f aca="false">-(K14-J14)</f>
        <v>-2591.57023674196</v>
      </c>
      <c r="L23" s="65" t="n">
        <f aca="false">-(L14-K14)</f>
        <v>-2591.71560083145</v>
      </c>
      <c r="M23" s="65" t="n">
        <f aca="false">-(M14-L14)</f>
        <v>-2591.86096492094</v>
      </c>
      <c r="N23" s="65" t="n">
        <f aca="false">-(N14-M14)</f>
        <v>-2592.00632901042</v>
      </c>
      <c r="O23" s="64" t="n">
        <f aca="false">SUM(P23:AA23)</f>
        <v>-117626.393209773</v>
      </c>
      <c r="P23" s="65" t="n">
        <f aca="false">-(P14-N14)</f>
        <v>-65749.4359343781</v>
      </c>
      <c r="Q23" s="65" t="n">
        <f aca="false">-(Q14-P14)</f>
        <v>2010.72468120605</v>
      </c>
      <c r="R23" s="65" t="n">
        <f aca="false">-(R14-Q14)</f>
        <v>-1191.00131409366</v>
      </c>
      <c r="S23" s="65" t="n">
        <f aca="false">-(S14-R14)</f>
        <v>-6797.87288132218</v>
      </c>
      <c r="T23" s="65" t="n">
        <f aca="false">-(T14-S14)</f>
        <v>-5815.00498614679</v>
      </c>
      <c r="U23" s="65" t="n">
        <f aca="false">-(U14-T14)</f>
        <v>-5815.16109269044</v>
      </c>
      <c r="V23" s="65" t="n">
        <f aca="false">-(V14-U14)</f>
        <v>-5815.31719923412</v>
      </c>
      <c r="W23" s="65" t="n">
        <f aca="false">-(W14-V14)</f>
        <v>-5704.22811071889</v>
      </c>
      <c r="X23" s="65" t="n">
        <f aca="false">-(X14-W14)</f>
        <v>-5687.03993328325</v>
      </c>
      <c r="Y23" s="65" t="n">
        <f aca="false">-(Y14-X14)</f>
        <v>-5687.19603982693</v>
      </c>
      <c r="Z23" s="65" t="n">
        <f aca="false">-(Z14-Y14)</f>
        <v>-5687.3521463706</v>
      </c>
      <c r="AA23" s="65" t="n">
        <f aca="false">-(AA14-Z14)</f>
        <v>-5687.50825291427</v>
      </c>
      <c r="AB23" s="64" t="n">
        <f aca="false">SUM(AC23:AN23)</f>
        <v>-120740.598604913</v>
      </c>
      <c r="AC23" s="65" t="n">
        <f aca="false">-(AC14-AA14)</f>
        <v>-20786.202712305</v>
      </c>
      <c r="AD23" s="65" t="n">
        <f aca="false">-(AD14-AC14)</f>
        <v>-6441.45766430203</v>
      </c>
      <c r="AE23" s="65" t="n">
        <f aca="false">-(AE14-AD14)</f>
        <v>-7398.12455545677</v>
      </c>
      <c r="AF23" s="65" t="n">
        <f aca="false">-(AF14-AE14)</f>
        <v>-9079.40146665345</v>
      </c>
      <c r="AG23" s="65" t="n">
        <f aca="false">-(AG14-AF14)</f>
        <v>-9813.91539204115</v>
      </c>
      <c r="AH23" s="65" t="n">
        <f aca="false">-(AH14-AG14)</f>
        <v>-9602.3894854025</v>
      </c>
      <c r="AI23" s="65" t="n">
        <f aca="false">-(AI14-AH14)</f>
        <v>-9602.61664808524</v>
      </c>
      <c r="AJ23" s="65" t="n">
        <f aca="false">-(AJ14-AI14)</f>
        <v>-9602.84381076798</v>
      </c>
      <c r="AK23" s="65" t="n">
        <f aca="false">-(AK14-AJ14)</f>
        <v>-9603.07097345073</v>
      </c>
      <c r="AL23" s="65" t="n">
        <f aca="false">-(AL14-AK14)</f>
        <v>-9603.29813613338</v>
      </c>
      <c r="AM23" s="65" t="n">
        <f aca="false">-(AM14-AL14)</f>
        <v>-9603.52529881615</v>
      </c>
      <c r="AN23" s="65" t="n">
        <f aca="false">-(AN14-AM14)</f>
        <v>-9603.75246149889</v>
      </c>
      <c r="AO23" s="64" t="n">
        <f aca="false">SUM(AP23:BA23)</f>
        <v>-136417.62083525</v>
      </c>
      <c r="AP23" s="65" t="n">
        <f aca="false">-(AP14-AN14)</f>
        <v>-32152.5802684969</v>
      </c>
      <c r="AQ23" s="65" t="n">
        <f aca="false">-(AQ14-AP14)</f>
        <v>-10251.1750573625</v>
      </c>
      <c r="AR23" s="65" t="n">
        <f aca="false">-(AR14-AQ14)</f>
        <v>-9915.30320402479</v>
      </c>
      <c r="AS23" s="65" t="n">
        <f aca="false">-(AS14-AR14)</f>
        <v>-9485.23924257606</v>
      </c>
      <c r="AT23" s="65" t="n">
        <f aca="false">-(AT14-AS14)</f>
        <v>-9326.66012389457</v>
      </c>
      <c r="AU23" s="65" t="n">
        <f aca="false">-(AU14-AT14)</f>
        <v>-9326.66162645293</v>
      </c>
      <c r="AV23" s="65" t="n">
        <f aca="false">-(AV14-AU14)</f>
        <v>-9326.66312901117</v>
      </c>
      <c r="AW23" s="65" t="n">
        <f aca="false">-(AW14-AV14)</f>
        <v>-9326.66463156953</v>
      </c>
      <c r="AX23" s="65" t="n">
        <f aca="false">-(AX14-AW14)</f>
        <v>-9326.66613412782</v>
      </c>
      <c r="AY23" s="65" t="n">
        <f aca="false">-(AY14-AX14)</f>
        <v>-9326.66763668618</v>
      </c>
      <c r="AZ23" s="65" t="n">
        <f aca="false">-(AZ14-AY14)</f>
        <v>-9326.66913924436</v>
      </c>
      <c r="BA23" s="65" t="n">
        <f aca="false">-(BA14-AZ14)</f>
        <v>-9326.67064180278</v>
      </c>
      <c r="BB23" s="64" t="n">
        <f aca="false">SUM(BC23:BN23)</f>
        <v>-153344.246345488</v>
      </c>
      <c r="BC23" s="65" t="n">
        <f aca="false">-(BC14-BA14)</f>
        <v>-37588.755941843</v>
      </c>
      <c r="BD23" s="65" t="n">
        <f aca="false">-(BD14-BC14)</f>
        <v>-10012.8593698819</v>
      </c>
      <c r="BE23" s="65" t="n">
        <f aca="false">-(BE14-BD14)</f>
        <v>-10275.7628313445</v>
      </c>
      <c r="BF23" s="65" t="n">
        <f aca="false">-(BF14-BE14)</f>
        <v>-10536.7355486563</v>
      </c>
      <c r="BG23" s="65" t="n">
        <f aca="false">-(BG14-BF14)</f>
        <v>-10615.9405858204</v>
      </c>
      <c r="BH23" s="65" t="n">
        <f aca="false">-(BH14-BG14)</f>
        <v>-10616.0337275061</v>
      </c>
      <c r="BI23" s="65" t="n">
        <f aca="false">-(BI14-BH14)</f>
        <v>-10616.1268691917</v>
      </c>
      <c r="BJ23" s="65" t="n">
        <f aca="false">-(BJ14-BI14)</f>
        <v>-10616.2200108775</v>
      </c>
      <c r="BK23" s="65" t="n">
        <f aca="false">-(BK14-BJ14)</f>
        <v>-10616.3131525632</v>
      </c>
      <c r="BL23" s="65" t="n">
        <f aca="false">-(BL14-BK14)</f>
        <v>-10616.4062942486</v>
      </c>
      <c r="BM23" s="65" t="n">
        <f aca="false">-(BM14-BL14)</f>
        <v>-10616.4994359346</v>
      </c>
      <c r="BN23" s="65" t="n">
        <f aca="false">-(BN14-BM14)</f>
        <v>-10616.5925776202</v>
      </c>
    </row>
    <row r="24" customFormat="false" ht="15" hidden="false" customHeight="false" outlineLevel="0" collapsed="false">
      <c r="A24" s="12" t="s">
        <v>908</v>
      </c>
      <c r="B24" s="64" t="n">
        <f aca="false">SUM(C24:N24)</f>
        <v>10582.4029226385</v>
      </c>
      <c r="C24" s="65" t="n">
        <f aca="false">C15</f>
        <v>8582.97874602746</v>
      </c>
      <c r="D24" s="65" t="n">
        <f aca="false">(D15-C15)</f>
        <v>-2707.29721533013</v>
      </c>
      <c r="E24" s="65" t="n">
        <f aca="false">(E15-D15)</f>
        <v>418.507843292123</v>
      </c>
      <c r="F24" s="65" t="n">
        <f aca="false">(F15-E15)</f>
        <v>224.920540746667</v>
      </c>
      <c r="G24" s="65" t="n">
        <f aca="false">(G15-F15)</f>
        <v>646.661958536942</v>
      </c>
      <c r="H24" s="65" t="n">
        <f aca="false">(H15-G15)</f>
        <v>367.052612483816</v>
      </c>
      <c r="I24" s="65" t="n">
        <f aca="false">(I15-H15)</f>
        <v>647.42516932416</v>
      </c>
      <c r="J24" s="65" t="n">
        <f aca="false">(J15-I15)</f>
        <v>367.780714884373</v>
      </c>
      <c r="K24" s="65" t="n">
        <f aca="false">(K15-J15)</f>
        <v>648.12026984126</v>
      </c>
      <c r="L24" s="65" t="n">
        <f aca="false">(L15-K15)</f>
        <v>368.444793631028</v>
      </c>
      <c r="M24" s="65" t="n">
        <f aca="false">(M15-L15)</f>
        <v>648.755188123698</v>
      </c>
      <c r="N24" s="65" t="n">
        <f aca="false">(N15-M15)</f>
        <v>369.05230107709</v>
      </c>
      <c r="O24" s="64" t="n">
        <f aca="false">SUM(P24:AA24)</f>
        <v>27923.6179441718</v>
      </c>
      <c r="P24" s="65" t="n">
        <f aca="false">(P15-N15)</f>
        <v>20117.3861665488</v>
      </c>
      <c r="Q24" s="65" t="n">
        <f aca="false">(Q15-P15)</f>
        <v>-2130.16391124013</v>
      </c>
      <c r="R24" s="65" t="n">
        <f aca="false">(R15-Q15)</f>
        <v>85.8513841609747</v>
      </c>
      <c r="S24" s="65" t="n">
        <f aca="false">(S15-R15)</f>
        <v>1366.98104380576</v>
      </c>
      <c r="T24" s="65" t="n">
        <f aca="false">(T15-S15)</f>
        <v>1061.42901135598</v>
      </c>
      <c r="U24" s="65" t="n">
        <f aca="false">(U15-T15)</f>
        <v>1061.5888938086</v>
      </c>
      <c r="V24" s="65" t="n">
        <f aca="false">(V15-U15)</f>
        <v>1061.74492022954</v>
      </c>
      <c r="W24" s="65" t="n">
        <f aca="false">(W15-V15)</f>
        <v>1059.73768192728</v>
      </c>
      <c r="X24" s="65" t="n">
        <f aca="false">(X15-W15)</f>
        <v>1059.54996612254</v>
      </c>
      <c r="Y24" s="65" t="n">
        <f aca="false">(Y15-X15)</f>
        <v>1059.6957579259</v>
      </c>
      <c r="Z24" s="65" t="n">
        <f aca="false">(Z15-Y15)</f>
        <v>1059.83853913654</v>
      </c>
      <c r="AA24" s="65" t="n">
        <f aca="false">(AA15-Z15)</f>
        <v>1059.97849039002</v>
      </c>
      <c r="AB24" s="64" t="n">
        <f aca="false">SUM(AC24:AN24)</f>
        <v>34800.1739496628</v>
      </c>
      <c r="AC24" s="65" t="n">
        <f aca="false">(AC15-AA15)</f>
        <v>15092.1143558041</v>
      </c>
      <c r="AD24" s="65" t="n">
        <f aca="false">(AD15-AC15)</f>
        <v>1241.88196305277</v>
      </c>
      <c r="AE24" s="65" t="n">
        <f aca="false">(AE15-AD15)</f>
        <v>1409.43053317857</v>
      </c>
      <c r="AF24" s="65" t="n">
        <f aca="false">(AF15-AE15)</f>
        <v>1903.32807217351</v>
      </c>
      <c r="AG24" s="65" t="n">
        <f aca="false">(AG15-AF15)</f>
        <v>1756.2451990829</v>
      </c>
      <c r="AH24" s="65" t="n">
        <f aca="false">(AH15-AG15)</f>
        <v>2032.6086052303</v>
      </c>
      <c r="AI24" s="65" t="n">
        <f aca="false">(AI15-AH15)</f>
        <v>1753.0627381814</v>
      </c>
      <c r="AJ24" s="65" t="n">
        <f aca="false">(AJ15-AI15)</f>
        <v>2033.49797138403</v>
      </c>
      <c r="AK24" s="65" t="n">
        <f aca="false">(AK15-AJ15)</f>
        <v>1753.91543882311</v>
      </c>
      <c r="AL24" s="65" t="n">
        <f aca="false">(AL15-AK15)</f>
        <v>2034.3162064444</v>
      </c>
      <c r="AM24" s="65" t="n">
        <f aca="false">(AM15-AL15)</f>
        <v>1754.70127623701</v>
      </c>
      <c r="AN24" s="65" t="n">
        <f aca="false">(AN15-AM15)</f>
        <v>2035.07159007067</v>
      </c>
      <c r="AO24" s="64" t="n">
        <f aca="false">SUM(AP24:BA24)</f>
        <v>37838.0193001147</v>
      </c>
      <c r="AP24" s="65" t="n">
        <f aca="false">(AP15-AN15)</f>
        <v>16599.3727752611</v>
      </c>
      <c r="AQ24" s="65" t="n">
        <f aca="false">(AQ15-AP15)</f>
        <v>2228.60407549597</v>
      </c>
      <c r="AR24" s="65" t="n">
        <f aca="false">(AR15-AQ15)</f>
        <v>1879.28626776551</v>
      </c>
      <c r="AS24" s="65" t="n">
        <f aca="false">(AS15-AR15)</f>
        <v>1927.16220078422</v>
      </c>
      <c r="AT24" s="65" t="n">
        <f aca="false">(AT15-AS15)</f>
        <v>2040.84947984651</v>
      </c>
      <c r="AU24" s="65" t="n">
        <f aca="false">(AU15-AT15)</f>
        <v>1760.72067375598</v>
      </c>
      <c r="AV24" s="65" t="n">
        <f aca="false">(AV15-AU15)</f>
        <v>1900.59965124988</v>
      </c>
      <c r="AW24" s="65" t="n">
        <f aca="false">(AW15-AV15)</f>
        <v>2040.48594531321</v>
      </c>
      <c r="AX24" s="65" t="n">
        <f aca="false">(AX15-AW15)</f>
        <v>1760.37911695168</v>
      </c>
      <c r="AY24" s="65" t="n">
        <f aca="false">(AY15-AX15)</f>
        <v>1900.27875351091</v>
      </c>
      <c r="AZ24" s="65" t="n">
        <f aca="false">(AZ15-AY15)</f>
        <v>2040.18446709562</v>
      </c>
      <c r="BA24" s="65" t="n">
        <f aca="false">(BA15-AZ15)</f>
        <v>1760.09589308419</v>
      </c>
      <c r="BB24" s="64" t="n">
        <f aca="false">SUM(BC24:BN24)</f>
        <v>42698.2851386942</v>
      </c>
      <c r="BC24" s="65" t="n">
        <f aca="false">(BC15-BA15)</f>
        <v>18594.1538112528</v>
      </c>
      <c r="BD24" s="65" t="n">
        <f aca="false">(BD15-BC15)</f>
        <v>1957.24136840677</v>
      </c>
      <c r="BE24" s="65" t="n">
        <f aca="false">(BE15-BD15)</f>
        <v>2154.79111509945</v>
      </c>
      <c r="BF24" s="65" t="n">
        <f aca="false">(BF15-BE15)</f>
        <v>2350.52220072885</v>
      </c>
      <c r="BG24" s="65" t="n">
        <f aca="false">(BG15-BF15)</f>
        <v>2083.24850342894</v>
      </c>
      <c r="BH24" s="65" t="n">
        <f aca="false">(BH15-BG15)</f>
        <v>2363.06404542961</v>
      </c>
      <c r="BI24" s="65" t="n">
        <f aca="false">(BI15-BH15)</f>
        <v>2082.89407786712</v>
      </c>
      <c r="BJ24" s="65" t="n">
        <f aca="false">(BJ15-BI15)</f>
        <v>2362.73773131537</v>
      </c>
      <c r="BK24" s="65" t="n">
        <f aca="false">(BK15-BJ15)</f>
        <v>2082.5941885137</v>
      </c>
      <c r="BL24" s="65" t="n">
        <f aca="false">(BL15-BK15)</f>
        <v>2222.462681237</v>
      </c>
      <c r="BM24" s="65" t="n">
        <f aca="false">(BM15-BL15)</f>
        <v>2362.34248735389</v>
      </c>
      <c r="BN24" s="65" t="n">
        <f aca="false">(BN15-BM15)</f>
        <v>2082.23292806072</v>
      </c>
    </row>
    <row r="25" customFormat="false" ht="15" hidden="false" customHeight="false" outlineLevel="0" collapsed="false">
      <c r="A25" s="12" t="s">
        <v>909</v>
      </c>
      <c r="B25" s="64" t="n">
        <f aca="false">SUM(C25:N25)</f>
        <v>1694</v>
      </c>
      <c r="C25" s="65" t="n">
        <f aca="false">C16</f>
        <v>1694</v>
      </c>
      <c r="D25" s="65" t="n">
        <f aca="false">(D16-C16)</f>
        <v>0</v>
      </c>
      <c r="E25" s="65" t="n">
        <f aca="false">(E16-D16)</f>
        <v>0</v>
      </c>
      <c r="F25" s="65" t="n">
        <f aca="false">(F16-E16)</f>
        <v>0</v>
      </c>
      <c r="G25" s="65" t="n">
        <f aca="false">(G16-F16)</f>
        <v>0</v>
      </c>
      <c r="H25" s="65" t="n">
        <f aca="false">(H16-G16)</f>
        <v>0</v>
      </c>
      <c r="I25" s="65" t="n">
        <f aca="false">(I16-H16)</f>
        <v>0</v>
      </c>
      <c r="J25" s="65" t="n">
        <f aca="false">(J16-I16)</f>
        <v>0</v>
      </c>
      <c r="K25" s="65" t="n">
        <f aca="false">(K16-J16)</f>
        <v>0</v>
      </c>
      <c r="L25" s="65" t="n">
        <f aca="false">(L16-K16)</f>
        <v>0</v>
      </c>
      <c r="M25" s="65" t="n">
        <f aca="false">(M16-L16)</f>
        <v>0</v>
      </c>
      <c r="N25" s="65" t="n">
        <f aca="false">(N16-M16)</f>
        <v>0</v>
      </c>
      <c r="O25" s="64" t="n">
        <f aca="false">SUM(P25:AA25)</f>
        <v>1848</v>
      </c>
      <c r="P25" s="65" t="n">
        <f aca="false">(P16-N16)</f>
        <v>1848</v>
      </c>
      <c r="Q25" s="65" t="n">
        <f aca="false">(Q16-P16)</f>
        <v>0</v>
      </c>
      <c r="R25" s="65" t="n">
        <f aca="false">(R16-Q16)</f>
        <v>0</v>
      </c>
      <c r="S25" s="65" t="n">
        <f aca="false">(S16-R16)</f>
        <v>0</v>
      </c>
      <c r="T25" s="65" t="n">
        <f aca="false">(T16-S16)</f>
        <v>0</v>
      </c>
      <c r="U25" s="65" t="n">
        <f aca="false">(U16-T16)</f>
        <v>0</v>
      </c>
      <c r="V25" s="65" t="n">
        <f aca="false">(V16-U16)</f>
        <v>0</v>
      </c>
      <c r="W25" s="65" t="n">
        <f aca="false">(W16-V16)</f>
        <v>0</v>
      </c>
      <c r="X25" s="65" t="n">
        <f aca="false">(X16-W16)</f>
        <v>0</v>
      </c>
      <c r="Y25" s="65" t="n">
        <f aca="false">(Y16-X16)</f>
        <v>0</v>
      </c>
      <c r="Z25" s="65" t="n">
        <f aca="false">(Z16-Y16)</f>
        <v>0</v>
      </c>
      <c r="AA25" s="65" t="n">
        <f aca="false">(AA16-Z16)</f>
        <v>0</v>
      </c>
      <c r="AB25" s="64" t="n">
        <f aca="false">SUM(AC25:AN25)</f>
        <v>2464</v>
      </c>
      <c r="AC25" s="65" t="n">
        <f aca="false">(AC16-AA16)</f>
        <v>2464</v>
      </c>
      <c r="AD25" s="65" t="n">
        <f aca="false">(AD16-AC16)</f>
        <v>0</v>
      </c>
      <c r="AE25" s="65" t="n">
        <f aca="false">(AE16-AD16)</f>
        <v>0</v>
      </c>
      <c r="AF25" s="65" t="n">
        <f aca="false">(AF16-AE16)</f>
        <v>0</v>
      </c>
      <c r="AG25" s="65" t="n">
        <f aca="false">(AG16-AF16)</f>
        <v>0</v>
      </c>
      <c r="AH25" s="65" t="n">
        <f aca="false">(AH16-AG16)</f>
        <v>0</v>
      </c>
      <c r="AI25" s="65" t="n">
        <f aca="false">(AI16-AH16)</f>
        <v>0</v>
      </c>
      <c r="AJ25" s="65" t="n">
        <f aca="false">(AJ16-AI16)</f>
        <v>0</v>
      </c>
      <c r="AK25" s="65" t="n">
        <f aca="false">(AK16-AJ16)</f>
        <v>0</v>
      </c>
      <c r="AL25" s="65" t="n">
        <f aca="false">(AL16-AK16)</f>
        <v>0</v>
      </c>
      <c r="AM25" s="65" t="n">
        <f aca="false">(AM16-AL16)</f>
        <v>0</v>
      </c>
      <c r="AN25" s="65" t="n">
        <f aca="false">(AN16-AM16)</f>
        <v>0</v>
      </c>
      <c r="AO25" s="64" t="n">
        <f aca="false">SUM(AP25:BA25)</f>
        <v>2271.5</v>
      </c>
      <c r="AP25" s="65" t="n">
        <f aca="false">(AP16-AN16)</f>
        <v>2271.5</v>
      </c>
      <c r="AQ25" s="65" t="n">
        <f aca="false">(AQ16-AP16)</f>
        <v>0</v>
      </c>
      <c r="AR25" s="65" t="n">
        <f aca="false">(AR16-AQ16)</f>
        <v>0</v>
      </c>
      <c r="AS25" s="65" t="n">
        <f aca="false">(AS16-AR16)</f>
        <v>0</v>
      </c>
      <c r="AT25" s="65" t="n">
        <f aca="false">(AT16-AS16)</f>
        <v>0</v>
      </c>
      <c r="AU25" s="65" t="n">
        <f aca="false">(AU16-AT16)</f>
        <v>0</v>
      </c>
      <c r="AV25" s="65" t="n">
        <f aca="false">(AV16-AU16)</f>
        <v>0</v>
      </c>
      <c r="AW25" s="65" t="n">
        <f aca="false">(AW16-AV16)</f>
        <v>0</v>
      </c>
      <c r="AX25" s="65" t="n">
        <f aca="false">(AX16-AW16)</f>
        <v>0</v>
      </c>
      <c r="AY25" s="65" t="n">
        <f aca="false">(AY16-AX16)</f>
        <v>0</v>
      </c>
      <c r="AZ25" s="65" t="n">
        <f aca="false">(AZ16-AY16)</f>
        <v>0</v>
      </c>
      <c r="BA25" s="65" t="n">
        <f aca="false">(BA16-AZ16)</f>
        <v>0</v>
      </c>
      <c r="BB25" s="64" t="n">
        <f aca="false">SUM(BC25:BN25)</f>
        <v>2117.5</v>
      </c>
      <c r="BC25" s="65" t="n">
        <f aca="false">(BC16-BA16)</f>
        <v>2117.5</v>
      </c>
      <c r="BD25" s="65" t="n">
        <f aca="false">(BD16-BC16)</f>
        <v>0</v>
      </c>
      <c r="BE25" s="65" t="n">
        <f aca="false">(BE16-BD16)</f>
        <v>0</v>
      </c>
      <c r="BF25" s="65" t="n">
        <f aca="false">(BF16-BE16)</f>
        <v>0</v>
      </c>
      <c r="BG25" s="65" t="n">
        <f aca="false">(BG16-BF16)</f>
        <v>0</v>
      </c>
      <c r="BH25" s="65" t="n">
        <f aca="false">(BH16-BG16)</f>
        <v>0</v>
      </c>
      <c r="BI25" s="65" t="n">
        <f aca="false">(BI16-BH16)</f>
        <v>0</v>
      </c>
      <c r="BJ25" s="65" t="n">
        <f aca="false">(BJ16-BI16)</f>
        <v>0</v>
      </c>
      <c r="BK25" s="65" t="n">
        <f aca="false">(BK16-BJ16)</f>
        <v>0</v>
      </c>
      <c r="BL25" s="65" t="n">
        <f aca="false">(BL16-BK16)</f>
        <v>0</v>
      </c>
      <c r="BM25" s="65" t="n">
        <f aca="false">(BM16-BL16)</f>
        <v>0</v>
      </c>
      <c r="BN25" s="65" t="n">
        <f aca="false">(BN16-BM16)</f>
        <v>0</v>
      </c>
    </row>
    <row r="26" customFormat="false" ht="15" hidden="false" customHeight="false" outlineLevel="0" collapsed="false">
      <c r="A26" s="12" t="s">
        <v>910</v>
      </c>
      <c r="B26" s="64" t="n">
        <f aca="false">SUM(C26:N26)</f>
        <v>4620.41250851263</v>
      </c>
      <c r="C26" s="65" t="n">
        <f aca="false">C17</f>
        <v>880.52308165348</v>
      </c>
      <c r="D26" s="65" t="n">
        <f aca="false">(D17-C17)</f>
        <v>388.791070442557</v>
      </c>
      <c r="E26" s="65" t="n">
        <f aca="false">(E17-D17)</f>
        <v>333.900725727627</v>
      </c>
      <c r="F26" s="65" t="n">
        <f aca="false">(F17-E17)</f>
        <v>227.826709029986</v>
      </c>
      <c r="G26" s="65" t="n">
        <f aca="false">(G17-F17)</f>
        <v>307.636394147574</v>
      </c>
      <c r="H26" s="65" t="n">
        <f aca="false">(H17-G17)</f>
        <v>323.721594277734</v>
      </c>
      <c r="I26" s="65" t="n">
        <f aca="false">(I17-H17)</f>
        <v>337.626333065643</v>
      </c>
      <c r="J26" s="65" t="n">
        <f aca="false">(J17-I17)</f>
        <v>349.350610511299</v>
      </c>
      <c r="K26" s="65" t="n">
        <f aca="false">(K17-J17)</f>
        <v>358.894426614703</v>
      </c>
      <c r="L26" s="65" t="n">
        <f aca="false">(L17-K17)</f>
        <v>366.257781375858</v>
      </c>
      <c r="M26" s="65" t="n">
        <f aca="false">(M17-L17)</f>
        <v>371.44067479476</v>
      </c>
      <c r="N26" s="65" t="n">
        <f aca="false">(N17-M17)</f>
        <v>374.44310687141</v>
      </c>
      <c r="O26" s="64" t="n">
        <f aca="false">SUM(P26:AA26)</f>
        <v>17894.8327816796</v>
      </c>
      <c r="P26" s="65" t="n">
        <f aca="false">(P17-N17)</f>
        <v>7245.46870800001</v>
      </c>
      <c r="Q26" s="65" t="n">
        <f aca="false">(Q17-P17)</f>
        <v>442.068477839859</v>
      </c>
      <c r="R26" s="65" t="n">
        <f aca="false">(R17-Q17)</f>
        <v>736.060948476694</v>
      </c>
      <c r="S26" s="65" t="n">
        <f aca="false">(S17-R17)</f>
        <v>1289.82583185669</v>
      </c>
      <c r="T26" s="65" t="n">
        <f aca="false">(T17-S17)</f>
        <v>1161.20331830056</v>
      </c>
      <c r="U26" s="65" t="n">
        <f aca="false">(U17-T17)</f>
        <v>1128.54160676136</v>
      </c>
      <c r="V26" s="65" t="n">
        <f aca="false">(V17-U17)</f>
        <v>1093.53829706717</v>
      </c>
      <c r="W26" s="65" t="n">
        <f aca="false">(W17-V17)</f>
        <v>1045.0688697121</v>
      </c>
      <c r="X26" s="65" t="n">
        <f aca="false">(X17-W17)</f>
        <v>1003.64793531001</v>
      </c>
      <c r="Y26" s="65" t="n">
        <f aca="false">(Y17-X17)</f>
        <v>961.619831150856</v>
      </c>
      <c r="Z26" s="65" t="n">
        <f aca="false">(Z17-Y17)</f>
        <v>917.250128836717</v>
      </c>
      <c r="AA26" s="65" t="n">
        <f aca="false">(AA17-Z17)</f>
        <v>870.538828367589</v>
      </c>
      <c r="AB26" s="64" t="n">
        <f aca="false">SUM(AC26:AN26)</f>
        <v>18571.8132141551</v>
      </c>
      <c r="AC26" s="65" t="n">
        <f aca="false">(AC17-AA17)</f>
        <v>2648.48566873519</v>
      </c>
      <c r="AD26" s="65" t="n">
        <f aca="false">(AD17-AC17)</f>
        <v>1195.42686305461</v>
      </c>
      <c r="AE26" s="65" t="n">
        <f aca="false">(AE17-AD17)</f>
        <v>1278.67693835931</v>
      </c>
      <c r="AF26" s="65" t="n">
        <f aca="false">(AF17-AE17)</f>
        <v>1440.30141174624</v>
      </c>
      <c r="AG26" s="65" t="n">
        <f aca="false">(AG17-AF17)</f>
        <v>1522.99491459688</v>
      </c>
      <c r="AH26" s="65" t="n">
        <f aca="false">(AH17-AG17)</f>
        <v>1507.676994004</v>
      </c>
      <c r="AI26" s="65" t="n">
        <f aca="false">(AI17-AH17)</f>
        <v>1510.12694010237</v>
      </c>
      <c r="AJ26" s="65" t="n">
        <f aca="false">(AJ17-AI17)</f>
        <v>1509.16944595987</v>
      </c>
      <c r="AK26" s="65" t="n">
        <f aca="false">(AK17-AJ17)</f>
        <v>1504.80451157646</v>
      </c>
      <c r="AL26" s="65" t="n">
        <f aca="false">(AL17-AK17)</f>
        <v>1497.03213695218</v>
      </c>
      <c r="AM26" s="65" t="n">
        <f aca="false">(AM17-AL17)</f>
        <v>1485.85232208702</v>
      </c>
      <c r="AN26" s="65" t="n">
        <f aca="false">(AN17-AM17)</f>
        <v>1471.26506698096</v>
      </c>
      <c r="AO26" s="64" t="n">
        <f aca="false">SUM(AP26:BA26)</f>
        <v>22406.1307571906</v>
      </c>
      <c r="AP26" s="65" t="n">
        <f aca="false">(AP17-AN17)</f>
        <v>4128.56866280099</v>
      </c>
      <c r="AQ26" s="65" t="n">
        <f aca="false">(AQ17-AP17)</f>
        <v>1914.91568865689</v>
      </c>
      <c r="AR26" s="65" t="n">
        <f aca="false">(AR17-AQ17)</f>
        <v>1853.09506584775</v>
      </c>
      <c r="AS26" s="65" t="n">
        <f aca="false">(AS17-AR17)</f>
        <v>1776.7824733479</v>
      </c>
      <c r="AT26" s="65" t="n">
        <f aca="false">(AT17-AS17)</f>
        <v>1723.3484890074</v>
      </c>
      <c r="AU26" s="65" t="n">
        <f aca="false">(AU17-AT17)</f>
        <v>1685.75002841635</v>
      </c>
      <c r="AV26" s="65" t="n">
        <f aca="false">(AV17-AU17)</f>
        <v>1648.12902945076</v>
      </c>
      <c r="AW26" s="65" t="n">
        <f aca="false">(AW17-AV17)</f>
        <v>1610.4854921107</v>
      </c>
      <c r="AX26" s="65" t="n">
        <f aca="false">(AX17-AW17)</f>
        <v>1572.81941639612</v>
      </c>
      <c r="AY26" s="65" t="n">
        <f aca="false">(AY17-AX17)</f>
        <v>1535.13080230702</v>
      </c>
      <c r="AZ26" s="65" t="n">
        <f aca="false">(AZ17-AY17)</f>
        <v>1497.41964984341</v>
      </c>
      <c r="BA26" s="65" t="n">
        <f aca="false">(BA17-AZ17)</f>
        <v>1459.68595900529</v>
      </c>
      <c r="BB26" s="64" t="n">
        <f aca="false">SUM(BC26:BN26)</f>
        <v>25417.1880800019</v>
      </c>
      <c r="BC26" s="65" t="n">
        <f aca="false">(BC17-BA17)</f>
        <v>4811.11347178735</v>
      </c>
      <c r="BD26" s="65" t="n">
        <f aca="false">(BD17-BC17)</f>
        <v>2014.23528123742</v>
      </c>
      <c r="BE26" s="65" t="n">
        <f aca="false">(BE17-BD17)</f>
        <v>2002.11279830518</v>
      </c>
      <c r="BF26" s="65" t="n">
        <f aca="false">(BF17-BE17)</f>
        <v>1991.70275842723</v>
      </c>
      <c r="BG26" s="65" t="n">
        <f aca="false">(BG17-BF17)</f>
        <v>1964.01591215281</v>
      </c>
      <c r="BH26" s="65" t="n">
        <f aca="false">(BH17-BG17)</f>
        <v>1927.02075104536</v>
      </c>
      <c r="BI26" s="65" t="n">
        <f aca="false">(BI17-BH17)</f>
        <v>1888.62846465275</v>
      </c>
      <c r="BJ26" s="65" t="n">
        <f aca="false">(BJ17-BI17)</f>
        <v>1848.83905297499</v>
      </c>
      <c r="BK26" s="65" t="n">
        <f aca="false">(BK17-BJ17)</f>
        <v>1807.65251601204</v>
      </c>
      <c r="BL26" s="65" t="n">
        <f aca="false">(BL17-BK17)</f>
        <v>1765.06885376392</v>
      </c>
      <c r="BM26" s="65" t="n">
        <f aca="false">(BM17-BL17)</f>
        <v>1721.08806623063</v>
      </c>
      <c r="BN26" s="65" t="n">
        <f aca="false">(BN17-BM17)</f>
        <v>1675.71015341218</v>
      </c>
    </row>
    <row r="27" customFormat="false" ht="15" hidden="false" customHeight="false" outlineLevel="0" collapsed="false">
      <c r="A27" s="12" t="s">
        <v>911</v>
      </c>
      <c r="B27" s="64" t="n">
        <f aca="false">SUM(C27:N27)</f>
        <v>0</v>
      </c>
      <c r="C27" s="65" t="n">
        <f aca="false">C18</f>
        <v>0</v>
      </c>
      <c r="D27" s="65" t="n">
        <f aca="false">D18-C18</f>
        <v>0</v>
      </c>
      <c r="E27" s="65" t="n">
        <f aca="false">E18-D18</f>
        <v>0</v>
      </c>
      <c r="F27" s="65" t="n">
        <f aca="false">F18-E18</f>
        <v>0</v>
      </c>
      <c r="G27" s="65" t="n">
        <f aca="false">G18-F18</f>
        <v>0</v>
      </c>
      <c r="H27" s="65" t="n">
        <f aca="false">H18-G18</f>
        <v>0</v>
      </c>
      <c r="I27" s="65" t="n">
        <f aca="false">I18-H18</f>
        <v>0</v>
      </c>
      <c r="J27" s="65" t="n">
        <f aca="false">J18-I18</f>
        <v>0</v>
      </c>
      <c r="K27" s="65" t="n">
        <f aca="false">K18-J18</f>
        <v>0</v>
      </c>
      <c r="L27" s="65" t="n">
        <f aca="false">L18-K18</f>
        <v>0</v>
      </c>
      <c r="M27" s="65" t="n">
        <f aca="false">M18-L18</f>
        <v>0</v>
      </c>
      <c r="N27" s="65" t="n">
        <f aca="false">N18-M18</f>
        <v>0</v>
      </c>
      <c r="O27" s="64" t="n">
        <f aca="false">SUM(P27:AA27)</f>
        <v>18327.1242350798</v>
      </c>
      <c r="P27" s="65" t="n">
        <f aca="false">P18-N18</f>
        <v>1527.26035292332</v>
      </c>
      <c r="Q27" s="65" t="n">
        <f aca="false">Q18-P18</f>
        <v>1527.26035292332</v>
      </c>
      <c r="R27" s="65" t="n">
        <f aca="false">R18-Q18</f>
        <v>1527.26035292332</v>
      </c>
      <c r="S27" s="65" t="n">
        <f aca="false">S18-R18</f>
        <v>1527.26035292332</v>
      </c>
      <c r="T27" s="65" t="n">
        <f aca="false">T18-S18</f>
        <v>1527.26035292332</v>
      </c>
      <c r="U27" s="65" t="n">
        <f aca="false">U18-T18</f>
        <v>1527.26035292332</v>
      </c>
      <c r="V27" s="65" t="n">
        <f aca="false">V18-U18</f>
        <v>1527.26035292332</v>
      </c>
      <c r="W27" s="65" t="n">
        <f aca="false">W18-V18</f>
        <v>1527.26035292332</v>
      </c>
      <c r="X27" s="65" t="n">
        <f aca="false">X18-W18</f>
        <v>1527.26035292332</v>
      </c>
      <c r="Y27" s="65" t="n">
        <f aca="false">Y18-X18</f>
        <v>1527.26035292332</v>
      </c>
      <c r="Z27" s="65" t="n">
        <f aca="false">Z18-Y18</f>
        <v>1527.26035292332</v>
      </c>
      <c r="AA27" s="65" t="n">
        <f aca="false">AA18-Z18</f>
        <v>1527.26035292332</v>
      </c>
      <c r="AB27" s="64" t="n">
        <f aca="false">SUM(AC27:AN27)</f>
        <v>29893.8277546834</v>
      </c>
      <c r="AC27" s="65" t="n">
        <f aca="false">AC18-AA18</f>
        <v>4018.4126658136</v>
      </c>
      <c r="AD27" s="65" t="n">
        <f aca="false">AD18-AC18</f>
        <v>4018.4126658136</v>
      </c>
      <c r="AE27" s="65" t="n">
        <f aca="false">AE18-AD18</f>
        <v>4018.4126658136</v>
      </c>
      <c r="AF27" s="65" t="n">
        <f aca="false">AF18-AE18</f>
        <v>-14308.7115692662</v>
      </c>
      <c r="AG27" s="65" t="n">
        <f aca="false">AG18-AF18</f>
        <v>4018.4126658136</v>
      </c>
      <c r="AH27" s="65" t="n">
        <f aca="false">AH18-AG18</f>
        <v>4018.4126658136</v>
      </c>
      <c r="AI27" s="65" t="n">
        <f aca="false">AI18-AH18</f>
        <v>4018.4126658136</v>
      </c>
      <c r="AJ27" s="65" t="n">
        <f aca="false">AJ18-AI18</f>
        <v>4018.4126658136</v>
      </c>
      <c r="AK27" s="65" t="n">
        <f aca="false">AK18-AJ18</f>
        <v>4018.41266581359</v>
      </c>
      <c r="AL27" s="65" t="n">
        <f aca="false">AL18-AK18</f>
        <v>4018.41266581359</v>
      </c>
      <c r="AM27" s="65" t="n">
        <f aca="false">AM18-AL18</f>
        <v>4018.41266581359</v>
      </c>
      <c r="AN27" s="65" t="n">
        <f aca="false">AN18-AM18</f>
        <v>4018.41266581359</v>
      </c>
      <c r="AO27" s="64" t="n">
        <f aca="false">SUM(AP27:BA27)</f>
        <v>45698.7871397275</v>
      </c>
      <c r="AP27" s="65" t="n">
        <f aca="false">AP18-AN18</f>
        <v>7826.64492745756</v>
      </c>
      <c r="AQ27" s="65" t="n">
        <f aca="false">AQ18-AP18</f>
        <v>7826.64492745756</v>
      </c>
      <c r="AR27" s="65" t="n">
        <f aca="false">AR18-AQ18</f>
        <v>7826.64492745756</v>
      </c>
      <c r="AS27" s="65" t="n">
        <f aca="false">AS18-AR18</f>
        <v>-40394.3070623056</v>
      </c>
      <c r="AT27" s="65" t="n">
        <f aca="false">AT18-AS18</f>
        <v>7826.64492745755</v>
      </c>
      <c r="AU27" s="65" t="n">
        <f aca="false">AU18-AT18</f>
        <v>7826.64492745756</v>
      </c>
      <c r="AV27" s="65" t="n">
        <f aca="false">AV18-AU18</f>
        <v>7826.64492745756</v>
      </c>
      <c r="AW27" s="65" t="n">
        <f aca="false">AW18-AV18</f>
        <v>7826.64492745756</v>
      </c>
      <c r="AX27" s="65" t="n">
        <f aca="false">AX18-AW18</f>
        <v>7826.64492745756</v>
      </c>
      <c r="AY27" s="65" t="n">
        <f aca="false">AY18-AX18</f>
        <v>7826.64492745756</v>
      </c>
      <c r="AZ27" s="65" t="n">
        <f aca="false">AZ18-AY18</f>
        <v>7826.64492745756</v>
      </c>
      <c r="BA27" s="65" t="n">
        <f aca="false">BA18-AZ18</f>
        <v>7826.64492745756</v>
      </c>
      <c r="BB27" s="64" t="n">
        <f aca="false">SUM(BC27:BN27)</f>
        <v>50673.088142524</v>
      </c>
      <c r="BC27" s="65" t="n">
        <f aca="false">BC18-BA18</f>
        <v>12049.4022726679</v>
      </c>
      <c r="BD27" s="65" t="n">
        <f aca="false">BD18-BC18</f>
        <v>12049.4022726679</v>
      </c>
      <c r="BE27" s="65" t="n">
        <f aca="false">BE18-BD18</f>
        <v>12049.4022726679</v>
      </c>
      <c r="BF27" s="65" t="n">
        <f aca="false">BF18-BE18</f>
        <v>-81870.3368568228</v>
      </c>
      <c r="BG27" s="65" t="n">
        <f aca="false">BG18-BF18</f>
        <v>12049.4022726679</v>
      </c>
      <c r="BH27" s="65" t="n">
        <f aca="false">BH18-BG18</f>
        <v>12049.4022726679</v>
      </c>
      <c r="BI27" s="65" t="n">
        <f aca="false">BI18-BH18</f>
        <v>12049.4022726679</v>
      </c>
      <c r="BJ27" s="65" t="n">
        <f aca="false">BJ18-BI18</f>
        <v>12049.4022726679</v>
      </c>
      <c r="BK27" s="65" t="n">
        <f aca="false">BK18-BJ18</f>
        <v>12049.4022726679</v>
      </c>
      <c r="BL27" s="65" t="n">
        <f aca="false">BL18-BK18</f>
        <v>12049.4022726679</v>
      </c>
      <c r="BM27" s="65" t="n">
        <f aca="false">BM18-BL18</f>
        <v>12049.4022726679</v>
      </c>
      <c r="BN27" s="65" t="n">
        <f aca="false">BN18-BM18</f>
        <v>12049.4022726679</v>
      </c>
    </row>
    <row r="28" customFormat="false" ht="15" hidden="false" customHeight="false" outlineLevel="0" collapsed="false">
      <c r="A28" s="69" t="s">
        <v>912</v>
      </c>
      <c r="B28" s="64" t="n">
        <f aca="false">SUM(C28:N28)</f>
        <v>-60390.2223188221</v>
      </c>
      <c r="C28" s="70" t="n">
        <f aca="false">C9+C10+C23+C24+C25+C26+C27</f>
        <v>-4968.83715924415</v>
      </c>
      <c r="D28" s="70" t="n">
        <f aca="false">D9+D10+D23+D24+D25+D26+D27</f>
        <v>-12162.1143253188</v>
      </c>
      <c r="E28" s="70" t="n">
        <f aca="false">E9+E10+E23+E24+E25+E26+E27</f>
        <v>-7576.89133544912</v>
      </c>
      <c r="F28" s="70" t="n">
        <f aca="false">F9+F10+F23+F24+F25+F26+F27</f>
        <v>-6179.34372221903</v>
      </c>
      <c r="G28" s="70" t="n">
        <f aca="false">G9+G10+G23+G24+G25+G26+G27</f>
        <v>-5803.57517513374</v>
      </c>
      <c r="H28" s="70" t="n">
        <f aca="false">H9+H10+H23+H24+H25+H26+H27</f>
        <v>-5335.59602532544</v>
      </c>
      <c r="I28" s="70" t="n">
        <f aca="false">I9+I10+I23+I24+I25+I26+I27</f>
        <v>-4547.95430705824</v>
      </c>
      <c r="J28" s="70" t="n">
        <f aca="false">J9+J10+J23+J24+J25+J26+J27</f>
        <v>-4080.63435340851</v>
      </c>
      <c r="K28" s="70" t="n">
        <f aca="false">K9+K10+K23+K24+K25+K26+K27</f>
        <v>-3293.62143746799</v>
      </c>
      <c r="L28" s="70" t="n">
        <f aca="false">L9+L10+L23+L24+L25+L26+L27</f>
        <v>-2826.90171594298</v>
      </c>
      <c r="M28" s="70" t="n">
        <f aca="false">M9+M10+M23+M24+M25+M26+M27</f>
        <v>-2040.46217613736</v>
      </c>
      <c r="N28" s="70" t="n">
        <f aca="false">N9+N10+N23+N24+N25+N26+N27</f>
        <v>-1574.29058611676</v>
      </c>
      <c r="O28" s="64" t="n">
        <f aca="false">SUM(P28:AA28)</f>
        <v>60934.6240872352</v>
      </c>
      <c r="P28" s="70" t="n">
        <f aca="false">P9+P10+P23+P24+P25+P26+P27</f>
        <v>-32703.6283308401</v>
      </c>
      <c r="Q28" s="70" t="n">
        <f aca="false">Q9+Q10+Q23+Q24+Q25+Q26+Q27</f>
        <v>5250.86466567218</v>
      </c>
      <c r="R28" s="70" t="n">
        <f aca="false">R9+R10+R23+R24+R25+R26+R27</f>
        <v>5036.63406421833</v>
      </c>
      <c r="S28" s="70" t="n">
        <f aca="false">S9+S10+S23+S24+S25+S26+S27</f>
        <v>2892.15823141322</v>
      </c>
      <c r="T28" s="70" t="n">
        <f aca="false">T9+T10+T23+T24+T25+T26+T27</f>
        <v>4939.38651154849</v>
      </c>
      <c r="U28" s="70" t="n">
        <f aca="false">U9+U10+U23+U24+U25+U26+U27</f>
        <v>6407.46806293679</v>
      </c>
      <c r="V28" s="70" t="n">
        <f aca="false">V9+V10+V23+V24+V25+V26+V27</f>
        <v>7875.41202136114</v>
      </c>
      <c r="W28" s="70" t="n">
        <f aca="false">W9+W10+W23+W24+W25+W26+W27</f>
        <v>9398.53580256511</v>
      </c>
      <c r="X28" s="70" t="n">
        <f aca="false">X9+X10+X23+X24+X25+X26+X27</f>
        <v>10832.1914719645</v>
      </c>
      <c r="Y28" s="70" t="n">
        <f aca="false">Y9+Y10+Y23+Y24+Y25+Y26+Y27</f>
        <v>12250.4458289877</v>
      </c>
      <c r="Z28" s="70" t="n">
        <f aca="false">Z9+Z10+Z23+Z24+Z25+Z26+Z27</f>
        <v>13668.5747915233</v>
      </c>
      <c r="AA28" s="70" t="n">
        <f aca="false">AA9+AA10+AA23+AA24+AA25+AA26+AA27</f>
        <v>15086.5809658845</v>
      </c>
      <c r="AB28" s="64" t="n">
        <f aca="false">SUM(AC28:AN28)</f>
        <v>138472.564833883</v>
      </c>
      <c r="AC28" s="70" t="n">
        <f aca="false">AC9+AC10+AC23+AC24+AC25+AC26+AC27</f>
        <v>6325.72587404051</v>
      </c>
      <c r="AD28" s="70" t="n">
        <f aca="false">AD9+AD10+AD23+AD24+AD25+AD26+AD27</f>
        <v>4493.94561420193</v>
      </c>
      <c r="AE28" s="70" t="n">
        <f aca="false">AE9+AE10+AE23+AE24+AE25+AE26+AE27</f>
        <v>5619.47571732912</v>
      </c>
      <c r="AF28" s="70" t="n">
        <f aca="false">AF9+AF10+AF23+AF24+AF25+AF26+AF27</f>
        <v>-11652.7846745316</v>
      </c>
      <c r="AG28" s="70" t="n">
        <f aca="false">AG9+AG10+AG23+AG24+AG25+AG26+AG27</f>
        <v>8379.24818635489</v>
      </c>
      <c r="AH28" s="70" t="n">
        <f aca="false">AH9+AH10+AH23+AH24+AH25+AH26+AH27</f>
        <v>11037.4547929399</v>
      </c>
      <c r="AI28" s="70" t="n">
        <f aca="false">AI9+AI10+AI23+AI24+AI25+AI26+AI27</f>
        <v>13188.7851071241</v>
      </c>
      <c r="AJ28" s="70" t="n">
        <f aca="false">AJ9+AJ10+AJ23+AJ24+AJ25+AJ26+AJ27</f>
        <v>15659.723464529</v>
      </c>
      <c r="AK28" s="70" t="n">
        <f aca="false">AK9+AK10+AK23+AK24+AK25+AK26+AK27</f>
        <v>17810.2862269369</v>
      </c>
      <c r="AL28" s="70" t="n">
        <f aca="false">AL9+AL10+AL23+AL24+AL25+AL26+AL27</f>
        <v>20280.4887744231</v>
      </c>
      <c r="AM28" s="70" t="n">
        <f aca="false">AM9+AM10+AM23+AM24+AM25+AM26+AM27</f>
        <v>22430.3455642583</v>
      </c>
      <c r="AN28" s="70" t="n">
        <f aca="false">AN9+AN10+AN23+AN24+AN25+AN26+AN27</f>
        <v>24899.8701862771</v>
      </c>
      <c r="AO28" s="64" t="n">
        <f aca="false">SUM(AP28:BA28)</f>
        <v>303822.306696695</v>
      </c>
      <c r="AP28" s="70" t="n">
        <f aca="false">AP9+AP10+AP23+AP24+AP25+AP26+AP27</f>
        <v>13784.0456230576</v>
      </c>
      <c r="AQ28" s="70" t="n">
        <f aca="false">AQ9+AQ10+AQ23+AQ24+AQ25+AQ26+AQ27</f>
        <v>19144.6186292677</v>
      </c>
      <c r="AR28" s="70" t="n">
        <f aca="false">AR9+AR10+AR23+AR24+AR25+AR26+AR27</f>
        <v>21552.1654816122</v>
      </c>
      <c r="AS28" s="70" t="n">
        <f aca="false">AS9+AS10+AS23+AS24+AS25+AS26+AS27</f>
        <v>-23995.4850586824</v>
      </c>
      <c r="AT28" s="70" t="n">
        <f aca="false">AT9+AT10+AT23+AT24+AT25+AT26+AT27</f>
        <v>26555.1175426675</v>
      </c>
      <c r="AU28" s="70" t="n">
        <f aca="false">AU9+AU10+AU23+AU24+AU25+AU26+AU27</f>
        <v>28588.3399152059</v>
      </c>
      <c r="AV28" s="70" t="n">
        <f aca="false">AV9+AV10+AV23+AV24+AV25+AV26+AV27</f>
        <v>30921.6738049054</v>
      </c>
      <c r="AW28" s="70" t="n">
        <f aca="false">AW9+AW10+AW23+AW24+AW25+AW26+AW27</f>
        <v>33135.1124734058</v>
      </c>
      <c r="AX28" s="70" t="n">
        <f aca="false">AX9+AX10+AX23+AX24+AX25+AX26+AX27</f>
        <v>35168.6495866484</v>
      </c>
      <c r="AY28" s="70" t="n">
        <f aca="false">AY9+AY10+AY23+AY24+AY25+AY26+AY27</f>
        <v>37502.2791906181</v>
      </c>
      <c r="AZ28" s="70" t="n">
        <f aca="false">AZ9+AZ10+AZ23+AZ24+AZ25+AZ26+AZ27</f>
        <v>39715.9956885408</v>
      </c>
      <c r="BA28" s="70" t="n">
        <f aca="false">BA9+BA10+BA23+BA24+BA25+BA26+BA27</f>
        <v>41749.7938194483</v>
      </c>
      <c r="BB28" s="64" t="n">
        <f aca="false">SUM(BC28:BN28)</f>
        <v>474348.775619338</v>
      </c>
      <c r="BC28" s="70" t="n">
        <f aca="false">BC9+BC10+BC23+BC24+BC25+BC26+BC27</f>
        <v>28677.0675416051</v>
      </c>
      <c r="BD28" s="70" t="n">
        <f aca="false">BD9+BD10+BD23+BD24+BD25+BD26+BD27</f>
        <v>37170.4889290798</v>
      </c>
      <c r="BE28" s="70" t="n">
        <f aca="false">BE9+BE10+BE23+BE24+BE25+BE26+BE27</f>
        <v>39498.0134743574</v>
      </c>
      <c r="BF28" s="70" t="n">
        <f aca="false">BF9+BF10+BF23+BF24+BF25+BF26+BF27</f>
        <v>-52154.9293073991</v>
      </c>
      <c r="BG28" s="70" t="n">
        <f aca="false">BG9+BG10+BG23+BG24+BG25+BG26+BG27</f>
        <v>43995.225884667</v>
      </c>
      <c r="BH28" s="70" t="n">
        <f aca="false">BH9+BH10+BH23+BH24+BH25+BH26+BH27</f>
        <v>46604.0899993301</v>
      </c>
      <c r="BI28" s="70" t="n">
        <f aca="false">BI9+BI10+BI23+BI24+BI25+BI26+BI27</f>
        <v>48893.1142909122</v>
      </c>
      <c r="BJ28" s="70" t="n">
        <f aca="false">BJ9+BJ10+BJ23+BJ24+BJ25+BJ26+BJ27</f>
        <v>51502.2862148351</v>
      </c>
      <c r="BK28" s="70" t="n">
        <f aca="false">BK9+BK10+BK23+BK24+BK25+BK26+BK27</f>
        <v>53791.5939791952</v>
      </c>
      <c r="BL28" s="70" t="n">
        <f aca="false">BL9+BL10+BL23+BL24+BL25+BL26+BL27</f>
        <v>56381.0264996034</v>
      </c>
      <c r="BM28" s="70" t="n">
        <f aca="false">BM9+BM10+BM23+BM24+BM25+BM26+BM27</f>
        <v>58850.5733567332</v>
      </c>
      <c r="BN28" s="70" t="n">
        <f aca="false">BN9+BN10+BN23+BN24+BN25+BN26+BN27</f>
        <v>61140.2247564188</v>
      </c>
    </row>
    <row r="29" customFormat="false" ht="15" hidden="false" customHeight="false" outlineLevel="0" collapsed="false">
      <c r="A29" s="12" t="s">
        <v>913</v>
      </c>
      <c r="B29" s="64" t="n">
        <f aca="false">SUM(C29:N29)</f>
        <v>-12280</v>
      </c>
      <c r="C29" s="76" t="n">
        <f aca="false">-'Capital Expenditure'!C$16</f>
        <v>-10080</v>
      </c>
      <c r="D29" s="76" t="n">
        <f aca="false">-'Capital Expenditure'!D$16</f>
        <v>-2200</v>
      </c>
      <c r="E29" s="76" t="n">
        <f aca="false">-'Capital Expenditure'!E$16</f>
        <v>-0</v>
      </c>
      <c r="F29" s="76" t="n">
        <f aca="false">-'Capital Expenditure'!F$16</f>
        <v>-0</v>
      </c>
      <c r="G29" s="76" t="n">
        <f aca="false">-'Capital Expenditure'!G$16</f>
        <v>-0</v>
      </c>
      <c r="H29" s="76" t="n">
        <f aca="false">-'Capital Expenditure'!H$16</f>
        <v>-0</v>
      </c>
      <c r="I29" s="76" t="n">
        <f aca="false">-'Capital Expenditure'!I$16</f>
        <v>-0</v>
      </c>
      <c r="J29" s="76" t="n">
        <f aca="false">-'Capital Expenditure'!J$16</f>
        <v>-0</v>
      </c>
      <c r="K29" s="76" t="n">
        <f aca="false">-'Capital Expenditure'!K$16</f>
        <v>-0</v>
      </c>
      <c r="L29" s="76" t="n">
        <f aca="false">-'Capital Expenditure'!L$16</f>
        <v>-0</v>
      </c>
      <c r="M29" s="76" t="n">
        <f aca="false">-'Capital Expenditure'!M$16</f>
        <v>-0</v>
      </c>
      <c r="N29" s="76" t="n">
        <f aca="false">-'Capital Expenditure'!N$16</f>
        <v>-0</v>
      </c>
      <c r="O29" s="64" t="n">
        <f aca="false">SUM(P29:AA29)</f>
        <v>-3240</v>
      </c>
      <c r="P29" s="76" t="n">
        <f aca="false">-'Capital Expenditure'!P$16</f>
        <v>-3240</v>
      </c>
      <c r="Q29" s="76" t="n">
        <f aca="false">-'Capital Expenditure'!Q$16</f>
        <v>-0</v>
      </c>
      <c r="R29" s="76" t="n">
        <f aca="false">-'Capital Expenditure'!R$16</f>
        <v>-0</v>
      </c>
      <c r="S29" s="76" t="n">
        <f aca="false">-'Capital Expenditure'!S$16</f>
        <v>-0</v>
      </c>
      <c r="T29" s="76" t="n">
        <f aca="false">-'Capital Expenditure'!T$16</f>
        <v>-0</v>
      </c>
      <c r="U29" s="76" t="n">
        <f aca="false">-'Capital Expenditure'!U$16</f>
        <v>-0</v>
      </c>
      <c r="V29" s="76" t="n">
        <f aca="false">-'Capital Expenditure'!V$16</f>
        <v>-0</v>
      </c>
      <c r="W29" s="76" t="n">
        <f aca="false">-'Capital Expenditure'!W$16</f>
        <v>-0</v>
      </c>
      <c r="X29" s="76" t="n">
        <f aca="false">-'Capital Expenditure'!X$16</f>
        <v>-0</v>
      </c>
      <c r="Y29" s="76" t="n">
        <f aca="false">-'Capital Expenditure'!Y$16</f>
        <v>-0</v>
      </c>
      <c r="Z29" s="76" t="n">
        <f aca="false">-'Capital Expenditure'!Z$16</f>
        <v>-0</v>
      </c>
      <c r="AA29" s="76" t="n">
        <f aca="false">-'Capital Expenditure'!AA$16</f>
        <v>-0</v>
      </c>
      <c r="AB29" s="64" t="n">
        <f aca="false">SUM(AC29:AN29)</f>
        <v>-13240</v>
      </c>
      <c r="AC29" s="76" t="n">
        <f aca="false">-'Capital Expenditure'!AC$16</f>
        <v>-13240</v>
      </c>
      <c r="AD29" s="76" t="n">
        <f aca="false">-'Capital Expenditure'!AD$16</f>
        <v>-0</v>
      </c>
      <c r="AE29" s="76" t="n">
        <f aca="false">-'Capital Expenditure'!AE$16</f>
        <v>-0</v>
      </c>
      <c r="AF29" s="76" t="n">
        <f aca="false">-'Capital Expenditure'!AF$16</f>
        <v>-0</v>
      </c>
      <c r="AG29" s="76" t="n">
        <f aca="false">-'Capital Expenditure'!AG$16</f>
        <v>-0</v>
      </c>
      <c r="AH29" s="76" t="n">
        <f aca="false">-'Capital Expenditure'!AH$16</f>
        <v>-0</v>
      </c>
      <c r="AI29" s="76" t="n">
        <f aca="false">-'Capital Expenditure'!AI$16</f>
        <v>-0</v>
      </c>
      <c r="AJ29" s="76" t="n">
        <f aca="false">-'Capital Expenditure'!AJ$16</f>
        <v>-0</v>
      </c>
      <c r="AK29" s="76" t="n">
        <f aca="false">-'Capital Expenditure'!AK$16</f>
        <v>-0</v>
      </c>
      <c r="AL29" s="76" t="n">
        <f aca="false">-'Capital Expenditure'!AL$16</f>
        <v>-0</v>
      </c>
      <c r="AM29" s="76" t="n">
        <f aca="false">-'Capital Expenditure'!AM$16</f>
        <v>-0</v>
      </c>
      <c r="AN29" s="76" t="n">
        <f aca="false">-'Capital Expenditure'!AN$16</f>
        <v>-0</v>
      </c>
      <c r="AO29" s="64" t="n">
        <f aca="false">SUM(AP29:BA29)</f>
        <v>-4320</v>
      </c>
      <c r="AP29" s="76" t="n">
        <f aca="false">-'Capital Expenditure'!AP$16</f>
        <v>-4320</v>
      </c>
      <c r="AQ29" s="76" t="n">
        <f aca="false">-'Capital Expenditure'!AQ$16</f>
        <v>-0</v>
      </c>
      <c r="AR29" s="76" t="n">
        <f aca="false">-'Capital Expenditure'!AR$16</f>
        <v>-0</v>
      </c>
      <c r="AS29" s="76" t="n">
        <f aca="false">-'Capital Expenditure'!AS$16</f>
        <v>-0</v>
      </c>
      <c r="AT29" s="76" t="n">
        <f aca="false">-'Capital Expenditure'!AT$16</f>
        <v>-0</v>
      </c>
      <c r="AU29" s="76" t="n">
        <f aca="false">-'Capital Expenditure'!AU$16</f>
        <v>-0</v>
      </c>
      <c r="AV29" s="76" t="n">
        <f aca="false">-'Capital Expenditure'!AV$16</f>
        <v>-0</v>
      </c>
      <c r="AW29" s="76" t="n">
        <f aca="false">-'Capital Expenditure'!AW$16</f>
        <v>-0</v>
      </c>
      <c r="AX29" s="76" t="n">
        <f aca="false">-'Capital Expenditure'!AX$16</f>
        <v>-0</v>
      </c>
      <c r="AY29" s="76" t="n">
        <f aca="false">-'Capital Expenditure'!AY$16</f>
        <v>-0</v>
      </c>
      <c r="AZ29" s="76" t="n">
        <f aca="false">-'Capital Expenditure'!AZ$16</f>
        <v>-0</v>
      </c>
      <c r="BA29" s="76" t="n">
        <f aca="false">-'Capital Expenditure'!BA$16</f>
        <v>-0</v>
      </c>
      <c r="BB29" s="64" t="n">
        <f aca="false">SUM(BC29:BN29)</f>
        <v>-4320</v>
      </c>
      <c r="BC29" s="76" t="n">
        <f aca="false">-'Capital Expenditure'!BC$16</f>
        <v>-4320</v>
      </c>
      <c r="BD29" s="76" t="n">
        <f aca="false">-'Capital Expenditure'!BD$16</f>
        <v>-0</v>
      </c>
      <c r="BE29" s="76" t="n">
        <f aca="false">-'Capital Expenditure'!BE$16</f>
        <v>-0</v>
      </c>
      <c r="BF29" s="76" t="n">
        <f aca="false">-'Capital Expenditure'!BF$16</f>
        <v>-0</v>
      </c>
      <c r="BG29" s="76" t="n">
        <f aca="false">-'Capital Expenditure'!BG$16</f>
        <v>-0</v>
      </c>
      <c r="BH29" s="76" t="n">
        <f aca="false">-'Capital Expenditure'!BH$16</f>
        <v>-0</v>
      </c>
      <c r="BI29" s="76" t="n">
        <f aca="false">-'Capital Expenditure'!BI$16</f>
        <v>-0</v>
      </c>
      <c r="BJ29" s="76" t="n">
        <f aca="false">-'Capital Expenditure'!BJ$16</f>
        <v>-0</v>
      </c>
      <c r="BK29" s="76" t="n">
        <f aca="false">-'Capital Expenditure'!BK$16</f>
        <v>-0</v>
      </c>
      <c r="BL29" s="76" t="n">
        <f aca="false">-'Capital Expenditure'!BL$16</f>
        <v>-0</v>
      </c>
      <c r="BM29" s="76" t="n">
        <f aca="false">-'Capital Expenditure'!BM$16</f>
        <v>-0</v>
      </c>
      <c r="BN29" s="76" t="n">
        <f aca="false">-'Capital Expenditure'!BN$16</f>
        <v>-0</v>
      </c>
    </row>
    <row r="30" customFormat="false" ht="15" hidden="false" customHeight="false" outlineLevel="0" collapsed="false">
      <c r="A30" s="18" t="s">
        <v>914</v>
      </c>
      <c r="B30" s="64" t="n">
        <f aca="false">SUM(C30:N30)</f>
        <v>-12280</v>
      </c>
      <c r="C30" s="77" t="n">
        <f aca="false">C29</f>
        <v>-10080</v>
      </c>
      <c r="D30" s="77" t="n">
        <f aca="false">D29</f>
        <v>-2200</v>
      </c>
      <c r="E30" s="77" t="n">
        <f aca="false">E29</f>
        <v>-0</v>
      </c>
      <c r="F30" s="77" t="n">
        <f aca="false">F29</f>
        <v>-0</v>
      </c>
      <c r="G30" s="77" t="n">
        <f aca="false">G29</f>
        <v>-0</v>
      </c>
      <c r="H30" s="77" t="n">
        <f aca="false">H29</f>
        <v>-0</v>
      </c>
      <c r="I30" s="77" t="n">
        <f aca="false">I29</f>
        <v>-0</v>
      </c>
      <c r="J30" s="77" t="n">
        <f aca="false">J29</f>
        <v>-0</v>
      </c>
      <c r="K30" s="77" t="n">
        <f aca="false">K29</f>
        <v>-0</v>
      </c>
      <c r="L30" s="77" t="n">
        <f aca="false">L29</f>
        <v>-0</v>
      </c>
      <c r="M30" s="77" t="n">
        <f aca="false">M29</f>
        <v>-0</v>
      </c>
      <c r="N30" s="77" t="n">
        <f aca="false">N29</f>
        <v>-0</v>
      </c>
      <c r="O30" s="64" t="n">
        <f aca="false">SUM(P30:AA30)</f>
        <v>-3240</v>
      </c>
      <c r="P30" s="77" t="n">
        <f aca="false">P29</f>
        <v>-3240</v>
      </c>
      <c r="Q30" s="77" t="n">
        <f aca="false">Q29</f>
        <v>-0</v>
      </c>
      <c r="R30" s="77" t="n">
        <f aca="false">R29</f>
        <v>-0</v>
      </c>
      <c r="S30" s="77" t="n">
        <f aca="false">S29</f>
        <v>-0</v>
      </c>
      <c r="T30" s="77" t="n">
        <f aca="false">T29</f>
        <v>-0</v>
      </c>
      <c r="U30" s="77" t="n">
        <f aca="false">U29</f>
        <v>-0</v>
      </c>
      <c r="V30" s="77" t="n">
        <f aca="false">V29</f>
        <v>-0</v>
      </c>
      <c r="W30" s="77" t="n">
        <f aca="false">W29</f>
        <v>-0</v>
      </c>
      <c r="X30" s="77" t="n">
        <f aca="false">X29</f>
        <v>-0</v>
      </c>
      <c r="Y30" s="77" t="n">
        <f aca="false">Y29</f>
        <v>-0</v>
      </c>
      <c r="Z30" s="77" t="n">
        <f aca="false">Z29</f>
        <v>-0</v>
      </c>
      <c r="AA30" s="77" t="n">
        <f aca="false">AA29</f>
        <v>-0</v>
      </c>
      <c r="AB30" s="64" t="n">
        <f aca="false">SUM(AC30:AN30)</f>
        <v>-13240</v>
      </c>
      <c r="AC30" s="77" t="n">
        <f aca="false">AC29</f>
        <v>-13240</v>
      </c>
      <c r="AD30" s="77" t="n">
        <f aca="false">AD29</f>
        <v>-0</v>
      </c>
      <c r="AE30" s="77" t="n">
        <f aca="false">AE29</f>
        <v>-0</v>
      </c>
      <c r="AF30" s="77" t="n">
        <f aca="false">AF29</f>
        <v>-0</v>
      </c>
      <c r="AG30" s="77" t="n">
        <f aca="false">AG29</f>
        <v>-0</v>
      </c>
      <c r="AH30" s="77" t="n">
        <f aca="false">AH29</f>
        <v>-0</v>
      </c>
      <c r="AI30" s="77" t="n">
        <f aca="false">AI29</f>
        <v>-0</v>
      </c>
      <c r="AJ30" s="77" t="n">
        <f aca="false">AJ29</f>
        <v>-0</v>
      </c>
      <c r="AK30" s="77" t="n">
        <f aca="false">AK29</f>
        <v>-0</v>
      </c>
      <c r="AL30" s="77" t="n">
        <f aca="false">AL29</f>
        <v>-0</v>
      </c>
      <c r="AM30" s="77" t="n">
        <f aca="false">AM29</f>
        <v>-0</v>
      </c>
      <c r="AN30" s="77" t="n">
        <f aca="false">AN29</f>
        <v>-0</v>
      </c>
      <c r="AO30" s="64" t="n">
        <f aca="false">SUM(AP30:BA30)</f>
        <v>-4320</v>
      </c>
      <c r="AP30" s="77" t="n">
        <f aca="false">AP29</f>
        <v>-4320</v>
      </c>
      <c r="AQ30" s="77" t="n">
        <f aca="false">AQ29</f>
        <v>-0</v>
      </c>
      <c r="AR30" s="77" t="n">
        <f aca="false">AR29</f>
        <v>-0</v>
      </c>
      <c r="AS30" s="77" t="n">
        <f aca="false">AS29</f>
        <v>-0</v>
      </c>
      <c r="AT30" s="77" t="n">
        <f aca="false">AT29</f>
        <v>-0</v>
      </c>
      <c r="AU30" s="77" t="n">
        <f aca="false">AU29</f>
        <v>-0</v>
      </c>
      <c r="AV30" s="77" t="n">
        <f aca="false">AV29</f>
        <v>-0</v>
      </c>
      <c r="AW30" s="77" t="n">
        <f aca="false">AW29</f>
        <v>-0</v>
      </c>
      <c r="AX30" s="77" t="n">
        <f aca="false">AX29</f>
        <v>-0</v>
      </c>
      <c r="AY30" s="77" t="n">
        <f aca="false">AY29</f>
        <v>-0</v>
      </c>
      <c r="AZ30" s="77" t="n">
        <f aca="false">AZ29</f>
        <v>-0</v>
      </c>
      <c r="BA30" s="77" t="n">
        <f aca="false">BA29</f>
        <v>-0</v>
      </c>
      <c r="BB30" s="64" t="n">
        <f aca="false">SUM(BC30:BN30)</f>
        <v>-4320</v>
      </c>
      <c r="BC30" s="77" t="n">
        <f aca="false">BC29</f>
        <v>-4320</v>
      </c>
      <c r="BD30" s="77" t="n">
        <f aca="false">BD29</f>
        <v>-0</v>
      </c>
      <c r="BE30" s="77" t="n">
        <f aca="false">BE29</f>
        <v>-0</v>
      </c>
      <c r="BF30" s="77" t="n">
        <f aca="false">BF29</f>
        <v>-0</v>
      </c>
      <c r="BG30" s="77" t="n">
        <f aca="false">BG29</f>
        <v>-0</v>
      </c>
      <c r="BH30" s="77" t="n">
        <f aca="false">BH29</f>
        <v>-0</v>
      </c>
      <c r="BI30" s="77" t="n">
        <f aca="false">BI29</f>
        <v>-0</v>
      </c>
      <c r="BJ30" s="77" t="n">
        <f aca="false">BJ29</f>
        <v>-0</v>
      </c>
      <c r="BK30" s="77" t="n">
        <f aca="false">BK29</f>
        <v>-0</v>
      </c>
      <c r="BL30" s="77" t="n">
        <f aca="false">BL29</f>
        <v>-0</v>
      </c>
      <c r="BM30" s="77" t="n">
        <f aca="false">BM29</f>
        <v>-0</v>
      </c>
      <c r="BN30" s="77" t="n">
        <f aca="false">BN29</f>
        <v>-0</v>
      </c>
    </row>
    <row r="31" customFormat="false" ht="15" hidden="false" customHeight="false" outlineLevel="0" collapsed="false">
      <c r="A31" s="12" t="s">
        <v>915</v>
      </c>
      <c r="B31" s="64" t="n">
        <f aca="false">SUM(C31:N31)</f>
        <v>150000</v>
      </c>
      <c r="C31" s="65" t="n">
        <f aca="false">IF(1='Assumption Setting'!$C$207,'Assumption Setting'!$C$206,0)</f>
        <v>0</v>
      </c>
      <c r="D31" s="65" t="n">
        <f aca="false">IF(2='Assumption Setting'!$C$207,'Assumption Setting'!$C$206,0)</f>
        <v>0</v>
      </c>
      <c r="E31" s="65" t="n">
        <f aca="false">IF(3='Assumption Setting'!$C$207,'Assumption Setting'!$C$206,0)</f>
        <v>0</v>
      </c>
      <c r="F31" s="65" t="n">
        <f aca="false">IF(4='Assumption Setting'!$C$207,'Assumption Setting'!$C$206,0)</f>
        <v>150000</v>
      </c>
      <c r="G31" s="65" t="n">
        <f aca="false">IF(5='Assumption Setting'!$C$207,'Assumption Setting'!$C$206,0)</f>
        <v>0</v>
      </c>
      <c r="H31" s="65" t="n">
        <f aca="false">IF(6='Assumption Setting'!$C$207,'Assumption Setting'!$C$206,0)</f>
        <v>0</v>
      </c>
      <c r="I31" s="65" t="n">
        <f aca="false">IF(7='Assumption Setting'!$C$207,'Assumption Setting'!$C$206,0)</f>
        <v>0</v>
      </c>
      <c r="J31" s="65" t="n">
        <f aca="false">IF(8='Assumption Setting'!$C$207,'Assumption Setting'!$C$206,0)</f>
        <v>0</v>
      </c>
      <c r="K31" s="65" t="n">
        <f aca="false">IF(9='Assumption Setting'!$C$207,'Assumption Setting'!$C$206,0)</f>
        <v>0</v>
      </c>
      <c r="L31" s="65" t="n">
        <f aca="false">IF(10='Assumption Setting'!$C$207,'Assumption Setting'!$C$206,0)</f>
        <v>0</v>
      </c>
      <c r="M31" s="65" t="n">
        <f aca="false">IF(11='Assumption Setting'!$C$207,'Assumption Setting'!$C$206,0)</f>
        <v>0</v>
      </c>
      <c r="N31" s="65" t="n">
        <f aca="false">IF(12='Assumption Setting'!$C$207,'Assumption Setting'!$C$206,0)</f>
        <v>0</v>
      </c>
      <c r="O31" s="64" t="n">
        <f aca="false">SUM(P31:AA31)</f>
        <v>0</v>
      </c>
      <c r="P31" s="65" t="n">
        <f aca="false">IF(13='Assumption Setting'!$C$207,'Assumption Setting'!$C$206,0)</f>
        <v>0</v>
      </c>
      <c r="Q31" s="65" t="n">
        <f aca="false">IF(14='Assumption Setting'!$C$207,'Assumption Setting'!$C$206,0)</f>
        <v>0</v>
      </c>
      <c r="R31" s="65" t="n">
        <f aca="false">IF(15='Assumption Setting'!$C$207,'Assumption Setting'!$C$206,0)</f>
        <v>0</v>
      </c>
      <c r="S31" s="65" t="n">
        <f aca="false">IF(16='Assumption Setting'!$C$207,'Assumption Setting'!$C$206,0)</f>
        <v>0</v>
      </c>
      <c r="T31" s="65" t="n">
        <f aca="false">IF(17='Assumption Setting'!$C$207,'Assumption Setting'!$C$206,0)</f>
        <v>0</v>
      </c>
      <c r="U31" s="65" t="n">
        <f aca="false">IF(18='Assumption Setting'!$C$207,'Assumption Setting'!$C$206,0)</f>
        <v>0</v>
      </c>
      <c r="V31" s="65" t="n">
        <f aca="false">IF(19='Assumption Setting'!$C$207,'Assumption Setting'!$C$206,0)</f>
        <v>0</v>
      </c>
      <c r="W31" s="65" t="n">
        <f aca="false">IF(20='Assumption Setting'!$C$207,'Assumption Setting'!$C$206,0)</f>
        <v>0</v>
      </c>
      <c r="X31" s="65" t="n">
        <f aca="false">IF(21='Assumption Setting'!$C$207,'Assumption Setting'!$C$206,0)</f>
        <v>0</v>
      </c>
      <c r="Y31" s="65" t="n">
        <f aca="false">IF(22='Assumption Setting'!$C$207,'Assumption Setting'!$C$206,0)</f>
        <v>0</v>
      </c>
      <c r="Z31" s="65" t="n">
        <f aca="false">IF(23='Assumption Setting'!$C$207,'Assumption Setting'!$C$206,0)</f>
        <v>0</v>
      </c>
      <c r="AA31" s="65" t="n">
        <f aca="false">IF(24='Assumption Setting'!$C$207,'Assumption Setting'!$C$206,0)</f>
        <v>0</v>
      </c>
      <c r="AB31" s="64" t="n">
        <f aca="false">SUM(AC31:AN31)</f>
        <v>0</v>
      </c>
      <c r="AC31" s="65" t="n">
        <f aca="false">IF(25='Assumption Setting'!$C$207,'Assumption Setting'!$C$206,0)</f>
        <v>0</v>
      </c>
      <c r="AD31" s="65" t="n">
        <f aca="false">IF(26='Assumption Setting'!$C$207,'Assumption Setting'!$C$206,0)</f>
        <v>0</v>
      </c>
      <c r="AE31" s="65" t="n">
        <f aca="false">IF(27='Assumption Setting'!$C$207,'Assumption Setting'!$C$206,0)</f>
        <v>0</v>
      </c>
      <c r="AF31" s="65" t="n">
        <f aca="false">IF(28='Assumption Setting'!$C$207,'Assumption Setting'!$C$206,0)</f>
        <v>0</v>
      </c>
      <c r="AG31" s="65" t="n">
        <f aca="false">IF(29='Assumption Setting'!$C$207,'Assumption Setting'!$C$206,0)</f>
        <v>0</v>
      </c>
      <c r="AH31" s="65" t="n">
        <f aca="false">IF(30='Assumption Setting'!$C$207,'Assumption Setting'!$C$206,0)</f>
        <v>0</v>
      </c>
      <c r="AI31" s="65" t="n">
        <f aca="false">IF(31='Assumption Setting'!$C$207,'Assumption Setting'!$C$206,0)</f>
        <v>0</v>
      </c>
      <c r="AJ31" s="65" t="n">
        <f aca="false">IF(32='Assumption Setting'!$C$207,'Assumption Setting'!$C$206,0)</f>
        <v>0</v>
      </c>
      <c r="AK31" s="65" t="n">
        <f aca="false">IF(33='Assumption Setting'!$C$207,'Assumption Setting'!$C$206,0)</f>
        <v>0</v>
      </c>
      <c r="AL31" s="65" t="n">
        <f aca="false">IF(34='Assumption Setting'!$C$207,'Assumption Setting'!$C$206,0)</f>
        <v>0</v>
      </c>
      <c r="AM31" s="65" t="n">
        <f aca="false">IF(35='Assumption Setting'!$C$207,'Assumption Setting'!$C$206,0)</f>
        <v>0</v>
      </c>
      <c r="AN31" s="65" t="n">
        <f aca="false">IF(36='Assumption Setting'!$C$207,'Assumption Setting'!$C$206,0)</f>
        <v>0</v>
      </c>
      <c r="AO31" s="64" t="n">
        <f aca="false">SUM(AP31:BA31)</f>
        <v>0</v>
      </c>
      <c r="AP31" s="65" t="n">
        <f aca="false">IF(37='Assumption Setting'!$C$207,'Assumption Setting'!$C$206,0)</f>
        <v>0</v>
      </c>
      <c r="AQ31" s="65" t="n">
        <f aca="false">IF(38='Assumption Setting'!$C$207,'Assumption Setting'!$C$206,0)</f>
        <v>0</v>
      </c>
      <c r="AR31" s="65" t="n">
        <f aca="false">IF(39='Assumption Setting'!$C$207,'Assumption Setting'!$C$206,0)</f>
        <v>0</v>
      </c>
      <c r="AS31" s="65" t="n">
        <f aca="false">IF(40='Assumption Setting'!$C$207,'Assumption Setting'!$C$206,0)</f>
        <v>0</v>
      </c>
      <c r="AT31" s="65" t="n">
        <f aca="false">IF(41='Assumption Setting'!$C$207,'Assumption Setting'!$C$206,0)</f>
        <v>0</v>
      </c>
      <c r="AU31" s="65" t="n">
        <f aca="false">IF(42='Assumption Setting'!$C$207,'Assumption Setting'!$C$206,0)</f>
        <v>0</v>
      </c>
      <c r="AV31" s="65" t="n">
        <f aca="false">IF(43='Assumption Setting'!$C$207,'Assumption Setting'!$C$206,0)</f>
        <v>0</v>
      </c>
      <c r="AW31" s="65" t="n">
        <f aca="false">IF(44='Assumption Setting'!$C$207,'Assumption Setting'!$C$206,0)</f>
        <v>0</v>
      </c>
      <c r="AX31" s="65" t="n">
        <f aca="false">IF(45='Assumption Setting'!$C$207,'Assumption Setting'!$C$206,0)</f>
        <v>0</v>
      </c>
      <c r="AY31" s="65" t="n">
        <f aca="false">IF(46='Assumption Setting'!$C$207,'Assumption Setting'!$C$206,0)</f>
        <v>0</v>
      </c>
      <c r="AZ31" s="65" t="n">
        <f aca="false">IF(47='Assumption Setting'!$C$207,'Assumption Setting'!$C$206,0)</f>
        <v>0</v>
      </c>
      <c r="BA31" s="65" t="n">
        <f aca="false">IF(48='Assumption Setting'!$C$207,'Assumption Setting'!$C$206,0)</f>
        <v>0</v>
      </c>
      <c r="BB31" s="64" t="n">
        <f aca="false">SUM(BC31:BN31)</f>
        <v>0</v>
      </c>
      <c r="BC31" s="65" t="n">
        <f aca="false">IF(49='Assumption Setting'!$C$207,'Assumption Setting'!$C$206,0)</f>
        <v>0</v>
      </c>
      <c r="BD31" s="65" t="n">
        <f aca="false">IF(50='Assumption Setting'!$C$207,'Assumption Setting'!$C$206,0)</f>
        <v>0</v>
      </c>
      <c r="BE31" s="65" t="n">
        <f aca="false">IF(51='Assumption Setting'!$C$207,'Assumption Setting'!$C$206,0)</f>
        <v>0</v>
      </c>
      <c r="BF31" s="65" t="n">
        <f aca="false">IF(52='Assumption Setting'!$C$207,'Assumption Setting'!$C$206,0)</f>
        <v>0</v>
      </c>
      <c r="BG31" s="65" t="n">
        <f aca="false">IF(53='Assumption Setting'!$C$207,'Assumption Setting'!$C$206,0)</f>
        <v>0</v>
      </c>
      <c r="BH31" s="65" t="n">
        <f aca="false">IF(54='Assumption Setting'!$C$207,'Assumption Setting'!$C$206,0)</f>
        <v>0</v>
      </c>
      <c r="BI31" s="65" t="n">
        <f aca="false">IF(55='Assumption Setting'!$C$207,'Assumption Setting'!$C$206,0)</f>
        <v>0</v>
      </c>
      <c r="BJ31" s="65" t="n">
        <f aca="false">IF(56='Assumption Setting'!$C$207,'Assumption Setting'!$C$206,0)</f>
        <v>0</v>
      </c>
      <c r="BK31" s="65" t="n">
        <f aca="false">IF(57='Assumption Setting'!$C$207,'Assumption Setting'!$C$206,0)</f>
        <v>0</v>
      </c>
      <c r="BL31" s="65" t="n">
        <f aca="false">IF(58='Assumption Setting'!$C$207,'Assumption Setting'!$C$206,0)</f>
        <v>0</v>
      </c>
      <c r="BM31" s="65" t="n">
        <f aca="false">IF(59='Assumption Setting'!$C$207,'Assumption Setting'!$C$206,0)</f>
        <v>0</v>
      </c>
      <c r="BN31" s="65" t="n">
        <f aca="false">IF(60='Assumption Setting'!$C$207,'Assumption Setting'!$C$206,0)</f>
        <v>0</v>
      </c>
    </row>
    <row r="32" customFormat="false" ht="15" hidden="false" customHeight="false" outlineLevel="0" collapsed="false">
      <c r="A32" s="18" t="s">
        <v>916</v>
      </c>
      <c r="B32" s="64" t="n">
        <f aca="false">SUM(C32:N32)</f>
        <v>150000</v>
      </c>
      <c r="C32" s="77" t="n">
        <f aca="false">C31</f>
        <v>0</v>
      </c>
      <c r="D32" s="77" t="n">
        <f aca="false">D31</f>
        <v>0</v>
      </c>
      <c r="E32" s="77" t="n">
        <f aca="false">E31</f>
        <v>0</v>
      </c>
      <c r="F32" s="77" t="n">
        <f aca="false">F31</f>
        <v>150000</v>
      </c>
      <c r="G32" s="77" t="n">
        <f aca="false">G31</f>
        <v>0</v>
      </c>
      <c r="H32" s="77" t="n">
        <f aca="false">H31</f>
        <v>0</v>
      </c>
      <c r="I32" s="77" t="n">
        <f aca="false">I31</f>
        <v>0</v>
      </c>
      <c r="J32" s="77" t="n">
        <f aca="false">J31</f>
        <v>0</v>
      </c>
      <c r="K32" s="77" t="n">
        <f aca="false">K31</f>
        <v>0</v>
      </c>
      <c r="L32" s="77" t="n">
        <f aca="false">L31</f>
        <v>0</v>
      </c>
      <c r="M32" s="77" t="n">
        <f aca="false">M31</f>
        <v>0</v>
      </c>
      <c r="N32" s="77" t="n">
        <f aca="false">N31</f>
        <v>0</v>
      </c>
      <c r="O32" s="64" t="n">
        <f aca="false">SUM(P32:AA32)</f>
        <v>0</v>
      </c>
      <c r="P32" s="77" t="n">
        <f aca="false">P31</f>
        <v>0</v>
      </c>
      <c r="Q32" s="77" t="n">
        <f aca="false">Q31</f>
        <v>0</v>
      </c>
      <c r="R32" s="77" t="n">
        <f aca="false">R31</f>
        <v>0</v>
      </c>
      <c r="S32" s="77" t="n">
        <f aca="false">S31</f>
        <v>0</v>
      </c>
      <c r="T32" s="77" t="n">
        <f aca="false">T31</f>
        <v>0</v>
      </c>
      <c r="U32" s="77" t="n">
        <f aca="false">U31</f>
        <v>0</v>
      </c>
      <c r="V32" s="77" t="n">
        <f aca="false">V31</f>
        <v>0</v>
      </c>
      <c r="W32" s="77" t="n">
        <f aca="false">W31</f>
        <v>0</v>
      </c>
      <c r="X32" s="77" t="n">
        <f aca="false">X31</f>
        <v>0</v>
      </c>
      <c r="Y32" s="77" t="n">
        <f aca="false">Y31</f>
        <v>0</v>
      </c>
      <c r="Z32" s="77" t="n">
        <f aca="false">Z31</f>
        <v>0</v>
      </c>
      <c r="AA32" s="77" t="n">
        <f aca="false">AA31</f>
        <v>0</v>
      </c>
      <c r="AB32" s="64" t="n">
        <f aca="false">SUM(AC32:AN32)</f>
        <v>0</v>
      </c>
      <c r="AC32" s="77" t="n">
        <f aca="false">AC31</f>
        <v>0</v>
      </c>
      <c r="AD32" s="77" t="n">
        <f aca="false">AD31</f>
        <v>0</v>
      </c>
      <c r="AE32" s="77" t="n">
        <f aca="false">AE31</f>
        <v>0</v>
      </c>
      <c r="AF32" s="77" t="n">
        <f aca="false">AF31</f>
        <v>0</v>
      </c>
      <c r="AG32" s="77" t="n">
        <f aca="false">AG31</f>
        <v>0</v>
      </c>
      <c r="AH32" s="77" t="n">
        <f aca="false">AH31</f>
        <v>0</v>
      </c>
      <c r="AI32" s="77" t="n">
        <f aca="false">AI31</f>
        <v>0</v>
      </c>
      <c r="AJ32" s="77" t="n">
        <f aca="false">AJ31</f>
        <v>0</v>
      </c>
      <c r="AK32" s="77" t="n">
        <f aca="false">AK31</f>
        <v>0</v>
      </c>
      <c r="AL32" s="77" t="n">
        <f aca="false">AL31</f>
        <v>0</v>
      </c>
      <c r="AM32" s="77" t="n">
        <f aca="false">AM31</f>
        <v>0</v>
      </c>
      <c r="AN32" s="77" t="n">
        <f aca="false">AN31</f>
        <v>0</v>
      </c>
      <c r="AO32" s="64" t="n">
        <f aca="false">SUM(AP32:BA32)</f>
        <v>0</v>
      </c>
      <c r="AP32" s="77" t="n">
        <f aca="false">AP31</f>
        <v>0</v>
      </c>
      <c r="AQ32" s="77" t="n">
        <f aca="false">AQ31</f>
        <v>0</v>
      </c>
      <c r="AR32" s="77" t="n">
        <f aca="false">AR31</f>
        <v>0</v>
      </c>
      <c r="AS32" s="77" t="n">
        <f aca="false">AS31</f>
        <v>0</v>
      </c>
      <c r="AT32" s="77" t="n">
        <f aca="false">AT31</f>
        <v>0</v>
      </c>
      <c r="AU32" s="77" t="n">
        <f aca="false">AU31</f>
        <v>0</v>
      </c>
      <c r="AV32" s="77" t="n">
        <f aca="false">AV31</f>
        <v>0</v>
      </c>
      <c r="AW32" s="77" t="n">
        <f aca="false">AW31</f>
        <v>0</v>
      </c>
      <c r="AX32" s="77" t="n">
        <f aca="false">AX31</f>
        <v>0</v>
      </c>
      <c r="AY32" s="77" t="n">
        <f aca="false">AY31</f>
        <v>0</v>
      </c>
      <c r="AZ32" s="77" t="n">
        <f aca="false">AZ31</f>
        <v>0</v>
      </c>
      <c r="BA32" s="77" t="n">
        <f aca="false">BA31</f>
        <v>0</v>
      </c>
      <c r="BB32" s="64" t="n">
        <f aca="false">SUM(BC32:BN32)</f>
        <v>0</v>
      </c>
      <c r="BC32" s="77" t="n">
        <f aca="false">BC31</f>
        <v>0</v>
      </c>
      <c r="BD32" s="77" t="n">
        <f aca="false">BD31</f>
        <v>0</v>
      </c>
      <c r="BE32" s="77" t="n">
        <f aca="false">BE31</f>
        <v>0</v>
      </c>
      <c r="BF32" s="77" t="n">
        <f aca="false">BF31</f>
        <v>0</v>
      </c>
      <c r="BG32" s="77" t="n">
        <f aca="false">BG31</f>
        <v>0</v>
      </c>
      <c r="BH32" s="77" t="n">
        <f aca="false">BH31</f>
        <v>0</v>
      </c>
      <c r="BI32" s="77" t="n">
        <f aca="false">BI31</f>
        <v>0</v>
      </c>
      <c r="BJ32" s="77" t="n">
        <f aca="false">BJ31</f>
        <v>0</v>
      </c>
      <c r="BK32" s="77" t="n">
        <f aca="false">BK31</f>
        <v>0</v>
      </c>
      <c r="BL32" s="77" t="n">
        <f aca="false">BL31</f>
        <v>0</v>
      </c>
      <c r="BM32" s="77" t="n">
        <f aca="false">BM31</f>
        <v>0</v>
      </c>
      <c r="BN32" s="77" t="n">
        <f aca="false">BN31</f>
        <v>0</v>
      </c>
    </row>
    <row r="33" customFormat="false" ht="15" hidden="false" customHeight="false" outlineLevel="0" collapsed="false">
      <c r="A33" s="18" t="s">
        <v>917</v>
      </c>
      <c r="B33" s="64" t="n">
        <f aca="false">SUM(C33:N33)</f>
        <v>77329.7776811779</v>
      </c>
      <c r="C33" s="77" t="n">
        <f aca="false">C28+C30+C32</f>
        <v>-15048.8371592442</v>
      </c>
      <c r="D33" s="77" t="n">
        <f aca="false">D28+D30+D32</f>
        <v>-14362.1143253188</v>
      </c>
      <c r="E33" s="77" t="n">
        <f aca="false">E28+E30+E32</f>
        <v>-7576.89133544912</v>
      </c>
      <c r="F33" s="77" t="n">
        <f aca="false">F28+F30+F32</f>
        <v>143820.656277781</v>
      </c>
      <c r="G33" s="77" t="n">
        <f aca="false">G28+G30+G32</f>
        <v>-5803.57517513374</v>
      </c>
      <c r="H33" s="77" t="n">
        <f aca="false">H28+H30+H32</f>
        <v>-5335.59602532544</v>
      </c>
      <c r="I33" s="77" t="n">
        <f aca="false">I28+I30+I32</f>
        <v>-4547.95430705824</v>
      </c>
      <c r="J33" s="77" t="n">
        <f aca="false">J28+J30+J32</f>
        <v>-4080.63435340851</v>
      </c>
      <c r="K33" s="77" t="n">
        <f aca="false">K28+K30+K32</f>
        <v>-3293.62143746799</v>
      </c>
      <c r="L33" s="77" t="n">
        <f aca="false">L28+L30+L32</f>
        <v>-2826.90171594298</v>
      </c>
      <c r="M33" s="77" t="n">
        <f aca="false">M28+M30+M32</f>
        <v>-2040.46217613736</v>
      </c>
      <c r="N33" s="77" t="n">
        <f aca="false">N28+N30+N32</f>
        <v>-1574.29058611676</v>
      </c>
      <c r="O33" s="64" t="n">
        <f aca="false">SUM(P33:AA33)</f>
        <v>57694.6240872352</v>
      </c>
      <c r="P33" s="77" t="n">
        <f aca="false">P28+P30+P32</f>
        <v>-35943.6283308401</v>
      </c>
      <c r="Q33" s="77" t="n">
        <f aca="false">Q28+Q30+Q32</f>
        <v>5250.86466567218</v>
      </c>
      <c r="R33" s="77" t="n">
        <f aca="false">R28+R30+R32</f>
        <v>5036.63406421833</v>
      </c>
      <c r="S33" s="77" t="n">
        <f aca="false">S28+S30+S32</f>
        <v>2892.15823141322</v>
      </c>
      <c r="T33" s="77" t="n">
        <f aca="false">T28+T30+T32</f>
        <v>4939.38651154849</v>
      </c>
      <c r="U33" s="77" t="n">
        <f aca="false">U28+U30+U32</f>
        <v>6407.46806293679</v>
      </c>
      <c r="V33" s="77" t="n">
        <f aca="false">V28+V30+V32</f>
        <v>7875.41202136114</v>
      </c>
      <c r="W33" s="77" t="n">
        <f aca="false">W28+W30+W32</f>
        <v>9398.53580256511</v>
      </c>
      <c r="X33" s="77" t="n">
        <f aca="false">X28+X30+X32</f>
        <v>10832.1914719645</v>
      </c>
      <c r="Y33" s="77" t="n">
        <f aca="false">Y28+Y30+Y32</f>
        <v>12250.4458289877</v>
      </c>
      <c r="Z33" s="77" t="n">
        <f aca="false">Z28+Z30+Z32</f>
        <v>13668.5747915233</v>
      </c>
      <c r="AA33" s="77" t="n">
        <f aca="false">AA28+AA30+AA32</f>
        <v>15086.5809658845</v>
      </c>
      <c r="AB33" s="64" t="n">
        <f aca="false">SUM(AC33:AN33)</f>
        <v>125232.564833883</v>
      </c>
      <c r="AC33" s="77" t="n">
        <f aca="false">AC28+AC30+AC32</f>
        <v>-6914.27412595949</v>
      </c>
      <c r="AD33" s="77" t="n">
        <f aca="false">AD28+AD30+AD32</f>
        <v>4493.94561420193</v>
      </c>
      <c r="AE33" s="77" t="n">
        <f aca="false">AE28+AE30+AE32</f>
        <v>5619.47571732912</v>
      </c>
      <c r="AF33" s="77" t="n">
        <f aca="false">AF28+AF30+AF32</f>
        <v>-11652.7846745316</v>
      </c>
      <c r="AG33" s="77" t="n">
        <f aca="false">AG28+AG30+AG32</f>
        <v>8379.24818635489</v>
      </c>
      <c r="AH33" s="77" t="n">
        <f aca="false">AH28+AH30+AH32</f>
        <v>11037.4547929399</v>
      </c>
      <c r="AI33" s="77" t="n">
        <f aca="false">AI28+AI30+AI32</f>
        <v>13188.7851071241</v>
      </c>
      <c r="AJ33" s="77" t="n">
        <f aca="false">AJ28+AJ30+AJ32</f>
        <v>15659.723464529</v>
      </c>
      <c r="AK33" s="77" t="n">
        <f aca="false">AK28+AK30+AK32</f>
        <v>17810.2862269369</v>
      </c>
      <c r="AL33" s="77" t="n">
        <f aca="false">AL28+AL30+AL32</f>
        <v>20280.4887744231</v>
      </c>
      <c r="AM33" s="77" t="n">
        <f aca="false">AM28+AM30+AM32</f>
        <v>22430.3455642583</v>
      </c>
      <c r="AN33" s="77" t="n">
        <f aca="false">AN28+AN30+AN32</f>
        <v>24899.8701862771</v>
      </c>
      <c r="AO33" s="64" t="n">
        <f aca="false">SUM(AP33:BA33)</f>
        <v>299502.306696695</v>
      </c>
      <c r="AP33" s="77" t="n">
        <f aca="false">AP28+AP30+AP32</f>
        <v>9464.04562305762</v>
      </c>
      <c r="AQ33" s="77" t="n">
        <f aca="false">AQ28+AQ30+AQ32</f>
        <v>19144.6186292677</v>
      </c>
      <c r="AR33" s="77" t="n">
        <f aca="false">AR28+AR30+AR32</f>
        <v>21552.1654816122</v>
      </c>
      <c r="AS33" s="77" t="n">
        <f aca="false">AS28+AS30+AS32</f>
        <v>-23995.4850586824</v>
      </c>
      <c r="AT33" s="77" t="n">
        <f aca="false">AT28+AT30+AT32</f>
        <v>26555.1175426675</v>
      </c>
      <c r="AU33" s="77" t="n">
        <f aca="false">AU28+AU30+AU32</f>
        <v>28588.3399152059</v>
      </c>
      <c r="AV33" s="77" t="n">
        <f aca="false">AV28+AV30+AV32</f>
        <v>30921.6738049054</v>
      </c>
      <c r="AW33" s="77" t="n">
        <f aca="false">AW28+AW30+AW32</f>
        <v>33135.1124734058</v>
      </c>
      <c r="AX33" s="77" t="n">
        <f aca="false">AX28+AX30+AX32</f>
        <v>35168.6495866484</v>
      </c>
      <c r="AY33" s="77" t="n">
        <f aca="false">AY28+AY30+AY32</f>
        <v>37502.2791906181</v>
      </c>
      <c r="AZ33" s="77" t="n">
        <f aca="false">AZ28+AZ30+AZ32</f>
        <v>39715.9956885408</v>
      </c>
      <c r="BA33" s="77" t="n">
        <f aca="false">BA28+BA30+BA32</f>
        <v>41749.7938194483</v>
      </c>
      <c r="BB33" s="64" t="n">
        <f aca="false">SUM(BC33:BN33)</f>
        <v>470028.775619338</v>
      </c>
      <c r="BC33" s="77" t="n">
        <f aca="false">BC28+BC30+BC32</f>
        <v>24357.0675416051</v>
      </c>
      <c r="BD33" s="77" t="n">
        <f aca="false">BD28+BD30+BD32</f>
        <v>37170.4889290798</v>
      </c>
      <c r="BE33" s="77" t="n">
        <f aca="false">BE28+BE30+BE32</f>
        <v>39498.0134743574</v>
      </c>
      <c r="BF33" s="77" t="n">
        <f aca="false">BF28+BF30+BF32</f>
        <v>-52154.9293073991</v>
      </c>
      <c r="BG33" s="77" t="n">
        <f aca="false">BG28+BG30+BG32</f>
        <v>43995.225884667</v>
      </c>
      <c r="BH33" s="77" t="n">
        <f aca="false">BH28+BH30+BH32</f>
        <v>46604.0899993301</v>
      </c>
      <c r="BI33" s="77" t="n">
        <f aca="false">BI28+BI30+BI32</f>
        <v>48893.1142909122</v>
      </c>
      <c r="BJ33" s="77" t="n">
        <f aca="false">BJ28+BJ30+BJ32</f>
        <v>51502.2862148351</v>
      </c>
      <c r="BK33" s="77" t="n">
        <f aca="false">BK28+BK30+BK32</f>
        <v>53791.5939791952</v>
      </c>
      <c r="BL33" s="77" t="n">
        <f aca="false">BL28+BL30+BL32</f>
        <v>56381.0264996034</v>
      </c>
      <c r="BM33" s="77" t="n">
        <f aca="false">BM28+BM30+BM32</f>
        <v>58850.5733567332</v>
      </c>
      <c r="BN33" s="77" t="n">
        <f aca="false">BN28+BN30+BN32</f>
        <v>61140.2247564188</v>
      </c>
    </row>
    <row r="34" customFormat="false" ht="15" hidden="false" customHeight="false" outlineLevel="0" collapsed="false">
      <c r="A34" s="12" t="s">
        <v>918</v>
      </c>
      <c r="B34" s="64" t="n">
        <f aca="false">MIN(C34:N34)</f>
        <v>13012.157179988</v>
      </c>
      <c r="C34" s="65" t="n">
        <f aca="false">'Assumption Setting'!$C$18</f>
        <v>50000</v>
      </c>
      <c r="D34" s="65" t="n">
        <f aca="false">C35</f>
        <v>34951.1628407558</v>
      </c>
      <c r="E34" s="65" t="n">
        <f aca="false">D35</f>
        <v>20589.0485154371</v>
      </c>
      <c r="F34" s="65" t="n">
        <f aca="false">E35</f>
        <v>13012.157179988</v>
      </c>
      <c r="G34" s="65" t="n">
        <f aca="false">F35</f>
        <v>156832.813457769</v>
      </c>
      <c r="H34" s="65" t="n">
        <f aca="false">G35</f>
        <v>151029.238282635</v>
      </c>
      <c r="I34" s="65" t="n">
        <f aca="false">H35</f>
        <v>145693.64225731</v>
      </c>
      <c r="J34" s="65" t="n">
        <f aca="false">I35</f>
        <v>141145.687950252</v>
      </c>
      <c r="K34" s="65" t="n">
        <f aca="false">J35</f>
        <v>137065.053596843</v>
      </c>
      <c r="L34" s="65" t="n">
        <f aca="false">K35</f>
        <v>133771.432159375</v>
      </c>
      <c r="M34" s="65" t="n">
        <f aca="false">L35</f>
        <v>130944.530443432</v>
      </c>
      <c r="N34" s="65" t="n">
        <f aca="false">M35</f>
        <v>128904.068267295</v>
      </c>
      <c r="O34" s="64" t="n">
        <f aca="false">MIN(P34:AA34)</f>
        <v>91386.1493503378</v>
      </c>
      <c r="P34" s="65" t="n">
        <f aca="false">N35</f>
        <v>127329.777681178</v>
      </c>
      <c r="Q34" s="65" t="n">
        <f aca="false">P35</f>
        <v>91386.1493503378</v>
      </c>
      <c r="R34" s="65" t="n">
        <f aca="false">Q35</f>
        <v>96637.01401601</v>
      </c>
      <c r="S34" s="65" t="n">
        <f aca="false">R35</f>
        <v>101673.648080228</v>
      </c>
      <c r="T34" s="65" t="n">
        <f aca="false">S35</f>
        <v>104565.806311642</v>
      </c>
      <c r="U34" s="65" t="n">
        <f aca="false">T35</f>
        <v>109505.19282319</v>
      </c>
      <c r="V34" s="65" t="n">
        <f aca="false">U35</f>
        <v>115912.660886127</v>
      </c>
      <c r="W34" s="65" t="n">
        <f aca="false">V35</f>
        <v>123788.072907488</v>
      </c>
      <c r="X34" s="65" t="n">
        <f aca="false">W35</f>
        <v>133186.608710053</v>
      </c>
      <c r="Y34" s="65" t="n">
        <f aca="false">X35</f>
        <v>144018.800182018</v>
      </c>
      <c r="Z34" s="65" t="n">
        <f aca="false">Y35</f>
        <v>156269.246011005</v>
      </c>
      <c r="AA34" s="65" t="n">
        <f aca="false">Z35</f>
        <v>169937.820802529</v>
      </c>
      <c r="AB34" s="64" t="n">
        <f aca="false">MIN(AC34:AN34)</f>
        <v>176570.764299453</v>
      </c>
      <c r="AC34" s="65" t="n">
        <f aca="false">AA35</f>
        <v>185024.401768413</v>
      </c>
      <c r="AD34" s="65" t="n">
        <f aca="false">AC35</f>
        <v>178110.127642454</v>
      </c>
      <c r="AE34" s="65" t="n">
        <f aca="false">AD35</f>
        <v>182604.073256656</v>
      </c>
      <c r="AF34" s="65" t="n">
        <f aca="false">AE35</f>
        <v>188223.548973985</v>
      </c>
      <c r="AG34" s="65" t="n">
        <f aca="false">AF35</f>
        <v>176570.764299453</v>
      </c>
      <c r="AH34" s="65" t="n">
        <f aca="false">AG35</f>
        <v>184950.012485808</v>
      </c>
      <c r="AI34" s="65" t="n">
        <f aca="false">AH35</f>
        <v>195987.467278748</v>
      </c>
      <c r="AJ34" s="65" t="n">
        <f aca="false">AI35</f>
        <v>209176.252385872</v>
      </c>
      <c r="AK34" s="65" t="n">
        <f aca="false">AJ35</f>
        <v>224835.975850401</v>
      </c>
      <c r="AL34" s="65" t="n">
        <f aca="false">AK35</f>
        <v>242646.262077338</v>
      </c>
      <c r="AM34" s="65" t="n">
        <f aca="false">AL35</f>
        <v>262926.750851761</v>
      </c>
      <c r="AN34" s="65" t="n">
        <f aca="false">AM35</f>
        <v>285357.096416019</v>
      </c>
      <c r="AO34" s="64" t="n">
        <f aca="false">MIN(AP34:BA34)</f>
        <v>310256.966602296</v>
      </c>
      <c r="AP34" s="65" t="n">
        <f aca="false">AN35</f>
        <v>310256.966602296</v>
      </c>
      <c r="AQ34" s="65" t="n">
        <f aca="false">AP35</f>
        <v>319721.012225354</v>
      </c>
      <c r="AR34" s="65" t="n">
        <f aca="false">AQ35</f>
        <v>338865.630854622</v>
      </c>
      <c r="AS34" s="65" t="n">
        <f aca="false">AR35</f>
        <v>360417.796336234</v>
      </c>
      <c r="AT34" s="65" t="n">
        <f aca="false">AS35</f>
        <v>336422.311277552</v>
      </c>
      <c r="AU34" s="65" t="n">
        <f aca="false">AT35</f>
        <v>362977.428820219</v>
      </c>
      <c r="AV34" s="65" t="n">
        <f aca="false">AU35</f>
        <v>391565.768735425</v>
      </c>
      <c r="AW34" s="65" t="n">
        <f aca="false">AV35</f>
        <v>422487.442540331</v>
      </c>
      <c r="AX34" s="65" t="n">
        <f aca="false">AW35</f>
        <v>455622.555013736</v>
      </c>
      <c r="AY34" s="65" t="n">
        <f aca="false">AX35</f>
        <v>490791.204600385</v>
      </c>
      <c r="AZ34" s="65" t="n">
        <f aca="false">AY35</f>
        <v>528293.483791003</v>
      </c>
      <c r="BA34" s="65" t="n">
        <f aca="false">AZ35</f>
        <v>568009.479479544</v>
      </c>
      <c r="BB34" s="64" t="n">
        <f aca="false">MIN(BC34:BN34)</f>
        <v>609759.273298992</v>
      </c>
      <c r="BC34" s="65" t="n">
        <f aca="false">BA35</f>
        <v>609759.273298992</v>
      </c>
      <c r="BD34" s="65" t="n">
        <f aca="false">BC35</f>
        <v>634116.340840597</v>
      </c>
      <c r="BE34" s="65" t="n">
        <f aca="false">BD35</f>
        <v>671286.829769677</v>
      </c>
      <c r="BF34" s="65" t="n">
        <f aca="false">BE35</f>
        <v>710784.843244034</v>
      </c>
      <c r="BG34" s="65" t="n">
        <f aca="false">BF35</f>
        <v>658629.913936635</v>
      </c>
      <c r="BH34" s="65" t="n">
        <f aca="false">BG35</f>
        <v>702625.139821302</v>
      </c>
      <c r="BI34" s="65" t="n">
        <f aca="false">BH35</f>
        <v>749229.229820632</v>
      </c>
      <c r="BJ34" s="65" t="n">
        <f aca="false">BI35</f>
        <v>798122.344111544</v>
      </c>
      <c r="BK34" s="65" t="n">
        <f aca="false">BJ35</f>
        <v>849624.630326379</v>
      </c>
      <c r="BL34" s="65" t="n">
        <f aca="false">BK35</f>
        <v>903416.224305575</v>
      </c>
      <c r="BM34" s="65" t="n">
        <f aca="false">BL35</f>
        <v>959797.250805178</v>
      </c>
      <c r="BN34" s="65" t="n">
        <f aca="false">BM35</f>
        <v>1018647.82416191</v>
      </c>
    </row>
    <row r="35" customFormat="false" ht="15" hidden="false" customHeight="false" outlineLevel="0" collapsed="false">
      <c r="A35" s="66" t="s">
        <v>919</v>
      </c>
      <c r="B35" s="67" t="n">
        <f aca="false">N35</f>
        <v>127329.777681178</v>
      </c>
      <c r="C35" s="68" t="n">
        <f aca="false">C34+C33</f>
        <v>34951.1628407558</v>
      </c>
      <c r="D35" s="68" t="n">
        <f aca="false">D34+D33</f>
        <v>20589.0485154371</v>
      </c>
      <c r="E35" s="68" t="n">
        <f aca="false">E34+E33</f>
        <v>13012.157179988</v>
      </c>
      <c r="F35" s="68" t="n">
        <f aca="false">F34+F33</f>
        <v>156832.813457769</v>
      </c>
      <c r="G35" s="68" t="n">
        <f aca="false">G34+G33</f>
        <v>151029.238282635</v>
      </c>
      <c r="H35" s="68" t="n">
        <f aca="false">H34+H33</f>
        <v>145693.64225731</v>
      </c>
      <c r="I35" s="68" t="n">
        <f aca="false">I34+I33</f>
        <v>141145.687950252</v>
      </c>
      <c r="J35" s="68" t="n">
        <f aca="false">J34+J33</f>
        <v>137065.053596843</v>
      </c>
      <c r="K35" s="68" t="n">
        <f aca="false">K34+K33</f>
        <v>133771.432159375</v>
      </c>
      <c r="L35" s="68" t="n">
        <f aca="false">L34+L33</f>
        <v>130944.530443432</v>
      </c>
      <c r="M35" s="68" t="n">
        <f aca="false">M34+M33</f>
        <v>128904.068267295</v>
      </c>
      <c r="N35" s="68" t="n">
        <f aca="false">N34+N33</f>
        <v>127329.777681178</v>
      </c>
      <c r="O35" s="67" t="n">
        <f aca="false">AA35</f>
        <v>185024.401768413</v>
      </c>
      <c r="P35" s="68" t="n">
        <f aca="false">P34+P33</f>
        <v>91386.1493503378</v>
      </c>
      <c r="Q35" s="68" t="n">
        <f aca="false">Q34+Q33</f>
        <v>96637.01401601</v>
      </c>
      <c r="R35" s="68" t="n">
        <f aca="false">R34+R33</f>
        <v>101673.648080228</v>
      </c>
      <c r="S35" s="68" t="n">
        <f aca="false">S34+S33</f>
        <v>104565.806311642</v>
      </c>
      <c r="T35" s="68" t="n">
        <f aca="false">T34+T33</f>
        <v>109505.19282319</v>
      </c>
      <c r="U35" s="68" t="n">
        <f aca="false">U34+U33</f>
        <v>115912.660886127</v>
      </c>
      <c r="V35" s="68" t="n">
        <f aca="false">V34+V33</f>
        <v>123788.072907488</v>
      </c>
      <c r="W35" s="68" t="n">
        <f aca="false">W34+W33</f>
        <v>133186.608710053</v>
      </c>
      <c r="X35" s="68" t="n">
        <f aca="false">X34+X33</f>
        <v>144018.800182018</v>
      </c>
      <c r="Y35" s="68" t="n">
        <f aca="false">Y34+Y33</f>
        <v>156269.246011005</v>
      </c>
      <c r="Z35" s="68" t="n">
        <f aca="false">Z34+Z33</f>
        <v>169937.820802529</v>
      </c>
      <c r="AA35" s="68" t="n">
        <f aca="false">AA34+AA33</f>
        <v>185024.401768413</v>
      </c>
      <c r="AB35" s="67" t="n">
        <f aca="false">AN35</f>
        <v>310256.966602296</v>
      </c>
      <c r="AC35" s="68" t="n">
        <f aca="false">AC34+AC33</f>
        <v>178110.127642454</v>
      </c>
      <c r="AD35" s="68" t="n">
        <f aca="false">AD34+AD33</f>
        <v>182604.073256656</v>
      </c>
      <c r="AE35" s="68" t="n">
        <f aca="false">AE34+AE33</f>
        <v>188223.548973985</v>
      </c>
      <c r="AF35" s="68" t="n">
        <f aca="false">AF34+AF33</f>
        <v>176570.764299453</v>
      </c>
      <c r="AG35" s="68" t="n">
        <f aca="false">AG34+AG33</f>
        <v>184950.012485808</v>
      </c>
      <c r="AH35" s="68" t="n">
        <f aca="false">AH34+AH33</f>
        <v>195987.467278748</v>
      </c>
      <c r="AI35" s="68" t="n">
        <f aca="false">AI34+AI33</f>
        <v>209176.252385872</v>
      </c>
      <c r="AJ35" s="68" t="n">
        <f aca="false">AJ34+AJ33</f>
        <v>224835.975850401</v>
      </c>
      <c r="AK35" s="68" t="n">
        <f aca="false">AK34+AK33</f>
        <v>242646.262077338</v>
      </c>
      <c r="AL35" s="68" t="n">
        <f aca="false">AL34+AL33</f>
        <v>262926.750851761</v>
      </c>
      <c r="AM35" s="68" t="n">
        <f aca="false">AM34+AM33</f>
        <v>285357.096416019</v>
      </c>
      <c r="AN35" s="68" t="n">
        <f aca="false">AN34+AN33</f>
        <v>310256.966602296</v>
      </c>
      <c r="AO35" s="67" t="n">
        <f aca="false">BA35</f>
        <v>609759.273298992</v>
      </c>
      <c r="AP35" s="68" t="n">
        <f aca="false">AP34+AP33</f>
        <v>319721.012225354</v>
      </c>
      <c r="AQ35" s="68" t="n">
        <f aca="false">AQ34+AQ33</f>
        <v>338865.630854622</v>
      </c>
      <c r="AR35" s="68" t="n">
        <f aca="false">AR34+AR33</f>
        <v>360417.796336234</v>
      </c>
      <c r="AS35" s="68" t="n">
        <f aca="false">AS34+AS33</f>
        <v>336422.311277552</v>
      </c>
      <c r="AT35" s="68" t="n">
        <f aca="false">AT34+AT33</f>
        <v>362977.428820219</v>
      </c>
      <c r="AU35" s="68" t="n">
        <f aca="false">AU34+AU33</f>
        <v>391565.768735425</v>
      </c>
      <c r="AV35" s="68" t="n">
        <f aca="false">AV34+AV33</f>
        <v>422487.442540331</v>
      </c>
      <c r="AW35" s="68" t="n">
        <f aca="false">AW34+AW33</f>
        <v>455622.555013736</v>
      </c>
      <c r="AX35" s="68" t="n">
        <f aca="false">AX34+AX33</f>
        <v>490791.204600385</v>
      </c>
      <c r="AY35" s="68" t="n">
        <f aca="false">AY34+AY33</f>
        <v>528293.483791003</v>
      </c>
      <c r="AZ35" s="68" t="n">
        <f aca="false">AZ34+AZ33</f>
        <v>568009.479479544</v>
      </c>
      <c r="BA35" s="68" t="n">
        <f aca="false">BA34+BA33</f>
        <v>609759.273298992</v>
      </c>
      <c r="BB35" s="67" t="n">
        <f aca="false">BN35</f>
        <v>1079788.04891833</v>
      </c>
      <c r="BC35" s="68" t="n">
        <f aca="false">BC34+BC33</f>
        <v>634116.340840597</v>
      </c>
      <c r="BD35" s="68" t="n">
        <f aca="false">BD34+BD33</f>
        <v>671286.829769677</v>
      </c>
      <c r="BE35" s="68" t="n">
        <f aca="false">BE34+BE33</f>
        <v>710784.843244034</v>
      </c>
      <c r="BF35" s="68" t="n">
        <f aca="false">BF34+BF33</f>
        <v>658629.913936635</v>
      </c>
      <c r="BG35" s="68" t="n">
        <f aca="false">BG34+BG33</f>
        <v>702625.139821302</v>
      </c>
      <c r="BH35" s="68" t="n">
        <f aca="false">BH34+BH33</f>
        <v>749229.229820632</v>
      </c>
      <c r="BI35" s="68" t="n">
        <f aca="false">BI34+BI33</f>
        <v>798122.344111544</v>
      </c>
      <c r="BJ35" s="68" t="n">
        <f aca="false">BJ34+BJ33</f>
        <v>849624.630326379</v>
      </c>
      <c r="BK35" s="68" t="n">
        <f aca="false">BK34+BK33</f>
        <v>903416.224305575</v>
      </c>
      <c r="BL35" s="68" t="n">
        <f aca="false">BL34+BL33</f>
        <v>959797.250805178</v>
      </c>
      <c r="BM35" s="68" t="n">
        <f aca="false">BM34+BM33</f>
        <v>1018647.82416191</v>
      </c>
      <c r="BN35" s="68" t="n">
        <f aca="false">BN34+BN33</f>
        <v>1079788.04891833</v>
      </c>
    </row>
    <row r="36" customFormat="false" ht="15" hidden="false" customHeight="false" outlineLevel="0" collapsed="false">
      <c r="A36" s="12" t="s">
        <v>920</v>
      </c>
      <c r="B36" s="64" t="n">
        <f aca="false">MIN(C36:N36)</f>
        <v>-11987.842820012</v>
      </c>
      <c r="C36" s="65" t="n">
        <f aca="false">C35-'Assumption Setting'!$C$208</f>
        <v>9951.16284075585</v>
      </c>
      <c r="D36" s="65" t="n">
        <f aca="false">D35-'Assumption Setting'!$C$208</f>
        <v>-4410.95148456292</v>
      </c>
      <c r="E36" s="65" t="n">
        <f aca="false">E35-'Assumption Setting'!$C$208</f>
        <v>-11987.842820012</v>
      </c>
      <c r="F36" s="65" t="n">
        <f aca="false">F35-'Assumption Setting'!$C$208</f>
        <v>131832.813457769</v>
      </c>
      <c r="G36" s="65" t="n">
        <f aca="false">G35-'Assumption Setting'!$C$208</f>
        <v>126029.238282635</v>
      </c>
      <c r="H36" s="65" t="n">
        <f aca="false">H35-'Assumption Setting'!$C$208</f>
        <v>120693.64225731</v>
      </c>
      <c r="I36" s="65" t="n">
        <f aca="false">I35-'Assumption Setting'!$C$208</f>
        <v>116145.687950252</v>
      </c>
      <c r="J36" s="65" t="n">
        <f aca="false">J35-'Assumption Setting'!$C$208</f>
        <v>112065.053596843</v>
      </c>
      <c r="K36" s="65" t="n">
        <f aca="false">K35-'Assumption Setting'!$C$208</f>
        <v>108771.432159375</v>
      </c>
      <c r="L36" s="65" t="n">
        <f aca="false">L35-'Assumption Setting'!$C$208</f>
        <v>105944.530443432</v>
      </c>
      <c r="M36" s="65" t="n">
        <f aca="false">M35-'Assumption Setting'!$C$208</f>
        <v>103904.068267295</v>
      </c>
      <c r="N36" s="65" t="n">
        <f aca="false">N35-'Assumption Setting'!$C$208</f>
        <v>102329.777681178</v>
      </c>
      <c r="O36" s="64" t="n">
        <f aca="false">MIN(P36:AA36)</f>
        <v>66386.1493503378</v>
      </c>
      <c r="P36" s="65" t="n">
        <f aca="false">P35-'Assumption Setting'!$C$208</f>
        <v>66386.1493503378</v>
      </c>
      <c r="Q36" s="65" t="n">
        <f aca="false">Q35-'Assumption Setting'!$C$208</f>
        <v>71637.01401601</v>
      </c>
      <c r="R36" s="65" t="n">
        <f aca="false">R35-'Assumption Setting'!$C$208</f>
        <v>76673.6480802284</v>
      </c>
      <c r="S36" s="65" t="n">
        <f aca="false">S35-'Assumption Setting'!$C$208</f>
        <v>79565.8063116416</v>
      </c>
      <c r="T36" s="65" t="n">
        <f aca="false">T35-'Assumption Setting'!$C$208</f>
        <v>84505.19282319</v>
      </c>
      <c r="U36" s="65" t="n">
        <f aca="false">U35-'Assumption Setting'!$C$208</f>
        <v>90912.6608861268</v>
      </c>
      <c r="V36" s="65" t="n">
        <f aca="false">V35-'Assumption Setting'!$C$208</f>
        <v>98788.072907488</v>
      </c>
      <c r="W36" s="65" t="n">
        <f aca="false">W35-'Assumption Setting'!$C$208</f>
        <v>108186.608710053</v>
      </c>
      <c r="X36" s="65" t="n">
        <f aca="false">X35-'Assumption Setting'!$C$208</f>
        <v>119018.800182018</v>
      </c>
      <c r="Y36" s="65" t="n">
        <f aca="false">Y35-'Assumption Setting'!$C$208</f>
        <v>131269.246011005</v>
      </c>
      <c r="Z36" s="65" t="n">
        <f aca="false">Z35-'Assumption Setting'!$C$208</f>
        <v>144937.820802529</v>
      </c>
      <c r="AA36" s="65" t="n">
        <f aca="false">AA35-'Assumption Setting'!$C$208</f>
        <v>160024.401768413</v>
      </c>
      <c r="AB36" s="64" t="n">
        <f aca="false">MIN(AC36:AN36)</f>
        <v>151570.764299453</v>
      </c>
      <c r="AC36" s="65" t="n">
        <f aca="false">AC35-'Assumption Setting'!$C$208</f>
        <v>153110.127642454</v>
      </c>
      <c r="AD36" s="65" t="n">
        <f aca="false">AD35-'Assumption Setting'!$C$208</f>
        <v>157604.073256656</v>
      </c>
      <c r="AE36" s="65" t="n">
        <f aca="false">AE35-'Assumption Setting'!$C$208</f>
        <v>163223.548973985</v>
      </c>
      <c r="AF36" s="65" t="n">
        <f aca="false">AF35-'Assumption Setting'!$C$208</f>
        <v>151570.764299453</v>
      </c>
      <c r="AG36" s="65" t="n">
        <f aca="false">AG35-'Assumption Setting'!$C$208</f>
        <v>159950.012485808</v>
      </c>
      <c r="AH36" s="65" t="n">
        <f aca="false">AH35-'Assumption Setting'!$C$208</f>
        <v>170987.467278748</v>
      </c>
      <c r="AI36" s="65" t="n">
        <f aca="false">AI35-'Assumption Setting'!$C$208</f>
        <v>184176.252385872</v>
      </c>
      <c r="AJ36" s="65" t="n">
        <f aca="false">AJ35-'Assumption Setting'!$C$208</f>
        <v>199835.975850401</v>
      </c>
      <c r="AK36" s="65" t="n">
        <f aca="false">AK35-'Assumption Setting'!$C$208</f>
        <v>217646.262077338</v>
      </c>
      <c r="AL36" s="65" t="n">
        <f aca="false">AL35-'Assumption Setting'!$C$208</f>
        <v>237926.750851761</v>
      </c>
      <c r="AM36" s="65" t="n">
        <f aca="false">AM35-'Assumption Setting'!$C$208</f>
        <v>260357.096416019</v>
      </c>
      <c r="AN36" s="65" t="n">
        <f aca="false">AN35-'Assumption Setting'!$C$208</f>
        <v>285256.966602296</v>
      </c>
      <c r="AO36" s="64" t="n">
        <f aca="false">MIN(AP36:BA36)</f>
        <v>294721.012225354</v>
      </c>
      <c r="AP36" s="65" t="n">
        <f aca="false">AP35-'Assumption Setting'!$C$208</f>
        <v>294721.012225354</v>
      </c>
      <c r="AQ36" s="65" t="n">
        <f aca="false">AQ35-'Assumption Setting'!$C$208</f>
        <v>313865.630854622</v>
      </c>
      <c r="AR36" s="65" t="n">
        <f aca="false">AR35-'Assumption Setting'!$C$208</f>
        <v>335417.796336234</v>
      </c>
      <c r="AS36" s="65" t="n">
        <f aca="false">AS35-'Assumption Setting'!$C$208</f>
        <v>311422.311277552</v>
      </c>
      <c r="AT36" s="65" t="n">
        <f aca="false">AT35-'Assumption Setting'!$C$208</f>
        <v>337977.428820219</v>
      </c>
      <c r="AU36" s="65" t="n">
        <f aca="false">AU35-'Assumption Setting'!$C$208</f>
        <v>366565.768735425</v>
      </c>
      <c r="AV36" s="65" t="n">
        <f aca="false">AV35-'Assumption Setting'!$C$208</f>
        <v>397487.442540331</v>
      </c>
      <c r="AW36" s="65" t="n">
        <f aca="false">AW35-'Assumption Setting'!$C$208</f>
        <v>430622.555013736</v>
      </c>
      <c r="AX36" s="65" t="n">
        <f aca="false">AX35-'Assumption Setting'!$C$208</f>
        <v>465791.204600385</v>
      </c>
      <c r="AY36" s="65" t="n">
        <f aca="false">AY35-'Assumption Setting'!$C$208</f>
        <v>503293.483791003</v>
      </c>
      <c r="AZ36" s="65" t="n">
        <f aca="false">AZ35-'Assumption Setting'!$C$208</f>
        <v>543009.479479544</v>
      </c>
      <c r="BA36" s="65" t="n">
        <f aca="false">BA35-'Assumption Setting'!$C$208</f>
        <v>584759.273298992</v>
      </c>
      <c r="BB36" s="64" t="n">
        <f aca="false">MIN(BC36:BN36)</f>
        <v>609116.340840597</v>
      </c>
      <c r="BC36" s="65" t="n">
        <f aca="false">BC35-'Assumption Setting'!$C$208</f>
        <v>609116.340840597</v>
      </c>
      <c r="BD36" s="65" t="n">
        <f aca="false">BD35-'Assumption Setting'!$C$208</f>
        <v>646286.829769677</v>
      </c>
      <c r="BE36" s="65" t="n">
        <f aca="false">BE35-'Assumption Setting'!$C$208</f>
        <v>685784.843244034</v>
      </c>
      <c r="BF36" s="65" t="n">
        <f aca="false">BF35-'Assumption Setting'!$C$208</f>
        <v>633629.913936635</v>
      </c>
      <c r="BG36" s="65" t="n">
        <f aca="false">BG35-'Assumption Setting'!$C$208</f>
        <v>677625.139821302</v>
      </c>
      <c r="BH36" s="65" t="n">
        <f aca="false">BH35-'Assumption Setting'!$C$208</f>
        <v>724229.229820632</v>
      </c>
      <c r="BI36" s="65" t="n">
        <f aca="false">BI35-'Assumption Setting'!$C$208</f>
        <v>773122.344111544</v>
      </c>
      <c r="BJ36" s="65" t="n">
        <f aca="false">BJ35-'Assumption Setting'!$C$208</f>
        <v>824624.630326379</v>
      </c>
      <c r="BK36" s="65" t="n">
        <f aca="false">BK35-'Assumption Setting'!$C$208</f>
        <v>878416.224305575</v>
      </c>
      <c r="BL36" s="65" t="n">
        <f aca="false">BL35-'Assumption Setting'!$C$208</f>
        <v>934797.250805178</v>
      </c>
      <c r="BM36" s="65" t="n">
        <f aca="false">BM35-'Assumption Setting'!$C$208</f>
        <v>993647.824161911</v>
      </c>
      <c r="BN36" s="65" t="n">
        <f aca="false">BN35-'Assumption Setting'!$C$208</f>
        <v>1054788.04891833</v>
      </c>
    </row>
    <row r="37" customFormat="false" ht="15" hidden="false" customHeight="false" outlineLevel="0" collapsed="false">
      <c r="A37" s="12" t="s">
        <v>921</v>
      </c>
      <c r="B37" s="64" t="n">
        <f aca="false">N37</f>
        <v>-72670.2223188221</v>
      </c>
      <c r="C37" s="65" t="n">
        <f aca="false">C28+C30</f>
        <v>-15048.8371592442</v>
      </c>
      <c r="D37" s="65" t="n">
        <f aca="false">C37+D28+D30</f>
        <v>-29410.9514845629</v>
      </c>
      <c r="E37" s="65" t="n">
        <f aca="false">D37+E28+E30</f>
        <v>-36987.842820012</v>
      </c>
      <c r="F37" s="65" t="n">
        <f aca="false">E37+F28+F30</f>
        <v>-43167.1865422311</v>
      </c>
      <c r="G37" s="65" t="n">
        <f aca="false">F37+G28+G30</f>
        <v>-48970.7617173648</v>
      </c>
      <c r="H37" s="65" t="n">
        <f aca="false">G37+H28+H30</f>
        <v>-54306.3577426903</v>
      </c>
      <c r="I37" s="65" t="n">
        <f aca="false">H37+I28+I30</f>
        <v>-58854.3120497485</v>
      </c>
      <c r="J37" s="65" t="n">
        <f aca="false">I37+J28+J30</f>
        <v>-62934.946403157</v>
      </c>
      <c r="K37" s="65" t="n">
        <f aca="false">J37+K28+K30</f>
        <v>-66228.567840625</v>
      </c>
      <c r="L37" s="65" t="n">
        <f aca="false">K37+L28+L30</f>
        <v>-69055.469556568</v>
      </c>
      <c r="M37" s="65" t="n">
        <f aca="false">L37+M28+M30</f>
        <v>-71095.9317327053</v>
      </c>
      <c r="N37" s="65" t="n">
        <f aca="false">M37+N28+N30</f>
        <v>-72670.2223188221</v>
      </c>
      <c r="O37" s="64" t="n">
        <f aca="false">AA37</f>
        <v>-14975.5982315869</v>
      </c>
      <c r="P37" s="65" t="n">
        <f aca="false">N37+P28+P30</f>
        <v>-108613.850649662</v>
      </c>
      <c r="Q37" s="65" t="n">
        <f aca="false">P37+Q28+Q30</f>
        <v>-103362.98598399</v>
      </c>
      <c r="R37" s="65" t="n">
        <f aca="false">Q37+R28+R30</f>
        <v>-98326.3519197717</v>
      </c>
      <c r="S37" s="65" t="n">
        <f aca="false">R37+S28+S30</f>
        <v>-95434.1936883585</v>
      </c>
      <c r="T37" s="65" t="n">
        <f aca="false">S37+T28+T30</f>
        <v>-90494.80717681</v>
      </c>
      <c r="U37" s="65" t="n">
        <f aca="false">T37+U28+U30</f>
        <v>-84087.3391138732</v>
      </c>
      <c r="V37" s="65" t="n">
        <f aca="false">U37+V28+V30</f>
        <v>-76211.9270925121</v>
      </c>
      <c r="W37" s="65" t="n">
        <f aca="false">V37+W28+W30</f>
        <v>-66813.391289947</v>
      </c>
      <c r="X37" s="65" t="n">
        <f aca="false">W37+X28+X30</f>
        <v>-55981.1998179825</v>
      </c>
      <c r="Y37" s="65" t="n">
        <f aca="false">X37+Y28+Y30</f>
        <v>-43730.7539889948</v>
      </c>
      <c r="Z37" s="65" t="n">
        <f aca="false">Y37+Z28+Z30</f>
        <v>-30062.1791974715</v>
      </c>
      <c r="AA37" s="65" t="n">
        <f aca="false">Z37+AA28+AA30</f>
        <v>-14975.5982315869</v>
      </c>
      <c r="AB37" s="64" t="n">
        <f aca="false">AN37</f>
        <v>110256.966602296</v>
      </c>
      <c r="AC37" s="65" t="n">
        <f aca="false">AA37+AC28+AC30</f>
        <v>-21889.8723575464</v>
      </c>
      <c r="AD37" s="65" t="n">
        <f aca="false">AC37+AD28+AD30</f>
        <v>-17395.9267433445</v>
      </c>
      <c r="AE37" s="65" t="n">
        <f aca="false">AD37+AE28+AE30</f>
        <v>-11776.4510260154</v>
      </c>
      <c r="AF37" s="65" t="n">
        <f aca="false">AE37+AF28+AF30</f>
        <v>-23429.235700547</v>
      </c>
      <c r="AG37" s="65" t="n">
        <f aca="false">AF37+AG28+AG30</f>
        <v>-15049.9875141921</v>
      </c>
      <c r="AH37" s="65" t="n">
        <f aca="false">AG37+AH28+AH30</f>
        <v>-4012.53272125218</v>
      </c>
      <c r="AI37" s="65" t="n">
        <f aca="false">AH37+AI28+AI30</f>
        <v>9176.25238587193</v>
      </c>
      <c r="AJ37" s="65" t="n">
        <f aca="false">AI37+AJ28+AJ30</f>
        <v>24835.9758504009</v>
      </c>
      <c r="AK37" s="65" t="n">
        <f aca="false">AJ37+AK28+AK30</f>
        <v>42646.2620773378</v>
      </c>
      <c r="AL37" s="65" t="n">
        <f aca="false">AK37+AL28+AL30</f>
        <v>62926.7508517609</v>
      </c>
      <c r="AM37" s="65" t="n">
        <f aca="false">AL37+AM28+AM30</f>
        <v>85357.0964160192</v>
      </c>
      <c r="AN37" s="65" t="n">
        <f aca="false">AM37+AN28+AN30</f>
        <v>110256.966602296</v>
      </c>
      <c r="AO37" s="64" t="n">
        <f aca="false">BA37</f>
        <v>409759.273298992</v>
      </c>
      <c r="AP37" s="65" t="n">
        <f aca="false">AN37+AP28+AP30</f>
        <v>119721.012225354</v>
      </c>
      <c r="AQ37" s="65" t="n">
        <f aca="false">AP37+AQ28+AQ30</f>
        <v>138865.630854622</v>
      </c>
      <c r="AR37" s="65" t="n">
        <f aca="false">AQ37+AR28+AR30</f>
        <v>160417.796336234</v>
      </c>
      <c r="AS37" s="65" t="n">
        <f aca="false">AR37+AS28+AS30</f>
        <v>136422.311277552</v>
      </c>
      <c r="AT37" s="65" t="n">
        <f aca="false">AS37+AT28+AT30</f>
        <v>162977.428820219</v>
      </c>
      <c r="AU37" s="65" t="n">
        <f aca="false">AT37+AU28+AU30</f>
        <v>191565.768735425</v>
      </c>
      <c r="AV37" s="65" t="n">
        <f aca="false">AU37+AV28+AV30</f>
        <v>222487.44254033</v>
      </c>
      <c r="AW37" s="65" t="n">
        <f aca="false">AV37+AW28+AW30</f>
        <v>255622.555013736</v>
      </c>
      <c r="AX37" s="65" t="n">
        <f aca="false">AW37+AX28+AX30</f>
        <v>290791.204600385</v>
      </c>
      <c r="AY37" s="65" t="n">
        <f aca="false">AX37+AY28+AY30</f>
        <v>328293.483791003</v>
      </c>
      <c r="AZ37" s="65" t="n">
        <f aca="false">AY37+AZ28+AZ30</f>
        <v>368009.479479543</v>
      </c>
      <c r="BA37" s="65" t="n">
        <f aca="false">AZ37+BA28+BA30</f>
        <v>409759.273298992</v>
      </c>
      <c r="BB37" s="64" t="n">
        <f aca="false">BN37</f>
        <v>879788.04891833</v>
      </c>
      <c r="BC37" s="65" t="n">
        <f aca="false">BA37+BC28+BC30</f>
        <v>434116.340840597</v>
      </c>
      <c r="BD37" s="65" t="n">
        <f aca="false">BC37+BD28+BD30</f>
        <v>471286.829769677</v>
      </c>
      <c r="BE37" s="65" t="n">
        <f aca="false">BD37+BE28+BE30</f>
        <v>510784.843244034</v>
      </c>
      <c r="BF37" s="65" t="n">
        <f aca="false">BE37+BF28+BF30</f>
        <v>458629.913936635</v>
      </c>
      <c r="BG37" s="65" t="n">
        <f aca="false">BF37+BG28+BG30</f>
        <v>502625.139821302</v>
      </c>
      <c r="BH37" s="65" t="n">
        <f aca="false">BG37+BH28+BH30</f>
        <v>549229.229820632</v>
      </c>
      <c r="BI37" s="65" t="n">
        <f aca="false">BH37+BI28+BI30</f>
        <v>598122.344111544</v>
      </c>
      <c r="BJ37" s="65" t="n">
        <f aca="false">BI37+BJ28+BJ30</f>
        <v>649624.630326379</v>
      </c>
      <c r="BK37" s="65" t="n">
        <f aca="false">BJ37+BK28+BK30</f>
        <v>703416.224305574</v>
      </c>
      <c r="BL37" s="65" t="n">
        <f aca="false">BK37+BL28+BL30</f>
        <v>759797.250805178</v>
      </c>
      <c r="BM37" s="65" t="n">
        <f aca="false">BL37+BM28+BM30</f>
        <v>818647.824161911</v>
      </c>
      <c r="BN37" s="65" t="n">
        <f aca="false">BM37+BN28+BN30</f>
        <v>879788.04891833</v>
      </c>
    </row>
    <row r="39" customFormat="false" ht="16.5" hidden="false" customHeight="true" outlineLevel="0" collapsed="false">
      <c r="A39" s="15" t="s">
        <v>922</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2" t="s">
        <v>879</v>
      </c>
      <c r="B41" s="120" t="n">
        <f aca="false">B9</f>
        <v>-44837.5560819134</v>
      </c>
      <c r="O41" s="120" t="n">
        <f aca="false">O9</f>
        <v>107964.317336077</v>
      </c>
      <c r="AB41" s="120" t="n">
        <f aca="false">AB9</f>
        <v>166094.390186962</v>
      </c>
      <c r="AO41" s="120" t="n">
        <f aca="false">AO9</f>
        <v>323501.323668245</v>
      </c>
      <c r="BB41" s="120" t="n">
        <f aca="false">BB9</f>
        <v>498041.960603606</v>
      </c>
    </row>
    <row r="42" customFormat="false" ht="15" hidden="false" customHeight="false" outlineLevel="0" collapsed="false">
      <c r="A42" s="12" t="s">
        <v>836</v>
      </c>
      <c r="B42" s="120" t="n">
        <f aca="false">B10</f>
        <v>3222.08333333333</v>
      </c>
      <c r="O42" s="120" t="n">
        <f aca="false">O10</f>
        <v>4603.125</v>
      </c>
      <c r="AB42" s="120" t="n">
        <f aca="false">AB10</f>
        <v>7388.95833333333</v>
      </c>
      <c r="AO42" s="120" t="n">
        <f aca="false">AO10</f>
        <v>8524.16666666667</v>
      </c>
      <c r="BB42" s="120" t="n">
        <f aca="false">BB10</f>
        <v>8745</v>
      </c>
    </row>
    <row r="43" customFormat="false" ht="15" hidden="false" customHeight="false" outlineLevel="0" collapsed="false">
      <c r="A43" s="12" t="s">
        <v>907</v>
      </c>
      <c r="B43" s="120" t="n">
        <f aca="false">B23</f>
        <v>-35671.5650013932</v>
      </c>
      <c r="O43" s="120" t="n">
        <f aca="false">O23</f>
        <v>-117626.393209773</v>
      </c>
      <c r="AB43" s="120" t="n">
        <f aca="false">AB23</f>
        <v>-120740.598604913</v>
      </c>
      <c r="AO43" s="120" t="n">
        <f aca="false">AO23</f>
        <v>-136417.62083525</v>
      </c>
      <c r="BB43" s="120" t="n">
        <f aca="false">BB23</f>
        <v>-153344.246345488</v>
      </c>
    </row>
    <row r="44" customFormat="false" ht="15" hidden="false" customHeight="false" outlineLevel="0" collapsed="false">
      <c r="A44" s="12" t="s">
        <v>908</v>
      </c>
      <c r="B44" s="120" t="n">
        <f aca="false">B24</f>
        <v>10582.4029226385</v>
      </c>
      <c r="O44" s="120" t="n">
        <f aca="false">O24</f>
        <v>27923.6179441718</v>
      </c>
      <c r="AB44" s="120" t="n">
        <f aca="false">AB24</f>
        <v>34800.1739496628</v>
      </c>
      <c r="AO44" s="120" t="n">
        <f aca="false">AO24</f>
        <v>37838.0193001147</v>
      </c>
      <c r="BB44" s="120" t="n">
        <f aca="false">BB24</f>
        <v>42698.2851386942</v>
      </c>
    </row>
    <row r="45" customFormat="false" ht="15" hidden="false" customHeight="false" outlineLevel="0" collapsed="false">
      <c r="A45" s="12" t="s">
        <v>909</v>
      </c>
      <c r="B45" s="120" t="n">
        <f aca="false">B25</f>
        <v>1694</v>
      </c>
      <c r="O45" s="120" t="n">
        <f aca="false">O25</f>
        <v>1848</v>
      </c>
      <c r="AB45" s="120" t="n">
        <f aca="false">AB25</f>
        <v>2464</v>
      </c>
      <c r="AO45" s="120" t="n">
        <f aca="false">AO25</f>
        <v>2271.5</v>
      </c>
      <c r="BB45" s="120" t="n">
        <f aca="false">BB25</f>
        <v>2117.5</v>
      </c>
    </row>
    <row r="46" customFormat="false" ht="15" hidden="false" customHeight="false" outlineLevel="0" collapsed="false">
      <c r="A46" s="12" t="s">
        <v>910</v>
      </c>
      <c r="B46" s="120" t="n">
        <f aca="false">B26</f>
        <v>4620.41250851263</v>
      </c>
      <c r="O46" s="120" t="n">
        <f aca="false">O26</f>
        <v>17894.8327816796</v>
      </c>
      <c r="AB46" s="120" t="n">
        <f aca="false">AB26</f>
        <v>18571.8132141551</v>
      </c>
      <c r="AO46" s="120" t="n">
        <f aca="false">AO26</f>
        <v>22406.1307571906</v>
      </c>
      <c r="BB46" s="120" t="n">
        <f aca="false">BB26</f>
        <v>25417.1880800019</v>
      </c>
    </row>
    <row r="47" customFormat="false" ht="15" hidden="false" customHeight="false" outlineLevel="0" collapsed="false">
      <c r="A47" s="12" t="s">
        <v>911</v>
      </c>
      <c r="B47" s="120" t="n">
        <f aca="false">B27</f>
        <v>0</v>
      </c>
      <c r="O47" s="120" t="n">
        <f aca="false">O27</f>
        <v>18327.1242350798</v>
      </c>
      <c r="AB47" s="120" t="n">
        <f aca="false">AB27</f>
        <v>29893.8277546834</v>
      </c>
      <c r="AO47" s="120" t="n">
        <f aca="false">AO27</f>
        <v>45698.7871397275</v>
      </c>
      <c r="BB47" s="120" t="n">
        <f aca="false">BB27</f>
        <v>50673.088142524</v>
      </c>
    </row>
    <row r="48" customFormat="false" ht="15" hidden="false" customHeight="false" outlineLevel="0" collapsed="false">
      <c r="A48" s="18" t="s">
        <v>912</v>
      </c>
      <c r="B48" s="117" t="n">
        <f aca="false">B28</f>
        <v>-60390.2223188221</v>
      </c>
      <c r="O48" s="117" t="n">
        <f aca="false">O28</f>
        <v>60934.6240872352</v>
      </c>
      <c r="AB48" s="117" t="n">
        <f aca="false">AB28</f>
        <v>138472.564833883</v>
      </c>
      <c r="AO48" s="117" t="n">
        <f aca="false">AO28</f>
        <v>303822.306696695</v>
      </c>
      <c r="BB48" s="117" t="n">
        <f aca="false">BB28</f>
        <v>474348.775619338</v>
      </c>
    </row>
    <row r="49" customFormat="false" ht="15" hidden="false" customHeight="false" outlineLevel="0" collapsed="false">
      <c r="A49" s="18" t="s">
        <v>914</v>
      </c>
      <c r="B49" s="117" t="n">
        <f aca="false">B30</f>
        <v>-12280</v>
      </c>
      <c r="O49" s="117" t="n">
        <f aca="false">O30</f>
        <v>-3240</v>
      </c>
      <c r="AB49" s="117" t="n">
        <f aca="false">AB30</f>
        <v>-13240</v>
      </c>
      <c r="AO49" s="117" t="n">
        <f aca="false">AO30</f>
        <v>-4320</v>
      </c>
      <c r="BB49" s="117" t="n">
        <f aca="false">BB30</f>
        <v>-4320</v>
      </c>
    </row>
    <row r="50" customFormat="false" ht="15" hidden="false" customHeight="false" outlineLevel="0" collapsed="false">
      <c r="A50" s="18" t="s">
        <v>916</v>
      </c>
      <c r="B50" s="117" t="n">
        <f aca="false">B32</f>
        <v>150000</v>
      </c>
      <c r="O50" s="117" t="n">
        <f aca="false">O32</f>
        <v>0</v>
      </c>
      <c r="AB50" s="117" t="n">
        <f aca="false">AB32</f>
        <v>0</v>
      </c>
      <c r="AO50" s="117" t="n">
        <f aca="false">AO32</f>
        <v>0</v>
      </c>
      <c r="BB50" s="117" t="n">
        <f aca="false">BB32</f>
        <v>0</v>
      </c>
    </row>
    <row r="51" customFormat="false" ht="15" hidden="false" customHeight="false" outlineLevel="0" collapsed="false">
      <c r="A51" s="18" t="s">
        <v>917</v>
      </c>
      <c r="B51" s="117" t="n">
        <f aca="false">B33</f>
        <v>77329.7776811779</v>
      </c>
      <c r="O51" s="117" t="n">
        <f aca="false">O33</f>
        <v>57694.6240872352</v>
      </c>
      <c r="AB51" s="117" t="n">
        <f aca="false">AB33</f>
        <v>125232.564833883</v>
      </c>
      <c r="AO51" s="117" t="n">
        <f aca="false">AO33</f>
        <v>299502.306696695</v>
      </c>
      <c r="BB51" s="117" t="n">
        <f aca="false">BB33</f>
        <v>470028.775619338</v>
      </c>
    </row>
    <row r="52" customFormat="false" ht="15" hidden="false" customHeight="false" outlineLevel="0" collapsed="false">
      <c r="A52" s="18" t="s">
        <v>923</v>
      </c>
      <c r="B52" s="117" t="n">
        <f aca="false">N35</f>
        <v>127329.777681178</v>
      </c>
      <c r="O52" s="117" t="n">
        <f aca="false">AA35</f>
        <v>185024.401768413</v>
      </c>
      <c r="AB52" s="117" t="n">
        <f aca="false">AN35</f>
        <v>310256.966602296</v>
      </c>
      <c r="AO52" s="117" t="n">
        <f aca="false">BA35</f>
        <v>609759.273298992</v>
      </c>
      <c r="BB52" s="117" t="n">
        <f aca="false">BN35</f>
        <v>1079788.04891833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846</v>
      </c>
    </row>
    <row r="2" customFormat="false" ht="13.5" hidden="false" customHeight="true" outlineLevel="0" collapsed="false">
      <c r="A2" s="6" t="s">
        <v>924</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925</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25" t="n">
        <f aca="false">'Income Statement'!$C$7</f>
        <v>103587.386308824</v>
      </c>
      <c r="D7" s="25" t="n">
        <f aca="false">'Income Statement'!$D$7</f>
        <v>598105.707372232</v>
      </c>
      <c r="E7" s="25" t="n">
        <f aca="false">'Income Statement'!$E$7</f>
        <v>1085654.37612042</v>
      </c>
      <c r="F7" s="25" t="n">
        <f aca="false">'Income Statement'!$F$7</f>
        <v>1759671.91303074</v>
      </c>
      <c r="G7" s="25" t="n">
        <f aca="false">'Income Statement'!$G$7</f>
        <v>2483099.09071608</v>
      </c>
    </row>
    <row r="8" customFormat="false" ht="15" hidden="false" customHeight="false" outlineLevel="0" collapsed="false">
      <c r="A8" s="12" t="s">
        <v>926</v>
      </c>
      <c r="B8" s="22" t="s">
        <v>927</v>
      </c>
      <c r="C8" s="121" t="s">
        <v>928</v>
      </c>
      <c r="D8" s="121" t="n">
        <f aca="false">IFERROR(D7/C7-1,0)</f>
        <v>4.77392411069343</v>
      </c>
      <c r="E8" s="121" t="n">
        <f aca="false">IFERROR(E7/D7-1,0)</f>
        <v>0.815154683760211</v>
      </c>
      <c r="F8" s="121" t="n">
        <f aca="false">IFERROR(F7/E7-1,0)</f>
        <v>0.620839883977546</v>
      </c>
      <c r="G8" s="121" t="n">
        <f aca="false">IFERROR(G7/F7-1,0)</f>
        <v>0.411114806304638</v>
      </c>
    </row>
    <row r="9" customFormat="false" ht="15" hidden="false" customHeight="false" outlineLevel="0" collapsed="false">
      <c r="A9" s="12" t="s">
        <v>751</v>
      </c>
      <c r="B9" s="22" t="s">
        <v>929</v>
      </c>
      <c r="C9" s="121" t="n">
        <f aca="false">IFERROR('Revenue Streams'!B$37/'Total Revenue'!B$25,0)</f>
        <v>0.99134658637231</v>
      </c>
      <c r="D9" s="121" t="n">
        <f aca="false">IFERROR('Revenue Streams'!O$37/'Total Revenue'!O$25,0)</f>
        <v>0.986444746481248</v>
      </c>
      <c r="E9" s="121" t="n">
        <f aca="false">IFERROR('Revenue Streams'!AB$37/'Total Revenue'!AB$25,0)</f>
        <v>0.980625345964334</v>
      </c>
      <c r="F9" s="121" t="n">
        <f aca="false">IFERROR('Revenue Streams'!AO$37/'Total Revenue'!AO$25,0)</f>
        <v>0.978550686491974</v>
      </c>
      <c r="G9" s="121" t="n">
        <f aca="false">IFERROR('Revenue Streams'!BB$37/'Total Revenue'!BB$25,0)</f>
        <v>0.976614982083969</v>
      </c>
    </row>
    <row r="10" customFormat="false" ht="15" hidden="false" customHeight="false" outlineLevel="0" collapsed="false">
      <c r="A10" s="12" t="s">
        <v>94</v>
      </c>
      <c r="B10" s="22" t="s">
        <v>930</v>
      </c>
      <c r="C10" s="122" t="n">
        <f aca="false">'Revenue Streams'!B$21</f>
        <v>20.6106814542812</v>
      </c>
      <c r="D10" s="122" t="n">
        <f aca="false">'Revenue Streams'!O$21</f>
        <v>66.0546646581071</v>
      </c>
      <c r="E10" s="122" t="n">
        <f aca="false">'Revenue Streams'!AB$21</f>
        <v>107.287880957002</v>
      </c>
      <c r="F10" s="122" t="n">
        <f aca="false">'Revenue Streams'!AO$21</f>
        <v>162.02277007727</v>
      </c>
      <c r="G10" s="122" t="n">
        <f aca="false">'Revenue Streams'!BB$21</f>
        <v>214.786496011604</v>
      </c>
    </row>
    <row r="11" customFormat="false" ht="15" hidden="false" customHeight="false" outlineLevel="0" collapsed="false">
      <c r="A11" s="12" t="s">
        <v>95</v>
      </c>
      <c r="C11" s="122" t="n">
        <f aca="false">Acquisitions!B$146</f>
        <v>3648.31958511234</v>
      </c>
      <c r="D11" s="122" t="n">
        <f aca="false">Acquisitions!O$146</f>
        <v>21758.722263166</v>
      </c>
      <c r="E11" s="122" t="n">
        <f aca="false">Acquisitions!AB$146</f>
        <v>37999.9069723366</v>
      </c>
      <c r="F11" s="122" t="n">
        <f aca="false">Acquisitions!AO$146</f>
        <v>57390.1395468559</v>
      </c>
      <c r="G11" s="122" t="n">
        <f aca="false">Acquisitions!BB$146</f>
        <v>76141.258156982</v>
      </c>
    </row>
    <row r="12" customFormat="false" ht="15" hidden="false" customHeight="false" outlineLevel="0" collapsed="false">
      <c r="A12" s="12" t="s">
        <v>931</v>
      </c>
      <c r="C12" s="122" t="n">
        <f aca="false">Acquisitions!N$147</f>
        <v>3948.31958511234</v>
      </c>
      <c r="D12" s="122" t="n">
        <f aca="false">Acquisitions!AA$147</f>
        <v>25707.0418482783</v>
      </c>
      <c r="E12" s="122" t="n">
        <f aca="false">Acquisitions!AN$147</f>
        <v>63706.9488206149</v>
      </c>
      <c r="F12" s="122" t="n">
        <f aca="false">Acquisitions!BA$147</f>
        <v>121097.088367471</v>
      </c>
      <c r="G12" s="122" t="n">
        <f aca="false">Acquisitions!BN$147</f>
        <v>197238.346524453</v>
      </c>
    </row>
    <row r="13" customFormat="false" ht="15" hidden="false" customHeight="false" outlineLevel="0" collapsed="false">
      <c r="A13" s="12" t="s">
        <v>96</v>
      </c>
      <c r="C13" s="122" t="n">
        <f aca="false">Acquisitions!N$149</f>
        <v>85.0765437825624</v>
      </c>
      <c r="D13" s="122" t="n">
        <f aca="false">Acquisitions!AA$149</f>
        <v>636.314276174524</v>
      </c>
      <c r="E13" s="122" t="n">
        <f aca="false">Acquisitions!AN$149</f>
        <v>1448.63062970082</v>
      </c>
      <c r="F13" s="122" t="n">
        <f aca="false">Acquisitions!BA$149</f>
        <v>2604.81482758888</v>
      </c>
      <c r="G13" s="122" t="n">
        <f aca="false">Acquisitions!BN$149</f>
        <v>4035.55049508742</v>
      </c>
    </row>
    <row r="14" customFormat="false" ht="15" hidden="false" customHeight="false" outlineLevel="0" collapsed="false">
      <c r="A14" s="12" t="s">
        <v>93</v>
      </c>
      <c r="B14" s="22" t="s">
        <v>932</v>
      </c>
      <c r="C14" s="122" t="n">
        <f aca="false">Payroll!N$64</f>
        <v>6</v>
      </c>
      <c r="D14" s="122" t="n">
        <f aca="false">Payroll!AA$64</f>
        <v>9</v>
      </c>
      <c r="E14" s="122" t="n">
        <f aca="false">Payroll!AN$64</f>
        <v>12</v>
      </c>
      <c r="F14" s="122" t="n">
        <f aca="false">Payroll!BA$64</f>
        <v>16</v>
      </c>
      <c r="G14" s="122" t="n">
        <f aca="false">Payroll!BN$64</f>
        <v>20</v>
      </c>
    </row>
    <row r="15" customFormat="false" ht="15" hidden="false" customHeight="false" outlineLevel="0" collapsed="false">
      <c r="A15" s="12" t="s">
        <v>933</v>
      </c>
      <c r="C15" s="120" t="n">
        <f aca="false">IFERROR(C7/C14,0)</f>
        <v>17264.5643848039</v>
      </c>
      <c r="D15" s="120" t="n">
        <f aca="false">IFERROR(D7/D14,0)</f>
        <v>66456.1897080257</v>
      </c>
      <c r="E15" s="120" t="n">
        <f aca="false">IFERROR(E7/E14,0)</f>
        <v>90471.198010035</v>
      </c>
      <c r="F15" s="120" t="n">
        <f aca="false">IFERROR(F7/F14,0)</f>
        <v>109979.494564421</v>
      </c>
      <c r="G15" s="120" t="n">
        <f aca="false">IFERROR(G7/G14,0)</f>
        <v>124154.954535804</v>
      </c>
    </row>
    <row r="16" customFormat="false" ht="15" hidden="false" customHeight="false" outlineLevel="0" collapsed="false">
      <c r="A16" s="12" t="s">
        <v>675</v>
      </c>
      <c r="B16" s="22" t="s">
        <v>934</v>
      </c>
      <c r="C16" s="122" t="n">
        <f aca="false">'GTM Capacity and Timing'!N$15</f>
        <v>10</v>
      </c>
      <c r="D16" s="122" t="n">
        <f aca="false">'GTM Capacity and Timing'!AA$15</f>
        <v>26</v>
      </c>
      <c r="E16" s="122" t="n">
        <f aca="false">'GTM Capacity and Timing'!AN$15</f>
        <v>43</v>
      </c>
      <c r="F16" s="122" t="n">
        <f aca="false">'GTM Capacity and Timing'!BA$15</f>
        <v>59</v>
      </c>
      <c r="G16" s="122" t="n">
        <f aca="false">'GTM Capacity and Timing'!BN$15</f>
        <v>76</v>
      </c>
    </row>
    <row r="18" customFormat="false" ht="16.5" hidden="false" customHeight="true" outlineLevel="0" collapsed="false">
      <c r="A18" s="15" t="s">
        <v>935</v>
      </c>
      <c r="B18" s="15"/>
      <c r="C18" s="15"/>
      <c r="D18" s="15"/>
      <c r="E18" s="15"/>
      <c r="F18" s="15"/>
      <c r="G18" s="15"/>
      <c r="H18" s="15"/>
      <c r="I18" s="15"/>
      <c r="J18" s="15"/>
    </row>
    <row r="19" customFormat="false" ht="15" hidden="false" customHeight="false" outlineLevel="0" collapsed="false">
      <c r="A19" s="16"/>
      <c r="B19" s="16"/>
      <c r="C19" s="17" t="s">
        <v>81</v>
      </c>
      <c r="D19" s="17" t="s">
        <v>82</v>
      </c>
      <c r="E19" s="17" t="s">
        <v>83</v>
      </c>
      <c r="F19" s="17" t="s">
        <v>84</v>
      </c>
      <c r="G19" s="17" t="s">
        <v>85</v>
      </c>
    </row>
    <row r="20" customFormat="false" ht="15" hidden="false" customHeight="false" outlineLevel="0" collapsed="false">
      <c r="A20" s="12" t="s">
        <v>87</v>
      </c>
      <c r="C20" s="20" t="n">
        <f aca="false">'Income Statement'!$C$10</f>
        <v>59843.0693390569</v>
      </c>
      <c r="D20" s="20" t="n">
        <f aca="false">'Income Statement'!$D$10</f>
        <v>384250.365714855</v>
      </c>
      <c r="E20" s="20" t="n">
        <f aca="false">'Income Statement'!$E$10</f>
        <v>676752.137863852</v>
      </c>
      <c r="F20" s="20" t="n">
        <f aca="false">'Income Statement'!$F$10</f>
        <v>1080809.94298645</v>
      </c>
      <c r="G20" s="20" t="n">
        <f aca="false">'Income Statement'!$G$10</f>
        <v>1500619.30079151</v>
      </c>
    </row>
    <row r="21" customFormat="false" ht="15" hidden="false" customHeight="false" outlineLevel="0" collapsed="false">
      <c r="A21" s="18" t="s">
        <v>818</v>
      </c>
      <c r="C21" s="55" t="n">
        <f aca="false">IFERROR(C20/C7,0)</f>
        <v>0.577706142335203</v>
      </c>
      <c r="D21" s="55" t="n">
        <f aca="false">IFERROR(D20/D7,0)</f>
        <v>0.642445576055533</v>
      </c>
      <c r="E21" s="55" t="n">
        <f aca="false">IFERROR(E20/E7,0)</f>
        <v>0.623358734372004</v>
      </c>
      <c r="F21" s="55" t="n">
        <f aca="false">IFERROR(F20/F7,0)</f>
        <v>0.614211055471663</v>
      </c>
      <c r="G21" s="55" t="n">
        <f aca="false">IFERROR(G20/G7,0)</f>
        <v>0.604333232774354</v>
      </c>
    </row>
    <row r="22" customFormat="false" ht="15" hidden="false" customHeight="false" outlineLevel="0" collapsed="false">
      <c r="A22" s="12" t="s">
        <v>88</v>
      </c>
      <c r="C22" s="20" t="n">
        <f aca="false">'Income Statement'!$C$30</f>
        <v>-41615.4727485801</v>
      </c>
      <c r="D22" s="20" t="n">
        <f aca="false">'Income Statement'!$D$30</f>
        <v>130894.566571157</v>
      </c>
      <c r="E22" s="20" t="n">
        <f aca="false">'Income Statement'!$E$30</f>
        <v>221704.300510058</v>
      </c>
      <c r="F22" s="20" t="n">
        <f aca="false">'Income Statement'!$F$30</f>
        <v>425945.229464403</v>
      </c>
      <c r="G22" s="20" t="n">
        <f aca="false">'Income Statement'!$G$30</f>
        <v>651379.787875621</v>
      </c>
    </row>
    <row r="23" customFormat="false" ht="15" hidden="false" customHeight="false" outlineLevel="0" collapsed="false">
      <c r="A23" s="18" t="s">
        <v>871</v>
      </c>
      <c r="C23" s="55" t="n">
        <f aca="false">IFERROR(C22/C7,0)</f>
        <v>-0.401742666085931</v>
      </c>
      <c r="D23" s="55" t="n">
        <f aca="false">IFERROR(D22/D7,0)</f>
        <v>0.218848549608798</v>
      </c>
      <c r="E23" s="55" t="n">
        <f aca="false">IFERROR(E22/E7,0)</f>
        <v>0.204212597845658</v>
      </c>
      <c r="F23" s="55" t="n">
        <f aca="false">IFERROR(F22/F7,0)</f>
        <v>0.24205945796497</v>
      </c>
      <c r="G23" s="55" t="n">
        <f aca="false">IFERROR(G22/G7,0)</f>
        <v>0.262325329790917</v>
      </c>
    </row>
    <row r="24" customFormat="false" ht="15" hidden="false" customHeight="false" outlineLevel="0" collapsed="false">
      <c r="A24" s="12" t="s">
        <v>89</v>
      </c>
      <c r="C24" s="20" t="n">
        <f aca="false">'Income Statement'!$C$40</f>
        <v>-44837.5560819134</v>
      </c>
      <c r="D24" s="20" t="n">
        <f aca="false">'Income Statement'!$D$40</f>
        <v>107964.317336077</v>
      </c>
      <c r="E24" s="20" t="n">
        <f aca="false">'Income Statement'!$E$40</f>
        <v>166094.390186962</v>
      </c>
      <c r="F24" s="20" t="n">
        <f aca="false">'Income Statement'!$F$40</f>
        <v>323501.323668246</v>
      </c>
      <c r="G24" s="20" t="n">
        <f aca="false">'Income Statement'!$G$40</f>
        <v>498041.960603606</v>
      </c>
    </row>
    <row r="25" customFormat="false" ht="15" hidden="false" customHeight="false" outlineLevel="0" collapsed="false">
      <c r="A25" s="18" t="s">
        <v>936</v>
      </c>
      <c r="C25" s="55" t="n">
        <f aca="false">IFERROR(C24/C7,0)</f>
        <v>-0.432847643710594</v>
      </c>
      <c r="D25" s="55" t="n">
        <f aca="false">IFERROR(D24/D7,0)</f>
        <v>0.180510428182364</v>
      </c>
      <c r="E25" s="55" t="n">
        <f aca="false">IFERROR(E24/E7,0)</f>
        <v>0.152990117149898</v>
      </c>
      <c r="F25" s="55" t="n">
        <f aca="false">IFERROR(F24/F7,0)</f>
        <v>0.183841840784439</v>
      </c>
      <c r="G25" s="55" t="n">
        <f aca="false">IFERROR(G24/G7,0)</f>
        <v>0.20057272883942</v>
      </c>
    </row>
    <row r="26" customFormat="false" ht="15" hidden="false" customHeight="false" outlineLevel="0" collapsed="false">
      <c r="A26" s="18" t="s">
        <v>90</v>
      </c>
      <c r="C26" s="19" t="n">
        <f aca="false">Expenses!B$51</f>
        <v>148424.942390737</v>
      </c>
      <c r="D26" s="19" t="n">
        <f aca="false">Expenses!O$51</f>
        <v>471814.265801075</v>
      </c>
      <c r="E26" s="19" t="n">
        <f aca="false">Expenses!AB$51</f>
        <v>871339.033943695</v>
      </c>
      <c r="F26" s="19" t="n">
        <f aca="false">Expenses!AO$51</f>
        <v>1342250.850233</v>
      </c>
      <c r="G26" s="19" t="n">
        <f aca="false">Expenses!BB$51</f>
        <v>1840464.30284046</v>
      </c>
    </row>
    <row r="28" customFormat="false" ht="16.5" hidden="false" customHeight="true" outlineLevel="0" collapsed="false">
      <c r="A28" s="15" t="s">
        <v>937</v>
      </c>
      <c r="B28" s="15"/>
      <c r="C28" s="15"/>
      <c r="D28" s="15"/>
      <c r="E28" s="15"/>
      <c r="F28" s="15"/>
      <c r="G28" s="15"/>
      <c r="H28" s="15"/>
      <c r="I28" s="15"/>
      <c r="J28" s="15"/>
    </row>
    <row r="29" customFormat="false" ht="15" hidden="false" customHeight="false" outlineLevel="0" collapsed="false">
      <c r="A29" s="16"/>
      <c r="B29" s="16"/>
      <c r="C29" s="17" t="s">
        <v>81</v>
      </c>
      <c r="D29" s="17" t="s">
        <v>82</v>
      </c>
      <c r="E29" s="17" t="s">
        <v>83</v>
      </c>
      <c r="F29" s="17" t="s">
        <v>84</v>
      </c>
      <c r="G29" s="17" t="s">
        <v>85</v>
      </c>
    </row>
    <row r="30" customFormat="false" ht="15" hidden="false" customHeight="false" outlineLevel="0" collapsed="false">
      <c r="A30" s="12" t="s">
        <v>938</v>
      </c>
      <c r="C30" s="123" t="n">
        <f aca="false">Acquisitions!B$34</f>
        <v>4.65891220445998</v>
      </c>
      <c r="D30" s="123" t="n">
        <f aca="false">Acquisitions!O$34</f>
        <v>4.60927109522238</v>
      </c>
      <c r="E30" s="123" t="n">
        <f aca="false">Acquisitions!AB$34</f>
        <v>4.64396512247653</v>
      </c>
      <c r="F30" s="123" t="n">
        <f aca="false">Acquisitions!AO$34</f>
        <v>4.6876099340846</v>
      </c>
      <c r="G30" s="123" t="n">
        <f aca="false">Acquisitions!BB$34</f>
        <v>4.68899537167355</v>
      </c>
    </row>
    <row r="31" customFormat="false" ht="15" hidden="false" customHeight="false" outlineLevel="0" collapsed="false">
      <c r="A31" s="12" t="s">
        <v>666</v>
      </c>
      <c r="B31" s="22" t="s">
        <v>939</v>
      </c>
      <c r="C31" s="123" t="n">
        <f aca="false">IFERROR(Acquisitions!B$31*(1-'Assumption Setting'!$C$63)/Acquisitions!B$148,0)</f>
        <v>16.9414001465184</v>
      </c>
      <c r="D31" s="123" t="n">
        <f aca="false">IFERROR(Acquisitions!O$31*(1-'Assumption Setting'!$C$63)/Acquisitions!O$148,0)</f>
        <v>8.05082009792657</v>
      </c>
      <c r="E31" s="123" t="n">
        <f aca="false">IFERROR(Acquisitions!AB$31*(1-'Assumption Setting'!$C$63)/Acquisitions!AB$148,0)</f>
        <v>8.47079856215385</v>
      </c>
      <c r="F31" s="123" t="n">
        <f aca="false">IFERROR(Acquisitions!AO$31*(1-'Assumption Setting'!$C$63)/Acquisitions!AO$148,0)</f>
        <v>7.73108992453702</v>
      </c>
      <c r="G31" s="123" t="n">
        <f aca="false">IFERROR(Acquisitions!BB$31*(1-'Assumption Setting'!$C$63)/Acquisitions!BB$148,0)</f>
        <v>7.05876094841073</v>
      </c>
    </row>
    <row r="32" customFormat="false" ht="15" hidden="false" customHeight="false" outlineLevel="0" collapsed="false">
      <c r="A32" s="12" t="s">
        <v>940</v>
      </c>
      <c r="B32" s="22" t="s">
        <v>941</v>
      </c>
      <c r="C32" s="123" t="n">
        <f aca="false">IFERROR('Revenue Streams'!B$43/12*IFERROR(C20/C7,0)/'Assumption Setting'!$C$138,0)</f>
        <v>14.4426535583801</v>
      </c>
      <c r="D32" s="123" t="n">
        <f aca="false">IFERROR('Revenue Streams'!O$43/12*IFERROR(D20/D7,0)/'Assumption Setting'!$C$138,0)</f>
        <v>16.0611394013883</v>
      </c>
      <c r="E32" s="123" t="n">
        <f aca="false">IFERROR('Revenue Streams'!AB$43/12*IFERROR(E20/E7,0)/'Assumption Setting'!$C$138,0)</f>
        <v>15.5839683593001</v>
      </c>
      <c r="F32" s="123" t="n">
        <f aca="false">IFERROR('Revenue Streams'!AO$43/12*IFERROR(F20/F7,0)/'Assumption Setting'!$C$138,0)</f>
        <v>15.3552763867916</v>
      </c>
      <c r="G32" s="123" t="n">
        <f aca="false">IFERROR('Revenue Streams'!BB$43/12*IFERROR(G20/G7,0)/'Assumption Setting'!$C$138,0)</f>
        <v>15.1083308193589</v>
      </c>
    </row>
    <row r="33" customFormat="false" ht="15" hidden="false" customHeight="false" outlineLevel="0" collapsed="false">
      <c r="A33" s="18" t="s">
        <v>942</v>
      </c>
      <c r="C33" s="124" t="n">
        <f aca="false">IFERROR(C32/C31,0)</f>
        <v>0.852506489042947</v>
      </c>
      <c r="D33" s="124" t="n">
        <f aca="false">IFERROR(D32/D31,0)</f>
        <v>1.99496935790737</v>
      </c>
      <c r="E33" s="124" t="n">
        <f aca="false">IFERROR(E32/E31,0)</f>
        <v>1.83972836149436</v>
      </c>
      <c r="F33" s="124" t="n">
        <f aca="false">IFERROR(F32/F31,0)</f>
        <v>1.98617226505888</v>
      </c>
      <c r="G33" s="124" t="n">
        <f aca="false">IFERROR(G32/G31,0)</f>
        <v>2.14036584179274</v>
      </c>
    </row>
    <row r="34" customFormat="false" ht="15" hidden="false" customHeight="false" outlineLevel="0" collapsed="false">
      <c r="A34" s="12" t="s">
        <v>668</v>
      </c>
      <c r="B34" s="22" t="s">
        <v>943</v>
      </c>
      <c r="C34" s="120" t="n">
        <f aca="false">IFERROR(Acquisitions!B$152/Acquisitions!B$99,0)</f>
        <v>1776.90107998561</v>
      </c>
      <c r="D34" s="120" t="n">
        <f aca="false">IFERROR(Acquisitions!O$152/Acquisitions!O$99,0)</f>
        <v>2619.19591365783</v>
      </c>
      <c r="E34" s="120" t="n">
        <f aca="false">IFERROR(Acquisitions!AB$152/Acquisitions!AB$99,0)</f>
        <v>3281.48848054654</v>
      </c>
      <c r="F34" s="120" t="n">
        <f aca="false">IFERROR(Acquisitions!AO$152/Acquisitions!AO$99,0)</f>
        <v>3491.00722461636</v>
      </c>
      <c r="G34" s="120" t="n">
        <f aca="false">IFERROR(Acquisitions!BB$152/Acquisitions!BB$99,0)</f>
        <v>3582.08168334417</v>
      </c>
    </row>
    <row r="35" customFormat="false" ht="15" hidden="false" customHeight="false" outlineLevel="0" collapsed="false">
      <c r="A35" s="12" t="s">
        <v>944</v>
      </c>
      <c r="B35" s="22" t="s">
        <v>945</v>
      </c>
      <c r="C35" s="120" t="n">
        <f aca="false">IFERROR('Revenue Streams'!B$37/Acquisitions!B$99,0)</f>
        <v>7317.60314478247</v>
      </c>
      <c r="D35" s="120" t="n">
        <f aca="false">IFERROR('Revenue Streams'!O$37/Acquisitions!O$99,0)</f>
        <v>23492.9757763818</v>
      </c>
      <c r="E35" s="120" t="n">
        <f aca="false">IFERROR('Revenue Streams'!AB$37/Acquisitions!AB$99,0)</f>
        <v>25874.6160992416</v>
      </c>
      <c r="F35" s="120" t="n">
        <f aca="false">IFERROR('Revenue Streams'!AO$37/Acquisitions!AO$99,0)</f>
        <v>30704.1763284448</v>
      </c>
      <c r="G35" s="120" t="n">
        <f aca="false">IFERROR('Revenue Streams'!BB$37/Acquisitions!BB$99,0)</f>
        <v>33721.775398667</v>
      </c>
    </row>
    <row r="36" customFormat="false" ht="15" hidden="false" customHeight="false" outlineLevel="0" collapsed="false">
      <c r="A36" s="18" t="s">
        <v>946</v>
      </c>
      <c r="B36" s="22" t="s">
        <v>947</v>
      </c>
      <c r="C36" s="124" t="n">
        <f aca="false">IFERROR(C35*IFERROR(C20/C7,0)*'Assumption Setting'!$C$209/C34,0)</f>
        <v>5.94774848685791</v>
      </c>
      <c r="D36" s="124" t="n">
        <f aca="false">IFERROR(D35*IFERROR(D20/D7,0)*'Assumption Setting'!$C$209/D34,0)</f>
        <v>14.4060990982136</v>
      </c>
      <c r="E36" s="124" t="n">
        <f aca="false">IFERROR(E35*IFERROR(E20/E7,0)*'Assumption Setting'!$C$209/E34,0)</f>
        <v>12.2879967731125</v>
      </c>
      <c r="F36" s="124" t="n">
        <f aca="false">IFERROR(F35*IFERROR(F20/F7,0)*'Assumption Setting'!$C$209/F34,0)</f>
        <v>13.5053032954942</v>
      </c>
      <c r="G36" s="124" t="n">
        <f aca="false">IFERROR(G35*IFERROR(G20/G7,0)*'Assumption Setting'!$C$209/G34,0)</f>
        <v>14.2230072783694</v>
      </c>
    </row>
    <row r="37" customFormat="false" ht="15" hidden="false" customHeight="false" outlineLevel="0" collapsed="false">
      <c r="A37" s="18" t="s">
        <v>948</v>
      </c>
      <c r="B37" s="22" t="s">
        <v>949</v>
      </c>
      <c r="C37" s="125" t="n">
        <f aca="false">'GTM Capacity and Timing'!N$54</f>
        <v>17.7154481858086</v>
      </c>
      <c r="D37" s="125" t="n">
        <f aca="false">'GTM Capacity and Timing'!AA$54</f>
        <v>23.5154059167725</v>
      </c>
      <c r="E37" s="125" t="n">
        <f aca="false">'GTM Capacity and Timing'!AN$54</f>
        <v>38.6539449366954</v>
      </c>
      <c r="F37" s="125" t="n">
        <f aca="false">'GTM Capacity and Timing'!BA$54</f>
        <v>53.832595955777</v>
      </c>
      <c r="G37" s="125" t="n">
        <f aca="false">'GTM Capacity and Timing'!BN$54</f>
        <v>69.5095579133259</v>
      </c>
    </row>
    <row r="39" customFormat="false" ht="16.5" hidden="false" customHeight="true" outlineLevel="0" collapsed="false">
      <c r="A39" s="15" t="s">
        <v>950</v>
      </c>
      <c r="B39" s="15"/>
      <c r="C39" s="15"/>
      <c r="D39" s="15"/>
      <c r="E39" s="15"/>
      <c r="F39" s="15"/>
      <c r="G39" s="15"/>
      <c r="H39" s="15"/>
      <c r="I39" s="15"/>
      <c r="J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8" t="s">
        <v>91</v>
      </c>
      <c r="C41" s="25" t="n">
        <f aca="false">'Cash Flow Statement'!N$35</f>
        <v>127329.777681178</v>
      </c>
      <c r="D41" s="25" t="n">
        <f aca="false">'Cash Flow Statement'!AA$35</f>
        <v>185024.401768413</v>
      </c>
      <c r="E41" s="25" t="n">
        <f aca="false">'Cash Flow Statement'!AN$35</f>
        <v>310256.966602296</v>
      </c>
      <c r="F41" s="25" t="n">
        <f aca="false">'Cash Flow Statement'!BA$35</f>
        <v>609759.273298992</v>
      </c>
      <c r="G41" s="25" t="n">
        <f aca="false">'Cash Flow Statement'!BN$35</f>
        <v>1079788.04891833</v>
      </c>
    </row>
    <row r="42" customFormat="false" ht="15" hidden="false" customHeight="false" outlineLevel="0" collapsed="false">
      <c r="A42" s="12" t="s">
        <v>92</v>
      </c>
      <c r="C42" s="120" t="n">
        <f aca="false">MIN('Cash Flow Statement'!C$35:N$35)</f>
        <v>13012.157179988</v>
      </c>
      <c r="D42" s="120" t="n">
        <f aca="false">MIN('Cash Flow Statement'!P$35:AA$35)</f>
        <v>91386.1493503378</v>
      </c>
      <c r="E42" s="120" t="n">
        <f aca="false">MIN('Cash Flow Statement'!AC$35:AN$35)</f>
        <v>176570.764299453</v>
      </c>
      <c r="F42" s="120" t="n">
        <f aca="false">MIN('Cash Flow Statement'!AP$35:BA$35)</f>
        <v>319721.012225354</v>
      </c>
      <c r="G42" s="120" t="n">
        <f aca="false">MIN('Cash Flow Statement'!BC$35:BN$35)</f>
        <v>634116.340840597</v>
      </c>
    </row>
    <row r="43" customFormat="false" ht="15" hidden="false" customHeight="false" outlineLevel="0" collapsed="false">
      <c r="A43" s="12" t="s">
        <v>951</v>
      </c>
      <c r="C43" s="120" t="n">
        <f aca="false">'Cash Flow Statement'!B$28</f>
        <v>-60390.2223188221</v>
      </c>
      <c r="D43" s="120" t="n">
        <f aca="false">'Cash Flow Statement'!O$28</f>
        <v>60934.6240872352</v>
      </c>
      <c r="E43" s="120" t="n">
        <f aca="false">'Cash Flow Statement'!AB$28</f>
        <v>138472.564833883</v>
      </c>
      <c r="F43" s="120" t="n">
        <f aca="false">'Cash Flow Statement'!AO$28</f>
        <v>303822.306696695</v>
      </c>
      <c r="G43" s="120" t="n">
        <f aca="false">'Cash Flow Statement'!BB$28</f>
        <v>474348.775619338</v>
      </c>
    </row>
    <row r="44" customFormat="false" ht="15" hidden="false" customHeight="false" outlineLevel="0" collapsed="false">
      <c r="A44" s="18" t="s">
        <v>952</v>
      </c>
      <c r="B44" s="22" t="s">
        <v>953</v>
      </c>
      <c r="C44" s="19" t="n">
        <f aca="false">'Cash Flow Statement'!B$28+'Cash Flow Statement'!B$30</f>
        <v>-72670.2223188221</v>
      </c>
      <c r="D44" s="19" t="n">
        <f aca="false">'Cash Flow Statement'!O$28+'Cash Flow Statement'!O$30</f>
        <v>57694.6240872352</v>
      </c>
      <c r="E44" s="19" t="n">
        <f aca="false">'Cash Flow Statement'!AB$28+'Cash Flow Statement'!AB$30</f>
        <v>125232.564833883</v>
      </c>
      <c r="F44" s="19" t="n">
        <f aca="false">'Cash Flow Statement'!AO$28+'Cash Flow Statement'!AO$30</f>
        <v>299502.306696695</v>
      </c>
      <c r="G44" s="19" t="n">
        <f aca="false">'Cash Flow Statement'!BB$28+'Cash Flow Statement'!BB$30</f>
        <v>470028.775619338</v>
      </c>
    </row>
    <row r="45" customFormat="false" ht="15" hidden="false" customHeight="false" outlineLevel="0" collapsed="false">
      <c r="A45" s="12" t="s">
        <v>954</v>
      </c>
      <c r="C45" s="120" t="n">
        <f aca="false">C44/12</f>
        <v>-6055.85185990184</v>
      </c>
      <c r="D45" s="120" t="n">
        <f aca="false">D44/12</f>
        <v>4807.88534060293</v>
      </c>
      <c r="E45" s="120" t="n">
        <f aca="false">E44/12</f>
        <v>10436.0470694903</v>
      </c>
      <c r="F45" s="120" t="n">
        <f aca="false">F44/12</f>
        <v>24958.525558058</v>
      </c>
      <c r="G45" s="120" t="n">
        <f aca="false">G44/12</f>
        <v>39169.0646349448</v>
      </c>
    </row>
    <row r="46" customFormat="false" ht="15" hidden="false" customHeight="false" outlineLevel="0" collapsed="false">
      <c r="A46" s="12" t="s">
        <v>955</v>
      </c>
      <c r="B46" s="22" t="s">
        <v>956</v>
      </c>
      <c r="C46" s="126" t="n">
        <f aca="false">IF(C44&gt;=0,99,IFERROR(C41/(-C44/12),0))</f>
        <v>21.0259069453594</v>
      </c>
      <c r="D46" s="126" t="n">
        <f aca="false">IF(D44&gt;=0,99,IFERROR(D41/(-D44/12),0))</f>
        <v>99</v>
      </c>
      <c r="E46" s="126" t="n">
        <f aca="false">IF(E44&gt;=0,99,IFERROR(E41/(-E44/12),0))</f>
        <v>99</v>
      </c>
      <c r="F46" s="126" t="n">
        <f aca="false">IF(F44&gt;=0,99,IFERROR(F41/(-F44/12),0))</f>
        <v>99</v>
      </c>
      <c r="G46" s="126" t="n">
        <f aca="false">IF(G44&gt;=0,99,IFERROR(G41/(-G44/12),0))</f>
        <v>99</v>
      </c>
    </row>
    <row r="47" customFormat="false" ht="15" hidden="false" customHeight="false" outlineLevel="0" collapsed="false">
      <c r="A47" s="12" t="s">
        <v>957</v>
      </c>
      <c r="B47" s="22" t="s">
        <v>958</v>
      </c>
      <c r="C47" s="122" t="n">
        <f aca="false">IFERROR('Cash Flow Statement'!N$14/C7*365,0)</f>
        <v>125.692149299837</v>
      </c>
      <c r="D47" s="122" t="n">
        <f aca="false">IFERROR('Cash Flow Statement'!AA$14/D7*365,0)</f>
        <v>93.5516148021855</v>
      </c>
      <c r="E47" s="122" t="n">
        <f aca="false">IFERROR('Cash Flow Statement'!AN$14/E7*365,0)</f>
        <v>92.1325197392051</v>
      </c>
      <c r="F47" s="122" t="n">
        <f aca="false">IFERROR('Cash Flow Statement'!BA$14/F7*365,0)</f>
        <v>85.1388851144993</v>
      </c>
      <c r="G47" s="122" t="n">
        <f aca="false">IFERROR('Cash Flow Statement'!BN$14/G7*365,0)</f>
        <v>82.8751279110223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66</v>
      </c>
    </row>
    <row r="3" customFormat="false" ht="15" hidden="false" customHeight="false" outlineLevel="0" collapsed="false">
      <c r="B3" s="3"/>
      <c r="C3" s="3"/>
    </row>
    <row r="5" customFormat="false" ht="30" hidden="false" customHeight="true" outlineLevel="0" collapsed="false">
      <c r="B5" s="35" t="s">
        <v>959</v>
      </c>
      <c r="C5" s="36" t="s">
        <v>69</v>
      </c>
    </row>
    <row r="6" customFormat="false" ht="30" hidden="false" customHeight="true" outlineLevel="0" collapsed="false">
      <c r="B6" s="35" t="s">
        <v>960</v>
      </c>
      <c r="C6" s="36" t="s">
        <v>71</v>
      </c>
    </row>
    <row r="7" customFormat="false" ht="30" hidden="false" customHeight="true" outlineLevel="0" collapsed="false">
      <c r="B7" s="35" t="s">
        <v>961</v>
      </c>
      <c r="C7" s="36" t="s">
        <v>73</v>
      </c>
    </row>
    <row r="8" customFormat="false" ht="30" hidden="false" customHeight="true" outlineLevel="0" collapsed="false">
      <c r="B8" s="35" t="s">
        <v>962</v>
      </c>
      <c r="C8" s="36" t="s">
        <v>75</v>
      </c>
    </row>
    <row r="9" customFormat="false" ht="30" hidden="false" customHeight="true" outlineLevel="0" collapsed="false">
      <c r="B9" s="35" t="s">
        <v>963</v>
      </c>
      <c r="C9" s="36"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964</v>
      </c>
    </row>
    <row r="2" customFormat="false" ht="13.5" hidden="false" customHeight="true" outlineLevel="0" collapsed="false">
      <c r="A2" s="6" t="s">
        <v>965</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966</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2" t="s">
        <v>967</v>
      </c>
      <c r="C7" s="20" t="n">
        <f aca="false">'Total Revenue'!B$25</f>
        <v>103587.386308824</v>
      </c>
      <c r="D7" s="20" t="n">
        <f aca="false">'Total Revenue'!O$25</f>
        <v>598105.707372232</v>
      </c>
      <c r="E7" s="20" t="n">
        <f aca="false">'Total Revenue'!AB$25</f>
        <v>1085654.37612042</v>
      </c>
      <c r="F7" s="20" t="n">
        <f aca="false">'Total Revenue'!AO$25</f>
        <v>1759671.91303074</v>
      </c>
      <c r="G7" s="20" t="n">
        <f aca="false">'Total Revenue'!BB$25</f>
        <v>2483099.09071608</v>
      </c>
    </row>
    <row r="8" customFormat="false" ht="15" hidden="false" customHeight="false" outlineLevel="0" collapsed="false">
      <c r="A8" s="12" t="s">
        <v>968</v>
      </c>
      <c r="B8" s="22" t="s">
        <v>969</v>
      </c>
      <c r="C8" s="20" t="n">
        <f aca="false">Expenses!B$24</f>
        <v>43744.3169697668</v>
      </c>
      <c r="D8" s="20" t="n">
        <f aca="false">Expenses!O$24</f>
        <v>213855.341657376</v>
      </c>
      <c r="E8" s="20" t="n">
        <f aca="false">Expenses!AB$24</f>
        <v>408902.238256568</v>
      </c>
      <c r="F8" s="20" t="n">
        <f aca="false">Expenses!AO$24</f>
        <v>678861.970044288</v>
      </c>
      <c r="G8" s="20" t="n">
        <f aca="false">Expenses!BB$24</f>
        <v>982479.789924572</v>
      </c>
    </row>
    <row r="9" customFormat="false" ht="15" hidden="false" customHeight="false" outlineLevel="0" collapsed="false">
      <c r="A9" s="18" t="s">
        <v>970</v>
      </c>
      <c r="C9" s="19" t="n">
        <f aca="false">C7-C8</f>
        <v>59843.0693390569</v>
      </c>
      <c r="D9" s="19" t="n">
        <f aca="false">D7-D8</f>
        <v>384250.365714855</v>
      </c>
      <c r="E9" s="19" t="n">
        <f aca="false">E7-E8</f>
        <v>676752.137863852</v>
      </c>
      <c r="F9" s="19" t="n">
        <f aca="false">F7-F8</f>
        <v>1080809.94298645</v>
      </c>
      <c r="G9" s="19" t="n">
        <f aca="false">G7-G8</f>
        <v>1500619.30079151</v>
      </c>
    </row>
    <row r="10" customFormat="false" ht="15" hidden="false" customHeight="false" outlineLevel="0" collapsed="false">
      <c r="A10" s="18" t="s">
        <v>971</v>
      </c>
      <c r="C10" s="55" t="n">
        <f aca="false">IFERROR(C9/C7,0)</f>
        <v>0.577706142335203</v>
      </c>
      <c r="D10" s="55" t="n">
        <f aca="false">IFERROR(D9/D7,0)</f>
        <v>0.642445576055533</v>
      </c>
      <c r="E10" s="55" t="n">
        <f aca="false">IFERROR(E9/E7,0)</f>
        <v>0.623358734372004</v>
      </c>
      <c r="F10" s="55" t="n">
        <f aca="false">IFERROR(F9/F7,0)</f>
        <v>0.614211055471663</v>
      </c>
      <c r="G10" s="55" t="n">
        <f aca="false">IFERROR(G9/G7,0)</f>
        <v>0.604333232774354</v>
      </c>
    </row>
    <row r="11" customFormat="false" ht="15" hidden="false" customHeight="false" outlineLevel="0" collapsed="false">
      <c r="A11" s="12" t="s">
        <v>972</v>
      </c>
      <c r="B11" s="22" t="s">
        <v>973</v>
      </c>
      <c r="C11" s="20" t="n">
        <f aca="false">Expenses!B$47</f>
        <v>104680.62542097</v>
      </c>
      <c r="D11" s="20" t="n">
        <f aca="false">Expenses!O$47</f>
        <v>257958.924143698</v>
      </c>
      <c r="E11" s="20" t="n">
        <f aca="false">Expenses!AB$47</f>
        <v>462436.795687127</v>
      </c>
      <c r="F11" s="20" t="n">
        <f aca="false">Expenses!AO$47</f>
        <v>663388.880188713</v>
      </c>
      <c r="G11" s="20" t="n">
        <f aca="false">Expenses!BB$47</f>
        <v>857984.512915887</v>
      </c>
    </row>
    <row r="12" customFormat="false" ht="15" hidden="false" customHeight="false" outlineLevel="0" collapsed="false">
      <c r="A12" s="18" t="s">
        <v>974</v>
      </c>
      <c r="B12" s="22" t="s">
        <v>975</v>
      </c>
      <c r="C12" s="119" t="n">
        <f aca="false">IFERROR(C11/C10,0)</f>
        <v>181200.471571638</v>
      </c>
      <c r="D12" s="119" t="n">
        <f aca="false">IFERROR(D11/D10,0)</f>
        <v>401526.500855538</v>
      </c>
      <c r="E12" s="119" t="n">
        <f aca="false">IFERROR(E11/E10,0)</f>
        <v>741846.981823403</v>
      </c>
      <c r="F12" s="119" t="n">
        <f aca="false">IFERROR(F11/F10,0)</f>
        <v>1080066.65506743</v>
      </c>
      <c r="G12" s="119" t="n">
        <f aca="false">IFERROR(G11/G10,0)</f>
        <v>1419720.88640083</v>
      </c>
    </row>
    <row r="13" customFormat="false" ht="15" hidden="false" customHeight="false" outlineLevel="0" collapsed="false">
      <c r="A13" s="12" t="s">
        <v>976</v>
      </c>
      <c r="C13" s="120" t="n">
        <f aca="false">C12/12</f>
        <v>15100.0392976365</v>
      </c>
      <c r="D13" s="120" t="n">
        <f aca="false">D12/12</f>
        <v>33460.5417379615</v>
      </c>
      <c r="E13" s="120" t="n">
        <f aca="false">E12/12</f>
        <v>61820.5818186169</v>
      </c>
      <c r="F13" s="120" t="n">
        <f aca="false">F12/12</f>
        <v>90005.5545889523</v>
      </c>
      <c r="G13" s="120" t="n">
        <f aca="false">G12/12</f>
        <v>118310.073866736</v>
      </c>
    </row>
    <row r="14" customFormat="false" ht="15" hidden="false" customHeight="false" outlineLevel="0" collapsed="false">
      <c r="A14" s="18" t="s">
        <v>977</v>
      </c>
      <c r="B14" s="22" t="s">
        <v>978</v>
      </c>
      <c r="C14" s="55" t="n">
        <f aca="false">IFERROR((C7-C12)/C7,0)</f>
        <v>-0.74925227895438</v>
      </c>
      <c r="D14" s="55" t="n">
        <f aca="false">IFERROR((D7-D12)/D7,0)</f>
        <v>0.328669671754784</v>
      </c>
      <c r="E14" s="55" t="n">
        <f aca="false">IFERROR((E7-E12)/E7,0)</f>
        <v>0.316682179761124</v>
      </c>
      <c r="F14" s="55" t="n">
        <f aca="false">IFERROR((F7-F12)/F7,0)</f>
        <v>0.386211345950737</v>
      </c>
      <c r="G14" s="55" t="n">
        <f aca="false">IFERROR((G7-G12)/G7,0)</f>
        <v>0.428246383034431</v>
      </c>
    </row>
    <row r="15" customFormat="false" ht="15" hidden="false" customHeight="false" outlineLevel="0" collapsed="false">
      <c r="A15" s="12" t="s">
        <v>979</v>
      </c>
      <c r="B15" s="22" t="s">
        <v>980</v>
      </c>
      <c r="C15" s="122" t="n">
        <f aca="false">IFERROR(C12/'Assumption Setting'!$C$122,0)</f>
        <v>51.7715633061822</v>
      </c>
      <c r="D15" s="122" t="n">
        <f aca="false">IFERROR(D12/'Assumption Setting'!$D$122,0)</f>
        <v>105.664868646194</v>
      </c>
      <c r="E15" s="122" t="n">
        <f aca="false">IFERROR(E12/'Assumption Setting'!$E$122,0)</f>
        <v>176.630233767477</v>
      </c>
      <c r="F15" s="122" t="n">
        <f aca="false">IFERROR(F12/'Assumption Setting'!$F$122,0)</f>
        <v>240.014812237206</v>
      </c>
      <c r="G15" s="122" t="n">
        <f aca="false">IFERROR(G12/'Assumption Setting'!$G$122,0)</f>
        <v>295.77518466684</v>
      </c>
    </row>
    <row r="16" customFormat="false" ht="15" hidden="false" customHeight="false" outlineLevel="0" collapsed="false">
      <c r="A16" s="12" t="s">
        <v>981</v>
      </c>
      <c r="B16" s="22" t="s">
        <v>982</v>
      </c>
      <c r="C16" s="21" t="n">
        <f aca="false">'Revenue Streams'!B$21</f>
        <v>20.6106814542812</v>
      </c>
      <c r="D16" s="21" t="n">
        <f aca="false">'Revenue Streams'!O$21</f>
        <v>66.0546646581071</v>
      </c>
      <c r="E16" s="21" t="n">
        <f aca="false">'Revenue Streams'!AB$21</f>
        <v>107.287880957002</v>
      </c>
      <c r="F16" s="21" t="n">
        <f aca="false">'Revenue Streams'!AO$21</f>
        <v>162.02277007727</v>
      </c>
      <c r="G16" s="21" t="n">
        <f aca="false">'Revenue Streams'!BB$21</f>
        <v>214.786496011604</v>
      </c>
    </row>
    <row r="18" customFormat="false" ht="16.5" hidden="false" customHeight="true" outlineLevel="0" collapsed="false">
      <c r="A18" s="15" t="s">
        <v>983</v>
      </c>
      <c r="B18" s="15"/>
      <c r="C18" s="15"/>
      <c r="D18" s="15"/>
      <c r="E18" s="15"/>
      <c r="F18" s="15"/>
      <c r="G18" s="15"/>
      <c r="H18" s="15"/>
      <c r="I18" s="15"/>
      <c r="J18" s="15"/>
    </row>
    <row r="19" customFormat="false" ht="15" hidden="false" customHeight="false" outlineLevel="0" collapsed="false">
      <c r="C19" s="127" t="s">
        <v>984</v>
      </c>
      <c r="D19" s="127" t="s">
        <v>985</v>
      </c>
    </row>
    <row r="20" customFormat="false" ht="15" hidden="true" customHeight="false" outlineLevel="0" collapsed="false">
      <c r="A20" s="37" t="s">
        <v>986</v>
      </c>
      <c r="C20" s="128" t="s">
        <v>482</v>
      </c>
      <c r="D20" s="128" t="s">
        <v>483</v>
      </c>
      <c r="E20" s="128" t="s">
        <v>484</v>
      </c>
      <c r="F20" s="128" t="s">
        <v>485</v>
      </c>
      <c r="G20" s="128" t="s">
        <v>486</v>
      </c>
      <c r="H20" s="128" t="s">
        <v>487</v>
      </c>
      <c r="I20" s="128" t="s">
        <v>488</v>
      </c>
      <c r="J20" s="128" t="s">
        <v>489</v>
      </c>
      <c r="K20" s="128" t="s">
        <v>490</v>
      </c>
      <c r="L20" s="128" t="s">
        <v>491</v>
      </c>
      <c r="M20" s="128" t="s">
        <v>492</v>
      </c>
      <c r="N20" s="128" t="s">
        <v>493</v>
      </c>
      <c r="P20" s="128" t="s">
        <v>494</v>
      </c>
      <c r="Q20" s="128" t="s">
        <v>495</v>
      </c>
      <c r="R20" s="128" t="s">
        <v>496</v>
      </c>
      <c r="S20" s="128" t="s">
        <v>497</v>
      </c>
      <c r="T20" s="128" t="s">
        <v>498</v>
      </c>
      <c r="U20" s="128" t="s">
        <v>499</v>
      </c>
      <c r="V20" s="128" t="s">
        <v>500</v>
      </c>
      <c r="W20" s="128" t="s">
        <v>501</v>
      </c>
      <c r="X20" s="128" t="s">
        <v>502</v>
      </c>
      <c r="Y20" s="128" t="s">
        <v>503</v>
      </c>
      <c r="Z20" s="128" t="s">
        <v>504</v>
      </c>
      <c r="AA20" s="128" t="s">
        <v>505</v>
      </c>
      <c r="AC20" s="128" t="s">
        <v>506</v>
      </c>
      <c r="AD20" s="128" t="s">
        <v>507</v>
      </c>
      <c r="AE20" s="128" t="s">
        <v>508</v>
      </c>
      <c r="AF20" s="128" t="s">
        <v>509</v>
      </c>
      <c r="AG20" s="128" t="s">
        <v>510</v>
      </c>
      <c r="AH20" s="128" t="s">
        <v>511</v>
      </c>
      <c r="AI20" s="128" t="s">
        <v>512</v>
      </c>
      <c r="AJ20" s="128" t="s">
        <v>513</v>
      </c>
      <c r="AK20" s="128" t="s">
        <v>514</v>
      </c>
      <c r="AL20" s="128" t="s">
        <v>515</v>
      </c>
      <c r="AM20" s="128" t="s">
        <v>516</v>
      </c>
      <c r="AN20" s="128" t="s">
        <v>517</v>
      </c>
      <c r="AP20" s="128" t="s">
        <v>518</v>
      </c>
      <c r="AQ20" s="128" t="s">
        <v>519</v>
      </c>
      <c r="AR20" s="128" t="s">
        <v>520</v>
      </c>
      <c r="AS20" s="128" t="s">
        <v>521</v>
      </c>
      <c r="AT20" s="128" t="s">
        <v>522</v>
      </c>
      <c r="AU20" s="128" t="s">
        <v>523</v>
      </c>
      <c r="AV20" s="128" t="s">
        <v>524</v>
      </c>
      <c r="AW20" s="128" t="s">
        <v>525</v>
      </c>
      <c r="AX20" s="128" t="s">
        <v>526</v>
      </c>
      <c r="AY20" s="128" t="s">
        <v>527</v>
      </c>
      <c r="AZ20" s="128" t="s">
        <v>528</v>
      </c>
      <c r="BA20" s="128" t="s">
        <v>529</v>
      </c>
      <c r="BC20" s="128" t="s">
        <v>530</v>
      </c>
      <c r="BD20" s="128" t="s">
        <v>531</v>
      </c>
      <c r="BE20" s="128" t="s">
        <v>532</v>
      </c>
      <c r="BF20" s="128" t="s">
        <v>533</v>
      </c>
      <c r="BG20" s="128" t="s">
        <v>534</v>
      </c>
      <c r="BH20" s="128" t="s">
        <v>535</v>
      </c>
      <c r="BI20" s="128" t="s">
        <v>536</v>
      </c>
      <c r="BJ20" s="128" t="s">
        <v>537</v>
      </c>
      <c r="BK20" s="128" t="s">
        <v>538</v>
      </c>
      <c r="BL20" s="128" t="s">
        <v>539</v>
      </c>
      <c r="BM20" s="128" t="s">
        <v>540</v>
      </c>
      <c r="BN20" s="128" t="s">
        <v>541</v>
      </c>
    </row>
    <row r="21" customFormat="false" ht="15" hidden="true" customHeight="false" outlineLevel="0" collapsed="false">
      <c r="A21" s="12" t="s">
        <v>987</v>
      </c>
      <c r="C21" s="79" t="n">
        <f aca="false">IF(Expenses!C$52&gt;0,1,9999)</f>
        <v>9999</v>
      </c>
      <c r="D21" s="79" t="n">
        <f aca="false">IF(Expenses!D$52&gt;0,2,9999)</f>
        <v>9999</v>
      </c>
      <c r="E21" s="79" t="n">
        <f aca="false">IF(Expenses!E$52&gt;0,3,9999)</f>
        <v>9999</v>
      </c>
      <c r="F21" s="79" t="n">
        <f aca="false">IF(Expenses!F$52&gt;0,4,9999)</f>
        <v>9999</v>
      </c>
      <c r="G21" s="79" t="n">
        <f aca="false">IF(Expenses!G$52&gt;0,5,9999)</f>
        <v>9999</v>
      </c>
      <c r="H21" s="79" t="n">
        <f aca="false">IF(Expenses!H$52&gt;0,6,9999)</f>
        <v>9999</v>
      </c>
      <c r="I21" s="79" t="n">
        <f aca="false">IF(Expenses!I$52&gt;0,7,9999)</f>
        <v>9999</v>
      </c>
      <c r="J21" s="79" t="n">
        <f aca="false">IF(Expenses!J$52&gt;0,8,9999)</f>
        <v>9999</v>
      </c>
      <c r="K21" s="79" t="n">
        <f aca="false">IF(Expenses!K$52&gt;0,9,9999)</f>
        <v>9999</v>
      </c>
      <c r="L21" s="79" t="n">
        <f aca="false">IF(Expenses!L$52&gt;0,10,9999)</f>
        <v>9999</v>
      </c>
      <c r="M21" s="79" t="n">
        <f aca="false">IF(Expenses!M$52&gt;0,11,9999)</f>
        <v>9999</v>
      </c>
      <c r="N21" s="79" t="n">
        <f aca="false">IF(Expenses!N$52&gt;0,12,9999)</f>
        <v>12</v>
      </c>
      <c r="P21" s="79" t="n">
        <f aca="false">IF(Expenses!P$52&gt;0,13,9999)</f>
        <v>13</v>
      </c>
      <c r="Q21" s="79" t="n">
        <f aca="false">IF(Expenses!Q$52&gt;0,14,9999)</f>
        <v>14</v>
      </c>
      <c r="R21" s="79" t="n">
        <f aca="false">IF(Expenses!R$52&gt;0,15,9999)</f>
        <v>15</v>
      </c>
      <c r="S21" s="79" t="n">
        <f aca="false">IF(Expenses!S$52&gt;0,16,9999)</f>
        <v>16</v>
      </c>
      <c r="T21" s="79" t="n">
        <f aca="false">IF(Expenses!T$52&gt;0,17,9999)</f>
        <v>17</v>
      </c>
      <c r="U21" s="79" t="n">
        <f aca="false">IF(Expenses!U$52&gt;0,18,9999)</f>
        <v>18</v>
      </c>
      <c r="V21" s="79" t="n">
        <f aca="false">IF(Expenses!V$52&gt;0,19,9999)</f>
        <v>19</v>
      </c>
      <c r="W21" s="79" t="n">
        <f aca="false">IF(Expenses!W$52&gt;0,20,9999)</f>
        <v>20</v>
      </c>
      <c r="X21" s="79" t="n">
        <f aca="false">IF(Expenses!X$52&gt;0,21,9999)</f>
        <v>21</v>
      </c>
      <c r="Y21" s="79" t="n">
        <f aca="false">IF(Expenses!Y$52&gt;0,22,9999)</f>
        <v>22</v>
      </c>
      <c r="Z21" s="79" t="n">
        <f aca="false">IF(Expenses!Z$52&gt;0,23,9999)</f>
        <v>23</v>
      </c>
      <c r="AA21" s="79" t="n">
        <f aca="false">IF(Expenses!AA$52&gt;0,24,9999)</f>
        <v>24</v>
      </c>
      <c r="AC21" s="79" t="n">
        <f aca="false">IF(Expenses!AC$52&gt;0,25,9999)</f>
        <v>25</v>
      </c>
      <c r="AD21" s="79" t="n">
        <f aca="false">IF(Expenses!AD$52&gt;0,26,9999)</f>
        <v>26</v>
      </c>
      <c r="AE21" s="79" t="n">
        <f aca="false">IF(Expenses!AE$52&gt;0,27,9999)</f>
        <v>27</v>
      </c>
      <c r="AF21" s="79" t="n">
        <f aca="false">IF(Expenses!AF$52&gt;0,28,9999)</f>
        <v>28</v>
      </c>
      <c r="AG21" s="79" t="n">
        <f aca="false">IF(Expenses!AG$52&gt;0,29,9999)</f>
        <v>29</v>
      </c>
      <c r="AH21" s="79" t="n">
        <f aca="false">IF(Expenses!AH$52&gt;0,30,9999)</f>
        <v>30</v>
      </c>
      <c r="AI21" s="79" t="n">
        <f aca="false">IF(Expenses!AI$52&gt;0,31,9999)</f>
        <v>31</v>
      </c>
      <c r="AJ21" s="79" t="n">
        <f aca="false">IF(Expenses!AJ$52&gt;0,32,9999)</f>
        <v>32</v>
      </c>
      <c r="AK21" s="79" t="n">
        <f aca="false">IF(Expenses!AK$52&gt;0,33,9999)</f>
        <v>33</v>
      </c>
      <c r="AL21" s="79" t="n">
        <f aca="false">IF(Expenses!AL$52&gt;0,34,9999)</f>
        <v>34</v>
      </c>
      <c r="AM21" s="79" t="n">
        <f aca="false">IF(Expenses!AM$52&gt;0,35,9999)</f>
        <v>35</v>
      </c>
      <c r="AN21" s="79" t="n">
        <f aca="false">IF(Expenses!AN$52&gt;0,36,9999)</f>
        <v>36</v>
      </c>
      <c r="AP21" s="79" t="n">
        <f aca="false">IF(Expenses!AP$52&gt;0,37,9999)</f>
        <v>37</v>
      </c>
      <c r="AQ21" s="79" t="n">
        <f aca="false">IF(Expenses!AQ$52&gt;0,38,9999)</f>
        <v>38</v>
      </c>
      <c r="AR21" s="79" t="n">
        <f aca="false">IF(Expenses!AR$52&gt;0,39,9999)</f>
        <v>39</v>
      </c>
      <c r="AS21" s="79" t="n">
        <f aca="false">IF(Expenses!AS$52&gt;0,40,9999)</f>
        <v>40</v>
      </c>
      <c r="AT21" s="79" t="n">
        <f aca="false">IF(Expenses!AT$52&gt;0,41,9999)</f>
        <v>41</v>
      </c>
      <c r="AU21" s="79" t="n">
        <f aca="false">IF(Expenses!AU$52&gt;0,42,9999)</f>
        <v>42</v>
      </c>
      <c r="AV21" s="79" t="n">
        <f aca="false">IF(Expenses!AV$52&gt;0,43,9999)</f>
        <v>43</v>
      </c>
      <c r="AW21" s="79" t="n">
        <f aca="false">IF(Expenses!AW$52&gt;0,44,9999)</f>
        <v>44</v>
      </c>
      <c r="AX21" s="79" t="n">
        <f aca="false">IF(Expenses!AX$52&gt;0,45,9999)</f>
        <v>45</v>
      </c>
      <c r="AY21" s="79" t="n">
        <f aca="false">IF(Expenses!AY$52&gt;0,46,9999)</f>
        <v>46</v>
      </c>
      <c r="AZ21" s="79" t="n">
        <f aca="false">IF(Expenses!AZ$52&gt;0,47,9999)</f>
        <v>47</v>
      </c>
      <c r="BA21" s="79" t="n">
        <f aca="false">IF(Expenses!BA$52&gt;0,48,9999)</f>
        <v>48</v>
      </c>
      <c r="BC21" s="79" t="n">
        <f aca="false">IF(Expenses!BC$52&gt;0,49,9999)</f>
        <v>49</v>
      </c>
      <c r="BD21" s="79" t="n">
        <f aca="false">IF(Expenses!BD$52&gt;0,50,9999)</f>
        <v>50</v>
      </c>
      <c r="BE21" s="79" t="n">
        <f aca="false">IF(Expenses!BE$52&gt;0,51,9999)</f>
        <v>51</v>
      </c>
      <c r="BF21" s="79" t="n">
        <f aca="false">IF(Expenses!BF$52&gt;0,52,9999)</f>
        <v>52</v>
      </c>
      <c r="BG21" s="79" t="n">
        <f aca="false">IF(Expenses!BG$52&gt;0,53,9999)</f>
        <v>53</v>
      </c>
      <c r="BH21" s="79" t="n">
        <f aca="false">IF(Expenses!BH$52&gt;0,54,9999)</f>
        <v>54</v>
      </c>
      <c r="BI21" s="79" t="n">
        <f aca="false">IF(Expenses!BI$52&gt;0,55,9999)</f>
        <v>55</v>
      </c>
      <c r="BJ21" s="79" t="n">
        <f aca="false">IF(Expenses!BJ$52&gt;0,56,9999)</f>
        <v>56</v>
      </c>
      <c r="BK21" s="79" t="n">
        <f aca="false">IF(Expenses!BK$52&gt;0,57,9999)</f>
        <v>57</v>
      </c>
      <c r="BL21" s="79" t="n">
        <f aca="false">IF(Expenses!BL$52&gt;0,58,9999)</f>
        <v>58</v>
      </c>
      <c r="BM21" s="79" t="n">
        <f aca="false">IF(Expenses!BM$52&gt;0,59,9999)</f>
        <v>59</v>
      </c>
      <c r="BN21" s="79" t="n">
        <f aca="false">IF(Expenses!BN$52&gt;0,60,9999)</f>
        <v>60</v>
      </c>
    </row>
    <row r="22" customFormat="false" ht="15" hidden="true" customHeight="false" outlineLevel="0" collapsed="false">
      <c r="A22" s="12" t="s">
        <v>988</v>
      </c>
      <c r="C22" s="79" t="n">
        <f aca="false">IF('Cash Flow Statement'!C$28&gt;0,1,9999)</f>
        <v>9999</v>
      </c>
      <c r="D22" s="79" t="n">
        <f aca="false">IF('Cash Flow Statement'!D$28&gt;0,2,9999)</f>
        <v>9999</v>
      </c>
      <c r="E22" s="79" t="n">
        <f aca="false">IF('Cash Flow Statement'!E$28&gt;0,3,9999)</f>
        <v>9999</v>
      </c>
      <c r="F22" s="79" t="n">
        <f aca="false">IF('Cash Flow Statement'!F$28&gt;0,4,9999)</f>
        <v>9999</v>
      </c>
      <c r="G22" s="79" t="n">
        <f aca="false">IF('Cash Flow Statement'!G$28&gt;0,5,9999)</f>
        <v>9999</v>
      </c>
      <c r="H22" s="79" t="n">
        <f aca="false">IF('Cash Flow Statement'!H$28&gt;0,6,9999)</f>
        <v>9999</v>
      </c>
      <c r="I22" s="79" t="n">
        <f aca="false">IF('Cash Flow Statement'!I$28&gt;0,7,9999)</f>
        <v>9999</v>
      </c>
      <c r="J22" s="79" t="n">
        <f aca="false">IF('Cash Flow Statement'!J$28&gt;0,8,9999)</f>
        <v>9999</v>
      </c>
      <c r="K22" s="79" t="n">
        <f aca="false">IF('Cash Flow Statement'!K$28&gt;0,9,9999)</f>
        <v>9999</v>
      </c>
      <c r="L22" s="79" t="n">
        <f aca="false">IF('Cash Flow Statement'!L$28&gt;0,10,9999)</f>
        <v>9999</v>
      </c>
      <c r="M22" s="79" t="n">
        <f aca="false">IF('Cash Flow Statement'!M$28&gt;0,11,9999)</f>
        <v>9999</v>
      </c>
      <c r="N22" s="79" t="n">
        <f aca="false">IF('Cash Flow Statement'!N$28&gt;0,12,9999)</f>
        <v>9999</v>
      </c>
      <c r="P22" s="79" t="n">
        <f aca="false">IF('Cash Flow Statement'!P$28&gt;0,13,9999)</f>
        <v>9999</v>
      </c>
      <c r="Q22" s="79" t="n">
        <f aca="false">IF('Cash Flow Statement'!Q$28&gt;0,14,9999)</f>
        <v>14</v>
      </c>
      <c r="R22" s="79" t="n">
        <f aca="false">IF('Cash Flow Statement'!R$28&gt;0,15,9999)</f>
        <v>15</v>
      </c>
      <c r="S22" s="79" t="n">
        <f aca="false">IF('Cash Flow Statement'!S$28&gt;0,16,9999)</f>
        <v>16</v>
      </c>
      <c r="T22" s="79" t="n">
        <f aca="false">IF('Cash Flow Statement'!T$28&gt;0,17,9999)</f>
        <v>17</v>
      </c>
      <c r="U22" s="79" t="n">
        <f aca="false">IF('Cash Flow Statement'!U$28&gt;0,18,9999)</f>
        <v>18</v>
      </c>
      <c r="V22" s="79" t="n">
        <f aca="false">IF('Cash Flow Statement'!V$28&gt;0,19,9999)</f>
        <v>19</v>
      </c>
      <c r="W22" s="79" t="n">
        <f aca="false">IF('Cash Flow Statement'!W$28&gt;0,20,9999)</f>
        <v>20</v>
      </c>
      <c r="X22" s="79" t="n">
        <f aca="false">IF('Cash Flow Statement'!X$28&gt;0,21,9999)</f>
        <v>21</v>
      </c>
      <c r="Y22" s="79" t="n">
        <f aca="false">IF('Cash Flow Statement'!Y$28&gt;0,22,9999)</f>
        <v>22</v>
      </c>
      <c r="Z22" s="79" t="n">
        <f aca="false">IF('Cash Flow Statement'!Z$28&gt;0,23,9999)</f>
        <v>23</v>
      </c>
      <c r="AA22" s="79" t="n">
        <f aca="false">IF('Cash Flow Statement'!AA$28&gt;0,24,9999)</f>
        <v>24</v>
      </c>
      <c r="AC22" s="79" t="n">
        <f aca="false">IF('Cash Flow Statement'!AC$28&gt;0,25,9999)</f>
        <v>25</v>
      </c>
      <c r="AD22" s="79" t="n">
        <f aca="false">IF('Cash Flow Statement'!AD$28&gt;0,26,9999)</f>
        <v>26</v>
      </c>
      <c r="AE22" s="79" t="n">
        <f aca="false">IF('Cash Flow Statement'!AE$28&gt;0,27,9999)</f>
        <v>27</v>
      </c>
      <c r="AF22" s="79" t="n">
        <f aca="false">IF('Cash Flow Statement'!AF$28&gt;0,28,9999)</f>
        <v>9999</v>
      </c>
      <c r="AG22" s="79" t="n">
        <f aca="false">IF('Cash Flow Statement'!AG$28&gt;0,29,9999)</f>
        <v>29</v>
      </c>
      <c r="AH22" s="79" t="n">
        <f aca="false">IF('Cash Flow Statement'!AH$28&gt;0,30,9999)</f>
        <v>30</v>
      </c>
      <c r="AI22" s="79" t="n">
        <f aca="false">IF('Cash Flow Statement'!AI$28&gt;0,31,9999)</f>
        <v>31</v>
      </c>
      <c r="AJ22" s="79" t="n">
        <f aca="false">IF('Cash Flow Statement'!AJ$28&gt;0,32,9999)</f>
        <v>32</v>
      </c>
      <c r="AK22" s="79" t="n">
        <f aca="false">IF('Cash Flow Statement'!AK$28&gt;0,33,9999)</f>
        <v>33</v>
      </c>
      <c r="AL22" s="79" t="n">
        <f aca="false">IF('Cash Flow Statement'!AL$28&gt;0,34,9999)</f>
        <v>34</v>
      </c>
      <c r="AM22" s="79" t="n">
        <f aca="false">IF('Cash Flow Statement'!AM$28&gt;0,35,9999)</f>
        <v>35</v>
      </c>
      <c r="AN22" s="79" t="n">
        <f aca="false">IF('Cash Flow Statement'!AN$28&gt;0,36,9999)</f>
        <v>36</v>
      </c>
      <c r="AP22" s="79" t="n">
        <f aca="false">IF('Cash Flow Statement'!AP$28&gt;0,37,9999)</f>
        <v>37</v>
      </c>
      <c r="AQ22" s="79" t="n">
        <f aca="false">IF('Cash Flow Statement'!AQ$28&gt;0,38,9999)</f>
        <v>38</v>
      </c>
      <c r="AR22" s="79" t="n">
        <f aca="false">IF('Cash Flow Statement'!AR$28&gt;0,39,9999)</f>
        <v>39</v>
      </c>
      <c r="AS22" s="79" t="n">
        <f aca="false">IF('Cash Flow Statement'!AS$28&gt;0,40,9999)</f>
        <v>9999</v>
      </c>
      <c r="AT22" s="79" t="n">
        <f aca="false">IF('Cash Flow Statement'!AT$28&gt;0,41,9999)</f>
        <v>41</v>
      </c>
      <c r="AU22" s="79" t="n">
        <f aca="false">IF('Cash Flow Statement'!AU$28&gt;0,42,9999)</f>
        <v>42</v>
      </c>
      <c r="AV22" s="79" t="n">
        <f aca="false">IF('Cash Flow Statement'!AV$28&gt;0,43,9999)</f>
        <v>43</v>
      </c>
      <c r="AW22" s="79" t="n">
        <f aca="false">IF('Cash Flow Statement'!AW$28&gt;0,44,9999)</f>
        <v>44</v>
      </c>
      <c r="AX22" s="79" t="n">
        <f aca="false">IF('Cash Flow Statement'!AX$28&gt;0,45,9999)</f>
        <v>45</v>
      </c>
      <c r="AY22" s="79" t="n">
        <f aca="false">IF('Cash Flow Statement'!AY$28&gt;0,46,9999)</f>
        <v>46</v>
      </c>
      <c r="AZ22" s="79" t="n">
        <f aca="false">IF('Cash Flow Statement'!AZ$28&gt;0,47,9999)</f>
        <v>47</v>
      </c>
      <c r="BA22" s="79" t="n">
        <f aca="false">IF('Cash Flow Statement'!BA$28&gt;0,48,9999)</f>
        <v>48</v>
      </c>
      <c r="BC22" s="79" t="n">
        <f aca="false">IF('Cash Flow Statement'!BC$28&gt;0,49,9999)</f>
        <v>49</v>
      </c>
      <c r="BD22" s="79" t="n">
        <f aca="false">IF('Cash Flow Statement'!BD$28&gt;0,50,9999)</f>
        <v>50</v>
      </c>
      <c r="BE22" s="79" t="n">
        <f aca="false">IF('Cash Flow Statement'!BE$28&gt;0,51,9999)</f>
        <v>51</v>
      </c>
      <c r="BF22" s="79" t="n">
        <f aca="false">IF('Cash Flow Statement'!BF$28&gt;0,52,9999)</f>
        <v>9999</v>
      </c>
      <c r="BG22" s="79" t="n">
        <f aca="false">IF('Cash Flow Statement'!BG$28&gt;0,53,9999)</f>
        <v>53</v>
      </c>
      <c r="BH22" s="79" t="n">
        <f aca="false">IF('Cash Flow Statement'!BH$28&gt;0,54,9999)</f>
        <v>54</v>
      </c>
      <c r="BI22" s="79" t="n">
        <f aca="false">IF('Cash Flow Statement'!BI$28&gt;0,55,9999)</f>
        <v>55</v>
      </c>
      <c r="BJ22" s="79" t="n">
        <f aca="false">IF('Cash Flow Statement'!BJ$28&gt;0,56,9999)</f>
        <v>56</v>
      </c>
      <c r="BK22" s="79" t="n">
        <f aca="false">IF('Cash Flow Statement'!BK$28&gt;0,57,9999)</f>
        <v>57</v>
      </c>
      <c r="BL22" s="79" t="n">
        <f aca="false">IF('Cash Flow Statement'!BL$28&gt;0,58,9999)</f>
        <v>58</v>
      </c>
      <c r="BM22" s="79" t="n">
        <f aca="false">IF('Cash Flow Statement'!BM$28&gt;0,59,9999)</f>
        <v>59</v>
      </c>
      <c r="BN22" s="79" t="n">
        <f aca="false">IF('Cash Flow Statement'!BN$28&gt;0,60,9999)</f>
        <v>60</v>
      </c>
    </row>
    <row r="23" customFormat="false" ht="15" hidden="true" customHeight="false" outlineLevel="0" collapsed="false">
      <c r="A23" s="12" t="s">
        <v>989</v>
      </c>
      <c r="C23" s="79" t="n">
        <f aca="false">IF('Cash Flow Statement'!C$35=MIN('Cash Flow Statement'!C$35:N$35,'Cash Flow Statement'!P$35:AA$35,'Cash Flow Statement'!AC$35:AN$35,'Cash Flow Statement'!AP$35:BA$35,'Cash Flow Statement'!BC$35:BN$35),1,9999)</f>
        <v>9999</v>
      </c>
      <c r="D23" s="79" t="n">
        <f aca="false">IF('Cash Flow Statement'!D$35=MIN('Cash Flow Statement'!C$35:N$35,'Cash Flow Statement'!P$35:AA$35,'Cash Flow Statement'!AC$35:AN$35,'Cash Flow Statement'!AP$35:BA$35,'Cash Flow Statement'!BC$35:BN$35),2,9999)</f>
        <v>9999</v>
      </c>
      <c r="E23" s="79" t="n">
        <f aca="false">IF('Cash Flow Statement'!E$35=MIN('Cash Flow Statement'!C$35:N$35,'Cash Flow Statement'!P$35:AA$35,'Cash Flow Statement'!AC$35:AN$35,'Cash Flow Statement'!AP$35:BA$35,'Cash Flow Statement'!BC$35:BN$35),3,9999)</f>
        <v>3</v>
      </c>
      <c r="F23" s="79" t="n">
        <f aca="false">IF('Cash Flow Statement'!F$35=MIN('Cash Flow Statement'!C$35:N$35,'Cash Flow Statement'!P$35:AA$35,'Cash Flow Statement'!AC$35:AN$35,'Cash Flow Statement'!AP$35:BA$35,'Cash Flow Statement'!BC$35:BN$35),4,9999)</f>
        <v>9999</v>
      </c>
      <c r="G23" s="79" t="n">
        <f aca="false">IF('Cash Flow Statement'!G$35=MIN('Cash Flow Statement'!C$35:N$35,'Cash Flow Statement'!P$35:AA$35,'Cash Flow Statement'!AC$35:AN$35,'Cash Flow Statement'!AP$35:BA$35,'Cash Flow Statement'!BC$35:BN$35),5,9999)</f>
        <v>9999</v>
      </c>
      <c r="H23" s="79" t="n">
        <f aca="false">IF('Cash Flow Statement'!H$35=MIN('Cash Flow Statement'!C$35:N$35,'Cash Flow Statement'!P$35:AA$35,'Cash Flow Statement'!AC$35:AN$35,'Cash Flow Statement'!AP$35:BA$35,'Cash Flow Statement'!BC$35:BN$35),6,9999)</f>
        <v>9999</v>
      </c>
      <c r="I23" s="79" t="n">
        <f aca="false">IF('Cash Flow Statement'!I$35=MIN('Cash Flow Statement'!C$35:N$35,'Cash Flow Statement'!P$35:AA$35,'Cash Flow Statement'!AC$35:AN$35,'Cash Flow Statement'!AP$35:BA$35,'Cash Flow Statement'!BC$35:BN$35),7,9999)</f>
        <v>9999</v>
      </c>
      <c r="J23" s="79" t="n">
        <f aca="false">IF('Cash Flow Statement'!J$35=MIN('Cash Flow Statement'!C$35:N$35,'Cash Flow Statement'!P$35:AA$35,'Cash Flow Statement'!AC$35:AN$35,'Cash Flow Statement'!AP$35:BA$35,'Cash Flow Statement'!BC$35:BN$35),8,9999)</f>
        <v>9999</v>
      </c>
      <c r="K23" s="79" t="n">
        <f aca="false">IF('Cash Flow Statement'!K$35=MIN('Cash Flow Statement'!C$35:N$35,'Cash Flow Statement'!P$35:AA$35,'Cash Flow Statement'!AC$35:AN$35,'Cash Flow Statement'!AP$35:BA$35,'Cash Flow Statement'!BC$35:BN$35),9,9999)</f>
        <v>9999</v>
      </c>
      <c r="L23" s="79" t="n">
        <f aca="false">IF('Cash Flow Statement'!L$35=MIN('Cash Flow Statement'!C$35:N$35,'Cash Flow Statement'!P$35:AA$35,'Cash Flow Statement'!AC$35:AN$35,'Cash Flow Statement'!AP$35:BA$35,'Cash Flow Statement'!BC$35:BN$35),10,9999)</f>
        <v>9999</v>
      </c>
      <c r="M23" s="79" t="n">
        <f aca="false">IF('Cash Flow Statement'!M$35=MIN('Cash Flow Statement'!C$35:N$35,'Cash Flow Statement'!P$35:AA$35,'Cash Flow Statement'!AC$35:AN$35,'Cash Flow Statement'!AP$35:BA$35,'Cash Flow Statement'!BC$35:BN$35),11,9999)</f>
        <v>9999</v>
      </c>
      <c r="N23" s="79" t="n">
        <f aca="false">IF('Cash Flow Statement'!N$35=MIN('Cash Flow Statement'!C$35:N$35,'Cash Flow Statement'!P$35:AA$35,'Cash Flow Statement'!AC$35:AN$35,'Cash Flow Statement'!AP$35:BA$35,'Cash Flow Statement'!BC$35:BN$35),12,9999)</f>
        <v>9999</v>
      </c>
      <c r="P23" s="79" t="n">
        <f aca="false">IF('Cash Flow Statement'!P$35=MIN('Cash Flow Statement'!C$35:N$35,'Cash Flow Statement'!P$35:AA$35,'Cash Flow Statement'!AC$35:AN$35,'Cash Flow Statement'!AP$35:BA$35,'Cash Flow Statement'!BC$35:BN$35),13,9999)</f>
        <v>9999</v>
      </c>
      <c r="Q23" s="79" t="n">
        <f aca="false">IF('Cash Flow Statement'!Q$35=MIN('Cash Flow Statement'!C$35:N$35,'Cash Flow Statement'!P$35:AA$35,'Cash Flow Statement'!AC$35:AN$35,'Cash Flow Statement'!AP$35:BA$35,'Cash Flow Statement'!BC$35:BN$35),14,9999)</f>
        <v>9999</v>
      </c>
      <c r="R23" s="79" t="n">
        <f aca="false">IF('Cash Flow Statement'!R$35=MIN('Cash Flow Statement'!C$35:N$35,'Cash Flow Statement'!P$35:AA$35,'Cash Flow Statement'!AC$35:AN$35,'Cash Flow Statement'!AP$35:BA$35,'Cash Flow Statement'!BC$35:BN$35),15,9999)</f>
        <v>9999</v>
      </c>
      <c r="S23" s="79" t="n">
        <f aca="false">IF('Cash Flow Statement'!S$35=MIN('Cash Flow Statement'!C$35:N$35,'Cash Flow Statement'!P$35:AA$35,'Cash Flow Statement'!AC$35:AN$35,'Cash Flow Statement'!AP$35:BA$35,'Cash Flow Statement'!BC$35:BN$35),16,9999)</f>
        <v>9999</v>
      </c>
      <c r="T23" s="79" t="n">
        <f aca="false">IF('Cash Flow Statement'!T$35=MIN('Cash Flow Statement'!C$35:N$35,'Cash Flow Statement'!P$35:AA$35,'Cash Flow Statement'!AC$35:AN$35,'Cash Flow Statement'!AP$35:BA$35,'Cash Flow Statement'!BC$35:BN$35),17,9999)</f>
        <v>9999</v>
      </c>
      <c r="U23" s="79" t="n">
        <f aca="false">IF('Cash Flow Statement'!U$35=MIN('Cash Flow Statement'!C$35:N$35,'Cash Flow Statement'!P$35:AA$35,'Cash Flow Statement'!AC$35:AN$35,'Cash Flow Statement'!AP$35:BA$35,'Cash Flow Statement'!BC$35:BN$35),18,9999)</f>
        <v>9999</v>
      </c>
      <c r="V23" s="79" t="n">
        <f aca="false">IF('Cash Flow Statement'!V$35=MIN('Cash Flow Statement'!C$35:N$35,'Cash Flow Statement'!P$35:AA$35,'Cash Flow Statement'!AC$35:AN$35,'Cash Flow Statement'!AP$35:BA$35,'Cash Flow Statement'!BC$35:BN$35),19,9999)</f>
        <v>9999</v>
      </c>
      <c r="W23" s="79" t="n">
        <f aca="false">IF('Cash Flow Statement'!W$35=MIN('Cash Flow Statement'!C$35:N$35,'Cash Flow Statement'!P$35:AA$35,'Cash Flow Statement'!AC$35:AN$35,'Cash Flow Statement'!AP$35:BA$35,'Cash Flow Statement'!BC$35:BN$35),20,9999)</f>
        <v>9999</v>
      </c>
      <c r="X23" s="79" t="n">
        <f aca="false">IF('Cash Flow Statement'!X$35=MIN('Cash Flow Statement'!C$35:N$35,'Cash Flow Statement'!P$35:AA$35,'Cash Flow Statement'!AC$35:AN$35,'Cash Flow Statement'!AP$35:BA$35,'Cash Flow Statement'!BC$35:BN$35),21,9999)</f>
        <v>9999</v>
      </c>
      <c r="Y23" s="79" t="n">
        <f aca="false">IF('Cash Flow Statement'!Y$35=MIN('Cash Flow Statement'!C$35:N$35,'Cash Flow Statement'!P$35:AA$35,'Cash Flow Statement'!AC$35:AN$35,'Cash Flow Statement'!AP$35:BA$35,'Cash Flow Statement'!BC$35:BN$35),22,9999)</f>
        <v>9999</v>
      </c>
      <c r="Z23" s="79" t="n">
        <f aca="false">IF('Cash Flow Statement'!Z$35=MIN('Cash Flow Statement'!C$35:N$35,'Cash Flow Statement'!P$35:AA$35,'Cash Flow Statement'!AC$35:AN$35,'Cash Flow Statement'!AP$35:BA$35,'Cash Flow Statement'!BC$35:BN$35),23,9999)</f>
        <v>9999</v>
      </c>
      <c r="AA23" s="79" t="n">
        <f aca="false">IF('Cash Flow Statement'!AA$35=MIN('Cash Flow Statement'!C$35:N$35,'Cash Flow Statement'!P$35:AA$35,'Cash Flow Statement'!AC$35:AN$35,'Cash Flow Statement'!AP$35:BA$35,'Cash Flow Statement'!BC$35:BN$35),24,9999)</f>
        <v>9999</v>
      </c>
      <c r="AC23" s="79" t="n">
        <f aca="false">IF('Cash Flow Statement'!AC$35=MIN('Cash Flow Statement'!C$35:N$35,'Cash Flow Statement'!P$35:AA$35,'Cash Flow Statement'!AC$35:AN$35,'Cash Flow Statement'!AP$35:BA$35,'Cash Flow Statement'!BC$35:BN$35),25,9999)</f>
        <v>9999</v>
      </c>
      <c r="AD23" s="79" t="n">
        <f aca="false">IF('Cash Flow Statement'!AD$35=MIN('Cash Flow Statement'!C$35:N$35,'Cash Flow Statement'!P$35:AA$35,'Cash Flow Statement'!AC$35:AN$35,'Cash Flow Statement'!AP$35:BA$35,'Cash Flow Statement'!BC$35:BN$35),26,9999)</f>
        <v>9999</v>
      </c>
      <c r="AE23" s="79" t="n">
        <f aca="false">IF('Cash Flow Statement'!AE$35=MIN('Cash Flow Statement'!C$35:N$35,'Cash Flow Statement'!P$35:AA$35,'Cash Flow Statement'!AC$35:AN$35,'Cash Flow Statement'!AP$35:BA$35,'Cash Flow Statement'!BC$35:BN$35),27,9999)</f>
        <v>9999</v>
      </c>
      <c r="AF23" s="79" t="n">
        <f aca="false">IF('Cash Flow Statement'!AF$35=MIN('Cash Flow Statement'!C$35:N$35,'Cash Flow Statement'!P$35:AA$35,'Cash Flow Statement'!AC$35:AN$35,'Cash Flow Statement'!AP$35:BA$35,'Cash Flow Statement'!BC$35:BN$35),28,9999)</f>
        <v>9999</v>
      </c>
      <c r="AG23" s="79" t="n">
        <f aca="false">IF('Cash Flow Statement'!AG$35=MIN('Cash Flow Statement'!C$35:N$35,'Cash Flow Statement'!P$35:AA$35,'Cash Flow Statement'!AC$35:AN$35,'Cash Flow Statement'!AP$35:BA$35,'Cash Flow Statement'!BC$35:BN$35),29,9999)</f>
        <v>9999</v>
      </c>
      <c r="AH23" s="79" t="n">
        <f aca="false">IF('Cash Flow Statement'!AH$35=MIN('Cash Flow Statement'!C$35:N$35,'Cash Flow Statement'!P$35:AA$35,'Cash Flow Statement'!AC$35:AN$35,'Cash Flow Statement'!AP$35:BA$35,'Cash Flow Statement'!BC$35:BN$35),30,9999)</f>
        <v>9999</v>
      </c>
      <c r="AI23" s="79" t="n">
        <f aca="false">IF('Cash Flow Statement'!AI$35=MIN('Cash Flow Statement'!C$35:N$35,'Cash Flow Statement'!P$35:AA$35,'Cash Flow Statement'!AC$35:AN$35,'Cash Flow Statement'!AP$35:BA$35,'Cash Flow Statement'!BC$35:BN$35),31,9999)</f>
        <v>9999</v>
      </c>
      <c r="AJ23" s="79" t="n">
        <f aca="false">IF('Cash Flow Statement'!AJ$35=MIN('Cash Flow Statement'!C$35:N$35,'Cash Flow Statement'!P$35:AA$35,'Cash Flow Statement'!AC$35:AN$35,'Cash Flow Statement'!AP$35:BA$35,'Cash Flow Statement'!BC$35:BN$35),32,9999)</f>
        <v>9999</v>
      </c>
      <c r="AK23" s="79" t="n">
        <f aca="false">IF('Cash Flow Statement'!AK$35=MIN('Cash Flow Statement'!C$35:N$35,'Cash Flow Statement'!P$35:AA$35,'Cash Flow Statement'!AC$35:AN$35,'Cash Flow Statement'!AP$35:BA$35,'Cash Flow Statement'!BC$35:BN$35),33,9999)</f>
        <v>9999</v>
      </c>
      <c r="AL23" s="79" t="n">
        <f aca="false">IF('Cash Flow Statement'!AL$35=MIN('Cash Flow Statement'!C$35:N$35,'Cash Flow Statement'!P$35:AA$35,'Cash Flow Statement'!AC$35:AN$35,'Cash Flow Statement'!AP$35:BA$35,'Cash Flow Statement'!BC$35:BN$35),34,9999)</f>
        <v>9999</v>
      </c>
      <c r="AM23" s="79" t="n">
        <f aca="false">IF('Cash Flow Statement'!AM$35=MIN('Cash Flow Statement'!C$35:N$35,'Cash Flow Statement'!P$35:AA$35,'Cash Flow Statement'!AC$35:AN$35,'Cash Flow Statement'!AP$35:BA$35,'Cash Flow Statement'!BC$35:BN$35),35,9999)</f>
        <v>9999</v>
      </c>
      <c r="AN23" s="79" t="n">
        <f aca="false">IF('Cash Flow Statement'!AN$35=MIN('Cash Flow Statement'!C$35:N$35,'Cash Flow Statement'!P$35:AA$35,'Cash Flow Statement'!AC$35:AN$35,'Cash Flow Statement'!AP$35:BA$35,'Cash Flow Statement'!BC$35:BN$35),36,9999)</f>
        <v>9999</v>
      </c>
      <c r="AP23" s="79" t="n">
        <f aca="false">IF('Cash Flow Statement'!AP$35=MIN('Cash Flow Statement'!C$35:N$35,'Cash Flow Statement'!P$35:AA$35,'Cash Flow Statement'!AC$35:AN$35,'Cash Flow Statement'!AP$35:BA$35,'Cash Flow Statement'!BC$35:BN$35),37,9999)</f>
        <v>9999</v>
      </c>
      <c r="AQ23" s="79" t="n">
        <f aca="false">IF('Cash Flow Statement'!AQ$35=MIN('Cash Flow Statement'!C$35:N$35,'Cash Flow Statement'!P$35:AA$35,'Cash Flow Statement'!AC$35:AN$35,'Cash Flow Statement'!AP$35:BA$35,'Cash Flow Statement'!BC$35:BN$35),38,9999)</f>
        <v>9999</v>
      </c>
      <c r="AR23" s="79" t="n">
        <f aca="false">IF('Cash Flow Statement'!AR$35=MIN('Cash Flow Statement'!C$35:N$35,'Cash Flow Statement'!P$35:AA$35,'Cash Flow Statement'!AC$35:AN$35,'Cash Flow Statement'!AP$35:BA$35,'Cash Flow Statement'!BC$35:BN$35),39,9999)</f>
        <v>9999</v>
      </c>
      <c r="AS23" s="79" t="n">
        <f aca="false">IF('Cash Flow Statement'!AS$35=MIN('Cash Flow Statement'!C$35:N$35,'Cash Flow Statement'!P$35:AA$35,'Cash Flow Statement'!AC$35:AN$35,'Cash Flow Statement'!AP$35:BA$35,'Cash Flow Statement'!BC$35:BN$35),40,9999)</f>
        <v>9999</v>
      </c>
      <c r="AT23" s="79" t="n">
        <f aca="false">IF('Cash Flow Statement'!AT$35=MIN('Cash Flow Statement'!C$35:N$35,'Cash Flow Statement'!P$35:AA$35,'Cash Flow Statement'!AC$35:AN$35,'Cash Flow Statement'!AP$35:BA$35,'Cash Flow Statement'!BC$35:BN$35),41,9999)</f>
        <v>9999</v>
      </c>
      <c r="AU23" s="79" t="n">
        <f aca="false">IF('Cash Flow Statement'!AU$35=MIN('Cash Flow Statement'!C$35:N$35,'Cash Flow Statement'!P$35:AA$35,'Cash Flow Statement'!AC$35:AN$35,'Cash Flow Statement'!AP$35:BA$35,'Cash Flow Statement'!BC$35:BN$35),42,9999)</f>
        <v>9999</v>
      </c>
      <c r="AV23" s="79" t="n">
        <f aca="false">IF('Cash Flow Statement'!AV$35=MIN('Cash Flow Statement'!C$35:N$35,'Cash Flow Statement'!P$35:AA$35,'Cash Flow Statement'!AC$35:AN$35,'Cash Flow Statement'!AP$35:BA$35,'Cash Flow Statement'!BC$35:BN$35),43,9999)</f>
        <v>9999</v>
      </c>
      <c r="AW23" s="79" t="n">
        <f aca="false">IF('Cash Flow Statement'!AW$35=MIN('Cash Flow Statement'!C$35:N$35,'Cash Flow Statement'!P$35:AA$35,'Cash Flow Statement'!AC$35:AN$35,'Cash Flow Statement'!AP$35:BA$35,'Cash Flow Statement'!BC$35:BN$35),44,9999)</f>
        <v>9999</v>
      </c>
      <c r="AX23" s="79" t="n">
        <f aca="false">IF('Cash Flow Statement'!AX$35=MIN('Cash Flow Statement'!C$35:N$35,'Cash Flow Statement'!P$35:AA$35,'Cash Flow Statement'!AC$35:AN$35,'Cash Flow Statement'!AP$35:BA$35,'Cash Flow Statement'!BC$35:BN$35),45,9999)</f>
        <v>9999</v>
      </c>
      <c r="AY23" s="79" t="n">
        <f aca="false">IF('Cash Flow Statement'!AY$35=MIN('Cash Flow Statement'!C$35:N$35,'Cash Flow Statement'!P$35:AA$35,'Cash Flow Statement'!AC$35:AN$35,'Cash Flow Statement'!AP$35:BA$35,'Cash Flow Statement'!BC$35:BN$35),46,9999)</f>
        <v>9999</v>
      </c>
      <c r="AZ23" s="79" t="n">
        <f aca="false">IF('Cash Flow Statement'!AZ$35=MIN('Cash Flow Statement'!C$35:N$35,'Cash Flow Statement'!P$35:AA$35,'Cash Flow Statement'!AC$35:AN$35,'Cash Flow Statement'!AP$35:BA$35,'Cash Flow Statement'!BC$35:BN$35),47,9999)</f>
        <v>9999</v>
      </c>
      <c r="BA23" s="79" t="n">
        <f aca="false">IF('Cash Flow Statement'!BA$35=MIN('Cash Flow Statement'!C$35:N$35,'Cash Flow Statement'!P$35:AA$35,'Cash Flow Statement'!AC$35:AN$35,'Cash Flow Statement'!AP$35:BA$35,'Cash Flow Statement'!BC$35:BN$35),48,9999)</f>
        <v>9999</v>
      </c>
      <c r="BC23" s="79" t="n">
        <f aca="false">IF('Cash Flow Statement'!BC$35=MIN('Cash Flow Statement'!C$35:N$35,'Cash Flow Statement'!P$35:AA$35,'Cash Flow Statement'!AC$35:AN$35,'Cash Flow Statement'!AP$35:BA$35,'Cash Flow Statement'!BC$35:BN$35),49,9999)</f>
        <v>9999</v>
      </c>
      <c r="BD23" s="79" t="n">
        <f aca="false">IF('Cash Flow Statement'!BD$35=MIN('Cash Flow Statement'!C$35:N$35,'Cash Flow Statement'!P$35:AA$35,'Cash Flow Statement'!AC$35:AN$35,'Cash Flow Statement'!AP$35:BA$35,'Cash Flow Statement'!BC$35:BN$35),50,9999)</f>
        <v>9999</v>
      </c>
      <c r="BE23" s="79" t="n">
        <f aca="false">IF('Cash Flow Statement'!BE$35=MIN('Cash Flow Statement'!C$35:N$35,'Cash Flow Statement'!P$35:AA$35,'Cash Flow Statement'!AC$35:AN$35,'Cash Flow Statement'!AP$35:BA$35,'Cash Flow Statement'!BC$35:BN$35),51,9999)</f>
        <v>9999</v>
      </c>
      <c r="BF23" s="79" t="n">
        <f aca="false">IF('Cash Flow Statement'!BF$35=MIN('Cash Flow Statement'!C$35:N$35,'Cash Flow Statement'!P$35:AA$35,'Cash Flow Statement'!AC$35:AN$35,'Cash Flow Statement'!AP$35:BA$35,'Cash Flow Statement'!BC$35:BN$35),52,9999)</f>
        <v>9999</v>
      </c>
      <c r="BG23" s="79" t="n">
        <f aca="false">IF('Cash Flow Statement'!BG$35=MIN('Cash Flow Statement'!C$35:N$35,'Cash Flow Statement'!P$35:AA$35,'Cash Flow Statement'!AC$35:AN$35,'Cash Flow Statement'!AP$35:BA$35,'Cash Flow Statement'!BC$35:BN$35),53,9999)</f>
        <v>9999</v>
      </c>
      <c r="BH23" s="79" t="n">
        <f aca="false">IF('Cash Flow Statement'!BH$35=MIN('Cash Flow Statement'!C$35:N$35,'Cash Flow Statement'!P$35:AA$35,'Cash Flow Statement'!AC$35:AN$35,'Cash Flow Statement'!AP$35:BA$35,'Cash Flow Statement'!BC$35:BN$35),54,9999)</f>
        <v>9999</v>
      </c>
      <c r="BI23" s="79" t="n">
        <f aca="false">IF('Cash Flow Statement'!BI$35=MIN('Cash Flow Statement'!C$35:N$35,'Cash Flow Statement'!P$35:AA$35,'Cash Flow Statement'!AC$35:AN$35,'Cash Flow Statement'!AP$35:BA$35,'Cash Flow Statement'!BC$35:BN$35),55,9999)</f>
        <v>9999</v>
      </c>
      <c r="BJ23" s="79" t="n">
        <f aca="false">IF('Cash Flow Statement'!BJ$35=MIN('Cash Flow Statement'!C$35:N$35,'Cash Flow Statement'!P$35:AA$35,'Cash Flow Statement'!AC$35:AN$35,'Cash Flow Statement'!AP$35:BA$35,'Cash Flow Statement'!BC$35:BN$35),56,9999)</f>
        <v>9999</v>
      </c>
      <c r="BK23" s="79" t="n">
        <f aca="false">IF('Cash Flow Statement'!BK$35=MIN('Cash Flow Statement'!C$35:N$35,'Cash Flow Statement'!P$35:AA$35,'Cash Flow Statement'!AC$35:AN$35,'Cash Flow Statement'!AP$35:BA$35,'Cash Flow Statement'!BC$35:BN$35),57,9999)</f>
        <v>9999</v>
      </c>
      <c r="BL23" s="79" t="n">
        <f aca="false">IF('Cash Flow Statement'!BL$35=MIN('Cash Flow Statement'!C$35:N$35,'Cash Flow Statement'!P$35:AA$35,'Cash Flow Statement'!AC$35:AN$35,'Cash Flow Statement'!AP$35:BA$35,'Cash Flow Statement'!BC$35:BN$35),58,9999)</f>
        <v>9999</v>
      </c>
      <c r="BM23" s="79" t="n">
        <f aca="false">IF('Cash Flow Statement'!BM$35=MIN('Cash Flow Statement'!C$35:N$35,'Cash Flow Statement'!P$35:AA$35,'Cash Flow Statement'!AC$35:AN$35,'Cash Flow Statement'!AP$35:BA$35,'Cash Flow Statement'!BC$35:BN$35),59,9999)</f>
        <v>9999</v>
      </c>
      <c r="BN23" s="79"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990</v>
      </c>
      <c r="C24" s="79" t="n">
        <f aca="false">IF('Cash Flow Statement'!C$37&gt;0,1,9999)</f>
        <v>9999</v>
      </c>
      <c r="D24" s="79" t="n">
        <f aca="false">IF('Cash Flow Statement'!D$37&gt;0,2,9999)</f>
        <v>9999</v>
      </c>
      <c r="E24" s="79" t="n">
        <f aca="false">IF('Cash Flow Statement'!E$37&gt;0,3,9999)</f>
        <v>9999</v>
      </c>
      <c r="F24" s="79" t="n">
        <f aca="false">IF('Cash Flow Statement'!F$37&gt;0,4,9999)</f>
        <v>9999</v>
      </c>
      <c r="G24" s="79" t="n">
        <f aca="false">IF('Cash Flow Statement'!G$37&gt;0,5,9999)</f>
        <v>9999</v>
      </c>
      <c r="H24" s="79" t="n">
        <f aca="false">IF('Cash Flow Statement'!H$37&gt;0,6,9999)</f>
        <v>9999</v>
      </c>
      <c r="I24" s="79" t="n">
        <f aca="false">IF('Cash Flow Statement'!I$37&gt;0,7,9999)</f>
        <v>9999</v>
      </c>
      <c r="J24" s="79" t="n">
        <f aca="false">IF('Cash Flow Statement'!J$37&gt;0,8,9999)</f>
        <v>9999</v>
      </c>
      <c r="K24" s="79" t="n">
        <f aca="false">IF('Cash Flow Statement'!K$37&gt;0,9,9999)</f>
        <v>9999</v>
      </c>
      <c r="L24" s="79" t="n">
        <f aca="false">IF('Cash Flow Statement'!L$37&gt;0,10,9999)</f>
        <v>9999</v>
      </c>
      <c r="M24" s="79" t="n">
        <f aca="false">IF('Cash Flow Statement'!M$37&gt;0,11,9999)</f>
        <v>9999</v>
      </c>
      <c r="N24" s="79" t="n">
        <f aca="false">IF('Cash Flow Statement'!N$37&gt;0,12,9999)</f>
        <v>9999</v>
      </c>
      <c r="P24" s="79" t="n">
        <f aca="false">IF('Cash Flow Statement'!P$37&gt;0,13,9999)</f>
        <v>9999</v>
      </c>
      <c r="Q24" s="79" t="n">
        <f aca="false">IF('Cash Flow Statement'!Q$37&gt;0,14,9999)</f>
        <v>9999</v>
      </c>
      <c r="R24" s="79" t="n">
        <f aca="false">IF('Cash Flow Statement'!R$37&gt;0,15,9999)</f>
        <v>9999</v>
      </c>
      <c r="S24" s="79" t="n">
        <f aca="false">IF('Cash Flow Statement'!S$37&gt;0,16,9999)</f>
        <v>9999</v>
      </c>
      <c r="T24" s="79" t="n">
        <f aca="false">IF('Cash Flow Statement'!T$37&gt;0,17,9999)</f>
        <v>9999</v>
      </c>
      <c r="U24" s="79" t="n">
        <f aca="false">IF('Cash Flow Statement'!U$37&gt;0,18,9999)</f>
        <v>9999</v>
      </c>
      <c r="V24" s="79" t="n">
        <f aca="false">IF('Cash Flow Statement'!V$37&gt;0,19,9999)</f>
        <v>9999</v>
      </c>
      <c r="W24" s="79" t="n">
        <f aca="false">IF('Cash Flow Statement'!W$37&gt;0,20,9999)</f>
        <v>9999</v>
      </c>
      <c r="X24" s="79" t="n">
        <f aca="false">IF('Cash Flow Statement'!X$37&gt;0,21,9999)</f>
        <v>9999</v>
      </c>
      <c r="Y24" s="79" t="n">
        <f aca="false">IF('Cash Flow Statement'!Y$37&gt;0,22,9999)</f>
        <v>9999</v>
      </c>
      <c r="Z24" s="79" t="n">
        <f aca="false">IF('Cash Flow Statement'!Z$37&gt;0,23,9999)</f>
        <v>9999</v>
      </c>
      <c r="AA24" s="79" t="n">
        <f aca="false">IF('Cash Flow Statement'!AA$37&gt;0,24,9999)</f>
        <v>9999</v>
      </c>
      <c r="AC24" s="79" t="n">
        <f aca="false">IF('Cash Flow Statement'!AC$37&gt;0,25,9999)</f>
        <v>9999</v>
      </c>
      <c r="AD24" s="79" t="n">
        <f aca="false">IF('Cash Flow Statement'!AD$37&gt;0,26,9999)</f>
        <v>9999</v>
      </c>
      <c r="AE24" s="79" t="n">
        <f aca="false">IF('Cash Flow Statement'!AE$37&gt;0,27,9999)</f>
        <v>9999</v>
      </c>
      <c r="AF24" s="79" t="n">
        <f aca="false">IF('Cash Flow Statement'!AF$37&gt;0,28,9999)</f>
        <v>9999</v>
      </c>
      <c r="AG24" s="79" t="n">
        <f aca="false">IF('Cash Flow Statement'!AG$37&gt;0,29,9999)</f>
        <v>9999</v>
      </c>
      <c r="AH24" s="79" t="n">
        <f aca="false">IF('Cash Flow Statement'!AH$37&gt;0,30,9999)</f>
        <v>9999</v>
      </c>
      <c r="AI24" s="79" t="n">
        <f aca="false">IF('Cash Flow Statement'!AI$37&gt;0,31,9999)</f>
        <v>31</v>
      </c>
      <c r="AJ24" s="79" t="n">
        <f aca="false">IF('Cash Flow Statement'!AJ$37&gt;0,32,9999)</f>
        <v>32</v>
      </c>
      <c r="AK24" s="79" t="n">
        <f aca="false">IF('Cash Flow Statement'!AK$37&gt;0,33,9999)</f>
        <v>33</v>
      </c>
      <c r="AL24" s="79" t="n">
        <f aca="false">IF('Cash Flow Statement'!AL$37&gt;0,34,9999)</f>
        <v>34</v>
      </c>
      <c r="AM24" s="79" t="n">
        <f aca="false">IF('Cash Flow Statement'!AM$37&gt;0,35,9999)</f>
        <v>35</v>
      </c>
      <c r="AN24" s="79" t="n">
        <f aca="false">IF('Cash Flow Statement'!AN$37&gt;0,36,9999)</f>
        <v>36</v>
      </c>
      <c r="AP24" s="79" t="n">
        <f aca="false">IF('Cash Flow Statement'!AP$37&gt;0,37,9999)</f>
        <v>37</v>
      </c>
      <c r="AQ24" s="79" t="n">
        <f aca="false">IF('Cash Flow Statement'!AQ$37&gt;0,38,9999)</f>
        <v>38</v>
      </c>
      <c r="AR24" s="79" t="n">
        <f aca="false">IF('Cash Flow Statement'!AR$37&gt;0,39,9999)</f>
        <v>39</v>
      </c>
      <c r="AS24" s="79" t="n">
        <f aca="false">IF('Cash Flow Statement'!AS$37&gt;0,40,9999)</f>
        <v>40</v>
      </c>
      <c r="AT24" s="79" t="n">
        <f aca="false">IF('Cash Flow Statement'!AT$37&gt;0,41,9999)</f>
        <v>41</v>
      </c>
      <c r="AU24" s="79" t="n">
        <f aca="false">IF('Cash Flow Statement'!AU$37&gt;0,42,9999)</f>
        <v>42</v>
      </c>
      <c r="AV24" s="79" t="n">
        <f aca="false">IF('Cash Flow Statement'!AV$37&gt;0,43,9999)</f>
        <v>43</v>
      </c>
      <c r="AW24" s="79" t="n">
        <f aca="false">IF('Cash Flow Statement'!AW$37&gt;0,44,9999)</f>
        <v>44</v>
      </c>
      <c r="AX24" s="79" t="n">
        <f aca="false">IF('Cash Flow Statement'!AX$37&gt;0,45,9999)</f>
        <v>45</v>
      </c>
      <c r="AY24" s="79" t="n">
        <f aca="false">IF('Cash Flow Statement'!AY$37&gt;0,46,9999)</f>
        <v>46</v>
      </c>
      <c r="AZ24" s="79" t="n">
        <f aca="false">IF('Cash Flow Statement'!AZ$37&gt;0,47,9999)</f>
        <v>47</v>
      </c>
      <c r="BA24" s="79" t="n">
        <f aca="false">IF('Cash Flow Statement'!BA$37&gt;0,48,9999)</f>
        <v>48</v>
      </c>
      <c r="BC24" s="79" t="n">
        <f aca="false">IF('Cash Flow Statement'!BC$37&gt;0,49,9999)</f>
        <v>49</v>
      </c>
      <c r="BD24" s="79" t="n">
        <f aca="false">IF('Cash Flow Statement'!BD$37&gt;0,50,9999)</f>
        <v>50</v>
      </c>
      <c r="BE24" s="79" t="n">
        <f aca="false">IF('Cash Flow Statement'!BE$37&gt;0,51,9999)</f>
        <v>51</v>
      </c>
      <c r="BF24" s="79" t="n">
        <f aca="false">IF('Cash Flow Statement'!BF$37&gt;0,52,9999)</f>
        <v>52</v>
      </c>
      <c r="BG24" s="79" t="n">
        <f aca="false">IF('Cash Flow Statement'!BG$37&gt;0,53,9999)</f>
        <v>53</v>
      </c>
      <c r="BH24" s="79" t="n">
        <f aca="false">IF('Cash Flow Statement'!BH$37&gt;0,54,9999)</f>
        <v>54</v>
      </c>
      <c r="BI24" s="79" t="n">
        <f aca="false">IF('Cash Flow Statement'!BI$37&gt;0,55,9999)</f>
        <v>55</v>
      </c>
      <c r="BJ24" s="79" t="n">
        <f aca="false">IF('Cash Flow Statement'!BJ$37&gt;0,56,9999)</f>
        <v>56</v>
      </c>
      <c r="BK24" s="79" t="n">
        <f aca="false">IF('Cash Flow Statement'!BK$37&gt;0,57,9999)</f>
        <v>57</v>
      </c>
      <c r="BL24" s="79" t="n">
        <f aca="false">IF('Cash Flow Statement'!BL$37&gt;0,58,9999)</f>
        <v>58</v>
      </c>
      <c r="BM24" s="79" t="n">
        <f aca="false">IF('Cash Flow Statement'!BM$37&gt;0,59,9999)</f>
        <v>59</v>
      </c>
      <c r="BN24" s="79" t="n">
        <f aca="false">IF('Cash Flow Statement'!BN$37&gt;0,60,9999)</f>
        <v>60</v>
      </c>
    </row>
    <row r="25" customFormat="false" ht="15" hidden="false" customHeight="false" outlineLevel="0" collapsed="false">
      <c r="A25" s="18" t="s">
        <v>991</v>
      </c>
      <c r="B25" s="22" t="s">
        <v>992</v>
      </c>
      <c r="C25" s="112" t="n">
        <f aca="false">MIN(C21:BN21)</f>
        <v>12</v>
      </c>
      <c r="D25" s="113" t="str">
        <f aca="false">IF(C25=9999,"not within 60 months",INDEX($C$20:$BN$20,1,C25))</f>
        <v>Sep-27</v>
      </c>
    </row>
    <row r="26" customFormat="false" ht="15" hidden="false" customHeight="false" outlineLevel="0" collapsed="false">
      <c r="A26" s="18" t="s">
        <v>993</v>
      </c>
      <c r="B26" s="22" t="s">
        <v>994</v>
      </c>
      <c r="C26" s="112" t="n">
        <f aca="false">MIN(C22:BN22)</f>
        <v>14</v>
      </c>
      <c r="D26" s="113" t="str">
        <f aca="false">IF(C26=9999,"not within 60 months",INDEX($C$20:$BN$20,1,C26))</f>
        <v>Oct-27</v>
      </c>
    </row>
    <row r="27" customFormat="false" ht="15" hidden="false" customHeight="false" outlineLevel="0" collapsed="false">
      <c r="A27" s="18" t="s">
        <v>995</v>
      </c>
      <c r="B27" s="22" t="s">
        <v>996</v>
      </c>
      <c r="C27" s="112" t="n">
        <f aca="false">MIN(C23:BN23)</f>
        <v>3</v>
      </c>
      <c r="D27" s="113" t="str">
        <f aca="false">IF(C27=9999,"not within 60 months",INDEX($C$20:$BN$20,1,C27))</f>
        <v>Dec-26</v>
      </c>
    </row>
    <row r="28" customFormat="false" ht="15" hidden="false" customHeight="false" outlineLevel="0" collapsed="false">
      <c r="A28" s="18" t="s">
        <v>997</v>
      </c>
      <c r="B28" s="22" t="s">
        <v>998</v>
      </c>
      <c r="C28" s="112" t="n">
        <f aca="false">MIN(C24:BN24)</f>
        <v>31</v>
      </c>
      <c r="D28" s="113" t="str">
        <f aca="false">IF(C28=9999,"not within 60 months",INDEX($C$20:$BN$20,1,C28))</f>
        <v>Feb-28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999</v>
      </c>
    </row>
    <row r="2" customFormat="false" ht="13.5" hidden="false" customHeight="true" outlineLevel="0" collapsed="false">
      <c r="A2" s="6" t="s">
        <v>1000</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1001</v>
      </c>
      <c r="B5" s="15"/>
      <c r="C5" s="15"/>
      <c r="D5" s="15"/>
      <c r="E5" s="15"/>
      <c r="F5" s="15"/>
      <c r="G5" s="15"/>
      <c r="H5" s="15"/>
      <c r="I5" s="15"/>
      <c r="J5" s="15"/>
    </row>
    <row r="6" customFormat="false" ht="15" hidden="false" customHeight="false" outlineLevel="0" collapsed="false">
      <c r="A6" s="18" t="s">
        <v>1002</v>
      </c>
      <c r="B6" s="22" t="s">
        <v>1003</v>
      </c>
      <c r="C6" s="19" t="n">
        <f aca="false">'Assumption Setting'!$C$18</f>
        <v>50000</v>
      </c>
      <c r="D6" s="19" t="str">
        <f aca="false">""</f>
        <v/>
      </c>
      <c r="E6" s="19" t="str">
        <f aca="false">""</f>
        <v/>
      </c>
      <c r="F6" s="19" t="str">
        <f aca="false">""</f>
        <v/>
      </c>
      <c r="G6" s="19" t="str">
        <f aca="false">""</f>
        <v/>
      </c>
    </row>
    <row r="7" customFormat="false" ht="15" hidden="false" customHeight="false" outlineLevel="0" collapsed="false">
      <c r="A7" s="18" t="s">
        <v>1004</v>
      </c>
      <c r="B7" s="22" t="s">
        <v>1005</v>
      </c>
      <c r="C7" s="19" t="n">
        <f aca="false">'Assumption Setting'!$C$206</f>
        <v>150000</v>
      </c>
      <c r="D7" s="19" t="str">
        <f aca="false">""</f>
        <v/>
      </c>
      <c r="E7" s="19" t="str">
        <f aca="false">""</f>
        <v/>
      </c>
      <c r="F7" s="19" t="str">
        <f aca="false">""</f>
        <v/>
      </c>
      <c r="G7" s="19" t="str">
        <f aca="false">""</f>
        <v/>
      </c>
    </row>
    <row r="8" customFormat="false" ht="15" hidden="false" customHeight="false" outlineLevel="0" collapsed="false">
      <c r="A8" s="18" t="s">
        <v>1006</v>
      </c>
      <c r="C8" s="119" t="n">
        <f aca="false">'Assumption Setting'!$C$18+'Assumption Setting'!$C$206</f>
        <v>200000</v>
      </c>
      <c r="D8" s="119" t="str">
        <f aca="false">""</f>
        <v/>
      </c>
      <c r="E8" s="119" t="str">
        <f aca="false">""</f>
        <v/>
      </c>
      <c r="F8" s="119" t="str">
        <f aca="false">""</f>
        <v/>
      </c>
      <c r="G8" s="119" t="str">
        <f aca="false">""</f>
        <v/>
      </c>
    </row>
    <row r="10" customFormat="false" ht="16.5" hidden="false" customHeight="true" outlineLevel="0" collapsed="false">
      <c r="A10" s="15" t="s">
        <v>1007</v>
      </c>
      <c r="B10" s="15"/>
      <c r="C10" s="15"/>
      <c r="D10" s="15"/>
      <c r="E10" s="15"/>
      <c r="F10" s="15"/>
      <c r="G10" s="15"/>
      <c r="H10" s="15"/>
      <c r="I10" s="15"/>
      <c r="J10" s="15"/>
    </row>
    <row r="11" customFormat="false" ht="15" hidden="false" customHeight="false" outlineLevel="0" collapsed="false">
      <c r="A11" s="16"/>
      <c r="B11" s="16"/>
      <c r="C11" s="17" t="s">
        <v>81</v>
      </c>
      <c r="D11" s="17" t="s">
        <v>82</v>
      </c>
      <c r="E11" s="17" t="s">
        <v>83</v>
      </c>
      <c r="F11" s="17" t="s">
        <v>84</v>
      </c>
      <c r="G11" s="17" t="s">
        <v>85</v>
      </c>
    </row>
    <row r="12" customFormat="false" ht="15" hidden="false" customHeight="false" outlineLevel="0" collapsed="false">
      <c r="A12" s="12" t="s">
        <v>1008</v>
      </c>
      <c r="B12" s="22" t="s">
        <v>1009</v>
      </c>
      <c r="C12" s="20" t="n">
        <f aca="false">'Financial Indicators'!$C$44</f>
        <v>-72670.2223188221</v>
      </c>
      <c r="D12" s="20" t="n">
        <f aca="false">'Financial Indicators'!$D$44</f>
        <v>57694.6240872352</v>
      </c>
      <c r="E12" s="20" t="n">
        <f aca="false">'Financial Indicators'!$E$44</f>
        <v>125232.564833883</v>
      </c>
      <c r="F12" s="20" t="n">
        <f aca="false">'Financial Indicators'!$F$44</f>
        <v>299502.306696695</v>
      </c>
      <c r="G12" s="20" t="n">
        <f aca="false">'Financial Indicators'!$G$44</f>
        <v>470028.775619338</v>
      </c>
    </row>
    <row r="13" customFormat="false" ht="15" hidden="false" customHeight="false" outlineLevel="0" collapsed="false">
      <c r="A13" s="18" t="s">
        <v>921</v>
      </c>
      <c r="C13" s="19" t="n">
        <f aca="false">C12</f>
        <v>-72670.2223188221</v>
      </c>
      <c r="D13" s="19" t="n">
        <f aca="false">C13+D12</f>
        <v>-14975.5982315869</v>
      </c>
      <c r="E13" s="19" t="n">
        <f aca="false">D13+E12</f>
        <v>110256.966602296</v>
      </c>
      <c r="F13" s="19" t="n">
        <f aca="false">E13+F12</f>
        <v>409759.273298992</v>
      </c>
      <c r="G13" s="19" t="n">
        <f aca="false">F13+G12</f>
        <v>879788.04891833</v>
      </c>
    </row>
    <row r="14" customFormat="false" ht="15" hidden="false" customHeight="false" outlineLevel="0" collapsed="false">
      <c r="A14" s="18" t="s">
        <v>1010</v>
      </c>
      <c r="B14" s="22" t="s">
        <v>1011</v>
      </c>
      <c r="C14" s="55" t="n">
        <f aca="false">IFERROR(C13/$C$8,0)</f>
        <v>-0.36335111159411</v>
      </c>
      <c r="D14" s="55" t="n">
        <f aca="false">IFERROR(D13/$C$8,0)</f>
        <v>-0.0748779911579345</v>
      </c>
      <c r="E14" s="55" t="n">
        <f aca="false">IFERROR(E13/$C$8,0)</f>
        <v>0.551284833011482</v>
      </c>
      <c r="F14" s="55" t="n">
        <f aca="false">IFERROR(F13/$C$8,0)</f>
        <v>2.04879636649496</v>
      </c>
      <c r="G14" s="55" t="n">
        <f aca="false">IFERROR(G13/$C$8,0)</f>
        <v>4.39894024459165</v>
      </c>
    </row>
    <row r="15" customFormat="false" ht="15" hidden="false" customHeight="false" outlineLevel="0" collapsed="false">
      <c r="A15" s="12" t="s">
        <v>1012</v>
      </c>
      <c r="C15" s="120" t="n">
        <f aca="false">MAX(0,$C$8-C13)</f>
        <v>272670.222318822</v>
      </c>
      <c r="D15" s="120" t="n">
        <f aca="false">MAX(0,$C$8-D13)</f>
        <v>214975.598231587</v>
      </c>
      <c r="E15" s="120" t="n">
        <f aca="false">MAX(0,$C$8-E13)</f>
        <v>89743.0333977037</v>
      </c>
      <c r="F15" s="120" t="n">
        <f aca="false">MAX(0,$C$8-F13)</f>
        <v>0</v>
      </c>
      <c r="G15" s="120" t="n">
        <f aca="false">MAX(0,$C$8-G13)</f>
        <v>0</v>
      </c>
    </row>
    <row r="17" customFormat="false" ht="16.5" hidden="false" customHeight="true" outlineLevel="0" collapsed="false">
      <c r="A17" s="15" t="s">
        <v>1013</v>
      </c>
      <c r="B17" s="15"/>
      <c r="C17" s="15"/>
      <c r="D17" s="15"/>
      <c r="E17" s="15"/>
      <c r="F17" s="15"/>
      <c r="G17" s="15"/>
      <c r="H17" s="15"/>
      <c r="I17" s="15"/>
      <c r="J17" s="15"/>
    </row>
    <row r="18" customFormat="false" ht="15" hidden="true" customHeight="false" outlineLevel="0" collapsed="false">
      <c r="C18" s="128" t="s">
        <v>482</v>
      </c>
      <c r="D18" s="128" t="s">
        <v>483</v>
      </c>
      <c r="E18" s="128" t="s">
        <v>484</v>
      </c>
      <c r="F18" s="128" t="s">
        <v>485</v>
      </c>
      <c r="G18" s="128" t="s">
        <v>486</v>
      </c>
      <c r="H18" s="128" t="s">
        <v>487</v>
      </c>
      <c r="I18" s="128" t="s">
        <v>488</v>
      </c>
      <c r="J18" s="128" t="s">
        <v>489</v>
      </c>
      <c r="K18" s="128" t="s">
        <v>490</v>
      </c>
      <c r="L18" s="128" t="s">
        <v>491</v>
      </c>
      <c r="M18" s="128" t="s">
        <v>492</v>
      </c>
      <c r="N18" s="128" t="s">
        <v>493</v>
      </c>
      <c r="P18" s="128" t="s">
        <v>494</v>
      </c>
      <c r="Q18" s="128" t="s">
        <v>495</v>
      </c>
      <c r="R18" s="128" t="s">
        <v>496</v>
      </c>
      <c r="S18" s="128" t="s">
        <v>497</v>
      </c>
      <c r="T18" s="128" t="s">
        <v>498</v>
      </c>
      <c r="U18" s="128" t="s">
        <v>499</v>
      </c>
      <c r="V18" s="128" t="s">
        <v>500</v>
      </c>
      <c r="W18" s="128" t="s">
        <v>501</v>
      </c>
      <c r="X18" s="128" t="s">
        <v>502</v>
      </c>
      <c r="Y18" s="128" t="s">
        <v>503</v>
      </c>
      <c r="Z18" s="128" t="s">
        <v>504</v>
      </c>
      <c r="AA18" s="128" t="s">
        <v>505</v>
      </c>
      <c r="AC18" s="128" t="s">
        <v>506</v>
      </c>
      <c r="AD18" s="128" t="s">
        <v>507</v>
      </c>
      <c r="AE18" s="128" t="s">
        <v>508</v>
      </c>
      <c r="AF18" s="128" t="s">
        <v>509</v>
      </c>
      <c r="AG18" s="128" t="s">
        <v>510</v>
      </c>
      <c r="AH18" s="128" t="s">
        <v>511</v>
      </c>
      <c r="AI18" s="128" t="s">
        <v>512</v>
      </c>
      <c r="AJ18" s="128" t="s">
        <v>513</v>
      </c>
      <c r="AK18" s="128" t="s">
        <v>514</v>
      </c>
      <c r="AL18" s="128" t="s">
        <v>515</v>
      </c>
      <c r="AM18" s="128" t="s">
        <v>516</v>
      </c>
      <c r="AN18" s="128" t="s">
        <v>517</v>
      </c>
      <c r="AP18" s="128" t="s">
        <v>518</v>
      </c>
      <c r="AQ18" s="128" t="s">
        <v>519</v>
      </c>
      <c r="AR18" s="128" t="s">
        <v>520</v>
      </c>
      <c r="AS18" s="128" t="s">
        <v>521</v>
      </c>
      <c r="AT18" s="128" t="s">
        <v>522</v>
      </c>
      <c r="AU18" s="128" t="s">
        <v>523</v>
      </c>
      <c r="AV18" s="128" t="s">
        <v>524</v>
      </c>
      <c r="AW18" s="128" t="s">
        <v>525</v>
      </c>
      <c r="AX18" s="128" t="s">
        <v>526</v>
      </c>
      <c r="AY18" s="128" t="s">
        <v>527</v>
      </c>
      <c r="AZ18" s="128" t="s">
        <v>528</v>
      </c>
      <c r="BA18" s="128" t="s">
        <v>529</v>
      </c>
      <c r="BC18" s="128" t="s">
        <v>530</v>
      </c>
      <c r="BD18" s="128" t="s">
        <v>531</v>
      </c>
      <c r="BE18" s="128" t="s">
        <v>532</v>
      </c>
      <c r="BF18" s="128" t="s">
        <v>533</v>
      </c>
      <c r="BG18" s="128" t="s">
        <v>534</v>
      </c>
      <c r="BH18" s="128" t="s">
        <v>535</v>
      </c>
      <c r="BI18" s="128" t="s">
        <v>536</v>
      </c>
      <c r="BJ18" s="128" t="s">
        <v>537</v>
      </c>
      <c r="BK18" s="128" t="s">
        <v>538</v>
      </c>
      <c r="BL18" s="128" t="s">
        <v>539</v>
      </c>
      <c r="BM18" s="128" t="s">
        <v>540</v>
      </c>
      <c r="BN18" s="128" t="s">
        <v>541</v>
      </c>
    </row>
    <row r="19" customFormat="false" ht="15" hidden="true" customHeight="false" outlineLevel="0" collapsed="false">
      <c r="A19" s="12" t="s">
        <v>1014</v>
      </c>
      <c r="C19" s="79" t="n">
        <f aca="false">IF('Cash Flow Statement'!C$37&gt;=$C$8,1,9999)</f>
        <v>9999</v>
      </c>
      <c r="D19" s="79" t="n">
        <f aca="false">IF('Cash Flow Statement'!D$37&gt;=$C$8,2,9999)</f>
        <v>9999</v>
      </c>
      <c r="E19" s="79" t="n">
        <f aca="false">IF('Cash Flow Statement'!E$37&gt;=$C$8,3,9999)</f>
        <v>9999</v>
      </c>
      <c r="F19" s="79" t="n">
        <f aca="false">IF('Cash Flow Statement'!F$37&gt;=$C$8,4,9999)</f>
        <v>9999</v>
      </c>
      <c r="G19" s="79" t="n">
        <f aca="false">IF('Cash Flow Statement'!G$37&gt;=$C$8,5,9999)</f>
        <v>9999</v>
      </c>
      <c r="H19" s="79" t="n">
        <f aca="false">IF('Cash Flow Statement'!H$37&gt;=$C$8,6,9999)</f>
        <v>9999</v>
      </c>
      <c r="I19" s="79" t="n">
        <f aca="false">IF('Cash Flow Statement'!I$37&gt;=$C$8,7,9999)</f>
        <v>9999</v>
      </c>
      <c r="J19" s="79" t="n">
        <f aca="false">IF('Cash Flow Statement'!J$37&gt;=$C$8,8,9999)</f>
        <v>9999</v>
      </c>
      <c r="K19" s="79" t="n">
        <f aca="false">IF('Cash Flow Statement'!K$37&gt;=$C$8,9,9999)</f>
        <v>9999</v>
      </c>
      <c r="L19" s="79" t="n">
        <f aca="false">IF('Cash Flow Statement'!L$37&gt;=$C$8,10,9999)</f>
        <v>9999</v>
      </c>
      <c r="M19" s="79" t="n">
        <f aca="false">IF('Cash Flow Statement'!M$37&gt;=$C$8,11,9999)</f>
        <v>9999</v>
      </c>
      <c r="N19" s="79" t="n">
        <f aca="false">IF('Cash Flow Statement'!N$37&gt;=$C$8,12,9999)</f>
        <v>9999</v>
      </c>
      <c r="P19" s="79" t="n">
        <f aca="false">IF('Cash Flow Statement'!P$37&gt;=$C$8,13,9999)</f>
        <v>9999</v>
      </c>
      <c r="Q19" s="79" t="n">
        <f aca="false">IF('Cash Flow Statement'!Q$37&gt;=$C$8,14,9999)</f>
        <v>9999</v>
      </c>
      <c r="R19" s="79" t="n">
        <f aca="false">IF('Cash Flow Statement'!R$37&gt;=$C$8,15,9999)</f>
        <v>9999</v>
      </c>
      <c r="S19" s="79" t="n">
        <f aca="false">IF('Cash Flow Statement'!S$37&gt;=$C$8,16,9999)</f>
        <v>9999</v>
      </c>
      <c r="T19" s="79" t="n">
        <f aca="false">IF('Cash Flow Statement'!T$37&gt;=$C$8,17,9999)</f>
        <v>9999</v>
      </c>
      <c r="U19" s="79" t="n">
        <f aca="false">IF('Cash Flow Statement'!U$37&gt;=$C$8,18,9999)</f>
        <v>9999</v>
      </c>
      <c r="V19" s="79" t="n">
        <f aca="false">IF('Cash Flow Statement'!V$37&gt;=$C$8,19,9999)</f>
        <v>9999</v>
      </c>
      <c r="W19" s="79" t="n">
        <f aca="false">IF('Cash Flow Statement'!W$37&gt;=$C$8,20,9999)</f>
        <v>9999</v>
      </c>
      <c r="X19" s="79" t="n">
        <f aca="false">IF('Cash Flow Statement'!X$37&gt;=$C$8,21,9999)</f>
        <v>9999</v>
      </c>
      <c r="Y19" s="79" t="n">
        <f aca="false">IF('Cash Flow Statement'!Y$37&gt;=$C$8,22,9999)</f>
        <v>9999</v>
      </c>
      <c r="Z19" s="79" t="n">
        <f aca="false">IF('Cash Flow Statement'!Z$37&gt;=$C$8,23,9999)</f>
        <v>9999</v>
      </c>
      <c r="AA19" s="79" t="n">
        <f aca="false">IF('Cash Flow Statement'!AA$37&gt;=$C$8,24,9999)</f>
        <v>9999</v>
      </c>
      <c r="AC19" s="79" t="n">
        <f aca="false">IF('Cash Flow Statement'!AC$37&gt;=$C$8,25,9999)</f>
        <v>9999</v>
      </c>
      <c r="AD19" s="79" t="n">
        <f aca="false">IF('Cash Flow Statement'!AD$37&gt;=$C$8,26,9999)</f>
        <v>9999</v>
      </c>
      <c r="AE19" s="79" t="n">
        <f aca="false">IF('Cash Flow Statement'!AE$37&gt;=$C$8,27,9999)</f>
        <v>9999</v>
      </c>
      <c r="AF19" s="79" t="n">
        <f aca="false">IF('Cash Flow Statement'!AF$37&gt;=$C$8,28,9999)</f>
        <v>9999</v>
      </c>
      <c r="AG19" s="79" t="n">
        <f aca="false">IF('Cash Flow Statement'!AG$37&gt;=$C$8,29,9999)</f>
        <v>9999</v>
      </c>
      <c r="AH19" s="79" t="n">
        <f aca="false">IF('Cash Flow Statement'!AH$37&gt;=$C$8,30,9999)</f>
        <v>9999</v>
      </c>
      <c r="AI19" s="79" t="n">
        <f aca="false">IF('Cash Flow Statement'!AI$37&gt;=$C$8,31,9999)</f>
        <v>9999</v>
      </c>
      <c r="AJ19" s="79" t="n">
        <f aca="false">IF('Cash Flow Statement'!AJ$37&gt;=$C$8,32,9999)</f>
        <v>9999</v>
      </c>
      <c r="AK19" s="79" t="n">
        <f aca="false">IF('Cash Flow Statement'!AK$37&gt;=$C$8,33,9999)</f>
        <v>9999</v>
      </c>
      <c r="AL19" s="79" t="n">
        <f aca="false">IF('Cash Flow Statement'!AL$37&gt;=$C$8,34,9999)</f>
        <v>9999</v>
      </c>
      <c r="AM19" s="79" t="n">
        <f aca="false">IF('Cash Flow Statement'!AM$37&gt;=$C$8,35,9999)</f>
        <v>9999</v>
      </c>
      <c r="AN19" s="79" t="n">
        <f aca="false">IF('Cash Flow Statement'!AN$37&gt;=$C$8,36,9999)</f>
        <v>9999</v>
      </c>
      <c r="AP19" s="79" t="n">
        <f aca="false">IF('Cash Flow Statement'!AP$37&gt;=$C$8,37,9999)</f>
        <v>9999</v>
      </c>
      <c r="AQ19" s="79" t="n">
        <f aca="false">IF('Cash Flow Statement'!AQ$37&gt;=$C$8,38,9999)</f>
        <v>9999</v>
      </c>
      <c r="AR19" s="79" t="n">
        <f aca="false">IF('Cash Flow Statement'!AR$37&gt;=$C$8,39,9999)</f>
        <v>9999</v>
      </c>
      <c r="AS19" s="79" t="n">
        <f aca="false">IF('Cash Flow Statement'!AS$37&gt;=$C$8,40,9999)</f>
        <v>9999</v>
      </c>
      <c r="AT19" s="79" t="n">
        <f aca="false">IF('Cash Flow Statement'!AT$37&gt;=$C$8,41,9999)</f>
        <v>9999</v>
      </c>
      <c r="AU19" s="79" t="n">
        <f aca="false">IF('Cash Flow Statement'!AU$37&gt;=$C$8,42,9999)</f>
        <v>9999</v>
      </c>
      <c r="AV19" s="79" t="n">
        <f aca="false">IF('Cash Flow Statement'!AV$37&gt;=$C$8,43,9999)</f>
        <v>43</v>
      </c>
      <c r="AW19" s="79" t="n">
        <f aca="false">IF('Cash Flow Statement'!AW$37&gt;=$C$8,44,9999)</f>
        <v>44</v>
      </c>
      <c r="AX19" s="79" t="n">
        <f aca="false">IF('Cash Flow Statement'!AX$37&gt;=$C$8,45,9999)</f>
        <v>45</v>
      </c>
      <c r="AY19" s="79" t="n">
        <f aca="false">IF('Cash Flow Statement'!AY$37&gt;=$C$8,46,9999)</f>
        <v>46</v>
      </c>
      <c r="AZ19" s="79" t="n">
        <f aca="false">IF('Cash Flow Statement'!AZ$37&gt;=$C$8,47,9999)</f>
        <v>47</v>
      </c>
      <c r="BA19" s="79" t="n">
        <f aca="false">IF('Cash Flow Statement'!BA$37&gt;=$C$8,48,9999)</f>
        <v>48</v>
      </c>
      <c r="BC19" s="79" t="n">
        <f aca="false">IF('Cash Flow Statement'!BC$37&gt;=$C$8,49,9999)</f>
        <v>49</v>
      </c>
      <c r="BD19" s="79" t="n">
        <f aca="false">IF('Cash Flow Statement'!BD$37&gt;=$C$8,50,9999)</f>
        <v>50</v>
      </c>
      <c r="BE19" s="79" t="n">
        <f aca="false">IF('Cash Flow Statement'!BE$37&gt;=$C$8,51,9999)</f>
        <v>51</v>
      </c>
      <c r="BF19" s="79" t="n">
        <f aca="false">IF('Cash Flow Statement'!BF$37&gt;=$C$8,52,9999)</f>
        <v>52</v>
      </c>
      <c r="BG19" s="79" t="n">
        <f aca="false">IF('Cash Flow Statement'!BG$37&gt;=$C$8,53,9999)</f>
        <v>53</v>
      </c>
      <c r="BH19" s="79" t="n">
        <f aca="false">IF('Cash Flow Statement'!BH$37&gt;=$C$8,54,9999)</f>
        <v>54</v>
      </c>
      <c r="BI19" s="79" t="n">
        <f aca="false">IF('Cash Flow Statement'!BI$37&gt;=$C$8,55,9999)</f>
        <v>55</v>
      </c>
      <c r="BJ19" s="79" t="n">
        <f aca="false">IF('Cash Flow Statement'!BJ$37&gt;=$C$8,56,9999)</f>
        <v>56</v>
      </c>
      <c r="BK19" s="79" t="n">
        <f aca="false">IF('Cash Flow Statement'!BK$37&gt;=$C$8,57,9999)</f>
        <v>57</v>
      </c>
      <c r="BL19" s="79" t="n">
        <f aca="false">IF('Cash Flow Statement'!BL$37&gt;=$C$8,58,9999)</f>
        <v>58</v>
      </c>
      <c r="BM19" s="79" t="n">
        <f aca="false">IF('Cash Flow Statement'!BM$37&gt;=$C$8,59,9999)</f>
        <v>59</v>
      </c>
      <c r="BN19" s="79" t="n">
        <f aca="false">IF('Cash Flow Statement'!BN$37&gt;=$C$8,60,9999)</f>
        <v>60</v>
      </c>
    </row>
    <row r="20" customFormat="false" ht="15" hidden="false" customHeight="false" outlineLevel="0" collapsed="false">
      <c r="A20" s="18" t="s">
        <v>1015</v>
      </c>
      <c r="B20" s="22" t="s">
        <v>1016</v>
      </c>
      <c r="C20" s="112" t="n">
        <f aca="false">MIN(C19:BN19)</f>
        <v>43</v>
      </c>
      <c r="D20" s="113" t="str">
        <f aca="false">IF(C20=9999,"beyond the 60 months modelled",INDEX($C$18:$BN$18,1,C20))</f>
        <v>Jan-29</v>
      </c>
    </row>
    <row r="22" customFormat="false" ht="16.5" hidden="false" customHeight="true" outlineLevel="0" collapsed="false">
      <c r="A22" s="15" t="s">
        <v>1017</v>
      </c>
      <c r="B22" s="15"/>
      <c r="C22" s="15"/>
      <c r="D22" s="15"/>
      <c r="E22" s="15"/>
      <c r="F22" s="15"/>
      <c r="G22" s="15"/>
      <c r="H22" s="15"/>
      <c r="I22" s="15"/>
      <c r="J22" s="15"/>
    </row>
    <row r="23" customFormat="false" ht="25.5" hidden="false" customHeight="true" outlineLevel="0" collapsed="false">
      <c r="C23" s="129" t="s">
        <v>1018</v>
      </c>
      <c r="D23" s="129" t="s">
        <v>1019</v>
      </c>
      <c r="E23" s="129" t="s">
        <v>1010</v>
      </c>
    </row>
    <row r="24" customFormat="false" ht="15" hidden="false" customHeight="false" outlineLevel="0" collapsed="false">
      <c r="A24" s="12" t="s">
        <v>1020</v>
      </c>
      <c r="C24" s="56" t="n">
        <v>0.6</v>
      </c>
      <c r="D24" s="120" t="n">
        <f aca="false">SUMPRODUCT(($C$12:$G$12))+('Total Revenue'!B$25+'Total Revenue'!O$25+'Total Revenue'!AB$25+'Total Revenue'!AO$25+'Total Revenue'!BB$25-Expenses!B$24-Expenses!O$24-Expenses!AB$24-Expenses!AO$24-Expenses!BB$24)*(C24-1)</f>
        <v>-601121.877759959</v>
      </c>
      <c r="E24" s="55" t="n">
        <f aca="false">IFERROR(D24/$C$8,0)</f>
        <v>-3.0056093887998</v>
      </c>
    </row>
    <row r="25" customFormat="false" ht="15" hidden="false" customHeight="false" outlineLevel="0" collapsed="false">
      <c r="A25" s="12" t="s">
        <v>1020</v>
      </c>
      <c r="C25" s="56" t="n">
        <v>0.75</v>
      </c>
      <c r="D25" s="120" t="n">
        <f aca="false">SUMPRODUCT(($C$12:$G$12))+('Total Revenue'!B$25+'Total Revenue'!O$25+'Total Revenue'!AB$25+'Total Revenue'!AO$25+'Total Revenue'!BB$25-Expenses!B$24-Expenses!O$24-Expenses!AB$24-Expenses!AO$24-Expenses!BB$24)*(C25-1)</f>
        <v>-45780.6552556008</v>
      </c>
      <c r="E25" s="55" t="n">
        <f aca="false">IFERROR(D25/$C$8,0)</f>
        <v>-0.228903276278004</v>
      </c>
    </row>
    <row r="26" customFormat="false" ht="15" hidden="false" customHeight="false" outlineLevel="0" collapsed="false">
      <c r="A26" s="12" t="s">
        <v>1020</v>
      </c>
      <c r="C26" s="56" t="n">
        <v>0.9</v>
      </c>
      <c r="D26" s="120" t="n">
        <f aca="false">SUMPRODUCT(($C$12:$G$12))+('Total Revenue'!B$25+'Total Revenue'!O$25+'Total Revenue'!AB$25+'Total Revenue'!AO$25+'Total Revenue'!BB$25-Expenses!B$24-Expenses!O$24-Expenses!AB$24-Expenses!AO$24-Expenses!BB$24)*(C26-1)</f>
        <v>509560.567248758</v>
      </c>
      <c r="E26" s="55" t="n">
        <f aca="false">IFERROR(D26/$C$8,0)</f>
        <v>2.54780283624379</v>
      </c>
    </row>
    <row r="27" customFormat="false" ht="15" hidden="false" customHeight="false" outlineLevel="0" collapsed="false">
      <c r="A27" s="12" t="s">
        <v>1020</v>
      </c>
      <c r="C27" s="56" t="n">
        <v>1</v>
      </c>
      <c r="D27" s="120" t="n">
        <f aca="false">SUMPRODUCT(($C$12:$G$12))+('Total Revenue'!B$25+'Total Revenue'!O$25+'Total Revenue'!AB$25+'Total Revenue'!AO$25+'Total Revenue'!BB$25-Expenses!B$24-Expenses!O$24-Expenses!AB$24-Expenses!AO$24-Expenses!BB$24)*(C27-1)</f>
        <v>879788.04891833</v>
      </c>
      <c r="E27" s="55" t="n">
        <f aca="false">IFERROR(D27/$C$8,0)</f>
        <v>4.39894024459165</v>
      </c>
    </row>
    <row r="28" customFormat="false" ht="15" hidden="false" customHeight="false" outlineLevel="0" collapsed="false">
      <c r="A28" s="12" t="s">
        <v>1020</v>
      </c>
      <c r="C28" s="56" t="n">
        <v>1.1</v>
      </c>
      <c r="D28" s="120" t="n">
        <f aca="false">SUMPRODUCT(($C$12:$G$12))+('Total Revenue'!B$25+'Total Revenue'!O$25+'Total Revenue'!AB$25+'Total Revenue'!AO$25+'Total Revenue'!BB$25-Expenses!B$24-Expenses!O$24-Expenses!AB$24-Expenses!AO$24-Expenses!BB$24)*(C28-1)</f>
        <v>1250015.5305879</v>
      </c>
      <c r="E28" s="55" t="n">
        <f aca="false">IFERROR(D28/$C$8,0)</f>
        <v>6.25007765293951</v>
      </c>
    </row>
    <row r="29" customFormat="false" ht="15" hidden="false" customHeight="false" outlineLevel="0" collapsed="false">
      <c r="A29" s="12" t="s">
        <v>1020</v>
      </c>
      <c r="C29" s="56" t="n">
        <v>1.25</v>
      </c>
      <c r="D29" s="120" t="n">
        <f aca="false">SUMPRODUCT(($C$12:$G$12))+('Total Revenue'!B$25+'Total Revenue'!O$25+'Total Revenue'!AB$25+'Total Revenue'!AO$25+'Total Revenue'!BB$25-Expenses!B$24-Expenses!O$24-Expenses!AB$24-Expenses!AO$24-Expenses!BB$24)*(C29-1)</f>
        <v>1805356.75309226</v>
      </c>
      <c r="E29" s="55" t="n">
        <f aca="false">IFERROR(D29/$C$8,0)</f>
        <v>9.0267837654613</v>
      </c>
    </row>
    <row r="30" customFormat="false" ht="15" hidden="false" customHeight="false" outlineLevel="0" collapsed="false">
      <c r="A30" s="71" t="s">
        <v>1021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1022</v>
      </c>
    </row>
    <row r="2" customFormat="false" ht="13.5" hidden="false" customHeight="true" outlineLevel="0" collapsed="false">
      <c r="A2" s="6" t="s">
        <v>1023</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1024</v>
      </c>
      <c r="B5" s="15"/>
      <c r="C5" s="15"/>
      <c r="D5" s="15"/>
      <c r="E5" s="15"/>
      <c r="F5" s="15"/>
      <c r="G5" s="15"/>
      <c r="H5" s="15"/>
      <c r="I5" s="15"/>
    </row>
    <row r="6" customFormat="false" ht="15" hidden="false" customHeight="false" outlineLevel="0" collapsed="false">
      <c r="A6" s="71" t="s">
        <v>1025</v>
      </c>
    </row>
    <row r="7" customFormat="false" ht="15" hidden="false" customHeight="false" outlineLevel="0" collapsed="false">
      <c r="B7" s="130" t="s">
        <v>1026</v>
      </c>
      <c r="C7" s="131" t="n">
        <v>-0.15</v>
      </c>
      <c r="D7" s="131" t="n">
        <v>-0.075</v>
      </c>
      <c r="E7" s="131" t="n">
        <v>0</v>
      </c>
      <c r="F7" s="131" t="n">
        <v>0.075</v>
      </c>
      <c r="G7" s="131" t="n">
        <v>0.15</v>
      </c>
    </row>
    <row r="8" customFormat="false" ht="15" hidden="false" customHeight="false" outlineLevel="0" collapsed="false">
      <c r="A8" s="130" t="s">
        <v>1027</v>
      </c>
      <c r="B8" s="132" t="n">
        <v>-0.3</v>
      </c>
      <c r="C8" s="133" t="n">
        <f aca="false">'Total Revenue'!BB$25*(1+$B$8)*(1+C$7)-Expenses!BB$24*(1+$B$8)-Expenses!BB$45</f>
        <v>-59531.4068870201</v>
      </c>
      <c r="D8" s="133" t="n">
        <f aca="false">'Total Revenue'!BB$25*(1+$B$8)*(1+D$7)-Expenses!BB$24*(1+$B$8)-Expenses!BB$45</f>
        <v>70831.295375574</v>
      </c>
      <c r="E8" s="133" t="n">
        <f aca="false">'Total Revenue'!BB$25*(1+$B$8)*(1+E$7)-Expenses!BB$24*(1+$B$8)-Expenses!BB$45</f>
        <v>201193.997638168</v>
      </c>
      <c r="F8" s="133" t="n">
        <f aca="false">'Total Revenue'!BB$25*(1+$B$8)*(1+F$7)-Expenses!BB$24*(1+$B$8)-Expenses!BB$45</f>
        <v>331556.699900762</v>
      </c>
      <c r="G8" s="133" t="n">
        <f aca="false">'Total Revenue'!BB$25*(1+$B$8)*(1+G$7)-Expenses!BB$24*(1+$B$8)-Expenses!BB$45</f>
        <v>461919.402163356</v>
      </c>
    </row>
    <row r="9" customFormat="false" ht="15" hidden="false" customHeight="false" outlineLevel="0" collapsed="false">
      <c r="A9" s="130"/>
      <c r="B9" s="132" t="n">
        <v>-0.15</v>
      </c>
      <c r="C9" s="133" t="n">
        <f aca="false">'Total Revenue'!BB$25*(1+$B$9)*(1+C$7)-Expenses!BB$24*(1+$B$9)-Expenses!BB$45</f>
        <v>109691.758690594</v>
      </c>
      <c r="D9" s="133" t="n">
        <f aca="false">'Total Revenue'!BB$25*(1+$B$9)*(1+D$7)-Expenses!BB$24*(1+$B$9)-Expenses!BB$45</f>
        <v>267989.325723745</v>
      </c>
      <c r="E9" s="133" t="n">
        <f aca="false">'Total Revenue'!BB$25*(1+$B$9)*(1+E$7)-Expenses!BB$24*(1+$B$9)-Expenses!BB$45</f>
        <v>426286.892756895</v>
      </c>
      <c r="F9" s="133" t="n">
        <f aca="false">'Total Revenue'!BB$25*(1+$B$9)*(1+F$7)-Expenses!BB$24*(1+$B$9)-Expenses!BB$45</f>
        <v>584584.459790044</v>
      </c>
      <c r="G9" s="133" t="n">
        <f aca="false">'Total Revenue'!BB$25*(1+$B$9)*(1+G$7)-Expenses!BB$24*(1+$B$9)-Expenses!BB$45</f>
        <v>742882.026823195</v>
      </c>
    </row>
    <row r="10" customFormat="false" ht="15" hidden="false" customHeight="false" outlineLevel="0" collapsed="false">
      <c r="A10" s="130"/>
      <c r="B10" s="132" t="n">
        <v>0</v>
      </c>
      <c r="C10" s="133" t="n">
        <f aca="false">'Total Revenue'!BB$25*(1+$B$10)*(1+C$7)-Expenses!BB$24*(1+$B$10)-Expenses!BB$45</f>
        <v>278914.924268209</v>
      </c>
      <c r="D10" s="133" t="n">
        <f aca="false">'Total Revenue'!BB$25*(1+$B$10)*(1+D$7)-Expenses!BB$24*(1+$B$10)-Expenses!BB$45</f>
        <v>465147.356071915</v>
      </c>
      <c r="E10" s="133" t="n">
        <f aca="false">'Total Revenue'!BB$25*(1+$B$10)*(1+E$7)-Expenses!BB$24*(1+$B$10)-Expenses!BB$45</f>
        <v>651379.787875621</v>
      </c>
      <c r="F10" s="133" t="n">
        <f aca="false">'Total Revenue'!BB$25*(1+$B$10)*(1+F$7)-Expenses!BB$24*(1+$B$10)-Expenses!BB$45</f>
        <v>837612.219679326</v>
      </c>
      <c r="G10" s="133" t="n">
        <f aca="false">'Total Revenue'!BB$25*(1+$B$10)*(1+G$7)-Expenses!BB$24*(1+$B$10)-Expenses!BB$45</f>
        <v>1023844.65148303</v>
      </c>
    </row>
    <row r="11" customFormat="false" ht="15" hidden="false" customHeight="false" outlineLevel="0" collapsed="false">
      <c r="A11" s="130"/>
      <c r="B11" s="132" t="n">
        <v>0.15</v>
      </c>
      <c r="C11" s="133" t="n">
        <f aca="false">'Total Revenue'!BB$25*(1+$B$11)*(1+C$7)-Expenses!BB$24*(1+$B$11)-Expenses!BB$45</f>
        <v>448138.089845823</v>
      </c>
      <c r="D11" s="133" t="n">
        <f aca="false">'Total Revenue'!BB$25*(1+$B$11)*(1+D$7)-Expenses!BB$24*(1+$B$11)-Expenses!BB$45</f>
        <v>662305.386420085</v>
      </c>
      <c r="E11" s="133" t="n">
        <f aca="false">'Total Revenue'!BB$25*(1+$B$11)*(1+E$7)-Expenses!BB$24*(1+$B$11)-Expenses!BB$45</f>
        <v>876472.682994347</v>
      </c>
      <c r="F11" s="133" t="n">
        <f aca="false">'Total Revenue'!BB$25*(1+$B$11)*(1+F$7)-Expenses!BB$24*(1+$B$11)-Expenses!BB$45</f>
        <v>1090639.97956861</v>
      </c>
      <c r="G11" s="133" t="n">
        <f aca="false">'Total Revenue'!BB$25*(1+$B$11)*(1+G$7)-Expenses!BB$24*(1+$B$11)-Expenses!BB$45</f>
        <v>1304807.27614287</v>
      </c>
    </row>
    <row r="12" customFormat="false" ht="15" hidden="false" customHeight="false" outlineLevel="0" collapsed="false">
      <c r="A12" s="130"/>
      <c r="B12" s="132" t="n">
        <v>0.3</v>
      </c>
      <c r="C12" s="133" t="n">
        <f aca="false">'Total Revenue'!BB$25*(1+$B$12)*(1+C$7)-Expenses!BB$24*(1+$B$12)-Expenses!BB$45</f>
        <v>617361.255423437</v>
      </c>
      <c r="D12" s="133" t="n">
        <f aca="false">'Total Revenue'!BB$25*(1+$B$12)*(1+D$7)-Expenses!BB$24*(1+$B$12)-Expenses!BB$45</f>
        <v>859463.416768256</v>
      </c>
      <c r="E12" s="133" t="n">
        <f aca="false">'Total Revenue'!BB$25*(1+$B$12)*(1+E$7)-Expenses!BB$24*(1+$B$12)-Expenses!BB$45</f>
        <v>1101565.57811307</v>
      </c>
      <c r="F12" s="133" t="n">
        <f aca="false">'Total Revenue'!BB$25*(1+$B$12)*(1+F$7)-Expenses!BB$24*(1+$B$12)-Expenses!BB$45</f>
        <v>1343667.73945789</v>
      </c>
      <c r="G12" s="133" t="n">
        <f aca="false">'Total Revenue'!BB$25*(1+$B$12)*(1+G$7)-Expenses!BB$24*(1+$B$12)-Expenses!BB$45</f>
        <v>1585769.90080271</v>
      </c>
    </row>
    <row r="14" customFormat="false" ht="16.5" hidden="false" customHeight="true" outlineLevel="0" collapsed="false">
      <c r="A14" s="15" t="s">
        <v>1028</v>
      </c>
      <c r="B14" s="15"/>
      <c r="C14" s="15"/>
      <c r="D14" s="15"/>
      <c r="E14" s="15"/>
      <c r="F14" s="15"/>
      <c r="G14" s="15"/>
      <c r="H14" s="15"/>
      <c r="I14" s="15"/>
    </row>
    <row r="15" customFormat="false" ht="15" hidden="false" customHeight="false" outlineLevel="0" collapsed="false">
      <c r="A15" s="71" t="s">
        <v>1029</v>
      </c>
    </row>
    <row r="16" customFormat="false" ht="15" hidden="false" customHeight="false" outlineLevel="0" collapsed="false">
      <c r="B16" s="130" t="s">
        <v>1030</v>
      </c>
      <c r="C16" s="131" t="n">
        <v>-0.2</v>
      </c>
      <c r="D16" s="131" t="n">
        <v>-0.1</v>
      </c>
      <c r="E16" s="131" t="n">
        <v>0</v>
      </c>
      <c r="F16" s="131" t="n">
        <v>0.1</v>
      </c>
      <c r="G16" s="131" t="n">
        <v>0.2</v>
      </c>
    </row>
    <row r="17" customFormat="false" ht="15" hidden="false" customHeight="false" outlineLevel="0" collapsed="false">
      <c r="A17" s="130" t="s">
        <v>1027</v>
      </c>
      <c r="B17" s="132" t="n">
        <v>-0.3</v>
      </c>
      <c r="C17" s="133" t="n">
        <f aca="false">'Total Revenue'!BB$25*(1+$B$17)-Expenses!BB$24*(1+$B$17)-Expenses!BB$45*(1+C$16)</f>
        <v>371041.900221346</v>
      </c>
      <c r="D17" s="133" t="n">
        <f aca="false">'Total Revenue'!BB$25*(1+$B$17)-Expenses!BB$24*(1+$B$17)-Expenses!BB$45*(1+D$16)</f>
        <v>286117.948929757</v>
      </c>
      <c r="E17" s="133" t="n">
        <f aca="false">'Total Revenue'!BB$25*(1+$B$17)-Expenses!BB$24*(1+$B$17)-Expenses!BB$45*(1+E$16)</f>
        <v>201193.997638168</v>
      </c>
      <c r="F17" s="133" t="n">
        <f aca="false">'Total Revenue'!BB$25*(1+$B$17)-Expenses!BB$24*(1+$B$17)-Expenses!BB$45*(1+F$16)</f>
        <v>116270.046346579</v>
      </c>
      <c r="G17" s="133" t="n">
        <f aca="false">'Total Revenue'!BB$25*(1+$B$17)-Expenses!BB$24*(1+$B$17)-Expenses!BB$45*(1+G$16)</f>
        <v>31346.0950549908</v>
      </c>
    </row>
    <row r="18" customFormat="false" ht="15" hidden="false" customHeight="false" outlineLevel="0" collapsed="false">
      <c r="A18" s="130"/>
      <c r="B18" s="132" t="n">
        <v>-0.15</v>
      </c>
      <c r="C18" s="133" t="n">
        <f aca="false">'Total Revenue'!BB$25*(1+$B$18)-Expenses!BB$24*(1+$B$18)-Expenses!BB$45*(1+C$16)</f>
        <v>596134.795340072</v>
      </c>
      <c r="D18" s="133" t="n">
        <f aca="false">'Total Revenue'!BB$25*(1+$B$18)-Expenses!BB$24*(1+$B$18)-Expenses!BB$45*(1+D$16)</f>
        <v>511210.844048483</v>
      </c>
      <c r="E18" s="133" t="n">
        <f aca="false">'Total Revenue'!BB$25*(1+$B$18)-Expenses!BB$24*(1+$B$18)-Expenses!BB$45*(1+E$16)</f>
        <v>426286.892756895</v>
      </c>
      <c r="F18" s="133" t="n">
        <f aca="false">'Total Revenue'!BB$25*(1+$B$18)-Expenses!BB$24*(1+$B$18)-Expenses!BB$45*(1+F$16)</f>
        <v>341362.941465306</v>
      </c>
      <c r="G18" s="133" t="n">
        <f aca="false">'Total Revenue'!BB$25*(1+$B$18)-Expenses!BB$24*(1+$B$18)-Expenses!BB$45*(1+G$16)</f>
        <v>256438.990173717</v>
      </c>
    </row>
    <row r="19" customFormat="false" ht="15" hidden="false" customHeight="false" outlineLevel="0" collapsed="false">
      <c r="A19" s="130"/>
      <c r="B19" s="132" t="n">
        <v>0</v>
      </c>
      <c r="C19" s="133" t="n">
        <f aca="false">'Total Revenue'!BB$25*(1+$B$19)-Expenses!BB$24*(1+$B$19)-Expenses!BB$45*(1+C$16)</f>
        <v>821227.690458798</v>
      </c>
      <c r="D19" s="133" t="n">
        <f aca="false">'Total Revenue'!BB$25*(1+$B$19)-Expenses!BB$24*(1+$B$19)-Expenses!BB$45*(1+D$16)</f>
        <v>736303.739167209</v>
      </c>
      <c r="E19" s="133" t="n">
        <f aca="false">'Total Revenue'!BB$25*(1+$B$19)-Expenses!BB$24*(1+$B$19)-Expenses!BB$45*(1+E$16)</f>
        <v>651379.787875621</v>
      </c>
      <c r="F19" s="133" t="n">
        <f aca="false">'Total Revenue'!BB$25*(1+$B$19)-Expenses!BB$24*(1+$B$19)-Expenses!BB$45*(1+F$16)</f>
        <v>566455.836584032</v>
      </c>
      <c r="G19" s="133" t="n">
        <f aca="false">'Total Revenue'!BB$25*(1+$B$19)-Expenses!BB$24*(1+$B$19)-Expenses!BB$45*(1+G$16)</f>
        <v>481531.885292443</v>
      </c>
    </row>
    <row r="20" customFormat="false" ht="15" hidden="false" customHeight="false" outlineLevel="0" collapsed="false">
      <c r="A20" s="130"/>
      <c r="B20" s="132" t="n">
        <v>0.15</v>
      </c>
      <c r="C20" s="133" t="n">
        <f aca="false">'Total Revenue'!BB$25*(1+$B$20)-Expenses!BB$24*(1+$B$20)-Expenses!BB$45*(1+C$16)</f>
        <v>1046320.58557752</v>
      </c>
      <c r="D20" s="133" t="n">
        <f aca="false">'Total Revenue'!BB$25*(1+$B$20)-Expenses!BB$24*(1+$B$20)-Expenses!BB$45*(1+D$16)</f>
        <v>961396.634285935</v>
      </c>
      <c r="E20" s="133" t="n">
        <f aca="false">'Total Revenue'!BB$25*(1+$B$20)-Expenses!BB$24*(1+$B$20)-Expenses!BB$45*(1+E$16)</f>
        <v>876472.682994347</v>
      </c>
      <c r="F20" s="133" t="n">
        <f aca="false">'Total Revenue'!BB$25*(1+$B$20)-Expenses!BB$24*(1+$B$20)-Expenses!BB$45*(1+F$16)</f>
        <v>791548.731702758</v>
      </c>
      <c r="G20" s="133" t="n">
        <f aca="false">'Total Revenue'!BB$25*(1+$B$20)-Expenses!BB$24*(1+$B$20)-Expenses!BB$45*(1+G$16)</f>
        <v>706624.780411169</v>
      </c>
    </row>
    <row r="21" customFormat="false" ht="15" hidden="false" customHeight="false" outlineLevel="0" collapsed="false">
      <c r="A21" s="130"/>
      <c r="B21" s="132" t="n">
        <v>0.3</v>
      </c>
      <c r="C21" s="133" t="n">
        <f aca="false">'Total Revenue'!BB$25*(1+$B$21)-Expenses!BB$24*(1+$B$21)-Expenses!BB$45*(1+C$16)</f>
        <v>1271413.48069625</v>
      </c>
      <c r="D21" s="133" t="n">
        <f aca="false">'Total Revenue'!BB$25*(1+$B$21)-Expenses!BB$24*(1+$B$21)-Expenses!BB$45*(1+D$16)</f>
        <v>1186489.52940466</v>
      </c>
      <c r="E21" s="133" t="n">
        <f aca="false">'Total Revenue'!BB$25*(1+$B$21)-Expenses!BB$24*(1+$B$21)-Expenses!BB$45*(1+E$16)</f>
        <v>1101565.57811307</v>
      </c>
      <c r="F21" s="133" t="n">
        <f aca="false">'Total Revenue'!BB$25*(1+$B$21)-Expenses!BB$24*(1+$B$21)-Expenses!BB$45*(1+F$16)</f>
        <v>1016641.62682148</v>
      </c>
      <c r="G21" s="133" t="n">
        <f aca="false">'Total Revenue'!BB$25*(1+$B$21)-Expenses!BB$24*(1+$B$21)-Expenses!BB$45*(1+G$16)</f>
        <v>931717.675529896</v>
      </c>
    </row>
    <row r="23" customFormat="false" ht="16.5" hidden="false" customHeight="true" outlineLevel="0" collapsed="false">
      <c r="A23" s="15" t="s">
        <v>1031</v>
      </c>
      <c r="B23" s="15"/>
      <c r="C23" s="15"/>
      <c r="D23" s="15"/>
      <c r="E23" s="15"/>
      <c r="F23" s="15"/>
      <c r="G23" s="15"/>
      <c r="H23" s="15"/>
      <c r="I23" s="15"/>
    </row>
    <row r="24" customFormat="false" ht="15" hidden="false" customHeight="false" outlineLevel="0" collapsed="false">
      <c r="A24" s="71" t="s">
        <v>1032</v>
      </c>
    </row>
    <row r="25" customFormat="false" ht="15" hidden="false" customHeight="false" outlineLevel="0" collapsed="false">
      <c r="B25" s="130" t="s">
        <v>1033</v>
      </c>
      <c r="C25" s="131" t="n">
        <v>-0.4</v>
      </c>
      <c r="D25" s="131" t="n">
        <v>-0.2</v>
      </c>
      <c r="E25" s="131" t="n">
        <v>0</v>
      </c>
      <c r="F25" s="131" t="n">
        <v>0.25</v>
      </c>
      <c r="G25" s="131" t="n">
        <v>0.5</v>
      </c>
    </row>
    <row r="26" customFormat="false" ht="15" hidden="false" customHeight="false" outlineLevel="0" collapsed="false">
      <c r="A26" s="130" t="s">
        <v>1034</v>
      </c>
      <c r="B26" s="132" t="n">
        <v>-0.3</v>
      </c>
      <c r="C26" s="133" t="n">
        <f aca="false">'Total Revenue'!BB$25-Expenses!BB$24-Expenses!BB$45+('Revenue Streams'!BB$45*C$25)-(Acquisitions!BB$31*$B$26)</f>
        <v>645972.86118615</v>
      </c>
      <c r="D26" s="133" t="n">
        <f aca="false">'Total Revenue'!BB$25-Expenses!BB$24-Expenses!BB$45+('Revenue Streams'!BB$45*D$25)-(Acquisitions!BB$31*$B$26)</f>
        <v>657586.324530885</v>
      </c>
      <c r="E26" s="133" t="n">
        <f aca="false">'Total Revenue'!BB$25-Expenses!BB$24-Expenses!BB$45+('Revenue Streams'!BB$45*E$25)-(Acquisitions!BB$31*$B$26)</f>
        <v>669199.787875621</v>
      </c>
      <c r="F26" s="133" t="n">
        <f aca="false">'Total Revenue'!BB$25-Expenses!BB$24-Expenses!BB$45+('Revenue Streams'!BB$45*F$25)-(Acquisitions!BB$31*$B$26)</f>
        <v>683716.61705654</v>
      </c>
      <c r="G26" s="133" t="n">
        <f aca="false">'Total Revenue'!BB$25-Expenses!BB$24-Expenses!BB$45+('Revenue Streams'!BB$45*G$25)-(Acquisitions!BB$31*$B$26)</f>
        <v>698233.446237459</v>
      </c>
    </row>
    <row r="27" customFormat="false" ht="15" hidden="false" customHeight="false" outlineLevel="0" collapsed="false">
      <c r="A27" s="130"/>
      <c r="B27" s="132" t="n">
        <v>-0.15</v>
      </c>
      <c r="C27" s="133" t="n">
        <f aca="false">'Total Revenue'!BB$25-Expenses!BB$24-Expenses!BB$45+('Revenue Streams'!BB$45*C$25)-(Acquisitions!BB$31*$B$27)</f>
        <v>637062.86118615</v>
      </c>
      <c r="D27" s="133" t="n">
        <f aca="false">'Total Revenue'!BB$25-Expenses!BB$24-Expenses!BB$45+('Revenue Streams'!BB$45*D$25)-(Acquisitions!BB$31*$B$27)</f>
        <v>648676.324530885</v>
      </c>
      <c r="E27" s="133" t="n">
        <f aca="false">'Total Revenue'!BB$25-Expenses!BB$24-Expenses!BB$45+('Revenue Streams'!BB$45*E$25)-(Acquisitions!BB$31*$B$27)</f>
        <v>660289.787875621</v>
      </c>
      <c r="F27" s="133" t="n">
        <f aca="false">'Total Revenue'!BB$25-Expenses!BB$24-Expenses!BB$45+('Revenue Streams'!BB$45*F$25)-(Acquisitions!BB$31*$B$27)</f>
        <v>674806.61705654</v>
      </c>
      <c r="G27" s="133" t="n">
        <f aca="false">'Total Revenue'!BB$25-Expenses!BB$24-Expenses!BB$45+('Revenue Streams'!BB$45*G$25)-(Acquisitions!BB$31*$B$27)</f>
        <v>689323.446237459</v>
      </c>
    </row>
    <row r="28" customFormat="false" ht="15" hidden="false" customHeight="false" outlineLevel="0" collapsed="false">
      <c r="A28" s="130"/>
      <c r="B28" s="132" t="n">
        <v>0</v>
      </c>
      <c r="C28" s="133" t="n">
        <f aca="false">'Total Revenue'!BB$25-Expenses!BB$24-Expenses!BB$45+('Revenue Streams'!BB$45*C$25)-(Acquisitions!BB$31*$B$28)</f>
        <v>628152.86118615</v>
      </c>
      <c r="D28" s="133" t="n">
        <f aca="false">'Total Revenue'!BB$25-Expenses!BB$24-Expenses!BB$45+('Revenue Streams'!BB$45*D$25)-(Acquisitions!BB$31*$B$28)</f>
        <v>639766.324530885</v>
      </c>
      <c r="E28" s="133" t="n">
        <f aca="false">'Total Revenue'!BB$25-Expenses!BB$24-Expenses!BB$45+('Revenue Streams'!BB$45*E$25)-(Acquisitions!BB$31*$B$28)</f>
        <v>651379.787875621</v>
      </c>
      <c r="F28" s="133" t="n">
        <f aca="false">'Total Revenue'!BB$25-Expenses!BB$24-Expenses!BB$45+('Revenue Streams'!BB$45*F$25)-(Acquisitions!BB$31*$B$28)</f>
        <v>665896.61705654</v>
      </c>
      <c r="G28" s="133" t="n">
        <f aca="false">'Total Revenue'!BB$25-Expenses!BB$24-Expenses!BB$45+('Revenue Streams'!BB$45*G$25)-(Acquisitions!BB$31*$B$28)</f>
        <v>680413.446237459</v>
      </c>
    </row>
    <row r="29" customFormat="false" ht="15" hidden="false" customHeight="false" outlineLevel="0" collapsed="false">
      <c r="A29" s="130"/>
      <c r="B29" s="132" t="n">
        <v>0.25</v>
      </c>
      <c r="C29" s="133" t="n">
        <f aca="false">'Total Revenue'!BB$25-Expenses!BB$24-Expenses!BB$45+('Revenue Streams'!BB$45*C$25)-(Acquisitions!BB$31*$B$29)</f>
        <v>613302.86118615</v>
      </c>
      <c r="D29" s="133" t="n">
        <f aca="false">'Total Revenue'!BB$25-Expenses!BB$24-Expenses!BB$45+('Revenue Streams'!BB$45*D$25)-(Acquisitions!BB$31*$B$29)</f>
        <v>624916.324530885</v>
      </c>
      <c r="E29" s="133" t="n">
        <f aca="false">'Total Revenue'!BB$25-Expenses!BB$24-Expenses!BB$45+('Revenue Streams'!BB$45*E$25)-(Acquisitions!BB$31*$B$29)</f>
        <v>636529.787875621</v>
      </c>
      <c r="F29" s="133" t="n">
        <f aca="false">'Total Revenue'!BB$25-Expenses!BB$24-Expenses!BB$45+('Revenue Streams'!BB$45*F$25)-(Acquisitions!BB$31*$B$29)</f>
        <v>651046.61705654</v>
      </c>
      <c r="G29" s="133" t="n">
        <f aca="false">'Total Revenue'!BB$25-Expenses!BB$24-Expenses!BB$45+('Revenue Streams'!BB$45*G$25)-(Acquisitions!BB$31*$B$29)</f>
        <v>665563.446237459</v>
      </c>
    </row>
    <row r="30" customFormat="false" ht="15" hidden="false" customHeight="false" outlineLevel="0" collapsed="false">
      <c r="A30" s="130"/>
      <c r="B30" s="132" t="n">
        <v>0.5</v>
      </c>
      <c r="C30" s="133" t="n">
        <f aca="false">'Total Revenue'!BB$25-Expenses!BB$24-Expenses!BB$45+('Revenue Streams'!BB$45*C$25)-(Acquisitions!BB$31*$B$30)</f>
        <v>598452.86118615</v>
      </c>
      <c r="D30" s="133" t="n">
        <f aca="false">'Total Revenue'!BB$25-Expenses!BB$24-Expenses!BB$45+('Revenue Streams'!BB$45*D$25)-(Acquisitions!BB$31*$B$30)</f>
        <v>610066.324530885</v>
      </c>
      <c r="E30" s="133" t="n">
        <f aca="false">'Total Revenue'!BB$25-Expenses!BB$24-Expenses!BB$45+('Revenue Streams'!BB$45*E$25)-(Acquisitions!BB$31*$B$30)</f>
        <v>621679.787875621</v>
      </c>
      <c r="F30" s="133" t="n">
        <f aca="false">'Total Revenue'!BB$25-Expenses!BB$24-Expenses!BB$45+('Revenue Streams'!BB$45*F$25)-(Acquisitions!BB$31*$B$30)</f>
        <v>636196.61705654</v>
      </c>
      <c r="G30" s="133" t="n">
        <f aca="false">'Total Revenue'!BB$25-Expenses!BB$24-Expenses!BB$45+('Revenue Streams'!BB$45*G$25)-(Acquisitions!BB$31*$B$30)</f>
        <v>650713.446237459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1035</v>
      </c>
    </row>
    <row r="2" customFormat="false" ht="13.5" hidden="false" customHeight="true" outlineLevel="0" collapsed="false">
      <c r="A2" s="6" t="s">
        <v>1036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1037</v>
      </c>
      <c r="B5" s="15"/>
      <c r="C5" s="15"/>
      <c r="D5" s="15"/>
      <c r="E5" s="15"/>
      <c r="F5" s="15"/>
      <c r="G5" s="15"/>
      <c r="H5" s="15"/>
      <c r="I5" s="15"/>
      <c r="J5" s="15"/>
    </row>
    <row r="6" customFormat="false" ht="25.5" hidden="false" customHeight="true" outlineLevel="0" collapsed="false">
      <c r="A6" s="127" t="s">
        <v>1038</v>
      </c>
      <c r="B6" s="16"/>
      <c r="C6" s="129" t="s">
        <v>1039</v>
      </c>
      <c r="D6" s="129" t="s">
        <v>1040</v>
      </c>
      <c r="E6" s="129" t="s">
        <v>1041</v>
      </c>
      <c r="F6" s="129" t="s">
        <v>1042</v>
      </c>
      <c r="G6" s="129" t="s">
        <v>1043</v>
      </c>
    </row>
    <row r="7" customFormat="false" ht="15" hidden="false" customHeight="false" outlineLevel="0" collapsed="false">
      <c r="A7" s="18" t="s">
        <v>1044</v>
      </c>
      <c r="B7" s="22" t="s">
        <v>1045</v>
      </c>
      <c r="C7" s="56" t="n">
        <v>1</v>
      </c>
      <c r="D7" s="56" t="n">
        <v>1</v>
      </c>
      <c r="E7" s="56" t="n">
        <v>1</v>
      </c>
      <c r="F7" s="56" t="n">
        <v>1</v>
      </c>
      <c r="G7" s="56" t="n">
        <v>1</v>
      </c>
    </row>
    <row r="8" customFormat="false" ht="15" hidden="false" customHeight="false" outlineLevel="0" collapsed="false">
      <c r="A8" s="12" t="s">
        <v>1046</v>
      </c>
      <c r="B8" s="22" t="s">
        <v>1047</v>
      </c>
      <c r="C8" s="56" t="n">
        <v>1.2</v>
      </c>
      <c r="D8" s="56" t="n">
        <v>1.03</v>
      </c>
      <c r="E8" s="56" t="n">
        <v>1.06</v>
      </c>
      <c r="F8" s="56" t="n">
        <v>0.92</v>
      </c>
      <c r="G8" s="56" t="n">
        <v>1.15</v>
      </c>
    </row>
    <row r="9" customFormat="false" ht="15" hidden="false" customHeight="false" outlineLevel="0" collapsed="false">
      <c r="A9" s="12" t="s">
        <v>1048</v>
      </c>
      <c r="B9" s="22" t="s">
        <v>1049</v>
      </c>
      <c r="C9" s="56" t="n">
        <v>0.72</v>
      </c>
      <c r="D9" s="56" t="n">
        <v>0.94</v>
      </c>
      <c r="E9" s="56" t="n">
        <v>1</v>
      </c>
      <c r="F9" s="56" t="n">
        <v>1.2</v>
      </c>
      <c r="G9" s="56" t="n">
        <v>0.8</v>
      </c>
    </row>
    <row r="10" customFormat="false" ht="15" hidden="false" customHeight="false" outlineLevel="0" collapsed="false">
      <c r="A10" s="12" t="s">
        <v>1050</v>
      </c>
      <c r="B10" s="22" t="s">
        <v>1051</v>
      </c>
      <c r="C10" s="56" t="n">
        <v>0.5</v>
      </c>
      <c r="D10" s="56" t="n">
        <v>0.86</v>
      </c>
      <c r="E10" s="56" t="n">
        <v>0.96</v>
      </c>
      <c r="F10" s="56" t="n">
        <v>1.45</v>
      </c>
      <c r="G10" s="56" t="n">
        <v>0.65</v>
      </c>
    </row>
    <row r="12" customFormat="false" ht="16.5" hidden="false" customHeight="true" outlineLevel="0" collapsed="false">
      <c r="A12" s="15" t="s">
        <v>1052</v>
      </c>
      <c r="B12" s="15"/>
      <c r="C12" s="15"/>
      <c r="D12" s="15"/>
      <c r="E12" s="15"/>
      <c r="F12" s="15"/>
      <c r="G12" s="15"/>
      <c r="H12" s="15"/>
      <c r="I12" s="15"/>
      <c r="J12" s="15"/>
    </row>
    <row r="13" customFormat="false" ht="15" hidden="false" customHeight="false" outlineLevel="0" collapsed="false">
      <c r="A13" s="16"/>
      <c r="B13" s="16"/>
      <c r="C13" s="17" t="s">
        <v>81</v>
      </c>
      <c r="D13" s="17" t="s">
        <v>82</v>
      </c>
      <c r="E13" s="17" t="s">
        <v>83</v>
      </c>
      <c r="F13" s="17" t="s">
        <v>84</v>
      </c>
      <c r="G13" s="17" t="s">
        <v>85</v>
      </c>
    </row>
    <row r="14" customFormat="false" ht="15" hidden="false" customHeight="false" outlineLevel="0" collapsed="false">
      <c r="A14" s="18" t="s">
        <v>1044</v>
      </c>
      <c r="C14" s="19" t="n">
        <f aca="false">'Total Revenue'!B$25*$C$7*$D$7</f>
        <v>103587.386308824</v>
      </c>
      <c r="D14" s="19" t="n">
        <f aca="false">'Total Revenue'!O$25*$C$7*$D$7</f>
        <v>598105.707372232</v>
      </c>
      <c r="E14" s="19" t="n">
        <f aca="false">'Total Revenue'!AB$25*$C$7*$D$7</f>
        <v>1085654.37612042</v>
      </c>
      <c r="F14" s="19" t="n">
        <f aca="false">'Total Revenue'!AO$25*$C$7*$D$7</f>
        <v>1759671.91303074</v>
      </c>
      <c r="G14" s="19" t="n">
        <f aca="false">'Total Revenue'!BB$25*$C$7*$D$7</f>
        <v>2483099.09071608</v>
      </c>
    </row>
    <row r="15" customFormat="false" ht="15" hidden="false" customHeight="false" outlineLevel="0" collapsed="false">
      <c r="A15" s="12" t="s">
        <v>1046</v>
      </c>
      <c r="C15" s="120" t="n">
        <f aca="false">'Total Revenue'!B$25*$C$8*$D$8</f>
        <v>128034.009477706</v>
      </c>
      <c r="D15" s="120" t="n">
        <f aca="false">'Total Revenue'!O$25*$C$8*$D$8</f>
        <v>739258.654312078</v>
      </c>
      <c r="E15" s="120" t="n">
        <f aca="false">'Total Revenue'!AB$25*$C$8*$D$8</f>
        <v>1341868.80888484</v>
      </c>
      <c r="F15" s="120" t="n">
        <f aca="false">'Total Revenue'!AO$25*$C$8*$D$8</f>
        <v>2174954.48450599</v>
      </c>
      <c r="G15" s="120" t="n">
        <f aca="false">'Total Revenue'!BB$25*$C$8*$D$8</f>
        <v>3069110.47612507</v>
      </c>
    </row>
    <row r="16" customFormat="false" ht="15" hidden="false" customHeight="false" outlineLevel="0" collapsed="false">
      <c r="A16" s="12" t="s">
        <v>1048</v>
      </c>
      <c r="C16" s="120" t="n">
        <f aca="false">'Total Revenue'!B$25*$C$9*$D$9</f>
        <v>70107.9430538118</v>
      </c>
      <c r="D16" s="120" t="n">
        <f aca="false">'Total Revenue'!O$25*$C$9*$D$9</f>
        <v>404797.942749526</v>
      </c>
      <c r="E16" s="120" t="n">
        <f aca="false">'Total Revenue'!AB$25*$C$9*$D$9</f>
        <v>734770.881758301</v>
      </c>
      <c r="F16" s="120" t="n">
        <f aca="false">'Total Revenue'!AO$25*$C$9*$D$9</f>
        <v>1190945.9507392</v>
      </c>
      <c r="G16" s="120" t="n">
        <f aca="false">'Total Revenue'!BB$25*$C$9*$D$9</f>
        <v>1680561.46459664</v>
      </c>
    </row>
    <row r="17" customFormat="false" ht="15" hidden="false" customHeight="false" outlineLevel="0" collapsed="false">
      <c r="A17" s="12" t="s">
        <v>1050</v>
      </c>
      <c r="C17" s="120" t="n">
        <f aca="false">'Total Revenue'!B$25*$C$10*$D$10</f>
        <v>44542.5761127942</v>
      </c>
      <c r="D17" s="120" t="n">
        <f aca="false">'Total Revenue'!O$25*$C$10*$D$10</f>
        <v>257185.45417006</v>
      </c>
      <c r="E17" s="120" t="n">
        <f aca="false">'Total Revenue'!AB$25*$C$10*$D$10</f>
        <v>466831.381731781</v>
      </c>
      <c r="F17" s="120" t="n">
        <f aca="false">'Total Revenue'!AO$25*$C$10*$D$10</f>
        <v>756658.922603217</v>
      </c>
      <c r="G17" s="120" t="n">
        <f aca="false">'Total Revenue'!BB$25*$C$10*$D$10</f>
        <v>1067732.60900791</v>
      </c>
    </row>
    <row r="19" customFormat="false" ht="16.5" hidden="false" customHeight="true" outlineLevel="0" collapsed="false">
      <c r="A19" s="15" t="s">
        <v>1053</v>
      </c>
      <c r="B19" s="15"/>
      <c r="C19" s="15"/>
      <c r="D19" s="15"/>
      <c r="E19" s="15"/>
      <c r="F19" s="15"/>
      <c r="G19" s="15"/>
      <c r="H19" s="15"/>
      <c r="I19" s="15"/>
      <c r="J19" s="15"/>
    </row>
    <row r="20" customFormat="false" ht="15" hidden="false" customHeight="false" outlineLevel="0" collapsed="false">
      <c r="A20" s="16"/>
      <c r="B20" s="16"/>
      <c r="C20" s="17" t="s">
        <v>81</v>
      </c>
      <c r="D20" s="17" t="s">
        <v>82</v>
      </c>
      <c r="E20" s="17" t="s">
        <v>83</v>
      </c>
      <c r="F20" s="17" t="s">
        <v>84</v>
      </c>
      <c r="G20" s="17" t="s">
        <v>85</v>
      </c>
    </row>
    <row r="21" customFormat="false" ht="15" hidden="false" customHeight="false" outlineLevel="0" collapsed="false">
      <c r="A21" s="18" t="s">
        <v>1044</v>
      </c>
      <c r="C21" s="19" t="n">
        <f aca="false">'Total Revenue'!B$25*$C$7*$D$7-Expenses!B$24*$C$7-Expenses!B$45*$E$7</f>
        <v>-41615.4727485801</v>
      </c>
      <c r="D21" s="19" t="n">
        <f aca="false">'Total Revenue'!O$25*$C$7*$D$7-Expenses!O$24*$C$7-Expenses!O$45*$E$7</f>
        <v>130894.566571157</v>
      </c>
      <c r="E21" s="19" t="n">
        <f aca="false">'Total Revenue'!AB$25*$C$7*$D$7-Expenses!AB$24*$C$7-Expenses!AB$45*$E$7</f>
        <v>221704.300510058</v>
      </c>
      <c r="F21" s="19" t="n">
        <f aca="false">'Total Revenue'!AO$25*$C$7*$D$7-Expenses!AO$24*$C$7-Expenses!AO$45*$E$7</f>
        <v>425945.229464403</v>
      </c>
      <c r="G21" s="19" t="n">
        <f aca="false">'Total Revenue'!BB$25*$C$7*$D$7-Expenses!BB$24*$C$7-Expenses!BB$45*$E$7</f>
        <v>651379.787875621</v>
      </c>
    </row>
    <row r="22" customFormat="false" ht="15" hidden="false" customHeight="false" outlineLevel="0" collapsed="false">
      <c r="A22" s="12" t="s">
        <v>1046</v>
      </c>
      <c r="C22" s="120" t="n">
        <f aca="false">'Total Revenue'!B$25*$C$8*$D$8-Expenses!B$24*$C$8-Expenses!B$45*$E$8</f>
        <v>-32005.2254989092</v>
      </c>
      <c r="D22" s="120" t="n">
        <f aca="false">'Total Revenue'!O$25*$C$8*$D$8-Expenses!O$24*$C$8-Expenses!O$45*$E$8</f>
        <v>214075.097230906</v>
      </c>
      <c r="E22" s="120" t="n">
        <f aca="false">'Total Revenue'!AB$25*$C$8*$D$8-Expenses!AB$24*$C$8-Expenses!AB$45*$E$8</f>
        <v>368835.415381937</v>
      </c>
      <c r="F22" s="120" t="n">
        <f aca="false">'Total Revenue'!AO$25*$C$8*$D$8-Expenses!AO$24*$C$8-Expenses!AO$45*$E$8</f>
        <v>666163.524119476</v>
      </c>
      <c r="G22" s="120" t="n">
        <f aca="false">'Total Revenue'!BB$25*$C$8*$D$8-Expenses!BB$24*$C$8-Expenses!BB$45*$E$8</f>
        <v>989940.844524748</v>
      </c>
    </row>
    <row r="23" customFormat="false" ht="15" hidden="false" customHeight="false" outlineLevel="0" collapsed="false">
      <c r="A23" s="12" t="s">
        <v>1048</v>
      </c>
      <c r="C23" s="120" t="n">
        <f aca="false">'Total Revenue'!B$25*$C$9*$D$9-Expenses!B$24*$C$9-Expenses!B$45*$E$9</f>
        <v>-62846.5072520572</v>
      </c>
      <c r="D23" s="120" t="n">
        <f aca="false">'Total Revenue'!O$25*$C$9*$D$9-Expenses!O$24*$C$9-Expenses!O$45*$E$9</f>
        <v>-2533.70238748295</v>
      </c>
      <c r="E23" s="120" t="n">
        <f aca="false">'Total Revenue'!AB$25*$C$9*$D$9-Expenses!AB$24*$C$9-Expenses!AB$45*$E$9</f>
        <v>-14686.5671402224</v>
      </c>
      <c r="F23" s="120" t="n">
        <f aca="false">'Total Revenue'!AO$25*$C$9*$D$9-Expenses!AO$24*$C$9-Expenses!AO$45*$E$9</f>
        <v>47300.618785269</v>
      </c>
      <c r="G23" s="120" t="n">
        <f aca="false">'Total Revenue'!BB$25*$C$9*$D$9-Expenses!BB$24*$C$9-Expenses!BB$45*$E$9</f>
        <v>123936.502935063</v>
      </c>
    </row>
    <row r="24" customFormat="false" ht="15" hidden="false" customHeight="false" outlineLevel="0" collapsed="false">
      <c r="A24" s="12" t="s">
        <v>1050</v>
      </c>
      <c r="C24" s="120" t="n">
        <f aca="false">'Total Revenue'!B$25*$C$10*$D$10-Expenses!B$24*$C$10-Expenses!B$45*$E$10</f>
        <v>-74729.7827762207</v>
      </c>
      <c r="D24" s="120" t="n">
        <f aca="false">'Total Revenue'!O$25*$C$10*$D$10-Expenses!O$24*$C$10-Expenses!O$45*$E$10</f>
        <v>-92963.783836579</v>
      </c>
      <c r="E24" s="120" t="n">
        <f aca="false">'Total Revenue'!AB$25*$C$10*$D$10-Expenses!AB$24*$C$10-Expenses!AB$45*$E$10</f>
        <v>-174465.661256145</v>
      </c>
      <c r="F24" s="120" t="n">
        <f aca="false">'Total Revenue'!AO$25*$C$10*$D$10-Expenses!AO$24*$C$10-Expenses!AO$45*$E$10</f>
        <v>-211442.187400092</v>
      </c>
      <c r="G24" s="120" t="n">
        <f aca="false">'Total Revenue'!BB$25*$C$10*$D$10-Expenses!BB$24*$C$10-Expenses!BB$45*$E$10</f>
        <v>-238777.218353623</v>
      </c>
    </row>
    <row r="26" customFormat="false" ht="16.5" hidden="false" customHeight="true" outlineLevel="0" collapsed="false">
      <c r="A26" s="15" t="s">
        <v>1054</v>
      </c>
      <c r="B26" s="15"/>
      <c r="C26" s="15"/>
      <c r="D26" s="15"/>
      <c r="E26" s="15"/>
      <c r="F26" s="15"/>
      <c r="G26" s="15"/>
      <c r="H26" s="15"/>
      <c r="I26" s="15"/>
      <c r="J26" s="15"/>
    </row>
    <row r="27" customFormat="false" ht="25.5" hidden="false" customHeight="true" outlineLevel="0" collapsed="false">
      <c r="A27" s="134" t="s">
        <v>1038</v>
      </c>
      <c r="C27" s="129" t="s">
        <v>81</v>
      </c>
      <c r="D27" s="129" t="s">
        <v>82</v>
      </c>
      <c r="E27" s="129" t="s">
        <v>83</v>
      </c>
      <c r="F27" s="129" t="s">
        <v>84</v>
      </c>
      <c r="G27" s="129" t="s">
        <v>85</v>
      </c>
      <c r="H27" s="129" t="s">
        <v>1055</v>
      </c>
      <c r="I27" s="129" t="s">
        <v>1056</v>
      </c>
    </row>
    <row r="28" customFormat="false" ht="15" hidden="false" customHeight="false" outlineLevel="0" collapsed="false">
      <c r="A28" s="18" t="s">
        <v>1044</v>
      </c>
      <c r="C28" s="19" t="n">
        <f aca="false">'Assumption Setting'!$C$18+'Assumption Setting'!$C$206+C21-'Capital Expenditure'!B$16-'Cash Flow Statement'!N$14*($F$7-1)</f>
        <v>146104.52725142</v>
      </c>
      <c r="D28" s="19" t="n">
        <f aca="false">C28+D21-'Capital Expenditure'!O$16-'Cash Flow Statement'!AA$14*($F$7-1)</f>
        <v>273759.093822577</v>
      </c>
      <c r="E28" s="19" t="n">
        <f aca="false">D28+E21-'Capital Expenditure'!AB$16-'Cash Flow Statement'!AN$14*($F$7-1)</f>
        <v>482223.394332635</v>
      </c>
      <c r="F28" s="19" t="n">
        <f aca="false">E28+F21-'Capital Expenditure'!AO$16-'Cash Flow Statement'!BA$14*($F$7-1)</f>
        <v>903848.623797038</v>
      </c>
      <c r="G28" s="19" t="n">
        <f aca="false">F28+G21-'Capital Expenditure'!BB$16-'Cash Flow Statement'!BN$14*($F$7-1)</f>
        <v>1550908.41167266</v>
      </c>
      <c r="H28" s="19" t="n">
        <f aca="false">MIN(C28:G28)</f>
        <v>146104.52725142</v>
      </c>
      <c r="I28" s="23" t="n">
        <f aca="false">MAX(0,'Assumption Setting'!$C$208-H28)</f>
        <v>0</v>
      </c>
    </row>
    <row r="29" customFormat="false" ht="15" hidden="false" customHeight="false" outlineLevel="0" collapsed="false">
      <c r="A29" s="12" t="s">
        <v>1046</v>
      </c>
      <c r="C29" s="120" t="n">
        <f aca="false">'Assumption Setting'!$C$18+'Assumption Setting'!$C$206+C22-'Capital Expenditure'!B$16-'Cash Flow Statement'!N$14*($F$8-1)</f>
        <v>158568.499701202</v>
      </c>
      <c r="D29" s="120" t="n">
        <f aca="false">C29+D22-'Capital Expenditure'!O$16-'Cash Flow Statement'!AA$14*($F$8-1)</f>
        <v>381667.433589002</v>
      </c>
      <c r="E29" s="120" t="n">
        <f aca="false">D29+E22-'Capital Expenditure'!AB$16-'Cash Flow Statement'!AN$14*($F$8-1)</f>
        <v>759185.933516225</v>
      </c>
      <c r="F29" s="120" t="n">
        <f aca="false">E29+F22-'Capital Expenditure'!AO$16-'Cash Flow Statement'!BA$14*($F$8-1)</f>
        <v>1453865.95184781</v>
      </c>
      <c r="G29" s="120" t="n">
        <f aca="false">F29+G22-'Capital Expenditure'!BB$16-'Cash Flow Statement'!BN$14*($F$8-1)</f>
        <v>2484590.8302923</v>
      </c>
      <c r="H29" s="19" t="n">
        <f aca="false">MIN(C29:G29)</f>
        <v>158568.499701202</v>
      </c>
      <c r="I29" s="23" t="n">
        <f aca="false">MAX(0,'Assumption Setting'!$C$208-H29)</f>
        <v>0</v>
      </c>
    </row>
    <row r="30" customFormat="false" ht="15" hidden="false" customHeight="false" outlineLevel="0" collapsed="false">
      <c r="A30" s="12" t="s">
        <v>1048</v>
      </c>
      <c r="C30" s="120" t="n">
        <f aca="false">'Assumption Setting'!$C$18+'Assumption Setting'!$C$206+C23-'Capital Expenditure'!B$16-'Cash Flow Statement'!N$14*($F$9-1)</f>
        <v>117739.179747664</v>
      </c>
      <c r="D30" s="120" t="n">
        <f aca="false">C30+D23-'Capital Expenditure'!O$16-'Cash Flow Statement'!AA$14*($F$9-1)</f>
        <v>81305.885717948</v>
      </c>
      <c r="E30" s="120" t="n">
        <f aca="false">D30+E23-'Capital Expenditure'!AB$16-'Cash Flow Statement'!AN$14*($F$9-1)</f>
        <v>-1428.39278549037</v>
      </c>
      <c r="F30" s="120" t="n">
        <f aca="false">E30+F23-'Capital Expenditure'!AO$16-'Cash Flow Statement'!BA$14*($F$9-1)</f>
        <v>-40539.0095304872</v>
      </c>
      <c r="G30" s="120" t="n">
        <f aca="false">F30+G23-'Capital Expenditure'!BB$16-'Cash Flow Statement'!BN$14*($F$9-1)</f>
        <v>-33682.5913947872</v>
      </c>
      <c r="H30" s="19" t="n">
        <f aca="false">MIN(C30:G30)</f>
        <v>-40539.0095304872</v>
      </c>
      <c r="I30" s="23" t="n">
        <f aca="false">MAX(0,'Assumption Setting'!$C$208-H30)</f>
        <v>65539.0095304872</v>
      </c>
    </row>
    <row r="31" customFormat="false" ht="15" hidden="false" customHeight="false" outlineLevel="0" collapsed="false">
      <c r="A31" s="12" t="s">
        <v>1050</v>
      </c>
      <c r="C31" s="120" t="n">
        <f aca="false">'Assumption Setting'!$C$18+'Assumption Setting'!$C$206+C24-'Capital Expenditure'!B$16-'Cash Flow Statement'!N$14*($F$10-1)</f>
        <v>96938.0129731524</v>
      </c>
      <c r="D31" s="120" t="n">
        <f aca="false">C31+D24-'Capital Expenditure'!O$16-'Cash Flow Statement'!AA$14*($F$10-1)</f>
        <v>-68249.8520584514</v>
      </c>
      <c r="E31" s="120" t="n">
        <f aca="false">D31+E24-'Capital Expenditure'!AB$16-'Cash Flow Statement'!AN$14*($F$10-1)</f>
        <v>-379272.863881833</v>
      </c>
      <c r="F31" s="120" t="n">
        <f aca="false">E31+F24-'Capital Expenditure'!AO$16-'Cash Flow Statement'!BA$14*($F$10-1)</f>
        <v>-779740.331225022</v>
      </c>
      <c r="G31" s="120" t="n">
        <f aca="false">F31+G24-'Capital Expenditure'!BB$16-'Cash Flow Statement'!BN$14*($F$10-1)</f>
        <v>-1276547.74037721</v>
      </c>
      <c r="H31" s="19" t="n">
        <f aca="false">MIN(C31:G31)</f>
        <v>-1276547.74037721</v>
      </c>
      <c r="I31" s="23" t="n">
        <f aca="false">MAX(0,'Assumption Setting'!$C$208-H31)</f>
        <v>1301547.74037721</v>
      </c>
    </row>
    <row r="33" customFormat="false" ht="15" hidden="false" customHeight="false" outlineLevel="0" collapsed="false">
      <c r="A33" s="71" t="s">
        <v>1057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1058</v>
      </c>
    </row>
    <row r="2" customFormat="false" ht="13.5" hidden="false" customHeight="true" outlineLevel="0" collapsed="false">
      <c r="A2" s="6" t="s">
        <v>1059</v>
      </c>
    </row>
    <row r="3" customFormat="false" ht="3.75" hidden="false" customHeight="true" outlineLevel="0" collapsed="false">
      <c r="A3" s="3"/>
      <c r="B3" s="3"/>
      <c r="C3" s="3"/>
      <c r="D3" s="3"/>
      <c r="E3" s="3"/>
      <c r="F3" s="3"/>
    </row>
    <row r="5" customFormat="false" ht="16.5" hidden="false" customHeight="true" outlineLevel="0" collapsed="false">
      <c r="A5" s="15" t="s">
        <v>1060</v>
      </c>
      <c r="B5" s="15"/>
      <c r="C5" s="15"/>
      <c r="D5" s="15"/>
      <c r="E5" s="15"/>
      <c r="F5" s="15"/>
    </row>
    <row r="6" customFormat="false" ht="15" hidden="false" customHeight="false" outlineLevel="0" collapsed="false">
      <c r="A6" s="16"/>
      <c r="B6" s="16"/>
      <c r="C6" s="135" t="s">
        <v>1061</v>
      </c>
      <c r="D6" s="135" t="s">
        <v>1062</v>
      </c>
    </row>
    <row r="7" customFormat="false" ht="15" hidden="false" customHeight="false" outlineLevel="0" collapsed="false">
      <c r="A7" s="12" t="s">
        <v>1063</v>
      </c>
      <c r="B7" s="22" t="s">
        <v>1064</v>
      </c>
      <c r="C7" s="44" t="n">
        <v>125000</v>
      </c>
      <c r="D7" s="44" t="n">
        <v>750000</v>
      </c>
    </row>
    <row r="8" customFormat="false" ht="15" hidden="false" customHeight="false" outlineLevel="0" collapsed="false">
      <c r="A8" s="12" t="s">
        <v>1065</v>
      </c>
      <c r="B8" s="22" t="s">
        <v>1066</v>
      </c>
      <c r="C8" s="44" t="n">
        <v>900000</v>
      </c>
      <c r="D8" s="44" t="n">
        <v>4500000</v>
      </c>
    </row>
    <row r="9" customFormat="false" ht="15" hidden="false" customHeight="false" outlineLevel="0" collapsed="false">
      <c r="A9" s="18" t="s">
        <v>1067</v>
      </c>
      <c r="C9" s="19" t="n">
        <f aca="false">C8+C7</f>
        <v>1025000</v>
      </c>
      <c r="D9" s="19" t="n">
        <f aca="false">D8+D7</f>
        <v>5250000</v>
      </c>
    </row>
    <row r="10" customFormat="false" ht="15" hidden="false" customHeight="false" outlineLevel="0" collapsed="false">
      <c r="A10" s="18" t="s">
        <v>1068</v>
      </c>
      <c r="C10" s="55" t="n">
        <f aca="false">IFERROR(C7/C9,0)</f>
        <v>0.121951219512195</v>
      </c>
      <c r="D10" s="55" t="n">
        <f aca="false">IFERROR(D7/D9,0)</f>
        <v>0.142857142857143</v>
      </c>
    </row>
    <row r="11" customFormat="false" ht="15" hidden="false" customHeight="false" outlineLevel="0" collapsed="false">
      <c r="A11" s="12" t="s">
        <v>1069</v>
      </c>
      <c r="B11" s="22" t="s">
        <v>1070</v>
      </c>
      <c r="C11" s="50" t="n">
        <v>0.42</v>
      </c>
      <c r="D11" s="50" t="n">
        <v>0.25</v>
      </c>
    </row>
    <row r="12" customFormat="false" ht="15" hidden="false" customHeight="false" outlineLevel="0" collapsed="false">
      <c r="A12" s="18" t="s">
        <v>1071</v>
      </c>
      <c r="C12" s="136" t="n">
        <f aca="false">C10*(1-C11)</f>
        <v>0.0707317073170732</v>
      </c>
      <c r="D12" s="136" t="n">
        <f aca="false">D10*(1-D11)</f>
        <v>0.107142857142857</v>
      </c>
    </row>
    <row r="14" customFormat="false" ht="16.5" hidden="false" customHeight="true" outlineLevel="0" collapsed="false">
      <c r="A14" s="15" t="s">
        <v>1072</v>
      </c>
      <c r="B14" s="15"/>
      <c r="C14" s="15"/>
      <c r="D14" s="15"/>
      <c r="E14" s="15"/>
      <c r="F14" s="15"/>
    </row>
    <row r="15" customFormat="false" ht="15" hidden="false" customHeight="false" outlineLevel="0" collapsed="false">
      <c r="A15" s="71" t="s">
        <v>1073</v>
      </c>
    </row>
    <row r="16" customFormat="false" ht="24" hidden="false" customHeight="true" outlineLevel="0" collapsed="false">
      <c r="A16" s="127" t="s">
        <v>1074</v>
      </c>
      <c r="B16" s="129" t="s">
        <v>1075</v>
      </c>
      <c r="C16" s="129" t="s">
        <v>1076</v>
      </c>
      <c r="D16" s="129" t="s">
        <v>1077</v>
      </c>
      <c r="E16" s="129" t="s">
        <v>1078</v>
      </c>
    </row>
    <row r="17" customFormat="false" ht="15" hidden="false" customHeight="false" outlineLevel="0" collapsed="false">
      <c r="A17" s="18" t="s">
        <v>1079</v>
      </c>
      <c r="B17" s="22" t="s">
        <v>1080</v>
      </c>
      <c r="C17" s="56" t="n">
        <v>2</v>
      </c>
      <c r="D17" s="19" t="n">
        <f aca="false">C17*'Financial Indicators'!$G$7</f>
        <v>4966198.18143216</v>
      </c>
      <c r="E17" s="120" t="n">
        <f aca="false">$D$17*C$12</f>
        <v>351267.676247641</v>
      </c>
      <c r="F17" s="120" t="n">
        <f aca="false">$D$17*D$12</f>
        <v>532092.662296303</v>
      </c>
    </row>
    <row r="18" customFormat="false" ht="15" hidden="false" customHeight="false" outlineLevel="0" collapsed="false">
      <c r="A18" s="18" t="s">
        <v>1081</v>
      </c>
      <c r="B18" s="22" t="s">
        <v>1082</v>
      </c>
      <c r="C18" s="56" t="n">
        <v>3.5</v>
      </c>
      <c r="D18" s="19" t="n">
        <f aca="false">C18*'Financial Indicators'!$G$7</f>
        <v>8690846.81750628</v>
      </c>
      <c r="E18" s="120" t="n">
        <f aca="false">$D$18*C$12</f>
        <v>614718.433433371</v>
      </c>
      <c r="F18" s="120" t="n">
        <f aca="false">$D$18*D$12</f>
        <v>931162.15901853</v>
      </c>
    </row>
    <row r="19" customFormat="false" ht="15" hidden="false" customHeight="false" outlineLevel="0" collapsed="false">
      <c r="A19" s="18" t="s">
        <v>1083</v>
      </c>
      <c r="B19" s="22" t="s">
        <v>1084</v>
      </c>
      <c r="C19" s="56" t="n">
        <v>5.5</v>
      </c>
      <c r="D19" s="19" t="n">
        <f aca="false">C19*'Financial Indicators'!$G$7</f>
        <v>13657044.9989384</v>
      </c>
      <c r="E19" s="120" t="n">
        <f aca="false">$D$19*C$12</f>
        <v>965986.109681011</v>
      </c>
      <c r="F19" s="120" t="n">
        <f aca="false">$D$19*D$12</f>
        <v>1463254.82131483</v>
      </c>
    </row>
    <row r="20" customFormat="false" ht="15" hidden="false" customHeight="false" outlineLevel="0" collapsed="false">
      <c r="A20" s="18" t="s">
        <v>1085</v>
      </c>
      <c r="B20" s="22" t="s">
        <v>1086</v>
      </c>
      <c r="C20" s="56" t="n">
        <v>10</v>
      </c>
      <c r="D20" s="19" t="n">
        <f aca="false">C20*'Financial Indicators'!$G$22</f>
        <v>6513797.87875621</v>
      </c>
      <c r="E20" s="120" t="n">
        <f aca="false">$D$20*C$12</f>
        <v>460732.045082756</v>
      </c>
      <c r="F20" s="120" t="n">
        <f aca="false">$D$20*D$12</f>
        <v>697906.915581022</v>
      </c>
    </row>
    <row r="22" customFormat="false" ht="16.5" hidden="false" customHeight="true" outlineLevel="0" collapsed="false">
      <c r="A22" s="15" t="s">
        <v>1087</v>
      </c>
      <c r="B22" s="15"/>
      <c r="C22" s="15"/>
      <c r="D22" s="15"/>
      <c r="E22" s="15"/>
      <c r="F22" s="15"/>
    </row>
    <row r="23" customFormat="false" ht="15" hidden="false" customHeight="false" outlineLevel="0" collapsed="false">
      <c r="A23" s="12" t="s">
        <v>1088</v>
      </c>
      <c r="B23" s="22" t="s">
        <v>1089</v>
      </c>
      <c r="C23" s="54" t="n">
        <v>5</v>
      </c>
      <c r="D23" s="54" t="n">
        <v>3.5</v>
      </c>
    </row>
    <row r="24" customFormat="false" ht="15" hidden="false" customHeight="false" outlineLevel="0" collapsed="false">
      <c r="A24" s="18" t="s">
        <v>1090</v>
      </c>
      <c r="B24" s="22" t="s">
        <v>1091</v>
      </c>
      <c r="C24" s="19" t="n">
        <f aca="false">E18</f>
        <v>614718.433433371</v>
      </c>
      <c r="D24" s="19" t="n">
        <f aca="false">F18</f>
        <v>931162.15901853</v>
      </c>
    </row>
    <row r="25" customFormat="false" ht="15" hidden="false" customHeight="false" outlineLevel="0" collapsed="false">
      <c r="A25" s="18" t="s">
        <v>1092</v>
      </c>
      <c r="C25" s="137" t="n">
        <f aca="false">IFERROR(C24/C7,0)</f>
        <v>4.91774746746697</v>
      </c>
      <c r="D25" s="137" t="n">
        <f aca="false">IFERROR(D24/D7,0)</f>
        <v>1.24154954535804</v>
      </c>
    </row>
    <row r="26" customFormat="false" ht="15" hidden="false" customHeight="false" outlineLevel="0" collapsed="false">
      <c r="A26" s="18" t="s">
        <v>1093</v>
      </c>
      <c r="B26" s="22" t="s">
        <v>1094</v>
      </c>
      <c r="C26" s="136" t="n">
        <f aca="false">IFERROR(C25^(1/C23)-1,0)</f>
        <v>0.375160042334493</v>
      </c>
      <c r="D26" s="136" t="n">
        <f aca="false">IFERROR(D25^(1/D23)-1,0)</f>
        <v>0.0637678801645594</v>
      </c>
    </row>
    <row r="28" customFormat="false" ht="16.5" hidden="false" customHeight="true" outlineLevel="0" collapsed="false">
      <c r="A28" s="15" t="s">
        <v>1095</v>
      </c>
      <c r="B28" s="15"/>
      <c r="C28" s="15"/>
      <c r="D28" s="15"/>
      <c r="E28" s="15"/>
      <c r="F28" s="15"/>
    </row>
    <row r="29" customFormat="false" ht="33.75" hidden="false" customHeight="true" outlineLevel="0" collapsed="false">
      <c r="A29" s="18" t="s">
        <v>1096</v>
      </c>
      <c r="B29" s="138" t="s">
        <v>1097</v>
      </c>
      <c r="C29" s="138"/>
      <c r="D29" s="138"/>
      <c r="E29" s="138"/>
      <c r="F29" s="138"/>
    </row>
    <row r="30" customFormat="false" ht="33.75" hidden="false" customHeight="true" outlineLevel="0" collapsed="false">
      <c r="A30" s="18" t="s">
        <v>1098</v>
      </c>
      <c r="B30" s="138" t="s">
        <v>1099</v>
      </c>
      <c r="C30" s="138"/>
      <c r="D30" s="138"/>
      <c r="E30" s="138"/>
      <c r="F30" s="138"/>
    </row>
    <row r="31" customFormat="false" ht="33.75" hidden="false" customHeight="true" outlineLevel="0" collapsed="false">
      <c r="A31" s="18" t="s">
        <v>1100</v>
      </c>
      <c r="B31" s="138" t="s">
        <v>1101</v>
      </c>
      <c r="C31" s="138"/>
      <c r="D31" s="138"/>
      <c r="E31" s="138"/>
      <c r="F31" s="138"/>
    </row>
    <row r="32" customFormat="false" ht="33.75" hidden="false" customHeight="true" outlineLevel="0" collapsed="false">
      <c r="A32" s="18" t="s">
        <v>1102</v>
      </c>
      <c r="B32" s="138" t="s">
        <v>1103</v>
      </c>
      <c r="C32" s="138"/>
      <c r="D32" s="138"/>
      <c r="E32" s="138"/>
      <c r="F32" s="138"/>
    </row>
    <row r="33" customFormat="false" ht="33.75" hidden="false" customHeight="true" outlineLevel="0" collapsed="false">
      <c r="A33" s="18" t="s">
        <v>1104</v>
      </c>
      <c r="B33" s="138" t="s">
        <v>1105</v>
      </c>
      <c r="C33" s="138"/>
      <c r="D33" s="138"/>
      <c r="E33" s="138"/>
      <c r="F33" s="138"/>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2026-10-21T08:56:39Z</dcterms:created>
  <dc:creator>openpyxl</dc:creator>
  <dc:description/>
  <dc:language>en-US</dc:language>
  <cp:lastModifiedBy/>
  <dcterms:modified xsi:type="dcterms:W3CDTF">2026-10-21T08:56:45Z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