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Summary" sheetId="2" state="visible" r:id="rId4"/>
    <sheet name="Market Research" sheetId="3" state="visible" r:id="rId5"/>
    <sheet name="Input&gt;&gt;" sheetId="4" state="visible" r:id="rId6"/>
    <sheet name="Assumption Setting" sheetId="5" state="visible" r:id="rId7"/>
    <sheet name="Capital Expenditure" sheetId="6" state="visible" r:id="rId8"/>
    <sheet name="Actuals" sheetId="7" state="visible" r:id="rId9"/>
    <sheet name="Process&gt;&gt;" sheetId="8" state="visible" r:id="rId10"/>
    <sheet name="Acquisitions" sheetId="9" state="visible" r:id="rId11"/>
    <sheet name="GTM Capacity and Timing" sheetId="10" state="visible" r:id="rId12"/>
    <sheet name="Revenue Streams" sheetId="11" state="visible" r:id="rId13"/>
    <sheet name="Total Revenue" sheetId="12" state="visible" r:id="rId14"/>
    <sheet name="Payroll" sheetId="13" state="visible" r:id="rId15"/>
    <sheet name="Depreciation and Amortization" sheetId="14" state="visible" r:id="rId16"/>
    <sheet name="Expenses" sheetId="15" state="visible" r:id="rId17"/>
    <sheet name="Output&gt;&gt;" sheetId="16" state="visible" r:id="rId18"/>
    <sheet name="Income Statement" sheetId="17" state="visible" r:id="rId19"/>
    <sheet name="Balance Sheet" sheetId="18" state="visible" r:id="rId20"/>
    <sheet name="Cash Flow Statement" sheetId="19" state="visible" r:id="rId21"/>
    <sheet name="Financial Indicators" sheetId="20" state="visible" r:id="rId22"/>
    <sheet name="Analysis&gt;&gt;" sheetId="21" state="visible" r:id="rId23"/>
    <sheet name="BEP Analysis" sheetId="22" state="visible" r:id="rId24"/>
    <sheet name="PB Analysis" sheetId="23" state="visible" r:id="rId25"/>
    <sheet name="Sensitivity" sheetId="24" state="visible" r:id="rId26"/>
    <sheet name="Stress Test" sheetId="25" state="visible" r:id="rId27"/>
    <sheet name="Exit Angel and VC" sheetId="26" state="visible" r:id="rId2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<sst xmlns="http://schemas.openxmlformats.org/spreadsheetml/2006/main" count="3769" uniqueCount="1106">
  <si>
    <t xml:space="preserve">StartPad</t>
  </si>
  <si>
    <t xml:space="preserve">Operational Financial Model</t>
  </si>
  <si>
    <t xml:space="preserve">ABOUT THIS MODEL</t>
  </si>
  <si>
    <t xml:space="preserve">Business name</t>
  </si>
  <si>
    <t xml:space="preserve">Industry</t>
  </si>
  <si>
    <t xml:space="preserve">Entrepreneurship education and venture building</t>
  </si>
  <si>
    <t xml:space="preserve">Markets</t>
  </si>
  <si>
    <t xml:space="preserve">Egypt and Saudi Arabia</t>
  </si>
  <si>
    <t xml:space="preserve">Model currency</t>
  </si>
  <si>
    <t xml:space="preserve">USD</t>
  </si>
  <si>
    <t xml:space="preserve">Model start</t>
  </si>
  <si>
    <t xml:space="preserve">date</t>
  </si>
  <si>
    <t xml:space="preserve">October 2026</t>
  </si>
  <si>
    <t xml:space="preserve">Months in a period</t>
  </si>
  <si>
    <t xml:space="preserve">months</t>
  </si>
  <si>
    <t xml:space="preserve">Forecast period</t>
  </si>
  <si>
    <t xml:space="preserve">years</t>
  </si>
  <si>
    <t xml:space="preserve">Total months modelled</t>
  </si>
  <si>
    <t xml:space="preserve">HOW TO READ IT</t>
  </si>
  <si>
    <t xml:space="preserve">Blue figures on a yellow fill are typed inputs. Change those and the whole model moves.</t>
  </si>
  <si>
    <t xml:space="preserve">Black figures are formulas on the same sheet. Green figures are links to another sheet.</t>
  </si>
  <si>
    <t xml:space="preserve">Red figures are checks. The balance sheet check must read nil in every column.</t>
  </si>
  <si>
    <t xml:space="preserve">On every time sheet the year total comes first, then that year's twelve months.</t>
  </si>
  <si>
    <t xml:space="preserve">No volume is typed. Cohorts, seats, licences and programmes are produced by the acquisition engine, so cut the activity and the volume goes with it.</t>
  </si>
  <si>
    <t xml:space="preserve">The year one spend is an output of the Expenses sheet, not a ceiling anybody typed.</t>
  </si>
  <si>
    <t xml:space="preserve">CONTENTS</t>
  </si>
  <si>
    <t xml:space="preserve">   Cover</t>
  </si>
  <si>
    <t xml:space="preserve">This page: what the model is and how to read it</t>
  </si>
  <si>
    <t xml:space="preserve">   Summary</t>
  </si>
  <si>
    <t xml:space="preserve">The whole model on one page, with charts</t>
  </si>
  <si>
    <t xml:space="preserve">   Market Research</t>
  </si>
  <si>
    <t xml:space="preserve">Signed institutions and the named programmes</t>
  </si>
  <si>
    <t xml:space="preserve">Input</t>
  </si>
  <si>
    <t xml:space="preserve">Everything typed is here and nowhere else</t>
  </si>
  <si>
    <t xml:space="preserve">   Assumption Setting</t>
  </si>
  <si>
    <t xml:space="preserve">In the order the model runs: basis, traction, acquisition, what a won contract becomes, pricing, expenses, working capital, tax, assets</t>
  </si>
  <si>
    <t xml:space="preserve">   Capital Expenditure</t>
  </si>
  <si>
    <t xml:space="preserve">Assets driven by new hires, plus shared and intangible assets</t>
  </si>
  <si>
    <t xml:space="preserve">   Actuals</t>
  </si>
  <si>
    <t xml:space="preserve">The opening position and a grid to record each month</t>
  </si>
  <si>
    <t xml:space="preserve">Process</t>
  </si>
  <si>
    <t xml:space="preserve">Where the inputs become the model</t>
  </si>
  <si>
    <t xml:space="preserve">   Acquisitions</t>
  </si>
  <si>
    <t xml:space="preserve">Activity to leads to contracts to the contract book, sixty months</t>
  </si>
  <si>
    <t xml:space="preserve">   GTM Capacity and Timing</t>
  </si>
  <si>
    <t xml:space="preserve">Who runs the activity, whether there are enough of them, and how long a deal takes to become a delivery day</t>
  </si>
  <si>
    <t xml:space="preserve">   Revenue Streams</t>
  </si>
  <si>
    <t xml:space="preserve">Thirteen engines, every one of them an output of the contract book</t>
  </si>
  <si>
    <t xml:space="preserve">   Total Revenue</t>
  </si>
  <si>
    <t xml:space="preserve">Gathered into four families</t>
  </si>
  <si>
    <t xml:space="preserve">   Payroll</t>
  </si>
  <si>
    <t xml:space="preserve">Fifteen roles, monthly, capped at 6, 9, 12, 16 and 20</t>
  </si>
  <si>
    <t xml:space="preserve">   Depreciation and Amortization</t>
  </si>
  <si>
    <t xml:space="preserve">Straight line by asset class</t>
  </si>
  <si>
    <t xml:space="preserve">   Expenses</t>
  </si>
  <si>
    <t xml:space="preserve">Direct cost, revenue share to three parties, operating cost, and the year one total it produces</t>
  </si>
  <si>
    <t xml:space="preserve">Output</t>
  </si>
  <si>
    <t xml:space="preserve">The three statements</t>
  </si>
  <si>
    <t xml:space="preserve">   Income Statement</t>
  </si>
  <si>
    <t xml:space="preserve">Five years to 30 September</t>
  </si>
  <si>
    <t xml:space="preserve">   Balance Sheet</t>
  </si>
  <si>
    <t xml:space="preserve">Five years, with the balance check</t>
  </si>
  <si>
    <t xml:space="preserve">   Cash Flow Statement</t>
  </si>
  <si>
    <t xml:space="preserve">Monthly working and the annual statement</t>
  </si>
  <si>
    <t xml:space="preserve">   Financial Indicators</t>
  </si>
  <si>
    <t xml:space="preserve">Growth, profitability, unit economics, cash</t>
  </si>
  <si>
    <t xml:space="preserve">Analysis</t>
  </si>
  <si>
    <t xml:space="preserve">What the model is tested against</t>
  </si>
  <si>
    <t xml:space="preserve">   BEP Analysis</t>
  </si>
  <si>
    <t xml:space="preserve">Break even revenue and the month it turns</t>
  </si>
  <si>
    <t xml:space="preserve">   PB Analysis</t>
  </si>
  <si>
    <t xml:space="preserve">When the capital comes back, base and flexed</t>
  </si>
  <si>
    <t xml:space="preserve">   Sensitivity</t>
  </si>
  <si>
    <t xml:space="preserve">Three two way grids on the year five result</t>
  </si>
  <si>
    <t xml:space="preserve">   Stress Test</t>
  </si>
  <si>
    <t xml:space="preserve">Four scenarios on volume, price, cost and collection</t>
  </si>
  <si>
    <t xml:space="preserve">   Exit Angel and VC</t>
  </si>
  <si>
    <t xml:space="preserve">Angel and venture returns, and the routes out</t>
  </si>
  <si>
    <t xml:space="preserve">Summary</t>
  </si>
  <si>
    <t xml:space="preserve">The whole model on one page. Every figure is a link, nothing here is typed.</t>
  </si>
  <si>
    <t xml:space="preserve">HEADLINES</t>
  </si>
  <si>
    <t xml:space="preserve">Year 1</t>
  </si>
  <si>
    <t xml:space="preserve">Year 2</t>
  </si>
  <si>
    <t xml:space="preserve">Year 3</t>
  </si>
  <si>
    <t xml:space="preserve">Year 4</t>
  </si>
  <si>
    <t xml:space="preserve">Year 5</t>
  </si>
  <si>
    <t xml:space="preserve">Total revenue</t>
  </si>
  <si>
    <t xml:space="preserve">Gross profit</t>
  </si>
  <si>
    <t xml:space="preserve">EBITDA</t>
  </si>
  <si>
    <t xml:space="preserve">Net profit</t>
  </si>
  <si>
    <t xml:space="preserve">Total expenses, direct and operating</t>
  </si>
  <si>
    <t xml:space="preserve">Cash at year end</t>
  </si>
  <si>
    <t xml:space="preserve">Lowest cash balance in the year</t>
  </si>
  <si>
    <t xml:space="preserve">Employees at year end</t>
  </si>
  <si>
    <t xml:space="preserve">Cohorts delivered</t>
  </si>
  <si>
    <t xml:space="preserve">New registered accounts</t>
  </si>
  <si>
    <t xml:space="preserve">Active paid accounts at year end</t>
  </si>
  <si>
    <t xml:space="preserve">THE TWO CHECKS THAT MATTER</t>
  </si>
  <si>
    <t xml:space="preserve">Year one total expense, produced not typed</t>
  </si>
  <si>
    <t xml:space="preserve">the output of the activity plan, the hiring plan and the cost drivers</t>
  </si>
  <si>
    <t xml:space="preserve">Balance sheet check</t>
  </si>
  <si>
    <t xml:space="preserve">nil in every column</t>
  </si>
  <si>
    <t xml:space="preserve">WHAT THIS MODEL OPENS ON</t>
  </si>
  <si>
    <t xml:space="preserve">Registered users on the platform</t>
  </si>
  <si>
    <t xml:space="preserve">already signed up, before any paid cohort</t>
  </si>
  <si>
    <t xml:space="preserve">Paying subscribers</t>
  </si>
  <si>
    <t xml:space="preserve">the honest starting point for the direct engine</t>
  </si>
  <si>
    <t xml:space="preserve">Live competition participants</t>
  </si>
  <si>
    <t xml:space="preserve">the competition running now</t>
  </si>
  <si>
    <t xml:space="preserve">Prize money committed on the live competition</t>
  </si>
  <si>
    <t xml:space="preserve">converted to dollars at the rate above</t>
  </si>
  <si>
    <t xml:space="preserve">University memoranda signed</t>
  </si>
  <si>
    <t xml:space="preserve">MSA, Coventry Egypt, CIC, ESLSCA and Zewail</t>
  </si>
  <si>
    <t xml:space="preserve">Partnerships at heads of terms</t>
  </si>
  <si>
    <t xml:space="preserve">Enactus Egypt, close but not signed</t>
  </si>
  <si>
    <t xml:space="preserve">Opening cash</t>
  </si>
  <si>
    <t xml:space="preserve">founder capital already contributed</t>
  </si>
  <si>
    <t xml:space="preserve">Market Research</t>
  </si>
  <si>
    <t xml:space="preserve">Where the demand already exists. These are named targets, not signed partners, except the five memoranda, which are signed.</t>
  </si>
  <si>
    <t xml:space="preserve">SIGNED AND NEAR SIGNED</t>
  </si>
  <si>
    <t xml:space="preserve">Institution</t>
  </si>
  <si>
    <t xml:space="preserve">Status</t>
  </si>
  <si>
    <t xml:space="preserve">Detail</t>
  </si>
  <si>
    <t xml:space="preserve">Cohorts planned in year one</t>
  </si>
  <si>
    <t xml:space="preserve">MSA University</t>
  </si>
  <si>
    <t xml:space="preserve">Egypt, signed</t>
  </si>
  <si>
    <t xml:space="preserve">October University for Modern Sciences and Arts</t>
  </si>
  <si>
    <t xml:space="preserve">Coventry University Egypt</t>
  </si>
  <si>
    <t xml:space="preserve">Coventry's Egypt branch campus</t>
  </si>
  <si>
    <t xml:space="preserve">Canadian International College (CIC)</t>
  </si>
  <si>
    <t xml:space="preserve">New Cairo and Sheikh Zayed campuses</t>
  </si>
  <si>
    <t xml:space="preserve">ESLSCA University Egypt</t>
  </si>
  <si>
    <t xml:space="preserve">French business school, Cairo campus</t>
  </si>
  <si>
    <t xml:space="preserve">Zewail Academy</t>
  </si>
  <si>
    <t xml:space="preserve">Zewail City of Science and Technology</t>
  </si>
  <si>
    <t xml:space="preserve">Enactus Egypt</t>
  </si>
  <si>
    <t xml:space="preserve">Egypt, heads of terms</t>
  </si>
  <si>
    <t xml:space="preserve">National competition, 30-35 finalist university teams</t>
  </si>
  <si>
    <t xml:space="preserve">NAMED PROGRAMMES THE ENGINES ATTACH TO</t>
  </si>
  <si>
    <t xml:space="preserve">Programme</t>
  </si>
  <si>
    <t xml:space="preserve">Market</t>
  </si>
  <si>
    <t xml:space="preserve">What it already runs</t>
  </si>
  <si>
    <t xml:space="preserve">Cadence</t>
  </si>
  <si>
    <t xml:space="preserve">What StartPad supplies</t>
  </si>
  <si>
    <t xml:space="preserve">Rowad 2030, One Million Entrepreneurs</t>
  </si>
  <si>
    <t xml:space="preserve">Egypt</t>
  </si>
  <si>
    <t xml:space="preserve">Ministry of Planning. A three stage online curriculum with the Rowad Meter platform; universities including Alexandria fund seats.</t>
  </si>
  <si>
    <t xml:space="preserve">Running to 2030</t>
  </si>
  <si>
    <t xml:space="preserve">Seats, then trainer certification</t>
  </si>
  <si>
    <t xml:space="preserve">MSMEDA governorate programme</t>
  </si>
  <si>
    <t xml:space="preserve">Service centres across the governorates.</t>
  </si>
  <si>
    <t xml:space="preserve">Continuous</t>
  </si>
  <si>
    <t xml:space="preserve">Seats and certification</t>
  </si>
  <si>
    <t xml:space="preserve">Central Bank of Egypt, FinYology</t>
  </si>
  <si>
    <t xml:space="preserve">More than thirty universities; FinTech Got Talent is its showcase.</t>
  </si>
  <si>
    <t xml:space="preserve">Annual, academic year</t>
  </si>
  <si>
    <t xml:space="preserve">Build cohorts, then the season</t>
  </si>
  <si>
    <t xml:space="preserve">Enactus Egypt National Competition</t>
  </si>
  <si>
    <t xml:space="preserve">Thirty to thirty five university teams in the national final. Orange Egypt has sponsored it for seventeen years.</t>
  </si>
  <si>
    <t xml:space="preserve">Annual season, 4 to 5 months</t>
  </si>
  <si>
    <t xml:space="preserve">Platform and build cohorts</t>
  </si>
  <si>
    <t xml:space="preserve">INJAZ Egypt, Company Program</t>
  </si>
  <si>
    <t xml:space="preserve">Egypt and the Arab region</t>
  </si>
  <si>
    <t xml:space="preserve">A six month student venture programme with school and university tracks, feeding INJAZ Al Arab.</t>
  </si>
  <si>
    <t xml:space="preserve">6 months per cycle</t>
  </si>
  <si>
    <t xml:space="preserve">Delivery partner licence</t>
  </si>
  <si>
    <t xml:space="preserve">Startup Teen, iSchool</t>
  </si>
  <si>
    <t xml:space="preserve">Ages 13 to 18. First edition drew 800 students from 40 schools.</t>
  </si>
  <si>
    <t xml:space="preserve">Annual season</t>
  </si>
  <si>
    <t xml:space="preserve">School variant training track</t>
  </si>
  <si>
    <t xml:space="preserve">Egypt Entrepreneurship Rally</t>
  </si>
  <si>
    <t xml:space="preserve">Run with AASTMT, sponsored by the National Bank of Egypt since 2019.</t>
  </si>
  <si>
    <t xml:space="preserve">Annual</t>
  </si>
  <si>
    <t xml:space="preserve">Platform and the sponsor's report</t>
  </si>
  <si>
    <t xml:space="preserve">Rowad Domiat</t>
  </si>
  <si>
    <t xml:space="preserve">Run by the ILO with ICSB, backed by Methanex Egypt, on the ILO Start and Improve Your Business methodology.</t>
  </si>
  <si>
    <t xml:space="preserve">Platform and the ILO mapping</t>
  </si>
  <si>
    <t xml:space="preserve">Monsha'at Academy</t>
  </si>
  <si>
    <t xml:space="preserve">KSA</t>
  </si>
  <si>
    <t xml:space="preserve">More than two hundred training events, with no build stage after them.</t>
  </si>
  <si>
    <t xml:space="preserve">Continuous catalogue</t>
  </si>
  <si>
    <t xml:space="preserve">Capstone cohorts, then seats</t>
  </si>
  <si>
    <t xml:space="preserve">Misk Foundation and the MISK SDG competition</t>
  </si>
  <si>
    <t xml:space="preserve">Youth education and entrepreneurship since 2011; the SDG competition runs with UNDP.</t>
  </si>
  <si>
    <t xml:space="preserve">Cohorts, platform, programmes</t>
  </si>
  <si>
    <t xml:space="preserve">TVTC</t>
  </si>
  <si>
    <t xml:space="preserve">336,150 trainees across 314 institutions in 2024, under a Vision 2030 mandate.</t>
  </si>
  <si>
    <t xml:space="preserve">Academic year</t>
  </si>
  <si>
    <t xml:space="preserve">Trainer certification at scale</t>
  </si>
  <si>
    <t xml:space="preserve">Hadaf and the Social Development Bank</t>
  </si>
  <si>
    <t xml:space="preserve">Subsidised training and finance with per beneficiary funding in place.</t>
  </si>
  <si>
    <t xml:space="preserve">Seat rider as a screening instrument</t>
  </si>
  <si>
    <t xml:space="preserve">No revenue in this model is attributed to any one of these. They are listed so the demand can be checked rather than taken on trust.</t>
  </si>
  <si>
    <t xml:space="preserve">Assumption Setting</t>
  </si>
  <si>
    <t xml:space="preserve">Capital Expenditure</t>
  </si>
  <si>
    <t xml:space="preserve">Actuals</t>
  </si>
  <si>
    <t xml:space="preserve">Every typed number in the model, in the order the model runs them. Blue on yellow is an input. Nothing on any other sheet is typed.</t>
  </si>
  <si>
    <t xml:space="preserve">1. MODEL BASIS</t>
  </si>
  <si>
    <t xml:space="preserve">Reporting currency</t>
  </si>
  <si>
    <t xml:space="preserve">First calendar month of the model</t>
  </si>
  <si>
    <t xml:space="preserve">month one. Every month and quarter label in the workbook counts from here, so quarter one is Q4 2026</t>
  </si>
  <si>
    <t xml:space="preserve">Egyptian pounds to the dollar</t>
  </si>
  <si>
    <t xml:space="preserve">EGP</t>
  </si>
  <si>
    <t xml:space="preserve">used only to convert the prize money already committed</t>
  </si>
  <si>
    <t xml:space="preserve">2. WHAT IS ALREADY TRUE, THE OPENING POSITION</t>
  </si>
  <si>
    <t xml:space="preserve">Not forecasts. The position the model opens on: five signed university memoranda, a competition running now, and the users already on the platform.</t>
  </si>
  <si>
    <t xml:space="preserve">#</t>
  </si>
  <si>
    <t xml:space="preserve">Prize money already committed, in dollars</t>
  </si>
  <si>
    <t xml:space="preserve">Signed and near signed institutions</t>
  </si>
  <si>
    <t xml:space="preserve">Contracts already signed on day one</t>
  </si>
  <si>
    <t xml:space="preserve">these enter the model through the same machinery as a contract the funnel wins later, so year one volume is produced rather than typed</t>
  </si>
  <si>
    <t xml:space="preserve">Engine</t>
  </si>
  <si>
    <t xml:space="preserve">Contracts</t>
  </si>
  <si>
    <t xml:space="preserve">Already signed: University cohorts, Egypt</t>
  </si>
  <si>
    <t xml:space="preserve">the five signed university memoranda</t>
  </si>
  <si>
    <t xml:space="preserve">Already signed: Programme and incubator seats</t>
  </si>
  <si>
    <t xml:space="preserve">Enactus Egypt, at heads of terms</t>
  </si>
  <si>
    <t xml:space="preserve">Share of them mobilising in month 1</t>
  </si>
  <si>
    <t xml:space="preserve">Share of them mobilising in month 2</t>
  </si>
  <si>
    <t xml:space="preserve">Share of them mobilising in month 3</t>
  </si>
  <si>
    <t xml:space="preserve">3. ACQUISITION, ONLINE CHANNELS AND THE THREE STAGE FUNNEL</t>
  </si>
  <si>
    <t xml:space="preserve">Budget divided by cost per click gives paid clicks. Organic and referral traffic are then taken as a stated share of paid, never assumed free. Three conversion stages follow: click to lead, lead to registered account, registered account to paid account.</t>
  </si>
  <si>
    <t xml:space="preserve">Online channel, monthly budget</t>
  </si>
  <si>
    <t xml:space="preserve">Budget Y1</t>
  </si>
  <si>
    <t xml:space="preserve">Y2</t>
  </si>
  <si>
    <t xml:space="preserve">Y3</t>
  </si>
  <si>
    <t xml:space="preserve">Y4</t>
  </si>
  <si>
    <t xml:space="preserve">Y5</t>
  </si>
  <si>
    <t xml:space="preserve">Cost per click</t>
  </si>
  <si>
    <t xml:space="preserve">Organic % of paid</t>
  </si>
  <si>
    <t xml:space="preserve">Referral % of paid</t>
  </si>
  <si>
    <t xml:space="preserve">Stage 1, click to lead</t>
  </si>
  <si>
    <t xml:space="preserve">Short video, TikTok, Instagram, Facebook</t>
  </si>
  <si>
    <t xml:space="preserve">Paid social, targeted by age, city, university</t>
  </si>
  <si>
    <t xml:space="preserve">Influencers and student creators</t>
  </si>
  <si>
    <t xml:space="preserve">Mission Zero, the founder podcast</t>
  </si>
  <si>
    <t xml:space="preserve">Webinars, live Mission 01 sessions</t>
  </si>
  <si>
    <t xml:space="preserve">SEO, content and the readiness report</t>
  </si>
  <si>
    <t xml:space="preserve">Stage 2, lead to registered account</t>
  </si>
  <si>
    <t xml:space="preserve">%</t>
  </si>
  <si>
    <t xml:space="preserve">Stage 3, registered to paid, reached online</t>
  </si>
  <si>
    <t xml:space="preserve">Stage 3, registered to paid, reached through an institution</t>
  </si>
  <si>
    <t xml:space="preserve">a learner who sat in a cohort converts several times better than a click</t>
  </si>
  <si>
    <t xml:space="preserve">4. ACQUISITION, OFFLINE ACTIVITY, WHAT THE TEAM ACTUALLY DOES</t>
  </si>
  <si>
    <t xml:space="preserve">This is the engine room. Everything the company sells is traceable back to a number in this block, and if a number here falls the volume on the Revenue Streams sheet falls with it.</t>
  </si>
  <si>
    <t xml:space="preserve">Offline channel</t>
  </si>
  <si>
    <t xml:space="preserve">Activities per month Y1</t>
  </si>
  <si>
    <t xml:space="preserve">Cost per activity</t>
  </si>
  <si>
    <t xml:space="preserve">Free sign ups per activity</t>
  </si>
  <si>
    <t xml:space="preserve">Institutional leads per activity</t>
  </si>
  <si>
    <t xml:space="preserve">Campus workshops</t>
  </si>
  <si>
    <t xml:space="preserve">Mission 01 finished live in an hour</t>
  </si>
  <si>
    <t xml:space="preserve">Ambassador campus activity</t>
  </si>
  <si>
    <t xml:space="preserve">run by the stipended ambassador network</t>
  </si>
  <si>
    <t xml:space="preserve">Events, fairs and conferences</t>
  </si>
  <si>
    <t xml:space="preserve">judged on meetings booked, not stand traffic</t>
  </si>
  <si>
    <t xml:space="preserve">Partner sessions inside somebody else's cohort</t>
  </si>
  <si>
    <t xml:space="preserve">Direct outreach by the commercial team</t>
  </si>
  <si>
    <t xml:space="preserve">their own prospecting, the cost sits in payroll</t>
  </si>
  <si>
    <t xml:space="preserve">Institutional enquiries per 1,000 accounts reached directly</t>
  </si>
  <si>
    <t xml:space="preserve">content and the podcast working as pipeline. Counted on accounts that came through StartPad's own channels, not on learners placed on the platform by an institution</t>
  </si>
  <si>
    <t xml:space="preserve">Share of online spend serving institutional demand</t>
  </si>
  <si>
    <t xml:space="preserve">splits marketing cost between the two funnels</t>
  </si>
  <si>
    <t xml:space="preserve">5. ACQUISITION, WHO BUYS, AND HOW LONG EACH KIND TAKES</t>
  </si>
  <si>
    <t xml:space="preserve">Leads split between six buyer types, each with its own conversion and its own clock. Complexity shows up twice: once as the sales cycle before signature, once as mobilisation between signature and the first delivery day.</t>
  </si>
  <si>
    <t xml:space="preserve">Buyer type</t>
  </si>
  <si>
    <t xml:space="preserve">Share of leads</t>
  </si>
  <si>
    <t xml:space="preserve">Lead to meeting</t>
  </si>
  <si>
    <t xml:space="preserve">Meeting to proposal</t>
  </si>
  <si>
    <t xml:space="preserve">Proposal to win</t>
  </si>
  <si>
    <t xml:space="preserve">Sales cycle, months</t>
  </si>
  <si>
    <t xml:space="preserve">Mobilisation, signature to first delivery</t>
  </si>
  <si>
    <t xml:space="preserve">Institutions, universities and schools</t>
  </si>
  <si>
    <t xml:space="preserve">mobilisation: the cohort waits for the next semester window</t>
  </si>
  <si>
    <t xml:space="preserve">Sponsors, banks, telcos and corporates</t>
  </si>
  <si>
    <t xml:space="preserve">mobilisation: a sponsor signs against a season already scheduled</t>
  </si>
  <si>
    <t xml:space="preserve">NGOs, donors and development agencies</t>
  </si>
  <si>
    <t xml:space="preserve">mobilisation: inception phase, baselining and a steering committee</t>
  </si>
  <si>
    <t xml:space="preserve">Government and national initiatives</t>
  </si>
  <si>
    <t xml:space="preserve">mobilisation: purchase order, bulk provisioning, a pilot governorate</t>
  </si>
  <si>
    <t xml:space="preserve">CSR and corporate innovation budgets</t>
  </si>
  <si>
    <t xml:space="preserve">mobilisation: budget release and an internal nomination round</t>
  </si>
  <si>
    <t xml:space="preserve">Accelerators, incubators and programme operators</t>
  </si>
  <si>
    <t xml:space="preserve">mobilisation: the next intake is already dated</t>
  </si>
  <si>
    <t xml:space="preserve">must total 100%</t>
  </si>
  <si>
    <t xml:space="preserve">Win rate uplift as references accumulate</t>
  </si>
  <si>
    <t xml:space="preserve">x</t>
  </si>
  <si>
    <t xml:space="preserve">applied to the proposal to win stage only</t>
  </si>
  <si>
    <t xml:space="preserve">6. WHO RUNS THE ACTIVITY, AND HOW MUCH OF IT ONE PERSON CAN RUN</t>
  </si>
  <si>
    <t xml:space="preserve">The activity plan above is only credible if somebody is free to do it. In year one the owning functions are largely empty, which is why the founder column matters. The sheet named GTM Capacity and Timing does the arithmetic month by month and fails loudly if the plan asks for more than the establishment can run.</t>
  </si>
  <si>
    <t xml:space="preserve">Activity</t>
  </si>
  <si>
    <t xml:space="preserve">Owned by</t>
  </si>
  <si>
    <t xml:space="preserve">Per person in the owning function</t>
  </si>
  <si>
    <t xml:space="preserve">Per founder</t>
  </si>
  <si>
    <t xml:space="preserve">Per ambassador</t>
  </si>
  <si>
    <t xml:space="preserve">Per certified partner organisation</t>
  </si>
  <si>
    <t xml:space="preserve">Curriculum and Delivery</t>
  </si>
  <si>
    <t xml:space="preserve">activities one person can run in a month</t>
  </si>
  <si>
    <t xml:space="preserve">Growth and Content</t>
  </si>
  <si>
    <t xml:space="preserve">Institutional Partnerships</t>
  </si>
  <si>
    <t xml:space="preserve">Meetings per commercial head per month</t>
  </si>
  <si>
    <t xml:space="preserve">a prepared meeting with a dean, a desk officer or a sponsorship lead, followed up, not a corridor conversation</t>
  </si>
  <si>
    <t xml:space="preserve">Meetings per founder per month</t>
  </si>
  <si>
    <t xml:space="preserve">on top of running the company</t>
  </si>
  <si>
    <t xml:space="preserve">Meetings per growth and content head per month</t>
  </si>
  <si>
    <t xml:space="preserve">7. REVENUE, WHAT A WON CONTRACT TURNS INTO</t>
  </si>
  <si>
    <t xml:space="preserve">Each engine takes a share of one buyer type's contracts and delivers a fixed number of units evenly across a contract life. A contract signed in month m is deliverable from month m plus mobilisation. Volume on the Revenue Streams sheet is the active contract stock times units over life, and nothing else.</t>
  </si>
  <si>
    <t xml:space="preserve">Share of that buyer's contracts</t>
  </si>
  <si>
    <t xml:space="preserve">Units per contract</t>
  </si>
  <si>
    <t xml:space="preserve">Contract life, months</t>
  </si>
  <si>
    <t xml:space="preserve">First month it can deliver</t>
  </si>
  <si>
    <t xml:space="preserve">University cohorts, Egypt</t>
  </si>
  <si>
    <t xml:space="preserve">cohorts</t>
  </si>
  <si>
    <t xml:space="preserve">already signed, delivering from month one</t>
  </si>
  <si>
    <t xml:space="preserve">University cohorts, Saudi Arabia</t>
  </si>
  <si>
    <t xml:space="preserve">no presence in market before the Riyadh country manager starts in month 25</t>
  </si>
  <si>
    <t xml:space="preserve">Faculty licences</t>
  </si>
  <si>
    <t xml:space="preserve">licences</t>
  </si>
  <si>
    <t xml:space="preserve">cannot precede two delivered cohorts at the same faculty</t>
  </si>
  <si>
    <t xml:space="preserve">School cohorts</t>
  </si>
  <si>
    <t xml:space="preserve">safeguarding clearance, parental consent and the school variant of the curriculum do not exist in year one</t>
  </si>
  <si>
    <t xml:space="preserve">School licences</t>
  </si>
  <si>
    <t xml:space="preserve">follows delivered school cohorts</t>
  </si>
  <si>
    <t xml:space="preserve">Technical and vocational cohorts</t>
  </si>
  <si>
    <t xml:space="preserve">follows the schools curriculum build</t>
  </si>
  <si>
    <t xml:space="preserve">National initiative seats</t>
  </si>
  <si>
    <t xml:space="preserve">seats</t>
  </si>
  <si>
    <t xml:space="preserve">an eleven month cycle and three months of mobilisation put the first provisioned seat in month 14 at the earliest</t>
  </si>
  <si>
    <t xml:space="preserve">Train the trainer cohorts</t>
  </si>
  <si>
    <t xml:space="preserve">attached to the initiative that needs the trainers</t>
  </si>
  <si>
    <t xml:space="preserve">NGO and donor programmes</t>
  </si>
  <si>
    <t xml:space="preserve">programmes</t>
  </si>
  <si>
    <t xml:space="preserve">a twelve month cycle and a three month inception phase</t>
  </si>
  <si>
    <t xml:space="preserve">Competitions, sponsored</t>
  </si>
  <si>
    <t xml:space="preserve">competitions</t>
  </si>
  <si>
    <t xml:space="preserve">a sponsor can sign against the season already running</t>
  </si>
  <si>
    <t xml:space="preserve">Mission Zero seasons carrying a sponsor</t>
  </si>
  <si>
    <t xml:space="preserve">seasons</t>
  </si>
  <si>
    <t xml:space="preserve">capped at the seasons actually produced</t>
  </si>
  <si>
    <t xml:space="preserve">Corporate and CSR programmes</t>
  </si>
  <si>
    <t xml:space="preserve">a seven month cycle and budget release</t>
  </si>
  <si>
    <t xml:space="preserve">Programme and incubator seats</t>
  </si>
  <si>
    <t xml:space="preserve">Enactus is already at heads of terms</t>
  </si>
  <si>
    <t xml:space="preserve">Shares must total 100% for each buyer type</t>
  </si>
  <si>
    <t xml:space="preserve">    Institutions, universities and schools</t>
  </si>
  <si>
    <t xml:space="preserve">    Sponsors, banks, telcos and corporates</t>
  </si>
  <si>
    <t xml:space="preserve">    NGOs, donors and development agencies</t>
  </si>
  <si>
    <t xml:space="preserve">    Government and national initiatives</t>
  </si>
  <si>
    <t xml:space="preserve">    CSR and corporate innovation budgets</t>
  </si>
  <si>
    <t xml:space="preserve">    Accelerators, incubators and programme operators</t>
  </si>
  <si>
    <t xml:space="preserve">Mission Zero seasons produced per year</t>
  </si>
  <si>
    <t xml:space="preserve">the production ceiling. A season nobody sponsors is still a cost, and sponsored seasons cannot exceed seasons produced</t>
  </si>
  <si>
    <t xml:space="preserve">8. REVENUE, PRICING BY YEAR</t>
  </si>
  <si>
    <t xml:space="preserve">University cohort, all in programme fee</t>
  </si>
  <si>
    <t xml:space="preserve">six delivery days, twenty five seats, judging and the cohort report</t>
  </si>
  <si>
    <t xml:space="preserve">Faculty licence, annual</t>
  </si>
  <si>
    <t xml:space="preserve">sold only after two delivered cohorts at the same faculty</t>
  </si>
  <si>
    <t xml:space="preserve">School cohort</t>
  </si>
  <si>
    <t xml:space="preserve">School licence, annual</t>
  </si>
  <si>
    <t xml:space="preserve">Technical and vocational cohort</t>
  </si>
  <si>
    <t xml:space="preserve">National initiative seat</t>
  </si>
  <si>
    <t xml:space="preserve">per participant, bulk provisioned, priced for a ministry buying tens of thousands</t>
  </si>
  <si>
    <t xml:space="preserve">Train the trainer cohort</t>
  </si>
  <si>
    <t xml:space="preserve">NGO or donor programme</t>
  </si>
  <si>
    <t xml:space="preserve">Sponsored competition season</t>
  </si>
  <si>
    <t xml:space="preserve">paid by the sponsor, not by the organiser</t>
  </si>
  <si>
    <t xml:space="preserve">Corporate or CSR programme</t>
  </si>
  <si>
    <t xml:space="preserve">Programme or incubator seat</t>
  </si>
  <si>
    <t xml:space="preserve">Mission Zero season sponsorship</t>
  </si>
  <si>
    <t xml:space="preserve">a named season, twelve episodes</t>
  </si>
  <si>
    <t xml:space="preserve">Subscription, Pro, annual</t>
  </si>
  <si>
    <t xml:space="preserve">Subscription, Team, annual</t>
  </si>
  <si>
    <t xml:space="preserve">Share of new subscribers taking Team</t>
  </si>
  <si>
    <t xml:space="preserve">Subscription monthly churn</t>
  </si>
  <si>
    <t xml:space="preserve">How many people one delivered unit reaches. This drives the institutional side of the subscription funnel.</t>
  </si>
  <si>
    <t xml:space="preserve">University cohort size</t>
  </si>
  <si>
    <t xml:space="preserve">School and technical cohort size</t>
  </si>
  <si>
    <t xml:space="preserve">Entrants per competition</t>
  </si>
  <si>
    <t xml:space="preserve">Participants per NGO programme</t>
  </si>
  <si>
    <t xml:space="preserve">Participants per corporate programme</t>
  </si>
  <si>
    <t xml:space="preserve">9. EXPENSES, DIRECT COST OF DELIVERY</t>
  </si>
  <si>
    <t xml:space="preserve">Facilitator day rate</t>
  </si>
  <si>
    <t xml:space="preserve">certified freelancers, there are no employed facilitators</t>
  </si>
  <si>
    <t xml:space="preserve">Facilitators per cohort</t>
  </si>
  <si>
    <t xml:space="preserve">Delivery days, university cohort</t>
  </si>
  <si>
    <t xml:space="preserve">days</t>
  </si>
  <si>
    <t xml:space="preserve">Delivery days, school cohort</t>
  </si>
  <si>
    <t xml:space="preserve">Delivery days, technical cohort</t>
  </si>
  <si>
    <t xml:space="preserve">Delivery days one certified facilitator gives per month</t>
  </si>
  <si>
    <t xml:space="preserve">a freelancer with other work. This is what sizes the pool</t>
  </si>
  <si>
    <t xml:space="preserve">Spare capacity held in the certified pool</t>
  </si>
  <si>
    <t xml:space="preserve">nobody staffs a cohort plan to exactly one hundred percent</t>
  </si>
  <si>
    <t xml:space="preserve">Cost of certifying one facilitator</t>
  </si>
  <si>
    <t xml:space="preserve">assessment, materials and the shadow delivery</t>
  </si>
  <si>
    <t xml:space="preserve">Cohorts one certified partner organisation delivers per month</t>
  </si>
  <si>
    <t xml:space="preserve">Materials and showcase, university cohort</t>
  </si>
  <si>
    <t xml:space="preserve">Materials and showcase, school cohort</t>
  </si>
  <si>
    <t xml:space="preserve">Materials and showcase, technical cohort</t>
  </si>
  <si>
    <t xml:space="preserve">Delivery cost, sponsored competition</t>
  </si>
  <si>
    <t xml:space="preserve">Delivery cost, the self funded competition, excluding prizes</t>
  </si>
  <si>
    <t xml:space="preserve">the prizes already committed are added separately</t>
  </si>
  <si>
    <t xml:space="preserve">Production cost, one Mission Zero season</t>
  </si>
  <si>
    <t xml:space="preserve">a freelance two person crew</t>
  </si>
  <si>
    <t xml:space="preserve">Delivery cost, NGO or donor programme</t>
  </si>
  <si>
    <t xml:space="preserve">Delivery cost, corporate programme</t>
  </si>
  <si>
    <t xml:space="preserve">Delivery cost, train the trainer cohort</t>
  </si>
  <si>
    <t xml:space="preserve">Support cost per national initiative seat</t>
  </si>
  <si>
    <t xml:space="preserve">provisioning, a bilingual support queue and partner reporting</t>
  </si>
  <si>
    <t xml:space="preserve">Support cost per programme seat</t>
  </si>
  <si>
    <t xml:space="preserve">Hosting and inference per paid subscriber per month</t>
  </si>
  <si>
    <t xml:space="preserve">sized for a fifteen dollar a year price, not a western one</t>
  </si>
  <si>
    <t xml:space="preserve">10. EXPENSES, REVENUE SHARING WITH THIRD PARTIES</t>
  </si>
  <si>
    <t xml:space="preserve">Three counterparties take a share. Each is margin given up to buy delivery capacity, distribution or access that would otherwise have to be hired for.</t>
  </si>
  <si>
    <t xml:space="preserve">Party 1, share of cohorts delivered by certified partners</t>
  </si>
  <si>
    <t xml:space="preserve">Party 1, the partner's share of that cohort fee</t>
  </si>
  <si>
    <t xml:space="preserve">they deliver, StartPad certifies and audits</t>
  </si>
  <si>
    <t xml:space="preserve">Party 2, share of sponsored competition revenue</t>
  </si>
  <si>
    <t xml:space="preserve">youth and channel organisations such as Enactus and INJAZ</t>
  </si>
  <si>
    <t xml:space="preserve">Party 2, share of programme and incubator seat revenue</t>
  </si>
  <si>
    <t xml:space="preserve">Party 3, share of national initiative seat revenue</t>
  </si>
  <si>
    <t xml:space="preserve">government aggregators and local distributors</t>
  </si>
  <si>
    <t xml:space="preserve">Party 3, payment processing on subscriptions</t>
  </si>
  <si>
    <t xml:space="preserve">11. EXPENSES, OPERATING COST DRIVERS</t>
  </si>
  <si>
    <t xml:space="preserve">Nothing here is a flat monthly figure chosen by eye. Every line has a driver: a desk per employee, inference per active learner, travel per head on the road.</t>
  </si>
  <si>
    <t xml:space="preserve">Desk or office, per employee per month</t>
  </si>
  <si>
    <t xml:space="preserve">co working in year one, an office later</t>
  </si>
  <si>
    <t xml:space="preserve">Utilities, internet and communications, per employee per month</t>
  </si>
  <si>
    <t xml:space="preserve">Cloud, AI and third party APIs, fixed per month</t>
  </si>
  <si>
    <t xml:space="preserve">Cloud and inference, per active learner per month</t>
  </si>
  <si>
    <t xml:space="preserve">Software and tooling, per employee per month</t>
  </si>
  <si>
    <t xml:space="preserve">Travel, per employee per month</t>
  </si>
  <si>
    <t xml:space="preserve">Outsourced finance, legal and audit, per month</t>
  </si>
  <si>
    <t xml:space="preserve">bought from firms, not hired onto the establishment</t>
  </si>
  <si>
    <t xml:space="preserve">Safeguarding and compliance, per month</t>
  </si>
  <si>
    <t xml:space="preserve">Partner enablement, certification and audit, per month</t>
  </si>
  <si>
    <t xml:space="preserve">Insurance, bank charges and sundries, per month</t>
  </si>
  <si>
    <t xml:space="preserve">Campus ambassadors on a stipend</t>
  </si>
  <si>
    <t xml:space="preserve">Ambassador stipend per month</t>
  </si>
  <si>
    <t xml:space="preserve">Ambassador active months per year</t>
  </si>
  <si>
    <t xml:space="preserve">Sales commission on institutional revenue</t>
  </si>
  <si>
    <t xml:space="preserve">Contingency on operating cost</t>
  </si>
  <si>
    <t xml:space="preserve">12. WORKING CAPITAL AND FUNDING</t>
  </si>
  <si>
    <t xml:space="preserve">Days sales outstanding, institutional</t>
  </si>
  <si>
    <t xml:space="preserve">universities and ministries pay slowly, the largest cash risk here</t>
  </si>
  <si>
    <t xml:space="preserve">Days sales outstanding, subscriptions</t>
  </si>
  <si>
    <t xml:space="preserve">Days payable outstanding</t>
  </si>
  <si>
    <t xml:space="preserve">Accrued payroll, days outstanding</t>
  </si>
  <si>
    <t xml:space="preserve">Institutional contracts invoiced in advance</t>
  </si>
  <si>
    <t xml:space="preserve">creates deferred revenue</t>
  </si>
  <si>
    <t xml:space="preserve">Seed round raised</t>
  </si>
  <si>
    <t xml:space="preserve">sized on the cash trough, not on a round number</t>
  </si>
  <si>
    <t xml:space="preserve">Month the seed round lands</t>
  </si>
  <si>
    <t xml:space="preserve">Minimum cash buffer to hold</t>
  </si>
  <si>
    <t xml:space="preserve">Years an institutional relationship is retained</t>
  </si>
  <si>
    <t xml:space="preserve">used for institutional lifetime value</t>
  </si>
  <si>
    <t xml:space="preserve">13. TAX</t>
  </si>
  <si>
    <t xml:space="preserve">Corporate income tax rate</t>
  </si>
  <si>
    <t xml:space="preserve">Egyptian corporate income tax</t>
  </si>
  <si>
    <t xml:space="preserve">Month of the following year in which tax is paid</t>
  </si>
  <si>
    <t xml:space="preserve">Tax losses carried forward at inception</t>
  </si>
  <si>
    <t xml:space="preserve">none, the company has not traded</t>
  </si>
  <si>
    <t xml:space="preserve">14. ASSETS, DRIVEN BY HEADCOUNT</t>
  </si>
  <si>
    <t xml:space="preserve">Every new employee arrives with a kit, so asset purchases follow the hiring plan instead of being guessed at. Platform development is not capitalised: it is the engineers' salaries, and it is expensed through payroll.</t>
  </si>
  <si>
    <t xml:space="preserve">Per employee asset</t>
  </si>
  <si>
    <t xml:space="preserve">Cost per unit</t>
  </si>
  <si>
    <t xml:space="preserve">Units per new employee</t>
  </si>
  <si>
    <t xml:space="preserve">Useful life, months</t>
  </si>
  <si>
    <t xml:space="preserve">Laptop</t>
  </si>
  <si>
    <t xml:space="preserve">Monitor and peripherals</t>
  </si>
  <si>
    <t xml:space="preserve">Mobile handset and line setup</t>
  </si>
  <si>
    <t xml:space="preserve">Desk and chair</t>
  </si>
  <si>
    <t xml:space="preserve">Shared and intangible assets</t>
  </si>
  <si>
    <t xml:space="preserve">Month acquired</t>
  </si>
  <si>
    <t xml:space="preserve">Cost</t>
  </si>
  <si>
    <t xml:space="preserve">Mission Zero production kit, camera, audio, lighting</t>
  </si>
  <si>
    <t xml:space="preserve">Network, devices and security</t>
  </si>
  <si>
    <t xml:space="preserve">Trademark, IP registration and entity formation</t>
  </si>
  <si>
    <t xml:space="preserve">Riyadh office setup</t>
  </si>
  <si>
    <t xml:space="preserve">Cairo office fit out</t>
  </si>
  <si>
    <t xml:space="preserve">Per employee assets follow the hiring plan. Shared and intangible assets are dated explicitly. Platform development is not capitalised: it is salary, and it is expensed.</t>
  </si>
  <si>
    <t xml:space="preserve">ADDITIONS IN THE MONTH</t>
  </si>
  <si>
    <t xml:space="preserve">Line item</t>
  </si>
  <si>
    <t xml:space="preserve">Oct-26</t>
  </si>
  <si>
    <t xml:space="preserve">Nov-26</t>
  </si>
  <si>
    <t xml:space="preserve">Dec-26</t>
  </si>
  <si>
    <t xml:space="preserve">Jan-26</t>
  </si>
  <si>
    <t xml:space="preserve">Feb-26</t>
  </si>
  <si>
    <t xml:space="preserve">Mar-26</t>
  </si>
  <si>
    <t xml:space="preserve">Apr-26</t>
  </si>
  <si>
    <t xml:space="preserve">May-26</t>
  </si>
  <si>
    <t xml:space="preserve">Jun-26</t>
  </si>
  <si>
    <t xml:space="preserve">Jul-27</t>
  </si>
  <si>
    <t xml:space="preserve">Aug-27</t>
  </si>
  <si>
    <t xml:space="preserve">Sep-27</t>
  </si>
  <si>
    <t xml:space="preserve">Oct-27</t>
  </si>
  <si>
    <t xml:space="preserve">Nov-27</t>
  </si>
  <si>
    <t xml:space="preserve">Dec-27</t>
  </si>
  <si>
    <t xml:space="preserve">Jan-27</t>
  </si>
  <si>
    <t xml:space="preserve">Feb-27</t>
  </si>
  <si>
    <t xml:space="preserve">Mar-27</t>
  </si>
  <si>
    <t xml:space="preserve">Apr-27</t>
  </si>
  <si>
    <t xml:space="preserve">May-27</t>
  </si>
  <si>
    <t xml:space="preserve">Jun-27</t>
  </si>
  <si>
    <t xml:space="preserve">Jul-28</t>
  </si>
  <si>
    <t xml:space="preserve">Aug-28</t>
  </si>
  <si>
    <t xml:space="preserve">Sep-28</t>
  </si>
  <si>
    <t xml:space="preserve">Oct-28</t>
  </si>
  <si>
    <t xml:space="preserve">Nov-28</t>
  </si>
  <si>
    <t xml:space="preserve">Dec-28</t>
  </si>
  <si>
    <t xml:space="preserve">Jan-28</t>
  </si>
  <si>
    <t xml:space="preserve">Feb-28</t>
  </si>
  <si>
    <t xml:space="preserve">Mar-28</t>
  </si>
  <si>
    <t xml:space="preserve">Apr-28</t>
  </si>
  <si>
    <t xml:space="preserve">May-28</t>
  </si>
  <si>
    <t xml:space="preserve">Jun-28</t>
  </si>
  <si>
    <t xml:space="preserve">Jul-29</t>
  </si>
  <si>
    <t xml:space="preserve">Aug-29</t>
  </si>
  <si>
    <t xml:space="preserve">Sep-29</t>
  </si>
  <si>
    <t xml:space="preserve">Oct-29</t>
  </si>
  <si>
    <t xml:space="preserve">Nov-29</t>
  </si>
  <si>
    <t xml:space="preserve">Dec-29</t>
  </si>
  <si>
    <t xml:space="preserve">Jan-29</t>
  </si>
  <si>
    <t xml:space="preserve">Feb-29</t>
  </si>
  <si>
    <t xml:space="preserve">Mar-29</t>
  </si>
  <si>
    <t xml:space="preserve">Apr-29</t>
  </si>
  <si>
    <t xml:space="preserve">May-29</t>
  </si>
  <si>
    <t xml:space="preserve">Jun-29</t>
  </si>
  <si>
    <t xml:space="preserve">Jul-30</t>
  </si>
  <si>
    <t xml:space="preserve">Aug-30</t>
  </si>
  <si>
    <t xml:space="preserve">Sep-30</t>
  </si>
  <si>
    <t xml:space="preserve">Oct-30</t>
  </si>
  <si>
    <t xml:space="preserve">Nov-30</t>
  </si>
  <si>
    <t xml:space="preserve">Dec-30</t>
  </si>
  <si>
    <t xml:space="preserve">Jan-30</t>
  </si>
  <si>
    <t xml:space="preserve">Feb-30</t>
  </si>
  <si>
    <t xml:space="preserve">Mar-30</t>
  </si>
  <si>
    <t xml:space="preserve">Apr-30</t>
  </si>
  <si>
    <t xml:space="preserve">May-30</t>
  </si>
  <si>
    <t xml:space="preserve">Jun-30</t>
  </si>
  <si>
    <t xml:space="preserve">Jul-31</t>
  </si>
  <si>
    <t xml:space="preserve">Aug-31</t>
  </si>
  <si>
    <t xml:space="preserve">Sep-31</t>
  </si>
  <si>
    <t xml:space="preserve">Total capital expenditure</t>
  </si>
  <si>
    <t xml:space="preserve">GROSS COST, CUMULATIVE</t>
  </si>
  <si>
    <t xml:space="preserve">Total gross assets</t>
  </si>
  <si>
    <t xml:space="preserve">The position the model opens on, and a grid to record each month as it closes so this stays an operating tool rather than a one off forecast.</t>
  </si>
  <si>
    <t xml:space="preserve">OPENING POSITION AT 30 SEPTEMBER 2026</t>
  </si>
  <si>
    <t xml:space="preserve">Cash at bank</t>
  </si>
  <si>
    <t xml:space="preserve">Trade receivables</t>
  </si>
  <si>
    <t xml:space="preserve">nothing invoiced yet</t>
  </si>
  <si>
    <t xml:space="preserve">Property and equipment, net</t>
  </si>
  <si>
    <t xml:space="preserve">nothing acquired yet</t>
  </si>
  <si>
    <t xml:space="preserve">Intangible assets, net</t>
  </si>
  <si>
    <t xml:space="preserve">capitalised from month 1</t>
  </si>
  <si>
    <t xml:space="preserve">Total opening assets</t>
  </si>
  <si>
    <t xml:space="preserve">Trade and other payables</t>
  </si>
  <si>
    <t xml:space="preserve">none at inception</t>
  </si>
  <si>
    <t xml:space="preserve">Accrued payroll</t>
  </si>
  <si>
    <t xml:space="preserve">nobody employed before month 1</t>
  </si>
  <si>
    <t xml:space="preserve">Deferred revenue</t>
  </si>
  <si>
    <t xml:space="preserve">nothing billed in advance yet</t>
  </si>
  <si>
    <t xml:space="preserve">Tax payable</t>
  </si>
  <si>
    <t xml:space="preserve">no trading, so nothing owed</t>
  </si>
  <si>
    <t xml:space="preserve">Paid in share capital</t>
  </si>
  <si>
    <t xml:space="preserve">the opening cash, recorded as equity</t>
  </si>
  <si>
    <t xml:space="preserve">Retained earnings</t>
  </si>
  <si>
    <t xml:space="preserve">no trading before month 1</t>
  </si>
  <si>
    <t xml:space="preserve">Total opening liabilities and equity</t>
  </si>
  <si>
    <t xml:space="preserve">Check, assets less liabilities and equity</t>
  </si>
  <si>
    <t xml:space="preserve">TRACTION ALREADY ACHIEVED, CARRIED INTO THE MODEL</t>
  </si>
  <si>
    <t xml:space="preserve">MONTHLY ACTUALS, ENTER AS EACH MONTH CLOSES</t>
  </si>
  <si>
    <t xml:space="preserve">Leave a month blank until it has closed. Nothing downstream reads this grid: the statements run on the forecast, and these rows exist so the variance can be read without disturbing the model.</t>
  </si>
  <si>
    <t xml:space="preserve">Revenue, actual</t>
  </si>
  <si>
    <t xml:space="preserve">Direct cost, actual</t>
  </si>
  <si>
    <t xml:space="preserve">Operating cost, actual</t>
  </si>
  <si>
    <t xml:space="preserve">Closing cash, actual</t>
  </si>
  <si>
    <t xml:space="preserve">Registered accounts, actual</t>
  </si>
  <si>
    <t xml:space="preserve">Paid accounts, actual</t>
  </si>
  <si>
    <t xml:space="preserve">VARIANCE AGAINST THE MODEL</t>
  </si>
  <si>
    <t xml:space="preserve">Revenue, forecast</t>
  </si>
  <si>
    <t xml:space="preserve">Revenue, variance</t>
  </si>
  <si>
    <t xml:space="preserve">Direct cost, forecast</t>
  </si>
  <si>
    <t xml:space="preserve">Direct cost, variance</t>
  </si>
  <si>
    <t xml:space="preserve">Operating cost, forecast</t>
  </si>
  <si>
    <t xml:space="preserve">Operating cost, variance</t>
  </si>
  <si>
    <t xml:space="preserve">Closing cash, forecast</t>
  </si>
  <si>
    <t xml:space="preserve">Closing cash, variance</t>
  </si>
  <si>
    <t xml:space="preserve">Acquisitions</t>
  </si>
  <si>
    <t xml:space="preserve">GTM Capacity and Timing</t>
  </si>
  <si>
    <t xml:space="preserve">Revenue Streams</t>
  </si>
  <si>
    <t xml:space="preserve">Total Revenue</t>
  </si>
  <si>
    <t xml:space="preserve">Payroll</t>
  </si>
  <si>
    <t xml:space="preserve">Depreciation and Amortization</t>
  </si>
  <si>
    <t xml:space="preserve">Expenses</t>
  </si>
  <si>
    <t xml:space="preserve">Activity to leads to meetings to proposals to signed contracts to a contract book. Nothing downstream is typed: cut the activity here and the cohorts disappear.</t>
  </si>
  <si>
    <t xml:space="preserve">ONLINE CHANNELS, SPEND TO LEADS</t>
  </si>
  <si>
    <t xml:space="preserve">    Paid clicks</t>
  </si>
  <si>
    <t xml:space="preserve">    Total clicks after organic and referral</t>
  </si>
  <si>
    <t xml:space="preserve">    Stage 1, leads</t>
  </si>
  <si>
    <t xml:space="preserve">Online marketing cost</t>
  </si>
  <si>
    <t xml:space="preserve">Total clicks</t>
  </si>
  <si>
    <t xml:space="preserve">Total online leads</t>
  </si>
  <si>
    <t xml:space="preserve">Blended cost per lead</t>
  </si>
  <si>
    <t xml:space="preserve">OFFLINE ACTIVITY, WHAT THE TEAM DOES</t>
  </si>
  <si>
    <t xml:space="preserve">    Cost</t>
  </si>
  <si>
    <t xml:space="preserve">    Free sign ups</t>
  </si>
  <si>
    <t xml:space="preserve">    Institutional leads</t>
  </si>
  <si>
    <t xml:space="preserve">Offline marketing cost</t>
  </si>
  <si>
    <t xml:space="preserve">Offline free sign ups</t>
  </si>
  <si>
    <t xml:space="preserve">Offline institutional leads</t>
  </si>
  <si>
    <t xml:space="preserve">Total marketing cost</t>
  </si>
  <si>
    <t xml:space="preserve">INSTITUTIONAL FUNNEL, BY BUYER TYPE</t>
  </si>
  <si>
    <t xml:space="preserve">Registered accounts from online leads</t>
  </si>
  <si>
    <t xml:space="preserve">Registered accounts from offline sign ups</t>
  </si>
  <si>
    <t xml:space="preserve">Inbound enquiries from content</t>
  </si>
  <si>
    <t xml:space="preserve">Total institutional leads</t>
  </si>
  <si>
    <t xml:space="preserve">    Meetings held</t>
  </si>
  <si>
    <t xml:space="preserve">    Proposals, pilots and bids</t>
  </si>
  <si>
    <t xml:space="preserve">    Contracts signed, after the sales cycle</t>
  </si>
  <si>
    <t xml:space="preserve">    Contracts mobilised, ready to deliver</t>
  </si>
  <si>
    <t xml:space="preserve">Total contracts signed</t>
  </si>
  <si>
    <t xml:space="preserve">Total contracts mobilised</t>
  </si>
  <si>
    <t xml:space="preserve">THE CONTRACT BOOK, BY ENGINE</t>
  </si>
  <si>
    <t xml:space="preserve">Institutions, universities and schools, share of engines open in the month</t>
  </si>
  <si>
    <t xml:space="preserve">Sponsors, banks, telcos and corporates, share of engines open in the month</t>
  </si>
  <si>
    <t xml:space="preserve">NGOs, donors and development agencies, share of engines open in the month</t>
  </si>
  <si>
    <t xml:space="preserve">Government and national initiatives, share of engines open in the month</t>
  </si>
  <si>
    <t xml:space="preserve">CSR and corporate innovation budgets, share of engines open in the month</t>
  </si>
  <si>
    <t xml:space="preserve">Accelerators, incubators and programme operators, share of engines open in the month</t>
  </si>
  <si>
    <t xml:space="preserve">A contract is signed with a buyer, not with an engine. Until an engine opens, that buyer's contracts go to the engines that are open, which is why a university signing in year one buys a cohort rather than a licence.</t>
  </si>
  <si>
    <t xml:space="preserve">University cohorts, Egypt, contracts mobilising</t>
  </si>
  <si>
    <t xml:space="preserve">University cohorts, Egypt, contracts live</t>
  </si>
  <si>
    <t xml:space="preserve">University cohorts, Saudi Arabia, contracts mobilising</t>
  </si>
  <si>
    <t xml:space="preserve">University cohorts, Saudi Arabia, contracts live</t>
  </si>
  <si>
    <t xml:space="preserve">Faculty licences, contracts mobilising</t>
  </si>
  <si>
    <t xml:space="preserve">Faculty licences, contracts live</t>
  </si>
  <si>
    <t xml:space="preserve">School cohorts, contracts mobilising</t>
  </si>
  <si>
    <t xml:space="preserve">School cohorts, contracts live</t>
  </si>
  <si>
    <t xml:space="preserve">School licences, contracts mobilising</t>
  </si>
  <si>
    <t xml:space="preserve">School licences, contracts live</t>
  </si>
  <si>
    <t xml:space="preserve">Technical and vocational cohorts, contracts mobilising</t>
  </si>
  <si>
    <t xml:space="preserve">Technical and vocational cohorts, contracts live</t>
  </si>
  <si>
    <t xml:space="preserve">National initiative seats, contracts mobilising</t>
  </si>
  <si>
    <t xml:space="preserve">National initiative seats, contracts live</t>
  </si>
  <si>
    <t xml:space="preserve">Train the trainer cohorts, contracts mobilising</t>
  </si>
  <si>
    <t xml:space="preserve">Train the trainer cohorts, contracts live</t>
  </si>
  <si>
    <t xml:space="preserve">NGO and donor programmes, contracts mobilising</t>
  </si>
  <si>
    <t xml:space="preserve">NGO and donor programmes, contracts live</t>
  </si>
  <si>
    <t xml:space="preserve">Competitions, sponsored, contracts mobilising</t>
  </si>
  <si>
    <t xml:space="preserve">Competitions, sponsored, contracts live</t>
  </si>
  <si>
    <t xml:space="preserve">Mission Zero seasons carrying a sponsor, contracts mobilising</t>
  </si>
  <si>
    <t xml:space="preserve">Mission Zero seasons carrying a sponsor, contracts live</t>
  </si>
  <si>
    <t xml:space="preserve">Corporate and CSR programmes, contracts mobilising</t>
  </si>
  <si>
    <t xml:space="preserve">Corporate and CSR programmes, contracts live</t>
  </si>
  <si>
    <t xml:space="preserve">Programme and incubator seats, contracts mobilising</t>
  </si>
  <si>
    <t xml:space="preserve">Programme and incubator seats, contracts live</t>
  </si>
  <si>
    <t xml:space="preserve">LEARNER FUNNEL, REACH TO A PAYING ACCOUNT</t>
  </si>
  <si>
    <t xml:space="preserve">Reached, cohort participants</t>
  </si>
  <si>
    <t xml:space="preserve">Reached, competition entrants</t>
  </si>
  <si>
    <t xml:space="preserve">Reached, sponsored and programme seats</t>
  </si>
  <si>
    <t xml:space="preserve">Reached, NGO and corporate participants</t>
  </si>
  <si>
    <t xml:space="preserve">Registered accounts from institutions</t>
  </si>
  <si>
    <t xml:space="preserve">Total new registered accounts</t>
  </si>
  <si>
    <t xml:space="preserve">Cumulative registered accounts</t>
  </si>
  <si>
    <t xml:space="preserve">Stage 3, new paid accounts</t>
  </si>
  <si>
    <t xml:space="preserve">Active paid accounts</t>
  </si>
  <si>
    <t xml:space="preserve">Cost per paid account</t>
  </si>
  <si>
    <t xml:space="preserve">Institutional acquisition cost</t>
  </si>
  <si>
    <t xml:space="preserve">Cost per institutional contract won</t>
  </si>
  <si>
    <t xml:space="preserve">Activity starts in month one in every channel. This sheet shows who runs it, sizes the delivery network it implies, and shows how long each kind of deal takes to become a delivery day.</t>
  </si>
  <si>
    <t xml:space="preserve">1. THE PEOPLE ON THE PAYROLL, AND THE NETWORK THE PLAN IMPLIES</t>
  </si>
  <si>
    <t xml:space="preserve">Leadership</t>
  </si>
  <si>
    <t xml:space="preserve">Product and Engineering</t>
  </si>
  <si>
    <t xml:space="preserve">Facilitator days the cohort plan needs</t>
  </si>
  <si>
    <t xml:space="preserve">    Certified facilitators the plan requires</t>
  </si>
  <si>
    <t xml:space="preserve">Certified facilitators in the pool</t>
  </si>
  <si>
    <t xml:space="preserve">    Facilitators certified in the month</t>
  </si>
  <si>
    <t xml:space="preserve">Cohorts delivered by certified partners</t>
  </si>
  <si>
    <t xml:space="preserve">Certified delivery partner organisations</t>
  </si>
  <si>
    <t xml:space="preserve">The delivery network is an output, not a wish. The plan sells cohorts, the cohorts need days, the days need certified freelancers, and certifying them is charged to the model. Year one is four employees, so the founder column in the capacity table below is doing most of the work.</t>
  </si>
  <si>
    <t xml:space="preserve">2. ACTIVITY THE PLAN NEEDS, AGAINST ACTIVITY THE TEAM CAN RUN</t>
  </si>
  <si>
    <t xml:space="preserve">Campus workshops, planned</t>
  </si>
  <si>
    <t xml:space="preserve">    Capacity, the people who can run it</t>
  </si>
  <si>
    <t xml:space="preserve">    Headroom</t>
  </si>
  <si>
    <t xml:space="preserve">Ambassador campus activity, planned</t>
  </si>
  <si>
    <t xml:space="preserve">Events, fairs and conferences, planned</t>
  </si>
  <si>
    <t xml:space="preserve">Partner sessions inside somebody else's cohort, planned</t>
  </si>
  <si>
    <t xml:space="preserve">Direct outreach by the commercial team, planned</t>
  </si>
  <si>
    <t xml:space="preserve">Activity the plan asks for beyond what the team can run</t>
  </si>
  <si>
    <t xml:space="preserve">Activity utilisation</t>
  </si>
  <si>
    <t xml:space="preserve">The row above must read nil in every month. If it does not, the plan is running activity nobody is free to do, and either the hiring plan or the activity plan is wrong.</t>
  </si>
  <si>
    <t xml:space="preserve">3. MEETINGS THE FUNNEL GENERATES, AGAINST MEETINGS THE TEAM CAN HOLD</t>
  </si>
  <si>
    <t xml:space="preserve">Meetings the funnel generates</t>
  </si>
  <si>
    <t xml:space="preserve">Meetings the team can hold</t>
  </si>
  <si>
    <t xml:space="preserve">Meetings asked for beyond capacity</t>
  </si>
  <si>
    <t xml:space="preserve">Meeting utilisation</t>
  </si>
  <si>
    <t xml:space="preserve">4. THE CONTRACT BOOK THE ACTIVITY PRODUCES</t>
  </si>
  <si>
    <t xml:space="preserve">Contracts signed</t>
  </si>
  <si>
    <t xml:space="preserve">Contracts mobilised and ready to deliver</t>
  </si>
  <si>
    <t xml:space="preserve">Contracts live across all engines</t>
  </si>
  <si>
    <t xml:space="preserve">Cost per contract won</t>
  </si>
  <si>
    <t xml:space="preserve">5. FROM THE FIRST DAY OF ACTIVITY TO THE FIRST DAY OF DELIVERY</t>
  </si>
  <si>
    <t xml:space="preserve">Every channel starts in month one, October 2026. What follows is arithmetic on the sales cycle and the mobilisation period, not judgement: this is the earliest a cold conversation opened on day one can become a delivered day, by buyer type.</t>
  </si>
  <si>
    <t xml:space="preserve">Activity starts</t>
  </si>
  <si>
    <t xml:space="preserve">Signature in month</t>
  </si>
  <si>
    <t xml:space="preserve">Mobilisation, months</t>
  </si>
  <si>
    <t xml:space="preserve">First delivery in month</t>
  </si>
  <si>
    <t xml:space="preserve">Which calendar month that is</t>
  </si>
  <si>
    <t xml:space="preserve">An engine can also be held back by something other than the funnel, and the engine table on the Assumption Setting sheet names it in its own column: safeguarding clearance for schools, a country manager in post for Saudi Arabia, two delivered cohorts before a faculty licence.</t>
  </si>
  <si>
    <t xml:space="preserve">6. THE DIRECT ENGINE, FROM MARKETING SPEND TO A PAYING ACCOUNT</t>
  </si>
  <si>
    <t xml:space="preserve">Marketing spend, online and offline</t>
  </si>
  <si>
    <t xml:space="preserve">New paying accounts</t>
  </si>
  <si>
    <t xml:space="preserve">Registered to paying, blended</t>
  </si>
  <si>
    <t xml:space="preserve">Cost per paying account</t>
  </si>
  <si>
    <t xml:space="preserve">Active paying accounts</t>
  </si>
  <si>
    <t xml:space="preserve">The direct engine needs no sales cycle and no mobilisation, which is why it carries revenue from month one while the institutional engines are still in their cycle. A learner who sat in a cohort converts several times better than a click, so the two routes to a paying account are converted separately.</t>
  </si>
  <si>
    <t xml:space="preserve">Volume is not typed anywhere. Every cohort, seat, licence and programme on this sheet is the active contract book on the Acquisitions sheet, spread across the contract life.</t>
  </si>
  <si>
    <t xml:space="preserve">DELIVERY VOLUME, PRODUCED BY THE CONTRACT BOOK</t>
  </si>
  <si>
    <t xml:space="preserve">Competitions, self funded, the one running now</t>
  </si>
  <si>
    <t xml:space="preserve">All in person cohorts delivered</t>
  </si>
  <si>
    <t xml:space="preserve">REVENUE BY STREAM</t>
  </si>
  <si>
    <t xml:space="preserve">University cohort programmes</t>
  </si>
  <si>
    <t xml:space="preserve">Sponsored competitions</t>
  </si>
  <si>
    <t xml:space="preserve">Mission Zero sponsorship</t>
  </si>
  <si>
    <t xml:space="preserve">Institutional and sponsor revenue</t>
  </si>
  <si>
    <t xml:space="preserve">THE DIRECT ENGINE, FOUNDER SUBSCRIPTIONS</t>
  </si>
  <si>
    <t xml:space="preserve">New paid subscribers in the month</t>
  </si>
  <si>
    <t xml:space="preserve">Active paid subscribers</t>
  </si>
  <si>
    <t xml:space="preserve">Blended annual subscription price</t>
  </si>
  <si>
    <t xml:space="preserve">Subscription bookings, cash received</t>
  </si>
  <si>
    <t xml:space="preserve">Subscription revenue recognised</t>
  </si>
  <si>
    <t xml:space="preserve">Deferred subscription revenue, balance</t>
  </si>
  <si>
    <t xml:space="preserve">Every stream gathered into the four families, and the total the statements are built on.</t>
  </si>
  <si>
    <t xml:space="preserve">REVENUE BY FAMILY</t>
  </si>
  <si>
    <t xml:space="preserve">Education</t>
  </si>
  <si>
    <t xml:space="preserve">    University cohort programmes</t>
  </si>
  <si>
    <t xml:space="preserve">    Faculty licences</t>
  </si>
  <si>
    <t xml:space="preserve">    School cohorts</t>
  </si>
  <si>
    <t xml:space="preserve">    School licences</t>
  </si>
  <si>
    <t xml:space="preserve">    Technical and vocational cohorts</t>
  </si>
  <si>
    <t xml:space="preserve">    Programme and incubator seats</t>
  </si>
  <si>
    <t xml:space="preserve">Public</t>
  </si>
  <si>
    <t xml:space="preserve">    National initiative seats</t>
  </si>
  <si>
    <t xml:space="preserve">    Train the trainer cohorts</t>
  </si>
  <si>
    <t xml:space="preserve">    NGO and donor programmes</t>
  </si>
  <si>
    <t xml:space="preserve">Commercial</t>
  </si>
  <si>
    <t xml:space="preserve">    Sponsored competitions</t>
  </si>
  <si>
    <t xml:space="preserve">    Corporate and CSR programmes</t>
  </si>
  <si>
    <t xml:space="preserve">    Mission Zero sponsorship</t>
  </si>
  <si>
    <t xml:space="preserve">Direct</t>
  </si>
  <si>
    <t xml:space="preserve">    Founder subscriptions</t>
  </si>
  <si>
    <t xml:space="preserve">Institutional and sponsor share of revenue</t>
  </si>
  <si>
    <t xml:space="preserve">Month on month growth</t>
  </si>
  <si>
    <t xml:space="preserve">Fifteen roles, each with a start month and a headcount and a salary per year. Year one salaries are founder stipends, which is the only way six people and a year one under 150,000 dollars are both true. Salaries are capped: the chief executive reaches 2,000 dollars a month in year five.</t>
  </si>
  <si>
    <t xml:space="preserve">ESTABLISHMENT, INPUTS</t>
  </si>
  <si>
    <t xml:space="preserve">Role</t>
  </si>
  <si>
    <t xml:space="preserve">Function</t>
  </si>
  <si>
    <t xml:space="preserve">Start month</t>
  </si>
  <si>
    <t xml:space="preserve">Monthly gross Y1</t>
  </si>
  <si>
    <t xml:space="preserve">Headcount Y1</t>
  </si>
  <si>
    <t xml:space="preserve">Chief Executive Officer</t>
  </si>
  <si>
    <t xml:space="preserve">Chief Technology Officer</t>
  </si>
  <si>
    <t xml:space="preserve">Chief Commercial Officer</t>
  </si>
  <si>
    <t xml:space="preserve">Business development manager</t>
  </si>
  <si>
    <t xml:space="preserve">Sponsorship and partnerships manager</t>
  </si>
  <si>
    <t xml:space="preserve">Government and donor programmes manager</t>
  </si>
  <si>
    <t xml:space="preserve">Country manager, KSA (Riyadh)</t>
  </si>
  <si>
    <t xml:space="preserve">Account manager, renewals</t>
  </si>
  <si>
    <t xml:space="preserve">Marketing manager</t>
  </si>
  <si>
    <t xml:space="preserve">Content and community associate</t>
  </si>
  <si>
    <t xml:space="preserve">Full stack engineer</t>
  </si>
  <si>
    <t xml:space="preserve">AI and data engineer</t>
  </si>
  <si>
    <t xml:space="preserve">Head of curriculum and certification</t>
  </si>
  <si>
    <t xml:space="preserve">Partner network manager</t>
  </si>
  <si>
    <t xml:space="preserve">Programme delivery coordinator</t>
  </si>
  <si>
    <t xml:space="preserve">Total establishment</t>
  </si>
  <si>
    <t xml:space="preserve">The cap this plan commits to</t>
  </si>
  <si>
    <t xml:space="preserve">Headroom against the cap</t>
  </si>
  <si>
    <t xml:space="preserve">Employer burden on gross salary</t>
  </si>
  <si>
    <t xml:space="preserve">social insurance, end of service, medical</t>
  </si>
  <si>
    <t xml:space="preserve">MONTHLY PAYROLL, FULLY LOADED</t>
  </si>
  <si>
    <t xml:space="preserve">Total payroll</t>
  </si>
  <si>
    <t xml:space="preserve">MONTHLY HEADCOUNT</t>
  </si>
  <si>
    <t xml:space="preserve">Total headcount</t>
  </si>
  <si>
    <t xml:space="preserve">New employees joining in the month</t>
  </si>
  <si>
    <t xml:space="preserve">Commercial payroll</t>
  </si>
  <si>
    <t xml:space="preserve">Commercial heads</t>
  </si>
  <si>
    <t xml:space="preserve">HEADCOUNT BY FUNCTION, WHO IS AVAILABLE TO RUN ACTIVITY</t>
  </si>
  <si>
    <t xml:space="preserve">Check, functions against total establishment</t>
  </si>
  <si>
    <t xml:space="preserve">Straight line over each class's useful life, charged from the month after acquisition and capped so nothing is written below nil.</t>
  </si>
  <si>
    <t xml:space="preserve">DEPRECIATION CHARGE IN THE MONTH</t>
  </si>
  <si>
    <t xml:space="preserve">Total depreciation and amortisation</t>
  </si>
  <si>
    <t xml:space="preserve">ACCUMULATED DEPRECIATION</t>
  </si>
  <si>
    <t xml:space="preserve">Total accumulated depreciation</t>
  </si>
  <si>
    <t xml:space="preserve">NET BOOK VALUE</t>
  </si>
  <si>
    <t xml:space="preserve">Total net book value</t>
  </si>
  <si>
    <t xml:space="preserve">Net book value, property and equipment</t>
  </si>
  <si>
    <t xml:space="preserve">Net book value, intangible assets</t>
  </si>
  <si>
    <t xml:space="preserve">Direct cost moves with delivery. Operating cost has a driver behind every line: a desk per employee, inference per active learner, travel per head on the road.</t>
  </si>
  <si>
    <t xml:space="preserve">DIRECT COST OF DELIVERY</t>
  </si>
  <si>
    <t xml:space="preserve">Facilitation, university cohorts</t>
  </si>
  <si>
    <t xml:space="preserve">Facilitation, school cohorts</t>
  </si>
  <si>
    <t xml:space="preserve">Facilitation, technical cohorts</t>
  </si>
  <si>
    <t xml:space="preserve">Materials, kits and showcases</t>
  </si>
  <si>
    <t xml:space="preserve">Competition delivery, sponsored</t>
  </si>
  <si>
    <t xml:space="preserve">Competition delivery and prizes, self funded</t>
  </si>
  <si>
    <t xml:space="preserve">Mission Zero production</t>
  </si>
  <si>
    <t xml:space="preserve">NGO and donor programme delivery</t>
  </si>
  <si>
    <t xml:space="preserve">Corporate programme delivery</t>
  </si>
  <si>
    <t xml:space="preserve">Train the trainer delivery</t>
  </si>
  <si>
    <t xml:space="preserve">National initiative seat support</t>
  </si>
  <si>
    <t xml:space="preserve">Programme and incubator seat support</t>
  </si>
  <si>
    <t xml:space="preserve">Subscription hosting and inference</t>
  </si>
  <si>
    <t xml:space="preserve">Certifying facilitators into the delivery pool</t>
  </si>
  <si>
    <t xml:space="preserve">Revenue share, certified delivery partners</t>
  </si>
  <si>
    <t xml:space="preserve">Revenue share, youth and channel organisations</t>
  </si>
  <si>
    <t xml:space="preserve">Revenue share, aggregators and payment processing</t>
  </si>
  <si>
    <t xml:space="preserve">Total direct cost</t>
  </si>
  <si>
    <t xml:space="preserve">Gross margin</t>
  </si>
  <si>
    <t xml:space="preserve">OPERATING COST</t>
  </si>
  <si>
    <t xml:space="preserve">Payroll, fully loaded</t>
  </si>
  <si>
    <t xml:space="preserve">Sales commission</t>
  </si>
  <si>
    <t xml:space="preserve">Marketing, offline channels</t>
  </si>
  <si>
    <t xml:space="preserve">Marketing, online channels</t>
  </si>
  <si>
    <t xml:space="preserve">Ambassador stipends</t>
  </si>
  <si>
    <t xml:space="preserve">Desk and office</t>
  </si>
  <si>
    <t xml:space="preserve">Utilities, internet and communications</t>
  </si>
  <si>
    <t xml:space="preserve">Cloud, AI inference and APIs</t>
  </si>
  <si>
    <t xml:space="preserve">Software and tooling</t>
  </si>
  <si>
    <t xml:space="preserve">Travel</t>
  </si>
  <si>
    <t xml:space="preserve">Outsourced finance, legal and audit</t>
  </si>
  <si>
    <t xml:space="preserve">Safeguarding and compliance</t>
  </si>
  <si>
    <t xml:space="preserve">Partner enablement, certification and audit</t>
  </si>
  <si>
    <t xml:space="preserve">Insurance, bank charges and sundries</t>
  </si>
  <si>
    <t xml:space="preserve">Contingency</t>
  </si>
  <si>
    <t xml:space="preserve">Operating cost before depreciation</t>
  </si>
  <si>
    <t xml:space="preserve">Depreciation and amortisation</t>
  </si>
  <si>
    <t xml:space="preserve">Total operating cost</t>
  </si>
  <si>
    <t xml:space="preserve">RESULT, AND THE YEAR ONE CEILING</t>
  </si>
  <si>
    <t xml:space="preserve">EBIT, operating profit</t>
  </si>
  <si>
    <t xml:space="preserve">Cash operating cost excluding payroll</t>
  </si>
  <si>
    <t xml:space="preserve">Year one total expense, produced by this sheet</t>
  </si>
  <si>
    <t xml:space="preserve">an output of the activity plan, the hiring plan and the cost drivers, not a number anybody typed</t>
  </si>
  <si>
    <t xml:space="preserve">Income Statement</t>
  </si>
  <si>
    <t xml:space="preserve">Balance Sheet</t>
  </si>
  <si>
    <t xml:space="preserve">Cash Flow Statement</t>
  </si>
  <si>
    <t xml:space="preserve">Financial Indicators</t>
  </si>
  <si>
    <t xml:space="preserve">Five years to 30 September. Every line is the sum of its sixty monthly cells, so the annual figures cannot drift from the monthly model.</t>
  </si>
  <si>
    <t xml:space="preserve">FOR THE YEARS ENDED 30 SEPTEMBER</t>
  </si>
  <si>
    <t xml:space="preserve">every engine</t>
  </si>
  <si>
    <t xml:space="preserve">Annual growth</t>
  </si>
  <si>
    <t xml:space="preserve">Cost of revenue</t>
  </si>
  <si>
    <t xml:space="preserve">facilitation, materials, seats, prizes and revenue share</t>
  </si>
  <si>
    <t xml:space="preserve">Gross profit margin</t>
  </si>
  <si>
    <t xml:space="preserve">Operating expenses</t>
  </si>
  <si>
    <t xml:space="preserve">    Payroll, fully loaded</t>
  </si>
  <si>
    <t xml:space="preserve">    Sales commission</t>
  </si>
  <si>
    <t xml:space="preserve">    Marketing, offline channels</t>
  </si>
  <si>
    <t xml:space="preserve">    Marketing, online channels</t>
  </si>
  <si>
    <t xml:space="preserve">    Ambassador stipends</t>
  </si>
  <si>
    <t xml:space="preserve">    Desk and office</t>
  </si>
  <si>
    <t xml:space="preserve">    Utilities, internet and communications</t>
  </si>
  <si>
    <t xml:space="preserve">    Cloud, AI inference and APIs</t>
  </si>
  <si>
    <t xml:space="preserve">    Software and tooling</t>
  </si>
  <si>
    <t xml:space="preserve">    Travel</t>
  </si>
  <si>
    <t xml:space="preserve">    Outsourced finance, legal and audit</t>
  </si>
  <si>
    <t xml:space="preserve">    Safeguarding and compliance</t>
  </si>
  <si>
    <t xml:space="preserve">    Partner enablement, certification and audit</t>
  </si>
  <si>
    <t xml:space="preserve">    Insurance, bank charges and sundries</t>
  </si>
  <si>
    <t xml:space="preserve">    Contingency</t>
  </si>
  <si>
    <t xml:space="preserve">Total operating expenses</t>
  </si>
  <si>
    <t xml:space="preserve">EBITDA margin</t>
  </si>
  <si>
    <t xml:space="preserve">Profit before tax</t>
  </si>
  <si>
    <t xml:space="preserve">no debt in the plan, so no interest</t>
  </si>
  <si>
    <t xml:space="preserve">Tax losses carried forward, opening</t>
  </si>
  <si>
    <t xml:space="preserve">an early loss shelters a later profit</t>
  </si>
  <si>
    <t xml:space="preserve">Tax losses carried forward, closing</t>
  </si>
  <si>
    <t xml:space="preserve">Taxable profit</t>
  </si>
  <si>
    <t xml:space="preserve">Corporate income tax</t>
  </si>
  <si>
    <t xml:space="preserve">Net profit for the year</t>
  </si>
  <si>
    <t xml:space="preserve">Net profit margin</t>
  </si>
  <si>
    <t xml:space="preserve">At 30 September each year, with the opening position at inception. The check line is nil in every column, which is the only proof the model hangs together.</t>
  </si>
  <si>
    <t xml:space="preserve">STATEMENT OF FINANCIAL POSITION</t>
  </si>
  <si>
    <t xml:space="preserve">At inception</t>
  </si>
  <si>
    <t xml:space="preserve">Cash and cash equivalents</t>
  </si>
  <si>
    <t xml:space="preserve">see the cash flow statement</t>
  </si>
  <si>
    <t xml:space="preserve">institutional invoices outstanding</t>
  </si>
  <si>
    <t xml:space="preserve">laptops, kit and fit out</t>
  </si>
  <si>
    <t xml:space="preserve">trademark, IP and formation</t>
  </si>
  <si>
    <t xml:space="preserve">Total assets</t>
  </si>
  <si>
    <t xml:space="preserve">billed, not yet earned</t>
  </si>
  <si>
    <t xml:space="preserve">paid in arrears</t>
  </si>
  <si>
    <t xml:space="preserve">Total liabilities</t>
  </si>
  <si>
    <t xml:space="preserve">Share capital</t>
  </si>
  <si>
    <t xml:space="preserve">founder capital plus the seed round</t>
  </si>
  <si>
    <t xml:space="preserve">cumulative profit and loss</t>
  </si>
  <si>
    <t xml:space="preserve">Total equity</t>
  </si>
  <si>
    <t xml:space="preserve">Total liabilities and equity</t>
  </si>
  <si>
    <t xml:space="preserve">CHECK, total assets less liabilities and equity</t>
  </si>
  <si>
    <t xml:space="preserve">nil in every column, or the model is wrong</t>
  </si>
  <si>
    <t xml:space="preserve">Indirect method, monthly, with the working capital balances the balance sheet is built from, then the annual statement.</t>
  </si>
  <si>
    <t xml:space="preserve">OPERATING ACTIVITIES</t>
  </si>
  <si>
    <t xml:space="preserve">Corporate income tax charge</t>
  </si>
  <si>
    <t xml:space="preserve">Add back depreciation and amortisation</t>
  </si>
  <si>
    <t xml:space="preserve">WORKING CAPITAL BALANCES AT MONTH END</t>
  </si>
  <si>
    <t xml:space="preserve">Tax paid in the month</t>
  </si>
  <si>
    <t xml:space="preserve">CASH FLOW</t>
  </si>
  <si>
    <t xml:space="preserve">(Increase) decrease in receivables</t>
  </si>
  <si>
    <t xml:space="preserve">Increase (decrease) in payables</t>
  </si>
  <si>
    <t xml:space="preserve">Increase (decrease) in accrued payroll</t>
  </si>
  <si>
    <t xml:space="preserve">Increase (decrease) in deferred revenue</t>
  </si>
  <si>
    <t xml:space="preserve">Increase (decrease) in tax payable</t>
  </si>
  <si>
    <t xml:space="preserve">Net cash from operating activities</t>
  </si>
  <si>
    <t xml:space="preserve">Capital expenditure</t>
  </si>
  <si>
    <t xml:space="preserve">Net cash used in investing activities</t>
  </si>
  <si>
    <t xml:space="preserve">Share capital raised</t>
  </si>
  <si>
    <t xml:space="preserve">Net cash from financing activities</t>
  </si>
  <si>
    <t xml:space="preserve">Net movement in cash</t>
  </si>
  <si>
    <t xml:space="preserve">Cash at the start of the month</t>
  </si>
  <si>
    <t xml:space="preserve">Cash at the end of the month</t>
  </si>
  <si>
    <t xml:space="preserve">Headroom against the minimum cash buffer</t>
  </si>
  <si>
    <t xml:space="preserve">Cumulative free cash flow</t>
  </si>
  <si>
    <t xml:space="preserve">CASH FLOW STATEMENT, ANNUAL</t>
  </si>
  <si>
    <t xml:space="preserve">Cash at the end of the year</t>
  </si>
  <si>
    <t xml:space="preserve">The numbers the business is run on, taken from the model rather than restated beside it.</t>
  </si>
  <si>
    <t xml:space="preserve">GROWTH AND SCALE</t>
  </si>
  <si>
    <t xml:space="preserve">Revenue growth</t>
  </si>
  <si>
    <t xml:space="preserve">year on year</t>
  </si>
  <si>
    <t xml:space="preserve">n/a</t>
  </si>
  <si>
    <t xml:space="preserve">engines 1 to 7</t>
  </si>
  <si>
    <t xml:space="preserve">all formats including free pilots</t>
  </si>
  <si>
    <t xml:space="preserve">Registered accounts at year end</t>
  </si>
  <si>
    <t xml:space="preserve">the cap this plan commits to</t>
  </si>
  <si>
    <t xml:space="preserve">Revenue per employee</t>
  </si>
  <si>
    <t xml:space="preserve">not on the payroll</t>
  </si>
  <si>
    <t xml:space="preserve">PROFITABILITY</t>
  </si>
  <si>
    <t xml:space="preserve">Net margin</t>
  </si>
  <si>
    <t xml:space="preserve">UNIT ECONOMICS AND THE FUNNEL</t>
  </si>
  <si>
    <t xml:space="preserve">Blended cost per lead, online</t>
  </si>
  <si>
    <t xml:space="preserve">learner CAC</t>
  </si>
  <si>
    <t xml:space="preserve">Subscriber lifetime value</t>
  </si>
  <si>
    <t xml:space="preserve">annual price times gross margin, over monthly churn</t>
  </si>
  <si>
    <t xml:space="preserve">Subscriber LTV to CAC</t>
  </si>
  <si>
    <t xml:space="preserve">offline activity, a share of online, and the commercial payroll</t>
  </si>
  <si>
    <t xml:space="preserve">Average institutional contract value</t>
  </si>
  <si>
    <t xml:space="preserve">first year value</t>
  </si>
  <si>
    <t xml:space="preserve">Institutional LTV to CAC</t>
  </si>
  <si>
    <t xml:space="preserve">contract value times gross margin times years retained, over CAC</t>
  </si>
  <si>
    <t xml:space="preserve">Contracts live at year end</t>
  </si>
  <si>
    <t xml:space="preserve">the book the activity has built</t>
  </si>
  <si>
    <t xml:space="preserve">CASH</t>
  </si>
  <si>
    <t xml:space="preserve">Net cash from operations</t>
  </si>
  <si>
    <t xml:space="preserve">Free cash flow</t>
  </si>
  <si>
    <t xml:space="preserve">operations less capital expenditure</t>
  </si>
  <si>
    <t xml:space="preserve">Average monthly burn or generation</t>
  </si>
  <si>
    <t xml:space="preserve">Months of runway at year end cash</t>
  </si>
  <si>
    <t xml:space="preserve">on that year's burn</t>
  </si>
  <si>
    <t xml:space="preserve">Debtor days achieved</t>
  </si>
  <si>
    <t xml:space="preserve">receivables over revenue</t>
  </si>
  <si>
    <t xml:space="preserve">BEP Analysis</t>
  </si>
  <si>
    <t xml:space="preserve">PB Analysis</t>
  </si>
  <si>
    <t xml:space="preserve">Sensitivity</t>
  </si>
  <si>
    <t xml:space="preserve">Stress Test</t>
  </si>
  <si>
    <t xml:space="preserve">Exit Angel and VC</t>
  </si>
  <si>
    <t xml:space="preserve">Break Even Analysis</t>
  </si>
  <si>
    <t xml:space="preserve">Where the contribution from delivery covers the cost of existing, and the month the company stops consuming cash.</t>
  </si>
  <si>
    <t xml:space="preserve">ANNUAL BREAK EVEN</t>
  </si>
  <si>
    <t xml:space="preserve">Revenue</t>
  </si>
  <si>
    <t xml:space="preserve">Variable cost of delivery</t>
  </si>
  <si>
    <t xml:space="preserve">direct cost, prizes and revenue share</t>
  </si>
  <si>
    <t xml:space="preserve">Contribution</t>
  </si>
  <si>
    <t xml:space="preserve">Contribution margin</t>
  </si>
  <si>
    <t xml:space="preserve">Fixed operating cost</t>
  </si>
  <si>
    <t xml:space="preserve">everything that does not move with a cohort, including depreciation</t>
  </si>
  <si>
    <t xml:space="preserve">Break even revenue</t>
  </si>
  <si>
    <t xml:space="preserve">fixed cost over contribution margin</t>
  </si>
  <si>
    <t xml:space="preserve">Break even revenue per month</t>
  </si>
  <si>
    <t xml:space="preserve">Margin of safety</t>
  </si>
  <si>
    <t xml:space="preserve">how far revenue can fall before a loss</t>
  </si>
  <si>
    <t xml:space="preserve">Break even in university cohort equivalents</t>
  </si>
  <si>
    <t xml:space="preserve">at that year's cohort price</t>
  </si>
  <si>
    <t xml:space="preserve">Cohorts actually delivered</t>
  </si>
  <si>
    <t xml:space="preserve">for comparison</t>
  </si>
  <si>
    <t xml:space="preserve">THE MONTH IT TURNS</t>
  </si>
  <si>
    <t xml:space="preserve">Month number</t>
  </si>
  <si>
    <t xml:space="preserve">Which month</t>
  </si>
  <si>
    <t xml:space="preserve">Month labels, lookup row</t>
  </si>
  <si>
    <t xml:space="preserve">First month with positive EBITDA, working</t>
  </si>
  <si>
    <t xml:space="preserve">First month with positive operating cash flow, working</t>
  </si>
  <si>
    <t xml:space="preserve">Month of the lowest cash balance, working</t>
  </si>
  <si>
    <t xml:space="preserve">First month cumulative free cash flow turns positive, working</t>
  </si>
  <si>
    <t xml:space="preserve">First month with positive EBITDA</t>
  </si>
  <si>
    <t xml:space="preserve">delivery covers the cost of existing</t>
  </si>
  <si>
    <t xml:space="preserve">First month with positive operating cash flow</t>
  </si>
  <si>
    <t xml:space="preserve">profit converted into cash</t>
  </si>
  <si>
    <t xml:space="preserve">Month of the lowest cash balance</t>
  </si>
  <si>
    <t xml:space="preserve">the trough of the cash curve</t>
  </si>
  <si>
    <t xml:space="preserve">First month cumulative free cash flow turns positive</t>
  </si>
  <si>
    <t xml:space="preserve">the business has repaid its own burn</t>
  </si>
  <si>
    <t xml:space="preserve">Payback Analysis</t>
  </si>
  <si>
    <t xml:space="preserve">When the money put in comes back, in the base case and under stress.</t>
  </si>
  <si>
    <t xml:space="preserve">CAPITAL IN</t>
  </si>
  <si>
    <t xml:space="preserve">Founder capital at inception</t>
  </si>
  <si>
    <t xml:space="preserve">already contributed</t>
  </si>
  <si>
    <t xml:space="preserve">Seed round</t>
  </si>
  <si>
    <t xml:space="preserve">the raise this model sizes</t>
  </si>
  <si>
    <t xml:space="preserve">Total capital invested</t>
  </si>
  <si>
    <t xml:space="preserve">CASH RETURNED, BASE CASE</t>
  </si>
  <si>
    <t xml:space="preserve">Free cash flow in the year</t>
  </si>
  <si>
    <t xml:space="preserve">operations less capex</t>
  </si>
  <si>
    <t xml:space="preserve">Capital recovered</t>
  </si>
  <si>
    <t xml:space="preserve">cumulative free cash flow over capital</t>
  </si>
  <si>
    <t xml:space="preserve">Capital still outstanding</t>
  </si>
  <si>
    <t xml:space="preserve">PAYBACK PERIOD</t>
  </si>
  <si>
    <t xml:space="preserve">Payback flag, working</t>
  </si>
  <si>
    <t xml:space="preserve">Months to repay all capital invested</t>
  </si>
  <si>
    <t xml:space="preserve">cumulative free cash flow covers the money in</t>
  </si>
  <si>
    <t xml:space="preserve">WHAT THE PAYBACK IS SENSITIVE TO</t>
  </si>
  <si>
    <t xml:space="preserve">Volume at</t>
  </si>
  <si>
    <t xml:space="preserve">Cumulative free cash flow, 5 years</t>
  </si>
  <si>
    <t xml:space="preserve">Delivery volume flexed</t>
  </si>
  <si>
    <t xml:space="preserve">Volume flexes revenue and direct cost together; the operating base is held, which is what makes a volume shortfall expensive.</t>
  </si>
  <si>
    <t xml:space="preserve">Sensitivity Analysis</t>
  </si>
  <si>
    <t xml:space="preserve">Two way grids on the year five result. Every cell is a live formula, so a changed assumption moves the whole grid.</t>
  </si>
  <si>
    <t xml:space="preserve">YEAR FIVE EBITDA, VOLUME AGAINST PRICE</t>
  </si>
  <si>
    <t xml:space="preserve">Rows flex delivery volume, columns flex price. Direct cost moves with volume, the operating base does not.</t>
  </si>
  <si>
    <t xml:space="preserve">Price change</t>
  </si>
  <si>
    <t xml:space="preserve">Volume change</t>
  </si>
  <si>
    <t xml:space="preserve">YEAR FIVE EBITDA, VOLUME AGAINST OPERATING COST</t>
  </si>
  <si>
    <t xml:space="preserve">Columns flex the fixed operating base, the cost of holding the establishment and the network.</t>
  </si>
  <si>
    <t xml:space="preserve">Operating cost change</t>
  </si>
  <si>
    <t xml:space="preserve">YEAR FIVE EBITDA, COST PER CLICK AGAINST PAID CONVERSION</t>
  </si>
  <si>
    <t xml:space="preserve">The two levers that decide whether the direct engine pays for itself. Rows flex every channel's cost per click, columns flex the registered to paid rate.</t>
  </si>
  <si>
    <t xml:space="preserve">Paid conversion change</t>
  </si>
  <si>
    <t xml:space="preserve">Cost per click change</t>
  </si>
  <si>
    <t xml:space="preserve">Stress Testing</t>
  </si>
  <si>
    <t xml:space="preserve">Four scenarios applied to the base case. Volume and price flex, the operating base barely does, which is what makes a shortfall expensive.</t>
  </si>
  <si>
    <t xml:space="preserve">SCENARIO LEVERS</t>
  </si>
  <si>
    <t xml:space="preserve">Scenario</t>
  </si>
  <si>
    <t xml:space="preserve">Volume</t>
  </si>
  <si>
    <t xml:space="preserve">Price</t>
  </si>
  <si>
    <t xml:space="preserve">Operating cost</t>
  </si>
  <si>
    <t xml:space="preserve">Collection days</t>
  </si>
  <si>
    <t xml:space="preserve">Paid conversion</t>
  </si>
  <si>
    <t xml:space="preserve">Base case</t>
  </si>
  <si>
    <t xml:space="preserve">the plan as modelled</t>
  </si>
  <si>
    <t xml:space="preserve">Upside</t>
  </si>
  <si>
    <t xml:space="preserve">institutional demand lands early</t>
  </si>
  <si>
    <t xml:space="preserve">Downside</t>
  </si>
  <si>
    <t xml:space="preserve">a slow first two years in Egypt</t>
  </si>
  <si>
    <t xml:space="preserve">Severe</t>
  </si>
  <si>
    <t xml:space="preserve">public budgets freeze and a market slips</t>
  </si>
  <si>
    <t xml:space="preserve">REVENUE UNDER STRESS</t>
  </si>
  <si>
    <t xml:space="preserve">EBITDA UNDER STRESS</t>
  </si>
  <si>
    <t xml:space="preserve">CASH AND WHAT IT WOULD TAKE TO SURVIVE</t>
  </si>
  <si>
    <t xml:space="preserve">Lowest cash</t>
  </si>
  <si>
    <t xml:space="preserve">Further funding needed</t>
  </si>
  <si>
    <t xml:space="preserve">The cash rows re run the base case cash walk with the scenario's EBITDA and collection cycle substituted. They are an overlay on the model, not a second model: capital expenditure and payables are held at the base case, which makes the downside slightly flattering and is the honest direction for an error to run.</t>
  </si>
  <si>
    <t xml:space="preserve">Investor Return and Exit</t>
  </si>
  <si>
    <t xml:space="preserve">What an angel and a venture investor each put in, what they hold after dilution, and what the holding is worth on three exit assumptions.</t>
  </si>
  <si>
    <t xml:space="preserve">THE ROUND</t>
  </si>
  <si>
    <t xml:space="preserve">Angel round</t>
  </si>
  <si>
    <t xml:space="preserve">Venture round</t>
  </si>
  <si>
    <t xml:space="preserve">Amount invested</t>
  </si>
  <si>
    <t xml:space="preserve">the angel takes part of the seed, the fund takes a later round</t>
  </si>
  <si>
    <t xml:space="preserve">Pre money valuation</t>
  </si>
  <si>
    <t xml:space="preserve">a MENA pre revenue to early revenue range</t>
  </si>
  <si>
    <t xml:space="preserve">Post money valuation</t>
  </si>
  <si>
    <t xml:space="preserve">Ownership at entry</t>
  </si>
  <si>
    <t xml:space="preserve">Dilution from later rounds</t>
  </si>
  <si>
    <t xml:space="preserve">two further rounds assumed</t>
  </si>
  <si>
    <t xml:space="preserve">Ownership at exit</t>
  </si>
  <si>
    <t xml:space="preserve">WHAT THE COMPANY IS WORTH AT EXIT</t>
  </si>
  <si>
    <t xml:space="preserve">Three bases, because no single multiple is defensible on its own. Education businesses selling to institutions trade on revenue while they are growing and on earnings once they are not.</t>
  </si>
  <si>
    <t xml:space="preserve">Basis</t>
  </si>
  <si>
    <t xml:space="preserve">Multiple</t>
  </si>
  <si>
    <t xml:space="preserve">Exit value</t>
  </si>
  <si>
    <t xml:space="preserve">Angel proceeds</t>
  </si>
  <si>
    <t xml:space="preserve">Venture proceeds</t>
  </si>
  <si>
    <t xml:space="preserve">Year five revenue multiple, conservative</t>
  </si>
  <si>
    <t xml:space="preserve">a slower growth trade sale</t>
  </si>
  <si>
    <t xml:space="preserve">Year five revenue multiple, central</t>
  </si>
  <si>
    <t xml:space="preserve">the base case for a strategic buyer</t>
  </si>
  <si>
    <t xml:space="preserve">Year five revenue multiple, strong</t>
  </si>
  <si>
    <t xml:space="preserve">a competitive process</t>
  </si>
  <si>
    <t xml:space="preserve">Year five EBITDA multiple</t>
  </si>
  <si>
    <t xml:space="preserve">a cash generative buyer's view</t>
  </si>
  <si>
    <t xml:space="preserve">RETURN TO THE INVESTOR, ON THE CENTRAL MULTIPLE</t>
  </si>
  <si>
    <t xml:space="preserve">Years held from entry to exit</t>
  </si>
  <si>
    <t xml:space="preserve">the angel enters at the seed, the fund at a later round</t>
  </si>
  <si>
    <t xml:space="preserve">Proceeds at exit</t>
  </si>
  <si>
    <t xml:space="preserve">on the central revenue multiple</t>
  </si>
  <si>
    <t xml:space="preserve">Multiple of money returned</t>
  </si>
  <si>
    <t xml:space="preserve">Annualised return</t>
  </si>
  <si>
    <t xml:space="preserve">the internal rate of return on one investment and one exit</t>
  </si>
  <si>
    <t xml:space="preserve">THE ROUTES OUT</t>
  </si>
  <si>
    <t xml:space="preserve">Strategic acquisition by an education group</t>
  </si>
  <si>
    <t xml:space="preserve">A regional training or education group buying the institutional relationships and the certified network. The most likely route, and the one the business is shaped for: a buyer acquires delivery capacity in two markets without building it.</t>
  </si>
  <si>
    <t xml:space="preserve">Acquisition by a platform or edtech consolidator</t>
  </si>
  <si>
    <t xml:space="preserve">A buyer acquiring the curriculum, the assessment record and the Arabic product. Values the platform and the data rather than the relationships.</t>
  </si>
  <si>
    <t xml:space="preserve">Secondary sale at the Series A or B</t>
  </si>
  <si>
    <t xml:space="preserve">Early investors sell part of the holding to an incoming fund. Partial liquidity at three to four years without an exit.</t>
  </si>
  <si>
    <t xml:space="preserve">Acquisition by a government backed vehicle</t>
  </si>
  <si>
    <t xml:space="preserve">A sovereign or development backed fund buying national delivery capacity. Slower, lower multiple, highest certainty once the initiative engine is contracted.</t>
  </si>
  <si>
    <t xml:space="preserve">Continue and distribute</t>
  </si>
  <si>
    <t xml:space="preserve">A profitable company of this size can pay dividends rather than sell. The weakest return for an investor and the one a founder should name openly rather than leave implied.</t>
  </si>
</sst>
</file>

<file path=xl/styles.xml><?xml version="1.0" encoding="utf-8"?>
<styleSheet xmlns="http://schemas.openxmlformats.org/spreadsheetml/2006/main">
  <numFmts count="13">
    <numFmt numFmtId="164" formatCode="General"/>
    <numFmt numFmtId="165" formatCode="@"/>
    <numFmt numFmtId="166" formatCode="\$#,##0;&quot;($&quot;#,##0\);\-"/>
    <numFmt numFmtId="167" formatCode="#,##0;\(#,##0\);\-"/>
    <numFmt numFmtId="168" formatCode="\$#,##0"/>
    <numFmt numFmtId="169" formatCode="mmm\-yy"/>
    <numFmt numFmtId="170" formatCode="#,##0.00;\(#,##0.00\);\-"/>
    <numFmt numFmtId="171" formatCode="0.0%"/>
    <numFmt numFmtId="172" formatCode="\$#,##0.00;&quot;($&quot;#,##0.00\);\-"/>
    <numFmt numFmtId="173" formatCode="0.00%"/>
    <numFmt numFmtId="174" formatCode="#,##0.0;\(#,##0.0\);\-"/>
    <numFmt numFmtId="175" formatCode="0.0\x"/>
    <numFmt numFmtId="176" formatCode="0&quot; days&quot;"/>
  </numFmts>
  <fonts count="49">
    <font>
      <sz val="11"/>
      <color theme="1"/>
      <name val="Calibri"/>
      <family val="2"/>
      <charset val="1"/>
    </font>
    <font>
      <sz val="10"/>
      <name val="Arial"/>
      <family val="0"/>
    </font>
    <font>
      <sz val="10"/>
      <name val="Arial"/>
      <family val="0"/>
    </font>
    <font>
      <sz val="10"/>
      <name val="Arial"/>
      <family val="0"/>
    </font>
    <font>
      <b val="true"/>
      <sz val="30"/>
      <color rgb="FF3418E0"/>
      <name val="Arial"/>
      <family val="0"/>
      <charset val="1"/>
    </font>
    <font>
      <sz val="18"/>
      <color rgb="FF0B0E14"/>
      <name val="Arial"/>
      <family val="0"/>
      <charset val="1"/>
    </font>
    <font>
      <b val="true"/>
      <sz val="9.5"/>
      <color rgb="FF3418E0"/>
      <name val="Arial"/>
      <family val="0"/>
      <charset val="1"/>
    </font>
    <font>
      <sz val="9.5"/>
      <color rgb="FF0B0E14"/>
      <name val="Arial"/>
      <family val="0"/>
      <charset val="1"/>
    </font>
    <font>
      <sz val="8.5"/>
      <color rgb="FF6B7285"/>
      <name val="Arial"/>
      <family val="0"/>
      <charset val="1"/>
    </font>
    <font>
      <b val="true"/>
      <sz val="9.5"/>
      <color rgb="FF0B0E14"/>
      <name val="Arial"/>
      <family val="0"/>
      <charset val="1"/>
    </font>
    <font>
      <sz val="9"/>
      <color rgb="FF3A4050"/>
      <name val="Arial"/>
      <family val="0"/>
      <charset val="1"/>
    </font>
    <font>
      <sz val="9"/>
      <color rgb="FF0B0E14"/>
      <name val="Arial"/>
      <family val="0"/>
      <charset val="1"/>
    </font>
    <font>
      <sz val="8.5"/>
      <color rgb="FF3A4050"/>
      <name val="Arial"/>
      <family val="0"/>
      <charset val="1"/>
    </font>
    <font>
      <b val="true"/>
      <sz val="15"/>
      <color rgb="FF3418E0"/>
      <name val="Arial"/>
      <family val="0"/>
      <charset val="1"/>
    </font>
    <font>
      <b val="true"/>
      <sz val="9"/>
      <color rgb="FFFFFFFF"/>
      <name val="Arial"/>
      <family val="0"/>
      <charset val="1"/>
    </font>
    <font>
      <b val="true"/>
      <sz val="9"/>
      <color rgb="FF0B0E14"/>
      <name val="Arial"/>
      <family val="0"/>
      <charset val="1"/>
    </font>
    <font>
      <sz val="9"/>
      <color rgb="FF008000"/>
      <name val="Arial"/>
      <family val="0"/>
      <charset val="1"/>
    </font>
    <font>
      <sz val="7.5"/>
      <color rgb="FF6B7285"/>
      <name val="Arial"/>
      <family val="0"/>
      <charset val="1"/>
    </font>
    <font>
      <b val="true"/>
      <sz val="9"/>
      <color rgb="FFB00020"/>
      <name val="Arial"/>
      <family val="0"/>
      <charset val="1"/>
    </font>
    <font>
      <b val="true"/>
      <sz val="9"/>
      <color rgb="FF008000"/>
      <name val="Arial"/>
      <family val="0"/>
      <charset val="1"/>
    </font>
    <font>
      <b val="true"/>
      <sz val="18"/>
      <color rgb="FF000000"/>
      <name val="Calibri"/>
      <family val="2"/>
    </font>
    <font>
      <sz val="10"/>
      <color rgb="FF000000"/>
      <name val="Calibri"/>
      <family val="2"/>
    </font>
    <font>
      <b val="true"/>
      <sz val="8.5"/>
      <color rgb="FFFFFFFF"/>
      <name val="Arial"/>
      <family val="0"/>
      <charset val="1"/>
    </font>
    <font>
      <sz val="8.5"/>
      <color rgb="FF3418E0"/>
      <name val="Arial"/>
      <family val="0"/>
      <charset val="1"/>
    </font>
    <font>
      <b val="true"/>
      <sz val="8.5"/>
      <color rgb="FF0B0E14"/>
      <name val="Arial"/>
      <family val="0"/>
      <charset val="1"/>
    </font>
    <font>
      <i val="true"/>
      <sz val="8.5"/>
      <color rgb="FF6B7285"/>
      <name val="Arial"/>
      <family val="0"/>
      <charset val="1"/>
    </font>
    <font>
      <b val="true"/>
      <sz val="26"/>
      <color rgb="FF3418E0"/>
      <name val="Arial"/>
      <family val="0"/>
      <charset val="1"/>
    </font>
    <font>
      <b val="true"/>
      <sz val="11"/>
      <color rgb="FF0B0E14"/>
      <name val="Arial"/>
      <family val="0"/>
      <charset val="1"/>
    </font>
    <font>
      <sz val="8"/>
      <color rgb="FF6B7285"/>
      <name val="Arial"/>
      <family val="0"/>
      <charset val="1"/>
    </font>
    <font>
      <sz val="9"/>
      <color rgb="FF0000FF"/>
      <name val="Arial"/>
      <family val="0"/>
      <charset val="1"/>
    </font>
    <font>
      <i val="true"/>
      <sz val="8"/>
      <color rgb="FF6B7285"/>
      <name val="Arial"/>
      <family val="0"/>
      <charset val="1"/>
    </font>
    <font>
      <b val="true"/>
      <sz val="8"/>
      <color rgb="FFFFFFFF"/>
      <name val="Arial"/>
      <family val="0"/>
      <charset val="1"/>
    </font>
    <font>
      <sz val="8"/>
      <color rgb="FF3A4050"/>
      <name val="Arial"/>
      <family val="0"/>
      <charset val="1"/>
    </font>
    <font>
      <b val="true"/>
      <sz val="7.4"/>
      <color rgb="FFFFFFFF"/>
      <name val="Arial"/>
      <family val="0"/>
      <charset val="1"/>
    </font>
    <font>
      <sz val="8.5"/>
      <color rgb="FF0B0E14"/>
      <name val="Arial"/>
      <family val="0"/>
      <charset val="1"/>
    </font>
    <font>
      <sz val="7.3"/>
      <color rgb="FF6B7285"/>
      <name val="Arial"/>
      <family val="0"/>
      <charset val="1"/>
    </font>
    <font>
      <sz val="8"/>
      <color rgb="FF0B0E14"/>
      <name val="Arial"/>
      <family val="0"/>
      <charset val="1"/>
    </font>
    <font>
      <b val="true"/>
      <sz val="7.6"/>
      <color rgb="FFFFFFFF"/>
      <name val="Arial"/>
      <family val="0"/>
      <charset val="1"/>
    </font>
    <font>
      <b val="true"/>
      <sz val="8.6"/>
      <color rgb="FF0B0E14"/>
      <name val="Arial"/>
      <family val="0"/>
      <charset val="1"/>
    </font>
    <font>
      <sz val="8.2"/>
      <color rgb="FF0B0E14"/>
      <name val="Arial"/>
      <family val="0"/>
      <charset val="1"/>
    </font>
    <font>
      <b val="true"/>
      <sz val="8.2"/>
      <color rgb="FF0B0E14"/>
      <name val="Arial"/>
      <family val="0"/>
      <charset val="1"/>
    </font>
    <font>
      <sz val="8.2"/>
      <color rgb="FF0000FF"/>
      <name val="Arial"/>
      <family val="0"/>
      <charset val="1"/>
    </font>
    <font>
      <sz val="8.2"/>
      <color rgb="FF008000"/>
      <name val="Arial"/>
      <family val="0"/>
      <charset val="1"/>
    </font>
    <font>
      <b val="true"/>
      <sz val="8.2"/>
      <color rgb="FFB00020"/>
      <name val="Arial"/>
      <family val="0"/>
      <charset val="1"/>
    </font>
    <font>
      <sz val="8.5"/>
      <color rgb="FF0000FF"/>
      <name val="Arial"/>
      <family val="0"/>
      <charset val="1"/>
    </font>
    <font>
      <b val="true"/>
      <sz val="9"/>
      <color rgb="FF3418E0"/>
      <name val="Arial"/>
      <family val="0"/>
      <charset val="1"/>
    </font>
    <font>
      <b val="true"/>
      <sz val="9"/>
      <color rgb="FF0000FF"/>
      <name val="Arial"/>
      <family val="0"/>
      <charset val="1"/>
    </font>
    <font>
      <b val="true"/>
      <sz val="8"/>
      <color rgb="FF3418E0"/>
      <name val="Arial"/>
      <family val="0"/>
      <charset val="1"/>
    </font>
    <font>
      <b val="true"/>
      <sz val="8.5"/>
      <color rgb="FF0000FF"/>
      <name val="Arial"/>
      <family val="0"/>
      <charset val="1"/>
    </font>
  </fonts>
  <fills count="8">
    <fill>
      <patternFill patternType="none"/>
    </fill>
    <fill>
      <patternFill patternType="gray125"/>
    </fill>
    <fill>
      <patternFill patternType="solid">
        <fgColor rgb="FFF2F3F7"/>
        <bgColor rgb="FFE8EAF4"/>
      </patternFill>
    </fill>
    <fill>
      <patternFill patternType="solid">
        <fgColor rgb="FF3418E0"/>
        <bgColor rgb="FF1E0C8C"/>
      </patternFill>
    </fill>
    <fill>
      <patternFill patternType="solid">
        <fgColor rgb="FF1E0C8C"/>
        <bgColor rgb="FF000080"/>
      </patternFill>
    </fill>
    <fill>
      <patternFill patternType="solid">
        <fgColor rgb="FFFFFF00"/>
        <bgColor rgb="FFCBF24A"/>
      </patternFill>
    </fill>
    <fill>
      <patternFill patternType="solid">
        <fgColor rgb="FFCBF24A"/>
        <bgColor rgb="FFFFFF00"/>
      </patternFill>
    </fill>
    <fill>
      <patternFill patternType="solid">
        <fgColor rgb="FFE8EAF4"/>
        <bgColor rgb="FFF2F3F7"/>
      </patternFill>
    </fill>
  </fills>
  <borders count="2">
    <border diagonalUp="false" diagonalDown="false">
      <left/>
      <right/>
      <top/>
      <bottom/>
      <diagonal/>
    </border>
    <border diagonalUp="false" diagonalDown="false">
      <left/>
      <right/>
      <top/>
      <bottom style="medium">
        <color rgb="FF3418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1"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5" fontId="14" fillId="4" borderId="0" xfId="0" applyFont="true" applyBorder="fals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2" borderId="0" xfId="0" applyFont="true" applyBorder="false" applyAlignment="true" applyProtection="false">
      <alignment horizontal="general" vertical="top" textRotation="0" wrapText="true" indent="0" shrinkToFit="false"/>
      <protection locked="true" hidden="false"/>
    </xf>
    <xf numFmtId="164" fontId="12" fillId="2" borderId="0" xfId="0" applyFont="true" applyBorder="false" applyAlignment="true" applyProtection="false">
      <alignment horizontal="general" vertical="top" textRotation="0" wrapText="tru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5" fontId="29" fillId="5" borderId="0" xfId="0" applyFont="true" applyBorder="false" applyAlignment="false" applyProtection="false">
      <alignment horizontal="general" vertical="bottom" textRotation="0" wrapText="false" indent="0" shrinkToFit="false"/>
      <protection locked="true" hidden="false"/>
    </xf>
    <xf numFmtId="169" fontId="29" fillId="5"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70" fontId="29" fillId="5"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7" fontId="29" fillId="5" borderId="0" xfId="0" applyFont="true" applyBorder="false" applyAlignment="false" applyProtection="false">
      <alignment horizontal="general" vertical="bottom" textRotation="0" wrapText="false" indent="0" shrinkToFit="false"/>
      <protection locked="true" hidden="false"/>
    </xf>
    <xf numFmtId="166" fontId="29" fillId="5" borderId="0" xfId="0" applyFont="true" applyBorder="false" applyAlignment="false" applyProtection="false">
      <alignment horizontal="general" vertical="bottom" textRotation="0" wrapText="false" indent="0" shrinkToFit="false"/>
      <protection locked="true" hidden="false"/>
    </xf>
    <xf numFmtId="164" fontId="31" fillId="4"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4" borderId="0" xfId="0" applyFont="true" applyBorder="false" applyAlignment="true" applyProtection="false">
      <alignment horizontal="center" vertical="bottom" textRotation="0" wrapText="tru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71" fontId="29" fillId="5" borderId="0" xfId="0" applyFont="true" applyBorder="false" applyAlignment="false" applyProtection="false">
      <alignment horizontal="general" vertical="bottom" textRotation="0" wrapText="false" indent="0" shrinkToFit="false"/>
      <protection locked="true" hidden="false"/>
    </xf>
    <xf numFmtId="172" fontId="29" fillId="5" borderId="0" xfId="0" applyFont="true" applyBorder="false" applyAlignment="false" applyProtection="false">
      <alignment horizontal="general" vertical="bottom" textRotation="0" wrapText="false" indent="0" shrinkToFit="false"/>
      <protection locked="true" hidden="false"/>
    </xf>
    <xf numFmtId="173" fontId="29" fillId="5" borderId="0" xfId="0" applyFont="true" applyBorder="false" applyAlignment="false" applyProtection="false">
      <alignment horizontal="general" vertical="bottom" textRotation="0" wrapText="false" indent="0" shrinkToFit="false"/>
      <protection locked="true" hidden="false"/>
    </xf>
    <xf numFmtId="164" fontId="31" fillId="4" borderId="0" xfId="0" applyFont="true" applyBorder="false" applyAlignment="true" applyProtection="false">
      <alignment horizontal="center" vertical="bottom" textRotation="0" wrapText="false" indent="0" shrinkToFit="false"/>
      <protection locked="true" hidden="false"/>
    </xf>
    <xf numFmtId="174" fontId="29" fillId="5"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5" fontId="29" fillId="5"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6" fontId="29" fillId="5" borderId="0" xfId="0" applyFont="true" applyBorder="false" applyAlignment="false" applyProtection="false">
      <alignment horizontal="general" vertical="bottom" textRotation="0" wrapText="false" indent="0" shrinkToFit="false"/>
      <protection locked="true" hidden="false"/>
    </xf>
    <xf numFmtId="165" fontId="24" fillId="6" borderId="0" xfId="0" applyFont="true" applyBorder="false" applyAlignment="true" applyProtection="false">
      <alignment horizontal="center" vertical="bottom" textRotation="0" wrapText="false" indent="0" shrinkToFit="false"/>
      <protection locked="true" hidden="false"/>
    </xf>
    <xf numFmtId="165" fontId="37" fillId="4" borderId="0" xfId="0" applyFont="true" applyBorder="false" applyAlignment="true" applyProtection="false">
      <alignment horizontal="center" vertical="bottom" textRotation="0" wrapText="false" indent="0" shrinkToFit="false"/>
      <protection locked="true" hidden="false"/>
    </xf>
    <xf numFmtId="165" fontId="37" fillId="3" borderId="0" xfId="0" applyFont="true" applyBorder="false" applyAlignment="true" applyProtection="false">
      <alignment horizontal="center" vertical="bottom" textRotation="0" wrapText="false" indent="0" shrinkToFit="false"/>
      <protection locked="true" hidden="false"/>
    </xf>
    <xf numFmtId="166" fontId="38" fillId="7" borderId="0" xfId="0" applyFont="true" applyBorder="false" applyAlignment="false" applyProtection="false">
      <alignment horizontal="general" vertical="bottom" textRotation="0" wrapText="false" indent="0" shrinkToFit="false"/>
      <protection locked="true" hidden="false"/>
    </xf>
    <xf numFmtId="166" fontId="39" fillId="0" borderId="0" xfId="0" applyFont="true" applyBorder="false" applyAlignment="false" applyProtection="false">
      <alignment horizontal="general"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6" fontId="38" fillId="6" borderId="0" xfId="0" applyFont="true" applyBorder="false" applyAlignment="false" applyProtection="false">
      <alignment horizontal="general" vertical="bottom" textRotation="0" wrapText="false" indent="0" shrinkToFit="false"/>
      <protection locked="true" hidden="false"/>
    </xf>
    <xf numFmtId="166" fontId="40" fillId="6" borderId="0" xfId="0" applyFont="true" applyBorder="false" applyAlignment="false" applyProtection="false">
      <alignment horizontal="general" vertical="bottom" textRotation="0" wrapText="false" indent="0" shrinkToFit="false"/>
      <protection locked="true" hidden="false"/>
    </xf>
    <xf numFmtId="164" fontId="15" fillId="7" borderId="0" xfId="0" applyFont="true" applyBorder="false" applyAlignment="false" applyProtection="false">
      <alignment horizontal="general" vertical="bottom" textRotation="0" wrapText="false" indent="0" shrinkToFit="false"/>
      <protection locked="true" hidden="false"/>
    </xf>
    <xf numFmtId="166" fontId="40" fillId="7"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6" fontId="38" fillId="0" borderId="0" xfId="0" applyFont="true" applyBorder="false" applyAlignment="false" applyProtection="false">
      <alignment horizontal="general" vertical="bottom" textRotation="0" wrapText="false" indent="0" shrinkToFit="false"/>
      <protection locked="true" hidden="false"/>
    </xf>
    <xf numFmtId="166" fontId="41" fillId="5" borderId="0" xfId="0" applyFont="true" applyBorder="false" applyAlignment="false" applyProtection="false">
      <alignment horizontal="general" vertical="bottom" textRotation="0" wrapText="false" indent="0" shrinkToFit="false"/>
      <protection locked="true" hidden="false"/>
    </xf>
    <xf numFmtId="167" fontId="38" fillId="0" borderId="0" xfId="0" applyFont="true" applyBorder="false" applyAlignment="false" applyProtection="false">
      <alignment horizontal="general" vertical="bottom" textRotation="0" wrapText="false" indent="0" shrinkToFit="false"/>
      <protection locked="true" hidden="false"/>
    </xf>
    <xf numFmtId="167" fontId="41" fillId="5" borderId="0" xfId="0" applyFont="true" applyBorder="false" applyAlignment="false" applyProtection="false">
      <alignment horizontal="general" vertical="bottom" textRotation="0" wrapText="false" indent="0" shrinkToFit="false"/>
      <protection locked="true" hidden="false"/>
    </xf>
    <xf numFmtId="166" fontId="42" fillId="0" borderId="0" xfId="0" applyFont="true" applyBorder="false" applyAlignment="false" applyProtection="false">
      <alignment horizontal="general" vertical="bottom" textRotation="0" wrapText="false" indent="0" shrinkToFit="false"/>
      <protection locked="true" hidden="false"/>
    </xf>
    <xf numFmtId="166" fontId="40" fillId="0" borderId="0" xfId="0" applyFont="true" applyBorder="false" applyAlignment="false" applyProtection="false">
      <alignment horizontal="general" vertical="bottom" textRotation="0" wrapText="false" indent="0" shrinkToFit="false"/>
      <protection locked="true" hidden="false"/>
    </xf>
    <xf numFmtId="167" fontId="38" fillId="7" borderId="0" xfId="0" applyFont="true" applyBorder="false" applyAlignment="false" applyProtection="false">
      <alignment horizontal="general" vertical="bottom" textRotation="0" wrapText="false" indent="0" shrinkToFit="false"/>
      <protection locked="true" hidden="false"/>
    </xf>
    <xf numFmtId="167" fontId="39" fillId="0" borderId="0" xfId="0" applyFont="true" applyBorder="false" applyAlignment="false" applyProtection="false">
      <alignment horizontal="general" vertical="bottom" textRotation="0" wrapText="false" indent="0" shrinkToFit="false"/>
      <protection locked="true" hidden="false"/>
    </xf>
    <xf numFmtId="174" fontId="38" fillId="7" borderId="0" xfId="0" applyFont="true" applyBorder="false" applyAlignment="false" applyProtection="false">
      <alignment horizontal="general" vertical="bottom" textRotation="0" wrapText="false" indent="0" shrinkToFit="false"/>
      <protection locked="true" hidden="false"/>
    </xf>
    <xf numFmtId="174" fontId="39" fillId="0" borderId="0" xfId="0" applyFont="true" applyBorder="false" applyAlignment="false" applyProtection="false">
      <alignment horizontal="general" vertical="bottom" textRotation="0" wrapText="false" indent="0" shrinkToFit="false"/>
      <protection locked="true" hidden="false"/>
    </xf>
    <xf numFmtId="167" fontId="40" fillId="0" borderId="0" xfId="0" applyFont="true" applyBorder="false" applyAlignment="false" applyProtection="false">
      <alignment horizontal="general" vertical="bottom" textRotation="0" wrapText="false" indent="0" shrinkToFit="false"/>
      <protection locked="true" hidden="false"/>
    </xf>
    <xf numFmtId="174" fontId="40" fillId="0" borderId="0" xfId="0" applyFont="true" applyBorder="false" applyAlignment="false" applyProtection="false">
      <alignment horizontal="general" vertical="bottom" textRotation="0" wrapText="false" indent="0" shrinkToFit="false"/>
      <protection locked="true" hidden="false"/>
    </xf>
    <xf numFmtId="172" fontId="38" fillId="7" borderId="0" xfId="0" applyFont="true" applyBorder="false" applyAlignment="false" applyProtection="false">
      <alignment horizontal="general" vertical="bottom" textRotation="0" wrapText="false" indent="0" shrinkToFit="false"/>
      <protection locked="true" hidden="false"/>
    </xf>
    <xf numFmtId="172" fontId="39" fillId="0" borderId="0" xfId="0" applyFont="true" applyBorder="false" applyAlignment="false" applyProtection="false">
      <alignment horizontal="general" vertical="bottom" textRotation="0" wrapText="false" indent="0" shrinkToFit="false"/>
      <protection locked="true" hidden="false"/>
    </xf>
    <xf numFmtId="174" fontId="40" fillId="7" borderId="0" xfId="0" applyFont="true" applyBorder="false" applyAlignment="false" applyProtection="false">
      <alignment horizontal="general" vertical="bottom" textRotation="0" wrapText="false" indent="0" shrinkToFit="false"/>
      <protection locked="true" hidden="false"/>
    </xf>
    <xf numFmtId="174" fontId="38" fillId="6" borderId="0" xfId="0" applyFont="true" applyBorder="false" applyAlignment="false" applyProtection="false">
      <alignment horizontal="general" vertical="bottom" textRotation="0" wrapText="false" indent="0" shrinkToFit="false"/>
      <protection locked="true" hidden="false"/>
    </xf>
    <xf numFmtId="174" fontId="40" fillId="6" borderId="0" xfId="0" applyFont="true" applyBorder="false" applyAlignment="false" applyProtection="false">
      <alignment horizontal="general" vertical="bottom" textRotation="0" wrapText="false" indent="0" shrinkToFit="false"/>
      <protection locked="true" hidden="false"/>
    </xf>
    <xf numFmtId="171" fontId="38" fillId="7" borderId="0" xfId="0" applyFont="true" applyBorder="false" applyAlignment="false" applyProtection="false">
      <alignment horizontal="general" vertical="bottom" textRotation="0" wrapText="false" indent="0" shrinkToFit="false"/>
      <protection locked="true" hidden="false"/>
    </xf>
    <xf numFmtId="171" fontId="39" fillId="0" borderId="0" xfId="0" applyFont="true" applyBorder="false" applyAlignment="false" applyProtection="false">
      <alignment horizontal="general" vertical="bottom" textRotation="0" wrapText="false" indent="0" shrinkToFit="false"/>
      <protection locked="true" hidden="false"/>
    </xf>
    <xf numFmtId="170" fontId="38" fillId="7" borderId="0" xfId="0" applyFont="true" applyBorder="false" applyAlignment="false" applyProtection="false">
      <alignment horizontal="general" vertical="bottom" textRotation="0" wrapText="false" indent="0" shrinkToFit="false"/>
      <protection locked="true" hidden="false"/>
    </xf>
    <xf numFmtId="170" fontId="39" fillId="0" borderId="0" xfId="0" applyFont="true" applyBorder="false" applyAlignment="false" applyProtection="false">
      <alignment horizontal="general" vertical="bottom" textRotation="0" wrapText="false" indent="0" shrinkToFit="false"/>
      <protection locked="true" hidden="false"/>
    </xf>
    <xf numFmtId="170" fontId="40" fillId="7" borderId="0" xfId="0" applyFont="true" applyBorder="false" applyAlignment="false" applyProtection="false">
      <alignment horizontal="general" vertical="bottom" textRotation="0" wrapText="false" indent="0" shrinkToFit="false"/>
      <protection locked="true" hidden="false"/>
    </xf>
    <xf numFmtId="167" fontId="40" fillId="7" borderId="0" xfId="0" applyFont="true" applyBorder="false" applyAlignment="false" applyProtection="false">
      <alignment horizontal="general" vertical="bottom" textRotation="0" wrapText="false" indent="0" shrinkToFit="false"/>
      <protection locked="true" hidden="false"/>
    </xf>
    <xf numFmtId="167" fontId="42" fillId="0" borderId="0" xfId="0" applyFont="true" applyBorder="false" applyAlignment="false" applyProtection="false">
      <alignment horizontal="general" vertical="bottom" textRotation="0" wrapText="false" indent="0" shrinkToFit="false"/>
      <protection locked="true" hidden="false"/>
    </xf>
    <xf numFmtId="174" fontId="42" fillId="0" borderId="0" xfId="0" applyFont="true" applyBorder="false" applyAlignment="false" applyProtection="false">
      <alignment horizontal="general" vertical="bottom" textRotation="0" wrapText="false" indent="0" shrinkToFit="false"/>
      <protection locked="true" hidden="false"/>
    </xf>
    <xf numFmtId="174" fontId="43" fillId="7" borderId="0" xfId="0" applyFont="true" applyBorder="false" applyAlignment="false" applyProtection="false">
      <alignment horizontal="general" vertical="bottom" textRotation="0" wrapText="false" indent="0" shrinkToFit="false"/>
      <protection locked="true" hidden="false"/>
    </xf>
    <xf numFmtId="171" fontId="38" fillId="6" borderId="0" xfId="0" applyFont="true" applyBorder="false" applyAlignment="false" applyProtection="false">
      <alignment horizontal="general" vertical="bottom" textRotation="0" wrapText="false" indent="0" shrinkToFit="false"/>
      <protection locked="true" hidden="false"/>
    </xf>
    <xf numFmtId="171" fontId="40" fillId="6" borderId="0" xfId="0" applyFont="true" applyBorder="false" applyAlignment="false" applyProtection="false">
      <alignment horizontal="general" vertical="bottom" textRotation="0" wrapText="false" indent="0" shrinkToFit="false"/>
      <protection locked="true" hidden="false"/>
    </xf>
    <xf numFmtId="174" fontId="43" fillId="0" borderId="0" xfId="0" applyFont="true" applyBorder="false" applyAlignment="false" applyProtection="false">
      <alignment horizontal="general" vertical="bottom" textRotation="0" wrapText="false" indent="0" shrinkToFit="false"/>
      <protection locked="true" hidden="false"/>
    </xf>
    <xf numFmtId="167" fontId="34" fillId="0" borderId="0" xfId="0" applyFont="true" applyBorder="false" applyAlignment="false" applyProtection="false">
      <alignment horizontal="general" vertical="bottom" textRotation="0" wrapText="false" indent="0" shrinkToFit="false"/>
      <protection locked="true" hidden="false"/>
    </xf>
    <xf numFmtId="167" fontId="24" fillId="0" borderId="0" xfId="0" applyFont="true" applyBorder="false" applyAlignment="false" applyProtection="false">
      <alignment horizontal="general" vertical="bottom" textRotation="0" wrapText="false" indent="0" shrinkToFit="false"/>
      <protection locked="true" hidden="false"/>
    </xf>
    <xf numFmtId="169" fontId="34" fillId="0" borderId="0" xfId="0" applyFont="true" applyBorder="false" applyAlignment="false" applyProtection="false">
      <alignment horizontal="general" vertical="bottom" textRotation="0" wrapText="false" indent="0" shrinkToFit="false"/>
      <protection locked="true" hidden="false"/>
    </xf>
    <xf numFmtId="173" fontId="38" fillId="7" borderId="0" xfId="0" applyFont="true" applyBorder="false" applyAlignment="false" applyProtection="false">
      <alignment horizontal="general" vertical="bottom" textRotation="0" wrapText="false" indent="0" shrinkToFit="false"/>
      <protection locked="true" hidden="false"/>
    </xf>
    <xf numFmtId="173" fontId="40" fillId="0" borderId="0" xfId="0" applyFont="true" applyBorder="false" applyAlignment="false" applyProtection="false">
      <alignment horizontal="general" vertical="bottom" textRotation="0" wrapText="false" indent="0" shrinkToFit="false"/>
      <protection locked="true" hidden="false"/>
    </xf>
    <xf numFmtId="172" fontId="42" fillId="0" borderId="0" xfId="0" applyFont="true" applyBorder="false" applyAlignment="false" applyProtection="false">
      <alignment horizontal="general" vertical="bottom" textRotation="0" wrapText="false" indent="0" shrinkToFit="false"/>
      <protection locked="true" hidden="false"/>
    </xf>
    <xf numFmtId="167" fontId="38" fillId="6" borderId="0" xfId="0" applyFont="true" applyBorder="false" applyAlignment="false" applyProtection="false">
      <alignment horizontal="general" vertical="bottom" textRotation="0" wrapText="false" indent="0" shrinkToFit="false"/>
      <protection locked="true" hidden="false"/>
    </xf>
    <xf numFmtId="167" fontId="40" fillId="6" borderId="0" xfId="0" applyFont="true" applyBorder="false" applyAlignment="false" applyProtection="false">
      <alignment horizontal="general" vertical="bottom" textRotation="0" wrapText="false" indent="0" shrinkToFit="false"/>
      <protection locked="true" hidden="false"/>
    </xf>
    <xf numFmtId="164" fontId="37" fillId="4" borderId="0" xfId="0" applyFont="true" applyBorder="false" applyAlignment="true" applyProtection="false">
      <alignment horizontal="center" vertical="bottom" textRotation="0" wrapText="true" indent="0" shrinkToFit="false"/>
      <protection locked="true" hidden="false"/>
    </xf>
    <xf numFmtId="167" fontId="44" fillId="5" borderId="0" xfId="0" applyFont="true" applyBorder="false" applyAlignment="false" applyProtection="false">
      <alignment horizontal="general" vertical="bottom" textRotation="0" wrapText="false" indent="0" shrinkToFit="false"/>
      <protection locked="true" hidden="false"/>
    </xf>
    <xf numFmtId="166" fontId="44" fillId="5"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7" fontId="46" fillId="5" borderId="0" xfId="0" applyFont="tru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7" fontId="43" fillId="0" borderId="0" xfId="0" applyFont="true" applyBorder="false" applyAlignment="false" applyProtection="false">
      <alignment horizontal="general" vertical="bottom" textRotation="0" wrapText="false" indent="0" shrinkToFit="false"/>
      <protection locked="true" hidden="false"/>
    </xf>
    <xf numFmtId="166" fontId="15" fillId="7" borderId="0" xfId="0" applyFont="true" applyBorder="false" applyAlignment="false" applyProtection="false">
      <alignment horizontal="general" vertical="bottom" textRotation="0" wrapText="false" indent="0" shrinkToFit="false"/>
      <protection locked="true" hidden="false"/>
    </xf>
    <xf numFmtId="171" fontId="28" fillId="0" borderId="0" xfId="0" applyFont="true" applyBorder="false" applyAlignment="false" applyProtection="false">
      <alignment horizontal="general" vertical="bottom" textRotation="0" wrapText="false" indent="0" shrinkToFit="false"/>
      <protection locked="true" hidden="false"/>
    </xf>
    <xf numFmtId="166" fontId="15" fillId="6"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71"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75" fontId="15" fillId="0" borderId="0" xfId="0" applyFont="true" applyBorder="false" applyAlignment="false" applyProtection="false">
      <alignment horizontal="general" vertical="bottom" textRotation="0" wrapText="false" indent="0" shrinkToFit="false"/>
      <protection locked="true" hidden="false"/>
    </xf>
    <xf numFmtId="174" fontId="15" fillId="0" borderId="0" xfId="0" applyFont="true" applyBorder="false" applyAlignment="false" applyProtection="false">
      <alignment horizontal="general" vertical="bottom" textRotation="0" wrapText="false" indent="0" shrinkToFit="false"/>
      <protection locked="true" hidden="false"/>
    </xf>
    <xf numFmtId="174" fontId="11"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bottom" textRotation="0" wrapText="tru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71" fontId="48" fillId="5" borderId="0" xfId="0" applyFont="true" applyBorder="false" applyAlignment="true" applyProtection="false">
      <alignment horizontal="center" vertical="bottom" textRotation="0" wrapText="false" indent="0" shrinkToFit="false"/>
      <protection locked="true" hidden="false"/>
    </xf>
    <xf numFmtId="171" fontId="48" fillId="5" borderId="0" xfId="0" applyFont="true" applyBorder="false" applyAlignment="false" applyProtection="false">
      <alignment horizontal="general" vertical="bottom" textRotation="0" wrapText="false" indent="0" shrinkToFit="false"/>
      <protection locked="true" hidden="false"/>
    </xf>
    <xf numFmtId="166" fontId="3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bottom" textRotation="0" wrapText="false" indent="0" shrinkToFit="false"/>
      <protection locked="true" hidden="false"/>
    </xf>
    <xf numFmtId="171" fontId="15" fillId="6" borderId="0" xfId="0" applyFont="true" applyBorder="false" applyAlignment="false" applyProtection="false">
      <alignment horizontal="general" vertical="bottom" textRotation="0" wrapText="false" indent="0" shrinkToFit="false"/>
      <protection locked="true" hidden="false"/>
    </xf>
    <xf numFmtId="175" fontId="15" fillId="6"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1E0C8C"/>
      <rgbColor rgb="FF808000"/>
      <rgbColor rgb="FF800080"/>
      <rgbColor rgb="FF008080"/>
      <rgbColor rgb="FFC0C0C0"/>
      <rgbColor rgb="FF878787"/>
      <rgbColor rgb="FF9999FF"/>
      <rgbColor rgb="FFBE4B48"/>
      <rgbColor rgb="FFF2F3F7"/>
      <rgbColor rgb="FFE8EAF4"/>
      <rgbColor rgb="FF660066"/>
      <rgbColor rgb="FFFF8080"/>
      <rgbColor rgb="FF0066CC"/>
      <rgbColor rgb="FFD9D9D9"/>
      <rgbColor rgb="FF000080"/>
      <rgbColor rgb="FFFF00FF"/>
      <rgbColor rgb="FFCBF24A"/>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9CC00"/>
      <rgbColor rgb="FFFFCC00"/>
      <rgbColor rgb="FFFF9900"/>
      <rgbColor rgb="FFFF6600"/>
      <rgbColor rgb="FF6B7285"/>
      <rgbColor rgb="FF969696"/>
      <rgbColor rgb="FF003366"/>
      <rgbColor rgb="FF339966"/>
      <rgbColor rgb="FF0B0E14"/>
      <rgbColor rgb="FF333300"/>
      <rgbColor rgb="FF993300"/>
      <rgbColor rgb="FF993366"/>
      <rgbColor rgb="FF3418E0"/>
      <rgbColor rgb="FF3A405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against total expenses</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'Total Revenue'!$C$25:$BN$25</c:f>
              <c:numCache>
                <c:formatCode>\$#,##0;"($"#,##0\);\-</c:formatCode>
                <c:ptCount val="64"/>
                <c:pt idx="0">
                  <c:v>3278.50463621092</c:v>
                </c:pt>
                <c:pt idx="1">
                  <c:v>5235.58948075518</c:v>
                </c:pt>
                <c:pt idx="2">
                  <c:v>6542.6722419661</c:v>
                </c:pt>
                <c:pt idx="3">
                  <c:v>6548.08833651036</c:v>
                </c:pt>
                <c:pt idx="4">
                  <c:v>6692.62527632381</c:v>
                </c:pt>
                <c:pt idx="5">
                  <c:v>6837.56680521781</c:v>
                </c:pt>
                <c:pt idx="6">
                  <c:v>8101.16536458378</c:v>
                </c:pt>
                <c:pt idx="7">
                  <c:v>9366.07958770057</c:v>
                </c:pt>
                <c:pt idx="8">
                  <c:v>10632.3094745682</c:v>
                </c:pt>
                <c:pt idx="9">
                  <c:v>11899.8550251866</c:v>
                </c:pt>
                <c:pt idx="10">
                  <c:v>13168.7162395559</c:v>
                </c:pt>
                <c:pt idx="11">
                  <c:v>14438.893117676</c:v>
                </c:pt>
                <c:pt idx="12">
                  <c:v>364280.89031635</c:v>
                </c:pt>
                <c:pt idx="13">
                  <c:v>17626.8593599276</c:v>
                </c:pt>
                <c:pt idx="14">
                  <c:v>19317.7657632158</c:v>
                </c:pt>
                <c:pt idx="15">
                  <c:v>21332.6100715898</c:v>
                </c:pt>
                <c:pt idx="16">
                  <c:v>23654.1457585356</c:v>
                </c:pt>
                <c:pt idx="17">
                  <c:v>26069.925121297</c:v>
                </c:pt>
                <c:pt idx="18">
                  <c:v>28489.0779363905</c:v>
                </c:pt>
                <c:pt idx="19">
                  <c:v>31140.0937084848</c:v>
                </c:pt>
                <c:pt idx="20">
                  <c:v>33793.4557783975</c:v>
                </c:pt>
                <c:pt idx="21">
                  <c:v>36449.1641461286</c:v>
                </c:pt>
                <c:pt idx="22">
                  <c:v>39307.1666224235</c:v>
                </c:pt>
                <c:pt idx="23">
                  <c:v>42144.6500657394</c:v>
                </c:pt>
                <c:pt idx="24">
                  <c:v>44955.9759842196</c:v>
                </c:pt>
                <c:pt idx="25">
                  <c:v>752581.26389205</c:v>
                </c:pt>
                <c:pt idx="26">
                  <c:v>49038.5590687342</c:v>
                </c:pt>
                <c:pt idx="27">
                  <c:v>49490.5013108571</c:v>
                </c:pt>
                <c:pt idx="28">
                  <c:v>50974.8908276335</c:v>
                </c:pt>
                <c:pt idx="29">
                  <c:v>54270.1487327375</c:v>
                </c:pt>
                <c:pt idx="30">
                  <c:v>57553.8708443207</c:v>
                </c:pt>
                <c:pt idx="31">
                  <c:v>60839.4129248593</c:v>
                </c:pt>
                <c:pt idx="32">
                  <c:v>64053.8093196904</c:v>
                </c:pt>
                <c:pt idx="33">
                  <c:v>67270.3389043438</c:v>
                </c:pt>
                <c:pt idx="34">
                  <c:v>70396.7305684204</c:v>
                </c:pt>
                <c:pt idx="35">
                  <c:v>73312.5464884257</c:v>
                </c:pt>
                <c:pt idx="36">
                  <c:v>76230.340949721</c:v>
                </c:pt>
                <c:pt idx="37">
                  <c:v>79150.1139523063</c:v>
                </c:pt>
                <c:pt idx="38">
                  <c:v>1316610.92668284</c:v>
                </c:pt>
                <c:pt idx="39">
                  <c:v>89668.1817646606</c:v>
                </c:pt>
                <c:pt idx="40">
                  <c:v>93033.9682045873</c:v>
                </c:pt>
                <c:pt idx="41">
                  <c:v>96394.5394258172</c:v>
                </c:pt>
                <c:pt idx="42">
                  <c:v>100091.491110934</c:v>
                </c:pt>
                <c:pt idx="43">
                  <c:v>103838.417384688</c:v>
                </c:pt>
                <c:pt idx="44">
                  <c:v>107586.243334114</c:v>
                </c:pt>
                <c:pt idx="45">
                  <c:v>111499.017744408</c:v>
                </c:pt>
                <c:pt idx="46">
                  <c:v>115412.525851287</c:v>
                </c:pt>
                <c:pt idx="47">
                  <c:v>119317.421003195</c:v>
                </c:pt>
                <c:pt idx="48">
                  <c:v>122953.068355894</c:v>
                </c:pt>
                <c:pt idx="49">
                  <c:v>126589.459141936</c:v>
                </c:pt>
                <c:pt idx="50">
                  <c:v>130226.593361322</c:v>
                </c:pt>
                <c:pt idx="51">
                  <c:v>2001223.1961932</c:v>
                </c:pt>
                <c:pt idx="52">
                  <c:v>143756.41399537</c:v>
                </c:pt>
                <c:pt idx="53">
                  <c:v>147675.133305504</c:v>
                </c:pt>
                <c:pt idx="54">
                  <c:v>151666.202355957</c:v>
                </c:pt>
                <c:pt idx="55">
                  <c:v>156013.749046197</c:v>
                </c:pt>
                <c:pt idx="56">
                  <c:v>160355.834708182</c:v>
                </c:pt>
                <c:pt idx="57">
                  <c:v>164699.223780129</c:v>
                </c:pt>
                <c:pt idx="58">
                  <c:v>169036.049364959</c:v>
                </c:pt>
                <c:pt idx="59">
                  <c:v>173374.165598292</c:v>
                </c:pt>
                <c:pt idx="60">
                  <c:v>177698.156686672</c:v>
                </c:pt>
                <c:pt idx="61">
                  <c:v>181672.962388127</c:v>
                </c:pt>
                <c:pt idx="62">
                  <c:v>185649.00886038</c:v>
                </c:pt>
                <c:pt idx="63">
                  <c:v>189626.296103429</c:v>
                </c:pt>
              </c:numCache>
            </c:numRef>
          </c:val>
          <c:smooth val="1"/>
        </c:ser>
        <c:ser>
          <c:idx val="1"/>
          <c:order val="1"/>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Expenses!$C$51:$BN$51</c:f>
              <c:numCache>
                <c:formatCode>\$#,##0;"($"#,##0\);\-</c:formatCode>
                <c:ptCount val="64"/>
                <c:pt idx="0">
                  <c:v>13052.5754156924</c:v>
                </c:pt>
                <c:pt idx="1">
                  <c:v>10867.0298100934</c:v>
                </c:pt>
                <c:pt idx="2">
                  <c:v>11311.5361326509</c:v>
                </c:pt>
                <c:pt idx="3">
                  <c:v>11192.2020496535</c:v>
                </c:pt>
                <c:pt idx="4">
                  <c:v>11229.7473846715</c:v>
                </c:pt>
                <c:pt idx="5">
                  <c:v>11267.3335621331</c:v>
                </c:pt>
                <c:pt idx="6">
                  <c:v>11890.6883210601</c:v>
                </c:pt>
                <c:pt idx="7">
                  <c:v>12394.2332868344</c:v>
                </c:pt>
                <c:pt idx="8">
                  <c:v>12897.9598099389</c:v>
                </c:pt>
                <c:pt idx="9">
                  <c:v>13401.8597598277</c:v>
                </c:pt>
                <c:pt idx="10">
                  <c:v>13905.9254937877</c:v>
                </c:pt>
                <c:pt idx="11">
                  <c:v>14410.1498276684</c:v>
                </c:pt>
                <c:pt idx="12">
                  <c:v>387101.163684055</c:v>
                </c:pt>
                <c:pt idx="13">
                  <c:v>27263.7542131228</c:v>
                </c:pt>
                <c:pt idx="14">
                  <c:v>28126.542674004</c:v>
                </c:pt>
                <c:pt idx="15">
                  <c:v>28900.2597029791</c:v>
                </c:pt>
                <c:pt idx="16">
                  <c:v>29773.7471694509</c:v>
                </c:pt>
                <c:pt idx="17">
                  <c:v>30550.7035122791</c:v>
                </c:pt>
                <c:pt idx="18">
                  <c:v>31568.1032597018</c:v>
                </c:pt>
                <c:pt idx="19">
                  <c:v>32568.0261814529</c:v>
                </c:pt>
                <c:pt idx="20">
                  <c:v>33688.3033251412</c:v>
                </c:pt>
                <c:pt idx="21">
                  <c:v>34568.9183646757</c:v>
                </c:pt>
                <c:pt idx="22">
                  <c:v>35633.7273830414</c:v>
                </c:pt>
                <c:pt idx="23">
                  <c:v>36697.8975171742</c:v>
                </c:pt>
                <c:pt idx="24">
                  <c:v>37761.1803810322</c:v>
                </c:pt>
                <c:pt idx="25">
                  <c:v>737413.481201444</c:v>
                </c:pt>
                <c:pt idx="26">
                  <c:v>55890.746451525</c:v>
                </c:pt>
                <c:pt idx="27">
                  <c:v>56155.9337844949</c:v>
                </c:pt>
                <c:pt idx="28">
                  <c:v>56646.0409738596</c:v>
                </c:pt>
                <c:pt idx="29">
                  <c:v>58094.2092903432</c:v>
                </c:pt>
                <c:pt idx="30">
                  <c:v>59539.5149134782</c:v>
                </c:pt>
                <c:pt idx="31">
                  <c:v>60745.1843783272</c:v>
                </c:pt>
                <c:pt idx="32">
                  <c:v>62006.907194175</c:v>
                </c:pt>
                <c:pt idx="33">
                  <c:v>63268.9959698538</c:v>
                </c:pt>
                <c:pt idx="34">
                  <c:v>64523.6314276746</c:v>
                </c:pt>
                <c:pt idx="35">
                  <c:v>65715.3406834414</c:v>
                </c:pt>
                <c:pt idx="36">
                  <c:v>66817.3450775715</c:v>
                </c:pt>
                <c:pt idx="37">
                  <c:v>68009.6310566999</c:v>
                </c:pt>
                <c:pt idx="38">
                  <c:v>1157795.08823009</c:v>
                </c:pt>
                <c:pt idx="39">
                  <c:v>87807.3104363367</c:v>
                </c:pt>
                <c:pt idx="40">
                  <c:v>89584.1952916243</c:v>
                </c:pt>
                <c:pt idx="41">
                  <c:v>90905.2230799936</c:v>
                </c:pt>
                <c:pt idx="42">
                  <c:v>92454.5153016682</c:v>
                </c:pt>
                <c:pt idx="43">
                  <c:v>94015.4333850935</c:v>
                </c:pt>
                <c:pt idx="44">
                  <c:v>95696.4610094574</c:v>
                </c:pt>
                <c:pt idx="45">
                  <c:v>97232.6964970628</c:v>
                </c:pt>
                <c:pt idx="46">
                  <c:v>98769.0307553969</c:v>
                </c:pt>
                <c:pt idx="47">
                  <c:v>100542.539193477</c:v>
                </c:pt>
                <c:pt idx="48">
                  <c:v>101989.169296688</c:v>
                </c:pt>
                <c:pt idx="49">
                  <c:v>103675.871359055</c:v>
                </c:pt>
                <c:pt idx="50">
                  <c:v>105122.642624237</c:v>
                </c:pt>
                <c:pt idx="51">
                  <c:v>1635721.81004322</c:v>
                </c:pt>
                <c:pt idx="52">
                  <c:v>126285.226872759</c:v>
                </c:pt>
                <c:pt idx="53">
                  <c:v>128138.765727804</c:v>
                </c:pt>
                <c:pt idx="54">
                  <c:v>129857.513966753</c:v>
                </c:pt>
                <c:pt idx="55">
                  <c:v>131853.70378767</c:v>
                </c:pt>
                <c:pt idx="56">
                  <c:v>133608.356646832</c:v>
                </c:pt>
                <c:pt idx="57">
                  <c:v>135573.013536186</c:v>
                </c:pt>
                <c:pt idx="58">
                  <c:v>137200.129762481</c:v>
                </c:pt>
                <c:pt idx="59">
                  <c:v>139067.256848635</c:v>
                </c:pt>
                <c:pt idx="60">
                  <c:v>141049.495929272</c:v>
                </c:pt>
                <c:pt idx="61">
                  <c:v>142681.698478054</c:v>
                </c:pt>
                <c:pt idx="62">
                  <c:v>144553.894583189</c:v>
                </c:pt>
                <c:pt idx="63">
                  <c:v>145852.753903581</c:v>
                </c:pt>
              </c:numCache>
            </c:numRef>
          </c:val>
          <c:smooth val="1"/>
        </c:ser>
        <c:hiLowLines>
          <c:spPr>
            <a:ln w="0">
              <a:noFill/>
            </a:ln>
          </c:spPr>
        </c:hiLowLines>
        <c:marker val="0"/>
        <c:axId val="65303515"/>
        <c:axId val="5064210"/>
      </c:lineChart>
      <c:catAx>
        <c:axId val="6530351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64210"/>
        <c:crosses val="autoZero"/>
        <c:auto val="1"/>
        <c:lblAlgn val="ctr"/>
        <c:lblOffset val="100"/>
        <c:noMultiLvlLbl val="0"/>
      </c:catAx>
      <c:valAx>
        <c:axId val="5064210"/>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30351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Cash balance, month by month</a:t>
            </a:r>
          </a:p>
        </c:rich>
      </c:tx>
      <c:overlay val="0"/>
      <c:spPr>
        <a:noFill/>
        <a:ln w="0">
          <a:noFill/>
        </a:ln>
      </c:spPr>
    </c:title>
    <c:autoTitleDeleted val="0"/>
    <c:plotArea>
      <c:lineChart>
        <c:grouping val="standard"/>
        <c:varyColors val="0"/>
        <c:ser>
          <c:idx val="0"/>
          <c:order val="0"/>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val>
            <c:numRef>
              <c:f>'Cash Flow Statement'!$C$35:$BN$35</c:f>
              <c:numCache>
                <c:formatCode>\$#,##0;"($"#,##0\);\-</c:formatCode>
                <c:ptCount val="64"/>
                <c:pt idx="0">
                  <c:v>34083.1540058435</c:v>
                </c:pt>
                <c:pt idx="1">
                  <c:v>19292.7001341128</c:v>
                </c:pt>
                <c:pt idx="2">
                  <c:v>12387.5812171182</c:v>
                </c:pt>
                <c:pt idx="3">
                  <c:v>157926.204798862</c:v>
                </c:pt>
                <c:pt idx="4">
                  <c:v>153441.741809399</c:v>
                </c:pt>
                <c:pt idx="5">
                  <c:v>149063.284644541</c:v>
                </c:pt>
                <c:pt idx="6">
                  <c:v>143502.609201013</c:v>
                </c:pt>
                <c:pt idx="7">
                  <c:v>138570.368576702</c:v>
                </c:pt>
                <c:pt idx="8">
                  <c:v>134406.371123175</c:v>
                </c:pt>
                <c:pt idx="9">
                  <c:v>131010.43392801</c:v>
                </c:pt>
                <c:pt idx="10">
                  <c:v>128382.382290638</c:v>
                </c:pt>
                <c:pt idx="11">
                  <c:v>126522.049229629</c:v>
                </c:pt>
                <c:pt idx="12">
                  <c:v>62207.5733685357</c:v>
                </c:pt>
                <c:pt idx="13">
                  <c:v>117291.517315111</c:v>
                </c:pt>
                <c:pt idx="14">
                  <c:v>106159.767766728</c:v>
                </c:pt>
                <c:pt idx="15">
                  <c:v>95568.7958695257</c:v>
                </c:pt>
                <c:pt idx="16">
                  <c:v>85876.8296158263</c:v>
                </c:pt>
                <c:pt idx="17">
                  <c:v>77523.2423711449</c:v>
                </c:pt>
                <c:pt idx="18">
                  <c:v>70865.1856833357</c:v>
                </c:pt>
                <c:pt idx="19">
                  <c:v>65331.0091376277</c:v>
                </c:pt>
                <c:pt idx="20">
                  <c:v>61477.5738841211</c:v>
                </c:pt>
                <c:pt idx="21">
                  <c:v>59124.5229798636</c:v>
                </c:pt>
                <c:pt idx="22">
                  <c:v>58332.6657026384</c:v>
                </c:pt>
                <c:pt idx="23">
                  <c:v>59365.4335150289</c:v>
                </c:pt>
                <c:pt idx="24">
                  <c:v>62207.5733685357</c:v>
                </c:pt>
                <c:pt idx="25">
                  <c:v>29736.6080497957</c:v>
                </c:pt>
                <c:pt idx="26">
                  <c:v>48825.2435120713</c:v>
                </c:pt>
                <c:pt idx="27">
                  <c:v>42290.3428878492</c:v>
                </c:pt>
                <c:pt idx="28">
                  <c:v>34989.1015403438</c:v>
                </c:pt>
                <c:pt idx="29">
                  <c:v>26591.2162059445</c:v>
                </c:pt>
                <c:pt idx="30">
                  <c:v>20064.3490308506</c:v>
                </c:pt>
                <c:pt idx="31">
                  <c:v>15341.8499986825</c:v>
                </c:pt>
                <c:pt idx="32">
                  <c:v>12806.5802579086</c:v>
                </c:pt>
                <c:pt idx="33">
                  <c:v>12228.3277557265</c:v>
                </c:pt>
                <c:pt idx="34">
                  <c:v>13720.7622073557</c:v>
                </c:pt>
                <c:pt idx="35">
                  <c:v>17338.7286647563</c:v>
                </c:pt>
                <c:pt idx="36">
                  <c:v>22677.4430779888</c:v>
                </c:pt>
                <c:pt idx="37">
                  <c:v>29736.6080497957</c:v>
                </c:pt>
                <c:pt idx="38">
                  <c:v>124384.681530383</c:v>
                </c:pt>
                <c:pt idx="39">
                  <c:v>22434.3142558589</c:v>
                </c:pt>
                <c:pt idx="40">
                  <c:v>21743.6846350714</c:v>
                </c:pt>
                <c:pt idx="41">
                  <c:v>22808.315157836</c:v>
                </c:pt>
                <c:pt idx="42">
                  <c:v>25512.7669258692</c:v>
                </c:pt>
                <c:pt idx="43">
                  <c:v>30288.4218212596</c:v>
                </c:pt>
                <c:pt idx="44">
                  <c:v>37252.153149625</c:v>
                </c:pt>
                <c:pt idx="45">
                  <c:v>46034.8176435769</c:v>
                </c:pt>
                <c:pt idx="46">
                  <c:v>57194.8391440884</c:v>
                </c:pt>
                <c:pt idx="47">
                  <c:v>70623.3147630483</c:v>
                </c:pt>
                <c:pt idx="48">
                  <c:v>86444.1808815267</c:v>
                </c:pt>
                <c:pt idx="49">
                  <c:v>104471.32727682</c:v>
                </c:pt>
                <c:pt idx="50">
                  <c:v>124384.681530383</c:v>
                </c:pt>
                <c:pt idx="51">
                  <c:v>390499.035742713</c:v>
                </c:pt>
                <c:pt idx="52">
                  <c:v>128200.045987988</c:v>
                </c:pt>
                <c:pt idx="53">
                  <c:v>142727.641775972</c:v>
                </c:pt>
                <c:pt idx="54">
                  <c:v>159468.618503921</c:v>
                </c:pt>
                <c:pt idx="55">
                  <c:v>154141.649445684</c:v>
                </c:pt>
                <c:pt idx="56">
                  <c:v>174981.104744714</c:v>
                </c:pt>
                <c:pt idx="57">
                  <c:v>198424.619394491</c:v>
                </c:pt>
                <c:pt idx="58">
                  <c:v>224160.97124197</c:v>
                </c:pt>
                <c:pt idx="59">
                  <c:v>252481.287732218</c:v>
                </c:pt>
                <c:pt idx="60">
                  <c:v>283284.011269632</c:v>
                </c:pt>
                <c:pt idx="61">
                  <c:v>316777.917947621</c:v>
                </c:pt>
                <c:pt idx="62">
                  <c:v>352622.923791197</c:v>
                </c:pt>
                <c:pt idx="63">
                  <c:v>390499.035742713</c:v>
                </c:pt>
              </c:numCache>
            </c:numRef>
          </c:val>
          <c:smooth val="1"/>
        </c:ser>
        <c:hiLowLines>
          <c:spPr>
            <a:ln w="0">
              <a:noFill/>
            </a:ln>
          </c:spPr>
        </c:hiLowLines>
        <c:marker val="0"/>
        <c:axId val="48625778"/>
        <c:axId val="22561679"/>
      </c:lineChart>
      <c:catAx>
        <c:axId val="486257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2561679"/>
        <c:crosses val="autoZero"/>
        <c:auto val="1"/>
        <c:lblAlgn val="ctr"/>
        <c:lblOffset val="100"/>
        <c:noMultiLvlLbl val="0"/>
      </c:catAx>
      <c:valAx>
        <c:axId val="22561679"/>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62577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0</xdr:rowOff>
    </xdr:from>
    <xdr:to>
      <xdr:col>1</xdr:col>
      <xdr:colOff>1852560</xdr:colOff>
      <xdr:row>36</xdr:row>
      <xdr:rowOff>32760</xdr:rowOff>
    </xdr:to>
    <xdr:graphicFrame>
      <xdr:nvGraphicFramePr>
        <xdr:cNvPr id="0" name="Chart 1"/>
        <xdr:cNvGraphicFramePr/>
      </xdr:nvGraphicFramePr>
      <xdr:xfrm>
        <a:off x="0" y="4191120"/>
        <a:ext cx="611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22</xdr:row>
      <xdr:rowOff>0</xdr:rowOff>
    </xdr:from>
    <xdr:to>
      <xdr:col>11</xdr:col>
      <xdr:colOff>417240</xdr:colOff>
      <xdr:row>36</xdr:row>
      <xdr:rowOff>32760</xdr:rowOff>
    </xdr:to>
    <xdr:graphicFrame>
      <xdr:nvGraphicFramePr>
        <xdr:cNvPr id="1" name="Chart 2"/>
        <xdr:cNvGraphicFramePr/>
      </xdr:nvGraphicFramePr>
      <xdr:xfrm>
        <a:off x="10934640" y="4191120"/>
        <a:ext cx="611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5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6"/>
    <col collapsed="false" customWidth="true" hidden="false" outlineLevel="0" max="4" min="4" style="0" width="62"/>
  </cols>
  <sheetData>
    <row r="2" customFormat="false" ht="42" hidden="false" customHeight="true" outlineLevel="0" collapsed="false">
      <c r="B2" s="1" t="s">
        <v>0</v>
      </c>
    </row>
    <row r="3" customFormat="false" ht="25.5" hidden="false" customHeight="true" outlineLevel="0" collapsed="false">
      <c r="B3" s="2" t="s">
        <v>1</v>
      </c>
    </row>
    <row r="4" customFormat="false" ht="15" hidden="false" customHeight="false" outlineLevel="0" collapsed="false">
      <c r="B4" s="3"/>
      <c r="C4" s="3"/>
      <c r="D4" s="3"/>
    </row>
    <row r="6" customFormat="false" ht="15" hidden="false" customHeight="false" outlineLevel="0" collapsed="false">
      <c r="B6" s="4" t="s">
        <v>2</v>
      </c>
    </row>
    <row r="7" customFormat="false" ht="15" hidden="false" customHeight="false" outlineLevel="0" collapsed="false">
      <c r="B7" s="5" t="s">
        <v>3</v>
      </c>
      <c r="C7" s="6"/>
      <c r="D7" s="7" t="s">
        <v>0</v>
      </c>
    </row>
    <row r="8" customFormat="false" ht="15" hidden="false" customHeight="false" outlineLevel="0" collapsed="false">
      <c r="B8" s="5" t="s">
        <v>4</v>
      </c>
      <c r="C8" s="6"/>
      <c r="D8" s="7" t="s">
        <v>5</v>
      </c>
    </row>
    <row r="9" customFormat="false" ht="15" hidden="false" customHeight="false" outlineLevel="0" collapsed="false">
      <c r="B9" s="5" t="s">
        <v>6</v>
      </c>
      <c r="C9" s="6"/>
      <c r="D9" s="7" t="s">
        <v>7</v>
      </c>
    </row>
    <row r="10" customFormat="false" ht="15" hidden="false" customHeight="false" outlineLevel="0" collapsed="false">
      <c r="B10" s="5" t="s">
        <v>8</v>
      </c>
      <c r="C10" s="6"/>
      <c r="D10" s="7" t="s">
        <v>9</v>
      </c>
    </row>
    <row r="11" customFormat="false" ht="15" hidden="false" customHeight="false" outlineLevel="0" collapsed="false">
      <c r="B11" s="5" t="s">
        <v>10</v>
      </c>
      <c r="C11" s="6" t="s">
        <v>11</v>
      </c>
      <c r="D11" s="7" t="s">
        <v>12</v>
      </c>
    </row>
    <row r="12" customFormat="false" ht="15" hidden="false" customHeight="false" outlineLevel="0" collapsed="false">
      <c r="B12" s="5" t="s">
        <v>13</v>
      </c>
      <c r="C12" s="6" t="s">
        <v>14</v>
      </c>
      <c r="D12" s="7" t="n">
        <v>12</v>
      </c>
    </row>
    <row r="13" customFormat="false" ht="15" hidden="false" customHeight="false" outlineLevel="0" collapsed="false">
      <c r="B13" s="5" t="s">
        <v>15</v>
      </c>
      <c r="C13" s="6" t="s">
        <v>16</v>
      </c>
      <c r="D13" s="7" t="n">
        <v>5</v>
      </c>
    </row>
    <row r="14" customFormat="false" ht="15" hidden="false" customHeight="false" outlineLevel="0" collapsed="false">
      <c r="B14" s="5" t="s">
        <v>17</v>
      </c>
      <c r="C14" s="6" t="s">
        <v>14</v>
      </c>
      <c r="D14" s="7" t="n">
        <v>60</v>
      </c>
    </row>
    <row r="16" customFormat="false" ht="15" hidden="false" customHeight="false" outlineLevel="0" collapsed="false">
      <c r="B16" s="4" t="s">
        <v>18</v>
      </c>
    </row>
    <row r="17" customFormat="false" ht="15" hidden="false" customHeight="false" outlineLevel="0" collapsed="false">
      <c r="B17" s="8" t="s">
        <v>19</v>
      </c>
      <c r="C17" s="8"/>
      <c r="D17" s="8"/>
    </row>
    <row r="18" customFormat="false" ht="15" hidden="false" customHeight="false" outlineLevel="0" collapsed="false">
      <c r="B18" s="8" t="s">
        <v>20</v>
      </c>
      <c r="C18" s="8"/>
      <c r="D18" s="8"/>
    </row>
    <row r="19" customFormat="false" ht="15" hidden="false" customHeight="false" outlineLevel="0" collapsed="false">
      <c r="B19" s="8" t="s">
        <v>21</v>
      </c>
      <c r="C19" s="8"/>
      <c r="D19" s="8"/>
    </row>
    <row r="20" customFormat="false" ht="15" hidden="false" customHeight="false" outlineLevel="0" collapsed="false">
      <c r="B20" s="8" t="s">
        <v>22</v>
      </c>
      <c r="C20" s="8"/>
      <c r="D20" s="8"/>
    </row>
    <row r="21" customFormat="false" ht="15" hidden="false" customHeight="false" outlineLevel="0" collapsed="false">
      <c r="B21" s="8" t="s">
        <v>23</v>
      </c>
      <c r="C21" s="8"/>
      <c r="D21" s="8"/>
    </row>
    <row r="22" customFormat="false" ht="15" hidden="false" customHeight="false" outlineLevel="0" collapsed="false">
      <c r="B22" s="8" t="s">
        <v>24</v>
      </c>
      <c r="C22" s="8"/>
      <c r="D22" s="8"/>
    </row>
    <row r="24" customFormat="false" ht="15" hidden="false" customHeight="false" outlineLevel="0" collapsed="false">
      <c r="B24" s="4" t="s">
        <v>25</v>
      </c>
    </row>
    <row r="25" customFormat="false" ht="15" hidden="false" customHeight="false" outlineLevel="0" collapsed="false">
      <c r="B25" s="9" t="s">
        <v>26</v>
      </c>
      <c r="C25" s="10"/>
      <c r="D25" s="11" t="s">
        <v>27</v>
      </c>
    </row>
    <row r="26" customFormat="false" ht="15" hidden="false" customHeight="false" outlineLevel="0" collapsed="false">
      <c r="B26" s="12" t="s">
        <v>28</v>
      </c>
      <c r="D26" s="13" t="s">
        <v>29</v>
      </c>
    </row>
    <row r="27" customFormat="false" ht="15" hidden="false" customHeight="false" outlineLevel="0" collapsed="false">
      <c r="B27" s="9" t="s">
        <v>30</v>
      </c>
      <c r="C27" s="10"/>
      <c r="D27" s="11" t="s">
        <v>31</v>
      </c>
    </row>
    <row r="28" customFormat="false" ht="15" hidden="false" customHeight="false" outlineLevel="0" collapsed="false">
      <c r="B28" s="4" t="s">
        <v>32</v>
      </c>
      <c r="D28" s="6" t="s">
        <v>33</v>
      </c>
    </row>
    <row r="29" customFormat="false" ht="15" hidden="false" customHeight="false" outlineLevel="0" collapsed="false">
      <c r="B29" s="9" t="s">
        <v>34</v>
      </c>
      <c r="C29" s="10"/>
      <c r="D29" s="11" t="s">
        <v>35</v>
      </c>
    </row>
    <row r="30" customFormat="false" ht="15" hidden="false" customHeight="false" outlineLevel="0" collapsed="false">
      <c r="B30" s="12" t="s">
        <v>36</v>
      </c>
      <c r="D30" s="13" t="s">
        <v>37</v>
      </c>
    </row>
    <row r="31" customFormat="false" ht="15" hidden="false" customHeight="false" outlineLevel="0" collapsed="false">
      <c r="B31" s="9" t="s">
        <v>38</v>
      </c>
      <c r="C31" s="10"/>
      <c r="D31" s="11" t="s">
        <v>39</v>
      </c>
    </row>
    <row r="32" customFormat="false" ht="15" hidden="false" customHeight="false" outlineLevel="0" collapsed="false">
      <c r="B32" s="4" t="s">
        <v>40</v>
      </c>
      <c r="D32" s="6" t="s">
        <v>41</v>
      </c>
    </row>
    <row r="33" customFormat="false" ht="15" hidden="false" customHeight="false" outlineLevel="0" collapsed="false">
      <c r="B33" s="9" t="s">
        <v>42</v>
      </c>
      <c r="C33" s="10"/>
      <c r="D33" s="11" t="s">
        <v>43</v>
      </c>
    </row>
    <row r="34" customFormat="false" ht="15" hidden="false" customHeight="false" outlineLevel="0" collapsed="false">
      <c r="B34" s="12" t="s">
        <v>44</v>
      </c>
      <c r="D34" s="13" t="s">
        <v>45</v>
      </c>
    </row>
    <row r="35" customFormat="false" ht="15" hidden="false" customHeight="false" outlineLevel="0" collapsed="false">
      <c r="B35" s="9" t="s">
        <v>46</v>
      </c>
      <c r="C35" s="10"/>
      <c r="D35" s="11" t="s">
        <v>47</v>
      </c>
    </row>
    <row r="36" customFormat="false" ht="15" hidden="false" customHeight="false" outlineLevel="0" collapsed="false">
      <c r="B36" s="12" t="s">
        <v>48</v>
      </c>
      <c r="D36" s="13" t="s">
        <v>49</v>
      </c>
    </row>
    <row r="37" customFormat="false" ht="15" hidden="false" customHeight="false" outlineLevel="0" collapsed="false">
      <c r="B37" s="9" t="s">
        <v>50</v>
      </c>
      <c r="C37" s="10"/>
      <c r="D37" s="11" t="s">
        <v>51</v>
      </c>
    </row>
    <row r="38" customFormat="false" ht="15" hidden="false" customHeight="false" outlineLevel="0" collapsed="false">
      <c r="B38" s="12" t="s">
        <v>52</v>
      </c>
      <c r="D38" s="13" t="s">
        <v>53</v>
      </c>
    </row>
    <row r="39" customFormat="false" ht="15" hidden="false" customHeight="false" outlineLevel="0" collapsed="false">
      <c r="B39" s="9" t="s">
        <v>54</v>
      </c>
      <c r="C39" s="10"/>
      <c r="D39" s="11" t="s">
        <v>55</v>
      </c>
    </row>
    <row r="40" customFormat="false" ht="15" hidden="false" customHeight="false" outlineLevel="0" collapsed="false">
      <c r="B40" s="4" t="s">
        <v>56</v>
      </c>
      <c r="D40" s="6" t="s">
        <v>57</v>
      </c>
    </row>
    <row r="41" customFormat="false" ht="15" hidden="false" customHeight="false" outlineLevel="0" collapsed="false">
      <c r="B41" s="9" t="s">
        <v>58</v>
      </c>
      <c r="C41" s="10"/>
      <c r="D41" s="11" t="s">
        <v>59</v>
      </c>
    </row>
    <row r="42" customFormat="false" ht="15" hidden="false" customHeight="false" outlineLevel="0" collapsed="false">
      <c r="B42" s="12" t="s">
        <v>60</v>
      </c>
      <c r="D42" s="13" t="s">
        <v>61</v>
      </c>
    </row>
    <row r="43" customFormat="false" ht="15" hidden="false" customHeight="false" outlineLevel="0" collapsed="false">
      <c r="B43" s="9" t="s">
        <v>62</v>
      </c>
      <c r="C43" s="10"/>
      <c r="D43" s="11" t="s">
        <v>63</v>
      </c>
    </row>
    <row r="44" customFormat="false" ht="15" hidden="false" customHeight="false" outlineLevel="0" collapsed="false">
      <c r="B44" s="12" t="s">
        <v>64</v>
      </c>
      <c r="D44" s="13" t="s">
        <v>65</v>
      </c>
    </row>
    <row r="45" customFormat="false" ht="15" hidden="false" customHeight="false" outlineLevel="0" collapsed="false">
      <c r="B45" s="4" t="s">
        <v>66</v>
      </c>
      <c r="D45" s="6" t="s">
        <v>67</v>
      </c>
    </row>
    <row r="46" customFormat="false" ht="15" hidden="false" customHeight="false" outlineLevel="0" collapsed="false">
      <c r="B46" s="12" t="s">
        <v>68</v>
      </c>
      <c r="D46" s="13" t="s">
        <v>69</v>
      </c>
    </row>
    <row r="47" customFormat="false" ht="15" hidden="false" customHeight="false" outlineLevel="0" collapsed="false">
      <c r="B47" s="9" t="s">
        <v>70</v>
      </c>
      <c r="C47" s="10"/>
      <c r="D47" s="11" t="s">
        <v>71</v>
      </c>
    </row>
    <row r="48" customFormat="false" ht="15" hidden="false" customHeight="false" outlineLevel="0" collapsed="false">
      <c r="B48" s="12" t="s">
        <v>72</v>
      </c>
      <c r="D48" s="13" t="s">
        <v>73</v>
      </c>
    </row>
    <row r="49" customFormat="false" ht="15" hidden="false" customHeight="false" outlineLevel="0" collapsed="false">
      <c r="B49" s="9" t="s">
        <v>74</v>
      </c>
      <c r="C49" s="10"/>
      <c r="D49" s="11" t="s">
        <v>75</v>
      </c>
    </row>
    <row r="50" customFormat="false" ht="15" hidden="false" customHeight="false" outlineLevel="0" collapsed="false">
      <c r="B50" s="12" t="s">
        <v>76</v>
      </c>
      <c r="D50" s="13" t="s">
        <v>77</v>
      </c>
    </row>
  </sheetData>
  <mergeCells count="6">
    <mergeCell ref="B17:D17"/>
    <mergeCell ref="B18:D18"/>
    <mergeCell ref="B19:D19"/>
    <mergeCell ref="B20:D20"/>
    <mergeCell ref="B21:D21"/>
    <mergeCell ref="B22:D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2" min="2" style="0" width="30"/>
    <col collapsed="false" customWidth="true" hidden="false" outlineLevel="0" max="7" min="3" style="0" width="15"/>
  </cols>
  <sheetData>
    <row r="1" customFormat="false" ht="24.75" hidden="false" customHeight="true" outlineLevel="0" collapsed="false">
      <c r="A1" s="14" t="s">
        <v>78</v>
      </c>
    </row>
    <row r="2" customFormat="false" ht="13.5" hidden="false" customHeight="true" outlineLevel="0" collapsed="false">
      <c r="A2" s="6" t="s">
        <v>79</v>
      </c>
    </row>
    <row r="3" customFormat="false" ht="3.75" hidden="false" customHeight="true" outlineLevel="0" collapsed="false">
      <c r="A3" s="3"/>
      <c r="B3" s="3"/>
      <c r="C3" s="3"/>
      <c r="D3" s="3"/>
      <c r="E3" s="3"/>
      <c r="F3" s="3"/>
      <c r="G3" s="3"/>
      <c r="H3" s="3"/>
      <c r="I3" s="3"/>
    </row>
    <row r="5" customFormat="false" ht="16.5" hidden="false" customHeight="true" outlineLevel="0" collapsed="false">
      <c r="A5" s="15" t="s">
        <v>80</v>
      </c>
      <c r="B5" s="15"/>
      <c r="C5" s="15"/>
      <c r="D5" s="15"/>
      <c r="E5" s="15"/>
      <c r="F5" s="15"/>
      <c r="G5" s="15"/>
      <c r="H5" s="15"/>
      <c r="I5" s="15"/>
    </row>
    <row r="6" customFormat="false" ht="15" hidden="false" customHeight="false" outlineLevel="0" collapsed="false">
      <c r="A6" s="16"/>
      <c r="B6" s="16"/>
      <c r="C6" s="17" t="s">
        <v>81</v>
      </c>
      <c r="D6" s="17" t="s">
        <v>82</v>
      </c>
      <c r="E6" s="17" t="s">
        <v>83</v>
      </c>
      <c r="F6" s="17" t="s">
        <v>84</v>
      </c>
      <c r="G6" s="17" t="s">
        <v>85</v>
      </c>
    </row>
    <row r="7" customFormat="false" ht="15" hidden="false" customHeight="false" outlineLevel="0" collapsed="false">
      <c r="A7" s="18" t="s">
        <v>86</v>
      </c>
      <c r="C7" s="19" t="n">
        <f aca="false">'Financial Indicators'!$C$7</f>
        <v>102742.065586255</v>
      </c>
      <c r="D7" s="19" t="n">
        <f aca="false">'Financial Indicators'!$D$7</f>
        <v>364280.89031635</v>
      </c>
      <c r="E7" s="19" t="n">
        <f aca="false">'Financial Indicators'!$E$7</f>
        <v>752581.26389205</v>
      </c>
      <c r="F7" s="19" t="n">
        <f aca="false">'Financial Indicators'!$F$7</f>
        <v>1316610.92668284</v>
      </c>
      <c r="G7" s="19" t="n">
        <f aca="false">'Financial Indicators'!$G$7</f>
        <v>2001223.1961932</v>
      </c>
    </row>
    <row r="8" customFormat="false" ht="15" hidden="false" customHeight="false" outlineLevel="0" collapsed="false">
      <c r="A8" s="12" t="s">
        <v>87</v>
      </c>
      <c r="C8" s="20" t="n">
        <f aca="false">'Financial Indicators'!$C$20</f>
        <v>59542.6300288428</v>
      </c>
      <c r="D8" s="20" t="n">
        <f aca="false">'Financial Indicators'!$D$20</f>
        <v>225163.513965362</v>
      </c>
      <c r="E8" s="20" t="n">
        <f aca="false">'Financial Indicators'!$E$20</f>
        <v>463503.346230496</v>
      </c>
      <c r="F8" s="20" t="n">
        <f aca="false">'Financial Indicators'!$F$20</f>
        <v>803468.853243025</v>
      </c>
      <c r="G8" s="20" t="n">
        <f aca="false">'Financial Indicators'!$G$20</f>
        <v>1203111.23005978</v>
      </c>
    </row>
    <row r="9" customFormat="false" ht="15" hidden="false" customHeight="false" outlineLevel="0" collapsed="false">
      <c r="A9" s="18" t="s">
        <v>88</v>
      </c>
      <c r="C9" s="19" t="n">
        <f aca="false">'Financial Indicators'!$C$22</f>
        <v>-41857.0919344233</v>
      </c>
      <c r="D9" s="19" t="n">
        <f aca="false">'Financial Indicators'!$D$22</f>
        <v>-18217.1483677056</v>
      </c>
      <c r="E9" s="19" t="n">
        <f aca="false">'Financial Indicators'!$E$22</f>
        <v>22556.741023939</v>
      </c>
      <c r="F9" s="19" t="n">
        <f aca="false">'Financial Indicators'!$F$22</f>
        <v>167340.005119419</v>
      </c>
      <c r="G9" s="19" t="n">
        <f aca="false">'Financial Indicators'!$G$22</f>
        <v>374246.386149982</v>
      </c>
    </row>
    <row r="10" customFormat="false" ht="15" hidden="false" customHeight="false" outlineLevel="0" collapsed="false">
      <c r="A10" s="18" t="s">
        <v>89</v>
      </c>
      <c r="C10" s="19" t="n">
        <f aca="false">'Financial Indicators'!$C$24</f>
        <v>-45079.1752677567</v>
      </c>
      <c r="D10" s="19" t="n">
        <f aca="false">'Financial Indicators'!$D$24</f>
        <v>-22820.2733677056</v>
      </c>
      <c r="E10" s="19" t="n">
        <f aca="false">'Financial Indicators'!$E$24</f>
        <v>15167.7826906056</v>
      </c>
      <c r="F10" s="19" t="n">
        <f aca="false">'Financial Indicators'!$F$24</f>
        <v>134946.899638475</v>
      </c>
      <c r="G10" s="19" t="n">
        <f aca="false">'Financial Indicators'!$G$24</f>
        <v>283263.574266236</v>
      </c>
    </row>
    <row r="11" customFormat="false" ht="15" hidden="false" customHeight="false" outlineLevel="0" collapsed="false">
      <c r="A11" s="18" t="s">
        <v>90</v>
      </c>
      <c r="C11" s="19" t="n">
        <f aca="false">'Financial Indicators'!$C$26</f>
        <v>147821.240854012</v>
      </c>
      <c r="D11" s="19" t="n">
        <f aca="false">'Financial Indicators'!$D$26</f>
        <v>387101.163684055</v>
      </c>
      <c r="E11" s="19" t="n">
        <f aca="false">'Financial Indicators'!$E$26</f>
        <v>737413.481201444</v>
      </c>
      <c r="F11" s="19" t="n">
        <f aca="false">'Financial Indicators'!$F$26</f>
        <v>1157795.08823009</v>
      </c>
      <c r="G11" s="19" t="n">
        <f aca="false">'Financial Indicators'!$G$26</f>
        <v>1635721.81004322</v>
      </c>
    </row>
    <row r="12" customFormat="false" ht="15" hidden="false" customHeight="false" outlineLevel="0" collapsed="false">
      <c r="A12" s="18" t="s">
        <v>91</v>
      </c>
      <c r="C12" s="19" t="n">
        <f aca="false">'Financial Indicators'!$C$41</f>
        <v>126522.049229629</v>
      </c>
      <c r="D12" s="19" t="n">
        <f aca="false">'Financial Indicators'!$D$41</f>
        <v>62207.5733685357</v>
      </c>
      <c r="E12" s="19" t="n">
        <f aca="false">'Financial Indicators'!$E$41</f>
        <v>29736.6080497957</v>
      </c>
      <c r="F12" s="19" t="n">
        <f aca="false">'Financial Indicators'!$F$41</f>
        <v>124384.681530383</v>
      </c>
      <c r="G12" s="19" t="n">
        <f aca="false">'Financial Indicators'!$G$41</f>
        <v>390499.035742713</v>
      </c>
    </row>
    <row r="13" customFormat="false" ht="15" hidden="false" customHeight="false" outlineLevel="0" collapsed="false">
      <c r="A13" s="12" t="s">
        <v>92</v>
      </c>
      <c r="C13" s="20" t="n">
        <f aca="false">'Financial Indicators'!$C$42</f>
        <v>12387.5812171182</v>
      </c>
      <c r="D13" s="20" t="n">
        <f aca="false">'Financial Indicators'!$D$42</f>
        <v>58332.6657026384</v>
      </c>
      <c r="E13" s="20" t="n">
        <f aca="false">'Financial Indicators'!$E$42</f>
        <v>12228.3277557265</v>
      </c>
      <c r="F13" s="20" t="n">
        <f aca="false">'Financial Indicators'!$F$42</f>
        <v>21743.6846350714</v>
      </c>
      <c r="G13" s="20" t="n">
        <f aca="false">'Financial Indicators'!$G$42</f>
        <v>128200.045987988</v>
      </c>
    </row>
    <row r="14" customFormat="false" ht="15" hidden="false" customHeight="false" outlineLevel="0" collapsed="false">
      <c r="A14" s="12" t="s">
        <v>93</v>
      </c>
      <c r="C14" s="21" t="n">
        <f aca="false">'Financial Indicators'!$C$14</f>
        <v>6</v>
      </c>
      <c r="D14" s="21" t="n">
        <f aca="false">'Financial Indicators'!$D$14</f>
        <v>9</v>
      </c>
      <c r="E14" s="21" t="n">
        <f aca="false">'Financial Indicators'!$E$14</f>
        <v>12</v>
      </c>
      <c r="F14" s="21" t="n">
        <f aca="false">'Financial Indicators'!$F$14</f>
        <v>16</v>
      </c>
      <c r="G14" s="21" t="n">
        <f aca="false">'Financial Indicators'!$G$14</f>
        <v>20</v>
      </c>
    </row>
    <row r="15" customFormat="false" ht="15" hidden="false" customHeight="false" outlineLevel="0" collapsed="false">
      <c r="A15" s="12" t="s">
        <v>94</v>
      </c>
      <c r="C15" s="21" t="n">
        <f aca="false">'Financial Indicators'!$C$10</f>
        <v>23.4366579831491</v>
      </c>
      <c r="D15" s="21" t="n">
        <f aca="false">'Financial Indicators'!$D$10</f>
        <v>53.7979870617515</v>
      </c>
      <c r="E15" s="21" t="n">
        <f aca="false">'Financial Indicators'!$E$10</f>
        <v>79.0169186842914</v>
      </c>
      <c r="F15" s="21" t="n">
        <f aca="false">'Financial Indicators'!$F$10</f>
        <v>123.853446520803</v>
      </c>
      <c r="G15" s="21" t="n">
        <f aca="false">'Financial Indicators'!$G$10</f>
        <v>176.780232412679</v>
      </c>
    </row>
    <row r="16" customFormat="false" ht="15" hidden="false" customHeight="false" outlineLevel="0" collapsed="false">
      <c r="A16" s="12" t="s">
        <v>95</v>
      </c>
      <c r="C16" s="21" t="n">
        <f aca="false">'Financial Indicators'!$C$11</f>
        <v>2776.34207665819</v>
      </c>
      <c r="D16" s="21" t="n">
        <f aca="false">'Financial Indicators'!$D$11</f>
        <v>9995.34199672752</v>
      </c>
      <c r="E16" s="21" t="n">
        <f aca="false">'Financial Indicators'!$E$11</f>
        <v>22599.0269573184</v>
      </c>
      <c r="F16" s="21" t="n">
        <f aca="false">'Financial Indicators'!$F$11</f>
        <v>37891.3274342762</v>
      </c>
      <c r="G16" s="21" t="n">
        <f aca="false">'Financial Indicators'!$G$11</f>
        <v>53829.1043964639</v>
      </c>
    </row>
    <row r="17" customFormat="false" ht="15" hidden="false" customHeight="false" outlineLevel="0" collapsed="false">
      <c r="A17" s="12" t="s">
        <v>96</v>
      </c>
      <c r="C17" s="21" t="n">
        <f aca="false">'Financial Indicators'!$C$13</f>
        <v>58.6587385234798</v>
      </c>
      <c r="D17" s="21" t="n">
        <f aca="false">'Financial Indicators'!$D$13</f>
        <v>276.769505839904</v>
      </c>
      <c r="E17" s="21" t="n">
        <f aca="false">'Financial Indicators'!$E$13</f>
        <v>764.292253473293</v>
      </c>
      <c r="F17" s="21" t="n">
        <f aca="false">'Financial Indicators'!$F$13</f>
        <v>1562.66983878534</v>
      </c>
      <c r="G17" s="21" t="n">
        <f aca="false">'Financial Indicators'!$G$13</f>
        <v>2639.77618222463</v>
      </c>
    </row>
    <row r="19" customFormat="false" ht="16.5" hidden="false" customHeight="true" outlineLevel="0" collapsed="false">
      <c r="A19" s="15" t="s">
        <v>97</v>
      </c>
      <c r="B19" s="15"/>
      <c r="C19" s="15"/>
      <c r="D19" s="15"/>
      <c r="E19" s="15"/>
      <c r="F19" s="15"/>
      <c r="G19" s="15"/>
      <c r="H19" s="15"/>
      <c r="I19" s="15"/>
    </row>
    <row r="20" customFormat="false" ht="15" hidden="false" customHeight="false" outlineLevel="0" collapsed="false">
      <c r="A20" s="18" t="s">
        <v>98</v>
      </c>
      <c r="B20" s="22" t="s">
        <v>99</v>
      </c>
      <c r="C20" s="19" t="n">
        <f aca="false">'Financial Indicators'!$C$26</f>
        <v>147821.240854012</v>
      </c>
      <c r="D20" s="19" t="str">
        <f aca="false">""</f>
        <v/>
      </c>
      <c r="E20" s="19" t="str">
        <f aca="false">""</f>
        <v/>
      </c>
      <c r="F20" s="19" t="str">
        <f aca="false">""</f>
        <v/>
      </c>
      <c r="G20" s="19" t="str">
        <f aca="false">""</f>
        <v/>
      </c>
    </row>
    <row r="21" customFormat="false" ht="15" hidden="false" customHeight="false" outlineLevel="0" collapsed="false">
      <c r="A21" s="18" t="s">
        <v>100</v>
      </c>
      <c r="B21" s="22" t="s">
        <v>101</v>
      </c>
      <c r="C21" s="23" t="n">
        <f aca="false">'Balance Sheet'!D$24</f>
        <v>0</v>
      </c>
      <c r="D21" s="23" t="n">
        <f aca="false">'Balance Sheet'!E$24</f>
        <v>0</v>
      </c>
      <c r="E21" s="23" t="n">
        <f aca="false">'Balance Sheet'!F$24</f>
        <v>0</v>
      </c>
      <c r="F21" s="23" t="n">
        <f aca="false">'Balance Sheet'!G$24</f>
        <v>0</v>
      </c>
      <c r="G21" s="23" t="n">
        <f aca="false">'Balance Sheet'!H$24</f>
        <v>0</v>
      </c>
    </row>
    <row r="45" customFormat="false" ht="16.5" hidden="false" customHeight="true" outlineLevel="0" collapsed="false">
      <c r="A45" s="15" t="s">
        <v>102</v>
      </c>
      <c r="B45" s="15"/>
      <c r="C45" s="15"/>
      <c r="D45" s="15"/>
      <c r="E45" s="15"/>
      <c r="F45" s="15"/>
      <c r="G45" s="15"/>
      <c r="H45" s="15"/>
      <c r="I45" s="15"/>
    </row>
    <row r="46" customFormat="false" ht="15" hidden="false" customHeight="false" outlineLevel="0" collapsed="false">
      <c r="A46" s="12" t="s">
        <v>103</v>
      </c>
      <c r="B46" s="22" t="s">
        <v>104</v>
      </c>
      <c r="C46" s="24" t="n">
        <f aca="false">'Assumption Setting'!$C$12</f>
        <v>300</v>
      </c>
    </row>
    <row r="47" customFormat="false" ht="15" hidden="false" customHeight="false" outlineLevel="0" collapsed="false">
      <c r="A47" s="12" t="s">
        <v>105</v>
      </c>
      <c r="B47" s="22" t="s">
        <v>106</v>
      </c>
      <c r="C47" s="24" t="n">
        <f aca="false">'Assumption Setting'!$C$13</f>
        <v>2</v>
      </c>
    </row>
    <row r="48" customFormat="false" ht="15" hidden="false" customHeight="false" outlineLevel="0" collapsed="false">
      <c r="A48" s="12" t="s">
        <v>107</v>
      </c>
      <c r="B48" s="22" t="s">
        <v>108</v>
      </c>
      <c r="C48" s="24" t="n">
        <f aca="false">'Assumption Setting'!$C$14</f>
        <v>100</v>
      </c>
    </row>
    <row r="49" customFormat="false" ht="15" hidden="false" customHeight="false" outlineLevel="0" collapsed="false">
      <c r="A49" s="12" t="s">
        <v>109</v>
      </c>
      <c r="B49" s="22" t="s">
        <v>110</v>
      </c>
      <c r="C49" s="25" t="n">
        <f aca="false">'Assumption Setting'!$C$15</f>
        <v>100000</v>
      </c>
    </row>
    <row r="50" customFormat="false" ht="15" hidden="false" customHeight="false" outlineLevel="0" collapsed="false">
      <c r="A50" s="12" t="s">
        <v>111</v>
      </c>
      <c r="B50" s="22" t="s">
        <v>112</v>
      </c>
      <c r="C50" s="24" t="n">
        <f aca="false">'Assumption Setting'!$C$16</f>
        <v>5</v>
      </c>
    </row>
    <row r="51" customFormat="false" ht="15" hidden="false" customHeight="false" outlineLevel="0" collapsed="false">
      <c r="A51" s="12" t="s">
        <v>113</v>
      </c>
      <c r="B51" s="22" t="s">
        <v>114</v>
      </c>
      <c r="C51" s="24" t="n">
        <f aca="false">'Assumption Setting'!$C$17</f>
        <v>1</v>
      </c>
    </row>
    <row r="52" customFormat="false" ht="15" hidden="false" customHeight="false" outlineLevel="0" collapsed="false">
      <c r="A52" s="12" t="s">
        <v>115</v>
      </c>
      <c r="B52" s="22" t="s">
        <v>116</v>
      </c>
      <c r="C52" s="25" t="n">
        <f aca="false">'Assumption Setting'!$C$18</f>
        <v>50000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62"/>
    <col collapsed="false" customWidth="true" hidden="false" outlineLevel="0" max="4" min="4" style="0" width="22"/>
    <col collapsed="false" customWidth="true" hidden="false" outlineLevel="0" max="5" min="5" style="0" width="26"/>
  </cols>
  <sheetData>
    <row r="1" customFormat="false" ht="24.75" hidden="false" customHeight="true" outlineLevel="0" collapsed="false">
      <c r="A1" s="14" t="s">
        <v>117</v>
      </c>
    </row>
    <row r="2" customFormat="false" ht="13.5" hidden="false" customHeight="true" outlineLevel="0" collapsed="false">
      <c r="A2" s="6" t="s">
        <v>118</v>
      </c>
    </row>
    <row r="3" customFormat="false" ht="3.75" hidden="false" customHeight="true" outlineLevel="0" collapsed="false">
      <c r="A3" s="3"/>
      <c r="B3" s="3"/>
      <c r="C3" s="3"/>
      <c r="D3" s="3"/>
      <c r="E3" s="3"/>
      <c r="F3" s="3"/>
    </row>
    <row r="5" customFormat="false" ht="16.5" hidden="false" customHeight="true" outlineLevel="0" collapsed="false">
      <c r="A5" s="15" t="s">
        <v>119</v>
      </c>
      <c r="B5" s="15"/>
      <c r="C5" s="15"/>
      <c r="D5" s="15"/>
      <c r="E5" s="15"/>
      <c r="F5" s="15"/>
    </row>
    <row r="6" customFormat="false" ht="15" hidden="false" customHeight="false" outlineLevel="0" collapsed="false">
      <c r="A6" s="26" t="s">
        <v>120</v>
      </c>
      <c r="B6" s="26" t="s">
        <v>121</v>
      </c>
      <c r="C6" s="26" t="s">
        <v>122</v>
      </c>
      <c r="D6" s="26" t="s">
        <v>123</v>
      </c>
    </row>
    <row r="7" customFormat="false" ht="15" hidden="false" customHeight="false" outlineLevel="0" collapsed="false">
      <c r="A7" s="18" t="s">
        <v>124</v>
      </c>
      <c r="B7" s="27" t="s">
        <v>125</v>
      </c>
      <c r="C7" s="13" t="s">
        <v>126</v>
      </c>
      <c r="D7" s="24" t="n">
        <v>3</v>
      </c>
    </row>
    <row r="8" customFormat="false" ht="15" hidden="false" customHeight="false" outlineLevel="0" collapsed="false">
      <c r="A8" s="18" t="s">
        <v>127</v>
      </c>
      <c r="B8" s="27" t="s">
        <v>125</v>
      </c>
      <c r="C8" s="13" t="s">
        <v>128</v>
      </c>
      <c r="D8" s="24" t="n">
        <v>3</v>
      </c>
    </row>
    <row r="9" customFormat="false" ht="15" hidden="false" customHeight="false" outlineLevel="0" collapsed="false">
      <c r="A9" s="18" t="s">
        <v>129</v>
      </c>
      <c r="B9" s="27" t="s">
        <v>125</v>
      </c>
      <c r="C9" s="13" t="s">
        <v>130</v>
      </c>
      <c r="D9" s="24" t="n">
        <v>2</v>
      </c>
    </row>
    <row r="10" customFormat="false" ht="15" hidden="false" customHeight="false" outlineLevel="0" collapsed="false">
      <c r="A10" s="18" t="s">
        <v>131</v>
      </c>
      <c r="B10" s="27" t="s">
        <v>125</v>
      </c>
      <c r="C10" s="13" t="s">
        <v>132</v>
      </c>
      <c r="D10" s="24" t="n">
        <v>2</v>
      </c>
    </row>
    <row r="11" customFormat="false" ht="15" hidden="false" customHeight="false" outlineLevel="0" collapsed="false">
      <c r="A11" s="18" t="s">
        <v>133</v>
      </c>
      <c r="B11" s="27" t="s">
        <v>125</v>
      </c>
      <c r="C11" s="13" t="s">
        <v>134</v>
      </c>
      <c r="D11" s="24" t="n">
        <v>2</v>
      </c>
    </row>
    <row r="12" customFormat="false" ht="15" hidden="false" customHeight="false" outlineLevel="0" collapsed="false">
      <c r="A12" s="18" t="s">
        <v>135</v>
      </c>
      <c r="B12" s="27" t="s">
        <v>136</v>
      </c>
      <c r="C12" s="13" t="s">
        <v>137</v>
      </c>
      <c r="D12" s="24" t="n">
        <v>0</v>
      </c>
    </row>
    <row r="14" customFormat="false" ht="16.5" hidden="false" customHeight="true" outlineLevel="0" collapsed="false">
      <c r="A14" s="15" t="s">
        <v>138</v>
      </c>
      <c r="B14" s="15"/>
      <c r="C14" s="15"/>
      <c r="D14" s="15"/>
      <c r="E14" s="15"/>
      <c r="F14" s="15"/>
    </row>
    <row r="15" customFormat="false" ht="15" hidden="false" customHeight="false" outlineLevel="0" collapsed="false">
      <c r="A15" s="26" t="s">
        <v>139</v>
      </c>
      <c r="B15" s="26" t="s">
        <v>140</v>
      </c>
      <c r="C15" s="26" t="s">
        <v>141</v>
      </c>
      <c r="D15" s="26" t="s">
        <v>142</v>
      </c>
      <c r="E15" s="26" t="s">
        <v>143</v>
      </c>
    </row>
    <row r="16" customFormat="false" ht="30" hidden="false" customHeight="true" outlineLevel="0" collapsed="false">
      <c r="A16" s="28" t="s">
        <v>144</v>
      </c>
      <c r="B16" s="29" t="s">
        <v>145</v>
      </c>
      <c r="C16" s="29" t="s">
        <v>146</v>
      </c>
      <c r="D16" s="29" t="s">
        <v>147</v>
      </c>
      <c r="E16" s="29" t="s">
        <v>148</v>
      </c>
    </row>
    <row r="17" customFormat="false" ht="30" hidden="false" customHeight="true" outlineLevel="0" collapsed="false">
      <c r="A17" s="30" t="s">
        <v>149</v>
      </c>
      <c r="B17" s="31" t="s">
        <v>145</v>
      </c>
      <c r="C17" s="31" t="s">
        <v>150</v>
      </c>
      <c r="D17" s="31" t="s">
        <v>151</v>
      </c>
      <c r="E17" s="31" t="s">
        <v>152</v>
      </c>
    </row>
    <row r="18" customFormat="false" ht="30" hidden="false" customHeight="true" outlineLevel="0" collapsed="false">
      <c r="A18" s="28" t="s">
        <v>153</v>
      </c>
      <c r="B18" s="29" t="s">
        <v>145</v>
      </c>
      <c r="C18" s="29" t="s">
        <v>154</v>
      </c>
      <c r="D18" s="29" t="s">
        <v>155</v>
      </c>
      <c r="E18" s="29" t="s">
        <v>156</v>
      </c>
    </row>
    <row r="19" customFormat="false" ht="30" hidden="false" customHeight="true" outlineLevel="0" collapsed="false">
      <c r="A19" s="30" t="s">
        <v>157</v>
      </c>
      <c r="B19" s="31" t="s">
        <v>145</v>
      </c>
      <c r="C19" s="31" t="s">
        <v>158</v>
      </c>
      <c r="D19" s="31" t="s">
        <v>159</v>
      </c>
      <c r="E19" s="31" t="s">
        <v>160</v>
      </c>
    </row>
    <row r="20" customFormat="false" ht="30" hidden="false" customHeight="true" outlineLevel="0" collapsed="false">
      <c r="A20" s="28" t="s">
        <v>161</v>
      </c>
      <c r="B20" s="29" t="s">
        <v>162</v>
      </c>
      <c r="C20" s="29" t="s">
        <v>163</v>
      </c>
      <c r="D20" s="29" t="s">
        <v>164</v>
      </c>
      <c r="E20" s="29" t="s">
        <v>165</v>
      </c>
    </row>
    <row r="21" customFormat="false" ht="30" hidden="false" customHeight="true" outlineLevel="0" collapsed="false">
      <c r="A21" s="30" t="s">
        <v>166</v>
      </c>
      <c r="B21" s="31" t="s">
        <v>145</v>
      </c>
      <c r="C21" s="31" t="s">
        <v>167</v>
      </c>
      <c r="D21" s="31" t="s">
        <v>168</v>
      </c>
      <c r="E21" s="31" t="s">
        <v>169</v>
      </c>
    </row>
    <row r="22" customFormat="false" ht="30" hidden="false" customHeight="true" outlineLevel="0" collapsed="false">
      <c r="A22" s="28" t="s">
        <v>170</v>
      </c>
      <c r="B22" s="29" t="s">
        <v>145</v>
      </c>
      <c r="C22" s="29" t="s">
        <v>171</v>
      </c>
      <c r="D22" s="29" t="s">
        <v>172</v>
      </c>
      <c r="E22" s="29" t="s">
        <v>173</v>
      </c>
    </row>
    <row r="23" customFormat="false" ht="30" hidden="false" customHeight="true" outlineLevel="0" collapsed="false">
      <c r="A23" s="30" t="s">
        <v>174</v>
      </c>
      <c r="B23" s="31" t="s">
        <v>145</v>
      </c>
      <c r="C23" s="31" t="s">
        <v>175</v>
      </c>
      <c r="D23" s="31" t="s">
        <v>172</v>
      </c>
      <c r="E23" s="31" t="s">
        <v>176</v>
      </c>
    </row>
    <row r="24" customFormat="false" ht="30" hidden="false" customHeight="true" outlineLevel="0" collapsed="false">
      <c r="A24" s="28" t="s">
        <v>177</v>
      </c>
      <c r="B24" s="29" t="s">
        <v>178</v>
      </c>
      <c r="C24" s="29" t="s">
        <v>179</v>
      </c>
      <c r="D24" s="29" t="s">
        <v>180</v>
      </c>
      <c r="E24" s="29" t="s">
        <v>181</v>
      </c>
    </row>
    <row r="25" customFormat="false" ht="30" hidden="false" customHeight="true" outlineLevel="0" collapsed="false">
      <c r="A25" s="30" t="s">
        <v>182</v>
      </c>
      <c r="B25" s="31" t="s">
        <v>178</v>
      </c>
      <c r="C25" s="31" t="s">
        <v>183</v>
      </c>
      <c r="D25" s="31" t="s">
        <v>172</v>
      </c>
      <c r="E25" s="31" t="s">
        <v>184</v>
      </c>
    </row>
    <row r="26" customFormat="false" ht="30" hidden="false" customHeight="true" outlineLevel="0" collapsed="false">
      <c r="A26" s="28" t="s">
        <v>185</v>
      </c>
      <c r="B26" s="29" t="s">
        <v>178</v>
      </c>
      <c r="C26" s="29" t="s">
        <v>186</v>
      </c>
      <c r="D26" s="29" t="s">
        <v>187</v>
      </c>
      <c r="E26" s="29" t="s">
        <v>188</v>
      </c>
    </row>
    <row r="27" customFormat="false" ht="30" hidden="false" customHeight="true" outlineLevel="0" collapsed="false">
      <c r="A27" s="30" t="s">
        <v>189</v>
      </c>
      <c r="B27" s="31" t="s">
        <v>178</v>
      </c>
      <c r="C27" s="31" t="s">
        <v>190</v>
      </c>
      <c r="D27" s="31" t="s">
        <v>151</v>
      </c>
      <c r="E27" s="31" t="s">
        <v>191</v>
      </c>
    </row>
    <row r="29" customFormat="false" ht="15" hidden="false" customHeight="false" outlineLevel="0" collapsed="false">
      <c r="A29" s="32" t="s">
        <v>192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32</v>
      </c>
    </row>
    <row r="3" customFormat="false" ht="15" hidden="false" customHeight="false" outlineLevel="0" collapsed="false">
      <c r="B3" s="3"/>
      <c r="C3" s="3"/>
    </row>
    <row r="5" customFormat="false" ht="30" hidden="false" customHeight="true" outlineLevel="0" collapsed="false">
      <c r="B5" s="35" t="s">
        <v>193</v>
      </c>
      <c r="C5" s="36" t="s">
        <v>35</v>
      </c>
    </row>
    <row r="6" customFormat="false" ht="30" hidden="false" customHeight="true" outlineLevel="0" collapsed="false">
      <c r="B6" s="35" t="s">
        <v>194</v>
      </c>
      <c r="C6" s="36" t="s">
        <v>37</v>
      </c>
    </row>
    <row r="7" customFormat="false" ht="30" hidden="false" customHeight="true" outlineLevel="0" collapsed="false">
      <c r="B7" s="35" t="s">
        <v>195</v>
      </c>
      <c r="C7" s="36"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4"/>
    <col collapsed="false" customWidth="true" hidden="false" outlineLevel="0" max="23" min="2" style="0" width="11"/>
    <col collapsed="false" customWidth="true" hidden="false" outlineLevel="0" max="24" min="24" style="0" width="58"/>
    <col collapsed="false" customWidth="true" hidden="false" outlineLevel="0" max="25" min="25" style="0" width="46"/>
  </cols>
  <sheetData>
    <row r="1" customFormat="false" ht="24.75" hidden="false" customHeight="true" outlineLevel="0" collapsed="false">
      <c r="A1" s="14" t="s">
        <v>193</v>
      </c>
    </row>
    <row r="2" customFormat="false" ht="13.5" hidden="false" customHeight="true" outlineLevel="0" collapsed="false">
      <c r="A2" s="6" t="s">
        <v>196</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row>
    <row r="5" customFormat="false" ht="16.5" hidden="false" customHeight="true" outlineLevel="0" collapsed="false">
      <c r="A5" s="15" t="s">
        <v>197</v>
      </c>
      <c r="B5" s="15"/>
      <c r="C5" s="15"/>
      <c r="D5" s="15"/>
      <c r="E5" s="15"/>
      <c r="F5" s="15"/>
      <c r="G5" s="15"/>
      <c r="H5" s="15"/>
      <c r="I5" s="15"/>
      <c r="J5" s="15"/>
      <c r="K5" s="15"/>
      <c r="L5" s="15"/>
      <c r="M5" s="15"/>
      <c r="N5" s="15"/>
      <c r="O5" s="15"/>
      <c r="P5" s="15"/>
      <c r="Q5" s="15"/>
      <c r="R5" s="15"/>
      <c r="S5" s="15"/>
      <c r="T5" s="15"/>
      <c r="U5" s="15"/>
      <c r="V5" s="15"/>
      <c r="W5" s="15"/>
      <c r="X5" s="15"/>
      <c r="Y5" s="15"/>
    </row>
    <row r="6" customFormat="false" ht="15" hidden="false" customHeight="false" outlineLevel="0" collapsed="false">
      <c r="A6" s="12" t="s">
        <v>198</v>
      </c>
      <c r="B6" s="37"/>
      <c r="C6" s="38" t="s">
        <v>9</v>
      </c>
    </row>
    <row r="7" customFormat="false" ht="15" hidden="false" customHeight="false" outlineLevel="0" collapsed="false">
      <c r="A7" s="12" t="s">
        <v>199</v>
      </c>
      <c r="B7" s="37"/>
      <c r="C7" s="39" t="n">
        <v>46296</v>
      </c>
      <c r="X7" s="40" t="s">
        <v>200</v>
      </c>
    </row>
    <row r="8" customFormat="false" ht="15" hidden="false" customHeight="false" outlineLevel="0" collapsed="false">
      <c r="A8" s="12" t="s">
        <v>201</v>
      </c>
      <c r="B8" s="37" t="s">
        <v>202</v>
      </c>
      <c r="C8" s="41" t="n">
        <v>48.5</v>
      </c>
      <c r="X8" s="40" t="s">
        <v>203</v>
      </c>
    </row>
    <row r="10" customFormat="false" ht="16.5" hidden="false" customHeight="true" outlineLevel="0" collapsed="false">
      <c r="A10" s="15" t="s">
        <v>204</v>
      </c>
      <c r="B10" s="15"/>
      <c r="C10" s="15"/>
      <c r="D10" s="15"/>
      <c r="E10" s="15"/>
      <c r="F10" s="15"/>
      <c r="G10" s="15"/>
      <c r="H10" s="15"/>
      <c r="I10" s="15"/>
      <c r="J10" s="15"/>
      <c r="K10" s="15"/>
      <c r="L10" s="15"/>
      <c r="M10" s="15"/>
      <c r="N10" s="15"/>
      <c r="O10" s="15"/>
      <c r="P10" s="15"/>
      <c r="Q10" s="15"/>
      <c r="R10" s="15"/>
      <c r="S10" s="15"/>
      <c r="T10" s="15"/>
      <c r="U10" s="15"/>
      <c r="V10" s="15"/>
      <c r="W10" s="15"/>
      <c r="X10" s="15"/>
      <c r="Y10" s="15"/>
    </row>
    <row r="11" customFormat="false" ht="15" hidden="false" customHeight="false" outlineLevel="0" collapsed="false">
      <c r="A11" s="42" t="s">
        <v>205</v>
      </c>
      <c r="B11" s="42"/>
      <c r="C11" s="42"/>
      <c r="D11" s="42"/>
      <c r="E11" s="42"/>
      <c r="F11" s="42"/>
      <c r="G11" s="42"/>
      <c r="H11" s="42"/>
      <c r="I11" s="42"/>
      <c r="J11" s="42"/>
      <c r="K11" s="42"/>
      <c r="L11" s="42"/>
      <c r="M11" s="42"/>
      <c r="N11" s="42"/>
      <c r="O11" s="42"/>
      <c r="P11" s="42"/>
    </row>
    <row r="12" customFormat="false" ht="15" hidden="false" customHeight="false" outlineLevel="0" collapsed="false">
      <c r="A12" s="12" t="s">
        <v>103</v>
      </c>
      <c r="B12" s="37" t="s">
        <v>206</v>
      </c>
      <c r="C12" s="43" t="n">
        <v>300</v>
      </c>
      <c r="X12" s="40" t="s">
        <v>104</v>
      </c>
    </row>
    <row r="13" customFormat="false" ht="15" hidden="false" customHeight="false" outlineLevel="0" collapsed="false">
      <c r="A13" s="12" t="s">
        <v>105</v>
      </c>
      <c r="B13" s="37" t="s">
        <v>206</v>
      </c>
      <c r="C13" s="43" t="n">
        <v>2</v>
      </c>
      <c r="X13" s="40" t="s">
        <v>106</v>
      </c>
    </row>
    <row r="14" customFormat="false" ht="15" hidden="false" customHeight="false" outlineLevel="0" collapsed="false">
      <c r="A14" s="12" t="s">
        <v>107</v>
      </c>
      <c r="B14" s="37" t="s">
        <v>206</v>
      </c>
      <c r="C14" s="43" t="n">
        <v>100</v>
      </c>
      <c r="X14" s="40" t="s">
        <v>108</v>
      </c>
    </row>
    <row r="15" customFormat="false" ht="15" hidden="false" customHeight="false" outlineLevel="0" collapsed="false">
      <c r="A15" s="12" t="s">
        <v>109</v>
      </c>
      <c r="B15" s="37" t="s">
        <v>202</v>
      </c>
      <c r="C15" s="44" t="n">
        <v>100000</v>
      </c>
      <c r="X15" s="40" t="s">
        <v>110</v>
      </c>
    </row>
    <row r="16" customFormat="false" ht="15" hidden="false" customHeight="false" outlineLevel="0" collapsed="false">
      <c r="A16" s="12" t="s">
        <v>111</v>
      </c>
      <c r="B16" s="37" t="s">
        <v>206</v>
      </c>
      <c r="C16" s="43" t="n">
        <v>5</v>
      </c>
      <c r="X16" s="40" t="s">
        <v>112</v>
      </c>
    </row>
    <row r="17" customFormat="false" ht="15" hidden="false" customHeight="false" outlineLevel="0" collapsed="false">
      <c r="A17" s="12" t="s">
        <v>113</v>
      </c>
      <c r="B17" s="37" t="s">
        <v>206</v>
      </c>
      <c r="C17" s="43" t="n">
        <v>1</v>
      </c>
      <c r="X17" s="40" t="s">
        <v>114</v>
      </c>
    </row>
    <row r="18" customFormat="false" ht="15" hidden="false" customHeight="false" outlineLevel="0" collapsed="false">
      <c r="A18" s="12" t="s">
        <v>115</v>
      </c>
      <c r="B18" s="37" t="s">
        <v>9</v>
      </c>
      <c r="C18" s="44" t="n">
        <v>50000</v>
      </c>
      <c r="X18" s="40" t="s">
        <v>116</v>
      </c>
    </row>
    <row r="19" customFormat="false" ht="15" hidden="false" customHeight="false" outlineLevel="0" collapsed="false">
      <c r="A19" s="12" t="s">
        <v>207</v>
      </c>
      <c r="B19" s="37" t="s">
        <v>9</v>
      </c>
      <c r="C19" s="19" t="n">
        <f aca="false">'Assumption Setting'!$C$15/'Assumption Setting'!$C$8</f>
        <v>2061.85567010309</v>
      </c>
    </row>
    <row r="21" customFormat="false" ht="15" hidden="false" customHeight="false" outlineLevel="0" collapsed="false">
      <c r="A21" s="18" t="s">
        <v>208</v>
      </c>
    </row>
    <row r="22" customFormat="false" ht="15" hidden="false" customHeight="false" outlineLevel="0" collapsed="false">
      <c r="A22" s="45" t="s">
        <v>120</v>
      </c>
      <c r="C22" s="45" t="s">
        <v>121</v>
      </c>
      <c r="D22" s="45" t="s">
        <v>122</v>
      </c>
    </row>
    <row r="23" customFormat="false" ht="15" hidden="false" customHeight="false" outlineLevel="0" collapsed="false">
      <c r="A23" s="46" t="s">
        <v>124</v>
      </c>
      <c r="C23" s="27" t="s">
        <v>125</v>
      </c>
      <c r="D23" s="47" t="s">
        <v>126</v>
      </c>
    </row>
    <row r="24" customFormat="false" ht="15" hidden="false" customHeight="false" outlineLevel="0" collapsed="false">
      <c r="A24" s="46" t="s">
        <v>127</v>
      </c>
      <c r="C24" s="27" t="s">
        <v>125</v>
      </c>
      <c r="D24" s="47" t="s">
        <v>128</v>
      </c>
    </row>
    <row r="25" customFormat="false" ht="15" hidden="false" customHeight="false" outlineLevel="0" collapsed="false">
      <c r="A25" s="46" t="s">
        <v>129</v>
      </c>
      <c r="C25" s="27" t="s">
        <v>125</v>
      </c>
      <c r="D25" s="47" t="s">
        <v>130</v>
      </c>
    </row>
    <row r="26" customFormat="false" ht="15" hidden="false" customHeight="false" outlineLevel="0" collapsed="false">
      <c r="A26" s="46" t="s">
        <v>131</v>
      </c>
      <c r="C26" s="27" t="s">
        <v>125</v>
      </c>
      <c r="D26" s="47" t="s">
        <v>132</v>
      </c>
    </row>
    <row r="27" customFormat="false" ht="15" hidden="false" customHeight="false" outlineLevel="0" collapsed="false">
      <c r="A27" s="46" t="s">
        <v>133</v>
      </c>
      <c r="C27" s="27" t="s">
        <v>125</v>
      </c>
      <c r="D27" s="47" t="s">
        <v>134</v>
      </c>
    </row>
    <row r="28" customFormat="false" ht="15" hidden="false" customHeight="false" outlineLevel="0" collapsed="false">
      <c r="A28" s="46" t="s">
        <v>135</v>
      </c>
      <c r="C28" s="27" t="s">
        <v>136</v>
      </c>
      <c r="D28" s="47" t="s">
        <v>137</v>
      </c>
    </row>
    <row r="30" customFormat="false" ht="17.9" hidden="false" customHeight="false" outlineLevel="0" collapsed="false">
      <c r="A30" s="18" t="s">
        <v>209</v>
      </c>
      <c r="X30" s="40" t="s">
        <v>210</v>
      </c>
    </row>
    <row r="31" customFormat="false" ht="27.75" hidden="false" customHeight="true" outlineLevel="0" collapsed="false">
      <c r="A31" s="26" t="s">
        <v>211</v>
      </c>
      <c r="B31" s="26"/>
      <c r="C31" s="48" t="s">
        <v>212</v>
      </c>
    </row>
    <row r="32" customFormat="false" ht="15" hidden="false" customHeight="false" outlineLevel="0" collapsed="false">
      <c r="A32" s="49" t="s">
        <v>213</v>
      </c>
      <c r="C32" s="43" t="n">
        <v>5</v>
      </c>
      <c r="X32" s="40" t="s">
        <v>214</v>
      </c>
    </row>
    <row r="33" customFormat="false" ht="15" hidden="false" customHeight="false" outlineLevel="0" collapsed="false">
      <c r="A33" s="49" t="s">
        <v>215</v>
      </c>
      <c r="C33" s="43" t="n">
        <v>1</v>
      </c>
      <c r="X33" s="40" t="s">
        <v>216</v>
      </c>
    </row>
    <row r="34" customFormat="false" ht="15" hidden="false" customHeight="false" outlineLevel="0" collapsed="false">
      <c r="A34" s="49" t="s">
        <v>217</v>
      </c>
      <c r="C34" s="50" t="n">
        <v>0.5</v>
      </c>
    </row>
    <row r="35" customFormat="false" ht="15" hidden="false" customHeight="false" outlineLevel="0" collapsed="false">
      <c r="A35" s="49" t="s">
        <v>218</v>
      </c>
      <c r="C35" s="50" t="n">
        <v>0.3</v>
      </c>
    </row>
    <row r="36" customFormat="false" ht="15" hidden="false" customHeight="false" outlineLevel="0" collapsed="false">
      <c r="A36" s="49" t="s">
        <v>219</v>
      </c>
      <c r="C36" s="50" t="n">
        <v>0.2</v>
      </c>
    </row>
    <row r="38" customFormat="false" ht="16.5" hidden="false" customHeight="true" outlineLevel="0" collapsed="false">
      <c r="A38" s="15" t="s">
        <v>220</v>
      </c>
      <c r="B38" s="15"/>
      <c r="C38" s="15"/>
      <c r="D38" s="15"/>
      <c r="E38" s="15"/>
      <c r="F38" s="15"/>
      <c r="G38" s="15"/>
      <c r="H38" s="15"/>
      <c r="I38" s="15"/>
      <c r="J38" s="15"/>
      <c r="K38" s="15"/>
      <c r="L38" s="15"/>
      <c r="M38" s="15"/>
      <c r="N38" s="15"/>
      <c r="O38" s="15"/>
      <c r="P38" s="15"/>
      <c r="Q38" s="15"/>
      <c r="R38" s="15"/>
      <c r="S38" s="15"/>
      <c r="T38" s="15"/>
      <c r="U38" s="15"/>
      <c r="V38" s="15"/>
      <c r="W38" s="15"/>
      <c r="X38" s="15"/>
      <c r="Y38" s="15"/>
    </row>
    <row r="39" customFormat="false" ht="15" hidden="false" customHeight="false" outlineLevel="0" collapsed="false">
      <c r="A39" s="42" t="s">
        <v>221</v>
      </c>
      <c r="B39" s="42"/>
      <c r="C39" s="42"/>
      <c r="D39" s="42"/>
      <c r="E39" s="42"/>
      <c r="F39" s="42"/>
      <c r="G39" s="42"/>
      <c r="H39" s="42"/>
      <c r="I39" s="42"/>
      <c r="J39" s="42"/>
      <c r="K39" s="42"/>
      <c r="L39" s="42"/>
      <c r="M39" s="42"/>
      <c r="N39" s="42"/>
      <c r="O39" s="42"/>
      <c r="P39" s="42"/>
    </row>
    <row r="40" customFormat="false" ht="27.75" hidden="false" customHeight="true" outlineLevel="0" collapsed="false">
      <c r="A40" s="26" t="s">
        <v>222</v>
      </c>
      <c r="B40" s="26"/>
      <c r="C40" s="48" t="s">
        <v>223</v>
      </c>
      <c r="D40" s="48" t="s">
        <v>224</v>
      </c>
      <c r="E40" s="48" t="s">
        <v>225</v>
      </c>
      <c r="F40" s="48" t="s">
        <v>226</v>
      </c>
      <c r="G40" s="48" t="s">
        <v>227</v>
      </c>
      <c r="H40" s="48" t="s">
        <v>228</v>
      </c>
      <c r="I40" s="48" t="s">
        <v>229</v>
      </c>
      <c r="J40" s="48" t="s">
        <v>230</v>
      </c>
      <c r="K40" s="48" t="s">
        <v>231</v>
      </c>
    </row>
    <row r="41" customFormat="false" ht="15" hidden="false" customHeight="false" outlineLevel="0" collapsed="false">
      <c r="A41" s="49" t="s">
        <v>232</v>
      </c>
      <c r="B41" s="37" t="s">
        <v>9</v>
      </c>
      <c r="C41" s="44" t="n">
        <v>100</v>
      </c>
      <c r="D41" s="44" t="n">
        <v>300</v>
      </c>
      <c r="E41" s="44" t="n">
        <v>600</v>
      </c>
      <c r="F41" s="44" t="n">
        <v>900</v>
      </c>
      <c r="G41" s="44" t="n">
        <v>1200</v>
      </c>
      <c r="H41" s="51" t="n">
        <v>0.1</v>
      </c>
      <c r="I41" s="50" t="n">
        <v>0.18</v>
      </c>
      <c r="J41" s="50" t="n">
        <v>0.05</v>
      </c>
      <c r="K41" s="52" t="n">
        <v>0.015</v>
      </c>
    </row>
    <row r="42" customFormat="false" ht="15" hidden="false" customHeight="false" outlineLevel="0" collapsed="false">
      <c r="A42" s="49" t="s">
        <v>233</v>
      </c>
      <c r="B42" s="37" t="s">
        <v>9</v>
      </c>
      <c r="C42" s="44" t="n">
        <v>80</v>
      </c>
      <c r="D42" s="44" t="n">
        <v>250</v>
      </c>
      <c r="E42" s="44" t="n">
        <v>550</v>
      </c>
      <c r="F42" s="44" t="n">
        <v>850</v>
      </c>
      <c r="G42" s="44" t="n">
        <v>1100</v>
      </c>
      <c r="H42" s="51" t="n">
        <v>0.18</v>
      </c>
      <c r="I42" s="50" t="n">
        <v>0.08</v>
      </c>
      <c r="J42" s="50" t="n">
        <v>0.03</v>
      </c>
      <c r="K42" s="52" t="n">
        <v>0.02</v>
      </c>
    </row>
    <row r="43" customFormat="false" ht="15" hidden="false" customHeight="false" outlineLevel="0" collapsed="false">
      <c r="A43" s="49" t="s">
        <v>234</v>
      </c>
      <c r="B43" s="37" t="s">
        <v>9</v>
      </c>
      <c r="C43" s="44" t="n">
        <v>50</v>
      </c>
      <c r="D43" s="44" t="n">
        <v>200</v>
      </c>
      <c r="E43" s="44" t="n">
        <v>400</v>
      </c>
      <c r="F43" s="44" t="n">
        <v>650</v>
      </c>
      <c r="G43" s="44" t="n">
        <v>900</v>
      </c>
      <c r="H43" s="51" t="n">
        <v>0.14</v>
      </c>
      <c r="I43" s="50" t="n">
        <v>0.12</v>
      </c>
      <c r="J43" s="50" t="n">
        <v>0.06</v>
      </c>
      <c r="K43" s="52" t="n">
        <v>0.018</v>
      </c>
    </row>
    <row r="44" customFormat="false" ht="15" hidden="false" customHeight="false" outlineLevel="0" collapsed="false">
      <c r="A44" s="49" t="s">
        <v>235</v>
      </c>
      <c r="B44" s="37" t="s">
        <v>9</v>
      </c>
      <c r="C44" s="44" t="n">
        <v>40</v>
      </c>
      <c r="D44" s="44" t="n">
        <v>180</v>
      </c>
      <c r="E44" s="44" t="n">
        <v>350</v>
      </c>
      <c r="F44" s="44" t="n">
        <v>550</v>
      </c>
      <c r="G44" s="44" t="n">
        <v>750</v>
      </c>
      <c r="H44" s="51" t="n">
        <v>0.26</v>
      </c>
      <c r="I44" s="50" t="n">
        <v>0.2</v>
      </c>
      <c r="J44" s="50" t="n">
        <v>0.08</v>
      </c>
      <c r="K44" s="52" t="n">
        <v>0.028</v>
      </c>
    </row>
    <row r="45" customFormat="false" ht="15" hidden="false" customHeight="false" outlineLevel="0" collapsed="false">
      <c r="A45" s="49" t="s">
        <v>236</v>
      </c>
      <c r="B45" s="37" t="s">
        <v>9</v>
      </c>
      <c r="C45" s="44" t="n">
        <v>30</v>
      </c>
      <c r="D45" s="44" t="n">
        <v>100</v>
      </c>
      <c r="E45" s="44" t="n">
        <v>200</v>
      </c>
      <c r="F45" s="44" t="n">
        <v>300</v>
      </c>
      <c r="G45" s="44" t="n">
        <v>400</v>
      </c>
      <c r="H45" s="51" t="n">
        <v>0.55</v>
      </c>
      <c r="I45" s="50" t="n">
        <v>0.06</v>
      </c>
      <c r="J45" s="50" t="n">
        <v>0.1</v>
      </c>
      <c r="K45" s="52" t="n">
        <v>0.14</v>
      </c>
    </row>
    <row r="46" customFormat="false" ht="15" hidden="false" customHeight="false" outlineLevel="0" collapsed="false">
      <c r="A46" s="49" t="s">
        <v>237</v>
      </c>
      <c r="B46" s="37" t="s">
        <v>9</v>
      </c>
      <c r="C46" s="44" t="n">
        <v>40</v>
      </c>
      <c r="D46" s="44" t="n">
        <v>150</v>
      </c>
      <c r="E46" s="44" t="n">
        <v>300</v>
      </c>
      <c r="F46" s="44" t="n">
        <v>450</v>
      </c>
      <c r="G46" s="44" t="n">
        <v>600</v>
      </c>
      <c r="H46" s="51" t="n">
        <v>0.05</v>
      </c>
      <c r="I46" s="50" t="n">
        <v>0.25</v>
      </c>
      <c r="J46" s="50" t="n">
        <v>0.04</v>
      </c>
      <c r="K46" s="52" t="n">
        <v>0.022</v>
      </c>
    </row>
    <row r="48" customFormat="false" ht="15" hidden="false" customHeight="false" outlineLevel="0" collapsed="false">
      <c r="C48" s="53" t="s">
        <v>81</v>
      </c>
      <c r="D48" s="53" t="s">
        <v>82</v>
      </c>
      <c r="E48" s="53" t="s">
        <v>83</v>
      </c>
      <c r="F48" s="53" t="s">
        <v>84</v>
      </c>
      <c r="G48" s="53" t="s">
        <v>85</v>
      </c>
    </row>
    <row r="49" customFormat="false" ht="15" hidden="false" customHeight="false" outlineLevel="0" collapsed="false">
      <c r="A49" s="12" t="s">
        <v>238</v>
      </c>
      <c r="B49" s="37" t="s">
        <v>239</v>
      </c>
      <c r="C49" s="50" t="n">
        <v>0.4</v>
      </c>
      <c r="D49" s="50" t="n">
        <v>0.42</v>
      </c>
      <c r="E49" s="50" t="n">
        <v>0.45</v>
      </c>
      <c r="F49" s="50" t="n">
        <v>0.47</v>
      </c>
      <c r="G49" s="50" t="n">
        <v>0.48</v>
      </c>
    </row>
    <row r="50" customFormat="false" ht="15" hidden="false" customHeight="false" outlineLevel="0" collapsed="false">
      <c r="A50" s="12" t="s">
        <v>240</v>
      </c>
      <c r="B50" s="37" t="s">
        <v>239</v>
      </c>
      <c r="C50" s="52" t="n">
        <v>0.012</v>
      </c>
      <c r="D50" s="52" t="n">
        <v>0.015</v>
      </c>
      <c r="E50" s="52" t="n">
        <v>0.018</v>
      </c>
      <c r="F50" s="52" t="n">
        <v>0.021</v>
      </c>
      <c r="G50" s="52" t="n">
        <v>0.024</v>
      </c>
    </row>
    <row r="51" customFormat="false" ht="15" hidden="false" customHeight="false" outlineLevel="0" collapsed="false">
      <c r="A51" s="12" t="s">
        <v>241</v>
      </c>
      <c r="B51" s="37" t="s">
        <v>239</v>
      </c>
      <c r="C51" s="52" t="n">
        <v>0.035</v>
      </c>
      <c r="D51" s="52" t="n">
        <v>0.04</v>
      </c>
      <c r="E51" s="52" t="n">
        <v>0.045</v>
      </c>
      <c r="F51" s="52" t="n">
        <v>0.05</v>
      </c>
      <c r="G51" s="52" t="n">
        <v>0.055</v>
      </c>
      <c r="X51" s="40" t="s">
        <v>242</v>
      </c>
    </row>
    <row r="53" customFormat="false" ht="16.5" hidden="false" customHeight="true" outlineLevel="0" collapsed="false">
      <c r="A53" s="15" t="s">
        <v>243</v>
      </c>
      <c r="B53" s="15"/>
      <c r="C53" s="15"/>
      <c r="D53" s="15"/>
      <c r="E53" s="15"/>
      <c r="F53" s="15"/>
      <c r="G53" s="15"/>
      <c r="H53" s="15"/>
      <c r="I53" s="15"/>
      <c r="J53" s="15"/>
      <c r="K53" s="15"/>
      <c r="L53" s="15"/>
      <c r="M53" s="15"/>
      <c r="N53" s="15"/>
      <c r="O53" s="15"/>
      <c r="P53" s="15"/>
      <c r="Q53" s="15"/>
      <c r="R53" s="15"/>
      <c r="S53" s="15"/>
      <c r="T53" s="15"/>
      <c r="U53" s="15"/>
      <c r="V53" s="15"/>
      <c r="W53" s="15"/>
      <c r="X53" s="15"/>
      <c r="Y53" s="15"/>
    </row>
    <row r="54" customFormat="false" ht="15" hidden="false" customHeight="false" outlineLevel="0" collapsed="false">
      <c r="A54" s="42" t="s">
        <v>244</v>
      </c>
      <c r="B54" s="42"/>
      <c r="C54" s="42"/>
      <c r="D54" s="42"/>
      <c r="E54" s="42"/>
      <c r="F54" s="42"/>
      <c r="G54" s="42"/>
      <c r="H54" s="42"/>
      <c r="I54" s="42"/>
      <c r="J54" s="42"/>
      <c r="K54" s="42"/>
      <c r="L54" s="42"/>
      <c r="M54" s="42"/>
      <c r="N54" s="42"/>
      <c r="O54" s="42"/>
      <c r="P54" s="42"/>
    </row>
    <row r="55" customFormat="false" ht="27.75" hidden="false" customHeight="true" outlineLevel="0" collapsed="false">
      <c r="A55" s="26" t="s">
        <v>245</v>
      </c>
      <c r="B55" s="26"/>
      <c r="C55" s="48" t="s">
        <v>246</v>
      </c>
      <c r="D55" s="48" t="s">
        <v>224</v>
      </c>
      <c r="E55" s="48" t="s">
        <v>225</v>
      </c>
      <c r="F55" s="48" t="s">
        <v>226</v>
      </c>
      <c r="G55" s="48" t="s">
        <v>227</v>
      </c>
      <c r="H55" s="48" t="s">
        <v>247</v>
      </c>
      <c r="I55" s="48" t="s">
        <v>248</v>
      </c>
      <c r="J55" s="48" t="s">
        <v>249</v>
      </c>
    </row>
    <row r="56" customFormat="false" ht="15" hidden="false" customHeight="false" outlineLevel="0" collapsed="false">
      <c r="A56" s="49" t="s">
        <v>250</v>
      </c>
      <c r="B56" s="37" t="s">
        <v>206</v>
      </c>
      <c r="C56" s="54" t="n">
        <v>1</v>
      </c>
      <c r="D56" s="54" t="n">
        <v>4</v>
      </c>
      <c r="E56" s="54" t="n">
        <v>8</v>
      </c>
      <c r="F56" s="54" t="n">
        <v>11</v>
      </c>
      <c r="G56" s="54" t="n">
        <v>14</v>
      </c>
      <c r="H56" s="44" t="n">
        <v>180</v>
      </c>
      <c r="I56" s="43" t="n">
        <v>30</v>
      </c>
      <c r="J56" s="54" t="n">
        <v>0.8</v>
      </c>
      <c r="X56" s="40" t="s">
        <v>251</v>
      </c>
    </row>
    <row r="57" customFormat="false" ht="15" hidden="false" customHeight="false" outlineLevel="0" collapsed="false">
      <c r="A57" s="49" t="s">
        <v>252</v>
      </c>
      <c r="B57" s="37" t="s">
        <v>206</v>
      </c>
      <c r="C57" s="54" t="n">
        <v>2</v>
      </c>
      <c r="D57" s="54" t="n">
        <v>5</v>
      </c>
      <c r="E57" s="54" t="n">
        <v>9</v>
      </c>
      <c r="F57" s="54" t="n">
        <v>12</v>
      </c>
      <c r="G57" s="54" t="n">
        <v>15</v>
      </c>
      <c r="H57" s="44" t="n">
        <v>80</v>
      </c>
      <c r="I57" s="43" t="n">
        <v>22</v>
      </c>
      <c r="J57" s="54" t="n">
        <v>0.3</v>
      </c>
      <c r="X57" s="40" t="s">
        <v>253</v>
      </c>
    </row>
    <row r="58" customFormat="false" ht="15" hidden="false" customHeight="false" outlineLevel="0" collapsed="false">
      <c r="A58" s="49" t="s">
        <v>254</v>
      </c>
      <c r="B58" s="37" t="s">
        <v>206</v>
      </c>
      <c r="C58" s="54" t="n">
        <v>0.2</v>
      </c>
      <c r="D58" s="54" t="n">
        <v>1</v>
      </c>
      <c r="E58" s="54" t="n">
        <v>2</v>
      </c>
      <c r="F58" s="54" t="n">
        <v>2.5</v>
      </c>
      <c r="G58" s="54" t="n">
        <v>3</v>
      </c>
      <c r="H58" s="44" t="n">
        <v>600</v>
      </c>
      <c r="I58" s="43" t="n">
        <v>80</v>
      </c>
      <c r="J58" s="54" t="n">
        <v>1.8</v>
      </c>
      <c r="X58" s="40" t="s">
        <v>255</v>
      </c>
    </row>
    <row r="59" customFormat="false" ht="15" hidden="false" customHeight="false" outlineLevel="0" collapsed="false">
      <c r="A59" s="49" t="s">
        <v>256</v>
      </c>
      <c r="B59" s="37" t="s">
        <v>206</v>
      </c>
      <c r="C59" s="54" t="n">
        <v>0.3</v>
      </c>
      <c r="D59" s="54" t="n">
        <v>1.5</v>
      </c>
      <c r="E59" s="54" t="n">
        <v>3</v>
      </c>
      <c r="F59" s="54" t="n">
        <v>4</v>
      </c>
      <c r="G59" s="54" t="n">
        <v>5</v>
      </c>
      <c r="H59" s="44" t="n">
        <v>150</v>
      </c>
      <c r="I59" s="43" t="n">
        <v>40</v>
      </c>
      <c r="J59" s="54" t="n">
        <v>1</v>
      </c>
    </row>
    <row r="60" customFormat="false" ht="15" hidden="false" customHeight="false" outlineLevel="0" collapsed="false">
      <c r="A60" s="49" t="s">
        <v>257</v>
      </c>
      <c r="B60" s="37" t="s">
        <v>206</v>
      </c>
      <c r="C60" s="54" t="n">
        <v>30</v>
      </c>
      <c r="D60" s="54" t="n">
        <v>40</v>
      </c>
      <c r="E60" s="54" t="n">
        <v>55</v>
      </c>
      <c r="F60" s="54" t="n">
        <v>70</v>
      </c>
      <c r="G60" s="54" t="n">
        <v>85</v>
      </c>
      <c r="H60" s="44" t="n">
        <v>0</v>
      </c>
      <c r="I60" s="43" t="n">
        <v>0</v>
      </c>
      <c r="J60" s="54" t="n">
        <v>1</v>
      </c>
      <c r="X60" s="40" t="s">
        <v>258</v>
      </c>
    </row>
    <row r="62" customFormat="false" ht="17.9" hidden="false" customHeight="false" outlineLevel="0" collapsed="false">
      <c r="A62" s="12" t="s">
        <v>259</v>
      </c>
      <c r="B62" s="37" t="s">
        <v>206</v>
      </c>
      <c r="C62" s="54" t="n">
        <v>8</v>
      </c>
      <c r="X62" s="40" t="s">
        <v>260</v>
      </c>
    </row>
    <row r="63" customFormat="false" ht="15" hidden="false" customHeight="false" outlineLevel="0" collapsed="false">
      <c r="A63" s="12" t="s">
        <v>261</v>
      </c>
      <c r="B63" s="37" t="s">
        <v>239</v>
      </c>
      <c r="C63" s="50" t="n">
        <v>0.55</v>
      </c>
      <c r="X63" s="40" t="s">
        <v>262</v>
      </c>
    </row>
    <row r="65" customFormat="false" ht="16.5" hidden="false" customHeight="true" outlineLevel="0" collapsed="false">
      <c r="A65" s="15" t="s">
        <v>263</v>
      </c>
      <c r="B65" s="15"/>
      <c r="C65" s="15"/>
      <c r="D65" s="15"/>
      <c r="E65" s="15"/>
      <c r="F65" s="15"/>
      <c r="G65" s="15"/>
      <c r="H65" s="15"/>
      <c r="I65" s="15"/>
      <c r="J65" s="15"/>
      <c r="K65" s="15"/>
      <c r="L65" s="15"/>
      <c r="M65" s="15"/>
      <c r="N65" s="15"/>
      <c r="O65" s="15"/>
      <c r="P65" s="15"/>
      <c r="Q65" s="15"/>
      <c r="R65" s="15"/>
      <c r="S65" s="15"/>
      <c r="T65" s="15"/>
      <c r="U65" s="15"/>
      <c r="V65" s="15"/>
      <c r="W65" s="15"/>
      <c r="X65" s="15"/>
      <c r="Y65" s="15"/>
    </row>
    <row r="66" customFormat="false" ht="15" hidden="false" customHeight="false" outlineLevel="0" collapsed="false">
      <c r="A66" s="42" t="s">
        <v>264</v>
      </c>
      <c r="B66" s="42"/>
      <c r="C66" s="42"/>
      <c r="D66" s="42"/>
      <c r="E66" s="42"/>
      <c r="F66" s="42"/>
      <c r="G66" s="42"/>
      <c r="H66" s="42"/>
      <c r="I66" s="42"/>
      <c r="J66" s="42"/>
      <c r="K66" s="42"/>
      <c r="L66" s="42"/>
      <c r="M66" s="42"/>
      <c r="N66" s="42"/>
      <c r="O66" s="42"/>
      <c r="P66" s="42"/>
    </row>
    <row r="67" customFormat="false" ht="31.5" hidden="false" customHeight="true" outlineLevel="0" collapsed="false">
      <c r="A67" s="26" t="s">
        <v>265</v>
      </c>
      <c r="B67" s="26"/>
      <c r="C67" s="48" t="s">
        <v>266</v>
      </c>
      <c r="D67" s="48" t="s">
        <v>267</v>
      </c>
      <c r="E67" s="48" t="s">
        <v>268</v>
      </c>
      <c r="F67" s="48" t="s">
        <v>269</v>
      </c>
      <c r="G67" s="48" t="s">
        <v>270</v>
      </c>
      <c r="H67" s="48" t="s">
        <v>271</v>
      </c>
    </row>
    <row r="68" customFormat="false" ht="15" hidden="false" customHeight="false" outlineLevel="0" collapsed="false">
      <c r="A68" s="49" t="s">
        <v>272</v>
      </c>
      <c r="B68" s="37" t="s">
        <v>239</v>
      </c>
      <c r="C68" s="50" t="n">
        <v>0.4</v>
      </c>
      <c r="D68" s="50" t="n">
        <v>0.4</v>
      </c>
      <c r="E68" s="50" t="n">
        <v>0.45</v>
      </c>
      <c r="F68" s="50" t="n">
        <v>0.28</v>
      </c>
      <c r="G68" s="43" t="n">
        <v>4</v>
      </c>
      <c r="H68" s="43" t="n">
        <v>2</v>
      </c>
      <c r="X68" s="40" t="s">
        <v>273</v>
      </c>
    </row>
    <row r="69" customFormat="false" ht="15" hidden="false" customHeight="false" outlineLevel="0" collapsed="false">
      <c r="A69" s="49" t="s">
        <v>274</v>
      </c>
      <c r="B69" s="37" t="s">
        <v>239</v>
      </c>
      <c r="C69" s="50" t="n">
        <v>0.16</v>
      </c>
      <c r="D69" s="50" t="n">
        <v>0.35</v>
      </c>
      <c r="E69" s="50" t="n">
        <v>0.4</v>
      </c>
      <c r="F69" s="50" t="n">
        <v>0.25</v>
      </c>
      <c r="G69" s="43" t="n">
        <v>5</v>
      </c>
      <c r="H69" s="43" t="n">
        <v>1</v>
      </c>
      <c r="X69" s="40" t="s">
        <v>275</v>
      </c>
    </row>
    <row r="70" customFormat="false" ht="15" hidden="false" customHeight="false" outlineLevel="0" collapsed="false">
      <c r="A70" s="49" t="s">
        <v>276</v>
      </c>
      <c r="B70" s="37" t="s">
        <v>239</v>
      </c>
      <c r="C70" s="50" t="n">
        <v>0.14</v>
      </c>
      <c r="D70" s="50" t="n">
        <v>0.3</v>
      </c>
      <c r="E70" s="50" t="n">
        <v>0.35</v>
      </c>
      <c r="F70" s="50" t="n">
        <v>0.2</v>
      </c>
      <c r="G70" s="43" t="n">
        <v>12</v>
      </c>
      <c r="H70" s="43" t="n">
        <v>3</v>
      </c>
      <c r="X70" s="40" t="s">
        <v>277</v>
      </c>
    </row>
    <row r="71" customFormat="false" ht="15" hidden="false" customHeight="false" outlineLevel="0" collapsed="false">
      <c r="A71" s="49" t="s">
        <v>278</v>
      </c>
      <c r="B71" s="37" t="s">
        <v>239</v>
      </c>
      <c r="C71" s="50" t="n">
        <v>0.12</v>
      </c>
      <c r="D71" s="50" t="n">
        <v>0.25</v>
      </c>
      <c r="E71" s="50" t="n">
        <v>0.3</v>
      </c>
      <c r="F71" s="50" t="n">
        <v>0.15</v>
      </c>
      <c r="G71" s="43" t="n">
        <v>11</v>
      </c>
      <c r="H71" s="43" t="n">
        <v>3</v>
      </c>
      <c r="X71" s="40" t="s">
        <v>279</v>
      </c>
    </row>
    <row r="72" customFormat="false" ht="15" hidden="false" customHeight="false" outlineLevel="0" collapsed="false">
      <c r="A72" s="49" t="s">
        <v>280</v>
      </c>
      <c r="B72" s="37" t="s">
        <v>239</v>
      </c>
      <c r="C72" s="50" t="n">
        <v>0.1</v>
      </c>
      <c r="D72" s="50" t="n">
        <v>0.3</v>
      </c>
      <c r="E72" s="50" t="n">
        <v>0.35</v>
      </c>
      <c r="F72" s="50" t="n">
        <v>0.22</v>
      </c>
      <c r="G72" s="43" t="n">
        <v>7</v>
      </c>
      <c r="H72" s="43" t="n">
        <v>2</v>
      </c>
      <c r="X72" s="40" t="s">
        <v>281</v>
      </c>
    </row>
    <row r="73" customFormat="false" ht="15" hidden="false" customHeight="false" outlineLevel="0" collapsed="false">
      <c r="A73" s="49" t="s">
        <v>282</v>
      </c>
      <c r="B73" s="37" t="s">
        <v>239</v>
      </c>
      <c r="C73" s="50" t="n">
        <v>0.08</v>
      </c>
      <c r="D73" s="50" t="n">
        <v>0.45</v>
      </c>
      <c r="E73" s="50" t="n">
        <v>0.5</v>
      </c>
      <c r="F73" s="50" t="n">
        <v>0.35</v>
      </c>
      <c r="G73" s="43" t="n">
        <v>3</v>
      </c>
      <c r="H73" s="43" t="n">
        <v>1</v>
      </c>
      <c r="X73" s="40" t="s">
        <v>283</v>
      </c>
    </row>
    <row r="74" customFormat="false" ht="15" hidden="false" customHeight="false" outlineLevel="0" collapsed="false">
      <c r="C74" s="55" t="n">
        <f aca="false">SUM(C68:C73)</f>
        <v>1</v>
      </c>
      <c r="D74" s="22" t="s">
        <v>284</v>
      </c>
    </row>
    <row r="76" customFormat="false" ht="15" hidden="false" customHeight="false" outlineLevel="0" collapsed="false">
      <c r="C76" s="53" t="s">
        <v>81</v>
      </c>
      <c r="D76" s="53" t="s">
        <v>82</v>
      </c>
      <c r="E76" s="53" t="s">
        <v>83</v>
      </c>
      <c r="F76" s="53" t="s">
        <v>84</v>
      </c>
      <c r="G76" s="53" t="s">
        <v>85</v>
      </c>
    </row>
    <row r="77" customFormat="false" ht="15" hidden="false" customHeight="false" outlineLevel="0" collapsed="false">
      <c r="A77" s="12" t="s">
        <v>285</v>
      </c>
      <c r="B77" s="37" t="s">
        <v>286</v>
      </c>
      <c r="C77" s="56" t="n">
        <v>1</v>
      </c>
      <c r="D77" s="56" t="n">
        <v>1.1</v>
      </c>
      <c r="E77" s="56" t="n">
        <v>1.2</v>
      </c>
      <c r="F77" s="56" t="n">
        <v>1.25</v>
      </c>
      <c r="G77" s="56" t="n">
        <v>1.3</v>
      </c>
      <c r="X77" s="40" t="s">
        <v>287</v>
      </c>
    </row>
    <row r="79" customFormat="false" ht="16.5" hidden="false" customHeight="true" outlineLevel="0" collapsed="false">
      <c r="A79" s="15" t="s">
        <v>288</v>
      </c>
      <c r="B79" s="15"/>
      <c r="C79" s="15"/>
      <c r="D79" s="15"/>
      <c r="E79" s="15"/>
      <c r="F79" s="15"/>
      <c r="G79" s="15"/>
      <c r="H79" s="15"/>
      <c r="I79" s="15"/>
      <c r="J79" s="15"/>
      <c r="K79" s="15"/>
      <c r="L79" s="15"/>
      <c r="M79" s="15"/>
      <c r="N79" s="15"/>
      <c r="O79" s="15"/>
      <c r="P79" s="15"/>
      <c r="Q79" s="15"/>
      <c r="R79" s="15"/>
      <c r="S79" s="15"/>
      <c r="T79" s="15"/>
      <c r="U79" s="15"/>
      <c r="V79" s="15"/>
      <c r="W79" s="15"/>
      <c r="X79" s="15"/>
      <c r="Y79" s="15"/>
    </row>
    <row r="80" customFormat="false" ht="15" hidden="false" customHeight="false" outlineLevel="0" collapsed="false">
      <c r="A80" s="42" t="s">
        <v>289</v>
      </c>
      <c r="B80" s="42"/>
      <c r="C80" s="42"/>
      <c r="D80" s="42"/>
      <c r="E80" s="42"/>
      <c r="F80" s="42"/>
      <c r="G80" s="42"/>
      <c r="H80" s="42"/>
      <c r="I80" s="42"/>
      <c r="J80" s="42"/>
      <c r="K80" s="42"/>
      <c r="L80" s="42"/>
      <c r="M80" s="42"/>
      <c r="N80" s="42"/>
      <c r="O80" s="42"/>
      <c r="P80" s="42"/>
    </row>
    <row r="81" customFormat="false" ht="30" hidden="false" customHeight="true" outlineLevel="0" collapsed="false">
      <c r="A81" s="26" t="s">
        <v>290</v>
      </c>
      <c r="B81" s="26" t="s">
        <v>291</v>
      </c>
      <c r="C81" s="48" t="s">
        <v>292</v>
      </c>
      <c r="D81" s="48" t="s">
        <v>293</v>
      </c>
      <c r="E81" s="48" t="s">
        <v>294</v>
      </c>
      <c r="F81" s="48" t="s">
        <v>295</v>
      </c>
    </row>
    <row r="82" customFormat="false" ht="15" hidden="false" customHeight="false" outlineLevel="0" collapsed="false">
      <c r="A82" s="49" t="s">
        <v>250</v>
      </c>
      <c r="B82" s="22" t="s">
        <v>296</v>
      </c>
      <c r="C82" s="41" t="n">
        <v>4</v>
      </c>
      <c r="D82" s="41" t="n">
        <v>1</v>
      </c>
      <c r="E82" s="41" t="n">
        <v>0.1</v>
      </c>
      <c r="F82" s="41" t="n">
        <v>0.5</v>
      </c>
      <c r="X82" s="40" t="s">
        <v>297</v>
      </c>
    </row>
    <row r="83" customFormat="false" ht="15" hidden="false" customHeight="false" outlineLevel="0" collapsed="false">
      <c r="A83" s="49" t="s">
        <v>252</v>
      </c>
      <c r="B83" s="22" t="s">
        <v>298</v>
      </c>
      <c r="C83" s="41" t="n">
        <v>2</v>
      </c>
      <c r="D83" s="41" t="n">
        <v>0.5</v>
      </c>
      <c r="E83" s="41" t="n">
        <v>0.6</v>
      </c>
      <c r="F83" s="41" t="n">
        <v>0</v>
      </c>
      <c r="X83" s="40" t="s">
        <v>297</v>
      </c>
    </row>
    <row r="84" customFormat="false" ht="15" hidden="false" customHeight="false" outlineLevel="0" collapsed="false">
      <c r="A84" s="49" t="s">
        <v>254</v>
      </c>
      <c r="B84" s="22" t="s">
        <v>299</v>
      </c>
      <c r="C84" s="41" t="n">
        <v>0.6</v>
      </c>
      <c r="D84" s="41" t="n">
        <v>0.3</v>
      </c>
      <c r="E84" s="41" t="n">
        <v>0.02</v>
      </c>
      <c r="F84" s="41" t="n">
        <v>0.1</v>
      </c>
      <c r="X84" s="40" t="s">
        <v>297</v>
      </c>
    </row>
    <row r="85" customFormat="false" ht="15" hidden="false" customHeight="false" outlineLevel="0" collapsed="false">
      <c r="A85" s="49" t="s">
        <v>256</v>
      </c>
      <c r="B85" s="22" t="s">
        <v>296</v>
      </c>
      <c r="C85" s="41" t="n">
        <v>1.5</v>
      </c>
      <c r="D85" s="41" t="n">
        <v>0.5</v>
      </c>
      <c r="E85" s="41" t="n">
        <v>0</v>
      </c>
      <c r="F85" s="41" t="n">
        <v>0.8</v>
      </c>
      <c r="X85" s="40" t="s">
        <v>297</v>
      </c>
    </row>
    <row r="86" customFormat="false" ht="15" hidden="false" customHeight="false" outlineLevel="0" collapsed="false">
      <c r="A86" s="49" t="s">
        <v>257</v>
      </c>
      <c r="B86" s="22" t="s">
        <v>299</v>
      </c>
      <c r="C86" s="41" t="n">
        <v>12</v>
      </c>
      <c r="D86" s="41" t="n">
        <v>4</v>
      </c>
      <c r="E86" s="41" t="n">
        <v>0</v>
      </c>
      <c r="F86" s="41" t="n">
        <v>0</v>
      </c>
      <c r="X86" s="40" t="s">
        <v>297</v>
      </c>
    </row>
    <row r="88" customFormat="false" ht="15" hidden="false" customHeight="false" outlineLevel="0" collapsed="false">
      <c r="A88" s="12" t="s">
        <v>300</v>
      </c>
      <c r="B88" s="37" t="s">
        <v>206</v>
      </c>
      <c r="C88" s="43" t="n">
        <v>14</v>
      </c>
      <c r="X88" s="40" t="s">
        <v>301</v>
      </c>
    </row>
    <row r="89" customFormat="false" ht="15" hidden="false" customHeight="false" outlineLevel="0" collapsed="false">
      <c r="A89" s="12" t="s">
        <v>302</v>
      </c>
      <c r="B89" s="37" t="s">
        <v>206</v>
      </c>
      <c r="C89" s="43" t="n">
        <v>6</v>
      </c>
      <c r="X89" s="40" t="s">
        <v>303</v>
      </c>
    </row>
    <row r="90" customFormat="false" ht="15" hidden="false" customHeight="false" outlineLevel="0" collapsed="false">
      <c r="A90" s="12" t="s">
        <v>304</v>
      </c>
      <c r="B90" s="37" t="s">
        <v>206</v>
      </c>
      <c r="C90" s="43" t="n">
        <v>4</v>
      </c>
    </row>
    <row r="92" customFormat="false" ht="16.5" hidden="false" customHeight="true" outlineLevel="0" collapsed="false">
      <c r="A92" s="15" t="s">
        <v>305</v>
      </c>
      <c r="B92" s="15"/>
      <c r="C92" s="15"/>
      <c r="D92" s="15"/>
      <c r="E92" s="15"/>
      <c r="F92" s="15"/>
      <c r="G92" s="15"/>
      <c r="H92" s="15"/>
      <c r="I92" s="15"/>
      <c r="J92" s="15"/>
      <c r="K92" s="15"/>
      <c r="L92" s="15"/>
      <c r="M92" s="15"/>
      <c r="N92" s="15"/>
      <c r="O92" s="15"/>
      <c r="P92" s="15"/>
      <c r="Q92" s="15"/>
      <c r="R92" s="15"/>
      <c r="S92" s="15"/>
      <c r="T92" s="15"/>
      <c r="U92" s="15"/>
      <c r="V92" s="15"/>
      <c r="W92" s="15"/>
      <c r="X92" s="15"/>
      <c r="Y92" s="15"/>
    </row>
    <row r="93" customFormat="false" ht="15" hidden="false" customHeight="false" outlineLevel="0" collapsed="false">
      <c r="A93" s="42" t="s">
        <v>306</v>
      </c>
      <c r="B93" s="42"/>
      <c r="C93" s="42"/>
      <c r="D93" s="42"/>
      <c r="E93" s="42"/>
      <c r="F93" s="42"/>
      <c r="G93" s="42"/>
      <c r="H93" s="42"/>
      <c r="I93" s="42"/>
      <c r="J93" s="42"/>
      <c r="K93" s="42"/>
      <c r="L93" s="42"/>
      <c r="M93" s="42"/>
      <c r="N93" s="42"/>
      <c r="O93" s="42"/>
      <c r="P93" s="42"/>
    </row>
    <row r="94" customFormat="false" ht="31.5" hidden="false" customHeight="true" outlineLevel="0" collapsed="false">
      <c r="A94" s="26" t="s">
        <v>211</v>
      </c>
      <c r="B94" s="26" t="s">
        <v>265</v>
      </c>
      <c r="C94" s="48" t="s">
        <v>307</v>
      </c>
      <c r="D94" s="48" t="s">
        <v>308</v>
      </c>
      <c r="E94" s="48" t="s">
        <v>309</v>
      </c>
      <c r="F94" s="48" t="s">
        <v>310</v>
      </c>
    </row>
    <row r="95" customFormat="false" ht="19.5" hidden="false" customHeight="true" outlineLevel="0" collapsed="false">
      <c r="A95" s="49" t="s">
        <v>311</v>
      </c>
      <c r="B95" s="57" t="s">
        <v>272</v>
      </c>
      <c r="C95" s="50" t="n">
        <v>0.5</v>
      </c>
      <c r="D95" s="43" t="n">
        <v>8</v>
      </c>
      <c r="E95" s="43" t="n">
        <v>24</v>
      </c>
      <c r="F95" s="43" t="n">
        <v>1</v>
      </c>
      <c r="G95" s="22" t="s">
        <v>312</v>
      </c>
      <c r="X95" s="40" t="s">
        <v>313</v>
      </c>
    </row>
    <row r="96" customFormat="false" ht="19.5" hidden="false" customHeight="true" outlineLevel="0" collapsed="false">
      <c r="A96" s="49" t="s">
        <v>314</v>
      </c>
      <c r="B96" s="57" t="s">
        <v>272</v>
      </c>
      <c r="C96" s="50" t="n">
        <v>0.12</v>
      </c>
      <c r="D96" s="43" t="n">
        <v>8</v>
      </c>
      <c r="E96" s="43" t="n">
        <v>24</v>
      </c>
      <c r="F96" s="43" t="n">
        <v>25</v>
      </c>
      <c r="G96" s="22" t="s">
        <v>312</v>
      </c>
      <c r="X96" s="40" t="s">
        <v>315</v>
      </c>
    </row>
    <row r="97" customFormat="false" ht="19.5" hidden="false" customHeight="true" outlineLevel="0" collapsed="false">
      <c r="A97" s="49" t="s">
        <v>316</v>
      </c>
      <c r="B97" s="57" t="s">
        <v>272</v>
      </c>
      <c r="C97" s="50" t="n">
        <v>0.08</v>
      </c>
      <c r="D97" s="43" t="n">
        <v>1</v>
      </c>
      <c r="E97" s="43" t="n">
        <v>12</v>
      </c>
      <c r="F97" s="43" t="n">
        <v>13</v>
      </c>
      <c r="G97" s="22" t="s">
        <v>317</v>
      </c>
      <c r="X97" s="40" t="s">
        <v>318</v>
      </c>
    </row>
    <row r="98" customFormat="false" ht="19.5" hidden="false" customHeight="true" outlineLevel="0" collapsed="false">
      <c r="A98" s="49" t="s">
        <v>319</v>
      </c>
      <c r="B98" s="57" t="s">
        <v>272</v>
      </c>
      <c r="C98" s="50" t="n">
        <v>0.2</v>
      </c>
      <c r="D98" s="43" t="n">
        <v>7</v>
      </c>
      <c r="E98" s="43" t="n">
        <v>24</v>
      </c>
      <c r="F98" s="43" t="n">
        <v>13</v>
      </c>
      <c r="G98" s="22" t="s">
        <v>312</v>
      </c>
      <c r="X98" s="40" t="s">
        <v>320</v>
      </c>
    </row>
    <row r="99" customFormat="false" ht="19.5" hidden="false" customHeight="true" outlineLevel="0" collapsed="false">
      <c r="A99" s="49" t="s">
        <v>321</v>
      </c>
      <c r="B99" s="57" t="s">
        <v>272</v>
      </c>
      <c r="C99" s="50" t="n">
        <v>0.04</v>
      </c>
      <c r="D99" s="43" t="n">
        <v>1</v>
      </c>
      <c r="E99" s="43" t="n">
        <v>12</v>
      </c>
      <c r="F99" s="43" t="n">
        <v>25</v>
      </c>
      <c r="G99" s="22" t="s">
        <v>317</v>
      </c>
      <c r="X99" s="40" t="s">
        <v>322</v>
      </c>
    </row>
    <row r="100" customFormat="false" ht="19.5" hidden="false" customHeight="true" outlineLevel="0" collapsed="false">
      <c r="A100" s="49" t="s">
        <v>323</v>
      </c>
      <c r="B100" s="57" t="s">
        <v>272</v>
      </c>
      <c r="C100" s="50" t="n">
        <v>0.06</v>
      </c>
      <c r="D100" s="43" t="n">
        <v>6</v>
      </c>
      <c r="E100" s="43" t="n">
        <v>24</v>
      </c>
      <c r="F100" s="43" t="n">
        <v>13</v>
      </c>
      <c r="G100" s="22" t="s">
        <v>312</v>
      </c>
      <c r="X100" s="40" t="s">
        <v>324</v>
      </c>
    </row>
    <row r="101" customFormat="false" ht="19.5" hidden="false" customHeight="true" outlineLevel="0" collapsed="false">
      <c r="A101" s="49" t="s">
        <v>325</v>
      </c>
      <c r="B101" s="57" t="s">
        <v>278</v>
      </c>
      <c r="C101" s="50" t="n">
        <v>0.7</v>
      </c>
      <c r="D101" s="43" t="n">
        <v>20000</v>
      </c>
      <c r="E101" s="43" t="n">
        <v>24</v>
      </c>
      <c r="F101" s="43" t="n">
        <v>13</v>
      </c>
      <c r="G101" s="22" t="s">
        <v>326</v>
      </c>
      <c r="X101" s="40" t="s">
        <v>327</v>
      </c>
    </row>
    <row r="102" customFormat="false" ht="19.5" hidden="false" customHeight="true" outlineLevel="0" collapsed="false">
      <c r="A102" s="49" t="s">
        <v>328</v>
      </c>
      <c r="B102" s="57" t="s">
        <v>278</v>
      </c>
      <c r="C102" s="50" t="n">
        <v>0.3</v>
      </c>
      <c r="D102" s="43" t="n">
        <v>3</v>
      </c>
      <c r="E102" s="43" t="n">
        <v>18</v>
      </c>
      <c r="F102" s="43" t="n">
        <v>13</v>
      </c>
      <c r="G102" s="22" t="s">
        <v>312</v>
      </c>
      <c r="X102" s="40" t="s">
        <v>329</v>
      </c>
    </row>
    <row r="103" customFormat="false" ht="19.5" hidden="false" customHeight="true" outlineLevel="0" collapsed="false">
      <c r="A103" s="49" t="s">
        <v>330</v>
      </c>
      <c r="B103" s="57" t="s">
        <v>276</v>
      </c>
      <c r="C103" s="50" t="n">
        <v>1</v>
      </c>
      <c r="D103" s="43" t="n">
        <v>3</v>
      </c>
      <c r="E103" s="43" t="n">
        <v>18</v>
      </c>
      <c r="F103" s="43" t="n">
        <v>13</v>
      </c>
      <c r="G103" s="22" t="s">
        <v>331</v>
      </c>
      <c r="X103" s="40" t="s">
        <v>332</v>
      </c>
    </row>
    <row r="104" customFormat="false" ht="19.5" hidden="false" customHeight="true" outlineLevel="0" collapsed="false">
      <c r="A104" s="49" t="s">
        <v>333</v>
      </c>
      <c r="B104" s="57" t="s">
        <v>274</v>
      </c>
      <c r="C104" s="50" t="n">
        <v>0.65</v>
      </c>
      <c r="D104" s="43" t="n">
        <v>3</v>
      </c>
      <c r="E104" s="43" t="n">
        <v>12</v>
      </c>
      <c r="F104" s="43" t="n">
        <v>1</v>
      </c>
      <c r="G104" s="22" t="s">
        <v>334</v>
      </c>
      <c r="X104" s="40" t="s">
        <v>335</v>
      </c>
    </row>
    <row r="105" customFormat="false" ht="19.5" hidden="false" customHeight="true" outlineLevel="0" collapsed="false">
      <c r="A105" s="49" t="s">
        <v>336</v>
      </c>
      <c r="B105" s="57" t="s">
        <v>274</v>
      </c>
      <c r="C105" s="50" t="n">
        <v>0.35</v>
      </c>
      <c r="D105" s="43" t="n">
        <v>2</v>
      </c>
      <c r="E105" s="43" t="n">
        <v>12</v>
      </c>
      <c r="F105" s="43" t="n">
        <v>1</v>
      </c>
      <c r="G105" s="22" t="s">
        <v>337</v>
      </c>
      <c r="X105" s="40" t="s">
        <v>338</v>
      </c>
    </row>
    <row r="106" customFormat="false" ht="19.5" hidden="false" customHeight="true" outlineLevel="0" collapsed="false">
      <c r="A106" s="49" t="s">
        <v>339</v>
      </c>
      <c r="B106" s="57" t="s">
        <v>280</v>
      </c>
      <c r="C106" s="50" t="n">
        <v>1</v>
      </c>
      <c r="D106" s="43" t="n">
        <v>3</v>
      </c>
      <c r="E106" s="43" t="n">
        <v>12</v>
      </c>
      <c r="F106" s="43" t="n">
        <v>13</v>
      </c>
      <c r="G106" s="22" t="s">
        <v>331</v>
      </c>
      <c r="X106" s="40" t="s">
        <v>340</v>
      </c>
    </row>
    <row r="107" customFormat="false" ht="19.5" hidden="false" customHeight="true" outlineLevel="0" collapsed="false">
      <c r="A107" s="49" t="s">
        <v>341</v>
      </c>
      <c r="B107" s="57" t="s">
        <v>282</v>
      </c>
      <c r="C107" s="50" t="n">
        <v>1</v>
      </c>
      <c r="D107" s="43" t="n">
        <v>900</v>
      </c>
      <c r="E107" s="43" t="n">
        <v>24</v>
      </c>
      <c r="F107" s="43" t="n">
        <v>1</v>
      </c>
      <c r="G107" s="22" t="s">
        <v>326</v>
      </c>
      <c r="X107" s="40" t="s">
        <v>342</v>
      </c>
    </row>
    <row r="109" customFormat="false" ht="15" hidden="false" customHeight="false" outlineLevel="0" collapsed="false">
      <c r="A109" s="46" t="s">
        <v>343</v>
      </c>
    </row>
    <row r="110" customFormat="false" ht="15" hidden="false" customHeight="false" outlineLevel="0" collapsed="false">
      <c r="A110" s="58" t="s">
        <v>344</v>
      </c>
      <c r="C110" s="59" t="n">
        <f aca="false">C95+C96+C97+C98+C99+C100</f>
        <v>1</v>
      </c>
    </row>
    <row r="111" customFormat="false" ht="15" hidden="false" customHeight="false" outlineLevel="0" collapsed="false">
      <c r="A111" s="58" t="s">
        <v>345</v>
      </c>
      <c r="C111" s="59" t="n">
        <f aca="false">C104+C105</f>
        <v>1</v>
      </c>
    </row>
    <row r="112" customFormat="false" ht="15" hidden="false" customHeight="false" outlineLevel="0" collapsed="false">
      <c r="A112" s="58" t="s">
        <v>346</v>
      </c>
      <c r="C112" s="59" t="n">
        <f aca="false">C103</f>
        <v>1</v>
      </c>
    </row>
    <row r="113" customFormat="false" ht="15" hidden="false" customHeight="false" outlineLevel="0" collapsed="false">
      <c r="A113" s="58" t="s">
        <v>347</v>
      </c>
      <c r="C113" s="59" t="n">
        <f aca="false">C101+C102</f>
        <v>1</v>
      </c>
    </row>
    <row r="114" customFormat="false" ht="15" hidden="false" customHeight="false" outlineLevel="0" collapsed="false">
      <c r="A114" s="58" t="s">
        <v>348</v>
      </c>
      <c r="C114" s="59" t="n">
        <f aca="false">C106</f>
        <v>1</v>
      </c>
    </row>
    <row r="115" customFormat="false" ht="15" hidden="false" customHeight="false" outlineLevel="0" collapsed="false">
      <c r="A115" s="58" t="s">
        <v>349</v>
      </c>
      <c r="C115" s="59" t="n">
        <f aca="false">C107</f>
        <v>1</v>
      </c>
    </row>
    <row r="117" customFormat="false" ht="17.9" hidden="false" customHeight="false" outlineLevel="0" collapsed="false">
      <c r="A117" s="12" t="s">
        <v>350</v>
      </c>
      <c r="B117" s="37" t="s">
        <v>206</v>
      </c>
      <c r="C117" s="43" t="n">
        <v>1</v>
      </c>
      <c r="D117" s="43" t="n">
        <v>2</v>
      </c>
      <c r="E117" s="43" t="n">
        <v>3</v>
      </c>
      <c r="F117" s="43" t="n">
        <v>3</v>
      </c>
      <c r="G117" s="43" t="n">
        <v>3</v>
      </c>
      <c r="X117" s="40" t="s">
        <v>351</v>
      </c>
    </row>
    <row r="119" customFormat="false" ht="16.5" hidden="false" customHeight="true" outlineLevel="0" collapsed="false">
      <c r="A119" s="15" t="s">
        <v>352</v>
      </c>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row>
    <row r="120" customFormat="false" ht="15" hidden="false" customHeight="false" outlineLevel="0" collapsed="false">
      <c r="C120" s="53" t="s">
        <v>81</v>
      </c>
      <c r="D120" s="53" t="s">
        <v>82</v>
      </c>
      <c r="E120" s="53" t="s">
        <v>83</v>
      </c>
      <c r="F120" s="53" t="s">
        <v>84</v>
      </c>
      <c r="G120" s="53" t="s">
        <v>85</v>
      </c>
    </row>
    <row r="121" customFormat="false" ht="15" hidden="false" customHeight="false" outlineLevel="0" collapsed="false">
      <c r="A121" s="12" t="s">
        <v>353</v>
      </c>
      <c r="B121" s="37" t="s">
        <v>9</v>
      </c>
      <c r="C121" s="44" t="n">
        <v>3500</v>
      </c>
      <c r="D121" s="44" t="n">
        <v>3800</v>
      </c>
      <c r="E121" s="44" t="n">
        <v>4200</v>
      </c>
      <c r="F121" s="44" t="n">
        <v>4500</v>
      </c>
      <c r="G121" s="44" t="n">
        <v>4800</v>
      </c>
      <c r="X121" s="40" t="s">
        <v>354</v>
      </c>
    </row>
    <row r="122" customFormat="false" ht="15" hidden="false" customHeight="false" outlineLevel="0" collapsed="false">
      <c r="A122" s="12" t="s">
        <v>355</v>
      </c>
      <c r="B122" s="37" t="s">
        <v>9</v>
      </c>
      <c r="C122" s="44" t="n">
        <v>0</v>
      </c>
      <c r="D122" s="44" t="n">
        <v>8000</v>
      </c>
      <c r="E122" s="44" t="n">
        <v>9500</v>
      </c>
      <c r="F122" s="44" t="n">
        <v>11000</v>
      </c>
      <c r="G122" s="44" t="n">
        <v>12000</v>
      </c>
      <c r="X122" s="40" t="s">
        <v>356</v>
      </c>
    </row>
    <row r="123" customFormat="false" ht="15" hidden="false" customHeight="false" outlineLevel="0" collapsed="false">
      <c r="A123" s="12" t="s">
        <v>357</v>
      </c>
      <c r="B123" s="37" t="s">
        <v>9</v>
      </c>
      <c r="C123" s="44" t="n">
        <v>0</v>
      </c>
      <c r="D123" s="44" t="n">
        <v>2600</v>
      </c>
      <c r="E123" s="44" t="n">
        <v>2900</v>
      </c>
      <c r="F123" s="44" t="n">
        <v>3100</v>
      </c>
      <c r="G123" s="44" t="n">
        <v>3300</v>
      </c>
    </row>
    <row r="124" customFormat="false" ht="15" hidden="false" customHeight="false" outlineLevel="0" collapsed="false">
      <c r="A124" s="12" t="s">
        <v>358</v>
      </c>
      <c r="B124" s="37" t="s">
        <v>9</v>
      </c>
      <c r="C124" s="44" t="n">
        <v>0</v>
      </c>
      <c r="D124" s="44" t="n">
        <v>5000</v>
      </c>
      <c r="E124" s="44" t="n">
        <v>6000</v>
      </c>
      <c r="F124" s="44" t="n">
        <v>6500</v>
      </c>
      <c r="G124" s="44" t="n">
        <v>7000</v>
      </c>
    </row>
    <row r="125" customFormat="false" ht="15" hidden="false" customHeight="false" outlineLevel="0" collapsed="false">
      <c r="A125" s="12" t="s">
        <v>359</v>
      </c>
      <c r="B125" s="37" t="s">
        <v>9</v>
      </c>
      <c r="C125" s="44" t="n">
        <v>0</v>
      </c>
      <c r="D125" s="44" t="n">
        <v>2800</v>
      </c>
      <c r="E125" s="44" t="n">
        <v>3100</v>
      </c>
      <c r="F125" s="44" t="n">
        <v>3300</v>
      </c>
      <c r="G125" s="44" t="n">
        <v>3500</v>
      </c>
    </row>
    <row r="126" customFormat="false" ht="15" hidden="false" customHeight="false" outlineLevel="0" collapsed="false">
      <c r="A126" s="12" t="s">
        <v>360</v>
      </c>
      <c r="B126" s="37" t="s">
        <v>9</v>
      </c>
      <c r="C126" s="51" t="n">
        <v>0</v>
      </c>
      <c r="D126" s="51" t="n">
        <v>8</v>
      </c>
      <c r="E126" s="51" t="n">
        <v>7</v>
      </c>
      <c r="F126" s="51" t="n">
        <v>6.5</v>
      </c>
      <c r="G126" s="51" t="n">
        <v>6</v>
      </c>
      <c r="X126" s="40" t="s">
        <v>361</v>
      </c>
    </row>
    <row r="127" customFormat="false" ht="15" hidden="false" customHeight="false" outlineLevel="0" collapsed="false">
      <c r="A127" s="12" t="s">
        <v>362</v>
      </c>
      <c r="B127" s="37" t="s">
        <v>9</v>
      </c>
      <c r="C127" s="44" t="n">
        <v>0</v>
      </c>
      <c r="D127" s="44" t="n">
        <v>6000</v>
      </c>
      <c r="E127" s="44" t="n">
        <v>6800</v>
      </c>
      <c r="F127" s="44" t="n">
        <v>7200</v>
      </c>
      <c r="G127" s="44" t="n">
        <v>7600</v>
      </c>
    </row>
    <row r="128" customFormat="false" ht="15" hidden="false" customHeight="false" outlineLevel="0" collapsed="false">
      <c r="A128" s="12" t="s">
        <v>363</v>
      </c>
      <c r="B128" s="37" t="s">
        <v>9</v>
      </c>
      <c r="C128" s="44" t="n">
        <v>0</v>
      </c>
      <c r="D128" s="44" t="n">
        <v>16000</v>
      </c>
      <c r="E128" s="44" t="n">
        <v>18000</v>
      </c>
      <c r="F128" s="44" t="n">
        <v>20000</v>
      </c>
      <c r="G128" s="44" t="n">
        <v>22000</v>
      </c>
    </row>
    <row r="129" customFormat="false" ht="15" hidden="false" customHeight="false" outlineLevel="0" collapsed="false">
      <c r="A129" s="12" t="s">
        <v>364</v>
      </c>
      <c r="B129" s="37" t="s">
        <v>9</v>
      </c>
      <c r="C129" s="44" t="n">
        <v>10000</v>
      </c>
      <c r="D129" s="44" t="n">
        <v>12000</v>
      </c>
      <c r="E129" s="44" t="n">
        <v>14000</v>
      </c>
      <c r="F129" s="44" t="n">
        <v>16000</v>
      </c>
      <c r="G129" s="44" t="n">
        <v>18000</v>
      </c>
      <c r="X129" s="40" t="s">
        <v>365</v>
      </c>
    </row>
    <row r="130" customFormat="false" ht="15" hidden="false" customHeight="false" outlineLevel="0" collapsed="false">
      <c r="A130" s="12" t="s">
        <v>366</v>
      </c>
      <c r="B130" s="37" t="s">
        <v>9</v>
      </c>
      <c r="C130" s="44" t="n">
        <v>0</v>
      </c>
      <c r="D130" s="44" t="n">
        <v>18000</v>
      </c>
      <c r="E130" s="44" t="n">
        <v>21000</v>
      </c>
      <c r="F130" s="44" t="n">
        <v>24000</v>
      </c>
      <c r="G130" s="44" t="n">
        <v>26000</v>
      </c>
    </row>
    <row r="131" customFormat="false" ht="15" hidden="false" customHeight="false" outlineLevel="0" collapsed="false">
      <c r="A131" s="12" t="s">
        <v>367</v>
      </c>
      <c r="B131" s="37" t="s">
        <v>9</v>
      </c>
      <c r="C131" s="51" t="n">
        <v>18</v>
      </c>
      <c r="D131" s="51" t="n">
        <v>20</v>
      </c>
      <c r="E131" s="51" t="n">
        <v>22</v>
      </c>
      <c r="F131" s="51" t="n">
        <v>24</v>
      </c>
      <c r="G131" s="51" t="n">
        <v>26</v>
      </c>
    </row>
    <row r="132" customFormat="false" ht="15" hidden="false" customHeight="false" outlineLevel="0" collapsed="false">
      <c r="A132" s="12" t="s">
        <v>368</v>
      </c>
      <c r="B132" s="37" t="s">
        <v>9</v>
      </c>
      <c r="C132" s="44" t="n">
        <v>5000</v>
      </c>
      <c r="D132" s="44" t="n">
        <v>7000</v>
      </c>
      <c r="E132" s="44" t="n">
        <v>9000</v>
      </c>
      <c r="F132" s="44" t="n">
        <v>11000</v>
      </c>
      <c r="G132" s="44" t="n">
        <v>13000</v>
      </c>
      <c r="X132" s="40" t="s">
        <v>369</v>
      </c>
    </row>
    <row r="134" customFormat="false" ht="15" hidden="false" customHeight="false" outlineLevel="0" collapsed="false">
      <c r="A134" s="12" t="s">
        <v>370</v>
      </c>
      <c r="B134" s="37" t="s">
        <v>9</v>
      </c>
      <c r="C134" s="44" t="n">
        <v>15</v>
      </c>
    </row>
    <row r="135" customFormat="false" ht="15" hidden="false" customHeight="false" outlineLevel="0" collapsed="false">
      <c r="A135" s="12" t="s">
        <v>371</v>
      </c>
      <c r="B135" s="37" t="s">
        <v>9</v>
      </c>
      <c r="C135" s="44" t="n">
        <v>35</v>
      </c>
    </row>
    <row r="136" customFormat="false" ht="15" hidden="false" customHeight="false" outlineLevel="0" collapsed="false">
      <c r="A136" s="12" t="s">
        <v>372</v>
      </c>
      <c r="B136" s="37" t="s">
        <v>239</v>
      </c>
      <c r="C136" s="50" t="n">
        <v>0.15</v>
      </c>
    </row>
    <row r="137" customFormat="false" ht="15" hidden="false" customHeight="false" outlineLevel="0" collapsed="false">
      <c r="A137" s="12" t="s">
        <v>373</v>
      </c>
      <c r="B137" s="37" t="s">
        <v>239</v>
      </c>
      <c r="C137" s="50" t="n">
        <v>0.06</v>
      </c>
    </row>
    <row r="139" customFormat="false" ht="15" hidden="false" customHeight="false" outlineLevel="0" collapsed="false">
      <c r="A139" s="42" t="s">
        <v>374</v>
      </c>
      <c r="B139" s="42"/>
      <c r="C139" s="42"/>
      <c r="D139" s="42"/>
      <c r="E139" s="42"/>
      <c r="F139" s="42"/>
      <c r="G139" s="42"/>
      <c r="H139" s="42"/>
      <c r="I139" s="42"/>
      <c r="J139" s="42"/>
      <c r="K139" s="42"/>
      <c r="L139" s="42"/>
      <c r="M139" s="42"/>
      <c r="N139" s="42"/>
      <c r="O139" s="42"/>
      <c r="P139" s="42"/>
    </row>
    <row r="140" customFormat="false" ht="15" hidden="false" customHeight="false" outlineLevel="0" collapsed="false">
      <c r="A140" s="12" t="s">
        <v>375</v>
      </c>
      <c r="B140" s="37" t="s">
        <v>206</v>
      </c>
      <c r="C140" s="43" t="n">
        <v>25</v>
      </c>
    </row>
    <row r="141" customFormat="false" ht="15" hidden="false" customHeight="false" outlineLevel="0" collapsed="false">
      <c r="A141" s="12" t="s">
        <v>376</v>
      </c>
      <c r="B141" s="37" t="s">
        <v>206</v>
      </c>
      <c r="C141" s="43" t="n">
        <v>30</v>
      </c>
    </row>
    <row r="142" customFormat="false" ht="15" hidden="false" customHeight="false" outlineLevel="0" collapsed="false">
      <c r="A142" s="12" t="s">
        <v>377</v>
      </c>
      <c r="B142" s="37" t="s">
        <v>206</v>
      </c>
      <c r="C142" s="43" t="n">
        <v>400</v>
      </c>
    </row>
    <row r="143" customFormat="false" ht="15" hidden="false" customHeight="false" outlineLevel="0" collapsed="false">
      <c r="A143" s="12" t="s">
        <v>378</v>
      </c>
      <c r="B143" s="37" t="s">
        <v>206</v>
      </c>
      <c r="C143" s="43" t="n">
        <v>120</v>
      </c>
    </row>
    <row r="144" customFormat="false" ht="15" hidden="false" customHeight="false" outlineLevel="0" collapsed="false">
      <c r="A144" s="12" t="s">
        <v>379</v>
      </c>
      <c r="B144" s="37" t="s">
        <v>206</v>
      </c>
      <c r="C144" s="43" t="n">
        <v>50</v>
      </c>
    </row>
    <row r="146" customFormat="false" ht="16.5" hidden="false" customHeight="true" outlineLevel="0" collapsed="false">
      <c r="A146" s="15" t="s">
        <v>380</v>
      </c>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row>
    <row r="147" customFormat="false" ht="15" hidden="false" customHeight="false" outlineLevel="0" collapsed="false">
      <c r="C147" s="53" t="s">
        <v>81</v>
      </c>
      <c r="D147" s="53" t="s">
        <v>82</v>
      </c>
      <c r="E147" s="53" t="s">
        <v>83</v>
      </c>
      <c r="F147" s="53" t="s">
        <v>84</v>
      </c>
      <c r="G147" s="53" t="s">
        <v>85</v>
      </c>
    </row>
    <row r="148" customFormat="false" ht="15" hidden="false" customHeight="false" outlineLevel="0" collapsed="false">
      <c r="A148" s="12" t="s">
        <v>381</v>
      </c>
      <c r="B148" s="37" t="s">
        <v>9</v>
      </c>
      <c r="C148" s="44" t="n">
        <v>85</v>
      </c>
      <c r="D148" s="44" t="n">
        <v>95</v>
      </c>
      <c r="E148" s="44" t="n">
        <v>105</v>
      </c>
      <c r="F148" s="44" t="n">
        <v>110</v>
      </c>
      <c r="G148" s="44" t="n">
        <v>115</v>
      </c>
      <c r="X148" s="40" t="s">
        <v>382</v>
      </c>
    </row>
    <row r="149" customFormat="false" ht="15" hidden="false" customHeight="false" outlineLevel="0" collapsed="false">
      <c r="A149" s="12" t="s">
        <v>383</v>
      </c>
      <c r="B149" s="37" t="s">
        <v>206</v>
      </c>
      <c r="C149" s="43" t="n">
        <v>2</v>
      </c>
    </row>
    <row r="150" customFormat="false" ht="15" hidden="false" customHeight="false" outlineLevel="0" collapsed="false">
      <c r="A150" s="12" t="s">
        <v>384</v>
      </c>
      <c r="B150" s="37" t="s">
        <v>385</v>
      </c>
      <c r="C150" s="43" t="n">
        <v>6</v>
      </c>
    </row>
    <row r="151" customFormat="false" ht="15" hidden="false" customHeight="false" outlineLevel="0" collapsed="false">
      <c r="A151" s="12" t="s">
        <v>386</v>
      </c>
      <c r="B151" s="37" t="s">
        <v>385</v>
      </c>
      <c r="C151" s="43" t="n">
        <v>4</v>
      </c>
    </row>
    <row r="152" customFormat="false" ht="15" hidden="false" customHeight="false" outlineLevel="0" collapsed="false">
      <c r="A152" s="12" t="s">
        <v>387</v>
      </c>
      <c r="B152" s="37" t="s">
        <v>385</v>
      </c>
      <c r="C152" s="43" t="n">
        <v>5</v>
      </c>
    </row>
    <row r="153" customFormat="false" ht="15" hidden="false" customHeight="false" outlineLevel="0" collapsed="false">
      <c r="A153" s="12" t="s">
        <v>388</v>
      </c>
      <c r="B153" s="37" t="s">
        <v>385</v>
      </c>
      <c r="C153" s="54" t="n">
        <v>3.5</v>
      </c>
      <c r="X153" s="40" t="s">
        <v>389</v>
      </c>
    </row>
    <row r="154" customFormat="false" ht="15" hidden="false" customHeight="false" outlineLevel="0" collapsed="false">
      <c r="A154" s="12" t="s">
        <v>390</v>
      </c>
      <c r="B154" s="37" t="s">
        <v>286</v>
      </c>
      <c r="C154" s="56" t="n">
        <v>1.2</v>
      </c>
      <c r="X154" s="40" t="s">
        <v>391</v>
      </c>
    </row>
    <row r="155" customFormat="false" ht="15" hidden="false" customHeight="false" outlineLevel="0" collapsed="false">
      <c r="A155" s="12" t="s">
        <v>392</v>
      </c>
      <c r="B155" s="37" t="s">
        <v>9</v>
      </c>
      <c r="C155" s="44" t="n">
        <v>120</v>
      </c>
      <c r="X155" s="40" t="s">
        <v>393</v>
      </c>
    </row>
    <row r="156" customFormat="false" ht="15" hidden="false" customHeight="false" outlineLevel="0" collapsed="false">
      <c r="A156" s="12" t="s">
        <v>394</v>
      </c>
      <c r="B156" s="37" t="s">
        <v>206</v>
      </c>
      <c r="C156" s="54" t="n">
        <v>2</v>
      </c>
    </row>
    <row r="157" customFormat="false" ht="15" hidden="false" customHeight="false" outlineLevel="0" collapsed="false">
      <c r="A157" s="12" t="s">
        <v>395</v>
      </c>
      <c r="B157" s="37" t="s">
        <v>9</v>
      </c>
      <c r="C157" s="44" t="n">
        <v>280</v>
      </c>
      <c r="D157" s="44" t="n">
        <v>310</v>
      </c>
      <c r="E157" s="44" t="n">
        <v>340</v>
      </c>
      <c r="F157" s="44" t="n">
        <v>360</v>
      </c>
      <c r="G157" s="44" t="n">
        <v>380</v>
      </c>
    </row>
    <row r="158" customFormat="false" ht="15" hidden="false" customHeight="false" outlineLevel="0" collapsed="false">
      <c r="A158" s="12" t="s">
        <v>396</v>
      </c>
      <c r="B158" s="37" t="s">
        <v>9</v>
      </c>
      <c r="C158" s="44" t="n">
        <v>220</v>
      </c>
    </row>
    <row r="159" customFormat="false" ht="15" hidden="false" customHeight="false" outlineLevel="0" collapsed="false">
      <c r="A159" s="12" t="s">
        <v>397</v>
      </c>
      <c r="B159" s="37" t="s">
        <v>9</v>
      </c>
      <c r="C159" s="44" t="n">
        <v>250</v>
      </c>
    </row>
    <row r="160" customFormat="false" ht="15" hidden="false" customHeight="false" outlineLevel="0" collapsed="false">
      <c r="A160" s="12" t="s">
        <v>398</v>
      </c>
      <c r="B160" s="37" t="s">
        <v>9</v>
      </c>
      <c r="C160" s="44" t="n">
        <v>3500</v>
      </c>
      <c r="D160" s="44" t="n">
        <v>4200</v>
      </c>
      <c r="E160" s="44" t="n">
        <v>5000</v>
      </c>
      <c r="F160" s="44" t="n">
        <v>5600</v>
      </c>
      <c r="G160" s="44" t="n">
        <v>6200</v>
      </c>
    </row>
    <row r="161" customFormat="false" ht="15" hidden="false" customHeight="false" outlineLevel="0" collapsed="false">
      <c r="A161" s="12" t="s">
        <v>399</v>
      </c>
      <c r="B161" s="37" t="s">
        <v>9</v>
      </c>
      <c r="C161" s="44" t="n">
        <v>900</v>
      </c>
      <c r="X161" s="40" t="s">
        <v>400</v>
      </c>
    </row>
    <row r="162" customFormat="false" ht="15" hidden="false" customHeight="false" outlineLevel="0" collapsed="false">
      <c r="A162" s="12" t="s">
        <v>401</v>
      </c>
      <c r="B162" s="37" t="s">
        <v>9</v>
      </c>
      <c r="C162" s="44" t="n">
        <v>2500</v>
      </c>
      <c r="D162" s="44" t="n">
        <v>3500</v>
      </c>
      <c r="E162" s="44" t="n">
        <v>4500</v>
      </c>
      <c r="F162" s="44" t="n">
        <v>5200</v>
      </c>
      <c r="G162" s="44" t="n">
        <v>5800</v>
      </c>
      <c r="X162" s="40" t="s">
        <v>402</v>
      </c>
    </row>
    <row r="163" customFormat="false" ht="15" hidden="false" customHeight="false" outlineLevel="0" collapsed="false">
      <c r="A163" s="12" t="s">
        <v>403</v>
      </c>
      <c r="B163" s="37" t="s">
        <v>9</v>
      </c>
      <c r="C163" s="44" t="n">
        <v>0</v>
      </c>
      <c r="D163" s="44" t="n">
        <v>4500</v>
      </c>
      <c r="E163" s="44" t="n">
        <v>5200</v>
      </c>
      <c r="F163" s="44" t="n">
        <v>5600</v>
      </c>
      <c r="G163" s="44" t="n">
        <v>6000</v>
      </c>
    </row>
    <row r="164" customFormat="false" ht="15" hidden="false" customHeight="false" outlineLevel="0" collapsed="false">
      <c r="A164" s="12" t="s">
        <v>404</v>
      </c>
      <c r="B164" s="37" t="s">
        <v>9</v>
      </c>
      <c r="C164" s="44" t="n">
        <v>0</v>
      </c>
      <c r="D164" s="44" t="n">
        <v>5000</v>
      </c>
      <c r="E164" s="44" t="n">
        <v>6000</v>
      </c>
      <c r="F164" s="44" t="n">
        <v>6800</v>
      </c>
      <c r="G164" s="44" t="n">
        <v>7400</v>
      </c>
    </row>
    <row r="165" customFormat="false" ht="15" hidden="false" customHeight="false" outlineLevel="0" collapsed="false">
      <c r="A165" s="12" t="s">
        <v>405</v>
      </c>
      <c r="B165" s="37" t="s">
        <v>9</v>
      </c>
      <c r="C165" s="44" t="n">
        <v>0</v>
      </c>
      <c r="D165" s="44" t="n">
        <v>1600</v>
      </c>
      <c r="E165" s="44" t="n">
        <v>1800</v>
      </c>
      <c r="F165" s="44" t="n">
        <v>1950</v>
      </c>
      <c r="G165" s="44" t="n">
        <v>2100</v>
      </c>
    </row>
    <row r="166" customFormat="false" ht="15" hidden="false" customHeight="false" outlineLevel="0" collapsed="false">
      <c r="A166" s="12" t="s">
        <v>406</v>
      </c>
      <c r="B166" s="37" t="s">
        <v>9</v>
      </c>
      <c r="C166" s="51" t="n">
        <v>0</v>
      </c>
      <c r="D166" s="51" t="n">
        <v>2.2</v>
      </c>
      <c r="E166" s="51" t="n">
        <v>2</v>
      </c>
      <c r="F166" s="51" t="n">
        <v>1.85</v>
      </c>
      <c r="G166" s="51" t="n">
        <v>1.75</v>
      </c>
      <c r="X166" s="40" t="s">
        <v>407</v>
      </c>
    </row>
    <row r="167" customFormat="false" ht="15" hidden="false" customHeight="false" outlineLevel="0" collapsed="false">
      <c r="A167" s="12" t="s">
        <v>408</v>
      </c>
      <c r="B167" s="37" t="s">
        <v>9</v>
      </c>
      <c r="C167" s="51" t="n">
        <v>2.2</v>
      </c>
    </row>
    <row r="168" customFormat="false" ht="15" hidden="false" customHeight="false" outlineLevel="0" collapsed="false">
      <c r="A168" s="12" t="s">
        <v>409</v>
      </c>
      <c r="B168" s="37" t="s">
        <v>9</v>
      </c>
      <c r="C168" s="51" t="n">
        <v>0.18</v>
      </c>
      <c r="X168" s="40" t="s">
        <v>410</v>
      </c>
    </row>
    <row r="170" customFormat="false" ht="16.5" hidden="false" customHeight="true" outlineLevel="0" collapsed="false">
      <c r="A170" s="15" t="s">
        <v>411</v>
      </c>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row>
    <row r="171" customFormat="false" ht="15" hidden="false" customHeight="false" outlineLevel="0" collapsed="false">
      <c r="A171" s="42" t="s">
        <v>412</v>
      </c>
      <c r="B171" s="42"/>
      <c r="C171" s="42"/>
      <c r="D171" s="42"/>
      <c r="E171" s="42"/>
      <c r="F171" s="42"/>
      <c r="G171" s="42"/>
      <c r="H171" s="42"/>
      <c r="I171" s="42"/>
      <c r="J171" s="42"/>
      <c r="K171" s="42"/>
      <c r="L171" s="42"/>
      <c r="M171" s="42"/>
      <c r="N171" s="42"/>
      <c r="O171" s="42"/>
      <c r="P171" s="42"/>
    </row>
    <row r="172" customFormat="false" ht="15" hidden="false" customHeight="false" outlineLevel="0" collapsed="false">
      <c r="C172" s="53" t="s">
        <v>81</v>
      </c>
      <c r="D172" s="53" t="s">
        <v>82</v>
      </c>
      <c r="E172" s="53" t="s">
        <v>83</v>
      </c>
      <c r="F172" s="53" t="s">
        <v>84</v>
      </c>
      <c r="G172" s="53" t="s">
        <v>85</v>
      </c>
    </row>
    <row r="173" customFormat="false" ht="15" hidden="false" customHeight="false" outlineLevel="0" collapsed="false">
      <c r="A173" s="12" t="s">
        <v>413</v>
      </c>
      <c r="B173" s="37" t="s">
        <v>239</v>
      </c>
      <c r="C173" s="50" t="n">
        <v>0</v>
      </c>
      <c r="D173" s="50" t="n">
        <v>0.08</v>
      </c>
      <c r="E173" s="50" t="n">
        <v>0.22</v>
      </c>
      <c r="F173" s="50" t="n">
        <v>0.35</v>
      </c>
      <c r="G173" s="50" t="n">
        <v>0.45</v>
      </c>
    </row>
    <row r="174" customFormat="false" ht="15" hidden="false" customHeight="false" outlineLevel="0" collapsed="false">
      <c r="A174" s="12" t="s">
        <v>414</v>
      </c>
      <c r="B174" s="37" t="s">
        <v>239</v>
      </c>
      <c r="C174" s="50" t="n">
        <v>0.4</v>
      </c>
      <c r="X174" s="40" t="s">
        <v>415</v>
      </c>
    </row>
    <row r="175" customFormat="false" ht="15" hidden="false" customHeight="false" outlineLevel="0" collapsed="false">
      <c r="A175" s="12" t="s">
        <v>416</v>
      </c>
      <c r="B175" s="37" t="s">
        <v>239</v>
      </c>
      <c r="C175" s="50" t="n">
        <v>0.1</v>
      </c>
      <c r="D175" s="50" t="n">
        <v>0.1</v>
      </c>
      <c r="E175" s="50" t="n">
        <v>0.1</v>
      </c>
      <c r="F175" s="50" t="n">
        <v>0.1</v>
      </c>
      <c r="G175" s="50" t="n">
        <v>0.1</v>
      </c>
      <c r="X175" s="40" t="s">
        <v>417</v>
      </c>
    </row>
    <row r="176" customFormat="false" ht="15" hidden="false" customHeight="false" outlineLevel="0" collapsed="false">
      <c r="A176" s="12" t="s">
        <v>418</v>
      </c>
      <c r="B176" s="37" t="s">
        <v>239</v>
      </c>
      <c r="C176" s="50" t="n">
        <v>0.1</v>
      </c>
    </row>
    <row r="177" customFormat="false" ht="15" hidden="false" customHeight="false" outlineLevel="0" collapsed="false">
      <c r="A177" s="12" t="s">
        <v>419</v>
      </c>
      <c r="B177" s="37" t="s">
        <v>239</v>
      </c>
      <c r="C177" s="50" t="n">
        <v>0</v>
      </c>
      <c r="D177" s="50" t="n">
        <v>0.07</v>
      </c>
      <c r="E177" s="50" t="n">
        <v>0.07</v>
      </c>
      <c r="F177" s="50" t="n">
        <v>0.06</v>
      </c>
      <c r="G177" s="50" t="n">
        <v>0.06</v>
      </c>
      <c r="X177" s="40" t="s">
        <v>420</v>
      </c>
    </row>
    <row r="178" customFormat="false" ht="15" hidden="false" customHeight="false" outlineLevel="0" collapsed="false">
      <c r="A178" s="12" t="s">
        <v>421</v>
      </c>
      <c r="B178" s="37" t="s">
        <v>239</v>
      </c>
      <c r="C178" s="50" t="n">
        <v>0.035</v>
      </c>
    </row>
    <row r="180" customFormat="false" ht="16.5" hidden="false" customHeight="true" outlineLevel="0" collapsed="false">
      <c r="A180" s="15" t="s">
        <v>422</v>
      </c>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row>
    <row r="181" customFormat="false" ht="15" hidden="false" customHeight="false" outlineLevel="0" collapsed="false">
      <c r="A181" s="42" t="s">
        <v>423</v>
      </c>
      <c r="B181" s="42"/>
      <c r="C181" s="42"/>
      <c r="D181" s="42"/>
      <c r="E181" s="42"/>
      <c r="F181" s="42"/>
      <c r="G181" s="42"/>
      <c r="H181" s="42"/>
      <c r="I181" s="42"/>
      <c r="J181" s="42"/>
      <c r="K181" s="42"/>
      <c r="L181" s="42"/>
      <c r="M181" s="42"/>
      <c r="N181" s="42"/>
      <c r="O181" s="42"/>
      <c r="P181" s="42"/>
    </row>
    <row r="182" customFormat="false" ht="15" hidden="false" customHeight="false" outlineLevel="0" collapsed="false">
      <c r="C182" s="53" t="s">
        <v>81</v>
      </c>
      <c r="D182" s="53" t="s">
        <v>82</v>
      </c>
      <c r="E182" s="53" t="s">
        <v>83</v>
      </c>
      <c r="F182" s="53" t="s">
        <v>84</v>
      </c>
      <c r="G182" s="53" t="s">
        <v>85</v>
      </c>
    </row>
    <row r="183" customFormat="false" ht="15" hidden="false" customHeight="false" outlineLevel="0" collapsed="false">
      <c r="A183" s="12" t="s">
        <v>424</v>
      </c>
      <c r="B183" s="37" t="s">
        <v>9</v>
      </c>
      <c r="C183" s="44" t="n">
        <v>65</v>
      </c>
      <c r="D183" s="44" t="n">
        <v>85</v>
      </c>
      <c r="E183" s="44" t="n">
        <v>100</v>
      </c>
      <c r="F183" s="44" t="n">
        <v>110</v>
      </c>
      <c r="G183" s="44" t="n">
        <v>120</v>
      </c>
      <c r="X183" s="40" t="s">
        <v>425</v>
      </c>
    </row>
    <row r="184" customFormat="false" ht="15" hidden="false" customHeight="false" outlineLevel="0" collapsed="false">
      <c r="A184" s="12" t="s">
        <v>426</v>
      </c>
      <c r="B184" s="37" t="s">
        <v>9</v>
      </c>
      <c r="C184" s="44" t="n">
        <v>20</v>
      </c>
      <c r="D184" s="44" t="n">
        <v>25</v>
      </c>
      <c r="E184" s="44" t="n">
        <v>28</v>
      </c>
      <c r="F184" s="44" t="n">
        <v>30</v>
      </c>
      <c r="G184" s="44" t="n">
        <v>32</v>
      </c>
    </row>
    <row r="185" customFormat="false" ht="15" hidden="false" customHeight="false" outlineLevel="0" collapsed="false">
      <c r="A185" s="12" t="s">
        <v>427</v>
      </c>
      <c r="B185" s="37" t="s">
        <v>9</v>
      </c>
      <c r="C185" s="44" t="n">
        <v>150</v>
      </c>
      <c r="D185" s="44" t="n">
        <v>380</v>
      </c>
      <c r="E185" s="44" t="n">
        <v>850</v>
      </c>
      <c r="F185" s="44" t="n">
        <v>1400</v>
      </c>
      <c r="G185" s="44" t="n">
        <v>1900</v>
      </c>
    </row>
    <row r="186" customFormat="false" ht="15" hidden="false" customHeight="false" outlineLevel="0" collapsed="false">
      <c r="A186" s="12" t="s">
        <v>428</v>
      </c>
      <c r="B186" s="37" t="s">
        <v>9</v>
      </c>
      <c r="C186" s="51" t="n">
        <v>0.03</v>
      </c>
    </row>
    <row r="187" customFormat="false" ht="15" hidden="false" customHeight="false" outlineLevel="0" collapsed="false">
      <c r="A187" s="12" t="s">
        <v>429</v>
      </c>
      <c r="B187" s="37" t="s">
        <v>9</v>
      </c>
      <c r="C187" s="44" t="n">
        <v>55</v>
      </c>
      <c r="D187" s="44" t="n">
        <v>70</v>
      </c>
      <c r="E187" s="44" t="n">
        <v>80</v>
      </c>
      <c r="F187" s="44" t="n">
        <v>85</v>
      </c>
      <c r="G187" s="44" t="n">
        <v>90</v>
      </c>
    </row>
    <row r="188" customFormat="false" ht="15" hidden="false" customHeight="false" outlineLevel="0" collapsed="false">
      <c r="A188" s="12" t="s">
        <v>430</v>
      </c>
      <c r="B188" s="37" t="s">
        <v>9</v>
      </c>
      <c r="C188" s="44" t="n">
        <v>40</v>
      </c>
      <c r="D188" s="44" t="n">
        <v>80</v>
      </c>
      <c r="E188" s="44" t="n">
        <v>110</v>
      </c>
      <c r="F188" s="44" t="n">
        <v>120</v>
      </c>
      <c r="G188" s="44" t="n">
        <v>130</v>
      </c>
    </row>
    <row r="189" customFormat="false" ht="15" hidden="false" customHeight="false" outlineLevel="0" collapsed="false">
      <c r="A189" s="12" t="s">
        <v>431</v>
      </c>
      <c r="B189" s="37" t="s">
        <v>9</v>
      </c>
      <c r="C189" s="44" t="n">
        <v>330</v>
      </c>
      <c r="D189" s="44" t="n">
        <v>800</v>
      </c>
      <c r="E189" s="44" t="n">
        <v>1400</v>
      </c>
      <c r="F189" s="44" t="n">
        <v>1900</v>
      </c>
      <c r="G189" s="44" t="n">
        <v>2300</v>
      </c>
      <c r="X189" s="40" t="s">
        <v>432</v>
      </c>
    </row>
    <row r="190" customFormat="false" ht="15" hidden="false" customHeight="false" outlineLevel="0" collapsed="false">
      <c r="A190" s="12" t="s">
        <v>433</v>
      </c>
      <c r="B190" s="37" t="s">
        <v>9</v>
      </c>
      <c r="C190" s="44" t="n">
        <v>40</v>
      </c>
      <c r="D190" s="44" t="n">
        <v>180</v>
      </c>
      <c r="E190" s="44" t="n">
        <v>450</v>
      </c>
      <c r="F190" s="44" t="n">
        <v>700</v>
      </c>
      <c r="G190" s="44" t="n">
        <v>900</v>
      </c>
    </row>
    <row r="191" customFormat="false" ht="15" hidden="false" customHeight="false" outlineLevel="0" collapsed="false">
      <c r="A191" s="12" t="s">
        <v>434</v>
      </c>
      <c r="B191" s="37" t="s">
        <v>9</v>
      </c>
      <c r="C191" s="44" t="n">
        <v>0</v>
      </c>
      <c r="D191" s="44" t="n">
        <v>200</v>
      </c>
      <c r="E191" s="44" t="n">
        <v>800</v>
      </c>
      <c r="F191" s="44" t="n">
        <v>1500</v>
      </c>
      <c r="G191" s="44" t="n">
        <v>2100</v>
      </c>
    </row>
    <row r="192" customFormat="false" ht="15" hidden="false" customHeight="false" outlineLevel="0" collapsed="false">
      <c r="A192" s="12" t="s">
        <v>435</v>
      </c>
      <c r="B192" s="37" t="s">
        <v>9</v>
      </c>
      <c r="C192" s="44" t="n">
        <v>110</v>
      </c>
      <c r="D192" s="44" t="n">
        <v>180</v>
      </c>
      <c r="E192" s="44" t="n">
        <v>280</v>
      </c>
      <c r="F192" s="44" t="n">
        <v>360</v>
      </c>
      <c r="G192" s="44" t="n">
        <v>440</v>
      </c>
    </row>
    <row r="193" customFormat="false" ht="15" hidden="false" customHeight="false" outlineLevel="0" collapsed="false">
      <c r="A193" s="12" t="s">
        <v>436</v>
      </c>
      <c r="B193" s="37" t="s">
        <v>206</v>
      </c>
      <c r="C193" s="43" t="n">
        <v>16</v>
      </c>
      <c r="D193" s="43" t="n">
        <v>50</v>
      </c>
      <c r="E193" s="43" t="n">
        <v>110</v>
      </c>
      <c r="F193" s="43" t="n">
        <v>180</v>
      </c>
      <c r="G193" s="43" t="n">
        <v>250</v>
      </c>
    </row>
    <row r="194" customFormat="false" ht="15" hidden="false" customHeight="false" outlineLevel="0" collapsed="false">
      <c r="A194" s="12" t="s">
        <v>437</v>
      </c>
      <c r="B194" s="37" t="s">
        <v>9</v>
      </c>
      <c r="C194" s="44" t="n">
        <v>15</v>
      </c>
    </row>
    <row r="195" customFormat="false" ht="15" hidden="false" customHeight="false" outlineLevel="0" collapsed="false">
      <c r="A195" s="12" t="s">
        <v>438</v>
      </c>
      <c r="B195" s="37" t="s">
        <v>206</v>
      </c>
      <c r="C195" s="43" t="n">
        <v>7</v>
      </c>
    </row>
    <row r="196" customFormat="false" ht="15" hidden="false" customHeight="false" outlineLevel="0" collapsed="false">
      <c r="A196" s="12" t="s">
        <v>439</v>
      </c>
      <c r="B196" s="37" t="s">
        <v>239</v>
      </c>
      <c r="C196" s="50" t="n">
        <v>0.04</v>
      </c>
    </row>
    <row r="197" customFormat="false" ht="15" hidden="false" customHeight="false" outlineLevel="0" collapsed="false">
      <c r="A197" s="12" t="s">
        <v>440</v>
      </c>
      <c r="B197" s="37" t="s">
        <v>239</v>
      </c>
      <c r="C197" s="50" t="n">
        <v>0.04</v>
      </c>
    </row>
    <row r="199" customFormat="false" ht="16.5" hidden="false" customHeight="true" outlineLevel="0" collapsed="false">
      <c r="A199" s="15" t="s">
        <v>441</v>
      </c>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row>
    <row r="200" customFormat="false" ht="15" hidden="false" customHeight="false" outlineLevel="0" collapsed="false">
      <c r="A200" s="12" t="s">
        <v>442</v>
      </c>
      <c r="B200" s="37" t="s">
        <v>385</v>
      </c>
      <c r="C200" s="60" t="n">
        <v>75</v>
      </c>
      <c r="X200" s="40" t="s">
        <v>443</v>
      </c>
    </row>
    <row r="201" customFormat="false" ht="15" hidden="false" customHeight="false" outlineLevel="0" collapsed="false">
      <c r="A201" s="12" t="s">
        <v>444</v>
      </c>
      <c r="B201" s="37" t="s">
        <v>385</v>
      </c>
      <c r="C201" s="60" t="n">
        <v>2</v>
      </c>
    </row>
    <row r="202" customFormat="false" ht="15" hidden="false" customHeight="false" outlineLevel="0" collapsed="false">
      <c r="A202" s="12" t="s">
        <v>445</v>
      </c>
      <c r="B202" s="37" t="s">
        <v>385</v>
      </c>
      <c r="C202" s="60" t="n">
        <v>35</v>
      </c>
    </row>
    <row r="203" customFormat="false" ht="15" hidden="false" customHeight="false" outlineLevel="0" collapsed="false">
      <c r="A203" s="12" t="s">
        <v>446</v>
      </c>
      <c r="B203" s="37" t="s">
        <v>385</v>
      </c>
      <c r="C203" s="60" t="n">
        <v>10</v>
      </c>
    </row>
    <row r="204" customFormat="false" ht="15" hidden="false" customHeight="false" outlineLevel="0" collapsed="false">
      <c r="A204" s="12" t="s">
        <v>447</v>
      </c>
      <c r="B204" s="37" t="s">
        <v>239</v>
      </c>
      <c r="C204" s="50" t="n">
        <v>0.25</v>
      </c>
      <c r="X204" s="40" t="s">
        <v>448</v>
      </c>
    </row>
    <row r="205" customFormat="false" ht="15" hidden="false" customHeight="false" outlineLevel="0" collapsed="false">
      <c r="A205" s="12" t="s">
        <v>449</v>
      </c>
      <c r="B205" s="37" t="s">
        <v>9</v>
      </c>
      <c r="C205" s="44" t="n">
        <v>150000</v>
      </c>
      <c r="X205" s="40" t="s">
        <v>450</v>
      </c>
    </row>
    <row r="206" customFormat="false" ht="15" hidden="false" customHeight="false" outlineLevel="0" collapsed="false">
      <c r="A206" s="12" t="s">
        <v>451</v>
      </c>
      <c r="B206" s="37" t="s">
        <v>206</v>
      </c>
      <c r="C206" s="43" t="n">
        <v>4</v>
      </c>
    </row>
    <row r="207" customFormat="false" ht="15" hidden="false" customHeight="false" outlineLevel="0" collapsed="false">
      <c r="A207" s="12" t="s">
        <v>452</v>
      </c>
      <c r="B207" s="37" t="s">
        <v>9</v>
      </c>
      <c r="C207" s="44" t="n">
        <v>25000</v>
      </c>
    </row>
    <row r="208" customFormat="false" ht="15" hidden="false" customHeight="false" outlineLevel="0" collapsed="false">
      <c r="A208" s="12" t="s">
        <v>453</v>
      </c>
      <c r="B208" s="37" t="s">
        <v>206</v>
      </c>
      <c r="C208" s="54" t="n">
        <v>2.5</v>
      </c>
      <c r="X208" s="40" t="s">
        <v>454</v>
      </c>
    </row>
    <row r="210" customFormat="false" ht="16.5" hidden="false" customHeight="true" outlineLevel="0" collapsed="false">
      <c r="A210" s="15" t="s">
        <v>455</v>
      </c>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row>
    <row r="211" customFormat="false" ht="15" hidden="false" customHeight="false" outlineLevel="0" collapsed="false">
      <c r="A211" s="12" t="s">
        <v>456</v>
      </c>
      <c r="B211" s="37" t="s">
        <v>239</v>
      </c>
      <c r="C211" s="50" t="n">
        <v>0.225</v>
      </c>
      <c r="X211" s="40" t="s">
        <v>457</v>
      </c>
    </row>
    <row r="212" customFormat="false" ht="15" hidden="false" customHeight="false" outlineLevel="0" collapsed="false">
      <c r="A212" s="12" t="s">
        <v>458</v>
      </c>
      <c r="B212" s="37" t="s">
        <v>206</v>
      </c>
      <c r="C212" s="43" t="n">
        <v>4</v>
      </c>
    </row>
    <row r="213" customFormat="false" ht="15" hidden="false" customHeight="false" outlineLevel="0" collapsed="false">
      <c r="A213" s="12" t="s">
        <v>459</v>
      </c>
      <c r="B213" s="37" t="s">
        <v>9</v>
      </c>
      <c r="C213" s="44" t="n">
        <v>0</v>
      </c>
      <c r="X213" s="40" t="s">
        <v>460</v>
      </c>
    </row>
    <row r="215" customFormat="false" ht="16.5" hidden="false" customHeight="true" outlineLevel="0" collapsed="false">
      <c r="A215" s="15" t="s">
        <v>461</v>
      </c>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row>
    <row r="216" customFormat="false" ht="15" hidden="false" customHeight="false" outlineLevel="0" collapsed="false">
      <c r="A216" s="42" t="s">
        <v>462</v>
      </c>
      <c r="B216" s="42"/>
      <c r="C216" s="42"/>
      <c r="D216" s="42"/>
      <c r="E216" s="42"/>
      <c r="F216" s="42"/>
      <c r="G216" s="42"/>
      <c r="H216" s="42"/>
      <c r="I216" s="42"/>
      <c r="J216" s="42"/>
      <c r="K216" s="42"/>
      <c r="L216" s="42"/>
      <c r="M216" s="42"/>
      <c r="N216" s="42"/>
      <c r="O216" s="42"/>
      <c r="P216" s="42"/>
    </row>
    <row r="217" customFormat="false" ht="25.5" hidden="false" customHeight="true" outlineLevel="0" collapsed="false">
      <c r="A217" s="26" t="s">
        <v>463</v>
      </c>
      <c r="B217" s="26"/>
      <c r="C217" s="48" t="s">
        <v>464</v>
      </c>
      <c r="D217" s="48" t="s">
        <v>465</v>
      </c>
      <c r="E217" s="48" t="s">
        <v>466</v>
      </c>
    </row>
    <row r="218" customFormat="false" ht="15" hidden="false" customHeight="false" outlineLevel="0" collapsed="false">
      <c r="A218" s="49" t="s">
        <v>467</v>
      </c>
      <c r="C218" s="44" t="n">
        <v>750</v>
      </c>
      <c r="D218" s="43" t="n">
        <v>1</v>
      </c>
      <c r="E218" s="43" t="n">
        <v>36</v>
      </c>
    </row>
    <row r="219" customFormat="false" ht="15" hidden="false" customHeight="false" outlineLevel="0" collapsed="false">
      <c r="A219" s="49" t="s">
        <v>468</v>
      </c>
      <c r="C219" s="44" t="n">
        <v>150</v>
      </c>
      <c r="D219" s="43" t="n">
        <v>1</v>
      </c>
      <c r="E219" s="43" t="n">
        <v>48</v>
      </c>
    </row>
    <row r="220" customFormat="false" ht="15" hidden="false" customHeight="false" outlineLevel="0" collapsed="false">
      <c r="A220" s="49" t="s">
        <v>469</v>
      </c>
      <c r="C220" s="44" t="n">
        <v>180</v>
      </c>
      <c r="D220" s="43" t="n">
        <v>1</v>
      </c>
      <c r="E220" s="43" t="n">
        <v>24</v>
      </c>
    </row>
    <row r="221" customFormat="false" ht="15" hidden="false" customHeight="false" outlineLevel="0" collapsed="false">
      <c r="A221" s="49" t="s">
        <v>470</v>
      </c>
      <c r="C221" s="44" t="n">
        <v>0</v>
      </c>
      <c r="D221" s="43" t="n">
        <v>1</v>
      </c>
      <c r="E221" s="43" t="n">
        <v>60</v>
      </c>
    </row>
    <row r="223" customFormat="false" ht="15" hidden="false" customHeight="false" outlineLevel="0" collapsed="false">
      <c r="A223" s="18" t="s">
        <v>471</v>
      </c>
      <c r="C223" s="48" t="s">
        <v>472</v>
      </c>
      <c r="D223" s="48" t="s">
        <v>473</v>
      </c>
      <c r="E223" s="48" t="s">
        <v>466</v>
      </c>
    </row>
    <row r="224" customFormat="false" ht="15" hidden="false" customHeight="false" outlineLevel="0" collapsed="false">
      <c r="A224" s="49" t="s">
        <v>474</v>
      </c>
      <c r="C224" s="43" t="n">
        <v>2</v>
      </c>
      <c r="D224" s="44" t="n">
        <v>2200</v>
      </c>
      <c r="E224" s="43" t="n">
        <v>48</v>
      </c>
    </row>
    <row r="225" customFormat="false" ht="15" hidden="false" customHeight="false" outlineLevel="0" collapsed="false">
      <c r="A225" s="49" t="s">
        <v>475</v>
      </c>
      <c r="C225" s="43" t="n">
        <v>1</v>
      </c>
      <c r="D225" s="44" t="n">
        <v>600</v>
      </c>
      <c r="E225" s="43" t="n">
        <v>48</v>
      </c>
    </row>
    <row r="226" customFormat="false" ht="15" hidden="false" customHeight="false" outlineLevel="0" collapsed="false">
      <c r="A226" s="49" t="s">
        <v>476</v>
      </c>
      <c r="C226" s="43" t="n">
        <v>1</v>
      </c>
      <c r="D226" s="44" t="n">
        <v>3000</v>
      </c>
      <c r="E226" s="43" t="n">
        <v>60</v>
      </c>
    </row>
    <row r="227" customFormat="false" ht="15" hidden="false" customHeight="false" outlineLevel="0" collapsed="false">
      <c r="A227" s="49" t="s">
        <v>477</v>
      </c>
      <c r="C227" s="43" t="n">
        <v>25</v>
      </c>
      <c r="D227" s="44" t="n">
        <v>4000</v>
      </c>
      <c r="E227" s="43" t="n">
        <v>60</v>
      </c>
    </row>
    <row r="228" customFormat="false" ht="15" hidden="false" customHeight="false" outlineLevel="0" collapsed="false">
      <c r="A228" s="49" t="s">
        <v>478</v>
      </c>
      <c r="C228" s="43" t="n">
        <v>25</v>
      </c>
      <c r="D228" s="44" t="n">
        <v>6000</v>
      </c>
      <c r="E228" s="43" t="n">
        <v>60</v>
      </c>
    </row>
  </sheetData>
  <mergeCells count="10">
    <mergeCell ref="A11:P11"/>
    <mergeCell ref="A39:P39"/>
    <mergeCell ref="A54:P54"/>
    <mergeCell ref="A66:P66"/>
    <mergeCell ref="A80:P80"/>
    <mergeCell ref="A93:P93"/>
    <mergeCell ref="A139:P139"/>
    <mergeCell ref="A171:P171"/>
    <mergeCell ref="A181:P181"/>
    <mergeCell ref="A216:P2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194</v>
      </c>
    </row>
    <row r="2" customFormat="false" ht="13.5" hidden="false" customHeight="true" outlineLevel="0" collapsed="false">
      <c r="A2" s="6" t="s">
        <v>479</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480</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467</v>
      </c>
      <c r="B7" s="64" t="n">
        <f aca="false">SUM(C7:N7)</f>
        <v>4500</v>
      </c>
      <c r="C7" s="65" t="n">
        <f aca="false">Payroll!C$65*'Assumption Setting'!$C$218*'Assumption Setting'!$D$218</f>
        <v>4500</v>
      </c>
      <c r="D7" s="65" t="n">
        <f aca="false">Payroll!D$65*'Assumption Setting'!$C$218*'Assumption Setting'!$D$218</f>
        <v>0</v>
      </c>
      <c r="E7" s="65" t="n">
        <f aca="false">Payroll!E$65*'Assumption Setting'!$C$218*'Assumption Setting'!$D$218</f>
        <v>0</v>
      </c>
      <c r="F7" s="65" t="n">
        <f aca="false">Payroll!F$65*'Assumption Setting'!$C$218*'Assumption Setting'!$D$218</f>
        <v>0</v>
      </c>
      <c r="G7" s="65" t="n">
        <f aca="false">Payroll!G$65*'Assumption Setting'!$C$218*'Assumption Setting'!$D$218</f>
        <v>0</v>
      </c>
      <c r="H7" s="65" t="n">
        <f aca="false">Payroll!H$65*'Assumption Setting'!$C$218*'Assumption Setting'!$D$218</f>
        <v>0</v>
      </c>
      <c r="I7" s="65" t="n">
        <f aca="false">Payroll!I$65*'Assumption Setting'!$C$218*'Assumption Setting'!$D$218</f>
        <v>0</v>
      </c>
      <c r="J7" s="65" t="n">
        <f aca="false">Payroll!J$65*'Assumption Setting'!$C$218*'Assumption Setting'!$D$218</f>
        <v>0</v>
      </c>
      <c r="K7" s="65" t="n">
        <f aca="false">Payroll!K$65*'Assumption Setting'!$C$218*'Assumption Setting'!$D$218</f>
        <v>0</v>
      </c>
      <c r="L7" s="65" t="n">
        <f aca="false">Payroll!L$65*'Assumption Setting'!$C$218*'Assumption Setting'!$D$218</f>
        <v>0</v>
      </c>
      <c r="M7" s="65" t="n">
        <f aca="false">Payroll!M$65*'Assumption Setting'!$C$218*'Assumption Setting'!$D$218</f>
        <v>0</v>
      </c>
      <c r="N7" s="65" t="n">
        <f aca="false">Payroll!N$65*'Assumption Setting'!$C$218*'Assumption Setting'!$D$218</f>
        <v>0</v>
      </c>
      <c r="O7" s="64" t="n">
        <f aca="false">SUM(P7:AA7)</f>
        <v>2250</v>
      </c>
      <c r="P7" s="65" t="n">
        <f aca="false">Payroll!P$65*'Assumption Setting'!$C$218*'Assumption Setting'!$D$218</f>
        <v>2250</v>
      </c>
      <c r="Q7" s="65" t="n">
        <f aca="false">Payroll!Q$65*'Assumption Setting'!$C$218*'Assumption Setting'!$D$218</f>
        <v>0</v>
      </c>
      <c r="R7" s="65" t="n">
        <f aca="false">Payroll!R$65*'Assumption Setting'!$C$218*'Assumption Setting'!$D$218</f>
        <v>0</v>
      </c>
      <c r="S7" s="65" t="n">
        <f aca="false">Payroll!S$65*'Assumption Setting'!$C$218*'Assumption Setting'!$D$218</f>
        <v>0</v>
      </c>
      <c r="T7" s="65" t="n">
        <f aca="false">Payroll!T$65*'Assumption Setting'!$C$218*'Assumption Setting'!$D$218</f>
        <v>0</v>
      </c>
      <c r="U7" s="65" t="n">
        <f aca="false">Payroll!U$65*'Assumption Setting'!$C$218*'Assumption Setting'!$D$218</f>
        <v>0</v>
      </c>
      <c r="V7" s="65" t="n">
        <f aca="false">Payroll!V$65*'Assumption Setting'!$C$218*'Assumption Setting'!$D$218</f>
        <v>0</v>
      </c>
      <c r="W7" s="65" t="n">
        <f aca="false">Payroll!W$65*'Assumption Setting'!$C$218*'Assumption Setting'!$D$218</f>
        <v>0</v>
      </c>
      <c r="X7" s="65" t="n">
        <f aca="false">Payroll!X$65*'Assumption Setting'!$C$218*'Assumption Setting'!$D$218</f>
        <v>0</v>
      </c>
      <c r="Y7" s="65" t="n">
        <f aca="false">Payroll!Y$65*'Assumption Setting'!$C$218*'Assumption Setting'!$D$218</f>
        <v>0</v>
      </c>
      <c r="Z7" s="65" t="n">
        <f aca="false">Payroll!Z$65*'Assumption Setting'!$C$218*'Assumption Setting'!$D$218</f>
        <v>0</v>
      </c>
      <c r="AA7" s="65" t="n">
        <f aca="false">Payroll!AA$65*'Assumption Setting'!$C$218*'Assumption Setting'!$D$218</f>
        <v>0</v>
      </c>
      <c r="AB7" s="64" t="n">
        <f aca="false">SUM(AC7:AN7)</f>
        <v>2250</v>
      </c>
      <c r="AC7" s="65" t="n">
        <f aca="false">Payroll!AC$65*'Assumption Setting'!$C$218*'Assumption Setting'!$D$218</f>
        <v>2250</v>
      </c>
      <c r="AD7" s="65" t="n">
        <f aca="false">Payroll!AD$65*'Assumption Setting'!$C$218*'Assumption Setting'!$D$218</f>
        <v>0</v>
      </c>
      <c r="AE7" s="65" t="n">
        <f aca="false">Payroll!AE$65*'Assumption Setting'!$C$218*'Assumption Setting'!$D$218</f>
        <v>0</v>
      </c>
      <c r="AF7" s="65" t="n">
        <f aca="false">Payroll!AF$65*'Assumption Setting'!$C$218*'Assumption Setting'!$D$218</f>
        <v>0</v>
      </c>
      <c r="AG7" s="65" t="n">
        <f aca="false">Payroll!AG$65*'Assumption Setting'!$C$218*'Assumption Setting'!$D$218</f>
        <v>0</v>
      </c>
      <c r="AH7" s="65" t="n">
        <f aca="false">Payroll!AH$65*'Assumption Setting'!$C$218*'Assumption Setting'!$D$218</f>
        <v>0</v>
      </c>
      <c r="AI7" s="65" t="n">
        <f aca="false">Payroll!AI$65*'Assumption Setting'!$C$218*'Assumption Setting'!$D$218</f>
        <v>0</v>
      </c>
      <c r="AJ7" s="65" t="n">
        <f aca="false">Payroll!AJ$65*'Assumption Setting'!$C$218*'Assumption Setting'!$D$218</f>
        <v>0</v>
      </c>
      <c r="AK7" s="65" t="n">
        <f aca="false">Payroll!AK$65*'Assumption Setting'!$C$218*'Assumption Setting'!$D$218</f>
        <v>0</v>
      </c>
      <c r="AL7" s="65" t="n">
        <f aca="false">Payroll!AL$65*'Assumption Setting'!$C$218*'Assumption Setting'!$D$218</f>
        <v>0</v>
      </c>
      <c r="AM7" s="65" t="n">
        <f aca="false">Payroll!AM$65*'Assumption Setting'!$C$218*'Assumption Setting'!$D$218</f>
        <v>0</v>
      </c>
      <c r="AN7" s="65" t="n">
        <f aca="false">Payroll!AN$65*'Assumption Setting'!$C$218*'Assumption Setting'!$D$218</f>
        <v>0</v>
      </c>
      <c r="AO7" s="64" t="n">
        <f aca="false">SUM(AP7:BA7)</f>
        <v>3000</v>
      </c>
      <c r="AP7" s="65" t="n">
        <f aca="false">Payroll!AP$65*'Assumption Setting'!$C$218*'Assumption Setting'!$D$218</f>
        <v>3000</v>
      </c>
      <c r="AQ7" s="65" t="n">
        <f aca="false">Payroll!AQ$65*'Assumption Setting'!$C$218*'Assumption Setting'!$D$218</f>
        <v>0</v>
      </c>
      <c r="AR7" s="65" t="n">
        <f aca="false">Payroll!AR$65*'Assumption Setting'!$C$218*'Assumption Setting'!$D$218</f>
        <v>0</v>
      </c>
      <c r="AS7" s="65" t="n">
        <f aca="false">Payroll!AS$65*'Assumption Setting'!$C$218*'Assumption Setting'!$D$218</f>
        <v>0</v>
      </c>
      <c r="AT7" s="65" t="n">
        <f aca="false">Payroll!AT$65*'Assumption Setting'!$C$218*'Assumption Setting'!$D$218</f>
        <v>0</v>
      </c>
      <c r="AU7" s="65" t="n">
        <f aca="false">Payroll!AU$65*'Assumption Setting'!$C$218*'Assumption Setting'!$D$218</f>
        <v>0</v>
      </c>
      <c r="AV7" s="65" t="n">
        <f aca="false">Payroll!AV$65*'Assumption Setting'!$C$218*'Assumption Setting'!$D$218</f>
        <v>0</v>
      </c>
      <c r="AW7" s="65" t="n">
        <f aca="false">Payroll!AW$65*'Assumption Setting'!$C$218*'Assumption Setting'!$D$218</f>
        <v>0</v>
      </c>
      <c r="AX7" s="65" t="n">
        <f aca="false">Payroll!AX$65*'Assumption Setting'!$C$218*'Assumption Setting'!$D$218</f>
        <v>0</v>
      </c>
      <c r="AY7" s="65" t="n">
        <f aca="false">Payroll!AY$65*'Assumption Setting'!$C$218*'Assumption Setting'!$D$218</f>
        <v>0</v>
      </c>
      <c r="AZ7" s="65" t="n">
        <f aca="false">Payroll!AZ$65*'Assumption Setting'!$C$218*'Assumption Setting'!$D$218</f>
        <v>0</v>
      </c>
      <c r="BA7" s="65" t="n">
        <f aca="false">Payroll!BA$65*'Assumption Setting'!$C$218*'Assumption Setting'!$D$218</f>
        <v>0</v>
      </c>
      <c r="BB7" s="64" t="n">
        <f aca="false">SUM(BC7:BN7)</f>
        <v>3000</v>
      </c>
      <c r="BC7" s="65" t="n">
        <f aca="false">Payroll!BC$65*'Assumption Setting'!$C$218*'Assumption Setting'!$D$218</f>
        <v>3000</v>
      </c>
      <c r="BD7" s="65" t="n">
        <f aca="false">Payroll!BD$65*'Assumption Setting'!$C$218*'Assumption Setting'!$D$218</f>
        <v>0</v>
      </c>
      <c r="BE7" s="65" t="n">
        <f aca="false">Payroll!BE$65*'Assumption Setting'!$C$218*'Assumption Setting'!$D$218</f>
        <v>0</v>
      </c>
      <c r="BF7" s="65" t="n">
        <f aca="false">Payroll!BF$65*'Assumption Setting'!$C$218*'Assumption Setting'!$D$218</f>
        <v>0</v>
      </c>
      <c r="BG7" s="65" t="n">
        <f aca="false">Payroll!BG$65*'Assumption Setting'!$C$218*'Assumption Setting'!$D$218</f>
        <v>0</v>
      </c>
      <c r="BH7" s="65" t="n">
        <f aca="false">Payroll!BH$65*'Assumption Setting'!$C$218*'Assumption Setting'!$D$218</f>
        <v>0</v>
      </c>
      <c r="BI7" s="65" t="n">
        <f aca="false">Payroll!BI$65*'Assumption Setting'!$C$218*'Assumption Setting'!$D$218</f>
        <v>0</v>
      </c>
      <c r="BJ7" s="65" t="n">
        <f aca="false">Payroll!BJ$65*'Assumption Setting'!$C$218*'Assumption Setting'!$D$218</f>
        <v>0</v>
      </c>
      <c r="BK7" s="65" t="n">
        <f aca="false">Payroll!BK$65*'Assumption Setting'!$C$218*'Assumption Setting'!$D$218</f>
        <v>0</v>
      </c>
      <c r="BL7" s="65" t="n">
        <f aca="false">Payroll!BL$65*'Assumption Setting'!$C$218*'Assumption Setting'!$D$218</f>
        <v>0</v>
      </c>
      <c r="BM7" s="65" t="n">
        <f aca="false">Payroll!BM$65*'Assumption Setting'!$C$218*'Assumption Setting'!$D$218</f>
        <v>0</v>
      </c>
      <c r="BN7" s="65" t="n">
        <f aca="false">Payroll!BN$65*'Assumption Setting'!$C$218*'Assumption Setting'!$D$218</f>
        <v>0</v>
      </c>
    </row>
    <row r="8" customFormat="false" ht="15" hidden="false" customHeight="false" outlineLevel="0" collapsed="false">
      <c r="A8" s="12" t="s">
        <v>468</v>
      </c>
      <c r="B8" s="64" t="n">
        <f aca="false">SUM(C8:N8)</f>
        <v>900</v>
      </c>
      <c r="C8" s="65" t="n">
        <f aca="false">Payroll!C$65*'Assumption Setting'!$C$219*'Assumption Setting'!$D$219</f>
        <v>900</v>
      </c>
      <c r="D8" s="65" t="n">
        <f aca="false">Payroll!D$65*'Assumption Setting'!$C$219*'Assumption Setting'!$D$219</f>
        <v>0</v>
      </c>
      <c r="E8" s="65" t="n">
        <f aca="false">Payroll!E$65*'Assumption Setting'!$C$219*'Assumption Setting'!$D$219</f>
        <v>0</v>
      </c>
      <c r="F8" s="65" t="n">
        <f aca="false">Payroll!F$65*'Assumption Setting'!$C$219*'Assumption Setting'!$D$219</f>
        <v>0</v>
      </c>
      <c r="G8" s="65" t="n">
        <f aca="false">Payroll!G$65*'Assumption Setting'!$C$219*'Assumption Setting'!$D$219</f>
        <v>0</v>
      </c>
      <c r="H8" s="65" t="n">
        <f aca="false">Payroll!H$65*'Assumption Setting'!$C$219*'Assumption Setting'!$D$219</f>
        <v>0</v>
      </c>
      <c r="I8" s="65" t="n">
        <f aca="false">Payroll!I$65*'Assumption Setting'!$C$219*'Assumption Setting'!$D$219</f>
        <v>0</v>
      </c>
      <c r="J8" s="65" t="n">
        <f aca="false">Payroll!J$65*'Assumption Setting'!$C$219*'Assumption Setting'!$D$219</f>
        <v>0</v>
      </c>
      <c r="K8" s="65" t="n">
        <f aca="false">Payroll!K$65*'Assumption Setting'!$C$219*'Assumption Setting'!$D$219</f>
        <v>0</v>
      </c>
      <c r="L8" s="65" t="n">
        <f aca="false">Payroll!L$65*'Assumption Setting'!$C$219*'Assumption Setting'!$D$219</f>
        <v>0</v>
      </c>
      <c r="M8" s="65" t="n">
        <f aca="false">Payroll!M$65*'Assumption Setting'!$C$219*'Assumption Setting'!$D$219</f>
        <v>0</v>
      </c>
      <c r="N8" s="65" t="n">
        <f aca="false">Payroll!N$65*'Assumption Setting'!$C$219*'Assumption Setting'!$D$219</f>
        <v>0</v>
      </c>
      <c r="O8" s="64" t="n">
        <f aca="false">SUM(P8:AA8)</f>
        <v>450</v>
      </c>
      <c r="P8" s="65" t="n">
        <f aca="false">Payroll!P$65*'Assumption Setting'!$C$219*'Assumption Setting'!$D$219</f>
        <v>450</v>
      </c>
      <c r="Q8" s="65" t="n">
        <f aca="false">Payroll!Q$65*'Assumption Setting'!$C$219*'Assumption Setting'!$D$219</f>
        <v>0</v>
      </c>
      <c r="R8" s="65" t="n">
        <f aca="false">Payroll!R$65*'Assumption Setting'!$C$219*'Assumption Setting'!$D$219</f>
        <v>0</v>
      </c>
      <c r="S8" s="65" t="n">
        <f aca="false">Payroll!S$65*'Assumption Setting'!$C$219*'Assumption Setting'!$D$219</f>
        <v>0</v>
      </c>
      <c r="T8" s="65" t="n">
        <f aca="false">Payroll!T$65*'Assumption Setting'!$C$219*'Assumption Setting'!$D$219</f>
        <v>0</v>
      </c>
      <c r="U8" s="65" t="n">
        <f aca="false">Payroll!U$65*'Assumption Setting'!$C$219*'Assumption Setting'!$D$219</f>
        <v>0</v>
      </c>
      <c r="V8" s="65" t="n">
        <f aca="false">Payroll!V$65*'Assumption Setting'!$C$219*'Assumption Setting'!$D$219</f>
        <v>0</v>
      </c>
      <c r="W8" s="65" t="n">
        <f aca="false">Payroll!W$65*'Assumption Setting'!$C$219*'Assumption Setting'!$D$219</f>
        <v>0</v>
      </c>
      <c r="X8" s="65" t="n">
        <f aca="false">Payroll!X$65*'Assumption Setting'!$C$219*'Assumption Setting'!$D$219</f>
        <v>0</v>
      </c>
      <c r="Y8" s="65" t="n">
        <f aca="false">Payroll!Y$65*'Assumption Setting'!$C$219*'Assumption Setting'!$D$219</f>
        <v>0</v>
      </c>
      <c r="Z8" s="65" t="n">
        <f aca="false">Payroll!Z$65*'Assumption Setting'!$C$219*'Assumption Setting'!$D$219</f>
        <v>0</v>
      </c>
      <c r="AA8" s="65" t="n">
        <f aca="false">Payroll!AA$65*'Assumption Setting'!$C$219*'Assumption Setting'!$D$219</f>
        <v>0</v>
      </c>
      <c r="AB8" s="64" t="n">
        <f aca="false">SUM(AC8:AN8)</f>
        <v>450</v>
      </c>
      <c r="AC8" s="65" t="n">
        <f aca="false">Payroll!AC$65*'Assumption Setting'!$C$219*'Assumption Setting'!$D$219</f>
        <v>450</v>
      </c>
      <c r="AD8" s="65" t="n">
        <f aca="false">Payroll!AD$65*'Assumption Setting'!$C$219*'Assumption Setting'!$D$219</f>
        <v>0</v>
      </c>
      <c r="AE8" s="65" t="n">
        <f aca="false">Payroll!AE$65*'Assumption Setting'!$C$219*'Assumption Setting'!$D$219</f>
        <v>0</v>
      </c>
      <c r="AF8" s="65" t="n">
        <f aca="false">Payroll!AF$65*'Assumption Setting'!$C$219*'Assumption Setting'!$D$219</f>
        <v>0</v>
      </c>
      <c r="AG8" s="65" t="n">
        <f aca="false">Payroll!AG$65*'Assumption Setting'!$C$219*'Assumption Setting'!$D$219</f>
        <v>0</v>
      </c>
      <c r="AH8" s="65" t="n">
        <f aca="false">Payroll!AH$65*'Assumption Setting'!$C$219*'Assumption Setting'!$D$219</f>
        <v>0</v>
      </c>
      <c r="AI8" s="65" t="n">
        <f aca="false">Payroll!AI$65*'Assumption Setting'!$C$219*'Assumption Setting'!$D$219</f>
        <v>0</v>
      </c>
      <c r="AJ8" s="65" t="n">
        <f aca="false">Payroll!AJ$65*'Assumption Setting'!$C$219*'Assumption Setting'!$D$219</f>
        <v>0</v>
      </c>
      <c r="AK8" s="65" t="n">
        <f aca="false">Payroll!AK$65*'Assumption Setting'!$C$219*'Assumption Setting'!$D$219</f>
        <v>0</v>
      </c>
      <c r="AL8" s="65" t="n">
        <f aca="false">Payroll!AL$65*'Assumption Setting'!$C$219*'Assumption Setting'!$D$219</f>
        <v>0</v>
      </c>
      <c r="AM8" s="65" t="n">
        <f aca="false">Payroll!AM$65*'Assumption Setting'!$C$219*'Assumption Setting'!$D$219</f>
        <v>0</v>
      </c>
      <c r="AN8" s="65" t="n">
        <f aca="false">Payroll!AN$65*'Assumption Setting'!$C$219*'Assumption Setting'!$D$219</f>
        <v>0</v>
      </c>
      <c r="AO8" s="64" t="n">
        <f aca="false">SUM(AP8:BA8)</f>
        <v>600</v>
      </c>
      <c r="AP8" s="65" t="n">
        <f aca="false">Payroll!AP$65*'Assumption Setting'!$C$219*'Assumption Setting'!$D$219</f>
        <v>600</v>
      </c>
      <c r="AQ8" s="65" t="n">
        <f aca="false">Payroll!AQ$65*'Assumption Setting'!$C$219*'Assumption Setting'!$D$219</f>
        <v>0</v>
      </c>
      <c r="AR8" s="65" t="n">
        <f aca="false">Payroll!AR$65*'Assumption Setting'!$C$219*'Assumption Setting'!$D$219</f>
        <v>0</v>
      </c>
      <c r="AS8" s="65" t="n">
        <f aca="false">Payroll!AS$65*'Assumption Setting'!$C$219*'Assumption Setting'!$D$219</f>
        <v>0</v>
      </c>
      <c r="AT8" s="65" t="n">
        <f aca="false">Payroll!AT$65*'Assumption Setting'!$C$219*'Assumption Setting'!$D$219</f>
        <v>0</v>
      </c>
      <c r="AU8" s="65" t="n">
        <f aca="false">Payroll!AU$65*'Assumption Setting'!$C$219*'Assumption Setting'!$D$219</f>
        <v>0</v>
      </c>
      <c r="AV8" s="65" t="n">
        <f aca="false">Payroll!AV$65*'Assumption Setting'!$C$219*'Assumption Setting'!$D$219</f>
        <v>0</v>
      </c>
      <c r="AW8" s="65" t="n">
        <f aca="false">Payroll!AW$65*'Assumption Setting'!$C$219*'Assumption Setting'!$D$219</f>
        <v>0</v>
      </c>
      <c r="AX8" s="65" t="n">
        <f aca="false">Payroll!AX$65*'Assumption Setting'!$C$219*'Assumption Setting'!$D$219</f>
        <v>0</v>
      </c>
      <c r="AY8" s="65" t="n">
        <f aca="false">Payroll!AY$65*'Assumption Setting'!$C$219*'Assumption Setting'!$D$219</f>
        <v>0</v>
      </c>
      <c r="AZ8" s="65" t="n">
        <f aca="false">Payroll!AZ$65*'Assumption Setting'!$C$219*'Assumption Setting'!$D$219</f>
        <v>0</v>
      </c>
      <c r="BA8" s="65" t="n">
        <f aca="false">Payroll!BA$65*'Assumption Setting'!$C$219*'Assumption Setting'!$D$219</f>
        <v>0</v>
      </c>
      <c r="BB8" s="64" t="n">
        <f aca="false">SUM(BC8:BN8)</f>
        <v>600</v>
      </c>
      <c r="BC8" s="65" t="n">
        <f aca="false">Payroll!BC$65*'Assumption Setting'!$C$219*'Assumption Setting'!$D$219</f>
        <v>600</v>
      </c>
      <c r="BD8" s="65" t="n">
        <f aca="false">Payroll!BD$65*'Assumption Setting'!$C$219*'Assumption Setting'!$D$219</f>
        <v>0</v>
      </c>
      <c r="BE8" s="65" t="n">
        <f aca="false">Payroll!BE$65*'Assumption Setting'!$C$219*'Assumption Setting'!$D$219</f>
        <v>0</v>
      </c>
      <c r="BF8" s="65" t="n">
        <f aca="false">Payroll!BF$65*'Assumption Setting'!$C$219*'Assumption Setting'!$D$219</f>
        <v>0</v>
      </c>
      <c r="BG8" s="65" t="n">
        <f aca="false">Payroll!BG$65*'Assumption Setting'!$C$219*'Assumption Setting'!$D$219</f>
        <v>0</v>
      </c>
      <c r="BH8" s="65" t="n">
        <f aca="false">Payroll!BH$65*'Assumption Setting'!$C$219*'Assumption Setting'!$D$219</f>
        <v>0</v>
      </c>
      <c r="BI8" s="65" t="n">
        <f aca="false">Payroll!BI$65*'Assumption Setting'!$C$219*'Assumption Setting'!$D$219</f>
        <v>0</v>
      </c>
      <c r="BJ8" s="65" t="n">
        <f aca="false">Payroll!BJ$65*'Assumption Setting'!$C$219*'Assumption Setting'!$D$219</f>
        <v>0</v>
      </c>
      <c r="BK8" s="65" t="n">
        <f aca="false">Payroll!BK$65*'Assumption Setting'!$C$219*'Assumption Setting'!$D$219</f>
        <v>0</v>
      </c>
      <c r="BL8" s="65" t="n">
        <f aca="false">Payroll!BL$65*'Assumption Setting'!$C$219*'Assumption Setting'!$D$219</f>
        <v>0</v>
      </c>
      <c r="BM8" s="65" t="n">
        <f aca="false">Payroll!BM$65*'Assumption Setting'!$C$219*'Assumption Setting'!$D$219</f>
        <v>0</v>
      </c>
      <c r="BN8" s="65" t="n">
        <f aca="false">Payroll!BN$65*'Assumption Setting'!$C$219*'Assumption Setting'!$D$219</f>
        <v>0</v>
      </c>
    </row>
    <row r="9" customFormat="false" ht="15" hidden="false" customHeight="false" outlineLevel="0" collapsed="false">
      <c r="A9" s="12" t="s">
        <v>469</v>
      </c>
      <c r="B9" s="64" t="n">
        <f aca="false">SUM(C9:N9)</f>
        <v>1080</v>
      </c>
      <c r="C9" s="65" t="n">
        <f aca="false">Payroll!C$65*'Assumption Setting'!$C$220*'Assumption Setting'!$D$220</f>
        <v>1080</v>
      </c>
      <c r="D9" s="65" t="n">
        <f aca="false">Payroll!D$65*'Assumption Setting'!$C$220*'Assumption Setting'!$D$220</f>
        <v>0</v>
      </c>
      <c r="E9" s="65" t="n">
        <f aca="false">Payroll!E$65*'Assumption Setting'!$C$220*'Assumption Setting'!$D$220</f>
        <v>0</v>
      </c>
      <c r="F9" s="65" t="n">
        <f aca="false">Payroll!F$65*'Assumption Setting'!$C$220*'Assumption Setting'!$D$220</f>
        <v>0</v>
      </c>
      <c r="G9" s="65" t="n">
        <f aca="false">Payroll!G$65*'Assumption Setting'!$C$220*'Assumption Setting'!$D$220</f>
        <v>0</v>
      </c>
      <c r="H9" s="65" t="n">
        <f aca="false">Payroll!H$65*'Assumption Setting'!$C$220*'Assumption Setting'!$D$220</f>
        <v>0</v>
      </c>
      <c r="I9" s="65" t="n">
        <f aca="false">Payroll!I$65*'Assumption Setting'!$C$220*'Assumption Setting'!$D$220</f>
        <v>0</v>
      </c>
      <c r="J9" s="65" t="n">
        <f aca="false">Payroll!J$65*'Assumption Setting'!$C$220*'Assumption Setting'!$D$220</f>
        <v>0</v>
      </c>
      <c r="K9" s="65" t="n">
        <f aca="false">Payroll!K$65*'Assumption Setting'!$C$220*'Assumption Setting'!$D$220</f>
        <v>0</v>
      </c>
      <c r="L9" s="65" t="n">
        <f aca="false">Payroll!L$65*'Assumption Setting'!$C$220*'Assumption Setting'!$D$220</f>
        <v>0</v>
      </c>
      <c r="M9" s="65" t="n">
        <f aca="false">Payroll!M$65*'Assumption Setting'!$C$220*'Assumption Setting'!$D$220</f>
        <v>0</v>
      </c>
      <c r="N9" s="65" t="n">
        <f aca="false">Payroll!N$65*'Assumption Setting'!$C$220*'Assumption Setting'!$D$220</f>
        <v>0</v>
      </c>
      <c r="O9" s="64" t="n">
        <f aca="false">SUM(P9:AA9)</f>
        <v>540</v>
      </c>
      <c r="P9" s="65" t="n">
        <f aca="false">Payroll!P$65*'Assumption Setting'!$C$220*'Assumption Setting'!$D$220</f>
        <v>540</v>
      </c>
      <c r="Q9" s="65" t="n">
        <f aca="false">Payroll!Q$65*'Assumption Setting'!$C$220*'Assumption Setting'!$D$220</f>
        <v>0</v>
      </c>
      <c r="R9" s="65" t="n">
        <f aca="false">Payroll!R$65*'Assumption Setting'!$C$220*'Assumption Setting'!$D$220</f>
        <v>0</v>
      </c>
      <c r="S9" s="65" t="n">
        <f aca="false">Payroll!S$65*'Assumption Setting'!$C$220*'Assumption Setting'!$D$220</f>
        <v>0</v>
      </c>
      <c r="T9" s="65" t="n">
        <f aca="false">Payroll!T$65*'Assumption Setting'!$C$220*'Assumption Setting'!$D$220</f>
        <v>0</v>
      </c>
      <c r="U9" s="65" t="n">
        <f aca="false">Payroll!U$65*'Assumption Setting'!$C$220*'Assumption Setting'!$D$220</f>
        <v>0</v>
      </c>
      <c r="V9" s="65" t="n">
        <f aca="false">Payroll!V$65*'Assumption Setting'!$C$220*'Assumption Setting'!$D$220</f>
        <v>0</v>
      </c>
      <c r="W9" s="65" t="n">
        <f aca="false">Payroll!W$65*'Assumption Setting'!$C$220*'Assumption Setting'!$D$220</f>
        <v>0</v>
      </c>
      <c r="X9" s="65" t="n">
        <f aca="false">Payroll!X$65*'Assumption Setting'!$C$220*'Assumption Setting'!$D$220</f>
        <v>0</v>
      </c>
      <c r="Y9" s="65" t="n">
        <f aca="false">Payroll!Y$65*'Assumption Setting'!$C$220*'Assumption Setting'!$D$220</f>
        <v>0</v>
      </c>
      <c r="Z9" s="65" t="n">
        <f aca="false">Payroll!Z$65*'Assumption Setting'!$C$220*'Assumption Setting'!$D$220</f>
        <v>0</v>
      </c>
      <c r="AA9" s="65" t="n">
        <f aca="false">Payroll!AA$65*'Assumption Setting'!$C$220*'Assumption Setting'!$D$220</f>
        <v>0</v>
      </c>
      <c r="AB9" s="64" t="n">
        <f aca="false">SUM(AC9:AN9)</f>
        <v>540</v>
      </c>
      <c r="AC9" s="65" t="n">
        <f aca="false">Payroll!AC$65*'Assumption Setting'!$C$220*'Assumption Setting'!$D$220</f>
        <v>540</v>
      </c>
      <c r="AD9" s="65" t="n">
        <f aca="false">Payroll!AD$65*'Assumption Setting'!$C$220*'Assumption Setting'!$D$220</f>
        <v>0</v>
      </c>
      <c r="AE9" s="65" t="n">
        <f aca="false">Payroll!AE$65*'Assumption Setting'!$C$220*'Assumption Setting'!$D$220</f>
        <v>0</v>
      </c>
      <c r="AF9" s="65" t="n">
        <f aca="false">Payroll!AF$65*'Assumption Setting'!$C$220*'Assumption Setting'!$D$220</f>
        <v>0</v>
      </c>
      <c r="AG9" s="65" t="n">
        <f aca="false">Payroll!AG$65*'Assumption Setting'!$C$220*'Assumption Setting'!$D$220</f>
        <v>0</v>
      </c>
      <c r="AH9" s="65" t="n">
        <f aca="false">Payroll!AH$65*'Assumption Setting'!$C$220*'Assumption Setting'!$D$220</f>
        <v>0</v>
      </c>
      <c r="AI9" s="65" t="n">
        <f aca="false">Payroll!AI$65*'Assumption Setting'!$C$220*'Assumption Setting'!$D$220</f>
        <v>0</v>
      </c>
      <c r="AJ9" s="65" t="n">
        <f aca="false">Payroll!AJ$65*'Assumption Setting'!$C$220*'Assumption Setting'!$D$220</f>
        <v>0</v>
      </c>
      <c r="AK9" s="65" t="n">
        <f aca="false">Payroll!AK$65*'Assumption Setting'!$C$220*'Assumption Setting'!$D$220</f>
        <v>0</v>
      </c>
      <c r="AL9" s="65" t="n">
        <f aca="false">Payroll!AL$65*'Assumption Setting'!$C$220*'Assumption Setting'!$D$220</f>
        <v>0</v>
      </c>
      <c r="AM9" s="65" t="n">
        <f aca="false">Payroll!AM$65*'Assumption Setting'!$C$220*'Assumption Setting'!$D$220</f>
        <v>0</v>
      </c>
      <c r="AN9" s="65" t="n">
        <f aca="false">Payroll!AN$65*'Assumption Setting'!$C$220*'Assumption Setting'!$D$220</f>
        <v>0</v>
      </c>
      <c r="AO9" s="64" t="n">
        <f aca="false">SUM(AP9:BA9)</f>
        <v>720</v>
      </c>
      <c r="AP9" s="65" t="n">
        <f aca="false">Payroll!AP$65*'Assumption Setting'!$C$220*'Assumption Setting'!$D$220</f>
        <v>720</v>
      </c>
      <c r="AQ9" s="65" t="n">
        <f aca="false">Payroll!AQ$65*'Assumption Setting'!$C$220*'Assumption Setting'!$D$220</f>
        <v>0</v>
      </c>
      <c r="AR9" s="65" t="n">
        <f aca="false">Payroll!AR$65*'Assumption Setting'!$C$220*'Assumption Setting'!$D$220</f>
        <v>0</v>
      </c>
      <c r="AS9" s="65" t="n">
        <f aca="false">Payroll!AS$65*'Assumption Setting'!$C$220*'Assumption Setting'!$D$220</f>
        <v>0</v>
      </c>
      <c r="AT9" s="65" t="n">
        <f aca="false">Payroll!AT$65*'Assumption Setting'!$C$220*'Assumption Setting'!$D$220</f>
        <v>0</v>
      </c>
      <c r="AU9" s="65" t="n">
        <f aca="false">Payroll!AU$65*'Assumption Setting'!$C$220*'Assumption Setting'!$D$220</f>
        <v>0</v>
      </c>
      <c r="AV9" s="65" t="n">
        <f aca="false">Payroll!AV$65*'Assumption Setting'!$C$220*'Assumption Setting'!$D$220</f>
        <v>0</v>
      </c>
      <c r="AW9" s="65" t="n">
        <f aca="false">Payroll!AW$65*'Assumption Setting'!$C$220*'Assumption Setting'!$D$220</f>
        <v>0</v>
      </c>
      <c r="AX9" s="65" t="n">
        <f aca="false">Payroll!AX$65*'Assumption Setting'!$C$220*'Assumption Setting'!$D$220</f>
        <v>0</v>
      </c>
      <c r="AY9" s="65" t="n">
        <f aca="false">Payroll!AY$65*'Assumption Setting'!$C$220*'Assumption Setting'!$D$220</f>
        <v>0</v>
      </c>
      <c r="AZ9" s="65" t="n">
        <f aca="false">Payroll!AZ$65*'Assumption Setting'!$C$220*'Assumption Setting'!$D$220</f>
        <v>0</v>
      </c>
      <c r="BA9" s="65" t="n">
        <f aca="false">Payroll!BA$65*'Assumption Setting'!$C$220*'Assumption Setting'!$D$220</f>
        <v>0</v>
      </c>
      <c r="BB9" s="64" t="n">
        <f aca="false">SUM(BC9:BN9)</f>
        <v>720</v>
      </c>
      <c r="BC9" s="65" t="n">
        <f aca="false">Payroll!BC$65*'Assumption Setting'!$C$220*'Assumption Setting'!$D$220</f>
        <v>720</v>
      </c>
      <c r="BD9" s="65" t="n">
        <f aca="false">Payroll!BD$65*'Assumption Setting'!$C$220*'Assumption Setting'!$D$220</f>
        <v>0</v>
      </c>
      <c r="BE9" s="65" t="n">
        <f aca="false">Payroll!BE$65*'Assumption Setting'!$C$220*'Assumption Setting'!$D$220</f>
        <v>0</v>
      </c>
      <c r="BF9" s="65" t="n">
        <f aca="false">Payroll!BF$65*'Assumption Setting'!$C$220*'Assumption Setting'!$D$220</f>
        <v>0</v>
      </c>
      <c r="BG9" s="65" t="n">
        <f aca="false">Payroll!BG$65*'Assumption Setting'!$C$220*'Assumption Setting'!$D$220</f>
        <v>0</v>
      </c>
      <c r="BH9" s="65" t="n">
        <f aca="false">Payroll!BH$65*'Assumption Setting'!$C$220*'Assumption Setting'!$D$220</f>
        <v>0</v>
      </c>
      <c r="BI9" s="65" t="n">
        <f aca="false">Payroll!BI$65*'Assumption Setting'!$C$220*'Assumption Setting'!$D$220</f>
        <v>0</v>
      </c>
      <c r="BJ9" s="65" t="n">
        <f aca="false">Payroll!BJ$65*'Assumption Setting'!$C$220*'Assumption Setting'!$D$220</f>
        <v>0</v>
      </c>
      <c r="BK9" s="65" t="n">
        <f aca="false">Payroll!BK$65*'Assumption Setting'!$C$220*'Assumption Setting'!$D$220</f>
        <v>0</v>
      </c>
      <c r="BL9" s="65" t="n">
        <f aca="false">Payroll!BL$65*'Assumption Setting'!$C$220*'Assumption Setting'!$D$220</f>
        <v>0</v>
      </c>
      <c r="BM9" s="65" t="n">
        <f aca="false">Payroll!BM$65*'Assumption Setting'!$C$220*'Assumption Setting'!$D$220</f>
        <v>0</v>
      </c>
      <c r="BN9" s="65" t="n">
        <f aca="false">Payroll!BN$65*'Assumption Setting'!$C$220*'Assumption Setting'!$D$220</f>
        <v>0</v>
      </c>
    </row>
    <row r="10" customFormat="false" ht="15" hidden="false" customHeight="false" outlineLevel="0" collapsed="false">
      <c r="A10" s="12" t="s">
        <v>470</v>
      </c>
      <c r="B10" s="64" t="n">
        <f aca="false">SUM(C10:N10)</f>
        <v>0</v>
      </c>
      <c r="C10" s="65" t="n">
        <f aca="false">Payroll!C$65*'Assumption Setting'!$C$221*'Assumption Setting'!$D$221</f>
        <v>0</v>
      </c>
      <c r="D10" s="65" t="n">
        <f aca="false">Payroll!D$65*'Assumption Setting'!$C$221*'Assumption Setting'!$D$221</f>
        <v>0</v>
      </c>
      <c r="E10" s="65" t="n">
        <f aca="false">Payroll!E$65*'Assumption Setting'!$C$221*'Assumption Setting'!$D$221</f>
        <v>0</v>
      </c>
      <c r="F10" s="65" t="n">
        <f aca="false">Payroll!F$65*'Assumption Setting'!$C$221*'Assumption Setting'!$D$221</f>
        <v>0</v>
      </c>
      <c r="G10" s="65" t="n">
        <f aca="false">Payroll!G$65*'Assumption Setting'!$C$221*'Assumption Setting'!$D$221</f>
        <v>0</v>
      </c>
      <c r="H10" s="65" t="n">
        <f aca="false">Payroll!H$65*'Assumption Setting'!$C$221*'Assumption Setting'!$D$221</f>
        <v>0</v>
      </c>
      <c r="I10" s="65" t="n">
        <f aca="false">Payroll!I$65*'Assumption Setting'!$C$221*'Assumption Setting'!$D$221</f>
        <v>0</v>
      </c>
      <c r="J10" s="65" t="n">
        <f aca="false">Payroll!J$65*'Assumption Setting'!$C$221*'Assumption Setting'!$D$221</f>
        <v>0</v>
      </c>
      <c r="K10" s="65" t="n">
        <f aca="false">Payroll!K$65*'Assumption Setting'!$C$221*'Assumption Setting'!$D$221</f>
        <v>0</v>
      </c>
      <c r="L10" s="65" t="n">
        <f aca="false">Payroll!L$65*'Assumption Setting'!$C$221*'Assumption Setting'!$D$221</f>
        <v>0</v>
      </c>
      <c r="M10" s="65" t="n">
        <f aca="false">Payroll!M$65*'Assumption Setting'!$C$221*'Assumption Setting'!$D$221</f>
        <v>0</v>
      </c>
      <c r="N10" s="65" t="n">
        <f aca="false">Payroll!N$65*'Assumption Setting'!$C$221*'Assumption Setting'!$D$221</f>
        <v>0</v>
      </c>
      <c r="O10" s="64" t="n">
        <f aca="false">SUM(P10:AA10)</f>
        <v>0</v>
      </c>
      <c r="P10" s="65" t="n">
        <f aca="false">Payroll!P$65*'Assumption Setting'!$C$221*'Assumption Setting'!$D$221</f>
        <v>0</v>
      </c>
      <c r="Q10" s="65" t="n">
        <f aca="false">Payroll!Q$65*'Assumption Setting'!$C$221*'Assumption Setting'!$D$221</f>
        <v>0</v>
      </c>
      <c r="R10" s="65" t="n">
        <f aca="false">Payroll!R$65*'Assumption Setting'!$C$221*'Assumption Setting'!$D$221</f>
        <v>0</v>
      </c>
      <c r="S10" s="65" t="n">
        <f aca="false">Payroll!S$65*'Assumption Setting'!$C$221*'Assumption Setting'!$D$221</f>
        <v>0</v>
      </c>
      <c r="T10" s="65" t="n">
        <f aca="false">Payroll!T$65*'Assumption Setting'!$C$221*'Assumption Setting'!$D$221</f>
        <v>0</v>
      </c>
      <c r="U10" s="65" t="n">
        <f aca="false">Payroll!U$65*'Assumption Setting'!$C$221*'Assumption Setting'!$D$221</f>
        <v>0</v>
      </c>
      <c r="V10" s="65" t="n">
        <f aca="false">Payroll!V$65*'Assumption Setting'!$C$221*'Assumption Setting'!$D$221</f>
        <v>0</v>
      </c>
      <c r="W10" s="65" t="n">
        <f aca="false">Payroll!W$65*'Assumption Setting'!$C$221*'Assumption Setting'!$D$221</f>
        <v>0</v>
      </c>
      <c r="X10" s="65" t="n">
        <f aca="false">Payroll!X$65*'Assumption Setting'!$C$221*'Assumption Setting'!$D$221</f>
        <v>0</v>
      </c>
      <c r="Y10" s="65" t="n">
        <f aca="false">Payroll!Y$65*'Assumption Setting'!$C$221*'Assumption Setting'!$D$221</f>
        <v>0</v>
      </c>
      <c r="Z10" s="65" t="n">
        <f aca="false">Payroll!Z$65*'Assumption Setting'!$C$221*'Assumption Setting'!$D$221</f>
        <v>0</v>
      </c>
      <c r="AA10" s="65" t="n">
        <f aca="false">Payroll!AA$65*'Assumption Setting'!$C$221*'Assumption Setting'!$D$221</f>
        <v>0</v>
      </c>
      <c r="AB10" s="64" t="n">
        <f aca="false">SUM(AC10:AN10)</f>
        <v>0</v>
      </c>
      <c r="AC10" s="65" t="n">
        <f aca="false">Payroll!AC$65*'Assumption Setting'!$C$221*'Assumption Setting'!$D$221</f>
        <v>0</v>
      </c>
      <c r="AD10" s="65" t="n">
        <f aca="false">Payroll!AD$65*'Assumption Setting'!$C$221*'Assumption Setting'!$D$221</f>
        <v>0</v>
      </c>
      <c r="AE10" s="65" t="n">
        <f aca="false">Payroll!AE$65*'Assumption Setting'!$C$221*'Assumption Setting'!$D$221</f>
        <v>0</v>
      </c>
      <c r="AF10" s="65" t="n">
        <f aca="false">Payroll!AF$65*'Assumption Setting'!$C$221*'Assumption Setting'!$D$221</f>
        <v>0</v>
      </c>
      <c r="AG10" s="65" t="n">
        <f aca="false">Payroll!AG$65*'Assumption Setting'!$C$221*'Assumption Setting'!$D$221</f>
        <v>0</v>
      </c>
      <c r="AH10" s="65" t="n">
        <f aca="false">Payroll!AH$65*'Assumption Setting'!$C$221*'Assumption Setting'!$D$221</f>
        <v>0</v>
      </c>
      <c r="AI10" s="65" t="n">
        <f aca="false">Payroll!AI$65*'Assumption Setting'!$C$221*'Assumption Setting'!$D$221</f>
        <v>0</v>
      </c>
      <c r="AJ10" s="65" t="n">
        <f aca="false">Payroll!AJ$65*'Assumption Setting'!$C$221*'Assumption Setting'!$D$221</f>
        <v>0</v>
      </c>
      <c r="AK10" s="65" t="n">
        <f aca="false">Payroll!AK$65*'Assumption Setting'!$C$221*'Assumption Setting'!$D$221</f>
        <v>0</v>
      </c>
      <c r="AL10" s="65" t="n">
        <f aca="false">Payroll!AL$65*'Assumption Setting'!$C$221*'Assumption Setting'!$D$221</f>
        <v>0</v>
      </c>
      <c r="AM10" s="65" t="n">
        <f aca="false">Payroll!AM$65*'Assumption Setting'!$C$221*'Assumption Setting'!$D$221</f>
        <v>0</v>
      </c>
      <c r="AN10" s="65" t="n">
        <f aca="false">Payroll!AN$65*'Assumption Setting'!$C$221*'Assumption Setting'!$D$221</f>
        <v>0</v>
      </c>
      <c r="AO10" s="64" t="n">
        <f aca="false">SUM(AP10:BA10)</f>
        <v>0</v>
      </c>
      <c r="AP10" s="65" t="n">
        <f aca="false">Payroll!AP$65*'Assumption Setting'!$C$221*'Assumption Setting'!$D$221</f>
        <v>0</v>
      </c>
      <c r="AQ10" s="65" t="n">
        <f aca="false">Payroll!AQ$65*'Assumption Setting'!$C$221*'Assumption Setting'!$D$221</f>
        <v>0</v>
      </c>
      <c r="AR10" s="65" t="n">
        <f aca="false">Payroll!AR$65*'Assumption Setting'!$C$221*'Assumption Setting'!$D$221</f>
        <v>0</v>
      </c>
      <c r="AS10" s="65" t="n">
        <f aca="false">Payroll!AS$65*'Assumption Setting'!$C$221*'Assumption Setting'!$D$221</f>
        <v>0</v>
      </c>
      <c r="AT10" s="65" t="n">
        <f aca="false">Payroll!AT$65*'Assumption Setting'!$C$221*'Assumption Setting'!$D$221</f>
        <v>0</v>
      </c>
      <c r="AU10" s="65" t="n">
        <f aca="false">Payroll!AU$65*'Assumption Setting'!$C$221*'Assumption Setting'!$D$221</f>
        <v>0</v>
      </c>
      <c r="AV10" s="65" t="n">
        <f aca="false">Payroll!AV$65*'Assumption Setting'!$C$221*'Assumption Setting'!$D$221</f>
        <v>0</v>
      </c>
      <c r="AW10" s="65" t="n">
        <f aca="false">Payroll!AW$65*'Assumption Setting'!$C$221*'Assumption Setting'!$D$221</f>
        <v>0</v>
      </c>
      <c r="AX10" s="65" t="n">
        <f aca="false">Payroll!AX$65*'Assumption Setting'!$C$221*'Assumption Setting'!$D$221</f>
        <v>0</v>
      </c>
      <c r="AY10" s="65" t="n">
        <f aca="false">Payroll!AY$65*'Assumption Setting'!$C$221*'Assumption Setting'!$D$221</f>
        <v>0</v>
      </c>
      <c r="AZ10" s="65" t="n">
        <f aca="false">Payroll!AZ$65*'Assumption Setting'!$C$221*'Assumption Setting'!$D$221</f>
        <v>0</v>
      </c>
      <c r="BA10" s="65" t="n">
        <f aca="false">Payroll!BA$65*'Assumption Setting'!$C$221*'Assumption Setting'!$D$221</f>
        <v>0</v>
      </c>
      <c r="BB10" s="64" t="n">
        <f aca="false">SUM(BC10:BN10)</f>
        <v>0</v>
      </c>
      <c r="BC10" s="65" t="n">
        <f aca="false">Payroll!BC$65*'Assumption Setting'!$C$221*'Assumption Setting'!$D$221</f>
        <v>0</v>
      </c>
      <c r="BD10" s="65" t="n">
        <f aca="false">Payroll!BD$65*'Assumption Setting'!$C$221*'Assumption Setting'!$D$221</f>
        <v>0</v>
      </c>
      <c r="BE10" s="65" t="n">
        <f aca="false">Payroll!BE$65*'Assumption Setting'!$C$221*'Assumption Setting'!$D$221</f>
        <v>0</v>
      </c>
      <c r="BF10" s="65" t="n">
        <f aca="false">Payroll!BF$65*'Assumption Setting'!$C$221*'Assumption Setting'!$D$221</f>
        <v>0</v>
      </c>
      <c r="BG10" s="65" t="n">
        <f aca="false">Payroll!BG$65*'Assumption Setting'!$C$221*'Assumption Setting'!$D$221</f>
        <v>0</v>
      </c>
      <c r="BH10" s="65" t="n">
        <f aca="false">Payroll!BH$65*'Assumption Setting'!$C$221*'Assumption Setting'!$D$221</f>
        <v>0</v>
      </c>
      <c r="BI10" s="65" t="n">
        <f aca="false">Payroll!BI$65*'Assumption Setting'!$C$221*'Assumption Setting'!$D$221</f>
        <v>0</v>
      </c>
      <c r="BJ10" s="65" t="n">
        <f aca="false">Payroll!BJ$65*'Assumption Setting'!$C$221*'Assumption Setting'!$D$221</f>
        <v>0</v>
      </c>
      <c r="BK10" s="65" t="n">
        <f aca="false">Payroll!BK$65*'Assumption Setting'!$C$221*'Assumption Setting'!$D$221</f>
        <v>0</v>
      </c>
      <c r="BL10" s="65" t="n">
        <f aca="false">Payroll!BL$65*'Assumption Setting'!$C$221*'Assumption Setting'!$D$221</f>
        <v>0</v>
      </c>
      <c r="BM10" s="65" t="n">
        <f aca="false">Payroll!BM$65*'Assumption Setting'!$C$221*'Assumption Setting'!$D$221</f>
        <v>0</v>
      </c>
      <c r="BN10" s="65" t="n">
        <f aca="false">Payroll!BN$65*'Assumption Setting'!$C$221*'Assumption Setting'!$D$221</f>
        <v>0</v>
      </c>
    </row>
    <row r="11" customFormat="false" ht="15" hidden="false" customHeight="false" outlineLevel="0" collapsed="false">
      <c r="A11" s="12" t="s">
        <v>474</v>
      </c>
      <c r="B11" s="64" t="n">
        <f aca="false">SUM(C11:N11)</f>
        <v>2200</v>
      </c>
      <c r="C11" s="65" t="n">
        <f aca="false">IF(1='Assumption Setting'!$C$224,'Assumption Setting'!$D$224,0)</f>
        <v>0</v>
      </c>
      <c r="D11" s="65" t="n">
        <f aca="false">IF(2='Assumption Setting'!$C$224,'Assumption Setting'!$D$224,0)</f>
        <v>2200</v>
      </c>
      <c r="E11" s="65" t="n">
        <f aca="false">IF(3='Assumption Setting'!$C$224,'Assumption Setting'!$D$224,0)</f>
        <v>0</v>
      </c>
      <c r="F11" s="65" t="n">
        <f aca="false">IF(4='Assumption Setting'!$C$224,'Assumption Setting'!$D$224,0)</f>
        <v>0</v>
      </c>
      <c r="G11" s="65" t="n">
        <f aca="false">IF(5='Assumption Setting'!$C$224,'Assumption Setting'!$D$224,0)</f>
        <v>0</v>
      </c>
      <c r="H11" s="65" t="n">
        <f aca="false">IF(6='Assumption Setting'!$C$224,'Assumption Setting'!$D$224,0)</f>
        <v>0</v>
      </c>
      <c r="I11" s="65" t="n">
        <f aca="false">IF(7='Assumption Setting'!$C$224,'Assumption Setting'!$D$224,0)</f>
        <v>0</v>
      </c>
      <c r="J11" s="65" t="n">
        <f aca="false">IF(8='Assumption Setting'!$C$224,'Assumption Setting'!$D$224,0)</f>
        <v>0</v>
      </c>
      <c r="K11" s="65" t="n">
        <f aca="false">IF(9='Assumption Setting'!$C$224,'Assumption Setting'!$D$224,0)</f>
        <v>0</v>
      </c>
      <c r="L11" s="65" t="n">
        <f aca="false">IF(10='Assumption Setting'!$C$224,'Assumption Setting'!$D$224,0)</f>
        <v>0</v>
      </c>
      <c r="M11" s="65" t="n">
        <f aca="false">IF(11='Assumption Setting'!$C$224,'Assumption Setting'!$D$224,0)</f>
        <v>0</v>
      </c>
      <c r="N11" s="65" t="n">
        <f aca="false">IF(12='Assumption Setting'!$C$224,'Assumption Setting'!$D$224,0)</f>
        <v>0</v>
      </c>
      <c r="O11" s="64" t="n">
        <f aca="false">SUM(P11:AA11)</f>
        <v>0</v>
      </c>
      <c r="P11" s="65" t="n">
        <f aca="false">IF(13='Assumption Setting'!$C$224,'Assumption Setting'!$D$224,0)</f>
        <v>0</v>
      </c>
      <c r="Q11" s="65" t="n">
        <f aca="false">IF(14='Assumption Setting'!$C$224,'Assumption Setting'!$D$224,0)</f>
        <v>0</v>
      </c>
      <c r="R11" s="65" t="n">
        <f aca="false">IF(15='Assumption Setting'!$C$224,'Assumption Setting'!$D$224,0)</f>
        <v>0</v>
      </c>
      <c r="S11" s="65" t="n">
        <f aca="false">IF(16='Assumption Setting'!$C$224,'Assumption Setting'!$D$224,0)</f>
        <v>0</v>
      </c>
      <c r="T11" s="65" t="n">
        <f aca="false">IF(17='Assumption Setting'!$C$224,'Assumption Setting'!$D$224,0)</f>
        <v>0</v>
      </c>
      <c r="U11" s="65" t="n">
        <f aca="false">IF(18='Assumption Setting'!$C$224,'Assumption Setting'!$D$224,0)</f>
        <v>0</v>
      </c>
      <c r="V11" s="65" t="n">
        <f aca="false">IF(19='Assumption Setting'!$C$224,'Assumption Setting'!$D$224,0)</f>
        <v>0</v>
      </c>
      <c r="W11" s="65" t="n">
        <f aca="false">IF(20='Assumption Setting'!$C$224,'Assumption Setting'!$D$224,0)</f>
        <v>0</v>
      </c>
      <c r="X11" s="65" t="n">
        <f aca="false">IF(21='Assumption Setting'!$C$224,'Assumption Setting'!$D$224,0)</f>
        <v>0</v>
      </c>
      <c r="Y11" s="65" t="n">
        <f aca="false">IF(22='Assumption Setting'!$C$224,'Assumption Setting'!$D$224,0)</f>
        <v>0</v>
      </c>
      <c r="Z11" s="65" t="n">
        <f aca="false">IF(23='Assumption Setting'!$C$224,'Assumption Setting'!$D$224,0)</f>
        <v>0</v>
      </c>
      <c r="AA11" s="65" t="n">
        <f aca="false">IF(24='Assumption Setting'!$C$224,'Assumption Setting'!$D$224,0)</f>
        <v>0</v>
      </c>
      <c r="AB11" s="64" t="n">
        <f aca="false">SUM(AC11:AN11)</f>
        <v>0</v>
      </c>
      <c r="AC11" s="65" t="n">
        <f aca="false">IF(25='Assumption Setting'!$C$224,'Assumption Setting'!$D$224,0)</f>
        <v>0</v>
      </c>
      <c r="AD11" s="65" t="n">
        <f aca="false">IF(26='Assumption Setting'!$C$224,'Assumption Setting'!$D$224,0)</f>
        <v>0</v>
      </c>
      <c r="AE11" s="65" t="n">
        <f aca="false">IF(27='Assumption Setting'!$C$224,'Assumption Setting'!$D$224,0)</f>
        <v>0</v>
      </c>
      <c r="AF11" s="65" t="n">
        <f aca="false">IF(28='Assumption Setting'!$C$224,'Assumption Setting'!$D$224,0)</f>
        <v>0</v>
      </c>
      <c r="AG11" s="65" t="n">
        <f aca="false">IF(29='Assumption Setting'!$C$224,'Assumption Setting'!$D$224,0)</f>
        <v>0</v>
      </c>
      <c r="AH11" s="65" t="n">
        <f aca="false">IF(30='Assumption Setting'!$C$224,'Assumption Setting'!$D$224,0)</f>
        <v>0</v>
      </c>
      <c r="AI11" s="65" t="n">
        <f aca="false">IF(31='Assumption Setting'!$C$224,'Assumption Setting'!$D$224,0)</f>
        <v>0</v>
      </c>
      <c r="AJ11" s="65" t="n">
        <f aca="false">IF(32='Assumption Setting'!$C$224,'Assumption Setting'!$D$224,0)</f>
        <v>0</v>
      </c>
      <c r="AK11" s="65" t="n">
        <f aca="false">IF(33='Assumption Setting'!$C$224,'Assumption Setting'!$D$224,0)</f>
        <v>0</v>
      </c>
      <c r="AL11" s="65" t="n">
        <f aca="false">IF(34='Assumption Setting'!$C$224,'Assumption Setting'!$D$224,0)</f>
        <v>0</v>
      </c>
      <c r="AM11" s="65" t="n">
        <f aca="false">IF(35='Assumption Setting'!$C$224,'Assumption Setting'!$D$224,0)</f>
        <v>0</v>
      </c>
      <c r="AN11" s="65" t="n">
        <f aca="false">IF(36='Assumption Setting'!$C$224,'Assumption Setting'!$D$224,0)</f>
        <v>0</v>
      </c>
      <c r="AO11" s="64" t="n">
        <f aca="false">SUM(AP11:BA11)</f>
        <v>0</v>
      </c>
      <c r="AP11" s="65" t="n">
        <f aca="false">IF(37='Assumption Setting'!$C$224,'Assumption Setting'!$D$224,0)</f>
        <v>0</v>
      </c>
      <c r="AQ11" s="65" t="n">
        <f aca="false">IF(38='Assumption Setting'!$C$224,'Assumption Setting'!$D$224,0)</f>
        <v>0</v>
      </c>
      <c r="AR11" s="65" t="n">
        <f aca="false">IF(39='Assumption Setting'!$C$224,'Assumption Setting'!$D$224,0)</f>
        <v>0</v>
      </c>
      <c r="AS11" s="65" t="n">
        <f aca="false">IF(40='Assumption Setting'!$C$224,'Assumption Setting'!$D$224,0)</f>
        <v>0</v>
      </c>
      <c r="AT11" s="65" t="n">
        <f aca="false">IF(41='Assumption Setting'!$C$224,'Assumption Setting'!$D$224,0)</f>
        <v>0</v>
      </c>
      <c r="AU11" s="65" t="n">
        <f aca="false">IF(42='Assumption Setting'!$C$224,'Assumption Setting'!$D$224,0)</f>
        <v>0</v>
      </c>
      <c r="AV11" s="65" t="n">
        <f aca="false">IF(43='Assumption Setting'!$C$224,'Assumption Setting'!$D$224,0)</f>
        <v>0</v>
      </c>
      <c r="AW11" s="65" t="n">
        <f aca="false">IF(44='Assumption Setting'!$C$224,'Assumption Setting'!$D$224,0)</f>
        <v>0</v>
      </c>
      <c r="AX11" s="65" t="n">
        <f aca="false">IF(45='Assumption Setting'!$C$224,'Assumption Setting'!$D$224,0)</f>
        <v>0</v>
      </c>
      <c r="AY11" s="65" t="n">
        <f aca="false">IF(46='Assumption Setting'!$C$224,'Assumption Setting'!$D$224,0)</f>
        <v>0</v>
      </c>
      <c r="AZ11" s="65" t="n">
        <f aca="false">IF(47='Assumption Setting'!$C$224,'Assumption Setting'!$D$224,0)</f>
        <v>0</v>
      </c>
      <c r="BA11" s="65" t="n">
        <f aca="false">IF(48='Assumption Setting'!$C$224,'Assumption Setting'!$D$224,0)</f>
        <v>0</v>
      </c>
      <c r="BB11" s="64" t="n">
        <f aca="false">SUM(BC11:BN11)</f>
        <v>0</v>
      </c>
      <c r="BC11" s="65" t="n">
        <f aca="false">IF(49='Assumption Setting'!$C$224,'Assumption Setting'!$D$224,0)</f>
        <v>0</v>
      </c>
      <c r="BD11" s="65" t="n">
        <f aca="false">IF(50='Assumption Setting'!$C$224,'Assumption Setting'!$D$224,0)</f>
        <v>0</v>
      </c>
      <c r="BE11" s="65" t="n">
        <f aca="false">IF(51='Assumption Setting'!$C$224,'Assumption Setting'!$D$224,0)</f>
        <v>0</v>
      </c>
      <c r="BF11" s="65" t="n">
        <f aca="false">IF(52='Assumption Setting'!$C$224,'Assumption Setting'!$D$224,0)</f>
        <v>0</v>
      </c>
      <c r="BG11" s="65" t="n">
        <f aca="false">IF(53='Assumption Setting'!$C$224,'Assumption Setting'!$D$224,0)</f>
        <v>0</v>
      </c>
      <c r="BH11" s="65" t="n">
        <f aca="false">IF(54='Assumption Setting'!$C$224,'Assumption Setting'!$D$224,0)</f>
        <v>0</v>
      </c>
      <c r="BI11" s="65" t="n">
        <f aca="false">IF(55='Assumption Setting'!$C$224,'Assumption Setting'!$D$224,0)</f>
        <v>0</v>
      </c>
      <c r="BJ11" s="65" t="n">
        <f aca="false">IF(56='Assumption Setting'!$C$224,'Assumption Setting'!$D$224,0)</f>
        <v>0</v>
      </c>
      <c r="BK11" s="65" t="n">
        <f aca="false">IF(57='Assumption Setting'!$C$224,'Assumption Setting'!$D$224,0)</f>
        <v>0</v>
      </c>
      <c r="BL11" s="65" t="n">
        <f aca="false">IF(58='Assumption Setting'!$C$224,'Assumption Setting'!$D$224,0)</f>
        <v>0</v>
      </c>
      <c r="BM11" s="65" t="n">
        <f aca="false">IF(59='Assumption Setting'!$C$224,'Assumption Setting'!$D$224,0)</f>
        <v>0</v>
      </c>
      <c r="BN11" s="65" t="n">
        <f aca="false">IF(60='Assumption Setting'!$C$224,'Assumption Setting'!$D$224,0)</f>
        <v>0</v>
      </c>
    </row>
    <row r="12" customFormat="false" ht="15" hidden="false" customHeight="false" outlineLevel="0" collapsed="false">
      <c r="A12" s="12" t="s">
        <v>475</v>
      </c>
      <c r="B12" s="64" t="n">
        <f aca="false">SUM(C12:N12)</f>
        <v>600</v>
      </c>
      <c r="C12" s="65" t="n">
        <f aca="false">IF(1='Assumption Setting'!$C$225,'Assumption Setting'!$D$225,0)</f>
        <v>600</v>
      </c>
      <c r="D12" s="65" t="n">
        <f aca="false">IF(2='Assumption Setting'!$C$225,'Assumption Setting'!$D$225,0)</f>
        <v>0</v>
      </c>
      <c r="E12" s="65" t="n">
        <f aca="false">IF(3='Assumption Setting'!$C$225,'Assumption Setting'!$D$225,0)</f>
        <v>0</v>
      </c>
      <c r="F12" s="65" t="n">
        <f aca="false">IF(4='Assumption Setting'!$C$225,'Assumption Setting'!$D$225,0)</f>
        <v>0</v>
      </c>
      <c r="G12" s="65" t="n">
        <f aca="false">IF(5='Assumption Setting'!$C$225,'Assumption Setting'!$D$225,0)</f>
        <v>0</v>
      </c>
      <c r="H12" s="65" t="n">
        <f aca="false">IF(6='Assumption Setting'!$C$225,'Assumption Setting'!$D$225,0)</f>
        <v>0</v>
      </c>
      <c r="I12" s="65" t="n">
        <f aca="false">IF(7='Assumption Setting'!$C$225,'Assumption Setting'!$D$225,0)</f>
        <v>0</v>
      </c>
      <c r="J12" s="65" t="n">
        <f aca="false">IF(8='Assumption Setting'!$C$225,'Assumption Setting'!$D$225,0)</f>
        <v>0</v>
      </c>
      <c r="K12" s="65" t="n">
        <f aca="false">IF(9='Assumption Setting'!$C$225,'Assumption Setting'!$D$225,0)</f>
        <v>0</v>
      </c>
      <c r="L12" s="65" t="n">
        <f aca="false">IF(10='Assumption Setting'!$C$225,'Assumption Setting'!$D$225,0)</f>
        <v>0</v>
      </c>
      <c r="M12" s="65" t="n">
        <f aca="false">IF(11='Assumption Setting'!$C$225,'Assumption Setting'!$D$225,0)</f>
        <v>0</v>
      </c>
      <c r="N12" s="65" t="n">
        <f aca="false">IF(12='Assumption Setting'!$C$225,'Assumption Setting'!$D$225,0)</f>
        <v>0</v>
      </c>
      <c r="O12" s="64" t="n">
        <f aca="false">SUM(P12:AA12)</f>
        <v>0</v>
      </c>
      <c r="P12" s="65" t="n">
        <f aca="false">IF(13='Assumption Setting'!$C$225,'Assumption Setting'!$D$225,0)</f>
        <v>0</v>
      </c>
      <c r="Q12" s="65" t="n">
        <f aca="false">IF(14='Assumption Setting'!$C$225,'Assumption Setting'!$D$225,0)</f>
        <v>0</v>
      </c>
      <c r="R12" s="65" t="n">
        <f aca="false">IF(15='Assumption Setting'!$C$225,'Assumption Setting'!$D$225,0)</f>
        <v>0</v>
      </c>
      <c r="S12" s="65" t="n">
        <f aca="false">IF(16='Assumption Setting'!$C$225,'Assumption Setting'!$D$225,0)</f>
        <v>0</v>
      </c>
      <c r="T12" s="65" t="n">
        <f aca="false">IF(17='Assumption Setting'!$C$225,'Assumption Setting'!$D$225,0)</f>
        <v>0</v>
      </c>
      <c r="U12" s="65" t="n">
        <f aca="false">IF(18='Assumption Setting'!$C$225,'Assumption Setting'!$D$225,0)</f>
        <v>0</v>
      </c>
      <c r="V12" s="65" t="n">
        <f aca="false">IF(19='Assumption Setting'!$C$225,'Assumption Setting'!$D$225,0)</f>
        <v>0</v>
      </c>
      <c r="W12" s="65" t="n">
        <f aca="false">IF(20='Assumption Setting'!$C$225,'Assumption Setting'!$D$225,0)</f>
        <v>0</v>
      </c>
      <c r="X12" s="65" t="n">
        <f aca="false">IF(21='Assumption Setting'!$C$225,'Assumption Setting'!$D$225,0)</f>
        <v>0</v>
      </c>
      <c r="Y12" s="65" t="n">
        <f aca="false">IF(22='Assumption Setting'!$C$225,'Assumption Setting'!$D$225,0)</f>
        <v>0</v>
      </c>
      <c r="Z12" s="65" t="n">
        <f aca="false">IF(23='Assumption Setting'!$C$225,'Assumption Setting'!$D$225,0)</f>
        <v>0</v>
      </c>
      <c r="AA12" s="65" t="n">
        <f aca="false">IF(24='Assumption Setting'!$C$225,'Assumption Setting'!$D$225,0)</f>
        <v>0</v>
      </c>
      <c r="AB12" s="64" t="n">
        <f aca="false">SUM(AC12:AN12)</f>
        <v>0</v>
      </c>
      <c r="AC12" s="65" t="n">
        <f aca="false">IF(25='Assumption Setting'!$C$225,'Assumption Setting'!$D$225,0)</f>
        <v>0</v>
      </c>
      <c r="AD12" s="65" t="n">
        <f aca="false">IF(26='Assumption Setting'!$C$225,'Assumption Setting'!$D$225,0)</f>
        <v>0</v>
      </c>
      <c r="AE12" s="65" t="n">
        <f aca="false">IF(27='Assumption Setting'!$C$225,'Assumption Setting'!$D$225,0)</f>
        <v>0</v>
      </c>
      <c r="AF12" s="65" t="n">
        <f aca="false">IF(28='Assumption Setting'!$C$225,'Assumption Setting'!$D$225,0)</f>
        <v>0</v>
      </c>
      <c r="AG12" s="65" t="n">
        <f aca="false">IF(29='Assumption Setting'!$C$225,'Assumption Setting'!$D$225,0)</f>
        <v>0</v>
      </c>
      <c r="AH12" s="65" t="n">
        <f aca="false">IF(30='Assumption Setting'!$C$225,'Assumption Setting'!$D$225,0)</f>
        <v>0</v>
      </c>
      <c r="AI12" s="65" t="n">
        <f aca="false">IF(31='Assumption Setting'!$C$225,'Assumption Setting'!$D$225,0)</f>
        <v>0</v>
      </c>
      <c r="AJ12" s="65" t="n">
        <f aca="false">IF(32='Assumption Setting'!$C$225,'Assumption Setting'!$D$225,0)</f>
        <v>0</v>
      </c>
      <c r="AK12" s="65" t="n">
        <f aca="false">IF(33='Assumption Setting'!$C$225,'Assumption Setting'!$D$225,0)</f>
        <v>0</v>
      </c>
      <c r="AL12" s="65" t="n">
        <f aca="false">IF(34='Assumption Setting'!$C$225,'Assumption Setting'!$D$225,0)</f>
        <v>0</v>
      </c>
      <c r="AM12" s="65" t="n">
        <f aca="false">IF(35='Assumption Setting'!$C$225,'Assumption Setting'!$D$225,0)</f>
        <v>0</v>
      </c>
      <c r="AN12" s="65" t="n">
        <f aca="false">IF(36='Assumption Setting'!$C$225,'Assumption Setting'!$D$225,0)</f>
        <v>0</v>
      </c>
      <c r="AO12" s="64" t="n">
        <f aca="false">SUM(AP12:BA12)</f>
        <v>0</v>
      </c>
      <c r="AP12" s="65" t="n">
        <f aca="false">IF(37='Assumption Setting'!$C$225,'Assumption Setting'!$D$225,0)</f>
        <v>0</v>
      </c>
      <c r="AQ12" s="65" t="n">
        <f aca="false">IF(38='Assumption Setting'!$C$225,'Assumption Setting'!$D$225,0)</f>
        <v>0</v>
      </c>
      <c r="AR12" s="65" t="n">
        <f aca="false">IF(39='Assumption Setting'!$C$225,'Assumption Setting'!$D$225,0)</f>
        <v>0</v>
      </c>
      <c r="AS12" s="65" t="n">
        <f aca="false">IF(40='Assumption Setting'!$C$225,'Assumption Setting'!$D$225,0)</f>
        <v>0</v>
      </c>
      <c r="AT12" s="65" t="n">
        <f aca="false">IF(41='Assumption Setting'!$C$225,'Assumption Setting'!$D$225,0)</f>
        <v>0</v>
      </c>
      <c r="AU12" s="65" t="n">
        <f aca="false">IF(42='Assumption Setting'!$C$225,'Assumption Setting'!$D$225,0)</f>
        <v>0</v>
      </c>
      <c r="AV12" s="65" t="n">
        <f aca="false">IF(43='Assumption Setting'!$C$225,'Assumption Setting'!$D$225,0)</f>
        <v>0</v>
      </c>
      <c r="AW12" s="65" t="n">
        <f aca="false">IF(44='Assumption Setting'!$C$225,'Assumption Setting'!$D$225,0)</f>
        <v>0</v>
      </c>
      <c r="AX12" s="65" t="n">
        <f aca="false">IF(45='Assumption Setting'!$C$225,'Assumption Setting'!$D$225,0)</f>
        <v>0</v>
      </c>
      <c r="AY12" s="65" t="n">
        <f aca="false">IF(46='Assumption Setting'!$C$225,'Assumption Setting'!$D$225,0)</f>
        <v>0</v>
      </c>
      <c r="AZ12" s="65" t="n">
        <f aca="false">IF(47='Assumption Setting'!$C$225,'Assumption Setting'!$D$225,0)</f>
        <v>0</v>
      </c>
      <c r="BA12" s="65" t="n">
        <f aca="false">IF(48='Assumption Setting'!$C$225,'Assumption Setting'!$D$225,0)</f>
        <v>0</v>
      </c>
      <c r="BB12" s="64" t="n">
        <f aca="false">SUM(BC12:BN12)</f>
        <v>0</v>
      </c>
      <c r="BC12" s="65" t="n">
        <f aca="false">IF(49='Assumption Setting'!$C$225,'Assumption Setting'!$D$225,0)</f>
        <v>0</v>
      </c>
      <c r="BD12" s="65" t="n">
        <f aca="false">IF(50='Assumption Setting'!$C$225,'Assumption Setting'!$D$225,0)</f>
        <v>0</v>
      </c>
      <c r="BE12" s="65" t="n">
        <f aca="false">IF(51='Assumption Setting'!$C$225,'Assumption Setting'!$D$225,0)</f>
        <v>0</v>
      </c>
      <c r="BF12" s="65" t="n">
        <f aca="false">IF(52='Assumption Setting'!$C$225,'Assumption Setting'!$D$225,0)</f>
        <v>0</v>
      </c>
      <c r="BG12" s="65" t="n">
        <f aca="false">IF(53='Assumption Setting'!$C$225,'Assumption Setting'!$D$225,0)</f>
        <v>0</v>
      </c>
      <c r="BH12" s="65" t="n">
        <f aca="false">IF(54='Assumption Setting'!$C$225,'Assumption Setting'!$D$225,0)</f>
        <v>0</v>
      </c>
      <c r="BI12" s="65" t="n">
        <f aca="false">IF(55='Assumption Setting'!$C$225,'Assumption Setting'!$D$225,0)</f>
        <v>0</v>
      </c>
      <c r="BJ12" s="65" t="n">
        <f aca="false">IF(56='Assumption Setting'!$C$225,'Assumption Setting'!$D$225,0)</f>
        <v>0</v>
      </c>
      <c r="BK12" s="65" t="n">
        <f aca="false">IF(57='Assumption Setting'!$C$225,'Assumption Setting'!$D$225,0)</f>
        <v>0</v>
      </c>
      <c r="BL12" s="65" t="n">
        <f aca="false">IF(58='Assumption Setting'!$C$225,'Assumption Setting'!$D$225,0)</f>
        <v>0</v>
      </c>
      <c r="BM12" s="65" t="n">
        <f aca="false">IF(59='Assumption Setting'!$C$225,'Assumption Setting'!$D$225,0)</f>
        <v>0</v>
      </c>
      <c r="BN12" s="65" t="n">
        <f aca="false">IF(60='Assumption Setting'!$C$225,'Assumption Setting'!$D$225,0)</f>
        <v>0</v>
      </c>
    </row>
    <row r="13" customFormat="false" ht="15" hidden="false" customHeight="false" outlineLevel="0" collapsed="false">
      <c r="A13" s="12" t="s">
        <v>476</v>
      </c>
      <c r="B13" s="64" t="n">
        <f aca="false">SUM(C13:N13)</f>
        <v>3000</v>
      </c>
      <c r="C13" s="65" t="n">
        <f aca="false">IF(1='Assumption Setting'!$C$226,'Assumption Setting'!$D$226,0)</f>
        <v>3000</v>
      </c>
      <c r="D13" s="65" t="n">
        <f aca="false">IF(2='Assumption Setting'!$C$226,'Assumption Setting'!$D$226,0)</f>
        <v>0</v>
      </c>
      <c r="E13" s="65" t="n">
        <f aca="false">IF(3='Assumption Setting'!$C$226,'Assumption Setting'!$D$226,0)</f>
        <v>0</v>
      </c>
      <c r="F13" s="65" t="n">
        <f aca="false">IF(4='Assumption Setting'!$C$226,'Assumption Setting'!$D$226,0)</f>
        <v>0</v>
      </c>
      <c r="G13" s="65" t="n">
        <f aca="false">IF(5='Assumption Setting'!$C$226,'Assumption Setting'!$D$226,0)</f>
        <v>0</v>
      </c>
      <c r="H13" s="65" t="n">
        <f aca="false">IF(6='Assumption Setting'!$C$226,'Assumption Setting'!$D$226,0)</f>
        <v>0</v>
      </c>
      <c r="I13" s="65" t="n">
        <f aca="false">IF(7='Assumption Setting'!$C$226,'Assumption Setting'!$D$226,0)</f>
        <v>0</v>
      </c>
      <c r="J13" s="65" t="n">
        <f aca="false">IF(8='Assumption Setting'!$C$226,'Assumption Setting'!$D$226,0)</f>
        <v>0</v>
      </c>
      <c r="K13" s="65" t="n">
        <f aca="false">IF(9='Assumption Setting'!$C$226,'Assumption Setting'!$D$226,0)</f>
        <v>0</v>
      </c>
      <c r="L13" s="65" t="n">
        <f aca="false">IF(10='Assumption Setting'!$C$226,'Assumption Setting'!$D$226,0)</f>
        <v>0</v>
      </c>
      <c r="M13" s="65" t="n">
        <f aca="false">IF(11='Assumption Setting'!$C$226,'Assumption Setting'!$D$226,0)</f>
        <v>0</v>
      </c>
      <c r="N13" s="65" t="n">
        <f aca="false">IF(12='Assumption Setting'!$C$226,'Assumption Setting'!$D$226,0)</f>
        <v>0</v>
      </c>
      <c r="O13" s="64" t="n">
        <f aca="false">SUM(P13:AA13)</f>
        <v>0</v>
      </c>
      <c r="P13" s="65" t="n">
        <f aca="false">IF(13='Assumption Setting'!$C$226,'Assumption Setting'!$D$226,0)</f>
        <v>0</v>
      </c>
      <c r="Q13" s="65" t="n">
        <f aca="false">IF(14='Assumption Setting'!$C$226,'Assumption Setting'!$D$226,0)</f>
        <v>0</v>
      </c>
      <c r="R13" s="65" t="n">
        <f aca="false">IF(15='Assumption Setting'!$C$226,'Assumption Setting'!$D$226,0)</f>
        <v>0</v>
      </c>
      <c r="S13" s="65" t="n">
        <f aca="false">IF(16='Assumption Setting'!$C$226,'Assumption Setting'!$D$226,0)</f>
        <v>0</v>
      </c>
      <c r="T13" s="65" t="n">
        <f aca="false">IF(17='Assumption Setting'!$C$226,'Assumption Setting'!$D$226,0)</f>
        <v>0</v>
      </c>
      <c r="U13" s="65" t="n">
        <f aca="false">IF(18='Assumption Setting'!$C$226,'Assumption Setting'!$D$226,0)</f>
        <v>0</v>
      </c>
      <c r="V13" s="65" t="n">
        <f aca="false">IF(19='Assumption Setting'!$C$226,'Assumption Setting'!$D$226,0)</f>
        <v>0</v>
      </c>
      <c r="W13" s="65" t="n">
        <f aca="false">IF(20='Assumption Setting'!$C$226,'Assumption Setting'!$D$226,0)</f>
        <v>0</v>
      </c>
      <c r="X13" s="65" t="n">
        <f aca="false">IF(21='Assumption Setting'!$C$226,'Assumption Setting'!$D$226,0)</f>
        <v>0</v>
      </c>
      <c r="Y13" s="65" t="n">
        <f aca="false">IF(22='Assumption Setting'!$C$226,'Assumption Setting'!$D$226,0)</f>
        <v>0</v>
      </c>
      <c r="Z13" s="65" t="n">
        <f aca="false">IF(23='Assumption Setting'!$C$226,'Assumption Setting'!$D$226,0)</f>
        <v>0</v>
      </c>
      <c r="AA13" s="65" t="n">
        <f aca="false">IF(24='Assumption Setting'!$C$226,'Assumption Setting'!$D$226,0)</f>
        <v>0</v>
      </c>
      <c r="AB13" s="64" t="n">
        <f aca="false">SUM(AC13:AN13)</f>
        <v>0</v>
      </c>
      <c r="AC13" s="65" t="n">
        <f aca="false">IF(25='Assumption Setting'!$C$226,'Assumption Setting'!$D$226,0)</f>
        <v>0</v>
      </c>
      <c r="AD13" s="65" t="n">
        <f aca="false">IF(26='Assumption Setting'!$C$226,'Assumption Setting'!$D$226,0)</f>
        <v>0</v>
      </c>
      <c r="AE13" s="65" t="n">
        <f aca="false">IF(27='Assumption Setting'!$C$226,'Assumption Setting'!$D$226,0)</f>
        <v>0</v>
      </c>
      <c r="AF13" s="65" t="n">
        <f aca="false">IF(28='Assumption Setting'!$C$226,'Assumption Setting'!$D$226,0)</f>
        <v>0</v>
      </c>
      <c r="AG13" s="65" t="n">
        <f aca="false">IF(29='Assumption Setting'!$C$226,'Assumption Setting'!$D$226,0)</f>
        <v>0</v>
      </c>
      <c r="AH13" s="65" t="n">
        <f aca="false">IF(30='Assumption Setting'!$C$226,'Assumption Setting'!$D$226,0)</f>
        <v>0</v>
      </c>
      <c r="AI13" s="65" t="n">
        <f aca="false">IF(31='Assumption Setting'!$C$226,'Assumption Setting'!$D$226,0)</f>
        <v>0</v>
      </c>
      <c r="AJ13" s="65" t="n">
        <f aca="false">IF(32='Assumption Setting'!$C$226,'Assumption Setting'!$D$226,0)</f>
        <v>0</v>
      </c>
      <c r="AK13" s="65" t="n">
        <f aca="false">IF(33='Assumption Setting'!$C$226,'Assumption Setting'!$D$226,0)</f>
        <v>0</v>
      </c>
      <c r="AL13" s="65" t="n">
        <f aca="false">IF(34='Assumption Setting'!$C$226,'Assumption Setting'!$D$226,0)</f>
        <v>0</v>
      </c>
      <c r="AM13" s="65" t="n">
        <f aca="false">IF(35='Assumption Setting'!$C$226,'Assumption Setting'!$D$226,0)</f>
        <v>0</v>
      </c>
      <c r="AN13" s="65" t="n">
        <f aca="false">IF(36='Assumption Setting'!$C$226,'Assumption Setting'!$D$226,0)</f>
        <v>0</v>
      </c>
      <c r="AO13" s="64" t="n">
        <f aca="false">SUM(AP13:BA13)</f>
        <v>0</v>
      </c>
      <c r="AP13" s="65" t="n">
        <f aca="false">IF(37='Assumption Setting'!$C$226,'Assumption Setting'!$D$226,0)</f>
        <v>0</v>
      </c>
      <c r="AQ13" s="65" t="n">
        <f aca="false">IF(38='Assumption Setting'!$C$226,'Assumption Setting'!$D$226,0)</f>
        <v>0</v>
      </c>
      <c r="AR13" s="65" t="n">
        <f aca="false">IF(39='Assumption Setting'!$C$226,'Assumption Setting'!$D$226,0)</f>
        <v>0</v>
      </c>
      <c r="AS13" s="65" t="n">
        <f aca="false">IF(40='Assumption Setting'!$C$226,'Assumption Setting'!$D$226,0)</f>
        <v>0</v>
      </c>
      <c r="AT13" s="65" t="n">
        <f aca="false">IF(41='Assumption Setting'!$C$226,'Assumption Setting'!$D$226,0)</f>
        <v>0</v>
      </c>
      <c r="AU13" s="65" t="n">
        <f aca="false">IF(42='Assumption Setting'!$C$226,'Assumption Setting'!$D$226,0)</f>
        <v>0</v>
      </c>
      <c r="AV13" s="65" t="n">
        <f aca="false">IF(43='Assumption Setting'!$C$226,'Assumption Setting'!$D$226,0)</f>
        <v>0</v>
      </c>
      <c r="AW13" s="65" t="n">
        <f aca="false">IF(44='Assumption Setting'!$C$226,'Assumption Setting'!$D$226,0)</f>
        <v>0</v>
      </c>
      <c r="AX13" s="65" t="n">
        <f aca="false">IF(45='Assumption Setting'!$C$226,'Assumption Setting'!$D$226,0)</f>
        <v>0</v>
      </c>
      <c r="AY13" s="65" t="n">
        <f aca="false">IF(46='Assumption Setting'!$C$226,'Assumption Setting'!$D$226,0)</f>
        <v>0</v>
      </c>
      <c r="AZ13" s="65" t="n">
        <f aca="false">IF(47='Assumption Setting'!$C$226,'Assumption Setting'!$D$226,0)</f>
        <v>0</v>
      </c>
      <c r="BA13" s="65" t="n">
        <f aca="false">IF(48='Assumption Setting'!$C$226,'Assumption Setting'!$D$226,0)</f>
        <v>0</v>
      </c>
      <c r="BB13" s="64" t="n">
        <f aca="false">SUM(BC13:BN13)</f>
        <v>0</v>
      </c>
      <c r="BC13" s="65" t="n">
        <f aca="false">IF(49='Assumption Setting'!$C$226,'Assumption Setting'!$D$226,0)</f>
        <v>0</v>
      </c>
      <c r="BD13" s="65" t="n">
        <f aca="false">IF(50='Assumption Setting'!$C$226,'Assumption Setting'!$D$226,0)</f>
        <v>0</v>
      </c>
      <c r="BE13" s="65" t="n">
        <f aca="false">IF(51='Assumption Setting'!$C$226,'Assumption Setting'!$D$226,0)</f>
        <v>0</v>
      </c>
      <c r="BF13" s="65" t="n">
        <f aca="false">IF(52='Assumption Setting'!$C$226,'Assumption Setting'!$D$226,0)</f>
        <v>0</v>
      </c>
      <c r="BG13" s="65" t="n">
        <f aca="false">IF(53='Assumption Setting'!$C$226,'Assumption Setting'!$D$226,0)</f>
        <v>0</v>
      </c>
      <c r="BH13" s="65" t="n">
        <f aca="false">IF(54='Assumption Setting'!$C$226,'Assumption Setting'!$D$226,0)</f>
        <v>0</v>
      </c>
      <c r="BI13" s="65" t="n">
        <f aca="false">IF(55='Assumption Setting'!$C$226,'Assumption Setting'!$D$226,0)</f>
        <v>0</v>
      </c>
      <c r="BJ13" s="65" t="n">
        <f aca="false">IF(56='Assumption Setting'!$C$226,'Assumption Setting'!$D$226,0)</f>
        <v>0</v>
      </c>
      <c r="BK13" s="65" t="n">
        <f aca="false">IF(57='Assumption Setting'!$C$226,'Assumption Setting'!$D$226,0)</f>
        <v>0</v>
      </c>
      <c r="BL13" s="65" t="n">
        <f aca="false">IF(58='Assumption Setting'!$C$226,'Assumption Setting'!$D$226,0)</f>
        <v>0</v>
      </c>
      <c r="BM13" s="65" t="n">
        <f aca="false">IF(59='Assumption Setting'!$C$226,'Assumption Setting'!$D$226,0)</f>
        <v>0</v>
      </c>
      <c r="BN13" s="65" t="n">
        <f aca="false">IF(60='Assumption Setting'!$C$226,'Assumption Setting'!$D$226,0)</f>
        <v>0</v>
      </c>
    </row>
    <row r="14" customFormat="false" ht="15" hidden="false" customHeight="false" outlineLevel="0" collapsed="false">
      <c r="A14" s="12" t="s">
        <v>477</v>
      </c>
      <c r="B14" s="64" t="n">
        <f aca="false">SUM(C14:N14)</f>
        <v>0</v>
      </c>
      <c r="C14" s="65" t="n">
        <f aca="false">IF(1='Assumption Setting'!$C$227,'Assumption Setting'!$D$227,0)</f>
        <v>0</v>
      </c>
      <c r="D14" s="65" t="n">
        <f aca="false">IF(2='Assumption Setting'!$C$227,'Assumption Setting'!$D$227,0)</f>
        <v>0</v>
      </c>
      <c r="E14" s="65" t="n">
        <f aca="false">IF(3='Assumption Setting'!$C$227,'Assumption Setting'!$D$227,0)</f>
        <v>0</v>
      </c>
      <c r="F14" s="65" t="n">
        <f aca="false">IF(4='Assumption Setting'!$C$227,'Assumption Setting'!$D$227,0)</f>
        <v>0</v>
      </c>
      <c r="G14" s="65" t="n">
        <f aca="false">IF(5='Assumption Setting'!$C$227,'Assumption Setting'!$D$227,0)</f>
        <v>0</v>
      </c>
      <c r="H14" s="65" t="n">
        <f aca="false">IF(6='Assumption Setting'!$C$227,'Assumption Setting'!$D$227,0)</f>
        <v>0</v>
      </c>
      <c r="I14" s="65" t="n">
        <f aca="false">IF(7='Assumption Setting'!$C$227,'Assumption Setting'!$D$227,0)</f>
        <v>0</v>
      </c>
      <c r="J14" s="65" t="n">
        <f aca="false">IF(8='Assumption Setting'!$C$227,'Assumption Setting'!$D$227,0)</f>
        <v>0</v>
      </c>
      <c r="K14" s="65" t="n">
        <f aca="false">IF(9='Assumption Setting'!$C$227,'Assumption Setting'!$D$227,0)</f>
        <v>0</v>
      </c>
      <c r="L14" s="65" t="n">
        <f aca="false">IF(10='Assumption Setting'!$C$227,'Assumption Setting'!$D$227,0)</f>
        <v>0</v>
      </c>
      <c r="M14" s="65" t="n">
        <f aca="false">IF(11='Assumption Setting'!$C$227,'Assumption Setting'!$D$227,0)</f>
        <v>0</v>
      </c>
      <c r="N14" s="65" t="n">
        <f aca="false">IF(12='Assumption Setting'!$C$227,'Assumption Setting'!$D$227,0)</f>
        <v>0</v>
      </c>
      <c r="O14" s="64" t="n">
        <f aca="false">SUM(P14:AA14)</f>
        <v>0</v>
      </c>
      <c r="P14" s="65" t="n">
        <f aca="false">IF(13='Assumption Setting'!$C$227,'Assumption Setting'!$D$227,0)</f>
        <v>0</v>
      </c>
      <c r="Q14" s="65" t="n">
        <f aca="false">IF(14='Assumption Setting'!$C$227,'Assumption Setting'!$D$227,0)</f>
        <v>0</v>
      </c>
      <c r="R14" s="65" t="n">
        <f aca="false">IF(15='Assumption Setting'!$C$227,'Assumption Setting'!$D$227,0)</f>
        <v>0</v>
      </c>
      <c r="S14" s="65" t="n">
        <f aca="false">IF(16='Assumption Setting'!$C$227,'Assumption Setting'!$D$227,0)</f>
        <v>0</v>
      </c>
      <c r="T14" s="65" t="n">
        <f aca="false">IF(17='Assumption Setting'!$C$227,'Assumption Setting'!$D$227,0)</f>
        <v>0</v>
      </c>
      <c r="U14" s="65" t="n">
        <f aca="false">IF(18='Assumption Setting'!$C$227,'Assumption Setting'!$D$227,0)</f>
        <v>0</v>
      </c>
      <c r="V14" s="65" t="n">
        <f aca="false">IF(19='Assumption Setting'!$C$227,'Assumption Setting'!$D$227,0)</f>
        <v>0</v>
      </c>
      <c r="W14" s="65" t="n">
        <f aca="false">IF(20='Assumption Setting'!$C$227,'Assumption Setting'!$D$227,0)</f>
        <v>0</v>
      </c>
      <c r="X14" s="65" t="n">
        <f aca="false">IF(21='Assumption Setting'!$C$227,'Assumption Setting'!$D$227,0)</f>
        <v>0</v>
      </c>
      <c r="Y14" s="65" t="n">
        <f aca="false">IF(22='Assumption Setting'!$C$227,'Assumption Setting'!$D$227,0)</f>
        <v>0</v>
      </c>
      <c r="Z14" s="65" t="n">
        <f aca="false">IF(23='Assumption Setting'!$C$227,'Assumption Setting'!$D$227,0)</f>
        <v>0</v>
      </c>
      <c r="AA14" s="65" t="n">
        <f aca="false">IF(24='Assumption Setting'!$C$227,'Assumption Setting'!$D$227,0)</f>
        <v>0</v>
      </c>
      <c r="AB14" s="64" t="n">
        <f aca="false">SUM(AC14:AN14)</f>
        <v>4000</v>
      </c>
      <c r="AC14" s="65" t="n">
        <f aca="false">IF(25='Assumption Setting'!$C$227,'Assumption Setting'!$D$227,0)</f>
        <v>4000</v>
      </c>
      <c r="AD14" s="65" t="n">
        <f aca="false">IF(26='Assumption Setting'!$C$227,'Assumption Setting'!$D$227,0)</f>
        <v>0</v>
      </c>
      <c r="AE14" s="65" t="n">
        <f aca="false">IF(27='Assumption Setting'!$C$227,'Assumption Setting'!$D$227,0)</f>
        <v>0</v>
      </c>
      <c r="AF14" s="65" t="n">
        <f aca="false">IF(28='Assumption Setting'!$C$227,'Assumption Setting'!$D$227,0)</f>
        <v>0</v>
      </c>
      <c r="AG14" s="65" t="n">
        <f aca="false">IF(29='Assumption Setting'!$C$227,'Assumption Setting'!$D$227,0)</f>
        <v>0</v>
      </c>
      <c r="AH14" s="65" t="n">
        <f aca="false">IF(30='Assumption Setting'!$C$227,'Assumption Setting'!$D$227,0)</f>
        <v>0</v>
      </c>
      <c r="AI14" s="65" t="n">
        <f aca="false">IF(31='Assumption Setting'!$C$227,'Assumption Setting'!$D$227,0)</f>
        <v>0</v>
      </c>
      <c r="AJ14" s="65" t="n">
        <f aca="false">IF(32='Assumption Setting'!$C$227,'Assumption Setting'!$D$227,0)</f>
        <v>0</v>
      </c>
      <c r="AK14" s="65" t="n">
        <f aca="false">IF(33='Assumption Setting'!$C$227,'Assumption Setting'!$D$227,0)</f>
        <v>0</v>
      </c>
      <c r="AL14" s="65" t="n">
        <f aca="false">IF(34='Assumption Setting'!$C$227,'Assumption Setting'!$D$227,0)</f>
        <v>0</v>
      </c>
      <c r="AM14" s="65" t="n">
        <f aca="false">IF(35='Assumption Setting'!$C$227,'Assumption Setting'!$D$227,0)</f>
        <v>0</v>
      </c>
      <c r="AN14" s="65" t="n">
        <f aca="false">IF(36='Assumption Setting'!$C$227,'Assumption Setting'!$D$227,0)</f>
        <v>0</v>
      </c>
      <c r="AO14" s="64" t="n">
        <f aca="false">SUM(AP14:BA14)</f>
        <v>0</v>
      </c>
      <c r="AP14" s="65" t="n">
        <f aca="false">IF(37='Assumption Setting'!$C$227,'Assumption Setting'!$D$227,0)</f>
        <v>0</v>
      </c>
      <c r="AQ14" s="65" t="n">
        <f aca="false">IF(38='Assumption Setting'!$C$227,'Assumption Setting'!$D$227,0)</f>
        <v>0</v>
      </c>
      <c r="AR14" s="65" t="n">
        <f aca="false">IF(39='Assumption Setting'!$C$227,'Assumption Setting'!$D$227,0)</f>
        <v>0</v>
      </c>
      <c r="AS14" s="65" t="n">
        <f aca="false">IF(40='Assumption Setting'!$C$227,'Assumption Setting'!$D$227,0)</f>
        <v>0</v>
      </c>
      <c r="AT14" s="65" t="n">
        <f aca="false">IF(41='Assumption Setting'!$C$227,'Assumption Setting'!$D$227,0)</f>
        <v>0</v>
      </c>
      <c r="AU14" s="65" t="n">
        <f aca="false">IF(42='Assumption Setting'!$C$227,'Assumption Setting'!$D$227,0)</f>
        <v>0</v>
      </c>
      <c r="AV14" s="65" t="n">
        <f aca="false">IF(43='Assumption Setting'!$C$227,'Assumption Setting'!$D$227,0)</f>
        <v>0</v>
      </c>
      <c r="AW14" s="65" t="n">
        <f aca="false">IF(44='Assumption Setting'!$C$227,'Assumption Setting'!$D$227,0)</f>
        <v>0</v>
      </c>
      <c r="AX14" s="65" t="n">
        <f aca="false">IF(45='Assumption Setting'!$C$227,'Assumption Setting'!$D$227,0)</f>
        <v>0</v>
      </c>
      <c r="AY14" s="65" t="n">
        <f aca="false">IF(46='Assumption Setting'!$C$227,'Assumption Setting'!$D$227,0)</f>
        <v>0</v>
      </c>
      <c r="AZ14" s="65" t="n">
        <f aca="false">IF(47='Assumption Setting'!$C$227,'Assumption Setting'!$D$227,0)</f>
        <v>0</v>
      </c>
      <c r="BA14" s="65" t="n">
        <f aca="false">IF(48='Assumption Setting'!$C$227,'Assumption Setting'!$D$227,0)</f>
        <v>0</v>
      </c>
      <c r="BB14" s="64" t="n">
        <f aca="false">SUM(BC14:BN14)</f>
        <v>0</v>
      </c>
      <c r="BC14" s="65" t="n">
        <f aca="false">IF(49='Assumption Setting'!$C$227,'Assumption Setting'!$D$227,0)</f>
        <v>0</v>
      </c>
      <c r="BD14" s="65" t="n">
        <f aca="false">IF(50='Assumption Setting'!$C$227,'Assumption Setting'!$D$227,0)</f>
        <v>0</v>
      </c>
      <c r="BE14" s="65" t="n">
        <f aca="false">IF(51='Assumption Setting'!$C$227,'Assumption Setting'!$D$227,0)</f>
        <v>0</v>
      </c>
      <c r="BF14" s="65" t="n">
        <f aca="false">IF(52='Assumption Setting'!$C$227,'Assumption Setting'!$D$227,0)</f>
        <v>0</v>
      </c>
      <c r="BG14" s="65" t="n">
        <f aca="false">IF(53='Assumption Setting'!$C$227,'Assumption Setting'!$D$227,0)</f>
        <v>0</v>
      </c>
      <c r="BH14" s="65" t="n">
        <f aca="false">IF(54='Assumption Setting'!$C$227,'Assumption Setting'!$D$227,0)</f>
        <v>0</v>
      </c>
      <c r="BI14" s="65" t="n">
        <f aca="false">IF(55='Assumption Setting'!$C$227,'Assumption Setting'!$D$227,0)</f>
        <v>0</v>
      </c>
      <c r="BJ14" s="65" t="n">
        <f aca="false">IF(56='Assumption Setting'!$C$227,'Assumption Setting'!$D$227,0)</f>
        <v>0</v>
      </c>
      <c r="BK14" s="65" t="n">
        <f aca="false">IF(57='Assumption Setting'!$C$227,'Assumption Setting'!$D$227,0)</f>
        <v>0</v>
      </c>
      <c r="BL14" s="65" t="n">
        <f aca="false">IF(58='Assumption Setting'!$C$227,'Assumption Setting'!$D$227,0)</f>
        <v>0</v>
      </c>
      <c r="BM14" s="65" t="n">
        <f aca="false">IF(59='Assumption Setting'!$C$227,'Assumption Setting'!$D$227,0)</f>
        <v>0</v>
      </c>
      <c r="BN14" s="65" t="n">
        <f aca="false">IF(60='Assumption Setting'!$C$227,'Assumption Setting'!$D$227,0)</f>
        <v>0</v>
      </c>
    </row>
    <row r="15" customFormat="false" ht="15" hidden="false" customHeight="false" outlineLevel="0" collapsed="false">
      <c r="A15" s="12" t="s">
        <v>478</v>
      </c>
      <c r="B15" s="64" t="n">
        <f aca="false">SUM(C15:N15)</f>
        <v>0</v>
      </c>
      <c r="C15" s="65" t="n">
        <f aca="false">IF(1='Assumption Setting'!$C$228,'Assumption Setting'!$D$228,0)</f>
        <v>0</v>
      </c>
      <c r="D15" s="65" t="n">
        <f aca="false">IF(2='Assumption Setting'!$C$228,'Assumption Setting'!$D$228,0)</f>
        <v>0</v>
      </c>
      <c r="E15" s="65" t="n">
        <f aca="false">IF(3='Assumption Setting'!$C$228,'Assumption Setting'!$D$228,0)</f>
        <v>0</v>
      </c>
      <c r="F15" s="65" t="n">
        <f aca="false">IF(4='Assumption Setting'!$C$228,'Assumption Setting'!$D$228,0)</f>
        <v>0</v>
      </c>
      <c r="G15" s="65" t="n">
        <f aca="false">IF(5='Assumption Setting'!$C$228,'Assumption Setting'!$D$228,0)</f>
        <v>0</v>
      </c>
      <c r="H15" s="65" t="n">
        <f aca="false">IF(6='Assumption Setting'!$C$228,'Assumption Setting'!$D$228,0)</f>
        <v>0</v>
      </c>
      <c r="I15" s="65" t="n">
        <f aca="false">IF(7='Assumption Setting'!$C$228,'Assumption Setting'!$D$228,0)</f>
        <v>0</v>
      </c>
      <c r="J15" s="65" t="n">
        <f aca="false">IF(8='Assumption Setting'!$C$228,'Assumption Setting'!$D$228,0)</f>
        <v>0</v>
      </c>
      <c r="K15" s="65" t="n">
        <f aca="false">IF(9='Assumption Setting'!$C$228,'Assumption Setting'!$D$228,0)</f>
        <v>0</v>
      </c>
      <c r="L15" s="65" t="n">
        <f aca="false">IF(10='Assumption Setting'!$C$228,'Assumption Setting'!$D$228,0)</f>
        <v>0</v>
      </c>
      <c r="M15" s="65" t="n">
        <f aca="false">IF(11='Assumption Setting'!$C$228,'Assumption Setting'!$D$228,0)</f>
        <v>0</v>
      </c>
      <c r="N15" s="65" t="n">
        <f aca="false">IF(12='Assumption Setting'!$C$228,'Assumption Setting'!$D$228,0)</f>
        <v>0</v>
      </c>
      <c r="O15" s="64" t="n">
        <f aca="false">SUM(P15:AA15)</f>
        <v>0</v>
      </c>
      <c r="P15" s="65" t="n">
        <f aca="false">IF(13='Assumption Setting'!$C$228,'Assumption Setting'!$D$228,0)</f>
        <v>0</v>
      </c>
      <c r="Q15" s="65" t="n">
        <f aca="false">IF(14='Assumption Setting'!$C$228,'Assumption Setting'!$D$228,0)</f>
        <v>0</v>
      </c>
      <c r="R15" s="65" t="n">
        <f aca="false">IF(15='Assumption Setting'!$C$228,'Assumption Setting'!$D$228,0)</f>
        <v>0</v>
      </c>
      <c r="S15" s="65" t="n">
        <f aca="false">IF(16='Assumption Setting'!$C$228,'Assumption Setting'!$D$228,0)</f>
        <v>0</v>
      </c>
      <c r="T15" s="65" t="n">
        <f aca="false">IF(17='Assumption Setting'!$C$228,'Assumption Setting'!$D$228,0)</f>
        <v>0</v>
      </c>
      <c r="U15" s="65" t="n">
        <f aca="false">IF(18='Assumption Setting'!$C$228,'Assumption Setting'!$D$228,0)</f>
        <v>0</v>
      </c>
      <c r="V15" s="65" t="n">
        <f aca="false">IF(19='Assumption Setting'!$C$228,'Assumption Setting'!$D$228,0)</f>
        <v>0</v>
      </c>
      <c r="W15" s="65" t="n">
        <f aca="false">IF(20='Assumption Setting'!$C$228,'Assumption Setting'!$D$228,0)</f>
        <v>0</v>
      </c>
      <c r="X15" s="65" t="n">
        <f aca="false">IF(21='Assumption Setting'!$C$228,'Assumption Setting'!$D$228,0)</f>
        <v>0</v>
      </c>
      <c r="Y15" s="65" t="n">
        <f aca="false">IF(22='Assumption Setting'!$C$228,'Assumption Setting'!$D$228,0)</f>
        <v>0</v>
      </c>
      <c r="Z15" s="65" t="n">
        <f aca="false">IF(23='Assumption Setting'!$C$228,'Assumption Setting'!$D$228,0)</f>
        <v>0</v>
      </c>
      <c r="AA15" s="65" t="n">
        <f aca="false">IF(24='Assumption Setting'!$C$228,'Assumption Setting'!$D$228,0)</f>
        <v>0</v>
      </c>
      <c r="AB15" s="64" t="n">
        <f aca="false">SUM(AC15:AN15)</f>
        <v>6000</v>
      </c>
      <c r="AC15" s="65" t="n">
        <f aca="false">IF(25='Assumption Setting'!$C$228,'Assumption Setting'!$D$228,0)</f>
        <v>6000</v>
      </c>
      <c r="AD15" s="65" t="n">
        <f aca="false">IF(26='Assumption Setting'!$C$228,'Assumption Setting'!$D$228,0)</f>
        <v>0</v>
      </c>
      <c r="AE15" s="65" t="n">
        <f aca="false">IF(27='Assumption Setting'!$C$228,'Assumption Setting'!$D$228,0)</f>
        <v>0</v>
      </c>
      <c r="AF15" s="65" t="n">
        <f aca="false">IF(28='Assumption Setting'!$C$228,'Assumption Setting'!$D$228,0)</f>
        <v>0</v>
      </c>
      <c r="AG15" s="65" t="n">
        <f aca="false">IF(29='Assumption Setting'!$C$228,'Assumption Setting'!$D$228,0)</f>
        <v>0</v>
      </c>
      <c r="AH15" s="65" t="n">
        <f aca="false">IF(30='Assumption Setting'!$C$228,'Assumption Setting'!$D$228,0)</f>
        <v>0</v>
      </c>
      <c r="AI15" s="65" t="n">
        <f aca="false">IF(31='Assumption Setting'!$C$228,'Assumption Setting'!$D$228,0)</f>
        <v>0</v>
      </c>
      <c r="AJ15" s="65" t="n">
        <f aca="false">IF(32='Assumption Setting'!$C$228,'Assumption Setting'!$D$228,0)</f>
        <v>0</v>
      </c>
      <c r="AK15" s="65" t="n">
        <f aca="false">IF(33='Assumption Setting'!$C$228,'Assumption Setting'!$D$228,0)</f>
        <v>0</v>
      </c>
      <c r="AL15" s="65" t="n">
        <f aca="false">IF(34='Assumption Setting'!$C$228,'Assumption Setting'!$D$228,0)</f>
        <v>0</v>
      </c>
      <c r="AM15" s="65" t="n">
        <f aca="false">IF(35='Assumption Setting'!$C$228,'Assumption Setting'!$D$228,0)</f>
        <v>0</v>
      </c>
      <c r="AN15" s="65" t="n">
        <f aca="false">IF(36='Assumption Setting'!$C$228,'Assumption Setting'!$D$228,0)</f>
        <v>0</v>
      </c>
      <c r="AO15" s="64" t="n">
        <f aca="false">SUM(AP15:BA15)</f>
        <v>0</v>
      </c>
      <c r="AP15" s="65" t="n">
        <f aca="false">IF(37='Assumption Setting'!$C$228,'Assumption Setting'!$D$228,0)</f>
        <v>0</v>
      </c>
      <c r="AQ15" s="65" t="n">
        <f aca="false">IF(38='Assumption Setting'!$C$228,'Assumption Setting'!$D$228,0)</f>
        <v>0</v>
      </c>
      <c r="AR15" s="65" t="n">
        <f aca="false">IF(39='Assumption Setting'!$C$228,'Assumption Setting'!$D$228,0)</f>
        <v>0</v>
      </c>
      <c r="AS15" s="65" t="n">
        <f aca="false">IF(40='Assumption Setting'!$C$228,'Assumption Setting'!$D$228,0)</f>
        <v>0</v>
      </c>
      <c r="AT15" s="65" t="n">
        <f aca="false">IF(41='Assumption Setting'!$C$228,'Assumption Setting'!$D$228,0)</f>
        <v>0</v>
      </c>
      <c r="AU15" s="65" t="n">
        <f aca="false">IF(42='Assumption Setting'!$C$228,'Assumption Setting'!$D$228,0)</f>
        <v>0</v>
      </c>
      <c r="AV15" s="65" t="n">
        <f aca="false">IF(43='Assumption Setting'!$C$228,'Assumption Setting'!$D$228,0)</f>
        <v>0</v>
      </c>
      <c r="AW15" s="65" t="n">
        <f aca="false">IF(44='Assumption Setting'!$C$228,'Assumption Setting'!$D$228,0)</f>
        <v>0</v>
      </c>
      <c r="AX15" s="65" t="n">
        <f aca="false">IF(45='Assumption Setting'!$C$228,'Assumption Setting'!$D$228,0)</f>
        <v>0</v>
      </c>
      <c r="AY15" s="65" t="n">
        <f aca="false">IF(46='Assumption Setting'!$C$228,'Assumption Setting'!$D$228,0)</f>
        <v>0</v>
      </c>
      <c r="AZ15" s="65" t="n">
        <f aca="false">IF(47='Assumption Setting'!$C$228,'Assumption Setting'!$D$228,0)</f>
        <v>0</v>
      </c>
      <c r="BA15" s="65" t="n">
        <f aca="false">IF(48='Assumption Setting'!$C$228,'Assumption Setting'!$D$228,0)</f>
        <v>0</v>
      </c>
      <c r="BB15" s="64" t="n">
        <f aca="false">SUM(BC15:BN15)</f>
        <v>0</v>
      </c>
      <c r="BC15" s="65" t="n">
        <f aca="false">IF(49='Assumption Setting'!$C$228,'Assumption Setting'!$D$228,0)</f>
        <v>0</v>
      </c>
      <c r="BD15" s="65" t="n">
        <f aca="false">IF(50='Assumption Setting'!$C$228,'Assumption Setting'!$D$228,0)</f>
        <v>0</v>
      </c>
      <c r="BE15" s="65" t="n">
        <f aca="false">IF(51='Assumption Setting'!$C$228,'Assumption Setting'!$D$228,0)</f>
        <v>0</v>
      </c>
      <c r="BF15" s="65" t="n">
        <f aca="false">IF(52='Assumption Setting'!$C$228,'Assumption Setting'!$D$228,0)</f>
        <v>0</v>
      </c>
      <c r="BG15" s="65" t="n">
        <f aca="false">IF(53='Assumption Setting'!$C$228,'Assumption Setting'!$D$228,0)</f>
        <v>0</v>
      </c>
      <c r="BH15" s="65" t="n">
        <f aca="false">IF(54='Assumption Setting'!$C$228,'Assumption Setting'!$D$228,0)</f>
        <v>0</v>
      </c>
      <c r="BI15" s="65" t="n">
        <f aca="false">IF(55='Assumption Setting'!$C$228,'Assumption Setting'!$D$228,0)</f>
        <v>0</v>
      </c>
      <c r="BJ15" s="65" t="n">
        <f aca="false">IF(56='Assumption Setting'!$C$228,'Assumption Setting'!$D$228,0)</f>
        <v>0</v>
      </c>
      <c r="BK15" s="65" t="n">
        <f aca="false">IF(57='Assumption Setting'!$C$228,'Assumption Setting'!$D$228,0)</f>
        <v>0</v>
      </c>
      <c r="BL15" s="65" t="n">
        <f aca="false">IF(58='Assumption Setting'!$C$228,'Assumption Setting'!$D$228,0)</f>
        <v>0</v>
      </c>
      <c r="BM15" s="65" t="n">
        <f aca="false">IF(59='Assumption Setting'!$C$228,'Assumption Setting'!$D$228,0)</f>
        <v>0</v>
      </c>
      <c r="BN15" s="65" t="n">
        <f aca="false">IF(60='Assumption Setting'!$C$228,'Assumption Setting'!$D$228,0)</f>
        <v>0</v>
      </c>
    </row>
    <row r="16" customFormat="false" ht="15" hidden="false" customHeight="false" outlineLevel="0" collapsed="false">
      <c r="A16" s="66" t="s">
        <v>542</v>
      </c>
      <c r="B16" s="67" t="n">
        <f aca="false">SUM(C16:N16)</f>
        <v>12280</v>
      </c>
      <c r="C16" s="68" t="n">
        <f aca="false">SUM(C7:C15)</f>
        <v>10080</v>
      </c>
      <c r="D16" s="68" t="n">
        <f aca="false">SUM(D7:D15)</f>
        <v>2200</v>
      </c>
      <c r="E16" s="68" t="n">
        <f aca="false">SUM(E7:E15)</f>
        <v>0</v>
      </c>
      <c r="F16" s="68" t="n">
        <f aca="false">SUM(F7:F15)</f>
        <v>0</v>
      </c>
      <c r="G16" s="68" t="n">
        <f aca="false">SUM(G7:G15)</f>
        <v>0</v>
      </c>
      <c r="H16" s="68" t="n">
        <f aca="false">SUM(H7:H15)</f>
        <v>0</v>
      </c>
      <c r="I16" s="68" t="n">
        <f aca="false">SUM(I7:I15)</f>
        <v>0</v>
      </c>
      <c r="J16" s="68" t="n">
        <f aca="false">SUM(J7:J15)</f>
        <v>0</v>
      </c>
      <c r="K16" s="68" t="n">
        <f aca="false">SUM(K7:K15)</f>
        <v>0</v>
      </c>
      <c r="L16" s="68" t="n">
        <f aca="false">SUM(L7:L15)</f>
        <v>0</v>
      </c>
      <c r="M16" s="68" t="n">
        <f aca="false">SUM(M7:M15)</f>
        <v>0</v>
      </c>
      <c r="N16" s="68" t="n">
        <f aca="false">SUM(N7:N15)</f>
        <v>0</v>
      </c>
      <c r="O16" s="67" t="n">
        <f aca="false">SUM(P16:AA16)</f>
        <v>3240</v>
      </c>
      <c r="P16" s="68" t="n">
        <f aca="false">SUM(P7:P15)</f>
        <v>3240</v>
      </c>
      <c r="Q16" s="68" t="n">
        <f aca="false">SUM(Q7:Q15)</f>
        <v>0</v>
      </c>
      <c r="R16" s="68" t="n">
        <f aca="false">SUM(R7:R15)</f>
        <v>0</v>
      </c>
      <c r="S16" s="68" t="n">
        <f aca="false">SUM(S7:S15)</f>
        <v>0</v>
      </c>
      <c r="T16" s="68" t="n">
        <f aca="false">SUM(T7:T15)</f>
        <v>0</v>
      </c>
      <c r="U16" s="68" t="n">
        <f aca="false">SUM(U7:U15)</f>
        <v>0</v>
      </c>
      <c r="V16" s="68" t="n">
        <f aca="false">SUM(V7:V15)</f>
        <v>0</v>
      </c>
      <c r="W16" s="68" t="n">
        <f aca="false">SUM(W7:W15)</f>
        <v>0</v>
      </c>
      <c r="X16" s="68" t="n">
        <f aca="false">SUM(X7:X15)</f>
        <v>0</v>
      </c>
      <c r="Y16" s="68" t="n">
        <f aca="false">SUM(Y7:Y15)</f>
        <v>0</v>
      </c>
      <c r="Z16" s="68" t="n">
        <f aca="false">SUM(Z7:Z15)</f>
        <v>0</v>
      </c>
      <c r="AA16" s="68" t="n">
        <f aca="false">SUM(AA7:AA15)</f>
        <v>0</v>
      </c>
      <c r="AB16" s="67" t="n">
        <f aca="false">SUM(AC16:AN16)</f>
        <v>13240</v>
      </c>
      <c r="AC16" s="68" t="n">
        <f aca="false">SUM(AC7:AC15)</f>
        <v>13240</v>
      </c>
      <c r="AD16" s="68" t="n">
        <f aca="false">SUM(AD7:AD15)</f>
        <v>0</v>
      </c>
      <c r="AE16" s="68" t="n">
        <f aca="false">SUM(AE7:AE15)</f>
        <v>0</v>
      </c>
      <c r="AF16" s="68" t="n">
        <f aca="false">SUM(AF7:AF15)</f>
        <v>0</v>
      </c>
      <c r="AG16" s="68" t="n">
        <f aca="false">SUM(AG7:AG15)</f>
        <v>0</v>
      </c>
      <c r="AH16" s="68" t="n">
        <f aca="false">SUM(AH7:AH15)</f>
        <v>0</v>
      </c>
      <c r="AI16" s="68" t="n">
        <f aca="false">SUM(AI7:AI15)</f>
        <v>0</v>
      </c>
      <c r="AJ16" s="68" t="n">
        <f aca="false">SUM(AJ7:AJ15)</f>
        <v>0</v>
      </c>
      <c r="AK16" s="68" t="n">
        <f aca="false">SUM(AK7:AK15)</f>
        <v>0</v>
      </c>
      <c r="AL16" s="68" t="n">
        <f aca="false">SUM(AL7:AL15)</f>
        <v>0</v>
      </c>
      <c r="AM16" s="68" t="n">
        <f aca="false">SUM(AM7:AM15)</f>
        <v>0</v>
      </c>
      <c r="AN16" s="68" t="n">
        <f aca="false">SUM(AN7:AN15)</f>
        <v>0</v>
      </c>
      <c r="AO16" s="67" t="n">
        <f aca="false">SUM(AP16:BA16)</f>
        <v>4320</v>
      </c>
      <c r="AP16" s="68" t="n">
        <f aca="false">SUM(AP7:AP15)</f>
        <v>4320</v>
      </c>
      <c r="AQ16" s="68" t="n">
        <f aca="false">SUM(AQ7:AQ15)</f>
        <v>0</v>
      </c>
      <c r="AR16" s="68" t="n">
        <f aca="false">SUM(AR7:AR15)</f>
        <v>0</v>
      </c>
      <c r="AS16" s="68" t="n">
        <f aca="false">SUM(AS7:AS15)</f>
        <v>0</v>
      </c>
      <c r="AT16" s="68" t="n">
        <f aca="false">SUM(AT7:AT15)</f>
        <v>0</v>
      </c>
      <c r="AU16" s="68" t="n">
        <f aca="false">SUM(AU7:AU15)</f>
        <v>0</v>
      </c>
      <c r="AV16" s="68" t="n">
        <f aca="false">SUM(AV7:AV15)</f>
        <v>0</v>
      </c>
      <c r="AW16" s="68" t="n">
        <f aca="false">SUM(AW7:AW15)</f>
        <v>0</v>
      </c>
      <c r="AX16" s="68" t="n">
        <f aca="false">SUM(AX7:AX15)</f>
        <v>0</v>
      </c>
      <c r="AY16" s="68" t="n">
        <f aca="false">SUM(AY7:AY15)</f>
        <v>0</v>
      </c>
      <c r="AZ16" s="68" t="n">
        <f aca="false">SUM(AZ7:AZ15)</f>
        <v>0</v>
      </c>
      <c r="BA16" s="68" t="n">
        <f aca="false">SUM(BA7:BA15)</f>
        <v>0</v>
      </c>
      <c r="BB16" s="67" t="n">
        <f aca="false">SUM(BC16:BN16)</f>
        <v>4320</v>
      </c>
      <c r="BC16" s="68" t="n">
        <f aca="false">SUM(BC7:BC15)</f>
        <v>4320</v>
      </c>
      <c r="BD16" s="68" t="n">
        <f aca="false">SUM(BD7:BD15)</f>
        <v>0</v>
      </c>
      <c r="BE16" s="68" t="n">
        <f aca="false">SUM(BE7:BE15)</f>
        <v>0</v>
      </c>
      <c r="BF16" s="68" t="n">
        <f aca="false">SUM(BF7:BF15)</f>
        <v>0</v>
      </c>
      <c r="BG16" s="68" t="n">
        <f aca="false">SUM(BG7:BG15)</f>
        <v>0</v>
      </c>
      <c r="BH16" s="68" t="n">
        <f aca="false">SUM(BH7:BH15)</f>
        <v>0</v>
      </c>
      <c r="BI16" s="68" t="n">
        <f aca="false">SUM(BI7:BI15)</f>
        <v>0</v>
      </c>
      <c r="BJ16" s="68" t="n">
        <f aca="false">SUM(BJ7:BJ15)</f>
        <v>0</v>
      </c>
      <c r="BK16" s="68" t="n">
        <f aca="false">SUM(BK7:BK15)</f>
        <v>0</v>
      </c>
      <c r="BL16" s="68" t="n">
        <f aca="false">SUM(BL7:BL15)</f>
        <v>0</v>
      </c>
      <c r="BM16" s="68" t="n">
        <f aca="false">SUM(BM7:BM15)</f>
        <v>0</v>
      </c>
      <c r="BN16" s="68" t="n">
        <f aca="false">SUM(BN7:BN15)</f>
        <v>0</v>
      </c>
    </row>
    <row r="18" customFormat="false" ht="16.5" hidden="false" customHeight="true" outlineLevel="0" collapsed="false">
      <c r="A18" s="15" t="s">
        <v>543</v>
      </c>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row>
    <row r="19" customFormat="false" ht="15" hidden="false" customHeight="true" outlineLevel="0" collapsed="false">
      <c r="A19" s="26" t="s">
        <v>481</v>
      </c>
      <c r="B19" s="61" t="s">
        <v>81</v>
      </c>
      <c r="C19" s="62" t="s">
        <v>482</v>
      </c>
      <c r="D19" s="62" t="s">
        <v>483</v>
      </c>
      <c r="E19" s="62" t="s">
        <v>484</v>
      </c>
      <c r="F19" s="62" t="s">
        <v>485</v>
      </c>
      <c r="G19" s="62" t="s">
        <v>486</v>
      </c>
      <c r="H19" s="62" t="s">
        <v>487</v>
      </c>
      <c r="I19" s="62" t="s">
        <v>488</v>
      </c>
      <c r="J19" s="62" t="s">
        <v>489</v>
      </c>
      <c r="K19" s="62" t="s">
        <v>490</v>
      </c>
      <c r="L19" s="62" t="s">
        <v>491</v>
      </c>
      <c r="M19" s="62" t="s">
        <v>492</v>
      </c>
      <c r="N19" s="62" t="s">
        <v>493</v>
      </c>
      <c r="O19" s="61" t="s">
        <v>82</v>
      </c>
      <c r="P19" s="63" t="s">
        <v>494</v>
      </c>
      <c r="Q19" s="63" t="s">
        <v>495</v>
      </c>
      <c r="R19" s="63" t="s">
        <v>496</v>
      </c>
      <c r="S19" s="63" t="s">
        <v>497</v>
      </c>
      <c r="T19" s="63" t="s">
        <v>498</v>
      </c>
      <c r="U19" s="63" t="s">
        <v>499</v>
      </c>
      <c r="V19" s="63" t="s">
        <v>500</v>
      </c>
      <c r="W19" s="63" t="s">
        <v>501</v>
      </c>
      <c r="X19" s="63" t="s">
        <v>502</v>
      </c>
      <c r="Y19" s="63" t="s">
        <v>503</v>
      </c>
      <c r="Z19" s="63" t="s">
        <v>504</v>
      </c>
      <c r="AA19" s="63" t="s">
        <v>505</v>
      </c>
      <c r="AB19" s="61" t="s">
        <v>83</v>
      </c>
      <c r="AC19" s="62" t="s">
        <v>506</v>
      </c>
      <c r="AD19" s="62" t="s">
        <v>507</v>
      </c>
      <c r="AE19" s="62" t="s">
        <v>508</v>
      </c>
      <c r="AF19" s="62" t="s">
        <v>509</v>
      </c>
      <c r="AG19" s="62" t="s">
        <v>510</v>
      </c>
      <c r="AH19" s="62" t="s">
        <v>511</v>
      </c>
      <c r="AI19" s="62" t="s">
        <v>512</v>
      </c>
      <c r="AJ19" s="62" t="s">
        <v>513</v>
      </c>
      <c r="AK19" s="62" t="s">
        <v>514</v>
      </c>
      <c r="AL19" s="62" t="s">
        <v>515</v>
      </c>
      <c r="AM19" s="62" t="s">
        <v>516</v>
      </c>
      <c r="AN19" s="62" t="s">
        <v>517</v>
      </c>
      <c r="AO19" s="61" t="s">
        <v>84</v>
      </c>
      <c r="AP19" s="63" t="s">
        <v>518</v>
      </c>
      <c r="AQ19" s="63" t="s">
        <v>519</v>
      </c>
      <c r="AR19" s="63" t="s">
        <v>520</v>
      </c>
      <c r="AS19" s="63" t="s">
        <v>521</v>
      </c>
      <c r="AT19" s="63" t="s">
        <v>522</v>
      </c>
      <c r="AU19" s="63" t="s">
        <v>523</v>
      </c>
      <c r="AV19" s="63" t="s">
        <v>524</v>
      </c>
      <c r="AW19" s="63" t="s">
        <v>525</v>
      </c>
      <c r="AX19" s="63" t="s">
        <v>526</v>
      </c>
      <c r="AY19" s="63" t="s">
        <v>527</v>
      </c>
      <c r="AZ19" s="63" t="s">
        <v>528</v>
      </c>
      <c r="BA19" s="63" t="s">
        <v>529</v>
      </c>
      <c r="BB19" s="61" t="s">
        <v>85</v>
      </c>
      <c r="BC19" s="62" t="s">
        <v>530</v>
      </c>
      <c r="BD19" s="62" t="s">
        <v>531</v>
      </c>
      <c r="BE19" s="62" t="s">
        <v>532</v>
      </c>
      <c r="BF19" s="62" t="s">
        <v>533</v>
      </c>
      <c r="BG19" s="62" t="s">
        <v>534</v>
      </c>
      <c r="BH19" s="62" t="s">
        <v>535</v>
      </c>
      <c r="BI19" s="62" t="s">
        <v>536</v>
      </c>
      <c r="BJ19" s="62" t="s">
        <v>537</v>
      </c>
      <c r="BK19" s="62" t="s">
        <v>538</v>
      </c>
      <c r="BL19" s="62" t="s">
        <v>539</v>
      </c>
      <c r="BM19" s="62" t="s">
        <v>540</v>
      </c>
      <c r="BN19" s="62" t="s">
        <v>541</v>
      </c>
    </row>
    <row r="20" customFormat="false" ht="15" hidden="false" customHeight="false" outlineLevel="0" collapsed="false">
      <c r="A20" s="12" t="s">
        <v>467</v>
      </c>
      <c r="B20" s="64" t="n">
        <f aca="false">N20</f>
        <v>4500</v>
      </c>
      <c r="C20" s="65" t="n">
        <f aca="false">C7</f>
        <v>4500</v>
      </c>
      <c r="D20" s="65" t="n">
        <f aca="false">C20+D7</f>
        <v>4500</v>
      </c>
      <c r="E20" s="65" t="n">
        <f aca="false">D20+E7</f>
        <v>4500</v>
      </c>
      <c r="F20" s="65" t="n">
        <f aca="false">E20+F7</f>
        <v>4500</v>
      </c>
      <c r="G20" s="65" t="n">
        <f aca="false">F20+G7</f>
        <v>4500</v>
      </c>
      <c r="H20" s="65" t="n">
        <f aca="false">G20+H7</f>
        <v>4500</v>
      </c>
      <c r="I20" s="65" t="n">
        <f aca="false">H20+I7</f>
        <v>4500</v>
      </c>
      <c r="J20" s="65" t="n">
        <f aca="false">I20+J7</f>
        <v>4500</v>
      </c>
      <c r="K20" s="65" t="n">
        <f aca="false">J20+K7</f>
        <v>4500</v>
      </c>
      <c r="L20" s="65" t="n">
        <f aca="false">K20+L7</f>
        <v>4500</v>
      </c>
      <c r="M20" s="65" t="n">
        <f aca="false">L20+M7</f>
        <v>4500</v>
      </c>
      <c r="N20" s="65" t="n">
        <f aca="false">M20+N7</f>
        <v>4500</v>
      </c>
      <c r="O20" s="64" t="n">
        <f aca="false">AA20</f>
        <v>6750</v>
      </c>
      <c r="P20" s="65" t="n">
        <f aca="false">N20+P7</f>
        <v>6750</v>
      </c>
      <c r="Q20" s="65" t="n">
        <f aca="false">P20+Q7</f>
        <v>6750</v>
      </c>
      <c r="R20" s="65" t="n">
        <f aca="false">Q20+R7</f>
        <v>6750</v>
      </c>
      <c r="S20" s="65" t="n">
        <f aca="false">R20+S7</f>
        <v>6750</v>
      </c>
      <c r="T20" s="65" t="n">
        <f aca="false">S20+T7</f>
        <v>6750</v>
      </c>
      <c r="U20" s="65" t="n">
        <f aca="false">T20+U7</f>
        <v>6750</v>
      </c>
      <c r="V20" s="65" t="n">
        <f aca="false">U20+V7</f>
        <v>6750</v>
      </c>
      <c r="W20" s="65" t="n">
        <f aca="false">V20+W7</f>
        <v>6750</v>
      </c>
      <c r="X20" s="65" t="n">
        <f aca="false">W20+X7</f>
        <v>6750</v>
      </c>
      <c r="Y20" s="65" t="n">
        <f aca="false">X20+Y7</f>
        <v>6750</v>
      </c>
      <c r="Z20" s="65" t="n">
        <f aca="false">Y20+Z7</f>
        <v>6750</v>
      </c>
      <c r="AA20" s="65" t="n">
        <f aca="false">Z20+AA7</f>
        <v>6750</v>
      </c>
      <c r="AB20" s="64" t="n">
        <f aca="false">AN20</f>
        <v>9000</v>
      </c>
      <c r="AC20" s="65" t="n">
        <f aca="false">AA20+AC7</f>
        <v>9000</v>
      </c>
      <c r="AD20" s="65" t="n">
        <f aca="false">AC20+AD7</f>
        <v>9000</v>
      </c>
      <c r="AE20" s="65" t="n">
        <f aca="false">AD20+AE7</f>
        <v>9000</v>
      </c>
      <c r="AF20" s="65" t="n">
        <f aca="false">AE20+AF7</f>
        <v>9000</v>
      </c>
      <c r="AG20" s="65" t="n">
        <f aca="false">AF20+AG7</f>
        <v>9000</v>
      </c>
      <c r="AH20" s="65" t="n">
        <f aca="false">AG20+AH7</f>
        <v>9000</v>
      </c>
      <c r="AI20" s="65" t="n">
        <f aca="false">AH20+AI7</f>
        <v>9000</v>
      </c>
      <c r="AJ20" s="65" t="n">
        <f aca="false">AI20+AJ7</f>
        <v>9000</v>
      </c>
      <c r="AK20" s="65" t="n">
        <f aca="false">AJ20+AK7</f>
        <v>9000</v>
      </c>
      <c r="AL20" s="65" t="n">
        <f aca="false">AK20+AL7</f>
        <v>9000</v>
      </c>
      <c r="AM20" s="65" t="n">
        <f aca="false">AL20+AM7</f>
        <v>9000</v>
      </c>
      <c r="AN20" s="65" t="n">
        <f aca="false">AM20+AN7</f>
        <v>9000</v>
      </c>
      <c r="AO20" s="64" t="n">
        <f aca="false">BA20</f>
        <v>12000</v>
      </c>
      <c r="AP20" s="65" t="n">
        <f aca="false">AN20+AP7</f>
        <v>12000</v>
      </c>
      <c r="AQ20" s="65" t="n">
        <f aca="false">AP20+AQ7</f>
        <v>12000</v>
      </c>
      <c r="AR20" s="65" t="n">
        <f aca="false">AQ20+AR7</f>
        <v>12000</v>
      </c>
      <c r="AS20" s="65" t="n">
        <f aca="false">AR20+AS7</f>
        <v>12000</v>
      </c>
      <c r="AT20" s="65" t="n">
        <f aca="false">AS20+AT7</f>
        <v>12000</v>
      </c>
      <c r="AU20" s="65" t="n">
        <f aca="false">AT20+AU7</f>
        <v>12000</v>
      </c>
      <c r="AV20" s="65" t="n">
        <f aca="false">AU20+AV7</f>
        <v>12000</v>
      </c>
      <c r="AW20" s="65" t="n">
        <f aca="false">AV20+AW7</f>
        <v>12000</v>
      </c>
      <c r="AX20" s="65" t="n">
        <f aca="false">AW20+AX7</f>
        <v>12000</v>
      </c>
      <c r="AY20" s="65" t="n">
        <f aca="false">AX20+AY7</f>
        <v>12000</v>
      </c>
      <c r="AZ20" s="65" t="n">
        <f aca="false">AY20+AZ7</f>
        <v>12000</v>
      </c>
      <c r="BA20" s="65" t="n">
        <f aca="false">AZ20+BA7</f>
        <v>12000</v>
      </c>
      <c r="BB20" s="64" t="n">
        <f aca="false">BN20</f>
        <v>15000</v>
      </c>
      <c r="BC20" s="65" t="n">
        <f aca="false">BA20+BC7</f>
        <v>15000</v>
      </c>
      <c r="BD20" s="65" t="n">
        <f aca="false">BC20+BD7</f>
        <v>15000</v>
      </c>
      <c r="BE20" s="65" t="n">
        <f aca="false">BD20+BE7</f>
        <v>15000</v>
      </c>
      <c r="BF20" s="65" t="n">
        <f aca="false">BE20+BF7</f>
        <v>15000</v>
      </c>
      <c r="BG20" s="65" t="n">
        <f aca="false">BF20+BG7</f>
        <v>15000</v>
      </c>
      <c r="BH20" s="65" t="n">
        <f aca="false">BG20+BH7</f>
        <v>15000</v>
      </c>
      <c r="BI20" s="65" t="n">
        <f aca="false">BH20+BI7</f>
        <v>15000</v>
      </c>
      <c r="BJ20" s="65" t="n">
        <f aca="false">BI20+BJ7</f>
        <v>15000</v>
      </c>
      <c r="BK20" s="65" t="n">
        <f aca="false">BJ20+BK7</f>
        <v>15000</v>
      </c>
      <c r="BL20" s="65" t="n">
        <f aca="false">BK20+BL7</f>
        <v>15000</v>
      </c>
      <c r="BM20" s="65" t="n">
        <f aca="false">BL20+BM7</f>
        <v>15000</v>
      </c>
      <c r="BN20" s="65" t="n">
        <f aca="false">BM20+BN7</f>
        <v>15000</v>
      </c>
    </row>
    <row r="21" customFormat="false" ht="15" hidden="false" customHeight="false" outlineLevel="0" collapsed="false">
      <c r="A21" s="12" t="s">
        <v>468</v>
      </c>
      <c r="B21" s="64" t="n">
        <f aca="false">N21</f>
        <v>900</v>
      </c>
      <c r="C21" s="65" t="n">
        <f aca="false">C8</f>
        <v>900</v>
      </c>
      <c r="D21" s="65" t="n">
        <f aca="false">C21+D8</f>
        <v>900</v>
      </c>
      <c r="E21" s="65" t="n">
        <f aca="false">D21+E8</f>
        <v>900</v>
      </c>
      <c r="F21" s="65" t="n">
        <f aca="false">E21+F8</f>
        <v>900</v>
      </c>
      <c r="G21" s="65" t="n">
        <f aca="false">F21+G8</f>
        <v>900</v>
      </c>
      <c r="H21" s="65" t="n">
        <f aca="false">G21+H8</f>
        <v>900</v>
      </c>
      <c r="I21" s="65" t="n">
        <f aca="false">H21+I8</f>
        <v>900</v>
      </c>
      <c r="J21" s="65" t="n">
        <f aca="false">I21+J8</f>
        <v>900</v>
      </c>
      <c r="K21" s="65" t="n">
        <f aca="false">J21+K8</f>
        <v>900</v>
      </c>
      <c r="L21" s="65" t="n">
        <f aca="false">K21+L8</f>
        <v>900</v>
      </c>
      <c r="M21" s="65" t="n">
        <f aca="false">L21+M8</f>
        <v>900</v>
      </c>
      <c r="N21" s="65" t="n">
        <f aca="false">M21+N8</f>
        <v>900</v>
      </c>
      <c r="O21" s="64" t="n">
        <f aca="false">AA21</f>
        <v>1350</v>
      </c>
      <c r="P21" s="65" t="n">
        <f aca="false">N21+P8</f>
        <v>1350</v>
      </c>
      <c r="Q21" s="65" t="n">
        <f aca="false">P21+Q8</f>
        <v>1350</v>
      </c>
      <c r="R21" s="65" t="n">
        <f aca="false">Q21+R8</f>
        <v>1350</v>
      </c>
      <c r="S21" s="65" t="n">
        <f aca="false">R21+S8</f>
        <v>1350</v>
      </c>
      <c r="T21" s="65" t="n">
        <f aca="false">S21+T8</f>
        <v>1350</v>
      </c>
      <c r="U21" s="65" t="n">
        <f aca="false">T21+U8</f>
        <v>1350</v>
      </c>
      <c r="V21" s="65" t="n">
        <f aca="false">U21+V8</f>
        <v>1350</v>
      </c>
      <c r="W21" s="65" t="n">
        <f aca="false">V21+W8</f>
        <v>1350</v>
      </c>
      <c r="X21" s="65" t="n">
        <f aca="false">W21+X8</f>
        <v>1350</v>
      </c>
      <c r="Y21" s="65" t="n">
        <f aca="false">X21+Y8</f>
        <v>1350</v>
      </c>
      <c r="Z21" s="65" t="n">
        <f aca="false">Y21+Z8</f>
        <v>1350</v>
      </c>
      <c r="AA21" s="65" t="n">
        <f aca="false">Z21+AA8</f>
        <v>1350</v>
      </c>
      <c r="AB21" s="64" t="n">
        <f aca="false">AN21</f>
        <v>1800</v>
      </c>
      <c r="AC21" s="65" t="n">
        <f aca="false">AA21+AC8</f>
        <v>1800</v>
      </c>
      <c r="AD21" s="65" t="n">
        <f aca="false">AC21+AD8</f>
        <v>1800</v>
      </c>
      <c r="AE21" s="65" t="n">
        <f aca="false">AD21+AE8</f>
        <v>1800</v>
      </c>
      <c r="AF21" s="65" t="n">
        <f aca="false">AE21+AF8</f>
        <v>1800</v>
      </c>
      <c r="AG21" s="65" t="n">
        <f aca="false">AF21+AG8</f>
        <v>1800</v>
      </c>
      <c r="AH21" s="65" t="n">
        <f aca="false">AG21+AH8</f>
        <v>1800</v>
      </c>
      <c r="AI21" s="65" t="n">
        <f aca="false">AH21+AI8</f>
        <v>1800</v>
      </c>
      <c r="AJ21" s="65" t="n">
        <f aca="false">AI21+AJ8</f>
        <v>1800</v>
      </c>
      <c r="AK21" s="65" t="n">
        <f aca="false">AJ21+AK8</f>
        <v>1800</v>
      </c>
      <c r="AL21" s="65" t="n">
        <f aca="false">AK21+AL8</f>
        <v>1800</v>
      </c>
      <c r="AM21" s="65" t="n">
        <f aca="false">AL21+AM8</f>
        <v>1800</v>
      </c>
      <c r="AN21" s="65" t="n">
        <f aca="false">AM21+AN8</f>
        <v>1800</v>
      </c>
      <c r="AO21" s="64" t="n">
        <f aca="false">BA21</f>
        <v>2400</v>
      </c>
      <c r="AP21" s="65" t="n">
        <f aca="false">AN21+AP8</f>
        <v>2400</v>
      </c>
      <c r="AQ21" s="65" t="n">
        <f aca="false">AP21+AQ8</f>
        <v>2400</v>
      </c>
      <c r="AR21" s="65" t="n">
        <f aca="false">AQ21+AR8</f>
        <v>2400</v>
      </c>
      <c r="AS21" s="65" t="n">
        <f aca="false">AR21+AS8</f>
        <v>2400</v>
      </c>
      <c r="AT21" s="65" t="n">
        <f aca="false">AS21+AT8</f>
        <v>2400</v>
      </c>
      <c r="AU21" s="65" t="n">
        <f aca="false">AT21+AU8</f>
        <v>2400</v>
      </c>
      <c r="AV21" s="65" t="n">
        <f aca="false">AU21+AV8</f>
        <v>2400</v>
      </c>
      <c r="AW21" s="65" t="n">
        <f aca="false">AV21+AW8</f>
        <v>2400</v>
      </c>
      <c r="AX21" s="65" t="n">
        <f aca="false">AW21+AX8</f>
        <v>2400</v>
      </c>
      <c r="AY21" s="65" t="n">
        <f aca="false">AX21+AY8</f>
        <v>2400</v>
      </c>
      <c r="AZ21" s="65" t="n">
        <f aca="false">AY21+AZ8</f>
        <v>2400</v>
      </c>
      <c r="BA21" s="65" t="n">
        <f aca="false">AZ21+BA8</f>
        <v>2400</v>
      </c>
      <c r="BB21" s="64" t="n">
        <f aca="false">BN21</f>
        <v>3000</v>
      </c>
      <c r="BC21" s="65" t="n">
        <f aca="false">BA21+BC8</f>
        <v>3000</v>
      </c>
      <c r="BD21" s="65" t="n">
        <f aca="false">BC21+BD8</f>
        <v>3000</v>
      </c>
      <c r="BE21" s="65" t="n">
        <f aca="false">BD21+BE8</f>
        <v>3000</v>
      </c>
      <c r="BF21" s="65" t="n">
        <f aca="false">BE21+BF8</f>
        <v>3000</v>
      </c>
      <c r="BG21" s="65" t="n">
        <f aca="false">BF21+BG8</f>
        <v>3000</v>
      </c>
      <c r="BH21" s="65" t="n">
        <f aca="false">BG21+BH8</f>
        <v>3000</v>
      </c>
      <c r="BI21" s="65" t="n">
        <f aca="false">BH21+BI8</f>
        <v>3000</v>
      </c>
      <c r="BJ21" s="65" t="n">
        <f aca="false">BI21+BJ8</f>
        <v>3000</v>
      </c>
      <c r="BK21" s="65" t="n">
        <f aca="false">BJ21+BK8</f>
        <v>3000</v>
      </c>
      <c r="BL21" s="65" t="n">
        <f aca="false">BK21+BL8</f>
        <v>3000</v>
      </c>
      <c r="BM21" s="65" t="n">
        <f aca="false">BL21+BM8</f>
        <v>3000</v>
      </c>
      <c r="BN21" s="65" t="n">
        <f aca="false">BM21+BN8</f>
        <v>3000</v>
      </c>
    </row>
    <row r="22" customFormat="false" ht="15" hidden="false" customHeight="false" outlineLevel="0" collapsed="false">
      <c r="A22" s="12" t="s">
        <v>469</v>
      </c>
      <c r="B22" s="64" t="n">
        <f aca="false">N22</f>
        <v>1080</v>
      </c>
      <c r="C22" s="65" t="n">
        <f aca="false">C9</f>
        <v>1080</v>
      </c>
      <c r="D22" s="65" t="n">
        <f aca="false">C22+D9</f>
        <v>1080</v>
      </c>
      <c r="E22" s="65" t="n">
        <f aca="false">D22+E9</f>
        <v>1080</v>
      </c>
      <c r="F22" s="65" t="n">
        <f aca="false">E22+F9</f>
        <v>1080</v>
      </c>
      <c r="G22" s="65" t="n">
        <f aca="false">F22+G9</f>
        <v>1080</v>
      </c>
      <c r="H22" s="65" t="n">
        <f aca="false">G22+H9</f>
        <v>1080</v>
      </c>
      <c r="I22" s="65" t="n">
        <f aca="false">H22+I9</f>
        <v>1080</v>
      </c>
      <c r="J22" s="65" t="n">
        <f aca="false">I22+J9</f>
        <v>1080</v>
      </c>
      <c r="K22" s="65" t="n">
        <f aca="false">J22+K9</f>
        <v>1080</v>
      </c>
      <c r="L22" s="65" t="n">
        <f aca="false">K22+L9</f>
        <v>1080</v>
      </c>
      <c r="M22" s="65" t="n">
        <f aca="false">L22+M9</f>
        <v>1080</v>
      </c>
      <c r="N22" s="65" t="n">
        <f aca="false">M22+N9</f>
        <v>1080</v>
      </c>
      <c r="O22" s="64" t="n">
        <f aca="false">AA22</f>
        <v>1620</v>
      </c>
      <c r="P22" s="65" t="n">
        <f aca="false">N22+P9</f>
        <v>1620</v>
      </c>
      <c r="Q22" s="65" t="n">
        <f aca="false">P22+Q9</f>
        <v>1620</v>
      </c>
      <c r="R22" s="65" t="n">
        <f aca="false">Q22+R9</f>
        <v>1620</v>
      </c>
      <c r="S22" s="65" t="n">
        <f aca="false">R22+S9</f>
        <v>1620</v>
      </c>
      <c r="T22" s="65" t="n">
        <f aca="false">S22+T9</f>
        <v>1620</v>
      </c>
      <c r="U22" s="65" t="n">
        <f aca="false">T22+U9</f>
        <v>1620</v>
      </c>
      <c r="V22" s="65" t="n">
        <f aca="false">U22+V9</f>
        <v>1620</v>
      </c>
      <c r="W22" s="65" t="n">
        <f aca="false">V22+W9</f>
        <v>1620</v>
      </c>
      <c r="X22" s="65" t="n">
        <f aca="false">W22+X9</f>
        <v>1620</v>
      </c>
      <c r="Y22" s="65" t="n">
        <f aca="false">X22+Y9</f>
        <v>1620</v>
      </c>
      <c r="Z22" s="65" t="n">
        <f aca="false">Y22+Z9</f>
        <v>1620</v>
      </c>
      <c r="AA22" s="65" t="n">
        <f aca="false">Z22+AA9</f>
        <v>1620</v>
      </c>
      <c r="AB22" s="64" t="n">
        <f aca="false">AN22</f>
        <v>2160</v>
      </c>
      <c r="AC22" s="65" t="n">
        <f aca="false">AA22+AC9</f>
        <v>2160</v>
      </c>
      <c r="AD22" s="65" t="n">
        <f aca="false">AC22+AD9</f>
        <v>2160</v>
      </c>
      <c r="AE22" s="65" t="n">
        <f aca="false">AD22+AE9</f>
        <v>2160</v>
      </c>
      <c r="AF22" s="65" t="n">
        <f aca="false">AE22+AF9</f>
        <v>2160</v>
      </c>
      <c r="AG22" s="65" t="n">
        <f aca="false">AF22+AG9</f>
        <v>2160</v>
      </c>
      <c r="AH22" s="65" t="n">
        <f aca="false">AG22+AH9</f>
        <v>2160</v>
      </c>
      <c r="AI22" s="65" t="n">
        <f aca="false">AH22+AI9</f>
        <v>2160</v>
      </c>
      <c r="AJ22" s="65" t="n">
        <f aca="false">AI22+AJ9</f>
        <v>2160</v>
      </c>
      <c r="AK22" s="65" t="n">
        <f aca="false">AJ22+AK9</f>
        <v>2160</v>
      </c>
      <c r="AL22" s="65" t="n">
        <f aca="false">AK22+AL9</f>
        <v>2160</v>
      </c>
      <c r="AM22" s="65" t="n">
        <f aca="false">AL22+AM9</f>
        <v>2160</v>
      </c>
      <c r="AN22" s="65" t="n">
        <f aca="false">AM22+AN9</f>
        <v>2160</v>
      </c>
      <c r="AO22" s="64" t="n">
        <f aca="false">BA22</f>
        <v>2880</v>
      </c>
      <c r="AP22" s="65" t="n">
        <f aca="false">AN22+AP9</f>
        <v>2880</v>
      </c>
      <c r="AQ22" s="65" t="n">
        <f aca="false">AP22+AQ9</f>
        <v>2880</v>
      </c>
      <c r="AR22" s="65" t="n">
        <f aca="false">AQ22+AR9</f>
        <v>2880</v>
      </c>
      <c r="AS22" s="65" t="n">
        <f aca="false">AR22+AS9</f>
        <v>2880</v>
      </c>
      <c r="AT22" s="65" t="n">
        <f aca="false">AS22+AT9</f>
        <v>2880</v>
      </c>
      <c r="AU22" s="65" t="n">
        <f aca="false">AT22+AU9</f>
        <v>2880</v>
      </c>
      <c r="AV22" s="65" t="n">
        <f aca="false">AU22+AV9</f>
        <v>2880</v>
      </c>
      <c r="AW22" s="65" t="n">
        <f aca="false">AV22+AW9</f>
        <v>2880</v>
      </c>
      <c r="AX22" s="65" t="n">
        <f aca="false">AW22+AX9</f>
        <v>2880</v>
      </c>
      <c r="AY22" s="65" t="n">
        <f aca="false">AX22+AY9</f>
        <v>2880</v>
      </c>
      <c r="AZ22" s="65" t="n">
        <f aca="false">AY22+AZ9</f>
        <v>2880</v>
      </c>
      <c r="BA22" s="65" t="n">
        <f aca="false">AZ22+BA9</f>
        <v>2880</v>
      </c>
      <c r="BB22" s="64" t="n">
        <f aca="false">BN22</f>
        <v>3600</v>
      </c>
      <c r="BC22" s="65" t="n">
        <f aca="false">BA22+BC9</f>
        <v>3600</v>
      </c>
      <c r="BD22" s="65" t="n">
        <f aca="false">BC22+BD9</f>
        <v>3600</v>
      </c>
      <c r="BE22" s="65" t="n">
        <f aca="false">BD22+BE9</f>
        <v>3600</v>
      </c>
      <c r="BF22" s="65" t="n">
        <f aca="false">BE22+BF9</f>
        <v>3600</v>
      </c>
      <c r="BG22" s="65" t="n">
        <f aca="false">BF22+BG9</f>
        <v>3600</v>
      </c>
      <c r="BH22" s="65" t="n">
        <f aca="false">BG22+BH9</f>
        <v>3600</v>
      </c>
      <c r="BI22" s="65" t="n">
        <f aca="false">BH22+BI9</f>
        <v>3600</v>
      </c>
      <c r="BJ22" s="65" t="n">
        <f aca="false">BI22+BJ9</f>
        <v>3600</v>
      </c>
      <c r="BK22" s="65" t="n">
        <f aca="false">BJ22+BK9</f>
        <v>3600</v>
      </c>
      <c r="BL22" s="65" t="n">
        <f aca="false">BK22+BL9</f>
        <v>3600</v>
      </c>
      <c r="BM22" s="65" t="n">
        <f aca="false">BL22+BM9</f>
        <v>3600</v>
      </c>
      <c r="BN22" s="65" t="n">
        <f aca="false">BM22+BN9</f>
        <v>3600</v>
      </c>
    </row>
    <row r="23" customFormat="false" ht="15" hidden="false" customHeight="false" outlineLevel="0" collapsed="false">
      <c r="A23" s="12" t="s">
        <v>470</v>
      </c>
      <c r="B23" s="64" t="n">
        <f aca="false">N23</f>
        <v>0</v>
      </c>
      <c r="C23" s="65" t="n">
        <f aca="false">C10</f>
        <v>0</v>
      </c>
      <c r="D23" s="65" t="n">
        <f aca="false">C23+D10</f>
        <v>0</v>
      </c>
      <c r="E23" s="65" t="n">
        <f aca="false">D23+E10</f>
        <v>0</v>
      </c>
      <c r="F23" s="65" t="n">
        <f aca="false">E23+F10</f>
        <v>0</v>
      </c>
      <c r="G23" s="65" t="n">
        <f aca="false">F23+G10</f>
        <v>0</v>
      </c>
      <c r="H23" s="65" t="n">
        <f aca="false">G23+H10</f>
        <v>0</v>
      </c>
      <c r="I23" s="65" t="n">
        <f aca="false">H23+I10</f>
        <v>0</v>
      </c>
      <c r="J23" s="65" t="n">
        <f aca="false">I23+J10</f>
        <v>0</v>
      </c>
      <c r="K23" s="65" t="n">
        <f aca="false">J23+K10</f>
        <v>0</v>
      </c>
      <c r="L23" s="65" t="n">
        <f aca="false">K23+L10</f>
        <v>0</v>
      </c>
      <c r="M23" s="65" t="n">
        <f aca="false">L23+M10</f>
        <v>0</v>
      </c>
      <c r="N23" s="65" t="n">
        <f aca="false">M23+N10</f>
        <v>0</v>
      </c>
      <c r="O23" s="64" t="n">
        <f aca="false">AA23</f>
        <v>0</v>
      </c>
      <c r="P23" s="65" t="n">
        <f aca="false">N23+P10</f>
        <v>0</v>
      </c>
      <c r="Q23" s="65" t="n">
        <f aca="false">P23+Q10</f>
        <v>0</v>
      </c>
      <c r="R23" s="65" t="n">
        <f aca="false">Q23+R10</f>
        <v>0</v>
      </c>
      <c r="S23" s="65" t="n">
        <f aca="false">R23+S10</f>
        <v>0</v>
      </c>
      <c r="T23" s="65" t="n">
        <f aca="false">S23+T10</f>
        <v>0</v>
      </c>
      <c r="U23" s="65" t="n">
        <f aca="false">T23+U10</f>
        <v>0</v>
      </c>
      <c r="V23" s="65" t="n">
        <f aca="false">U23+V10</f>
        <v>0</v>
      </c>
      <c r="W23" s="65" t="n">
        <f aca="false">V23+W10</f>
        <v>0</v>
      </c>
      <c r="X23" s="65" t="n">
        <f aca="false">W23+X10</f>
        <v>0</v>
      </c>
      <c r="Y23" s="65" t="n">
        <f aca="false">X23+Y10</f>
        <v>0</v>
      </c>
      <c r="Z23" s="65" t="n">
        <f aca="false">Y23+Z10</f>
        <v>0</v>
      </c>
      <c r="AA23" s="65" t="n">
        <f aca="false">Z23+AA10</f>
        <v>0</v>
      </c>
      <c r="AB23" s="64" t="n">
        <f aca="false">AN23</f>
        <v>0</v>
      </c>
      <c r="AC23" s="65" t="n">
        <f aca="false">AA23+AC10</f>
        <v>0</v>
      </c>
      <c r="AD23" s="65" t="n">
        <f aca="false">AC23+AD10</f>
        <v>0</v>
      </c>
      <c r="AE23" s="65" t="n">
        <f aca="false">AD23+AE10</f>
        <v>0</v>
      </c>
      <c r="AF23" s="65" t="n">
        <f aca="false">AE23+AF10</f>
        <v>0</v>
      </c>
      <c r="AG23" s="65" t="n">
        <f aca="false">AF23+AG10</f>
        <v>0</v>
      </c>
      <c r="AH23" s="65" t="n">
        <f aca="false">AG23+AH10</f>
        <v>0</v>
      </c>
      <c r="AI23" s="65" t="n">
        <f aca="false">AH23+AI10</f>
        <v>0</v>
      </c>
      <c r="AJ23" s="65" t="n">
        <f aca="false">AI23+AJ10</f>
        <v>0</v>
      </c>
      <c r="AK23" s="65" t="n">
        <f aca="false">AJ23+AK10</f>
        <v>0</v>
      </c>
      <c r="AL23" s="65" t="n">
        <f aca="false">AK23+AL10</f>
        <v>0</v>
      </c>
      <c r="AM23" s="65" t="n">
        <f aca="false">AL23+AM10</f>
        <v>0</v>
      </c>
      <c r="AN23" s="65" t="n">
        <f aca="false">AM23+AN10</f>
        <v>0</v>
      </c>
      <c r="AO23" s="64" t="n">
        <f aca="false">BA23</f>
        <v>0</v>
      </c>
      <c r="AP23" s="65" t="n">
        <f aca="false">AN23+AP10</f>
        <v>0</v>
      </c>
      <c r="AQ23" s="65" t="n">
        <f aca="false">AP23+AQ10</f>
        <v>0</v>
      </c>
      <c r="AR23" s="65" t="n">
        <f aca="false">AQ23+AR10</f>
        <v>0</v>
      </c>
      <c r="AS23" s="65" t="n">
        <f aca="false">AR23+AS10</f>
        <v>0</v>
      </c>
      <c r="AT23" s="65" t="n">
        <f aca="false">AS23+AT10</f>
        <v>0</v>
      </c>
      <c r="AU23" s="65" t="n">
        <f aca="false">AT23+AU10</f>
        <v>0</v>
      </c>
      <c r="AV23" s="65" t="n">
        <f aca="false">AU23+AV10</f>
        <v>0</v>
      </c>
      <c r="AW23" s="65" t="n">
        <f aca="false">AV23+AW10</f>
        <v>0</v>
      </c>
      <c r="AX23" s="65" t="n">
        <f aca="false">AW23+AX10</f>
        <v>0</v>
      </c>
      <c r="AY23" s="65" t="n">
        <f aca="false">AX23+AY10</f>
        <v>0</v>
      </c>
      <c r="AZ23" s="65" t="n">
        <f aca="false">AY23+AZ10</f>
        <v>0</v>
      </c>
      <c r="BA23" s="65" t="n">
        <f aca="false">AZ23+BA10</f>
        <v>0</v>
      </c>
      <c r="BB23" s="64" t="n">
        <f aca="false">BN23</f>
        <v>0</v>
      </c>
      <c r="BC23" s="65" t="n">
        <f aca="false">BA23+BC10</f>
        <v>0</v>
      </c>
      <c r="BD23" s="65" t="n">
        <f aca="false">BC23+BD10</f>
        <v>0</v>
      </c>
      <c r="BE23" s="65" t="n">
        <f aca="false">BD23+BE10</f>
        <v>0</v>
      </c>
      <c r="BF23" s="65" t="n">
        <f aca="false">BE23+BF10</f>
        <v>0</v>
      </c>
      <c r="BG23" s="65" t="n">
        <f aca="false">BF23+BG10</f>
        <v>0</v>
      </c>
      <c r="BH23" s="65" t="n">
        <f aca="false">BG23+BH10</f>
        <v>0</v>
      </c>
      <c r="BI23" s="65" t="n">
        <f aca="false">BH23+BI10</f>
        <v>0</v>
      </c>
      <c r="BJ23" s="65" t="n">
        <f aca="false">BI23+BJ10</f>
        <v>0</v>
      </c>
      <c r="BK23" s="65" t="n">
        <f aca="false">BJ23+BK10</f>
        <v>0</v>
      </c>
      <c r="BL23" s="65" t="n">
        <f aca="false">BK23+BL10</f>
        <v>0</v>
      </c>
      <c r="BM23" s="65" t="n">
        <f aca="false">BL23+BM10</f>
        <v>0</v>
      </c>
      <c r="BN23" s="65" t="n">
        <f aca="false">BM23+BN10</f>
        <v>0</v>
      </c>
    </row>
    <row r="24" customFormat="false" ht="15" hidden="false" customHeight="false" outlineLevel="0" collapsed="false">
      <c r="A24" s="12" t="s">
        <v>474</v>
      </c>
      <c r="B24" s="64" t="n">
        <f aca="false">N24</f>
        <v>2200</v>
      </c>
      <c r="C24" s="65" t="n">
        <f aca="false">C11</f>
        <v>0</v>
      </c>
      <c r="D24" s="65" t="n">
        <f aca="false">C24+D11</f>
        <v>2200</v>
      </c>
      <c r="E24" s="65" t="n">
        <f aca="false">D24+E11</f>
        <v>2200</v>
      </c>
      <c r="F24" s="65" t="n">
        <f aca="false">E24+F11</f>
        <v>2200</v>
      </c>
      <c r="G24" s="65" t="n">
        <f aca="false">F24+G11</f>
        <v>2200</v>
      </c>
      <c r="H24" s="65" t="n">
        <f aca="false">G24+H11</f>
        <v>2200</v>
      </c>
      <c r="I24" s="65" t="n">
        <f aca="false">H24+I11</f>
        <v>2200</v>
      </c>
      <c r="J24" s="65" t="n">
        <f aca="false">I24+J11</f>
        <v>2200</v>
      </c>
      <c r="K24" s="65" t="n">
        <f aca="false">J24+K11</f>
        <v>2200</v>
      </c>
      <c r="L24" s="65" t="n">
        <f aca="false">K24+L11</f>
        <v>2200</v>
      </c>
      <c r="M24" s="65" t="n">
        <f aca="false">L24+M11</f>
        <v>2200</v>
      </c>
      <c r="N24" s="65" t="n">
        <f aca="false">M24+N11</f>
        <v>2200</v>
      </c>
      <c r="O24" s="64" t="n">
        <f aca="false">AA24</f>
        <v>2200</v>
      </c>
      <c r="P24" s="65" t="n">
        <f aca="false">N24+P11</f>
        <v>2200</v>
      </c>
      <c r="Q24" s="65" t="n">
        <f aca="false">P24+Q11</f>
        <v>2200</v>
      </c>
      <c r="R24" s="65" t="n">
        <f aca="false">Q24+R11</f>
        <v>2200</v>
      </c>
      <c r="S24" s="65" t="n">
        <f aca="false">R24+S11</f>
        <v>2200</v>
      </c>
      <c r="T24" s="65" t="n">
        <f aca="false">S24+T11</f>
        <v>2200</v>
      </c>
      <c r="U24" s="65" t="n">
        <f aca="false">T24+U11</f>
        <v>2200</v>
      </c>
      <c r="V24" s="65" t="n">
        <f aca="false">U24+V11</f>
        <v>2200</v>
      </c>
      <c r="W24" s="65" t="n">
        <f aca="false">V24+W11</f>
        <v>2200</v>
      </c>
      <c r="X24" s="65" t="n">
        <f aca="false">W24+X11</f>
        <v>2200</v>
      </c>
      <c r="Y24" s="65" t="n">
        <f aca="false">X24+Y11</f>
        <v>2200</v>
      </c>
      <c r="Z24" s="65" t="n">
        <f aca="false">Y24+Z11</f>
        <v>2200</v>
      </c>
      <c r="AA24" s="65" t="n">
        <f aca="false">Z24+AA11</f>
        <v>2200</v>
      </c>
      <c r="AB24" s="64" t="n">
        <f aca="false">AN24</f>
        <v>2200</v>
      </c>
      <c r="AC24" s="65" t="n">
        <f aca="false">AA24+AC11</f>
        <v>2200</v>
      </c>
      <c r="AD24" s="65" t="n">
        <f aca="false">AC24+AD11</f>
        <v>2200</v>
      </c>
      <c r="AE24" s="65" t="n">
        <f aca="false">AD24+AE11</f>
        <v>2200</v>
      </c>
      <c r="AF24" s="65" t="n">
        <f aca="false">AE24+AF11</f>
        <v>2200</v>
      </c>
      <c r="AG24" s="65" t="n">
        <f aca="false">AF24+AG11</f>
        <v>2200</v>
      </c>
      <c r="AH24" s="65" t="n">
        <f aca="false">AG24+AH11</f>
        <v>2200</v>
      </c>
      <c r="AI24" s="65" t="n">
        <f aca="false">AH24+AI11</f>
        <v>2200</v>
      </c>
      <c r="AJ24" s="65" t="n">
        <f aca="false">AI24+AJ11</f>
        <v>2200</v>
      </c>
      <c r="AK24" s="65" t="n">
        <f aca="false">AJ24+AK11</f>
        <v>2200</v>
      </c>
      <c r="AL24" s="65" t="n">
        <f aca="false">AK24+AL11</f>
        <v>2200</v>
      </c>
      <c r="AM24" s="65" t="n">
        <f aca="false">AL24+AM11</f>
        <v>2200</v>
      </c>
      <c r="AN24" s="65" t="n">
        <f aca="false">AM24+AN11</f>
        <v>2200</v>
      </c>
      <c r="AO24" s="64" t="n">
        <f aca="false">BA24</f>
        <v>2200</v>
      </c>
      <c r="AP24" s="65" t="n">
        <f aca="false">AN24+AP11</f>
        <v>2200</v>
      </c>
      <c r="AQ24" s="65" t="n">
        <f aca="false">AP24+AQ11</f>
        <v>2200</v>
      </c>
      <c r="AR24" s="65" t="n">
        <f aca="false">AQ24+AR11</f>
        <v>2200</v>
      </c>
      <c r="AS24" s="65" t="n">
        <f aca="false">AR24+AS11</f>
        <v>2200</v>
      </c>
      <c r="AT24" s="65" t="n">
        <f aca="false">AS24+AT11</f>
        <v>2200</v>
      </c>
      <c r="AU24" s="65" t="n">
        <f aca="false">AT24+AU11</f>
        <v>2200</v>
      </c>
      <c r="AV24" s="65" t="n">
        <f aca="false">AU24+AV11</f>
        <v>2200</v>
      </c>
      <c r="AW24" s="65" t="n">
        <f aca="false">AV24+AW11</f>
        <v>2200</v>
      </c>
      <c r="AX24" s="65" t="n">
        <f aca="false">AW24+AX11</f>
        <v>2200</v>
      </c>
      <c r="AY24" s="65" t="n">
        <f aca="false">AX24+AY11</f>
        <v>2200</v>
      </c>
      <c r="AZ24" s="65" t="n">
        <f aca="false">AY24+AZ11</f>
        <v>2200</v>
      </c>
      <c r="BA24" s="65" t="n">
        <f aca="false">AZ24+BA11</f>
        <v>2200</v>
      </c>
      <c r="BB24" s="64" t="n">
        <f aca="false">BN24</f>
        <v>2200</v>
      </c>
      <c r="BC24" s="65" t="n">
        <f aca="false">BA24+BC11</f>
        <v>2200</v>
      </c>
      <c r="BD24" s="65" t="n">
        <f aca="false">BC24+BD11</f>
        <v>2200</v>
      </c>
      <c r="BE24" s="65" t="n">
        <f aca="false">BD24+BE11</f>
        <v>2200</v>
      </c>
      <c r="BF24" s="65" t="n">
        <f aca="false">BE24+BF11</f>
        <v>2200</v>
      </c>
      <c r="BG24" s="65" t="n">
        <f aca="false">BF24+BG11</f>
        <v>2200</v>
      </c>
      <c r="BH24" s="65" t="n">
        <f aca="false">BG24+BH11</f>
        <v>2200</v>
      </c>
      <c r="BI24" s="65" t="n">
        <f aca="false">BH24+BI11</f>
        <v>2200</v>
      </c>
      <c r="BJ24" s="65" t="n">
        <f aca="false">BI24+BJ11</f>
        <v>2200</v>
      </c>
      <c r="BK24" s="65" t="n">
        <f aca="false">BJ24+BK11</f>
        <v>2200</v>
      </c>
      <c r="BL24" s="65" t="n">
        <f aca="false">BK24+BL11</f>
        <v>2200</v>
      </c>
      <c r="BM24" s="65" t="n">
        <f aca="false">BL24+BM11</f>
        <v>2200</v>
      </c>
      <c r="BN24" s="65" t="n">
        <f aca="false">BM24+BN11</f>
        <v>2200</v>
      </c>
    </row>
    <row r="25" customFormat="false" ht="15" hidden="false" customHeight="false" outlineLevel="0" collapsed="false">
      <c r="A25" s="12" t="s">
        <v>475</v>
      </c>
      <c r="B25" s="64" t="n">
        <f aca="false">N25</f>
        <v>600</v>
      </c>
      <c r="C25" s="65" t="n">
        <f aca="false">C12</f>
        <v>600</v>
      </c>
      <c r="D25" s="65" t="n">
        <f aca="false">C25+D12</f>
        <v>600</v>
      </c>
      <c r="E25" s="65" t="n">
        <f aca="false">D25+E12</f>
        <v>600</v>
      </c>
      <c r="F25" s="65" t="n">
        <f aca="false">E25+F12</f>
        <v>600</v>
      </c>
      <c r="G25" s="65" t="n">
        <f aca="false">F25+G12</f>
        <v>600</v>
      </c>
      <c r="H25" s="65" t="n">
        <f aca="false">G25+H12</f>
        <v>600</v>
      </c>
      <c r="I25" s="65" t="n">
        <f aca="false">H25+I12</f>
        <v>600</v>
      </c>
      <c r="J25" s="65" t="n">
        <f aca="false">I25+J12</f>
        <v>600</v>
      </c>
      <c r="K25" s="65" t="n">
        <f aca="false">J25+K12</f>
        <v>600</v>
      </c>
      <c r="L25" s="65" t="n">
        <f aca="false">K25+L12</f>
        <v>600</v>
      </c>
      <c r="M25" s="65" t="n">
        <f aca="false">L25+M12</f>
        <v>600</v>
      </c>
      <c r="N25" s="65" t="n">
        <f aca="false">M25+N12</f>
        <v>600</v>
      </c>
      <c r="O25" s="64" t="n">
        <f aca="false">AA25</f>
        <v>600</v>
      </c>
      <c r="P25" s="65" t="n">
        <f aca="false">N25+P12</f>
        <v>600</v>
      </c>
      <c r="Q25" s="65" t="n">
        <f aca="false">P25+Q12</f>
        <v>600</v>
      </c>
      <c r="R25" s="65" t="n">
        <f aca="false">Q25+R12</f>
        <v>600</v>
      </c>
      <c r="S25" s="65" t="n">
        <f aca="false">R25+S12</f>
        <v>600</v>
      </c>
      <c r="T25" s="65" t="n">
        <f aca="false">S25+T12</f>
        <v>600</v>
      </c>
      <c r="U25" s="65" t="n">
        <f aca="false">T25+U12</f>
        <v>600</v>
      </c>
      <c r="V25" s="65" t="n">
        <f aca="false">U25+V12</f>
        <v>600</v>
      </c>
      <c r="W25" s="65" t="n">
        <f aca="false">V25+W12</f>
        <v>600</v>
      </c>
      <c r="X25" s="65" t="n">
        <f aca="false">W25+X12</f>
        <v>600</v>
      </c>
      <c r="Y25" s="65" t="n">
        <f aca="false">X25+Y12</f>
        <v>600</v>
      </c>
      <c r="Z25" s="65" t="n">
        <f aca="false">Y25+Z12</f>
        <v>600</v>
      </c>
      <c r="AA25" s="65" t="n">
        <f aca="false">Z25+AA12</f>
        <v>600</v>
      </c>
      <c r="AB25" s="64" t="n">
        <f aca="false">AN25</f>
        <v>600</v>
      </c>
      <c r="AC25" s="65" t="n">
        <f aca="false">AA25+AC12</f>
        <v>600</v>
      </c>
      <c r="AD25" s="65" t="n">
        <f aca="false">AC25+AD12</f>
        <v>600</v>
      </c>
      <c r="AE25" s="65" t="n">
        <f aca="false">AD25+AE12</f>
        <v>600</v>
      </c>
      <c r="AF25" s="65" t="n">
        <f aca="false">AE25+AF12</f>
        <v>600</v>
      </c>
      <c r="AG25" s="65" t="n">
        <f aca="false">AF25+AG12</f>
        <v>600</v>
      </c>
      <c r="AH25" s="65" t="n">
        <f aca="false">AG25+AH12</f>
        <v>600</v>
      </c>
      <c r="AI25" s="65" t="n">
        <f aca="false">AH25+AI12</f>
        <v>600</v>
      </c>
      <c r="AJ25" s="65" t="n">
        <f aca="false">AI25+AJ12</f>
        <v>600</v>
      </c>
      <c r="AK25" s="65" t="n">
        <f aca="false">AJ25+AK12</f>
        <v>600</v>
      </c>
      <c r="AL25" s="65" t="n">
        <f aca="false">AK25+AL12</f>
        <v>600</v>
      </c>
      <c r="AM25" s="65" t="n">
        <f aca="false">AL25+AM12</f>
        <v>600</v>
      </c>
      <c r="AN25" s="65" t="n">
        <f aca="false">AM25+AN12</f>
        <v>600</v>
      </c>
      <c r="AO25" s="64" t="n">
        <f aca="false">BA25</f>
        <v>600</v>
      </c>
      <c r="AP25" s="65" t="n">
        <f aca="false">AN25+AP12</f>
        <v>600</v>
      </c>
      <c r="AQ25" s="65" t="n">
        <f aca="false">AP25+AQ12</f>
        <v>600</v>
      </c>
      <c r="AR25" s="65" t="n">
        <f aca="false">AQ25+AR12</f>
        <v>600</v>
      </c>
      <c r="AS25" s="65" t="n">
        <f aca="false">AR25+AS12</f>
        <v>600</v>
      </c>
      <c r="AT25" s="65" t="n">
        <f aca="false">AS25+AT12</f>
        <v>600</v>
      </c>
      <c r="AU25" s="65" t="n">
        <f aca="false">AT25+AU12</f>
        <v>600</v>
      </c>
      <c r="AV25" s="65" t="n">
        <f aca="false">AU25+AV12</f>
        <v>600</v>
      </c>
      <c r="AW25" s="65" t="n">
        <f aca="false">AV25+AW12</f>
        <v>600</v>
      </c>
      <c r="AX25" s="65" t="n">
        <f aca="false">AW25+AX12</f>
        <v>600</v>
      </c>
      <c r="AY25" s="65" t="n">
        <f aca="false">AX25+AY12</f>
        <v>600</v>
      </c>
      <c r="AZ25" s="65" t="n">
        <f aca="false">AY25+AZ12</f>
        <v>600</v>
      </c>
      <c r="BA25" s="65" t="n">
        <f aca="false">AZ25+BA12</f>
        <v>600</v>
      </c>
      <c r="BB25" s="64" t="n">
        <f aca="false">BN25</f>
        <v>600</v>
      </c>
      <c r="BC25" s="65" t="n">
        <f aca="false">BA25+BC12</f>
        <v>600</v>
      </c>
      <c r="BD25" s="65" t="n">
        <f aca="false">BC25+BD12</f>
        <v>600</v>
      </c>
      <c r="BE25" s="65" t="n">
        <f aca="false">BD25+BE12</f>
        <v>600</v>
      </c>
      <c r="BF25" s="65" t="n">
        <f aca="false">BE25+BF12</f>
        <v>600</v>
      </c>
      <c r="BG25" s="65" t="n">
        <f aca="false">BF25+BG12</f>
        <v>600</v>
      </c>
      <c r="BH25" s="65" t="n">
        <f aca="false">BG25+BH12</f>
        <v>600</v>
      </c>
      <c r="BI25" s="65" t="n">
        <f aca="false">BH25+BI12</f>
        <v>600</v>
      </c>
      <c r="BJ25" s="65" t="n">
        <f aca="false">BI25+BJ12</f>
        <v>600</v>
      </c>
      <c r="BK25" s="65" t="n">
        <f aca="false">BJ25+BK12</f>
        <v>600</v>
      </c>
      <c r="BL25" s="65" t="n">
        <f aca="false">BK25+BL12</f>
        <v>600</v>
      </c>
      <c r="BM25" s="65" t="n">
        <f aca="false">BL25+BM12</f>
        <v>600</v>
      </c>
      <c r="BN25" s="65" t="n">
        <f aca="false">BM25+BN12</f>
        <v>600</v>
      </c>
    </row>
    <row r="26" customFormat="false" ht="15" hidden="false" customHeight="false" outlineLevel="0" collapsed="false">
      <c r="A26" s="12" t="s">
        <v>476</v>
      </c>
      <c r="B26" s="64" t="n">
        <f aca="false">N26</f>
        <v>3000</v>
      </c>
      <c r="C26" s="65" t="n">
        <f aca="false">C13</f>
        <v>3000</v>
      </c>
      <c r="D26" s="65" t="n">
        <f aca="false">C26+D13</f>
        <v>3000</v>
      </c>
      <c r="E26" s="65" t="n">
        <f aca="false">D26+E13</f>
        <v>3000</v>
      </c>
      <c r="F26" s="65" t="n">
        <f aca="false">E26+F13</f>
        <v>3000</v>
      </c>
      <c r="G26" s="65" t="n">
        <f aca="false">F26+G13</f>
        <v>3000</v>
      </c>
      <c r="H26" s="65" t="n">
        <f aca="false">G26+H13</f>
        <v>3000</v>
      </c>
      <c r="I26" s="65" t="n">
        <f aca="false">H26+I13</f>
        <v>3000</v>
      </c>
      <c r="J26" s="65" t="n">
        <f aca="false">I26+J13</f>
        <v>3000</v>
      </c>
      <c r="K26" s="65" t="n">
        <f aca="false">J26+K13</f>
        <v>3000</v>
      </c>
      <c r="L26" s="65" t="n">
        <f aca="false">K26+L13</f>
        <v>3000</v>
      </c>
      <c r="M26" s="65" t="n">
        <f aca="false">L26+M13</f>
        <v>3000</v>
      </c>
      <c r="N26" s="65" t="n">
        <f aca="false">M26+N13</f>
        <v>3000</v>
      </c>
      <c r="O26" s="64" t="n">
        <f aca="false">AA26</f>
        <v>3000</v>
      </c>
      <c r="P26" s="65" t="n">
        <f aca="false">N26+P13</f>
        <v>3000</v>
      </c>
      <c r="Q26" s="65" t="n">
        <f aca="false">P26+Q13</f>
        <v>3000</v>
      </c>
      <c r="R26" s="65" t="n">
        <f aca="false">Q26+R13</f>
        <v>3000</v>
      </c>
      <c r="S26" s="65" t="n">
        <f aca="false">R26+S13</f>
        <v>3000</v>
      </c>
      <c r="T26" s="65" t="n">
        <f aca="false">S26+T13</f>
        <v>3000</v>
      </c>
      <c r="U26" s="65" t="n">
        <f aca="false">T26+U13</f>
        <v>3000</v>
      </c>
      <c r="V26" s="65" t="n">
        <f aca="false">U26+V13</f>
        <v>3000</v>
      </c>
      <c r="W26" s="65" t="n">
        <f aca="false">V26+W13</f>
        <v>3000</v>
      </c>
      <c r="X26" s="65" t="n">
        <f aca="false">W26+X13</f>
        <v>3000</v>
      </c>
      <c r="Y26" s="65" t="n">
        <f aca="false">X26+Y13</f>
        <v>3000</v>
      </c>
      <c r="Z26" s="65" t="n">
        <f aca="false">Y26+Z13</f>
        <v>3000</v>
      </c>
      <c r="AA26" s="65" t="n">
        <f aca="false">Z26+AA13</f>
        <v>3000</v>
      </c>
      <c r="AB26" s="64" t="n">
        <f aca="false">AN26</f>
        <v>3000</v>
      </c>
      <c r="AC26" s="65" t="n">
        <f aca="false">AA26+AC13</f>
        <v>3000</v>
      </c>
      <c r="AD26" s="65" t="n">
        <f aca="false">AC26+AD13</f>
        <v>3000</v>
      </c>
      <c r="AE26" s="65" t="n">
        <f aca="false">AD26+AE13</f>
        <v>3000</v>
      </c>
      <c r="AF26" s="65" t="n">
        <f aca="false">AE26+AF13</f>
        <v>3000</v>
      </c>
      <c r="AG26" s="65" t="n">
        <f aca="false">AF26+AG13</f>
        <v>3000</v>
      </c>
      <c r="AH26" s="65" t="n">
        <f aca="false">AG26+AH13</f>
        <v>3000</v>
      </c>
      <c r="AI26" s="65" t="n">
        <f aca="false">AH26+AI13</f>
        <v>3000</v>
      </c>
      <c r="AJ26" s="65" t="n">
        <f aca="false">AI26+AJ13</f>
        <v>3000</v>
      </c>
      <c r="AK26" s="65" t="n">
        <f aca="false">AJ26+AK13</f>
        <v>3000</v>
      </c>
      <c r="AL26" s="65" t="n">
        <f aca="false">AK26+AL13</f>
        <v>3000</v>
      </c>
      <c r="AM26" s="65" t="n">
        <f aca="false">AL26+AM13</f>
        <v>3000</v>
      </c>
      <c r="AN26" s="65" t="n">
        <f aca="false">AM26+AN13</f>
        <v>3000</v>
      </c>
      <c r="AO26" s="64" t="n">
        <f aca="false">BA26</f>
        <v>3000</v>
      </c>
      <c r="AP26" s="65" t="n">
        <f aca="false">AN26+AP13</f>
        <v>3000</v>
      </c>
      <c r="AQ26" s="65" t="n">
        <f aca="false">AP26+AQ13</f>
        <v>3000</v>
      </c>
      <c r="AR26" s="65" t="n">
        <f aca="false">AQ26+AR13</f>
        <v>3000</v>
      </c>
      <c r="AS26" s="65" t="n">
        <f aca="false">AR26+AS13</f>
        <v>3000</v>
      </c>
      <c r="AT26" s="65" t="n">
        <f aca="false">AS26+AT13</f>
        <v>3000</v>
      </c>
      <c r="AU26" s="65" t="n">
        <f aca="false">AT26+AU13</f>
        <v>3000</v>
      </c>
      <c r="AV26" s="65" t="n">
        <f aca="false">AU26+AV13</f>
        <v>3000</v>
      </c>
      <c r="AW26" s="65" t="n">
        <f aca="false">AV26+AW13</f>
        <v>3000</v>
      </c>
      <c r="AX26" s="65" t="n">
        <f aca="false">AW26+AX13</f>
        <v>3000</v>
      </c>
      <c r="AY26" s="65" t="n">
        <f aca="false">AX26+AY13</f>
        <v>3000</v>
      </c>
      <c r="AZ26" s="65" t="n">
        <f aca="false">AY26+AZ13</f>
        <v>3000</v>
      </c>
      <c r="BA26" s="65" t="n">
        <f aca="false">AZ26+BA13</f>
        <v>3000</v>
      </c>
      <c r="BB26" s="64" t="n">
        <f aca="false">BN26</f>
        <v>3000</v>
      </c>
      <c r="BC26" s="65" t="n">
        <f aca="false">BA26+BC13</f>
        <v>3000</v>
      </c>
      <c r="BD26" s="65" t="n">
        <f aca="false">BC26+BD13</f>
        <v>3000</v>
      </c>
      <c r="BE26" s="65" t="n">
        <f aca="false">BD26+BE13</f>
        <v>3000</v>
      </c>
      <c r="BF26" s="65" t="n">
        <f aca="false">BE26+BF13</f>
        <v>3000</v>
      </c>
      <c r="BG26" s="65" t="n">
        <f aca="false">BF26+BG13</f>
        <v>3000</v>
      </c>
      <c r="BH26" s="65" t="n">
        <f aca="false">BG26+BH13</f>
        <v>3000</v>
      </c>
      <c r="BI26" s="65" t="n">
        <f aca="false">BH26+BI13</f>
        <v>3000</v>
      </c>
      <c r="BJ26" s="65" t="n">
        <f aca="false">BI26+BJ13</f>
        <v>3000</v>
      </c>
      <c r="BK26" s="65" t="n">
        <f aca="false">BJ26+BK13</f>
        <v>3000</v>
      </c>
      <c r="BL26" s="65" t="n">
        <f aca="false">BK26+BL13</f>
        <v>3000</v>
      </c>
      <c r="BM26" s="65" t="n">
        <f aca="false">BL26+BM13</f>
        <v>3000</v>
      </c>
      <c r="BN26" s="65" t="n">
        <f aca="false">BM26+BN13</f>
        <v>3000</v>
      </c>
    </row>
    <row r="27" customFormat="false" ht="15" hidden="false" customHeight="false" outlineLevel="0" collapsed="false">
      <c r="A27" s="12" t="s">
        <v>477</v>
      </c>
      <c r="B27" s="64" t="n">
        <f aca="false">N27</f>
        <v>0</v>
      </c>
      <c r="C27" s="65" t="n">
        <f aca="false">C14</f>
        <v>0</v>
      </c>
      <c r="D27" s="65" t="n">
        <f aca="false">C27+D14</f>
        <v>0</v>
      </c>
      <c r="E27" s="65" t="n">
        <f aca="false">D27+E14</f>
        <v>0</v>
      </c>
      <c r="F27" s="65" t="n">
        <f aca="false">E27+F14</f>
        <v>0</v>
      </c>
      <c r="G27" s="65" t="n">
        <f aca="false">F27+G14</f>
        <v>0</v>
      </c>
      <c r="H27" s="65" t="n">
        <f aca="false">G27+H14</f>
        <v>0</v>
      </c>
      <c r="I27" s="65" t="n">
        <f aca="false">H27+I14</f>
        <v>0</v>
      </c>
      <c r="J27" s="65" t="n">
        <f aca="false">I27+J14</f>
        <v>0</v>
      </c>
      <c r="K27" s="65" t="n">
        <f aca="false">J27+K14</f>
        <v>0</v>
      </c>
      <c r="L27" s="65" t="n">
        <f aca="false">K27+L14</f>
        <v>0</v>
      </c>
      <c r="M27" s="65" t="n">
        <f aca="false">L27+M14</f>
        <v>0</v>
      </c>
      <c r="N27" s="65" t="n">
        <f aca="false">M27+N14</f>
        <v>0</v>
      </c>
      <c r="O27" s="64" t="n">
        <f aca="false">AA27</f>
        <v>0</v>
      </c>
      <c r="P27" s="65" t="n">
        <f aca="false">N27+P14</f>
        <v>0</v>
      </c>
      <c r="Q27" s="65" t="n">
        <f aca="false">P27+Q14</f>
        <v>0</v>
      </c>
      <c r="R27" s="65" t="n">
        <f aca="false">Q27+R14</f>
        <v>0</v>
      </c>
      <c r="S27" s="65" t="n">
        <f aca="false">R27+S14</f>
        <v>0</v>
      </c>
      <c r="T27" s="65" t="n">
        <f aca="false">S27+T14</f>
        <v>0</v>
      </c>
      <c r="U27" s="65" t="n">
        <f aca="false">T27+U14</f>
        <v>0</v>
      </c>
      <c r="V27" s="65" t="n">
        <f aca="false">U27+V14</f>
        <v>0</v>
      </c>
      <c r="W27" s="65" t="n">
        <f aca="false">V27+W14</f>
        <v>0</v>
      </c>
      <c r="X27" s="65" t="n">
        <f aca="false">W27+X14</f>
        <v>0</v>
      </c>
      <c r="Y27" s="65" t="n">
        <f aca="false">X27+Y14</f>
        <v>0</v>
      </c>
      <c r="Z27" s="65" t="n">
        <f aca="false">Y27+Z14</f>
        <v>0</v>
      </c>
      <c r="AA27" s="65" t="n">
        <f aca="false">Z27+AA14</f>
        <v>0</v>
      </c>
      <c r="AB27" s="64" t="n">
        <f aca="false">AN27</f>
        <v>4000</v>
      </c>
      <c r="AC27" s="65" t="n">
        <f aca="false">AA27+AC14</f>
        <v>4000</v>
      </c>
      <c r="AD27" s="65" t="n">
        <f aca="false">AC27+AD14</f>
        <v>4000</v>
      </c>
      <c r="AE27" s="65" t="n">
        <f aca="false">AD27+AE14</f>
        <v>4000</v>
      </c>
      <c r="AF27" s="65" t="n">
        <f aca="false">AE27+AF14</f>
        <v>4000</v>
      </c>
      <c r="AG27" s="65" t="n">
        <f aca="false">AF27+AG14</f>
        <v>4000</v>
      </c>
      <c r="AH27" s="65" t="n">
        <f aca="false">AG27+AH14</f>
        <v>4000</v>
      </c>
      <c r="AI27" s="65" t="n">
        <f aca="false">AH27+AI14</f>
        <v>4000</v>
      </c>
      <c r="AJ27" s="65" t="n">
        <f aca="false">AI27+AJ14</f>
        <v>4000</v>
      </c>
      <c r="AK27" s="65" t="n">
        <f aca="false">AJ27+AK14</f>
        <v>4000</v>
      </c>
      <c r="AL27" s="65" t="n">
        <f aca="false">AK27+AL14</f>
        <v>4000</v>
      </c>
      <c r="AM27" s="65" t="n">
        <f aca="false">AL27+AM14</f>
        <v>4000</v>
      </c>
      <c r="AN27" s="65" t="n">
        <f aca="false">AM27+AN14</f>
        <v>4000</v>
      </c>
      <c r="AO27" s="64" t="n">
        <f aca="false">BA27</f>
        <v>4000</v>
      </c>
      <c r="AP27" s="65" t="n">
        <f aca="false">AN27+AP14</f>
        <v>4000</v>
      </c>
      <c r="AQ27" s="65" t="n">
        <f aca="false">AP27+AQ14</f>
        <v>4000</v>
      </c>
      <c r="AR27" s="65" t="n">
        <f aca="false">AQ27+AR14</f>
        <v>4000</v>
      </c>
      <c r="AS27" s="65" t="n">
        <f aca="false">AR27+AS14</f>
        <v>4000</v>
      </c>
      <c r="AT27" s="65" t="n">
        <f aca="false">AS27+AT14</f>
        <v>4000</v>
      </c>
      <c r="AU27" s="65" t="n">
        <f aca="false">AT27+AU14</f>
        <v>4000</v>
      </c>
      <c r="AV27" s="65" t="n">
        <f aca="false">AU27+AV14</f>
        <v>4000</v>
      </c>
      <c r="AW27" s="65" t="n">
        <f aca="false">AV27+AW14</f>
        <v>4000</v>
      </c>
      <c r="AX27" s="65" t="n">
        <f aca="false">AW27+AX14</f>
        <v>4000</v>
      </c>
      <c r="AY27" s="65" t="n">
        <f aca="false">AX27+AY14</f>
        <v>4000</v>
      </c>
      <c r="AZ27" s="65" t="n">
        <f aca="false">AY27+AZ14</f>
        <v>4000</v>
      </c>
      <c r="BA27" s="65" t="n">
        <f aca="false">AZ27+BA14</f>
        <v>4000</v>
      </c>
      <c r="BB27" s="64" t="n">
        <f aca="false">BN27</f>
        <v>4000</v>
      </c>
      <c r="BC27" s="65" t="n">
        <f aca="false">BA27+BC14</f>
        <v>4000</v>
      </c>
      <c r="BD27" s="65" t="n">
        <f aca="false">BC27+BD14</f>
        <v>4000</v>
      </c>
      <c r="BE27" s="65" t="n">
        <f aca="false">BD27+BE14</f>
        <v>4000</v>
      </c>
      <c r="BF27" s="65" t="n">
        <f aca="false">BE27+BF14</f>
        <v>4000</v>
      </c>
      <c r="BG27" s="65" t="n">
        <f aca="false">BF27+BG14</f>
        <v>4000</v>
      </c>
      <c r="BH27" s="65" t="n">
        <f aca="false">BG27+BH14</f>
        <v>4000</v>
      </c>
      <c r="BI27" s="65" t="n">
        <f aca="false">BH27+BI14</f>
        <v>4000</v>
      </c>
      <c r="BJ27" s="65" t="n">
        <f aca="false">BI27+BJ14</f>
        <v>4000</v>
      </c>
      <c r="BK27" s="65" t="n">
        <f aca="false">BJ27+BK14</f>
        <v>4000</v>
      </c>
      <c r="BL27" s="65" t="n">
        <f aca="false">BK27+BL14</f>
        <v>4000</v>
      </c>
      <c r="BM27" s="65" t="n">
        <f aca="false">BL27+BM14</f>
        <v>4000</v>
      </c>
      <c r="BN27" s="65" t="n">
        <f aca="false">BM27+BN14</f>
        <v>4000</v>
      </c>
    </row>
    <row r="28" customFormat="false" ht="15" hidden="false" customHeight="false" outlineLevel="0" collapsed="false">
      <c r="A28" s="12" t="s">
        <v>478</v>
      </c>
      <c r="B28" s="64" t="n">
        <f aca="false">N28</f>
        <v>0</v>
      </c>
      <c r="C28" s="65" t="n">
        <f aca="false">C15</f>
        <v>0</v>
      </c>
      <c r="D28" s="65" t="n">
        <f aca="false">C28+D15</f>
        <v>0</v>
      </c>
      <c r="E28" s="65" t="n">
        <f aca="false">D28+E15</f>
        <v>0</v>
      </c>
      <c r="F28" s="65" t="n">
        <f aca="false">E28+F15</f>
        <v>0</v>
      </c>
      <c r="G28" s="65" t="n">
        <f aca="false">F28+G15</f>
        <v>0</v>
      </c>
      <c r="H28" s="65" t="n">
        <f aca="false">G28+H15</f>
        <v>0</v>
      </c>
      <c r="I28" s="65" t="n">
        <f aca="false">H28+I15</f>
        <v>0</v>
      </c>
      <c r="J28" s="65" t="n">
        <f aca="false">I28+J15</f>
        <v>0</v>
      </c>
      <c r="K28" s="65" t="n">
        <f aca="false">J28+K15</f>
        <v>0</v>
      </c>
      <c r="L28" s="65" t="n">
        <f aca="false">K28+L15</f>
        <v>0</v>
      </c>
      <c r="M28" s="65" t="n">
        <f aca="false">L28+M15</f>
        <v>0</v>
      </c>
      <c r="N28" s="65" t="n">
        <f aca="false">M28+N15</f>
        <v>0</v>
      </c>
      <c r="O28" s="64" t="n">
        <f aca="false">AA28</f>
        <v>0</v>
      </c>
      <c r="P28" s="65" t="n">
        <f aca="false">N28+P15</f>
        <v>0</v>
      </c>
      <c r="Q28" s="65" t="n">
        <f aca="false">P28+Q15</f>
        <v>0</v>
      </c>
      <c r="R28" s="65" t="n">
        <f aca="false">Q28+R15</f>
        <v>0</v>
      </c>
      <c r="S28" s="65" t="n">
        <f aca="false">R28+S15</f>
        <v>0</v>
      </c>
      <c r="T28" s="65" t="n">
        <f aca="false">S28+T15</f>
        <v>0</v>
      </c>
      <c r="U28" s="65" t="n">
        <f aca="false">T28+U15</f>
        <v>0</v>
      </c>
      <c r="V28" s="65" t="n">
        <f aca="false">U28+V15</f>
        <v>0</v>
      </c>
      <c r="W28" s="65" t="n">
        <f aca="false">V28+W15</f>
        <v>0</v>
      </c>
      <c r="X28" s="65" t="n">
        <f aca="false">W28+X15</f>
        <v>0</v>
      </c>
      <c r="Y28" s="65" t="n">
        <f aca="false">X28+Y15</f>
        <v>0</v>
      </c>
      <c r="Z28" s="65" t="n">
        <f aca="false">Y28+Z15</f>
        <v>0</v>
      </c>
      <c r="AA28" s="65" t="n">
        <f aca="false">Z28+AA15</f>
        <v>0</v>
      </c>
      <c r="AB28" s="64" t="n">
        <f aca="false">AN28</f>
        <v>6000</v>
      </c>
      <c r="AC28" s="65" t="n">
        <f aca="false">AA28+AC15</f>
        <v>6000</v>
      </c>
      <c r="AD28" s="65" t="n">
        <f aca="false">AC28+AD15</f>
        <v>6000</v>
      </c>
      <c r="AE28" s="65" t="n">
        <f aca="false">AD28+AE15</f>
        <v>6000</v>
      </c>
      <c r="AF28" s="65" t="n">
        <f aca="false">AE28+AF15</f>
        <v>6000</v>
      </c>
      <c r="AG28" s="65" t="n">
        <f aca="false">AF28+AG15</f>
        <v>6000</v>
      </c>
      <c r="AH28" s="65" t="n">
        <f aca="false">AG28+AH15</f>
        <v>6000</v>
      </c>
      <c r="AI28" s="65" t="n">
        <f aca="false">AH28+AI15</f>
        <v>6000</v>
      </c>
      <c r="AJ28" s="65" t="n">
        <f aca="false">AI28+AJ15</f>
        <v>6000</v>
      </c>
      <c r="AK28" s="65" t="n">
        <f aca="false">AJ28+AK15</f>
        <v>6000</v>
      </c>
      <c r="AL28" s="65" t="n">
        <f aca="false">AK28+AL15</f>
        <v>6000</v>
      </c>
      <c r="AM28" s="65" t="n">
        <f aca="false">AL28+AM15</f>
        <v>6000</v>
      </c>
      <c r="AN28" s="65" t="n">
        <f aca="false">AM28+AN15</f>
        <v>6000</v>
      </c>
      <c r="AO28" s="64" t="n">
        <f aca="false">BA28</f>
        <v>6000</v>
      </c>
      <c r="AP28" s="65" t="n">
        <f aca="false">AN28+AP15</f>
        <v>6000</v>
      </c>
      <c r="AQ28" s="65" t="n">
        <f aca="false">AP28+AQ15</f>
        <v>6000</v>
      </c>
      <c r="AR28" s="65" t="n">
        <f aca="false">AQ28+AR15</f>
        <v>6000</v>
      </c>
      <c r="AS28" s="65" t="n">
        <f aca="false">AR28+AS15</f>
        <v>6000</v>
      </c>
      <c r="AT28" s="65" t="n">
        <f aca="false">AS28+AT15</f>
        <v>6000</v>
      </c>
      <c r="AU28" s="65" t="n">
        <f aca="false">AT28+AU15</f>
        <v>6000</v>
      </c>
      <c r="AV28" s="65" t="n">
        <f aca="false">AU28+AV15</f>
        <v>6000</v>
      </c>
      <c r="AW28" s="65" t="n">
        <f aca="false">AV28+AW15</f>
        <v>6000</v>
      </c>
      <c r="AX28" s="65" t="n">
        <f aca="false">AW28+AX15</f>
        <v>6000</v>
      </c>
      <c r="AY28" s="65" t="n">
        <f aca="false">AX28+AY15</f>
        <v>6000</v>
      </c>
      <c r="AZ28" s="65" t="n">
        <f aca="false">AY28+AZ15</f>
        <v>6000</v>
      </c>
      <c r="BA28" s="65" t="n">
        <f aca="false">AZ28+BA15</f>
        <v>6000</v>
      </c>
      <c r="BB28" s="64" t="n">
        <f aca="false">BN28</f>
        <v>6000</v>
      </c>
      <c r="BC28" s="65" t="n">
        <f aca="false">BA28+BC15</f>
        <v>6000</v>
      </c>
      <c r="BD28" s="65" t="n">
        <f aca="false">BC28+BD15</f>
        <v>6000</v>
      </c>
      <c r="BE28" s="65" t="n">
        <f aca="false">BD28+BE15</f>
        <v>6000</v>
      </c>
      <c r="BF28" s="65" t="n">
        <f aca="false">BE28+BF15</f>
        <v>6000</v>
      </c>
      <c r="BG28" s="65" t="n">
        <f aca="false">BF28+BG15</f>
        <v>6000</v>
      </c>
      <c r="BH28" s="65" t="n">
        <f aca="false">BG28+BH15</f>
        <v>6000</v>
      </c>
      <c r="BI28" s="65" t="n">
        <f aca="false">BH28+BI15</f>
        <v>6000</v>
      </c>
      <c r="BJ28" s="65" t="n">
        <f aca="false">BI28+BJ15</f>
        <v>6000</v>
      </c>
      <c r="BK28" s="65" t="n">
        <f aca="false">BJ28+BK15</f>
        <v>6000</v>
      </c>
      <c r="BL28" s="65" t="n">
        <f aca="false">BK28+BL15</f>
        <v>6000</v>
      </c>
      <c r="BM28" s="65" t="n">
        <f aca="false">BL28+BM15</f>
        <v>6000</v>
      </c>
      <c r="BN28" s="65" t="n">
        <f aca="false">BM28+BN15</f>
        <v>6000</v>
      </c>
    </row>
    <row r="29" customFormat="false" ht="15" hidden="false" customHeight="false" outlineLevel="0" collapsed="false">
      <c r="A29" s="69" t="s">
        <v>544</v>
      </c>
      <c r="B29" s="64" t="n">
        <f aca="false">N29</f>
        <v>12280</v>
      </c>
      <c r="C29" s="70" t="n">
        <f aca="false">SUM(C20:C28)</f>
        <v>10080</v>
      </c>
      <c r="D29" s="70" t="n">
        <f aca="false">SUM(D20:D28)</f>
        <v>12280</v>
      </c>
      <c r="E29" s="70" t="n">
        <f aca="false">SUM(E20:E28)</f>
        <v>12280</v>
      </c>
      <c r="F29" s="70" t="n">
        <f aca="false">SUM(F20:F28)</f>
        <v>12280</v>
      </c>
      <c r="G29" s="70" t="n">
        <f aca="false">SUM(G20:G28)</f>
        <v>12280</v>
      </c>
      <c r="H29" s="70" t="n">
        <f aca="false">SUM(H20:H28)</f>
        <v>12280</v>
      </c>
      <c r="I29" s="70" t="n">
        <f aca="false">SUM(I20:I28)</f>
        <v>12280</v>
      </c>
      <c r="J29" s="70" t="n">
        <f aca="false">SUM(J20:J28)</f>
        <v>12280</v>
      </c>
      <c r="K29" s="70" t="n">
        <f aca="false">SUM(K20:K28)</f>
        <v>12280</v>
      </c>
      <c r="L29" s="70" t="n">
        <f aca="false">SUM(L20:L28)</f>
        <v>12280</v>
      </c>
      <c r="M29" s="70" t="n">
        <f aca="false">SUM(M20:M28)</f>
        <v>12280</v>
      </c>
      <c r="N29" s="70" t="n">
        <f aca="false">SUM(N20:N28)</f>
        <v>12280</v>
      </c>
      <c r="O29" s="64" t="n">
        <f aca="false">AA29</f>
        <v>15520</v>
      </c>
      <c r="P29" s="70" t="n">
        <f aca="false">SUM(P20:P28)</f>
        <v>15520</v>
      </c>
      <c r="Q29" s="70" t="n">
        <f aca="false">SUM(Q20:Q28)</f>
        <v>15520</v>
      </c>
      <c r="R29" s="70" t="n">
        <f aca="false">SUM(R20:R28)</f>
        <v>15520</v>
      </c>
      <c r="S29" s="70" t="n">
        <f aca="false">SUM(S20:S28)</f>
        <v>15520</v>
      </c>
      <c r="T29" s="70" t="n">
        <f aca="false">SUM(T20:T28)</f>
        <v>15520</v>
      </c>
      <c r="U29" s="70" t="n">
        <f aca="false">SUM(U20:U28)</f>
        <v>15520</v>
      </c>
      <c r="V29" s="70" t="n">
        <f aca="false">SUM(V20:V28)</f>
        <v>15520</v>
      </c>
      <c r="W29" s="70" t="n">
        <f aca="false">SUM(W20:W28)</f>
        <v>15520</v>
      </c>
      <c r="X29" s="70" t="n">
        <f aca="false">SUM(X20:X28)</f>
        <v>15520</v>
      </c>
      <c r="Y29" s="70" t="n">
        <f aca="false">SUM(Y20:Y28)</f>
        <v>15520</v>
      </c>
      <c r="Z29" s="70" t="n">
        <f aca="false">SUM(Z20:Z28)</f>
        <v>15520</v>
      </c>
      <c r="AA29" s="70" t="n">
        <f aca="false">SUM(AA20:AA28)</f>
        <v>15520</v>
      </c>
      <c r="AB29" s="64" t="n">
        <f aca="false">AN29</f>
        <v>28760</v>
      </c>
      <c r="AC29" s="70" t="n">
        <f aca="false">SUM(AC20:AC28)</f>
        <v>28760</v>
      </c>
      <c r="AD29" s="70" t="n">
        <f aca="false">SUM(AD20:AD28)</f>
        <v>28760</v>
      </c>
      <c r="AE29" s="70" t="n">
        <f aca="false">SUM(AE20:AE28)</f>
        <v>28760</v>
      </c>
      <c r="AF29" s="70" t="n">
        <f aca="false">SUM(AF20:AF28)</f>
        <v>28760</v>
      </c>
      <c r="AG29" s="70" t="n">
        <f aca="false">SUM(AG20:AG28)</f>
        <v>28760</v>
      </c>
      <c r="AH29" s="70" t="n">
        <f aca="false">SUM(AH20:AH28)</f>
        <v>28760</v>
      </c>
      <c r="AI29" s="70" t="n">
        <f aca="false">SUM(AI20:AI28)</f>
        <v>28760</v>
      </c>
      <c r="AJ29" s="70" t="n">
        <f aca="false">SUM(AJ20:AJ28)</f>
        <v>28760</v>
      </c>
      <c r="AK29" s="70" t="n">
        <f aca="false">SUM(AK20:AK28)</f>
        <v>28760</v>
      </c>
      <c r="AL29" s="70" t="n">
        <f aca="false">SUM(AL20:AL28)</f>
        <v>28760</v>
      </c>
      <c r="AM29" s="70" t="n">
        <f aca="false">SUM(AM20:AM28)</f>
        <v>28760</v>
      </c>
      <c r="AN29" s="70" t="n">
        <f aca="false">SUM(AN20:AN28)</f>
        <v>28760</v>
      </c>
      <c r="AO29" s="64" t="n">
        <f aca="false">BA29</f>
        <v>33080</v>
      </c>
      <c r="AP29" s="70" t="n">
        <f aca="false">SUM(AP20:AP28)</f>
        <v>33080</v>
      </c>
      <c r="AQ29" s="70" t="n">
        <f aca="false">SUM(AQ20:AQ28)</f>
        <v>33080</v>
      </c>
      <c r="AR29" s="70" t="n">
        <f aca="false">SUM(AR20:AR28)</f>
        <v>33080</v>
      </c>
      <c r="AS29" s="70" t="n">
        <f aca="false">SUM(AS20:AS28)</f>
        <v>33080</v>
      </c>
      <c r="AT29" s="70" t="n">
        <f aca="false">SUM(AT20:AT28)</f>
        <v>33080</v>
      </c>
      <c r="AU29" s="70" t="n">
        <f aca="false">SUM(AU20:AU28)</f>
        <v>33080</v>
      </c>
      <c r="AV29" s="70" t="n">
        <f aca="false">SUM(AV20:AV28)</f>
        <v>33080</v>
      </c>
      <c r="AW29" s="70" t="n">
        <f aca="false">SUM(AW20:AW28)</f>
        <v>33080</v>
      </c>
      <c r="AX29" s="70" t="n">
        <f aca="false">SUM(AX20:AX28)</f>
        <v>33080</v>
      </c>
      <c r="AY29" s="70" t="n">
        <f aca="false">SUM(AY20:AY28)</f>
        <v>33080</v>
      </c>
      <c r="AZ29" s="70" t="n">
        <f aca="false">SUM(AZ20:AZ28)</f>
        <v>33080</v>
      </c>
      <c r="BA29" s="70" t="n">
        <f aca="false">SUM(BA20:BA28)</f>
        <v>33080</v>
      </c>
      <c r="BB29" s="64" t="n">
        <f aca="false">BN29</f>
        <v>37400</v>
      </c>
      <c r="BC29" s="70" t="n">
        <f aca="false">SUM(BC20:BC28)</f>
        <v>37400</v>
      </c>
      <c r="BD29" s="70" t="n">
        <f aca="false">SUM(BD20:BD28)</f>
        <v>37400</v>
      </c>
      <c r="BE29" s="70" t="n">
        <f aca="false">SUM(BE20:BE28)</f>
        <v>37400</v>
      </c>
      <c r="BF29" s="70" t="n">
        <f aca="false">SUM(BF20:BF28)</f>
        <v>37400</v>
      </c>
      <c r="BG29" s="70" t="n">
        <f aca="false">SUM(BG20:BG28)</f>
        <v>37400</v>
      </c>
      <c r="BH29" s="70" t="n">
        <f aca="false">SUM(BH20:BH28)</f>
        <v>37400</v>
      </c>
      <c r="BI29" s="70" t="n">
        <f aca="false">SUM(BI20:BI28)</f>
        <v>37400</v>
      </c>
      <c r="BJ29" s="70" t="n">
        <f aca="false">SUM(BJ20:BJ28)</f>
        <v>37400</v>
      </c>
      <c r="BK29" s="70" t="n">
        <f aca="false">SUM(BK20:BK28)</f>
        <v>37400</v>
      </c>
      <c r="BL29" s="70" t="n">
        <f aca="false">SUM(BL20:BL28)</f>
        <v>37400</v>
      </c>
      <c r="BM29" s="70" t="n">
        <f aca="false">SUM(BM20:BM28)</f>
        <v>37400</v>
      </c>
      <c r="BN29" s="70" t="n">
        <f aca="false">SUM(BN20:BN28)</f>
        <v>37400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195</v>
      </c>
    </row>
    <row r="2" customFormat="false" ht="13.5" hidden="false" customHeight="true" outlineLevel="0" collapsed="false">
      <c r="A2" s="6" t="s">
        <v>545</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546</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false" outlineLevel="0" collapsed="false">
      <c r="A6" s="12" t="s">
        <v>547</v>
      </c>
      <c r="B6" s="22" t="s">
        <v>116</v>
      </c>
      <c r="C6" s="20" t="n">
        <f aca="false">'Assumption Setting'!$C$18</f>
        <v>50000</v>
      </c>
    </row>
    <row r="7" customFormat="false" ht="15" hidden="false" customHeight="false" outlineLevel="0" collapsed="false">
      <c r="A7" s="12" t="s">
        <v>548</v>
      </c>
      <c r="B7" s="22" t="s">
        <v>549</v>
      </c>
      <c r="C7" s="44" t="n">
        <v>0</v>
      </c>
    </row>
    <row r="8" customFormat="false" ht="15" hidden="false" customHeight="false" outlineLevel="0" collapsed="false">
      <c r="A8" s="12" t="s">
        <v>550</v>
      </c>
      <c r="B8" s="22" t="s">
        <v>551</v>
      </c>
      <c r="C8" s="44" t="n">
        <v>0</v>
      </c>
    </row>
    <row r="9" customFormat="false" ht="15" hidden="false" customHeight="false" outlineLevel="0" collapsed="false">
      <c r="A9" s="12" t="s">
        <v>552</v>
      </c>
      <c r="B9" s="22" t="s">
        <v>553</v>
      </c>
      <c r="C9" s="44" t="n">
        <v>0</v>
      </c>
    </row>
    <row r="10" customFormat="false" ht="15" hidden="false" customHeight="false" outlineLevel="0" collapsed="false">
      <c r="A10" s="18" t="s">
        <v>554</v>
      </c>
      <c r="C10" s="19" t="n">
        <f aca="false">SUM(C6:C9)</f>
        <v>50000</v>
      </c>
    </row>
    <row r="12" customFormat="false" ht="15" hidden="false" customHeight="false" outlineLevel="0" collapsed="false">
      <c r="A12" s="12" t="s">
        <v>555</v>
      </c>
      <c r="B12" s="22" t="s">
        <v>556</v>
      </c>
      <c r="C12" s="44" t="n">
        <v>0</v>
      </c>
    </row>
    <row r="13" customFormat="false" ht="15" hidden="false" customHeight="false" outlineLevel="0" collapsed="false">
      <c r="A13" s="12" t="s">
        <v>557</v>
      </c>
      <c r="B13" s="22" t="s">
        <v>558</v>
      </c>
      <c r="C13" s="44" t="n">
        <v>0</v>
      </c>
    </row>
    <row r="14" customFormat="false" ht="15" hidden="false" customHeight="false" outlineLevel="0" collapsed="false">
      <c r="A14" s="12" t="s">
        <v>559</v>
      </c>
      <c r="B14" s="22" t="s">
        <v>560</v>
      </c>
      <c r="C14" s="44" t="n">
        <v>0</v>
      </c>
    </row>
    <row r="15" customFormat="false" ht="15" hidden="false" customHeight="false" outlineLevel="0" collapsed="false">
      <c r="A15" s="12" t="s">
        <v>561</v>
      </c>
      <c r="B15" s="22" t="s">
        <v>562</v>
      </c>
      <c r="C15" s="44" t="n">
        <v>0</v>
      </c>
    </row>
    <row r="16" customFormat="false" ht="15" hidden="false" customHeight="false" outlineLevel="0" collapsed="false">
      <c r="A16" s="12" t="s">
        <v>563</v>
      </c>
      <c r="B16" s="22" t="s">
        <v>564</v>
      </c>
      <c r="C16" s="20" t="n">
        <f aca="false">'Assumption Setting'!$C$18</f>
        <v>50000</v>
      </c>
    </row>
    <row r="17" customFormat="false" ht="15" hidden="false" customHeight="false" outlineLevel="0" collapsed="false">
      <c r="A17" s="12" t="s">
        <v>565</v>
      </c>
      <c r="B17" s="22" t="s">
        <v>566</v>
      </c>
      <c r="C17" s="44" t="n">
        <v>0</v>
      </c>
    </row>
    <row r="18" customFormat="false" ht="15" hidden="false" customHeight="false" outlineLevel="0" collapsed="false">
      <c r="A18" s="18" t="s">
        <v>567</v>
      </c>
      <c r="C18" s="19" t="n">
        <f aca="false">SUM(C12:C17)</f>
        <v>50000</v>
      </c>
    </row>
    <row r="19" customFormat="false" ht="15" hidden="false" customHeight="false" outlineLevel="0" collapsed="false">
      <c r="A19" s="18" t="s">
        <v>568</v>
      </c>
      <c r="C19" s="23" t="n">
        <f aca="false">C10-C18</f>
        <v>0</v>
      </c>
    </row>
    <row r="21" customFormat="false" ht="16.5" hidden="false" customHeight="true" outlineLevel="0" collapsed="false">
      <c r="A21" s="15" t="s">
        <v>569</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row>
    <row r="22" customFormat="false" ht="15" hidden="false" customHeight="false" outlineLevel="0" collapsed="false">
      <c r="A22" s="12" t="s">
        <v>103</v>
      </c>
      <c r="B22" s="22" t="s">
        <v>104</v>
      </c>
      <c r="C22" s="24" t="n">
        <f aca="false">'Assumption Setting'!$C$12</f>
        <v>300</v>
      </c>
    </row>
    <row r="23" customFormat="false" ht="15" hidden="false" customHeight="false" outlineLevel="0" collapsed="false">
      <c r="A23" s="12" t="s">
        <v>105</v>
      </c>
      <c r="B23" s="22" t="s">
        <v>106</v>
      </c>
      <c r="C23" s="24" t="n">
        <f aca="false">'Assumption Setting'!$C$13</f>
        <v>2</v>
      </c>
    </row>
    <row r="24" customFormat="false" ht="15" hidden="false" customHeight="false" outlineLevel="0" collapsed="false">
      <c r="A24" s="12" t="s">
        <v>107</v>
      </c>
      <c r="B24" s="22" t="s">
        <v>108</v>
      </c>
      <c r="C24" s="24" t="n">
        <f aca="false">'Assumption Setting'!$C$14</f>
        <v>100</v>
      </c>
    </row>
    <row r="25" customFormat="false" ht="15" hidden="false" customHeight="false" outlineLevel="0" collapsed="false">
      <c r="A25" s="12" t="s">
        <v>109</v>
      </c>
      <c r="B25" s="22" t="s">
        <v>110</v>
      </c>
      <c r="C25" s="25" t="n">
        <f aca="false">'Assumption Setting'!$C$15</f>
        <v>100000</v>
      </c>
    </row>
    <row r="26" customFormat="false" ht="15" hidden="false" customHeight="false" outlineLevel="0" collapsed="false">
      <c r="A26" s="12" t="s">
        <v>111</v>
      </c>
      <c r="B26" s="22" t="s">
        <v>112</v>
      </c>
      <c r="C26" s="24" t="n">
        <f aca="false">'Assumption Setting'!$C$16</f>
        <v>5</v>
      </c>
    </row>
    <row r="27" customFormat="false" ht="15" hidden="false" customHeight="false" outlineLevel="0" collapsed="false">
      <c r="A27" s="12" t="s">
        <v>113</v>
      </c>
      <c r="B27" s="22" t="s">
        <v>114</v>
      </c>
      <c r="C27" s="24" t="n">
        <f aca="false">'Assumption Setting'!$C$17</f>
        <v>1</v>
      </c>
    </row>
    <row r="28" customFormat="false" ht="15" hidden="false" customHeight="false" outlineLevel="0" collapsed="false">
      <c r="A28" s="12" t="s">
        <v>115</v>
      </c>
      <c r="B28" s="22" t="s">
        <v>116</v>
      </c>
      <c r="C28" s="25" t="n">
        <f aca="false">'Assumption Setting'!$C$18</f>
        <v>50000</v>
      </c>
    </row>
    <row r="30" customFormat="false" ht="16.5" hidden="false" customHeight="true" outlineLevel="0" collapsed="false">
      <c r="A30" s="15" t="s">
        <v>570</v>
      </c>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row>
    <row r="31" customFormat="false" ht="15" hidden="false" customHeight="false" outlineLevel="0" collapsed="false">
      <c r="A31" s="71" t="s">
        <v>571</v>
      </c>
    </row>
    <row r="32" customFormat="false" ht="15" hidden="false" customHeight="true" outlineLevel="0" collapsed="false">
      <c r="A32" s="26" t="s">
        <v>481</v>
      </c>
      <c r="B32" s="61" t="s">
        <v>81</v>
      </c>
      <c r="C32" s="62" t="s">
        <v>482</v>
      </c>
      <c r="D32" s="62" t="s">
        <v>483</v>
      </c>
      <c r="E32" s="62" t="s">
        <v>484</v>
      </c>
      <c r="F32" s="62" t="s">
        <v>485</v>
      </c>
      <c r="G32" s="62" t="s">
        <v>486</v>
      </c>
      <c r="H32" s="62" t="s">
        <v>487</v>
      </c>
      <c r="I32" s="62" t="s">
        <v>488</v>
      </c>
      <c r="J32" s="62" t="s">
        <v>489</v>
      </c>
      <c r="K32" s="62" t="s">
        <v>490</v>
      </c>
      <c r="L32" s="62" t="s">
        <v>491</v>
      </c>
      <c r="M32" s="62" t="s">
        <v>492</v>
      </c>
      <c r="N32" s="62" t="s">
        <v>493</v>
      </c>
      <c r="O32" s="61" t="s">
        <v>82</v>
      </c>
      <c r="P32" s="63" t="s">
        <v>494</v>
      </c>
      <c r="Q32" s="63" t="s">
        <v>495</v>
      </c>
      <c r="R32" s="63" t="s">
        <v>496</v>
      </c>
      <c r="S32" s="63" t="s">
        <v>497</v>
      </c>
      <c r="T32" s="63" t="s">
        <v>498</v>
      </c>
      <c r="U32" s="63" t="s">
        <v>499</v>
      </c>
      <c r="V32" s="63" t="s">
        <v>500</v>
      </c>
      <c r="W32" s="63" t="s">
        <v>501</v>
      </c>
      <c r="X32" s="63" t="s">
        <v>502</v>
      </c>
      <c r="Y32" s="63" t="s">
        <v>503</v>
      </c>
      <c r="Z32" s="63" t="s">
        <v>504</v>
      </c>
      <c r="AA32" s="63" t="s">
        <v>505</v>
      </c>
      <c r="AB32" s="61" t="s">
        <v>83</v>
      </c>
      <c r="AC32" s="62" t="s">
        <v>506</v>
      </c>
      <c r="AD32" s="62" t="s">
        <v>507</v>
      </c>
      <c r="AE32" s="62" t="s">
        <v>508</v>
      </c>
      <c r="AF32" s="62" t="s">
        <v>509</v>
      </c>
      <c r="AG32" s="62" t="s">
        <v>510</v>
      </c>
      <c r="AH32" s="62" t="s">
        <v>511</v>
      </c>
      <c r="AI32" s="62" t="s">
        <v>512</v>
      </c>
      <c r="AJ32" s="62" t="s">
        <v>513</v>
      </c>
      <c r="AK32" s="62" t="s">
        <v>514</v>
      </c>
      <c r="AL32" s="62" t="s">
        <v>515</v>
      </c>
      <c r="AM32" s="62" t="s">
        <v>516</v>
      </c>
      <c r="AN32" s="62" t="s">
        <v>517</v>
      </c>
      <c r="AO32" s="61" t="s">
        <v>84</v>
      </c>
      <c r="AP32" s="63" t="s">
        <v>518</v>
      </c>
      <c r="AQ32" s="63" t="s">
        <v>519</v>
      </c>
      <c r="AR32" s="63" t="s">
        <v>520</v>
      </c>
      <c r="AS32" s="63" t="s">
        <v>521</v>
      </c>
      <c r="AT32" s="63" t="s">
        <v>522</v>
      </c>
      <c r="AU32" s="63" t="s">
        <v>523</v>
      </c>
      <c r="AV32" s="63" t="s">
        <v>524</v>
      </c>
      <c r="AW32" s="63" t="s">
        <v>525</v>
      </c>
      <c r="AX32" s="63" t="s">
        <v>526</v>
      </c>
      <c r="AY32" s="63" t="s">
        <v>527</v>
      </c>
      <c r="AZ32" s="63" t="s">
        <v>528</v>
      </c>
      <c r="BA32" s="63" t="s">
        <v>529</v>
      </c>
      <c r="BB32" s="61" t="s">
        <v>85</v>
      </c>
      <c r="BC32" s="62" t="s">
        <v>530</v>
      </c>
      <c r="BD32" s="62" t="s">
        <v>531</v>
      </c>
      <c r="BE32" s="62" t="s">
        <v>532</v>
      </c>
      <c r="BF32" s="62" t="s">
        <v>533</v>
      </c>
      <c r="BG32" s="62" t="s">
        <v>534</v>
      </c>
      <c r="BH32" s="62" t="s">
        <v>535</v>
      </c>
      <c r="BI32" s="62" t="s">
        <v>536</v>
      </c>
      <c r="BJ32" s="62" t="s">
        <v>537</v>
      </c>
      <c r="BK32" s="62" t="s">
        <v>538</v>
      </c>
      <c r="BL32" s="62" t="s">
        <v>539</v>
      </c>
      <c r="BM32" s="62" t="s">
        <v>540</v>
      </c>
      <c r="BN32" s="62" t="s">
        <v>541</v>
      </c>
    </row>
    <row r="33" customFormat="false" ht="15" hidden="false" customHeight="false" outlineLevel="0" collapsed="false">
      <c r="A33" s="12" t="s">
        <v>572</v>
      </c>
      <c r="B33" s="72" t="n">
        <f aca="false">SUM(C33:N33)</f>
        <v>0</v>
      </c>
      <c r="C33" s="73"/>
      <c r="D33" s="73"/>
      <c r="E33" s="73"/>
      <c r="F33" s="73"/>
      <c r="G33" s="73"/>
      <c r="H33" s="73"/>
      <c r="I33" s="73"/>
      <c r="J33" s="73"/>
      <c r="K33" s="73"/>
      <c r="L33" s="73"/>
      <c r="M33" s="73"/>
      <c r="N33" s="73"/>
      <c r="O33" s="72" t="n">
        <f aca="false">SUM(P33:AA33)</f>
        <v>0</v>
      </c>
      <c r="P33" s="73"/>
      <c r="Q33" s="73"/>
      <c r="R33" s="73"/>
      <c r="S33" s="73"/>
      <c r="T33" s="73"/>
      <c r="U33" s="73"/>
      <c r="V33" s="73"/>
      <c r="W33" s="73"/>
      <c r="X33" s="73"/>
      <c r="Y33" s="73"/>
      <c r="Z33" s="73"/>
      <c r="AA33" s="73"/>
      <c r="AB33" s="72" t="n">
        <f aca="false">SUM(AC33:AN33)</f>
        <v>0</v>
      </c>
      <c r="AC33" s="73"/>
      <c r="AD33" s="73"/>
      <c r="AE33" s="73"/>
      <c r="AF33" s="73"/>
      <c r="AG33" s="73"/>
      <c r="AH33" s="73"/>
      <c r="AI33" s="73"/>
      <c r="AJ33" s="73"/>
      <c r="AK33" s="73"/>
      <c r="AL33" s="73"/>
      <c r="AM33" s="73"/>
      <c r="AN33" s="73"/>
      <c r="AO33" s="72" t="n">
        <f aca="false">SUM(AP33:BA33)</f>
        <v>0</v>
      </c>
      <c r="AP33" s="73"/>
      <c r="AQ33" s="73"/>
      <c r="AR33" s="73"/>
      <c r="AS33" s="73"/>
      <c r="AT33" s="73"/>
      <c r="AU33" s="73"/>
      <c r="AV33" s="73"/>
      <c r="AW33" s="73"/>
      <c r="AX33" s="73"/>
      <c r="AY33" s="73"/>
      <c r="AZ33" s="73"/>
      <c r="BA33" s="73"/>
      <c r="BB33" s="72" t="n">
        <f aca="false">SUM(BC33:BN33)</f>
        <v>0</v>
      </c>
      <c r="BC33" s="73"/>
      <c r="BD33" s="73"/>
      <c r="BE33" s="73"/>
      <c r="BF33" s="73"/>
      <c r="BG33" s="73"/>
      <c r="BH33" s="73"/>
      <c r="BI33" s="73"/>
      <c r="BJ33" s="73"/>
      <c r="BK33" s="73"/>
      <c r="BL33" s="73"/>
      <c r="BM33" s="73"/>
      <c r="BN33" s="73"/>
    </row>
    <row r="34" customFormat="false" ht="15" hidden="false" customHeight="false" outlineLevel="0" collapsed="false">
      <c r="A34" s="12" t="s">
        <v>573</v>
      </c>
      <c r="B34" s="72" t="n">
        <f aca="false">SUM(C34:N34)</f>
        <v>0</v>
      </c>
      <c r="C34" s="73"/>
      <c r="D34" s="73"/>
      <c r="E34" s="73"/>
      <c r="F34" s="73"/>
      <c r="G34" s="73"/>
      <c r="H34" s="73"/>
      <c r="I34" s="73"/>
      <c r="J34" s="73"/>
      <c r="K34" s="73"/>
      <c r="L34" s="73"/>
      <c r="M34" s="73"/>
      <c r="N34" s="73"/>
      <c r="O34" s="72" t="n">
        <f aca="false">SUM(P34:AA34)</f>
        <v>0</v>
      </c>
      <c r="P34" s="73"/>
      <c r="Q34" s="73"/>
      <c r="R34" s="73"/>
      <c r="S34" s="73"/>
      <c r="T34" s="73"/>
      <c r="U34" s="73"/>
      <c r="V34" s="73"/>
      <c r="W34" s="73"/>
      <c r="X34" s="73"/>
      <c r="Y34" s="73"/>
      <c r="Z34" s="73"/>
      <c r="AA34" s="73"/>
      <c r="AB34" s="72" t="n">
        <f aca="false">SUM(AC34:AN34)</f>
        <v>0</v>
      </c>
      <c r="AC34" s="73"/>
      <c r="AD34" s="73"/>
      <c r="AE34" s="73"/>
      <c r="AF34" s="73"/>
      <c r="AG34" s="73"/>
      <c r="AH34" s="73"/>
      <c r="AI34" s="73"/>
      <c r="AJ34" s="73"/>
      <c r="AK34" s="73"/>
      <c r="AL34" s="73"/>
      <c r="AM34" s="73"/>
      <c r="AN34" s="73"/>
      <c r="AO34" s="72" t="n">
        <f aca="false">SUM(AP34:BA34)</f>
        <v>0</v>
      </c>
      <c r="AP34" s="73"/>
      <c r="AQ34" s="73"/>
      <c r="AR34" s="73"/>
      <c r="AS34" s="73"/>
      <c r="AT34" s="73"/>
      <c r="AU34" s="73"/>
      <c r="AV34" s="73"/>
      <c r="AW34" s="73"/>
      <c r="AX34" s="73"/>
      <c r="AY34" s="73"/>
      <c r="AZ34" s="73"/>
      <c r="BA34" s="73"/>
      <c r="BB34" s="72" t="n">
        <f aca="false">SUM(BC34:BN34)</f>
        <v>0</v>
      </c>
      <c r="BC34" s="73"/>
      <c r="BD34" s="73"/>
      <c r="BE34" s="73"/>
      <c r="BF34" s="73"/>
      <c r="BG34" s="73"/>
      <c r="BH34" s="73"/>
      <c r="BI34" s="73"/>
      <c r="BJ34" s="73"/>
      <c r="BK34" s="73"/>
      <c r="BL34" s="73"/>
      <c r="BM34" s="73"/>
      <c r="BN34" s="73"/>
    </row>
    <row r="35" customFormat="false" ht="15" hidden="false" customHeight="false" outlineLevel="0" collapsed="false">
      <c r="A35" s="12" t="s">
        <v>574</v>
      </c>
      <c r="B35" s="72" t="n">
        <f aca="false">SUM(C35:N35)</f>
        <v>0</v>
      </c>
      <c r="C35" s="73"/>
      <c r="D35" s="73"/>
      <c r="E35" s="73"/>
      <c r="F35" s="73"/>
      <c r="G35" s="73"/>
      <c r="H35" s="73"/>
      <c r="I35" s="73"/>
      <c r="J35" s="73"/>
      <c r="K35" s="73"/>
      <c r="L35" s="73"/>
      <c r="M35" s="73"/>
      <c r="N35" s="73"/>
      <c r="O35" s="72" t="n">
        <f aca="false">SUM(P35:AA35)</f>
        <v>0</v>
      </c>
      <c r="P35" s="73"/>
      <c r="Q35" s="73"/>
      <c r="R35" s="73"/>
      <c r="S35" s="73"/>
      <c r="T35" s="73"/>
      <c r="U35" s="73"/>
      <c r="V35" s="73"/>
      <c r="W35" s="73"/>
      <c r="X35" s="73"/>
      <c r="Y35" s="73"/>
      <c r="Z35" s="73"/>
      <c r="AA35" s="73"/>
      <c r="AB35" s="72" t="n">
        <f aca="false">SUM(AC35:AN35)</f>
        <v>0</v>
      </c>
      <c r="AC35" s="73"/>
      <c r="AD35" s="73"/>
      <c r="AE35" s="73"/>
      <c r="AF35" s="73"/>
      <c r="AG35" s="73"/>
      <c r="AH35" s="73"/>
      <c r="AI35" s="73"/>
      <c r="AJ35" s="73"/>
      <c r="AK35" s="73"/>
      <c r="AL35" s="73"/>
      <c r="AM35" s="73"/>
      <c r="AN35" s="73"/>
      <c r="AO35" s="72" t="n">
        <f aca="false">SUM(AP35:BA35)</f>
        <v>0</v>
      </c>
      <c r="AP35" s="73"/>
      <c r="AQ35" s="73"/>
      <c r="AR35" s="73"/>
      <c r="AS35" s="73"/>
      <c r="AT35" s="73"/>
      <c r="AU35" s="73"/>
      <c r="AV35" s="73"/>
      <c r="AW35" s="73"/>
      <c r="AX35" s="73"/>
      <c r="AY35" s="73"/>
      <c r="AZ35" s="73"/>
      <c r="BA35" s="73"/>
      <c r="BB35" s="72" t="n">
        <f aca="false">SUM(BC35:BN35)</f>
        <v>0</v>
      </c>
      <c r="BC35" s="73"/>
      <c r="BD35" s="73"/>
      <c r="BE35" s="73"/>
      <c r="BF35" s="73"/>
      <c r="BG35" s="73"/>
      <c r="BH35" s="73"/>
      <c r="BI35" s="73"/>
      <c r="BJ35" s="73"/>
      <c r="BK35" s="73"/>
      <c r="BL35" s="73"/>
      <c r="BM35" s="73"/>
      <c r="BN35" s="73"/>
    </row>
    <row r="36" customFormat="false" ht="15" hidden="false" customHeight="false" outlineLevel="0" collapsed="false">
      <c r="A36" s="12" t="s">
        <v>575</v>
      </c>
      <c r="B36" s="72" t="n">
        <f aca="false">SUM(C36:N36)</f>
        <v>0</v>
      </c>
      <c r="C36" s="73"/>
      <c r="D36" s="73"/>
      <c r="E36" s="73"/>
      <c r="F36" s="73"/>
      <c r="G36" s="73"/>
      <c r="H36" s="73"/>
      <c r="I36" s="73"/>
      <c r="J36" s="73"/>
      <c r="K36" s="73"/>
      <c r="L36" s="73"/>
      <c r="M36" s="73"/>
      <c r="N36" s="73"/>
      <c r="O36" s="72" t="n">
        <f aca="false">SUM(P36:AA36)</f>
        <v>0</v>
      </c>
      <c r="P36" s="73"/>
      <c r="Q36" s="73"/>
      <c r="R36" s="73"/>
      <c r="S36" s="73"/>
      <c r="T36" s="73"/>
      <c r="U36" s="73"/>
      <c r="V36" s="73"/>
      <c r="W36" s="73"/>
      <c r="X36" s="73"/>
      <c r="Y36" s="73"/>
      <c r="Z36" s="73"/>
      <c r="AA36" s="73"/>
      <c r="AB36" s="72" t="n">
        <f aca="false">SUM(AC36:AN36)</f>
        <v>0</v>
      </c>
      <c r="AC36" s="73"/>
      <c r="AD36" s="73"/>
      <c r="AE36" s="73"/>
      <c r="AF36" s="73"/>
      <c r="AG36" s="73"/>
      <c r="AH36" s="73"/>
      <c r="AI36" s="73"/>
      <c r="AJ36" s="73"/>
      <c r="AK36" s="73"/>
      <c r="AL36" s="73"/>
      <c r="AM36" s="73"/>
      <c r="AN36" s="73"/>
      <c r="AO36" s="72" t="n">
        <f aca="false">SUM(AP36:BA36)</f>
        <v>0</v>
      </c>
      <c r="AP36" s="73"/>
      <c r="AQ36" s="73"/>
      <c r="AR36" s="73"/>
      <c r="AS36" s="73"/>
      <c r="AT36" s="73"/>
      <c r="AU36" s="73"/>
      <c r="AV36" s="73"/>
      <c r="AW36" s="73"/>
      <c r="AX36" s="73"/>
      <c r="AY36" s="73"/>
      <c r="AZ36" s="73"/>
      <c r="BA36" s="73"/>
      <c r="BB36" s="72" t="n">
        <f aca="false">SUM(BC36:BN36)</f>
        <v>0</v>
      </c>
      <c r="BC36" s="73"/>
      <c r="BD36" s="73"/>
      <c r="BE36" s="73"/>
      <c r="BF36" s="73"/>
      <c r="BG36" s="73"/>
      <c r="BH36" s="73"/>
      <c r="BI36" s="73"/>
      <c r="BJ36" s="73"/>
      <c r="BK36" s="73"/>
      <c r="BL36" s="73"/>
      <c r="BM36" s="73"/>
      <c r="BN36" s="73"/>
    </row>
    <row r="37" customFormat="false" ht="15" hidden="false" customHeight="false" outlineLevel="0" collapsed="false">
      <c r="A37" s="12" t="s">
        <v>576</v>
      </c>
      <c r="B37" s="74" t="n">
        <f aca="false">N37</f>
        <v>0</v>
      </c>
      <c r="C37" s="75"/>
      <c r="D37" s="75"/>
      <c r="E37" s="75"/>
      <c r="F37" s="75"/>
      <c r="G37" s="75"/>
      <c r="H37" s="75"/>
      <c r="I37" s="75"/>
      <c r="J37" s="75"/>
      <c r="K37" s="75"/>
      <c r="L37" s="75"/>
      <c r="M37" s="75"/>
      <c r="N37" s="75"/>
      <c r="O37" s="74" t="n">
        <f aca="false">AA37</f>
        <v>0</v>
      </c>
      <c r="P37" s="75"/>
      <c r="Q37" s="75"/>
      <c r="R37" s="75"/>
      <c r="S37" s="75"/>
      <c r="T37" s="75"/>
      <c r="U37" s="75"/>
      <c r="V37" s="75"/>
      <c r="W37" s="75"/>
      <c r="X37" s="75"/>
      <c r="Y37" s="75"/>
      <c r="Z37" s="75"/>
      <c r="AA37" s="75"/>
      <c r="AB37" s="74" t="n">
        <f aca="false">AN37</f>
        <v>0</v>
      </c>
      <c r="AC37" s="75"/>
      <c r="AD37" s="75"/>
      <c r="AE37" s="75"/>
      <c r="AF37" s="75"/>
      <c r="AG37" s="75"/>
      <c r="AH37" s="75"/>
      <c r="AI37" s="75"/>
      <c r="AJ37" s="75"/>
      <c r="AK37" s="75"/>
      <c r="AL37" s="75"/>
      <c r="AM37" s="75"/>
      <c r="AN37" s="75"/>
      <c r="AO37" s="74" t="n">
        <f aca="false">BA37</f>
        <v>0</v>
      </c>
      <c r="AP37" s="75"/>
      <c r="AQ37" s="75"/>
      <c r="AR37" s="75"/>
      <c r="AS37" s="75"/>
      <c r="AT37" s="75"/>
      <c r="AU37" s="75"/>
      <c r="AV37" s="75"/>
      <c r="AW37" s="75"/>
      <c r="AX37" s="75"/>
      <c r="AY37" s="75"/>
      <c r="AZ37" s="75"/>
      <c r="BA37" s="75"/>
      <c r="BB37" s="74" t="n">
        <f aca="false">BN37</f>
        <v>0</v>
      </c>
      <c r="BC37" s="75"/>
      <c r="BD37" s="75"/>
      <c r="BE37" s="75"/>
      <c r="BF37" s="75"/>
      <c r="BG37" s="75"/>
      <c r="BH37" s="75"/>
      <c r="BI37" s="75"/>
      <c r="BJ37" s="75"/>
      <c r="BK37" s="75"/>
      <c r="BL37" s="75"/>
      <c r="BM37" s="75"/>
      <c r="BN37" s="75"/>
    </row>
    <row r="38" customFormat="false" ht="15" hidden="false" customHeight="false" outlineLevel="0" collapsed="false">
      <c r="A38" s="12" t="s">
        <v>577</v>
      </c>
      <c r="B38" s="74" t="n">
        <f aca="false">N38</f>
        <v>0</v>
      </c>
      <c r="C38" s="75"/>
      <c r="D38" s="75"/>
      <c r="E38" s="75"/>
      <c r="F38" s="75"/>
      <c r="G38" s="75"/>
      <c r="H38" s="75"/>
      <c r="I38" s="75"/>
      <c r="J38" s="75"/>
      <c r="K38" s="75"/>
      <c r="L38" s="75"/>
      <c r="M38" s="75"/>
      <c r="N38" s="75"/>
      <c r="O38" s="74" t="n">
        <f aca="false">AA38</f>
        <v>0</v>
      </c>
      <c r="P38" s="75"/>
      <c r="Q38" s="75"/>
      <c r="R38" s="75"/>
      <c r="S38" s="75"/>
      <c r="T38" s="75"/>
      <c r="U38" s="75"/>
      <c r="V38" s="75"/>
      <c r="W38" s="75"/>
      <c r="X38" s="75"/>
      <c r="Y38" s="75"/>
      <c r="Z38" s="75"/>
      <c r="AA38" s="75"/>
      <c r="AB38" s="74" t="n">
        <f aca="false">AN38</f>
        <v>0</v>
      </c>
      <c r="AC38" s="75"/>
      <c r="AD38" s="75"/>
      <c r="AE38" s="75"/>
      <c r="AF38" s="75"/>
      <c r="AG38" s="75"/>
      <c r="AH38" s="75"/>
      <c r="AI38" s="75"/>
      <c r="AJ38" s="75"/>
      <c r="AK38" s="75"/>
      <c r="AL38" s="75"/>
      <c r="AM38" s="75"/>
      <c r="AN38" s="75"/>
      <c r="AO38" s="74" t="n">
        <f aca="false">BA38</f>
        <v>0</v>
      </c>
      <c r="AP38" s="75"/>
      <c r="AQ38" s="75"/>
      <c r="AR38" s="75"/>
      <c r="AS38" s="75"/>
      <c r="AT38" s="75"/>
      <c r="AU38" s="75"/>
      <c r="AV38" s="75"/>
      <c r="AW38" s="75"/>
      <c r="AX38" s="75"/>
      <c r="AY38" s="75"/>
      <c r="AZ38" s="75"/>
      <c r="BA38" s="75"/>
      <c r="BB38" s="74" t="n">
        <f aca="false">BN38</f>
        <v>0</v>
      </c>
      <c r="BC38" s="75"/>
      <c r="BD38" s="75"/>
      <c r="BE38" s="75"/>
      <c r="BF38" s="75"/>
      <c r="BG38" s="75"/>
      <c r="BH38" s="75"/>
      <c r="BI38" s="75"/>
      <c r="BJ38" s="75"/>
      <c r="BK38" s="75"/>
      <c r="BL38" s="75"/>
      <c r="BM38" s="75"/>
      <c r="BN38" s="75"/>
    </row>
    <row r="40" customFormat="false" ht="16.5" hidden="false" customHeight="true" outlineLevel="0" collapsed="false">
      <c r="A40" s="15" t="s">
        <v>578</v>
      </c>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row>
    <row r="41" customFormat="false" ht="15" hidden="false" customHeight="true" outlineLevel="0" collapsed="false">
      <c r="A41" s="26" t="s">
        <v>481</v>
      </c>
      <c r="B41" s="61" t="s">
        <v>81</v>
      </c>
      <c r="C41" s="62" t="s">
        <v>482</v>
      </c>
      <c r="D41" s="62" t="s">
        <v>483</v>
      </c>
      <c r="E41" s="62" t="s">
        <v>484</v>
      </c>
      <c r="F41" s="62" t="s">
        <v>485</v>
      </c>
      <c r="G41" s="62" t="s">
        <v>486</v>
      </c>
      <c r="H41" s="62" t="s">
        <v>487</v>
      </c>
      <c r="I41" s="62" t="s">
        <v>488</v>
      </c>
      <c r="J41" s="62" t="s">
        <v>489</v>
      </c>
      <c r="K41" s="62" t="s">
        <v>490</v>
      </c>
      <c r="L41" s="62" t="s">
        <v>491</v>
      </c>
      <c r="M41" s="62" t="s">
        <v>492</v>
      </c>
      <c r="N41" s="62" t="s">
        <v>493</v>
      </c>
      <c r="O41" s="61" t="s">
        <v>82</v>
      </c>
      <c r="P41" s="63" t="s">
        <v>494</v>
      </c>
      <c r="Q41" s="63" t="s">
        <v>495</v>
      </c>
      <c r="R41" s="63" t="s">
        <v>496</v>
      </c>
      <c r="S41" s="63" t="s">
        <v>497</v>
      </c>
      <c r="T41" s="63" t="s">
        <v>498</v>
      </c>
      <c r="U41" s="63" t="s">
        <v>499</v>
      </c>
      <c r="V41" s="63" t="s">
        <v>500</v>
      </c>
      <c r="W41" s="63" t="s">
        <v>501</v>
      </c>
      <c r="X41" s="63" t="s">
        <v>502</v>
      </c>
      <c r="Y41" s="63" t="s">
        <v>503</v>
      </c>
      <c r="Z41" s="63" t="s">
        <v>504</v>
      </c>
      <c r="AA41" s="63" t="s">
        <v>505</v>
      </c>
      <c r="AB41" s="61" t="s">
        <v>83</v>
      </c>
      <c r="AC41" s="62" t="s">
        <v>506</v>
      </c>
      <c r="AD41" s="62" t="s">
        <v>507</v>
      </c>
      <c r="AE41" s="62" t="s">
        <v>508</v>
      </c>
      <c r="AF41" s="62" t="s">
        <v>509</v>
      </c>
      <c r="AG41" s="62" t="s">
        <v>510</v>
      </c>
      <c r="AH41" s="62" t="s">
        <v>511</v>
      </c>
      <c r="AI41" s="62" t="s">
        <v>512</v>
      </c>
      <c r="AJ41" s="62" t="s">
        <v>513</v>
      </c>
      <c r="AK41" s="62" t="s">
        <v>514</v>
      </c>
      <c r="AL41" s="62" t="s">
        <v>515</v>
      </c>
      <c r="AM41" s="62" t="s">
        <v>516</v>
      </c>
      <c r="AN41" s="62" t="s">
        <v>517</v>
      </c>
      <c r="AO41" s="61" t="s">
        <v>84</v>
      </c>
      <c r="AP41" s="63" t="s">
        <v>518</v>
      </c>
      <c r="AQ41" s="63" t="s">
        <v>519</v>
      </c>
      <c r="AR41" s="63" t="s">
        <v>520</v>
      </c>
      <c r="AS41" s="63" t="s">
        <v>521</v>
      </c>
      <c r="AT41" s="63" t="s">
        <v>522</v>
      </c>
      <c r="AU41" s="63" t="s">
        <v>523</v>
      </c>
      <c r="AV41" s="63" t="s">
        <v>524</v>
      </c>
      <c r="AW41" s="63" t="s">
        <v>525</v>
      </c>
      <c r="AX41" s="63" t="s">
        <v>526</v>
      </c>
      <c r="AY41" s="63" t="s">
        <v>527</v>
      </c>
      <c r="AZ41" s="63" t="s">
        <v>528</v>
      </c>
      <c r="BA41" s="63" t="s">
        <v>529</v>
      </c>
      <c r="BB41" s="61" t="s">
        <v>85</v>
      </c>
      <c r="BC41" s="62" t="s">
        <v>530</v>
      </c>
      <c r="BD41" s="62" t="s">
        <v>531</v>
      </c>
      <c r="BE41" s="62" t="s">
        <v>532</v>
      </c>
      <c r="BF41" s="62" t="s">
        <v>533</v>
      </c>
      <c r="BG41" s="62" t="s">
        <v>534</v>
      </c>
      <c r="BH41" s="62" t="s">
        <v>535</v>
      </c>
      <c r="BI41" s="62" t="s">
        <v>536</v>
      </c>
      <c r="BJ41" s="62" t="s">
        <v>537</v>
      </c>
      <c r="BK41" s="62" t="s">
        <v>538</v>
      </c>
      <c r="BL41" s="62" t="s">
        <v>539</v>
      </c>
      <c r="BM41" s="62" t="s">
        <v>540</v>
      </c>
      <c r="BN41" s="62" t="s">
        <v>541</v>
      </c>
    </row>
    <row r="42" customFormat="false" ht="15" hidden="false" customHeight="false" outlineLevel="0" collapsed="false">
      <c r="A42" s="12" t="s">
        <v>579</v>
      </c>
      <c r="B42" s="64" t="n">
        <f aca="false">SUM(C42:N42)</f>
        <v>102742.065586255</v>
      </c>
      <c r="C42" s="76" t="n">
        <f aca="false">'Total Revenue'!C$25</f>
        <v>3278.50463621092</v>
      </c>
      <c r="D42" s="76" t="n">
        <f aca="false">'Total Revenue'!D$25</f>
        <v>5235.58948075518</v>
      </c>
      <c r="E42" s="76" t="n">
        <f aca="false">'Total Revenue'!E$25</f>
        <v>6542.6722419661</v>
      </c>
      <c r="F42" s="76" t="n">
        <f aca="false">'Total Revenue'!F$25</f>
        <v>6548.08833651036</v>
      </c>
      <c r="G42" s="76" t="n">
        <f aca="false">'Total Revenue'!G$25</f>
        <v>6692.62527632381</v>
      </c>
      <c r="H42" s="76" t="n">
        <f aca="false">'Total Revenue'!H$25</f>
        <v>6837.56680521781</v>
      </c>
      <c r="I42" s="76" t="n">
        <f aca="false">'Total Revenue'!I$25</f>
        <v>8101.16536458378</v>
      </c>
      <c r="J42" s="76" t="n">
        <f aca="false">'Total Revenue'!J$25</f>
        <v>9366.07958770057</v>
      </c>
      <c r="K42" s="76" t="n">
        <f aca="false">'Total Revenue'!K$25</f>
        <v>10632.3094745682</v>
      </c>
      <c r="L42" s="76" t="n">
        <f aca="false">'Total Revenue'!L$25</f>
        <v>11899.8550251866</v>
      </c>
      <c r="M42" s="76" t="n">
        <f aca="false">'Total Revenue'!M$25</f>
        <v>13168.7162395559</v>
      </c>
      <c r="N42" s="76" t="n">
        <f aca="false">'Total Revenue'!N$25</f>
        <v>14438.893117676</v>
      </c>
      <c r="O42" s="64" t="n">
        <f aca="false">SUM(P42:AA42)</f>
        <v>364280.89031635</v>
      </c>
      <c r="P42" s="76" t="n">
        <f aca="false">'Total Revenue'!P$25</f>
        <v>17626.8593599276</v>
      </c>
      <c r="Q42" s="76" t="n">
        <f aca="false">'Total Revenue'!Q$25</f>
        <v>19317.7657632158</v>
      </c>
      <c r="R42" s="76" t="n">
        <f aca="false">'Total Revenue'!R$25</f>
        <v>21332.6100715898</v>
      </c>
      <c r="S42" s="76" t="n">
        <f aca="false">'Total Revenue'!S$25</f>
        <v>23654.1457585356</v>
      </c>
      <c r="T42" s="76" t="n">
        <f aca="false">'Total Revenue'!T$25</f>
        <v>26069.925121297</v>
      </c>
      <c r="U42" s="76" t="n">
        <f aca="false">'Total Revenue'!U$25</f>
        <v>28489.0779363905</v>
      </c>
      <c r="V42" s="76" t="n">
        <f aca="false">'Total Revenue'!V$25</f>
        <v>31140.0937084848</v>
      </c>
      <c r="W42" s="76" t="n">
        <f aca="false">'Total Revenue'!W$25</f>
        <v>33793.4557783975</v>
      </c>
      <c r="X42" s="76" t="n">
        <f aca="false">'Total Revenue'!X$25</f>
        <v>36449.1641461286</v>
      </c>
      <c r="Y42" s="76" t="n">
        <f aca="false">'Total Revenue'!Y$25</f>
        <v>39307.1666224235</v>
      </c>
      <c r="Z42" s="76" t="n">
        <f aca="false">'Total Revenue'!Z$25</f>
        <v>42144.6500657394</v>
      </c>
      <c r="AA42" s="76" t="n">
        <f aca="false">'Total Revenue'!AA$25</f>
        <v>44955.9759842196</v>
      </c>
      <c r="AB42" s="64" t="n">
        <f aca="false">SUM(AC42:AN42)</f>
        <v>752581.26389205</v>
      </c>
      <c r="AC42" s="76" t="n">
        <f aca="false">'Total Revenue'!AC$25</f>
        <v>49038.5590687342</v>
      </c>
      <c r="AD42" s="76" t="n">
        <f aca="false">'Total Revenue'!AD$25</f>
        <v>49490.5013108571</v>
      </c>
      <c r="AE42" s="76" t="n">
        <f aca="false">'Total Revenue'!AE$25</f>
        <v>50974.8908276335</v>
      </c>
      <c r="AF42" s="76" t="n">
        <f aca="false">'Total Revenue'!AF$25</f>
        <v>54270.1487327375</v>
      </c>
      <c r="AG42" s="76" t="n">
        <f aca="false">'Total Revenue'!AG$25</f>
        <v>57553.8708443207</v>
      </c>
      <c r="AH42" s="76" t="n">
        <f aca="false">'Total Revenue'!AH$25</f>
        <v>60839.4129248593</v>
      </c>
      <c r="AI42" s="76" t="n">
        <f aca="false">'Total Revenue'!AI$25</f>
        <v>64053.8093196904</v>
      </c>
      <c r="AJ42" s="76" t="n">
        <f aca="false">'Total Revenue'!AJ$25</f>
        <v>67270.3389043438</v>
      </c>
      <c r="AK42" s="76" t="n">
        <f aca="false">'Total Revenue'!AK$25</f>
        <v>70396.7305684204</v>
      </c>
      <c r="AL42" s="76" t="n">
        <f aca="false">'Total Revenue'!AL$25</f>
        <v>73312.5464884257</v>
      </c>
      <c r="AM42" s="76" t="n">
        <f aca="false">'Total Revenue'!AM$25</f>
        <v>76230.340949721</v>
      </c>
      <c r="AN42" s="76" t="n">
        <f aca="false">'Total Revenue'!AN$25</f>
        <v>79150.1139523063</v>
      </c>
      <c r="AO42" s="64" t="n">
        <f aca="false">SUM(AP42:BA42)</f>
        <v>1316610.92668284</v>
      </c>
      <c r="AP42" s="76" t="n">
        <f aca="false">'Total Revenue'!AP$25</f>
        <v>89668.1817646606</v>
      </c>
      <c r="AQ42" s="76" t="n">
        <f aca="false">'Total Revenue'!AQ$25</f>
        <v>93033.9682045873</v>
      </c>
      <c r="AR42" s="76" t="n">
        <f aca="false">'Total Revenue'!AR$25</f>
        <v>96394.5394258172</v>
      </c>
      <c r="AS42" s="76" t="n">
        <f aca="false">'Total Revenue'!AS$25</f>
        <v>100091.491110934</v>
      </c>
      <c r="AT42" s="76" t="n">
        <f aca="false">'Total Revenue'!AT$25</f>
        <v>103838.417384688</v>
      </c>
      <c r="AU42" s="76" t="n">
        <f aca="false">'Total Revenue'!AU$25</f>
        <v>107586.243334114</v>
      </c>
      <c r="AV42" s="76" t="n">
        <f aca="false">'Total Revenue'!AV$25</f>
        <v>111499.017744408</v>
      </c>
      <c r="AW42" s="76" t="n">
        <f aca="false">'Total Revenue'!AW$25</f>
        <v>115412.525851287</v>
      </c>
      <c r="AX42" s="76" t="n">
        <f aca="false">'Total Revenue'!AX$25</f>
        <v>119317.421003195</v>
      </c>
      <c r="AY42" s="76" t="n">
        <f aca="false">'Total Revenue'!AY$25</f>
        <v>122953.068355894</v>
      </c>
      <c r="AZ42" s="76" t="n">
        <f aca="false">'Total Revenue'!AZ$25</f>
        <v>126589.459141936</v>
      </c>
      <c r="BA42" s="76" t="n">
        <f aca="false">'Total Revenue'!BA$25</f>
        <v>130226.593361322</v>
      </c>
      <c r="BB42" s="64" t="n">
        <f aca="false">SUM(BC42:BN42)</f>
        <v>2001223.1961932</v>
      </c>
      <c r="BC42" s="76" t="n">
        <f aca="false">'Total Revenue'!BC$25</f>
        <v>143756.41399537</v>
      </c>
      <c r="BD42" s="76" t="n">
        <f aca="false">'Total Revenue'!BD$25</f>
        <v>147675.133305504</v>
      </c>
      <c r="BE42" s="76" t="n">
        <f aca="false">'Total Revenue'!BE$25</f>
        <v>151666.202355957</v>
      </c>
      <c r="BF42" s="76" t="n">
        <f aca="false">'Total Revenue'!BF$25</f>
        <v>156013.749046197</v>
      </c>
      <c r="BG42" s="76" t="n">
        <f aca="false">'Total Revenue'!BG$25</f>
        <v>160355.834708182</v>
      </c>
      <c r="BH42" s="76" t="n">
        <f aca="false">'Total Revenue'!BH$25</f>
        <v>164699.223780129</v>
      </c>
      <c r="BI42" s="76" t="n">
        <f aca="false">'Total Revenue'!BI$25</f>
        <v>169036.049364959</v>
      </c>
      <c r="BJ42" s="76" t="n">
        <f aca="false">'Total Revenue'!BJ$25</f>
        <v>173374.165598292</v>
      </c>
      <c r="BK42" s="76" t="n">
        <f aca="false">'Total Revenue'!BK$25</f>
        <v>177698.156686672</v>
      </c>
      <c r="BL42" s="76" t="n">
        <f aca="false">'Total Revenue'!BL$25</f>
        <v>181672.962388127</v>
      </c>
      <c r="BM42" s="76" t="n">
        <f aca="false">'Total Revenue'!BM$25</f>
        <v>185649.00886038</v>
      </c>
      <c r="BN42" s="76" t="n">
        <f aca="false">'Total Revenue'!BN$25</f>
        <v>189626.296103429</v>
      </c>
    </row>
    <row r="43" customFormat="false" ht="15" hidden="false" customHeight="false" outlineLevel="0" collapsed="false">
      <c r="A43" s="18" t="s">
        <v>580</v>
      </c>
      <c r="B43" s="64" t="n">
        <f aca="false">SUM(C43:N43)</f>
        <v>0</v>
      </c>
      <c r="C43" s="77" t="n">
        <f aca="false">IF(C33=0,0,C33-C42)</f>
        <v>0</v>
      </c>
      <c r="D43" s="77" t="n">
        <f aca="false">IF(D33=0,0,D33-D42)</f>
        <v>0</v>
      </c>
      <c r="E43" s="77" t="n">
        <f aca="false">IF(E33=0,0,E33-E42)</f>
        <v>0</v>
      </c>
      <c r="F43" s="77" t="n">
        <f aca="false">IF(F33=0,0,F33-F42)</f>
        <v>0</v>
      </c>
      <c r="G43" s="77" t="n">
        <f aca="false">IF(G33=0,0,G33-G42)</f>
        <v>0</v>
      </c>
      <c r="H43" s="77" t="n">
        <f aca="false">IF(H33=0,0,H33-H42)</f>
        <v>0</v>
      </c>
      <c r="I43" s="77" t="n">
        <f aca="false">IF(I33=0,0,I33-I42)</f>
        <v>0</v>
      </c>
      <c r="J43" s="77" t="n">
        <f aca="false">IF(J33=0,0,J33-J42)</f>
        <v>0</v>
      </c>
      <c r="K43" s="77" t="n">
        <f aca="false">IF(K33=0,0,K33-K42)</f>
        <v>0</v>
      </c>
      <c r="L43" s="77" t="n">
        <f aca="false">IF(L33=0,0,L33-L42)</f>
        <v>0</v>
      </c>
      <c r="M43" s="77" t="n">
        <f aca="false">IF(M33=0,0,M33-M42)</f>
        <v>0</v>
      </c>
      <c r="N43" s="77" t="n">
        <f aca="false">IF(N33=0,0,N33-N42)</f>
        <v>0</v>
      </c>
      <c r="O43" s="64" t="n">
        <f aca="false">SUM(P43:AA43)</f>
        <v>0</v>
      </c>
      <c r="P43" s="77" t="n">
        <f aca="false">IF(P33=0,0,P33-P42)</f>
        <v>0</v>
      </c>
      <c r="Q43" s="77" t="n">
        <f aca="false">IF(Q33=0,0,Q33-Q42)</f>
        <v>0</v>
      </c>
      <c r="R43" s="77" t="n">
        <f aca="false">IF(R33=0,0,R33-R42)</f>
        <v>0</v>
      </c>
      <c r="S43" s="77" t="n">
        <f aca="false">IF(S33=0,0,S33-S42)</f>
        <v>0</v>
      </c>
      <c r="T43" s="77" t="n">
        <f aca="false">IF(T33=0,0,T33-T42)</f>
        <v>0</v>
      </c>
      <c r="U43" s="77" t="n">
        <f aca="false">IF(U33=0,0,U33-U42)</f>
        <v>0</v>
      </c>
      <c r="V43" s="77" t="n">
        <f aca="false">IF(V33=0,0,V33-V42)</f>
        <v>0</v>
      </c>
      <c r="W43" s="77" t="n">
        <f aca="false">IF(W33=0,0,W33-W42)</f>
        <v>0</v>
      </c>
      <c r="X43" s="77" t="n">
        <f aca="false">IF(X33=0,0,X33-X42)</f>
        <v>0</v>
      </c>
      <c r="Y43" s="77" t="n">
        <f aca="false">IF(Y33=0,0,Y33-Y42)</f>
        <v>0</v>
      </c>
      <c r="Z43" s="77" t="n">
        <f aca="false">IF(Z33=0,0,Z33-Z42)</f>
        <v>0</v>
      </c>
      <c r="AA43" s="77" t="n">
        <f aca="false">IF(AA33=0,0,AA33-AA42)</f>
        <v>0</v>
      </c>
      <c r="AB43" s="64" t="n">
        <f aca="false">SUM(AC43:AN43)</f>
        <v>0</v>
      </c>
      <c r="AC43" s="77" t="n">
        <f aca="false">IF(AC33=0,0,AC33-AC42)</f>
        <v>0</v>
      </c>
      <c r="AD43" s="77" t="n">
        <f aca="false">IF(AD33=0,0,AD33-AD42)</f>
        <v>0</v>
      </c>
      <c r="AE43" s="77" t="n">
        <f aca="false">IF(AE33=0,0,AE33-AE42)</f>
        <v>0</v>
      </c>
      <c r="AF43" s="77" t="n">
        <f aca="false">IF(AF33=0,0,AF33-AF42)</f>
        <v>0</v>
      </c>
      <c r="AG43" s="77" t="n">
        <f aca="false">IF(AG33=0,0,AG33-AG42)</f>
        <v>0</v>
      </c>
      <c r="AH43" s="77" t="n">
        <f aca="false">IF(AH33=0,0,AH33-AH42)</f>
        <v>0</v>
      </c>
      <c r="AI43" s="77" t="n">
        <f aca="false">IF(AI33=0,0,AI33-AI42)</f>
        <v>0</v>
      </c>
      <c r="AJ43" s="77" t="n">
        <f aca="false">IF(AJ33=0,0,AJ33-AJ42)</f>
        <v>0</v>
      </c>
      <c r="AK43" s="77" t="n">
        <f aca="false">IF(AK33=0,0,AK33-AK42)</f>
        <v>0</v>
      </c>
      <c r="AL43" s="77" t="n">
        <f aca="false">IF(AL33=0,0,AL33-AL42)</f>
        <v>0</v>
      </c>
      <c r="AM43" s="77" t="n">
        <f aca="false">IF(AM33=0,0,AM33-AM42)</f>
        <v>0</v>
      </c>
      <c r="AN43" s="77" t="n">
        <f aca="false">IF(AN33=0,0,AN33-AN42)</f>
        <v>0</v>
      </c>
      <c r="AO43" s="64" t="n">
        <f aca="false">SUM(AP43:BA43)</f>
        <v>0</v>
      </c>
      <c r="AP43" s="77" t="n">
        <f aca="false">IF(AP33=0,0,AP33-AP42)</f>
        <v>0</v>
      </c>
      <c r="AQ43" s="77" t="n">
        <f aca="false">IF(AQ33=0,0,AQ33-AQ42)</f>
        <v>0</v>
      </c>
      <c r="AR43" s="77" t="n">
        <f aca="false">IF(AR33=0,0,AR33-AR42)</f>
        <v>0</v>
      </c>
      <c r="AS43" s="77" t="n">
        <f aca="false">IF(AS33=0,0,AS33-AS42)</f>
        <v>0</v>
      </c>
      <c r="AT43" s="77" t="n">
        <f aca="false">IF(AT33=0,0,AT33-AT42)</f>
        <v>0</v>
      </c>
      <c r="AU43" s="77" t="n">
        <f aca="false">IF(AU33=0,0,AU33-AU42)</f>
        <v>0</v>
      </c>
      <c r="AV43" s="77" t="n">
        <f aca="false">IF(AV33=0,0,AV33-AV42)</f>
        <v>0</v>
      </c>
      <c r="AW43" s="77" t="n">
        <f aca="false">IF(AW33=0,0,AW33-AW42)</f>
        <v>0</v>
      </c>
      <c r="AX43" s="77" t="n">
        <f aca="false">IF(AX33=0,0,AX33-AX42)</f>
        <v>0</v>
      </c>
      <c r="AY43" s="77" t="n">
        <f aca="false">IF(AY33=0,0,AY33-AY42)</f>
        <v>0</v>
      </c>
      <c r="AZ43" s="77" t="n">
        <f aca="false">IF(AZ33=0,0,AZ33-AZ42)</f>
        <v>0</v>
      </c>
      <c r="BA43" s="77" t="n">
        <f aca="false">IF(BA33=0,0,BA33-BA42)</f>
        <v>0</v>
      </c>
      <c r="BB43" s="64" t="n">
        <f aca="false">SUM(BC43:BN43)</f>
        <v>0</v>
      </c>
      <c r="BC43" s="77" t="n">
        <f aca="false">IF(BC33=0,0,BC33-BC42)</f>
        <v>0</v>
      </c>
      <c r="BD43" s="77" t="n">
        <f aca="false">IF(BD33=0,0,BD33-BD42)</f>
        <v>0</v>
      </c>
      <c r="BE43" s="77" t="n">
        <f aca="false">IF(BE33=0,0,BE33-BE42)</f>
        <v>0</v>
      </c>
      <c r="BF43" s="77" t="n">
        <f aca="false">IF(BF33=0,0,BF33-BF42)</f>
        <v>0</v>
      </c>
      <c r="BG43" s="77" t="n">
        <f aca="false">IF(BG33=0,0,BG33-BG42)</f>
        <v>0</v>
      </c>
      <c r="BH43" s="77" t="n">
        <f aca="false">IF(BH33=0,0,BH33-BH42)</f>
        <v>0</v>
      </c>
      <c r="BI43" s="77" t="n">
        <f aca="false">IF(BI33=0,0,BI33-BI42)</f>
        <v>0</v>
      </c>
      <c r="BJ43" s="77" t="n">
        <f aca="false">IF(BJ33=0,0,BJ33-BJ42)</f>
        <v>0</v>
      </c>
      <c r="BK43" s="77" t="n">
        <f aca="false">IF(BK33=0,0,BK33-BK42)</f>
        <v>0</v>
      </c>
      <c r="BL43" s="77" t="n">
        <f aca="false">IF(BL33=0,0,BL33-BL42)</f>
        <v>0</v>
      </c>
      <c r="BM43" s="77" t="n">
        <f aca="false">IF(BM33=0,0,BM33-BM42)</f>
        <v>0</v>
      </c>
      <c r="BN43" s="77" t="n">
        <f aca="false">IF(BN33=0,0,BN33-BN42)</f>
        <v>0</v>
      </c>
    </row>
    <row r="44" customFormat="false" ht="15" hidden="false" customHeight="false" outlineLevel="0" collapsed="false">
      <c r="A44" s="12" t="s">
        <v>581</v>
      </c>
      <c r="B44" s="64" t="n">
        <f aca="false">SUM(C44:N44)</f>
        <v>43199.4355574125</v>
      </c>
      <c r="C44" s="76" t="n">
        <f aca="false">Expenses!C$24</f>
        <v>4812.65472204912</v>
      </c>
      <c r="D44" s="76" t="n">
        <f aca="false">Expenses!D$24</f>
        <v>2306.31286946967</v>
      </c>
      <c r="E44" s="76" t="n">
        <f aca="false">Expenses!E$24</f>
        <v>2650.26766319877</v>
      </c>
      <c r="F44" s="76" t="n">
        <f aca="false">Expenses!F$24</f>
        <v>2530.86320976933</v>
      </c>
      <c r="G44" s="76" t="n">
        <f aca="false">Expenses!G$24</f>
        <v>2562.32294336027</v>
      </c>
      <c r="H44" s="76" t="n">
        <f aca="false">Expenses!H$24</f>
        <v>2593.81957776137</v>
      </c>
      <c r="I44" s="76" t="n">
        <f aca="false">Expenses!I$24</f>
        <v>3164.03929862269</v>
      </c>
      <c r="J44" s="76" t="n">
        <f aca="false">Expenses!J$24</f>
        <v>3614.42793017204</v>
      </c>
      <c r="K44" s="76" t="n">
        <f aca="false">Expenses!K$24</f>
        <v>4064.97810066203</v>
      </c>
      <c r="L44" s="76" t="n">
        <f aca="false">Expenses!L$24</f>
        <v>4515.68288065008</v>
      </c>
      <c r="M44" s="76" t="n">
        <f aca="false">Expenses!M$24</f>
        <v>4966.53575646019</v>
      </c>
      <c r="N44" s="76" t="n">
        <f aca="false">Expenses!N$24</f>
        <v>5417.53060523692</v>
      </c>
      <c r="O44" s="64" t="n">
        <f aca="false">SUM(P44:AA44)</f>
        <v>139117.376350987</v>
      </c>
      <c r="P44" s="76" t="n">
        <f aca="false">Expenses!P$24</f>
        <v>7220.09826393722</v>
      </c>
      <c r="Q44" s="76" t="n">
        <f aca="false">Expenses!Q$24</f>
        <v>7917.7480974197</v>
      </c>
      <c r="R44" s="76" t="n">
        <f aca="false">Expenses!R$24</f>
        <v>8606.46005381413</v>
      </c>
      <c r="S44" s="76" t="n">
        <f aca="false">Expenses!S$24</f>
        <v>9382.13557791393</v>
      </c>
      <c r="T44" s="76" t="n">
        <f aca="false">Expenses!T$24</f>
        <v>10057.3068911528</v>
      </c>
      <c r="U44" s="76" t="n">
        <f aca="false">Expenses!U$24</f>
        <v>10972.8735483166</v>
      </c>
      <c r="V44" s="76" t="n">
        <f aca="false">Expenses!V$24</f>
        <v>11861.4330857369</v>
      </c>
      <c r="W44" s="76" t="n">
        <f aca="false">Expenses!W$24</f>
        <v>12870.3066482798</v>
      </c>
      <c r="X44" s="76" t="n">
        <f aca="false">Expenses!X$24</f>
        <v>13639.4803216634</v>
      </c>
      <c r="Y44" s="76" t="n">
        <f aca="false">Expenses!Y$24</f>
        <v>14584.4779941601</v>
      </c>
      <c r="Z44" s="76" t="n">
        <f aca="false">Expenses!Z$24</f>
        <v>15529.7553279733</v>
      </c>
      <c r="AA44" s="76" t="n">
        <f aca="false">Expenses!AA$24</f>
        <v>16475.3005406194</v>
      </c>
      <c r="AB44" s="64" t="n">
        <f aca="false">SUM(AC44:AN44)</f>
        <v>289077.917661554</v>
      </c>
      <c r="AC44" s="76" t="n">
        <f aca="false">Expenses!AC$24</f>
        <v>19327.7352841263</v>
      </c>
      <c r="AD44" s="76" t="n">
        <f aca="false">Expenses!AD$24</f>
        <v>19313.1379130707</v>
      </c>
      <c r="AE44" s="76" t="n">
        <f aca="false">Expenses!AE$24</f>
        <v>19740.8261578065</v>
      </c>
      <c r="AF44" s="76" t="n">
        <f aca="false">Expenses!AF$24</f>
        <v>21050.6194960479</v>
      </c>
      <c r="AG44" s="76" t="n">
        <f aca="false">Expenses!AG$24</f>
        <v>22358.0775121151</v>
      </c>
      <c r="AH44" s="76" t="n">
        <f aca="false">Expenses!AH$24</f>
        <v>23425.8550306191</v>
      </c>
      <c r="AI44" s="76" t="n">
        <f aca="false">Expenses!AI$24</f>
        <v>24552.5973989279</v>
      </c>
      <c r="AJ44" s="76" t="n">
        <f aca="false">Expenses!AJ$24</f>
        <v>25679.6626943811</v>
      </c>
      <c r="AK44" s="76" t="n">
        <f aca="false">Expenses!AK$24</f>
        <v>26803.0726994432</v>
      </c>
      <c r="AL44" s="76" t="n">
        <f aca="false">Expenses!AL$24</f>
        <v>27872.419341861</v>
      </c>
      <c r="AM44" s="76" t="n">
        <f aca="false">Expenses!AM$24</f>
        <v>28942.0277526146</v>
      </c>
      <c r="AN44" s="76" t="n">
        <f aca="false">Expenses!AN$24</f>
        <v>30011.8863805403</v>
      </c>
      <c r="AO44" s="64" t="n">
        <f aca="false">SUM(AP44:BA44)</f>
        <v>513142.073439817</v>
      </c>
      <c r="AP44" s="76" t="n">
        <f aca="false">Expenses!AP$24</f>
        <v>35072.1716060455</v>
      </c>
      <c r="AQ44" s="76" t="n">
        <f aca="false">Expenses!AQ$24</f>
        <v>36492.3864842138</v>
      </c>
      <c r="AR44" s="76" t="n">
        <f aca="false">Expenses!AR$24</f>
        <v>37672.9321277114</v>
      </c>
      <c r="AS44" s="76" t="n">
        <f aca="false">Expenses!AS$24</f>
        <v>39067.6942726082</v>
      </c>
      <c r="AT44" s="76" t="n">
        <f aca="false">Expenses!AT$24</f>
        <v>40471.9646990514</v>
      </c>
      <c r="AU44" s="76" t="n">
        <f aca="false">Expenses!AU$24</f>
        <v>41996.3331359811</v>
      </c>
      <c r="AV44" s="76" t="n">
        <f aca="false">Expenses!AV$24</f>
        <v>43369.0536517993</v>
      </c>
      <c r="AW44" s="76" t="n">
        <f aca="false">Expenses!AW$24</f>
        <v>44861.8621407607</v>
      </c>
      <c r="AX44" s="76" t="n">
        <f aca="false">Expenses!AX$24</f>
        <v>46472.2234804425</v>
      </c>
      <c r="AY44" s="76" t="n">
        <f aca="false">Expenses!AY$24</f>
        <v>47766.9773234713</v>
      </c>
      <c r="AZ44" s="76" t="n">
        <f aca="false">Expenses!AZ$24</f>
        <v>49301.796339214</v>
      </c>
      <c r="BA44" s="76" t="n">
        <f aca="false">Expenses!BA$24</f>
        <v>50596.6781785176</v>
      </c>
      <c r="BB44" s="64" t="n">
        <f aca="false">SUM(BC44:BN44)</f>
        <v>798111.966133418</v>
      </c>
      <c r="BC44" s="76" t="n">
        <f aca="false">Expenses!BC$24</f>
        <v>57516.6761884812</v>
      </c>
      <c r="BD44" s="76" t="n">
        <f aca="false">Expenses!BD$24</f>
        <v>58973.0290440604</v>
      </c>
      <c r="BE44" s="76" t="n">
        <f aca="false">Expenses!BE$24</f>
        <v>60570.6080605919</v>
      </c>
      <c r="BF44" s="76" t="n">
        <f aca="false">Expenses!BF$24</f>
        <v>62384.9771097207</v>
      </c>
      <c r="BG44" s="76" t="n">
        <f aca="false">Expenses!BG$24</f>
        <v>63958.1052510646</v>
      </c>
      <c r="BH44" s="76" t="n">
        <f aca="false">Expenses!BH$24</f>
        <v>65771.243566453</v>
      </c>
      <c r="BI44" s="76" t="n">
        <f aca="false">Expenses!BI$24</f>
        <v>67337.1663845899</v>
      </c>
      <c r="BJ44" s="76" t="n">
        <f aca="false">Expenses!BJ$24</f>
        <v>69023.1051315276</v>
      </c>
      <c r="BK44" s="76" t="n">
        <f aca="false">Expenses!BK$24</f>
        <v>70824.801934761</v>
      </c>
      <c r="BL44" s="76" t="n">
        <f aca="false">Expenses!BL$24</f>
        <v>72291.1088369719</v>
      </c>
      <c r="BM44" s="76" t="n">
        <f aca="false">Expenses!BM$24</f>
        <v>73997.416662787</v>
      </c>
      <c r="BN44" s="76" t="n">
        <f aca="false">Expenses!BN$24</f>
        <v>75463.7279624086</v>
      </c>
    </row>
    <row r="45" customFormat="false" ht="15" hidden="false" customHeight="false" outlineLevel="0" collapsed="false">
      <c r="A45" s="18" t="s">
        <v>582</v>
      </c>
      <c r="B45" s="64" t="n">
        <f aca="false">SUM(C45:N45)</f>
        <v>0</v>
      </c>
      <c r="C45" s="77" t="n">
        <f aca="false">IF(C34=0,0,C34-C44)</f>
        <v>0</v>
      </c>
      <c r="D45" s="77" t="n">
        <f aca="false">IF(D34=0,0,D34-D44)</f>
        <v>0</v>
      </c>
      <c r="E45" s="77" t="n">
        <f aca="false">IF(E34=0,0,E34-E44)</f>
        <v>0</v>
      </c>
      <c r="F45" s="77" t="n">
        <f aca="false">IF(F34=0,0,F34-F44)</f>
        <v>0</v>
      </c>
      <c r="G45" s="77" t="n">
        <f aca="false">IF(G34=0,0,G34-G44)</f>
        <v>0</v>
      </c>
      <c r="H45" s="77" t="n">
        <f aca="false">IF(H34=0,0,H34-H44)</f>
        <v>0</v>
      </c>
      <c r="I45" s="77" t="n">
        <f aca="false">IF(I34=0,0,I34-I44)</f>
        <v>0</v>
      </c>
      <c r="J45" s="77" t="n">
        <f aca="false">IF(J34=0,0,J34-J44)</f>
        <v>0</v>
      </c>
      <c r="K45" s="77" t="n">
        <f aca="false">IF(K34=0,0,K34-K44)</f>
        <v>0</v>
      </c>
      <c r="L45" s="77" t="n">
        <f aca="false">IF(L34=0,0,L34-L44)</f>
        <v>0</v>
      </c>
      <c r="M45" s="77" t="n">
        <f aca="false">IF(M34=0,0,M34-M44)</f>
        <v>0</v>
      </c>
      <c r="N45" s="77" t="n">
        <f aca="false">IF(N34=0,0,N34-N44)</f>
        <v>0</v>
      </c>
      <c r="O45" s="64" t="n">
        <f aca="false">SUM(P45:AA45)</f>
        <v>0</v>
      </c>
      <c r="P45" s="77" t="n">
        <f aca="false">IF(P34=0,0,P34-P44)</f>
        <v>0</v>
      </c>
      <c r="Q45" s="77" t="n">
        <f aca="false">IF(Q34=0,0,Q34-Q44)</f>
        <v>0</v>
      </c>
      <c r="R45" s="77" t="n">
        <f aca="false">IF(R34=0,0,R34-R44)</f>
        <v>0</v>
      </c>
      <c r="S45" s="77" t="n">
        <f aca="false">IF(S34=0,0,S34-S44)</f>
        <v>0</v>
      </c>
      <c r="T45" s="77" t="n">
        <f aca="false">IF(T34=0,0,T34-T44)</f>
        <v>0</v>
      </c>
      <c r="U45" s="77" t="n">
        <f aca="false">IF(U34=0,0,U34-U44)</f>
        <v>0</v>
      </c>
      <c r="V45" s="77" t="n">
        <f aca="false">IF(V34=0,0,V34-V44)</f>
        <v>0</v>
      </c>
      <c r="W45" s="77" t="n">
        <f aca="false">IF(W34=0,0,W34-W44)</f>
        <v>0</v>
      </c>
      <c r="X45" s="77" t="n">
        <f aca="false">IF(X34=0,0,X34-X44)</f>
        <v>0</v>
      </c>
      <c r="Y45" s="77" t="n">
        <f aca="false">IF(Y34=0,0,Y34-Y44)</f>
        <v>0</v>
      </c>
      <c r="Z45" s="77" t="n">
        <f aca="false">IF(Z34=0,0,Z34-Z44)</f>
        <v>0</v>
      </c>
      <c r="AA45" s="77" t="n">
        <f aca="false">IF(AA34=0,0,AA34-AA44)</f>
        <v>0</v>
      </c>
      <c r="AB45" s="64" t="n">
        <f aca="false">SUM(AC45:AN45)</f>
        <v>0</v>
      </c>
      <c r="AC45" s="77" t="n">
        <f aca="false">IF(AC34=0,0,AC34-AC44)</f>
        <v>0</v>
      </c>
      <c r="AD45" s="77" t="n">
        <f aca="false">IF(AD34=0,0,AD34-AD44)</f>
        <v>0</v>
      </c>
      <c r="AE45" s="77" t="n">
        <f aca="false">IF(AE34=0,0,AE34-AE44)</f>
        <v>0</v>
      </c>
      <c r="AF45" s="77" t="n">
        <f aca="false">IF(AF34=0,0,AF34-AF44)</f>
        <v>0</v>
      </c>
      <c r="AG45" s="77" t="n">
        <f aca="false">IF(AG34=0,0,AG34-AG44)</f>
        <v>0</v>
      </c>
      <c r="AH45" s="77" t="n">
        <f aca="false">IF(AH34=0,0,AH34-AH44)</f>
        <v>0</v>
      </c>
      <c r="AI45" s="77" t="n">
        <f aca="false">IF(AI34=0,0,AI34-AI44)</f>
        <v>0</v>
      </c>
      <c r="AJ45" s="77" t="n">
        <f aca="false">IF(AJ34=0,0,AJ34-AJ44)</f>
        <v>0</v>
      </c>
      <c r="AK45" s="77" t="n">
        <f aca="false">IF(AK34=0,0,AK34-AK44)</f>
        <v>0</v>
      </c>
      <c r="AL45" s="77" t="n">
        <f aca="false">IF(AL34=0,0,AL34-AL44)</f>
        <v>0</v>
      </c>
      <c r="AM45" s="77" t="n">
        <f aca="false">IF(AM34=0,0,AM34-AM44)</f>
        <v>0</v>
      </c>
      <c r="AN45" s="77" t="n">
        <f aca="false">IF(AN34=0,0,AN34-AN44)</f>
        <v>0</v>
      </c>
      <c r="AO45" s="64" t="n">
        <f aca="false">SUM(AP45:BA45)</f>
        <v>0</v>
      </c>
      <c r="AP45" s="77" t="n">
        <f aca="false">IF(AP34=0,0,AP34-AP44)</f>
        <v>0</v>
      </c>
      <c r="AQ45" s="77" t="n">
        <f aca="false">IF(AQ34=0,0,AQ34-AQ44)</f>
        <v>0</v>
      </c>
      <c r="AR45" s="77" t="n">
        <f aca="false">IF(AR34=0,0,AR34-AR44)</f>
        <v>0</v>
      </c>
      <c r="AS45" s="77" t="n">
        <f aca="false">IF(AS34=0,0,AS34-AS44)</f>
        <v>0</v>
      </c>
      <c r="AT45" s="77" t="n">
        <f aca="false">IF(AT34=0,0,AT34-AT44)</f>
        <v>0</v>
      </c>
      <c r="AU45" s="77" t="n">
        <f aca="false">IF(AU34=0,0,AU34-AU44)</f>
        <v>0</v>
      </c>
      <c r="AV45" s="77" t="n">
        <f aca="false">IF(AV34=0,0,AV34-AV44)</f>
        <v>0</v>
      </c>
      <c r="AW45" s="77" t="n">
        <f aca="false">IF(AW34=0,0,AW34-AW44)</f>
        <v>0</v>
      </c>
      <c r="AX45" s="77" t="n">
        <f aca="false">IF(AX34=0,0,AX34-AX44)</f>
        <v>0</v>
      </c>
      <c r="AY45" s="77" t="n">
        <f aca="false">IF(AY34=0,0,AY34-AY44)</f>
        <v>0</v>
      </c>
      <c r="AZ45" s="77" t="n">
        <f aca="false">IF(AZ34=0,0,AZ34-AZ44)</f>
        <v>0</v>
      </c>
      <c r="BA45" s="77" t="n">
        <f aca="false">IF(BA34=0,0,BA34-BA44)</f>
        <v>0</v>
      </c>
      <c r="BB45" s="64" t="n">
        <f aca="false">SUM(BC45:BN45)</f>
        <v>0</v>
      </c>
      <c r="BC45" s="77" t="n">
        <f aca="false">IF(BC34=0,0,BC34-BC44)</f>
        <v>0</v>
      </c>
      <c r="BD45" s="77" t="n">
        <f aca="false">IF(BD34=0,0,BD34-BD44)</f>
        <v>0</v>
      </c>
      <c r="BE45" s="77" t="n">
        <f aca="false">IF(BE34=0,0,BE34-BE44)</f>
        <v>0</v>
      </c>
      <c r="BF45" s="77" t="n">
        <f aca="false">IF(BF34=0,0,BF34-BF44)</f>
        <v>0</v>
      </c>
      <c r="BG45" s="77" t="n">
        <f aca="false">IF(BG34=0,0,BG34-BG44)</f>
        <v>0</v>
      </c>
      <c r="BH45" s="77" t="n">
        <f aca="false">IF(BH34=0,0,BH34-BH44)</f>
        <v>0</v>
      </c>
      <c r="BI45" s="77" t="n">
        <f aca="false">IF(BI34=0,0,BI34-BI44)</f>
        <v>0</v>
      </c>
      <c r="BJ45" s="77" t="n">
        <f aca="false">IF(BJ34=0,0,BJ34-BJ44)</f>
        <v>0</v>
      </c>
      <c r="BK45" s="77" t="n">
        <f aca="false">IF(BK34=0,0,BK34-BK44)</f>
        <v>0</v>
      </c>
      <c r="BL45" s="77" t="n">
        <f aca="false">IF(BL34=0,0,BL34-BL44)</f>
        <v>0</v>
      </c>
      <c r="BM45" s="77" t="n">
        <f aca="false">IF(BM34=0,0,BM34-BM44)</f>
        <v>0</v>
      </c>
      <c r="BN45" s="77" t="n">
        <f aca="false">IF(BN34=0,0,BN34-BN44)</f>
        <v>0</v>
      </c>
    </row>
    <row r="46" customFormat="false" ht="15" hidden="false" customHeight="false" outlineLevel="0" collapsed="false">
      <c r="A46" s="12" t="s">
        <v>583</v>
      </c>
      <c r="B46" s="64" t="n">
        <f aca="false">SUM(C46:N46)</f>
        <v>101399.721963266</v>
      </c>
      <c r="C46" s="76" t="n">
        <f aca="false">Expenses!C$45</f>
        <v>8239.92069364323</v>
      </c>
      <c r="D46" s="76" t="n">
        <f aca="false">Expenses!D$45</f>
        <v>8309.46694062376</v>
      </c>
      <c r="E46" s="76" t="n">
        <f aca="false">Expenses!E$45</f>
        <v>8364.18513611879</v>
      </c>
      <c r="F46" s="76" t="n">
        <f aca="false">Expenses!F$45</f>
        <v>8364.25550655079</v>
      </c>
      <c r="G46" s="76" t="n">
        <f aca="false">Expenses!G$45</f>
        <v>8370.34110797791</v>
      </c>
      <c r="H46" s="76" t="n">
        <f aca="false">Expenses!H$45</f>
        <v>8376.43065103838</v>
      </c>
      <c r="I46" s="76" t="n">
        <f aca="false">Expenses!I$45</f>
        <v>8429.56568910411</v>
      </c>
      <c r="J46" s="76" t="n">
        <f aca="false">Expenses!J$45</f>
        <v>8482.72202332902</v>
      </c>
      <c r="K46" s="76" t="n">
        <f aca="false">Expenses!K$45</f>
        <v>8535.89837594355</v>
      </c>
      <c r="L46" s="76" t="n">
        <f aca="false">Expenses!L$45</f>
        <v>8589.09354584432</v>
      </c>
      <c r="M46" s="76" t="n">
        <f aca="false">Expenses!M$45</f>
        <v>8642.30640399416</v>
      </c>
      <c r="N46" s="76" t="n">
        <f aca="false">Expenses!N$45</f>
        <v>8695.53588909813</v>
      </c>
      <c r="O46" s="64" t="n">
        <f aca="false">SUM(P46:AA46)</f>
        <v>243380.662333068</v>
      </c>
      <c r="P46" s="76" t="n">
        <f aca="false">Expenses!P$45</f>
        <v>19746.5726158523</v>
      </c>
      <c r="Q46" s="76" t="n">
        <f aca="false">Expenses!Q$45</f>
        <v>19817.3362432509</v>
      </c>
      <c r="R46" s="76" t="n">
        <f aca="false">Expenses!R$45</f>
        <v>19902.3413158317</v>
      </c>
      <c r="S46" s="76" t="n">
        <f aca="false">Expenses!S$45</f>
        <v>20000.1532582036</v>
      </c>
      <c r="T46" s="76" t="n">
        <f aca="false">Expenses!T$45</f>
        <v>20101.938287793</v>
      </c>
      <c r="U46" s="76" t="n">
        <f aca="false">Expenses!U$45</f>
        <v>20203.7713780519</v>
      </c>
      <c r="V46" s="76" t="n">
        <f aca="false">Expenses!V$45</f>
        <v>20315.1347623827</v>
      </c>
      <c r="W46" s="76" t="n">
        <f aca="false">Expenses!W$45</f>
        <v>20426.538343528</v>
      </c>
      <c r="X46" s="76" t="n">
        <f aca="false">Expenses!X$45</f>
        <v>20537.979709679</v>
      </c>
      <c r="Y46" s="76" t="n">
        <f aca="false">Expenses!Y$45</f>
        <v>20657.7910555479</v>
      </c>
      <c r="Z46" s="76" t="n">
        <f aca="false">Expenses!Z$45</f>
        <v>20776.6838558675</v>
      </c>
      <c r="AA46" s="76" t="n">
        <f aca="false">Expenses!AA$45</f>
        <v>20894.4215070795</v>
      </c>
      <c r="AB46" s="64" t="n">
        <f aca="false">SUM(AC46:AN46)</f>
        <v>440946.605206557</v>
      </c>
      <c r="AC46" s="76" t="n">
        <f aca="false">Expenses!AC$45</f>
        <v>36171.5528340654</v>
      </c>
      <c r="AD46" s="76" t="n">
        <f aca="false">Expenses!AD$45</f>
        <v>36190.2958714242</v>
      </c>
      <c r="AE46" s="76" t="n">
        <f aca="false">Expenses!AE$45</f>
        <v>36252.7148160531</v>
      </c>
      <c r="AF46" s="76" t="n">
        <f aca="false">Expenses!AF$45</f>
        <v>36391.0897942954</v>
      </c>
      <c r="AG46" s="76" t="n">
        <f aca="false">Expenses!AG$45</f>
        <v>36528.9374013631</v>
      </c>
      <c r="AH46" s="76" t="n">
        <f aca="false">Expenses!AH$45</f>
        <v>36666.8293477081</v>
      </c>
      <c r="AI46" s="76" t="n">
        <f aca="false">Expenses!AI$45</f>
        <v>36801.8097952471</v>
      </c>
      <c r="AJ46" s="76" t="n">
        <f aca="false">Expenses!AJ$45</f>
        <v>36936.8332754728</v>
      </c>
      <c r="AK46" s="76" t="n">
        <f aca="false">Expenses!AK$45</f>
        <v>37068.0587282314</v>
      </c>
      <c r="AL46" s="76" t="n">
        <f aca="false">Expenses!AL$45</f>
        <v>37190.4213415803</v>
      </c>
      <c r="AM46" s="76" t="n">
        <f aca="false">Expenses!AM$45</f>
        <v>37312.8173249569</v>
      </c>
      <c r="AN46" s="76" t="n">
        <f aca="false">Expenses!AN$45</f>
        <v>37435.2446761595</v>
      </c>
      <c r="AO46" s="64" t="n">
        <f aca="false">SUM(AP46:BA46)</f>
        <v>636128.848123607</v>
      </c>
      <c r="AP46" s="76" t="n">
        <f aca="false">Expenses!AP$45</f>
        <v>52172.6388302912</v>
      </c>
      <c r="AQ46" s="76" t="n">
        <f aca="false">Expenses!AQ$45</f>
        <v>52313.4754740772</v>
      </c>
      <c r="AR46" s="76" t="n">
        <f aca="false">Expenses!AR$45</f>
        <v>52453.9576189489</v>
      </c>
      <c r="AS46" s="76" t="n">
        <f aca="false">Expenses!AS$45</f>
        <v>52608.4876957267</v>
      </c>
      <c r="AT46" s="76" t="n">
        <f aca="false">Expenses!AT$45</f>
        <v>52765.1353527089</v>
      </c>
      <c r="AU46" s="76" t="n">
        <f aca="false">Expenses!AU$45</f>
        <v>52921.794540143</v>
      </c>
      <c r="AV46" s="76" t="n">
        <f aca="false">Expenses!AV$45</f>
        <v>53085.3095119301</v>
      </c>
      <c r="AW46" s="76" t="n">
        <f aca="false">Expenses!AW$45</f>
        <v>53248.8352813028</v>
      </c>
      <c r="AX46" s="76" t="n">
        <f aca="false">Expenses!AX$45</f>
        <v>53411.9823797011</v>
      </c>
      <c r="AY46" s="76" t="n">
        <f aca="false">Expenses!AY$45</f>
        <v>53563.8586398835</v>
      </c>
      <c r="AZ46" s="76" t="n">
        <f aca="false">Expenses!AZ$45</f>
        <v>53715.7416865073</v>
      </c>
      <c r="BA46" s="76" t="n">
        <f aca="false">Expenses!BA$45</f>
        <v>53867.6311123861</v>
      </c>
      <c r="BB46" s="64" t="n">
        <f aca="false">SUM(BC46:BN46)</f>
        <v>828864.843909798</v>
      </c>
      <c r="BC46" s="76" t="n">
        <f aca="false">Expenses!BC$45</f>
        <v>68110.2173509446</v>
      </c>
      <c r="BD46" s="76" t="n">
        <f aca="false">Expenses!BD$45</f>
        <v>68274.0700170767</v>
      </c>
      <c r="BE46" s="76" t="n">
        <f aca="false">Expenses!BE$45</f>
        <v>68441.0725728279</v>
      </c>
      <c r="BF46" s="76" t="n">
        <f aca="false">Expenses!BF$45</f>
        <v>68622.8933446156</v>
      </c>
      <c r="BG46" s="76" t="n">
        <f aca="false">Expenses!BG$45</f>
        <v>68804.418062434</v>
      </c>
      <c r="BH46" s="76" t="n">
        <f aca="false">Expenses!BH$45</f>
        <v>68985.9366363997</v>
      </c>
      <c r="BI46" s="76" t="n">
        <f aca="false">Expenses!BI$45</f>
        <v>69167.1300445581</v>
      </c>
      <c r="BJ46" s="76" t="n">
        <f aca="false">Expenses!BJ$45</f>
        <v>69348.3183837745</v>
      </c>
      <c r="BK46" s="76" t="n">
        <f aca="false">Expenses!BK$45</f>
        <v>69528.8606611775</v>
      </c>
      <c r="BL46" s="76" t="n">
        <f aca="false">Expenses!BL$45</f>
        <v>69694.7563077488</v>
      </c>
      <c r="BM46" s="76" t="n">
        <f aca="false">Expenses!BM$45</f>
        <v>69860.6445870687</v>
      </c>
      <c r="BN46" s="76" t="n">
        <f aca="false">Expenses!BN$45</f>
        <v>70026.5259411722</v>
      </c>
    </row>
    <row r="47" customFormat="false" ht="15" hidden="false" customHeight="false" outlineLevel="0" collapsed="false">
      <c r="A47" s="18" t="s">
        <v>584</v>
      </c>
      <c r="B47" s="64" t="n">
        <f aca="false">SUM(C47:N47)</f>
        <v>0</v>
      </c>
      <c r="C47" s="77" t="n">
        <f aca="false">IF(C35=0,0,C35-C46)</f>
        <v>0</v>
      </c>
      <c r="D47" s="77" t="n">
        <f aca="false">IF(D35=0,0,D35-D46)</f>
        <v>0</v>
      </c>
      <c r="E47" s="77" t="n">
        <f aca="false">IF(E35=0,0,E35-E46)</f>
        <v>0</v>
      </c>
      <c r="F47" s="77" t="n">
        <f aca="false">IF(F35=0,0,F35-F46)</f>
        <v>0</v>
      </c>
      <c r="G47" s="77" t="n">
        <f aca="false">IF(G35=0,0,G35-G46)</f>
        <v>0</v>
      </c>
      <c r="H47" s="77" t="n">
        <f aca="false">IF(H35=0,0,H35-H46)</f>
        <v>0</v>
      </c>
      <c r="I47" s="77" t="n">
        <f aca="false">IF(I35=0,0,I35-I46)</f>
        <v>0</v>
      </c>
      <c r="J47" s="77" t="n">
        <f aca="false">IF(J35=0,0,J35-J46)</f>
        <v>0</v>
      </c>
      <c r="K47" s="77" t="n">
        <f aca="false">IF(K35=0,0,K35-K46)</f>
        <v>0</v>
      </c>
      <c r="L47" s="77" t="n">
        <f aca="false">IF(L35=0,0,L35-L46)</f>
        <v>0</v>
      </c>
      <c r="M47" s="77" t="n">
        <f aca="false">IF(M35=0,0,M35-M46)</f>
        <v>0</v>
      </c>
      <c r="N47" s="77" t="n">
        <f aca="false">IF(N35=0,0,N35-N46)</f>
        <v>0</v>
      </c>
      <c r="O47" s="64" t="n">
        <f aca="false">SUM(P47:AA47)</f>
        <v>0</v>
      </c>
      <c r="P47" s="77" t="n">
        <f aca="false">IF(P35=0,0,P35-P46)</f>
        <v>0</v>
      </c>
      <c r="Q47" s="77" t="n">
        <f aca="false">IF(Q35=0,0,Q35-Q46)</f>
        <v>0</v>
      </c>
      <c r="R47" s="77" t="n">
        <f aca="false">IF(R35=0,0,R35-R46)</f>
        <v>0</v>
      </c>
      <c r="S47" s="77" t="n">
        <f aca="false">IF(S35=0,0,S35-S46)</f>
        <v>0</v>
      </c>
      <c r="T47" s="77" t="n">
        <f aca="false">IF(T35=0,0,T35-T46)</f>
        <v>0</v>
      </c>
      <c r="U47" s="77" t="n">
        <f aca="false">IF(U35=0,0,U35-U46)</f>
        <v>0</v>
      </c>
      <c r="V47" s="77" t="n">
        <f aca="false">IF(V35=0,0,V35-V46)</f>
        <v>0</v>
      </c>
      <c r="W47" s="77" t="n">
        <f aca="false">IF(W35=0,0,W35-W46)</f>
        <v>0</v>
      </c>
      <c r="X47" s="77" t="n">
        <f aca="false">IF(X35=0,0,X35-X46)</f>
        <v>0</v>
      </c>
      <c r="Y47" s="77" t="n">
        <f aca="false">IF(Y35=0,0,Y35-Y46)</f>
        <v>0</v>
      </c>
      <c r="Z47" s="77" t="n">
        <f aca="false">IF(Z35=0,0,Z35-Z46)</f>
        <v>0</v>
      </c>
      <c r="AA47" s="77" t="n">
        <f aca="false">IF(AA35=0,0,AA35-AA46)</f>
        <v>0</v>
      </c>
      <c r="AB47" s="64" t="n">
        <f aca="false">SUM(AC47:AN47)</f>
        <v>0</v>
      </c>
      <c r="AC47" s="77" t="n">
        <f aca="false">IF(AC35=0,0,AC35-AC46)</f>
        <v>0</v>
      </c>
      <c r="AD47" s="77" t="n">
        <f aca="false">IF(AD35=0,0,AD35-AD46)</f>
        <v>0</v>
      </c>
      <c r="AE47" s="77" t="n">
        <f aca="false">IF(AE35=0,0,AE35-AE46)</f>
        <v>0</v>
      </c>
      <c r="AF47" s="77" t="n">
        <f aca="false">IF(AF35=0,0,AF35-AF46)</f>
        <v>0</v>
      </c>
      <c r="AG47" s="77" t="n">
        <f aca="false">IF(AG35=0,0,AG35-AG46)</f>
        <v>0</v>
      </c>
      <c r="AH47" s="77" t="n">
        <f aca="false">IF(AH35=0,0,AH35-AH46)</f>
        <v>0</v>
      </c>
      <c r="AI47" s="77" t="n">
        <f aca="false">IF(AI35=0,0,AI35-AI46)</f>
        <v>0</v>
      </c>
      <c r="AJ47" s="77" t="n">
        <f aca="false">IF(AJ35=0,0,AJ35-AJ46)</f>
        <v>0</v>
      </c>
      <c r="AK47" s="77" t="n">
        <f aca="false">IF(AK35=0,0,AK35-AK46)</f>
        <v>0</v>
      </c>
      <c r="AL47" s="77" t="n">
        <f aca="false">IF(AL35=0,0,AL35-AL46)</f>
        <v>0</v>
      </c>
      <c r="AM47" s="77" t="n">
        <f aca="false">IF(AM35=0,0,AM35-AM46)</f>
        <v>0</v>
      </c>
      <c r="AN47" s="77" t="n">
        <f aca="false">IF(AN35=0,0,AN35-AN46)</f>
        <v>0</v>
      </c>
      <c r="AO47" s="64" t="n">
        <f aca="false">SUM(AP47:BA47)</f>
        <v>0</v>
      </c>
      <c r="AP47" s="77" t="n">
        <f aca="false">IF(AP35=0,0,AP35-AP46)</f>
        <v>0</v>
      </c>
      <c r="AQ47" s="77" t="n">
        <f aca="false">IF(AQ35=0,0,AQ35-AQ46)</f>
        <v>0</v>
      </c>
      <c r="AR47" s="77" t="n">
        <f aca="false">IF(AR35=0,0,AR35-AR46)</f>
        <v>0</v>
      </c>
      <c r="AS47" s="77" t="n">
        <f aca="false">IF(AS35=0,0,AS35-AS46)</f>
        <v>0</v>
      </c>
      <c r="AT47" s="77" t="n">
        <f aca="false">IF(AT35=0,0,AT35-AT46)</f>
        <v>0</v>
      </c>
      <c r="AU47" s="77" t="n">
        <f aca="false">IF(AU35=0,0,AU35-AU46)</f>
        <v>0</v>
      </c>
      <c r="AV47" s="77" t="n">
        <f aca="false">IF(AV35=0,0,AV35-AV46)</f>
        <v>0</v>
      </c>
      <c r="AW47" s="77" t="n">
        <f aca="false">IF(AW35=0,0,AW35-AW46)</f>
        <v>0</v>
      </c>
      <c r="AX47" s="77" t="n">
        <f aca="false">IF(AX35=0,0,AX35-AX46)</f>
        <v>0</v>
      </c>
      <c r="AY47" s="77" t="n">
        <f aca="false">IF(AY35=0,0,AY35-AY46)</f>
        <v>0</v>
      </c>
      <c r="AZ47" s="77" t="n">
        <f aca="false">IF(AZ35=0,0,AZ35-AZ46)</f>
        <v>0</v>
      </c>
      <c r="BA47" s="77" t="n">
        <f aca="false">IF(BA35=0,0,BA35-BA46)</f>
        <v>0</v>
      </c>
      <c r="BB47" s="64" t="n">
        <f aca="false">SUM(BC47:BN47)</f>
        <v>0</v>
      </c>
      <c r="BC47" s="77" t="n">
        <f aca="false">IF(BC35=0,0,BC35-BC46)</f>
        <v>0</v>
      </c>
      <c r="BD47" s="77" t="n">
        <f aca="false">IF(BD35=0,0,BD35-BD46)</f>
        <v>0</v>
      </c>
      <c r="BE47" s="77" t="n">
        <f aca="false">IF(BE35=0,0,BE35-BE46)</f>
        <v>0</v>
      </c>
      <c r="BF47" s="77" t="n">
        <f aca="false">IF(BF35=0,0,BF35-BF46)</f>
        <v>0</v>
      </c>
      <c r="BG47" s="77" t="n">
        <f aca="false">IF(BG35=0,0,BG35-BG46)</f>
        <v>0</v>
      </c>
      <c r="BH47" s="77" t="n">
        <f aca="false">IF(BH35=0,0,BH35-BH46)</f>
        <v>0</v>
      </c>
      <c r="BI47" s="77" t="n">
        <f aca="false">IF(BI35=0,0,BI35-BI46)</f>
        <v>0</v>
      </c>
      <c r="BJ47" s="77" t="n">
        <f aca="false">IF(BJ35=0,0,BJ35-BJ46)</f>
        <v>0</v>
      </c>
      <c r="BK47" s="77" t="n">
        <f aca="false">IF(BK35=0,0,BK35-BK46)</f>
        <v>0</v>
      </c>
      <c r="BL47" s="77" t="n">
        <f aca="false">IF(BL35=0,0,BL35-BL46)</f>
        <v>0</v>
      </c>
      <c r="BM47" s="77" t="n">
        <f aca="false">IF(BM35=0,0,BM35-BM46)</f>
        <v>0</v>
      </c>
      <c r="BN47" s="77" t="n">
        <f aca="false">IF(BN35=0,0,BN35-BN46)</f>
        <v>0</v>
      </c>
    </row>
    <row r="48" customFormat="false" ht="15" hidden="false" customHeight="false" outlineLevel="0" collapsed="false">
      <c r="A48" s="12" t="s">
        <v>585</v>
      </c>
      <c r="B48" s="64" t="n">
        <f aca="false">SUM(C48:N48)</f>
        <v>1328588.88095905</v>
      </c>
      <c r="C48" s="76" t="n">
        <f aca="false">'Cash Flow Statement'!C$35</f>
        <v>34083.1540058435</v>
      </c>
      <c r="D48" s="76" t="n">
        <f aca="false">'Cash Flow Statement'!D$35</f>
        <v>19292.7001341128</v>
      </c>
      <c r="E48" s="76" t="n">
        <f aca="false">'Cash Flow Statement'!E$35</f>
        <v>12387.5812171182</v>
      </c>
      <c r="F48" s="76" t="n">
        <f aca="false">'Cash Flow Statement'!F$35</f>
        <v>157926.204798862</v>
      </c>
      <c r="G48" s="76" t="n">
        <f aca="false">'Cash Flow Statement'!G$35</f>
        <v>153441.741809399</v>
      </c>
      <c r="H48" s="76" t="n">
        <f aca="false">'Cash Flow Statement'!H$35</f>
        <v>149063.284644541</v>
      </c>
      <c r="I48" s="76" t="n">
        <f aca="false">'Cash Flow Statement'!I$35</f>
        <v>143502.609201013</v>
      </c>
      <c r="J48" s="76" t="n">
        <f aca="false">'Cash Flow Statement'!J$35</f>
        <v>138570.368576702</v>
      </c>
      <c r="K48" s="76" t="n">
        <f aca="false">'Cash Flow Statement'!K$35</f>
        <v>134406.371123175</v>
      </c>
      <c r="L48" s="76" t="n">
        <f aca="false">'Cash Flow Statement'!L$35</f>
        <v>131010.43392801</v>
      </c>
      <c r="M48" s="76" t="n">
        <f aca="false">'Cash Flow Statement'!M$35</f>
        <v>128382.382290638</v>
      </c>
      <c r="N48" s="76" t="n">
        <f aca="false">'Cash Flow Statement'!N$35</f>
        <v>126522.049229629</v>
      </c>
      <c r="O48" s="64" t="n">
        <f aca="false">SUM(P48:AA48)</f>
        <v>919124.117209487</v>
      </c>
      <c r="P48" s="76" t="n">
        <f aca="false">'Cash Flow Statement'!P$35</f>
        <v>117291.517315111</v>
      </c>
      <c r="Q48" s="76" t="n">
        <f aca="false">'Cash Flow Statement'!Q$35</f>
        <v>106159.767766728</v>
      </c>
      <c r="R48" s="76" t="n">
        <f aca="false">'Cash Flow Statement'!R$35</f>
        <v>95568.7958695257</v>
      </c>
      <c r="S48" s="76" t="n">
        <f aca="false">'Cash Flow Statement'!S$35</f>
        <v>85876.8296158263</v>
      </c>
      <c r="T48" s="76" t="n">
        <f aca="false">'Cash Flow Statement'!T$35</f>
        <v>77523.2423711449</v>
      </c>
      <c r="U48" s="76" t="n">
        <f aca="false">'Cash Flow Statement'!U$35</f>
        <v>70865.1856833357</v>
      </c>
      <c r="V48" s="76" t="n">
        <f aca="false">'Cash Flow Statement'!V$35</f>
        <v>65331.0091376277</v>
      </c>
      <c r="W48" s="76" t="n">
        <f aca="false">'Cash Flow Statement'!W$35</f>
        <v>61477.5738841211</v>
      </c>
      <c r="X48" s="76" t="n">
        <f aca="false">'Cash Flow Statement'!X$35</f>
        <v>59124.5229798636</v>
      </c>
      <c r="Y48" s="76" t="n">
        <f aca="false">'Cash Flow Statement'!Y$35</f>
        <v>58332.6657026384</v>
      </c>
      <c r="Z48" s="76" t="n">
        <f aca="false">'Cash Flow Statement'!Z$35</f>
        <v>59365.4335150289</v>
      </c>
      <c r="AA48" s="76" t="n">
        <f aca="false">'Cash Flow Statement'!AA$35</f>
        <v>62207.5733685357</v>
      </c>
      <c r="AB48" s="64" t="n">
        <f aca="false">SUM(AC48:AN48)</f>
        <v>296610.553189273</v>
      </c>
      <c r="AC48" s="76" t="n">
        <f aca="false">'Cash Flow Statement'!AC$35</f>
        <v>48825.2435120713</v>
      </c>
      <c r="AD48" s="76" t="n">
        <f aca="false">'Cash Flow Statement'!AD$35</f>
        <v>42290.3428878492</v>
      </c>
      <c r="AE48" s="76" t="n">
        <f aca="false">'Cash Flow Statement'!AE$35</f>
        <v>34989.1015403438</v>
      </c>
      <c r="AF48" s="76" t="n">
        <f aca="false">'Cash Flow Statement'!AF$35</f>
        <v>26591.2162059445</v>
      </c>
      <c r="AG48" s="76" t="n">
        <f aca="false">'Cash Flow Statement'!AG$35</f>
        <v>20064.3490308506</v>
      </c>
      <c r="AH48" s="76" t="n">
        <f aca="false">'Cash Flow Statement'!AH$35</f>
        <v>15341.8499986825</v>
      </c>
      <c r="AI48" s="76" t="n">
        <f aca="false">'Cash Flow Statement'!AI$35</f>
        <v>12806.5802579086</v>
      </c>
      <c r="AJ48" s="76" t="n">
        <f aca="false">'Cash Flow Statement'!AJ$35</f>
        <v>12228.3277557265</v>
      </c>
      <c r="AK48" s="76" t="n">
        <f aca="false">'Cash Flow Statement'!AK$35</f>
        <v>13720.7622073557</v>
      </c>
      <c r="AL48" s="76" t="n">
        <f aca="false">'Cash Flow Statement'!AL$35</f>
        <v>17338.7286647563</v>
      </c>
      <c r="AM48" s="76" t="n">
        <f aca="false">'Cash Flow Statement'!AM$35</f>
        <v>22677.4430779888</v>
      </c>
      <c r="AN48" s="76" t="n">
        <f aca="false">'Cash Flow Statement'!AN$35</f>
        <v>29736.6080497957</v>
      </c>
      <c r="AO48" s="64" t="n">
        <f aca="false">SUM(AP48:BA48)</f>
        <v>649192.817184964</v>
      </c>
      <c r="AP48" s="76" t="n">
        <f aca="false">'Cash Flow Statement'!AP$35</f>
        <v>22434.3142558589</v>
      </c>
      <c r="AQ48" s="76" t="n">
        <f aca="false">'Cash Flow Statement'!AQ$35</f>
        <v>21743.6846350714</v>
      </c>
      <c r="AR48" s="76" t="n">
        <f aca="false">'Cash Flow Statement'!AR$35</f>
        <v>22808.315157836</v>
      </c>
      <c r="AS48" s="76" t="n">
        <f aca="false">'Cash Flow Statement'!AS$35</f>
        <v>25512.7669258692</v>
      </c>
      <c r="AT48" s="76" t="n">
        <f aca="false">'Cash Flow Statement'!AT$35</f>
        <v>30288.4218212596</v>
      </c>
      <c r="AU48" s="76" t="n">
        <f aca="false">'Cash Flow Statement'!AU$35</f>
        <v>37252.153149625</v>
      </c>
      <c r="AV48" s="76" t="n">
        <f aca="false">'Cash Flow Statement'!AV$35</f>
        <v>46034.8176435769</v>
      </c>
      <c r="AW48" s="76" t="n">
        <f aca="false">'Cash Flow Statement'!AW$35</f>
        <v>57194.8391440884</v>
      </c>
      <c r="AX48" s="76" t="n">
        <f aca="false">'Cash Flow Statement'!AX$35</f>
        <v>70623.3147630483</v>
      </c>
      <c r="AY48" s="76" t="n">
        <f aca="false">'Cash Flow Statement'!AY$35</f>
        <v>86444.1808815267</v>
      </c>
      <c r="AZ48" s="76" t="n">
        <f aca="false">'Cash Flow Statement'!AZ$35</f>
        <v>104471.32727682</v>
      </c>
      <c r="BA48" s="76" t="n">
        <f aca="false">'Cash Flow Statement'!BA$35</f>
        <v>124384.681530383</v>
      </c>
      <c r="BB48" s="64" t="n">
        <f aca="false">SUM(BC48:BN48)</f>
        <v>2777769.82757812</v>
      </c>
      <c r="BC48" s="76" t="n">
        <f aca="false">'Cash Flow Statement'!BC$35</f>
        <v>128200.045987988</v>
      </c>
      <c r="BD48" s="76" t="n">
        <f aca="false">'Cash Flow Statement'!BD$35</f>
        <v>142727.641775972</v>
      </c>
      <c r="BE48" s="76" t="n">
        <f aca="false">'Cash Flow Statement'!BE$35</f>
        <v>159468.618503921</v>
      </c>
      <c r="BF48" s="76" t="n">
        <f aca="false">'Cash Flow Statement'!BF$35</f>
        <v>154141.649445684</v>
      </c>
      <c r="BG48" s="76" t="n">
        <f aca="false">'Cash Flow Statement'!BG$35</f>
        <v>174981.104744714</v>
      </c>
      <c r="BH48" s="76" t="n">
        <f aca="false">'Cash Flow Statement'!BH$35</f>
        <v>198424.619394491</v>
      </c>
      <c r="BI48" s="76" t="n">
        <f aca="false">'Cash Flow Statement'!BI$35</f>
        <v>224160.97124197</v>
      </c>
      <c r="BJ48" s="76" t="n">
        <f aca="false">'Cash Flow Statement'!BJ$35</f>
        <v>252481.287732218</v>
      </c>
      <c r="BK48" s="76" t="n">
        <f aca="false">'Cash Flow Statement'!BK$35</f>
        <v>283284.011269632</v>
      </c>
      <c r="BL48" s="76" t="n">
        <f aca="false">'Cash Flow Statement'!BL$35</f>
        <v>316777.917947621</v>
      </c>
      <c r="BM48" s="76" t="n">
        <f aca="false">'Cash Flow Statement'!BM$35</f>
        <v>352622.923791197</v>
      </c>
      <c r="BN48" s="76" t="n">
        <f aca="false">'Cash Flow Statement'!BN$35</f>
        <v>390499.035742713</v>
      </c>
    </row>
    <row r="49" customFormat="false" ht="15" hidden="false" customHeight="false" outlineLevel="0" collapsed="false">
      <c r="A49" s="18" t="s">
        <v>586</v>
      </c>
      <c r="B49" s="64" t="n">
        <f aca="false">SUM(C49:N49)</f>
        <v>0</v>
      </c>
      <c r="C49" s="77" t="n">
        <f aca="false">IF(C36=0,0,C36-C48)</f>
        <v>0</v>
      </c>
      <c r="D49" s="77" t="n">
        <f aca="false">IF(D36=0,0,D36-D48)</f>
        <v>0</v>
      </c>
      <c r="E49" s="77" t="n">
        <f aca="false">IF(E36=0,0,E36-E48)</f>
        <v>0</v>
      </c>
      <c r="F49" s="77" t="n">
        <f aca="false">IF(F36=0,0,F36-F48)</f>
        <v>0</v>
      </c>
      <c r="G49" s="77" t="n">
        <f aca="false">IF(G36=0,0,G36-G48)</f>
        <v>0</v>
      </c>
      <c r="H49" s="77" t="n">
        <f aca="false">IF(H36=0,0,H36-H48)</f>
        <v>0</v>
      </c>
      <c r="I49" s="77" t="n">
        <f aca="false">IF(I36=0,0,I36-I48)</f>
        <v>0</v>
      </c>
      <c r="J49" s="77" t="n">
        <f aca="false">IF(J36=0,0,J36-J48)</f>
        <v>0</v>
      </c>
      <c r="K49" s="77" t="n">
        <f aca="false">IF(K36=0,0,K36-K48)</f>
        <v>0</v>
      </c>
      <c r="L49" s="77" t="n">
        <f aca="false">IF(L36=0,0,L36-L48)</f>
        <v>0</v>
      </c>
      <c r="M49" s="77" t="n">
        <f aca="false">IF(M36=0,0,M36-M48)</f>
        <v>0</v>
      </c>
      <c r="N49" s="77" t="n">
        <f aca="false">IF(N36=0,0,N36-N48)</f>
        <v>0</v>
      </c>
      <c r="O49" s="64" t="n">
        <f aca="false">SUM(P49:AA49)</f>
        <v>0</v>
      </c>
      <c r="P49" s="77" t="n">
        <f aca="false">IF(P36=0,0,P36-P48)</f>
        <v>0</v>
      </c>
      <c r="Q49" s="77" t="n">
        <f aca="false">IF(Q36=0,0,Q36-Q48)</f>
        <v>0</v>
      </c>
      <c r="R49" s="77" t="n">
        <f aca="false">IF(R36=0,0,R36-R48)</f>
        <v>0</v>
      </c>
      <c r="S49" s="77" t="n">
        <f aca="false">IF(S36=0,0,S36-S48)</f>
        <v>0</v>
      </c>
      <c r="T49" s="77" t="n">
        <f aca="false">IF(T36=0,0,T36-T48)</f>
        <v>0</v>
      </c>
      <c r="U49" s="77" t="n">
        <f aca="false">IF(U36=0,0,U36-U48)</f>
        <v>0</v>
      </c>
      <c r="V49" s="77" t="n">
        <f aca="false">IF(V36=0,0,V36-V48)</f>
        <v>0</v>
      </c>
      <c r="W49" s="77" t="n">
        <f aca="false">IF(W36=0,0,W36-W48)</f>
        <v>0</v>
      </c>
      <c r="X49" s="77" t="n">
        <f aca="false">IF(X36=0,0,X36-X48)</f>
        <v>0</v>
      </c>
      <c r="Y49" s="77" t="n">
        <f aca="false">IF(Y36=0,0,Y36-Y48)</f>
        <v>0</v>
      </c>
      <c r="Z49" s="77" t="n">
        <f aca="false">IF(Z36=0,0,Z36-Z48)</f>
        <v>0</v>
      </c>
      <c r="AA49" s="77" t="n">
        <f aca="false">IF(AA36=0,0,AA36-AA48)</f>
        <v>0</v>
      </c>
      <c r="AB49" s="64" t="n">
        <f aca="false">SUM(AC49:AN49)</f>
        <v>0</v>
      </c>
      <c r="AC49" s="77" t="n">
        <f aca="false">IF(AC36=0,0,AC36-AC48)</f>
        <v>0</v>
      </c>
      <c r="AD49" s="77" t="n">
        <f aca="false">IF(AD36=0,0,AD36-AD48)</f>
        <v>0</v>
      </c>
      <c r="AE49" s="77" t="n">
        <f aca="false">IF(AE36=0,0,AE36-AE48)</f>
        <v>0</v>
      </c>
      <c r="AF49" s="77" t="n">
        <f aca="false">IF(AF36=0,0,AF36-AF48)</f>
        <v>0</v>
      </c>
      <c r="AG49" s="77" t="n">
        <f aca="false">IF(AG36=0,0,AG36-AG48)</f>
        <v>0</v>
      </c>
      <c r="AH49" s="77" t="n">
        <f aca="false">IF(AH36=0,0,AH36-AH48)</f>
        <v>0</v>
      </c>
      <c r="AI49" s="77" t="n">
        <f aca="false">IF(AI36=0,0,AI36-AI48)</f>
        <v>0</v>
      </c>
      <c r="AJ49" s="77" t="n">
        <f aca="false">IF(AJ36=0,0,AJ36-AJ48)</f>
        <v>0</v>
      </c>
      <c r="AK49" s="77" t="n">
        <f aca="false">IF(AK36=0,0,AK36-AK48)</f>
        <v>0</v>
      </c>
      <c r="AL49" s="77" t="n">
        <f aca="false">IF(AL36=0,0,AL36-AL48)</f>
        <v>0</v>
      </c>
      <c r="AM49" s="77" t="n">
        <f aca="false">IF(AM36=0,0,AM36-AM48)</f>
        <v>0</v>
      </c>
      <c r="AN49" s="77" t="n">
        <f aca="false">IF(AN36=0,0,AN36-AN48)</f>
        <v>0</v>
      </c>
      <c r="AO49" s="64" t="n">
        <f aca="false">SUM(AP49:BA49)</f>
        <v>0</v>
      </c>
      <c r="AP49" s="77" t="n">
        <f aca="false">IF(AP36=0,0,AP36-AP48)</f>
        <v>0</v>
      </c>
      <c r="AQ49" s="77" t="n">
        <f aca="false">IF(AQ36=0,0,AQ36-AQ48)</f>
        <v>0</v>
      </c>
      <c r="AR49" s="77" t="n">
        <f aca="false">IF(AR36=0,0,AR36-AR48)</f>
        <v>0</v>
      </c>
      <c r="AS49" s="77" t="n">
        <f aca="false">IF(AS36=0,0,AS36-AS48)</f>
        <v>0</v>
      </c>
      <c r="AT49" s="77" t="n">
        <f aca="false">IF(AT36=0,0,AT36-AT48)</f>
        <v>0</v>
      </c>
      <c r="AU49" s="77" t="n">
        <f aca="false">IF(AU36=0,0,AU36-AU48)</f>
        <v>0</v>
      </c>
      <c r="AV49" s="77" t="n">
        <f aca="false">IF(AV36=0,0,AV36-AV48)</f>
        <v>0</v>
      </c>
      <c r="AW49" s="77" t="n">
        <f aca="false">IF(AW36=0,0,AW36-AW48)</f>
        <v>0</v>
      </c>
      <c r="AX49" s="77" t="n">
        <f aca="false">IF(AX36=0,0,AX36-AX48)</f>
        <v>0</v>
      </c>
      <c r="AY49" s="77" t="n">
        <f aca="false">IF(AY36=0,0,AY36-AY48)</f>
        <v>0</v>
      </c>
      <c r="AZ49" s="77" t="n">
        <f aca="false">IF(AZ36=0,0,AZ36-AZ48)</f>
        <v>0</v>
      </c>
      <c r="BA49" s="77" t="n">
        <f aca="false">IF(BA36=0,0,BA36-BA48)</f>
        <v>0</v>
      </c>
      <c r="BB49" s="64" t="n">
        <f aca="false">SUM(BC49:BN49)</f>
        <v>0</v>
      </c>
      <c r="BC49" s="77" t="n">
        <f aca="false">IF(BC36=0,0,BC36-BC48)</f>
        <v>0</v>
      </c>
      <c r="BD49" s="77" t="n">
        <f aca="false">IF(BD36=0,0,BD36-BD48)</f>
        <v>0</v>
      </c>
      <c r="BE49" s="77" t="n">
        <f aca="false">IF(BE36=0,0,BE36-BE48)</f>
        <v>0</v>
      </c>
      <c r="BF49" s="77" t="n">
        <f aca="false">IF(BF36=0,0,BF36-BF48)</f>
        <v>0</v>
      </c>
      <c r="BG49" s="77" t="n">
        <f aca="false">IF(BG36=0,0,BG36-BG48)</f>
        <v>0</v>
      </c>
      <c r="BH49" s="77" t="n">
        <f aca="false">IF(BH36=0,0,BH36-BH48)</f>
        <v>0</v>
      </c>
      <c r="BI49" s="77" t="n">
        <f aca="false">IF(BI36=0,0,BI36-BI48)</f>
        <v>0</v>
      </c>
      <c r="BJ49" s="77" t="n">
        <f aca="false">IF(BJ36=0,0,BJ36-BJ48)</f>
        <v>0</v>
      </c>
      <c r="BK49" s="77" t="n">
        <f aca="false">IF(BK36=0,0,BK36-BK48)</f>
        <v>0</v>
      </c>
      <c r="BL49" s="77" t="n">
        <f aca="false">IF(BL36=0,0,BL36-BL48)</f>
        <v>0</v>
      </c>
      <c r="BM49" s="77" t="n">
        <f aca="false">IF(BM36=0,0,BM36-BM48)</f>
        <v>0</v>
      </c>
      <c r="BN49" s="77" t="n">
        <f aca="false">IF(BN36=0,0,BN36-BN48)</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40</v>
      </c>
    </row>
    <row r="3" customFormat="false" ht="15" hidden="false" customHeight="false" outlineLevel="0" collapsed="false">
      <c r="B3" s="3"/>
      <c r="C3" s="3"/>
    </row>
    <row r="5" customFormat="false" ht="30" hidden="false" customHeight="true" outlineLevel="0" collapsed="false">
      <c r="B5" s="35" t="s">
        <v>587</v>
      </c>
      <c r="C5" s="36" t="s">
        <v>43</v>
      </c>
    </row>
    <row r="6" customFormat="false" ht="30" hidden="false" customHeight="true" outlineLevel="0" collapsed="false">
      <c r="B6" s="35" t="s">
        <v>588</v>
      </c>
      <c r="C6" s="36" t="s">
        <v>45</v>
      </c>
    </row>
    <row r="7" customFormat="false" ht="30" hidden="false" customHeight="true" outlineLevel="0" collapsed="false">
      <c r="B7" s="35" t="s">
        <v>589</v>
      </c>
      <c r="C7" s="36" t="s">
        <v>47</v>
      </c>
    </row>
    <row r="8" customFormat="false" ht="30" hidden="false" customHeight="true" outlineLevel="0" collapsed="false">
      <c r="B8" s="35" t="s">
        <v>590</v>
      </c>
      <c r="C8" s="36" t="s">
        <v>49</v>
      </c>
    </row>
    <row r="9" customFormat="false" ht="30" hidden="false" customHeight="true" outlineLevel="0" collapsed="false">
      <c r="B9" s="35" t="s">
        <v>591</v>
      </c>
      <c r="C9" s="36" t="s">
        <v>51</v>
      </c>
    </row>
    <row r="10" customFormat="false" ht="30" hidden="false" customHeight="true" outlineLevel="0" collapsed="false">
      <c r="B10" s="35" t="s">
        <v>592</v>
      </c>
      <c r="C10" s="36" t="s">
        <v>53</v>
      </c>
    </row>
    <row r="11" customFormat="false" ht="30" hidden="false" customHeight="true" outlineLevel="0" collapsed="false">
      <c r="B11" s="35" t="s">
        <v>593</v>
      </c>
      <c r="C11" s="36" t="s">
        <v>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587</v>
      </c>
    </row>
    <row r="2" customFormat="false" ht="13.5" hidden="false" customHeight="true" outlineLevel="0" collapsed="false">
      <c r="A2" s="6" t="s">
        <v>594</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595</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232</v>
      </c>
      <c r="B7" s="64" t="n">
        <f aca="false">SUM(C7:N7)</f>
        <v>1200</v>
      </c>
      <c r="C7" s="65" t="n">
        <f aca="false">'Assumption Setting'!$C$41</f>
        <v>100</v>
      </c>
      <c r="D7" s="65" t="n">
        <f aca="false">'Assumption Setting'!$C$41</f>
        <v>100</v>
      </c>
      <c r="E7" s="65" t="n">
        <f aca="false">'Assumption Setting'!$C$41</f>
        <v>100</v>
      </c>
      <c r="F7" s="65" t="n">
        <f aca="false">'Assumption Setting'!$C$41</f>
        <v>100</v>
      </c>
      <c r="G7" s="65" t="n">
        <f aca="false">'Assumption Setting'!$C$41</f>
        <v>100</v>
      </c>
      <c r="H7" s="65" t="n">
        <f aca="false">'Assumption Setting'!$C$41</f>
        <v>100</v>
      </c>
      <c r="I7" s="65" t="n">
        <f aca="false">'Assumption Setting'!$C$41</f>
        <v>100</v>
      </c>
      <c r="J7" s="65" t="n">
        <f aca="false">'Assumption Setting'!$C$41</f>
        <v>100</v>
      </c>
      <c r="K7" s="65" t="n">
        <f aca="false">'Assumption Setting'!$C$41</f>
        <v>100</v>
      </c>
      <c r="L7" s="65" t="n">
        <f aca="false">'Assumption Setting'!$C$41</f>
        <v>100</v>
      </c>
      <c r="M7" s="65" t="n">
        <f aca="false">'Assumption Setting'!$C$41</f>
        <v>100</v>
      </c>
      <c r="N7" s="65" t="n">
        <f aca="false">'Assumption Setting'!$C$41</f>
        <v>100</v>
      </c>
      <c r="O7" s="64" t="n">
        <f aca="false">SUM(P7:AA7)</f>
        <v>3600</v>
      </c>
      <c r="P7" s="65" t="n">
        <f aca="false">'Assumption Setting'!$D$41</f>
        <v>300</v>
      </c>
      <c r="Q7" s="65" t="n">
        <f aca="false">'Assumption Setting'!$D$41</f>
        <v>300</v>
      </c>
      <c r="R7" s="65" t="n">
        <f aca="false">'Assumption Setting'!$D$41</f>
        <v>300</v>
      </c>
      <c r="S7" s="65" t="n">
        <f aca="false">'Assumption Setting'!$D$41</f>
        <v>300</v>
      </c>
      <c r="T7" s="65" t="n">
        <f aca="false">'Assumption Setting'!$D$41</f>
        <v>300</v>
      </c>
      <c r="U7" s="65" t="n">
        <f aca="false">'Assumption Setting'!$D$41</f>
        <v>300</v>
      </c>
      <c r="V7" s="65" t="n">
        <f aca="false">'Assumption Setting'!$D$41</f>
        <v>300</v>
      </c>
      <c r="W7" s="65" t="n">
        <f aca="false">'Assumption Setting'!$D$41</f>
        <v>300</v>
      </c>
      <c r="X7" s="65" t="n">
        <f aca="false">'Assumption Setting'!$D$41</f>
        <v>300</v>
      </c>
      <c r="Y7" s="65" t="n">
        <f aca="false">'Assumption Setting'!$D$41</f>
        <v>300</v>
      </c>
      <c r="Z7" s="65" t="n">
        <f aca="false">'Assumption Setting'!$D$41</f>
        <v>300</v>
      </c>
      <c r="AA7" s="65" t="n">
        <f aca="false">'Assumption Setting'!$D$41</f>
        <v>300</v>
      </c>
      <c r="AB7" s="64" t="n">
        <f aca="false">SUM(AC7:AN7)</f>
        <v>7200</v>
      </c>
      <c r="AC7" s="65" t="n">
        <f aca="false">'Assumption Setting'!$E$41</f>
        <v>600</v>
      </c>
      <c r="AD7" s="65" t="n">
        <f aca="false">'Assumption Setting'!$E$41</f>
        <v>600</v>
      </c>
      <c r="AE7" s="65" t="n">
        <f aca="false">'Assumption Setting'!$E$41</f>
        <v>600</v>
      </c>
      <c r="AF7" s="65" t="n">
        <f aca="false">'Assumption Setting'!$E$41</f>
        <v>600</v>
      </c>
      <c r="AG7" s="65" t="n">
        <f aca="false">'Assumption Setting'!$E$41</f>
        <v>600</v>
      </c>
      <c r="AH7" s="65" t="n">
        <f aca="false">'Assumption Setting'!$E$41</f>
        <v>600</v>
      </c>
      <c r="AI7" s="65" t="n">
        <f aca="false">'Assumption Setting'!$E$41</f>
        <v>600</v>
      </c>
      <c r="AJ7" s="65" t="n">
        <f aca="false">'Assumption Setting'!$E$41</f>
        <v>600</v>
      </c>
      <c r="AK7" s="65" t="n">
        <f aca="false">'Assumption Setting'!$E$41</f>
        <v>600</v>
      </c>
      <c r="AL7" s="65" t="n">
        <f aca="false">'Assumption Setting'!$E$41</f>
        <v>600</v>
      </c>
      <c r="AM7" s="65" t="n">
        <f aca="false">'Assumption Setting'!$E$41</f>
        <v>600</v>
      </c>
      <c r="AN7" s="65" t="n">
        <f aca="false">'Assumption Setting'!$E$41</f>
        <v>600</v>
      </c>
      <c r="AO7" s="64" t="n">
        <f aca="false">SUM(AP7:BA7)</f>
        <v>10800</v>
      </c>
      <c r="AP7" s="65" t="n">
        <f aca="false">'Assumption Setting'!$F$41</f>
        <v>900</v>
      </c>
      <c r="AQ7" s="65" t="n">
        <f aca="false">'Assumption Setting'!$F$41</f>
        <v>900</v>
      </c>
      <c r="AR7" s="65" t="n">
        <f aca="false">'Assumption Setting'!$F$41</f>
        <v>900</v>
      </c>
      <c r="AS7" s="65" t="n">
        <f aca="false">'Assumption Setting'!$F$41</f>
        <v>900</v>
      </c>
      <c r="AT7" s="65" t="n">
        <f aca="false">'Assumption Setting'!$F$41</f>
        <v>900</v>
      </c>
      <c r="AU7" s="65" t="n">
        <f aca="false">'Assumption Setting'!$F$41</f>
        <v>900</v>
      </c>
      <c r="AV7" s="65" t="n">
        <f aca="false">'Assumption Setting'!$F$41</f>
        <v>900</v>
      </c>
      <c r="AW7" s="65" t="n">
        <f aca="false">'Assumption Setting'!$F$41</f>
        <v>900</v>
      </c>
      <c r="AX7" s="65" t="n">
        <f aca="false">'Assumption Setting'!$F$41</f>
        <v>900</v>
      </c>
      <c r="AY7" s="65" t="n">
        <f aca="false">'Assumption Setting'!$F$41</f>
        <v>900</v>
      </c>
      <c r="AZ7" s="65" t="n">
        <f aca="false">'Assumption Setting'!$F$41</f>
        <v>900</v>
      </c>
      <c r="BA7" s="65" t="n">
        <f aca="false">'Assumption Setting'!$F$41</f>
        <v>900</v>
      </c>
      <c r="BB7" s="64" t="n">
        <f aca="false">SUM(BC7:BN7)</f>
        <v>14400</v>
      </c>
      <c r="BC7" s="65" t="n">
        <f aca="false">'Assumption Setting'!$G$41</f>
        <v>1200</v>
      </c>
      <c r="BD7" s="65" t="n">
        <f aca="false">'Assumption Setting'!$G$41</f>
        <v>1200</v>
      </c>
      <c r="BE7" s="65" t="n">
        <f aca="false">'Assumption Setting'!$G$41</f>
        <v>1200</v>
      </c>
      <c r="BF7" s="65" t="n">
        <f aca="false">'Assumption Setting'!$G$41</f>
        <v>1200</v>
      </c>
      <c r="BG7" s="65" t="n">
        <f aca="false">'Assumption Setting'!$G$41</f>
        <v>1200</v>
      </c>
      <c r="BH7" s="65" t="n">
        <f aca="false">'Assumption Setting'!$G$41</f>
        <v>1200</v>
      </c>
      <c r="BI7" s="65" t="n">
        <f aca="false">'Assumption Setting'!$G$41</f>
        <v>1200</v>
      </c>
      <c r="BJ7" s="65" t="n">
        <f aca="false">'Assumption Setting'!$G$41</f>
        <v>1200</v>
      </c>
      <c r="BK7" s="65" t="n">
        <f aca="false">'Assumption Setting'!$G$41</f>
        <v>1200</v>
      </c>
      <c r="BL7" s="65" t="n">
        <f aca="false">'Assumption Setting'!$G$41</f>
        <v>1200</v>
      </c>
      <c r="BM7" s="65" t="n">
        <f aca="false">'Assumption Setting'!$G$41</f>
        <v>1200</v>
      </c>
      <c r="BN7" s="65" t="n">
        <f aca="false">'Assumption Setting'!$G$41</f>
        <v>1200</v>
      </c>
    </row>
    <row r="8" customFormat="false" ht="15" hidden="false" customHeight="false" outlineLevel="0" collapsed="false">
      <c r="A8" s="12" t="s">
        <v>596</v>
      </c>
      <c r="B8" s="78" t="n">
        <f aca="false">SUM(C8:N8)</f>
        <v>12000</v>
      </c>
      <c r="C8" s="79" t="n">
        <f aca="false">IFERROR(C7/'Assumption Setting'!$H$41,0)</f>
        <v>1000</v>
      </c>
      <c r="D8" s="79" t="n">
        <f aca="false">IFERROR(D7/'Assumption Setting'!$H$41,0)</f>
        <v>1000</v>
      </c>
      <c r="E8" s="79" t="n">
        <f aca="false">IFERROR(E7/'Assumption Setting'!$H$41,0)</f>
        <v>1000</v>
      </c>
      <c r="F8" s="79" t="n">
        <f aca="false">IFERROR(F7/'Assumption Setting'!$H$41,0)</f>
        <v>1000</v>
      </c>
      <c r="G8" s="79" t="n">
        <f aca="false">IFERROR(G7/'Assumption Setting'!$H$41,0)</f>
        <v>1000</v>
      </c>
      <c r="H8" s="79" t="n">
        <f aca="false">IFERROR(H7/'Assumption Setting'!$H$41,0)</f>
        <v>1000</v>
      </c>
      <c r="I8" s="79" t="n">
        <f aca="false">IFERROR(I7/'Assumption Setting'!$H$41,0)</f>
        <v>1000</v>
      </c>
      <c r="J8" s="79" t="n">
        <f aca="false">IFERROR(J7/'Assumption Setting'!$H$41,0)</f>
        <v>1000</v>
      </c>
      <c r="K8" s="79" t="n">
        <f aca="false">IFERROR(K7/'Assumption Setting'!$H$41,0)</f>
        <v>1000</v>
      </c>
      <c r="L8" s="79" t="n">
        <f aca="false">IFERROR(L7/'Assumption Setting'!$H$41,0)</f>
        <v>1000</v>
      </c>
      <c r="M8" s="79" t="n">
        <f aca="false">IFERROR(M7/'Assumption Setting'!$H$41,0)</f>
        <v>1000</v>
      </c>
      <c r="N8" s="79" t="n">
        <f aca="false">IFERROR(N7/'Assumption Setting'!$H$41,0)</f>
        <v>1000</v>
      </c>
      <c r="O8" s="78" t="n">
        <f aca="false">SUM(P8:AA8)</f>
        <v>36000</v>
      </c>
      <c r="P8" s="79" t="n">
        <f aca="false">IFERROR(P7/'Assumption Setting'!$H$41,0)</f>
        <v>3000</v>
      </c>
      <c r="Q8" s="79" t="n">
        <f aca="false">IFERROR(Q7/'Assumption Setting'!$H$41,0)</f>
        <v>3000</v>
      </c>
      <c r="R8" s="79" t="n">
        <f aca="false">IFERROR(R7/'Assumption Setting'!$H$41,0)</f>
        <v>3000</v>
      </c>
      <c r="S8" s="79" t="n">
        <f aca="false">IFERROR(S7/'Assumption Setting'!$H$41,0)</f>
        <v>3000</v>
      </c>
      <c r="T8" s="79" t="n">
        <f aca="false">IFERROR(T7/'Assumption Setting'!$H$41,0)</f>
        <v>3000</v>
      </c>
      <c r="U8" s="79" t="n">
        <f aca="false">IFERROR(U7/'Assumption Setting'!$H$41,0)</f>
        <v>3000</v>
      </c>
      <c r="V8" s="79" t="n">
        <f aca="false">IFERROR(V7/'Assumption Setting'!$H$41,0)</f>
        <v>3000</v>
      </c>
      <c r="W8" s="79" t="n">
        <f aca="false">IFERROR(W7/'Assumption Setting'!$H$41,0)</f>
        <v>3000</v>
      </c>
      <c r="X8" s="79" t="n">
        <f aca="false">IFERROR(X7/'Assumption Setting'!$H$41,0)</f>
        <v>3000</v>
      </c>
      <c r="Y8" s="79" t="n">
        <f aca="false">IFERROR(Y7/'Assumption Setting'!$H$41,0)</f>
        <v>3000</v>
      </c>
      <c r="Z8" s="79" t="n">
        <f aca="false">IFERROR(Z7/'Assumption Setting'!$H$41,0)</f>
        <v>3000</v>
      </c>
      <c r="AA8" s="79" t="n">
        <f aca="false">IFERROR(AA7/'Assumption Setting'!$H$41,0)</f>
        <v>3000</v>
      </c>
      <c r="AB8" s="78" t="n">
        <f aca="false">SUM(AC8:AN8)</f>
        <v>72000</v>
      </c>
      <c r="AC8" s="79" t="n">
        <f aca="false">IFERROR(AC7/'Assumption Setting'!$H$41,0)</f>
        <v>6000</v>
      </c>
      <c r="AD8" s="79" t="n">
        <f aca="false">IFERROR(AD7/'Assumption Setting'!$H$41,0)</f>
        <v>6000</v>
      </c>
      <c r="AE8" s="79" t="n">
        <f aca="false">IFERROR(AE7/'Assumption Setting'!$H$41,0)</f>
        <v>6000</v>
      </c>
      <c r="AF8" s="79" t="n">
        <f aca="false">IFERROR(AF7/'Assumption Setting'!$H$41,0)</f>
        <v>6000</v>
      </c>
      <c r="AG8" s="79" t="n">
        <f aca="false">IFERROR(AG7/'Assumption Setting'!$H$41,0)</f>
        <v>6000</v>
      </c>
      <c r="AH8" s="79" t="n">
        <f aca="false">IFERROR(AH7/'Assumption Setting'!$H$41,0)</f>
        <v>6000</v>
      </c>
      <c r="AI8" s="79" t="n">
        <f aca="false">IFERROR(AI7/'Assumption Setting'!$H$41,0)</f>
        <v>6000</v>
      </c>
      <c r="AJ8" s="79" t="n">
        <f aca="false">IFERROR(AJ7/'Assumption Setting'!$H$41,0)</f>
        <v>6000</v>
      </c>
      <c r="AK8" s="79" t="n">
        <f aca="false">IFERROR(AK7/'Assumption Setting'!$H$41,0)</f>
        <v>6000</v>
      </c>
      <c r="AL8" s="79" t="n">
        <f aca="false">IFERROR(AL7/'Assumption Setting'!$H$41,0)</f>
        <v>6000</v>
      </c>
      <c r="AM8" s="79" t="n">
        <f aca="false">IFERROR(AM7/'Assumption Setting'!$H$41,0)</f>
        <v>6000</v>
      </c>
      <c r="AN8" s="79" t="n">
        <f aca="false">IFERROR(AN7/'Assumption Setting'!$H$41,0)</f>
        <v>6000</v>
      </c>
      <c r="AO8" s="78" t="n">
        <f aca="false">SUM(AP8:BA8)</f>
        <v>108000</v>
      </c>
      <c r="AP8" s="79" t="n">
        <f aca="false">IFERROR(AP7/'Assumption Setting'!$H$41,0)</f>
        <v>9000</v>
      </c>
      <c r="AQ8" s="79" t="n">
        <f aca="false">IFERROR(AQ7/'Assumption Setting'!$H$41,0)</f>
        <v>9000</v>
      </c>
      <c r="AR8" s="79" t="n">
        <f aca="false">IFERROR(AR7/'Assumption Setting'!$H$41,0)</f>
        <v>9000</v>
      </c>
      <c r="AS8" s="79" t="n">
        <f aca="false">IFERROR(AS7/'Assumption Setting'!$H$41,0)</f>
        <v>9000</v>
      </c>
      <c r="AT8" s="79" t="n">
        <f aca="false">IFERROR(AT7/'Assumption Setting'!$H$41,0)</f>
        <v>9000</v>
      </c>
      <c r="AU8" s="79" t="n">
        <f aca="false">IFERROR(AU7/'Assumption Setting'!$H$41,0)</f>
        <v>9000</v>
      </c>
      <c r="AV8" s="79" t="n">
        <f aca="false">IFERROR(AV7/'Assumption Setting'!$H$41,0)</f>
        <v>9000</v>
      </c>
      <c r="AW8" s="79" t="n">
        <f aca="false">IFERROR(AW7/'Assumption Setting'!$H$41,0)</f>
        <v>9000</v>
      </c>
      <c r="AX8" s="79" t="n">
        <f aca="false">IFERROR(AX7/'Assumption Setting'!$H$41,0)</f>
        <v>9000</v>
      </c>
      <c r="AY8" s="79" t="n">
        <f aca="false">IFERROR(AY7/'Assumption Setting'!$H$41,0)</f>
        <v>9000</v>
      </c>
      <c r="AZ8" s="79" t="n">
        <f aca="false">IFERROR(AZ7/'Assumption Setting'!$H$41,0)</f>
        <v>9000</v>
      </c>
      <c r="BA8" s="79" t="n">
        <f aca="false">IFERROR(BA7/'Assumption Setting'!$H$41,0)</f>
        <v>9000</v>
      </c>
      <c r="BB8" s="78" t="n">
        <f aca="false">SUM(BC8:BN8)</f>
        <v>144000</v>
      </c>
      <c r="BC8" s="79" t="n">
        <f aca="false">IFERROR(BC7/'Assumption Setting'!$H$41,0)</f>
        <v>12000</v>
      </c>
      <c r="BD8" s="79" t="n">
        <f aca="false">IFERROR(BD7/'Assumption Setting'!$H$41,0)</f>
        <v>12000</v>
      </c>
      <c r="BE8" s="79" t="n">
        <f aca="false">IFERROR(BE7/'Assumption Setting'!$H$41,0)</f>
        <v>12000</v>
      </c>
      <c r="BF8" s="79" t="n">
        <f aca="false">IFERROR(BF7/'Assumption Setting'!$H$41,0)</f>
        <v>12000</v>
      </c>
      <c r="BG8" s="79" t="n">
        <f aca="false">IFERROR(BG7/'Assumption Setting'!$H$41,0)</f>
        <v>12000</v>
      </c>
      <c r="BH8" s="79" t="n">
        <f aca="false">IFERROR(BH7/'Assumption Setting'!$H$41,0)</f>
        <v>12000</v>
      </c>
      <c r="BI8" s="79" t="n">
        <f aca="false">IFERROR(BI7/'Assumption Setting'!$H$41,0)</f>
        <v>12000</v>
      </c>
      <c r="BJ8" s="79" t="n">
        <f aca="false">IFERROR(BJ7/'Assumption Setting'!$H$41,0)</f>
        <v>12000</v>
      </c>
      <c r="BK8" s="79" t="n">
        <f aca="false">IFERROR(BK7/'Assumption Setting'!$H$41,0)</f>
        <v>12000</v>
      </c>
      <c r="BL8" s="79" t="n">
        <f aca="false">IFERROR(BL7/'Assumption Setting'!$H$41,0)</f>
        <v>12000</v>
      </c>
      <c r="BM8" s="79" t="n">
        <f aca="false">IFERROR(BM7/'Assumption Setting'!$H$41,0)</f>
        <v>12000</v>
      </c>
      <c r="BN8" s="79" t="n">
        <f aca="false">IFERROR(BN7/'Assumption Setting'!$H$41,0)</f>
        <v>12000</v>
      </c>
    </row>
    <row r="9" customFormat="false" ht="15" hidden="false" customHeight="false" outlineLevel="0" collapsed="false">
      <c r="A9" s="12" t="s">
        <v>597</v>
      </c>
      <c r="B9" s="78" t="n">
        <f aca="false">SUM(C9:N9)</f>
        <v>14760</v>
      </c>
      <c r="C9" s="79" t="n">
        <f aca="false">C8*(1+'Assumption Setting'!$I$41+'Assumption Setting'!$J$41)</f>
        <v>1230</v>
      </c>
      <c r="D9" s="79" t="n">
        <f aca="false">D8*(1+'Assumption Setting'!$I$41+'Assumption Setting'!$J$41)</f>
        <v>1230</v>
      </c>
      <c r="E9" s="79" t="n">
        <f aca="false">E8*(1+'Assumption Setting'!$I$41+'Assumption Setting'!$J$41)</f>
        <v>1230</v>
      </c>
      <c r="F9" s="79" t="n">
        <f aca="false">F8*(1+'Assumption Setting'!$I$41+'Assumption Setting'!$J$41)</f>
        <v>1230</v>
      </c>
      <c r="G9" s="79" t="n">
        <f aca="false">G8*(1+'Assumption Setting'!$I$41+'Assumption Setting'!$J$41)</f>
        <v>1230</v>
      </c>
      <c r="H9" s="79" t="n">
        <f aca="false">H8*(1+'Assumption Setting'!$I$41+'Assumption Setting'!$J$41)</f>
        <v>1230</v>
      </c>
      <c r="I9" s="79" t="n">
        <f aca="false">I8*(1+'Assumption Setting'!$I$41+'Assumption Setting'!$J$41)</f>
        <v>1230</v>
      </c>
      <c r="J9" s="79" t="n">
        <f aca="false">J8*(1+'Assumption Setting'!$I$41+'Assumption Setting'!$J$41)</f>
        <v>1230</v>
      </c>
      <c r="K9" s="79" t="n">
        <f aca="false">K8*(1+'Assumption Setting'!$I$41+'Assumption Setting'!$J$41)</f>
        <v>1230</v>
      </c>
      <c r="L9" s="79" t="n">
        <f aca="false">L8*(1+'Assumption Setting'!$I$41+'Assumption Setting'!$J$41)</f>
        <v>1230</v>
      </c>
      <c r="M9" s="79" t="n">
        <f aca="false">M8*(1+'Assumption Setting'!$I$41+'Assumption Setting'!$J$41)</f>
        <v>1230</v>
      </c>
      <c r="N9" s="79" t="n">
        <f aca="false">N8*(1+'Assumption Setting'!$I$41+'Assumption Setting'!$J$41)</f>
        <v>1230</v>
      </c>
      <c r="O9" s="78" t="n">
        <f aca="false">SUM(P9:AA9)</f>
        <v>44280</v>
      </c>
      <c r="P9" s="79" t="n">
        <f aca="false">P8*(1+'Assumption Setting'!$I$41+'Assumption Setting'!$J$41)</f>
        <v>3690</v>
      </c>
      <c r="Q9" s="79" t="n">
        <f aca="false">Q8*(1+'Assumption Setting'!$I$41+'Assumption Setting'!$J$41)</f>
        <v>3690</v>
      </c>
      <c r="R9" s="79" t="n">
        <f aca="false">R8*(1+'Assumption Setting'!$I$41+'Assumption Setting'!$J$41)</f>
        <v>3690</v>
      </c>
      <c r="S9" s="79" t="n">
        <f aca="false">S8*(1+'Assumption Setting'!$I$41+'Assumption Setting'!$J$41)</f>
        <v>3690</v>
      </c>
      <c r="T9" s="79" t="n">
        <f aca="false">T8*(1+'Assumption Setting'!$I$41+'Assumption Setting'!$J$41)</f>
        <v>3690</v>
      </c>
      <c r="U9" s="79" t="n">
        <f aca="false">U8*(1+'Assumption Setting'!$I$41+'Assumption Setting'!$J$41)</f>
        <v>3690</v>
      </c>
      <c r="V9" s="79" t="n">
        <f aca="false">V8*(1+'Assumption Setting'!$I$41+'Assumption Setting'!$J$41)</f>
        <v>3690</v>
      </c>
      <c r="W9" s="79" t="n">
        <f aca="false">W8*(1+'Assumption Setting'!$I$41+'Assumption Setting'!$J$41)</f>
        <v>3690</v>
      </c>
      <c r="X9" s="79" t="n">
        <f aca="false">X8*(1+'Assumption Setting'!$I$41+'Assumption Setting'!$J$41)</f>
        <v>3690</v>
      </c>
      <c r="Y9" s="79" t="n">
        <f aca="false">Y8*(1+'Assumption Setting'!$I$41+'Assumption Setting'!$J$41)</f>
        <v>3690</v>
      </c>
      <c r="Z9" s="79" t="n">
        <f aca="false">Z8*(1+'Assumption Setting'!$I$41+'Assumption Setting'!$J$41)</f>
        <v>3690</v>
      </c>
      <c r="AA9" s="79" t="n">
        <f aca="false">AA8*(1+'Assumption Setting'!$I$41+'Assumption Setting'!$J$41)</f>
        <v>3690</v>
      </c>
      <c r="AB9" s="78" t="n">
        <f aca="false">SUM(AC9:AN9)</f>
        <v>88560</v>
      </c>
      <c r="AC9" s="79" t="n">
        <f aca="false">AC8*(1+'Assumption Setting'!$I$41+'Assumption Setting'!$J$41)</f>
        <v>7380</v>
      </c>
      <c r="AD9" s="79" t="n">
        <f aca="false">AD8*(1+'Assumption Setting'!$I$41+'Assumption Setting'!$J$41)</f>
        <v>7380</v>
      </c>
      <c r="AE9" s="79" t="n">
        <f aca="false">AE8*(1+'Assumption Setting'!$I$41+'Assumption Setting'!$J$41)</f>
        <v>7380</v>
      </c>
      <c r="AF9" s="79" t="n">
        <f aca="false">AF8*(1+'Assumption Setting'!$I$41+'Assumption Setting'!$J$41)</f>
        <v>7380</v>
      </c>
      <c r="AG9" s="79" t="n">
        <f aca="false">AG8*(1+'Assumption Setting'!$I$41+'Assumption Setting'!$J$41)</f>
        <v>7380</v>
      </c>
      <c r="AH9" s="79" t="n">
        <f aca="false">AH8*(1+'Assumption Setting'!$I$41+'Assumption Setting'!$J$41)</f>
        <v>7380</v>
      </c>
      <c r="AI9" s="79" t="n">
        <f aca="false">AI8*(1+'Assumption Setting'!$I$41+'Assumption Setting'!$J$41)</f>
        <v>7380</v>
      </c>
      <c r="AJ9" s="79" t="n">
        <f aca="false">AJ8*(1+'Assumption Setting'!$I$41+'Assumption Setting'!$J$41)</f>
        <v>7380</v>
      </c>
      <c r="AK9" s="79" t="n">
        <f aca="false">AK8*(1+'Assumption Setting'!$I$41+'Assumption Setting'!$J$41)</f>
        <v>7380</v>
      </c>
      <c r="AL9" s="79" t="n">
        <f aca="false">AL8*(1+'Assumption Setting'!$I$41+'Assumption Setting'!$J$41)</f>
        <v>7380</v>
      </c>
      <c r="AM9" s="79" t="n">
        <f aca="false">AM8*(1+'Assumption Setting'!$I$41+'Assumption Setting'!$J$41)</f>
        <v>7380</v>
      </c>
      <c r="AN9" s="79" t="n">
        <f aca="false">AN8*(1+'Assumption Setting'!$I$41+'Assumption Setting'!$J$41)</f>
        <v>7380</v>
      </c>
      <c r="AO9" s="78" t="n">
        <f aca="false">SUM(AP9:BA9)</f>
        <v>132840</v>
      </c>
      <c r="AP9" s="79" t="n">
        <f aca="false">AP8*(1+'Assumption Setting'!$I$41+'Assumption Setting'!$J$41)</f>
        <v>11070</v>
      </c>
      <c r="AQ9" s="79" t="n">
        <f aca="false">AQ8*(1+'Assumption Setting'!$I$41+'Assumption Setting'!$J$41)</f>
        <v>11070</v>
      </c>
      <c r="AR9" s="79" t="n">
        <f aca="false">AR8*(1+'Assumption Setting'!$I$41+'Assumption Setting'!$J$41)</f>
        <v>11070</v>
      </c>
      <c r="AS9" s="79" t="n">
        <f aca="false">AS8*(1+'Assumption Setting'!$I$41+'Assumption Setting'!$J$41)</f>
        <v>11070</v>
      </c>
      <c r="AT9" s="79" t="n">
        <f aca="false">AT8*(1+'Assumption Setting'!$I$41+'Assumption Setting'!$J$41)</f>
        <v>11070</v>
      </c>
      <c r="AU9" s="79" t="n">
        <f aca="false">AU8*(1+'Assumption Setting'!$I$41+'Assumption Setting'!$J$41)</f>
        <v>11070</v>
      </c>
      <c r="AV9" s="79" t="n">
        <f aca="false">AV8*(1+'Assumption Setting'!$I$41+'Assumption Setting'!$J$41)</f>
        <v>11070</v>
      </c>
      <c r="AW9" s="79" t="n">
        <f aca="false">AW8*(1+'Assumption Setting'!$I$41+'Assumption Setting'!$J$41)</f>
        <v>11070</v>
      </c>
      <c r="AX9" s="79" t="n">
        <f aca="false">AX8*(1+'Assumption Setting'!$I$41+'Assumption Setting'!$J$41)</f>
        <v>11070</v>
      </c>
      <c r="AY9" s="79" t="n">
        <f aca="false">AY8*(1+'Assumption Setting'!$I$41+'Assumption Setting'!$J$41)</f>
        <v>11070</v>
      </c>
      <c r="AZ9" s="79" t="n">
        <f aca="false">AZ8*(1+'Assumption Setting'!$I$41+'Assumption Setting'!$J$41)</f>
        <v>11070</v>
      </c>
      <c r="BA9" s="79" t="n">
        <f aca="false">BA8*(1+'Assumption Setting'!$I$41+'Assumption Setting'!$J$41)</f>
        <v>11070</v>
      </c>
      <c r="BB9" s="78" t="n">
        <f aca="false">SUM(BC9:BN9)</f>
        <v>177120</v>
      </c>
      <c r="BC9" s="79" t="n">
        <f aca="false">BC8*(1+'Assumption Setting'!$I$41+'Assumption Setting'!$J$41)</f>
        <v>14760</v>
      </c>
      <c r="BD9" s="79" t="n">
        <f aca="false">BD8*(1+'Assumption Setting'!$I$41+'Assumption Setting'!$J$41)</f>
        <v>14760</v>
      </c>
      <c r="BE9" s="79" t="n">
        <f aca="false">BE8*(1+'Assumption Setting'!$I$41+'Assumption Setting'!$J$41)</f>
        <v>14760</v>
      </c>
      <c r="BF9" s="79" t="n">
        <f aca="false">BF8*(1+'Assumption Setting'!$I$41+'Assumption Setting'!$J$41)</f>
        <v>14760</v>
      </c>
      <c r="BG9" s="79" t="n">
        <f aca="false">BG8*(1+'Assumption Setting'!$I$41+'Assumption Setting'!$J$41)</f>
        <v>14760</v>
      </c>
      <c r="BH9" s="79" t="n">
        <f aca="false">BH8*(1+'Assumption Setting'!$I$41+'Assumption Setting'!$J$41)</f>
        <v>14760</v>
      </c>
      <c r="BI9" s="79" t="n">
        <f aca="false">BI8*(1+'Assumption Setting'!$I$41+'Assumption Setting'!$J$41)</f>
        <v>14760</v>
      </c>
      <c r="BJ9" s="79" t="n">
        <f aca="false">BJ8*(1+'Assumption Setting'!$I$41+'Assumption Setting'!$J$41)</f>
        <v>14760</v>
      </c>
      <c r="BK9" s="79" t="n">
        <f aca="false">BK8*(1+'Assumption Setting'!$I$41+'Assumption Setting'!$J$41)</f>
        <v>14760</v>
      </c>
      <c r="BL9" s="79" t="n">
        <f aca="false">BL8*(1+'Assumption Setting'!$I$41+'Assumption Setting'!$J$41)</f>
        <v>14760</v>
      </c>
      <c r="BM9" s="79" t="n">
        <f aca="false">BM8*(1+'Assumption Setting'!$I$41+'Assumption Setting'!$J$41)</f>
        <v>14760</v>
      </c>
      <c r="BN9" s="79" t="n">
        <f aca="false">BN8*(1+'Assumption Setting'!$I$41+'Assumption Setting'!$J$41)</f>
        <v>14760</v>
      </c>
    </row>
    <row r="10" customFormat="false" ht="15" hidden="false" customHeight="false" outlineLevel="0" collapsed="false">
      <c r="A10" s="12" t="s">
        <v>598</v>
      </c>
      <c r="B10" s="80" t="n">
        <f aca="false">SUM(C10:N10)</f>
        <v>221.4</v>
      </c>
      <c r="C10" s="81" t="n">
        <f aca="false">C9*'Assumption Setting'!$K$41</f>
        <v>18.45</v>
      </c>
      <c r="D10" s="81" t="n">
        <f aca="false">D9*'Assumption Setting'!$K$41</f>
        <v>18.45</v>
      </c>
      <c r="E10" s="81" t="n">
        <f aca="false">E9*'Assumption Setting'!$K$41</f>
        <v>18.45</v>
      </c>
      <c r="F10" s="81" t="n">
        <f aca="false">F9*'Assumption Setting'!$K$41</f>
        <v>18.45</v>
      </c>
      <c r="G10" s="81" t="n">
        <f aca="false">G9*'Assumption Setting'!$K$41</f>
        <v>18.45</v>
      </c>
      <c r="H10" s="81" t="n">
        <f aca="false">H9*'Assumption Setting'!$K$41</f>
        <v>18.45</v>
      </c>
      <c r="I10" s="81" t="n">
        <f aca="false">I9*'Assumption Setting'!$K$41</f>
        <v>18.45</v>
      </c>
      <c r="J10" s="81" t="n">
        <f aca="false">J9*'Assumption Setting'!$K$41</f>
        <v>18.45</v>
      </c>
      <c r="K10" s="81" t="n">
        <f aca="false">K9*'Assumption Setting'!$K$41</f>
        <v>18.45</v>
      </c>
      <c r="L10" s="81" t="n">
        <f aca="false">L9*'Assumption Setting'!$K$41</f>
        <v>18.45</v>
      </c>
      <c r="M10" s="81" t="n">
        <f aca="false">M9*'Assumption Setting'!$K$41</f>
        <v>18.45</v>
      </c>
      <c r="N10" s="81" t="n">
        <f aca="false">N9*'Assumption Setting'!$K$41</f>
        <v>18.45</v>
      </c>
      <c r="O10" s="80" t="n">
        <f aca="false">SUM(P10:AA10)</f>
        <v>664.2</v>
      </c>
      <c r="P10" s="81" t="n">
        <f aca="false">P9*'Assumption Setting'!$K$41</f>
        <v>55.35</v>
      </c>
      <c r="Q10" s="81" t="n">
        <f aca="false">Q9*'Assumption Setting'!$K$41</f>
        <v>55.35</v>
      </c>
      <c r="R10" s="81" t="n">
        <f aca="false">R9*'Assumption Setting'!$K$41</f>
        <v>55.35</v>
      </c>
      <c r="S10" s="81" t="n">
        <f aca="false">S9*'Assumption Setting'!$K$41</f>
        <v>55.35</v>
      </c>
      <c r="T10" s="81" t="n">
        <f aca="false">T9*'Assumption Setting'!$K$41</f>
        <v>55.35</v>
      </c>
      <c r="U10" s="81" t="n">
        <f aca="false">U9*'Assumption Setting'!$K$41</f>
        <v>55.35</v>
      </c>
      <c r="V10" s="81" t="n">
        <f aca="false">V9*'Assumption Setting'!$K$41</f>
        <v>55.35</v>
      </c>
      <c r="W10" s="81" t="n">
        <f aca="false">W9*'Assumption Setting'!$K$41</f>
        <v>55.35</v>
      </c>
      <c r="X10" s="81" t="n">
        <f aca="false">X9*'Assumption Setting'!$K$41</f>
        <v>55.35</v>
      </c>
      <c r="Y10" s="81" t="n">
        <f aca="false">Y9*'Assumption Setting'!$K$41</f>
        <v>55.35</v>
      </c>
      <c r="Z10" s="81" t="n">
        <f aca="false">Z9*'Assumption Setting'!$K$41</f>
        <v>55.35</v>
      </c>
      <c r="AA10" s="81" t="n">
        <f aca="false">AA9*'Assumption Setting'!$K$41</f>
        <v>55.35</v>
      </c>
      <c r="AB10" s="80" t="n">
        <f aca="false">SUM(AC10:AN10)</f>
        <v>1328.4</v>
      </c>
      <c r="AC10" s="81" t="n">
        <f aca="false">AC9*'Assumption Setting'!$K$41</f>
        <v>110.7</v>
      </c>
      <c r="AD10" s="81" t="n">
        <f aca="false">AD9*'Assumption Setting'!$K$41</f>
        <v>110.7</v>
      </c>
      <c r="AE10" s="81" t="n">
        <f aca="false">AE9*'Assumption Setting'!$K$41</f>
        <v>110.7</v>
      </c>
      <c r="AF10" s="81" t="n">
        <f aca="false">AF9*'Assumption Setting'!$K$41</f>
        <v>110.7</v>
      </c>
      <c r="AG10" s="81" t="n">
        <f aca="false">AG9*'Assumption Setting'!$K$41</f>
        <v>110.7</v>
      </c>
      <c r="AH10" s="81" t="n">
        <f aca="false">AH9*'Assumption Setting'!$K$41</f>
        <v>110.7</v>
      </c>
      <c r="AI10" s="81" t="n">
        <f aca="false">AI9*'Assumption Setting'!$K$41</f>
        <v>110.7</v>
      </c>
      <c r="AJ10" s="81" t="n">
        <f aca="false">AJ9*'Assumption Setting'!$K$41</f>
        <v>110.7</v>
      </c>
      <c r="AK10" s="81" t="n">
        <f aca="false">AK9*'Assumption Setting'!$K$41</f>
        <v>110.7</v>
      </c>
      <c r="AL10" s="81" t="n">
        <f aca="false">AL9*'Assumption Setting'!$K$41</f>
        <v>110.7</v>
      </c>
      <c r="AM10" s="81" t="n">
        <f aca="false">AM9*'Assumption Setting'!$K$41</f>
        <v>110.7</v>
      </c>
      <c r="AN10" s="81" t="n">
        <f aca="false">AN9*'Assumption Setting'!$K$41</f>
        <v>110.7</v>
      </c>
      <c r="AO10" s="80" t="n">
        <f aca="false">SUM(AP10:BA10)</f>
        <v>1992.6</v>
      </c>
      <c r="AP10" s="81" t="n">
        <f aca="false">AP9*'Assumption Setting'!$K$41</f>
        <v>166.05</v>
      </c>
      <c r="AQ10" s="81" t="n">
        <f aca="false">AQ9*'Assumption Setting'!$K$41</f>
        <v>166.05</v>
      </c>
      <c r="AR10" s="81" t="n">
        <f aca="false">AR9*'Assumption Setting'!$K$41</f>
        <v>166.05</v>
      </c>
      <c r="AS10" s="81" t="n">
        <f aca="false">AS9*'Assumption Setting'!$K$41</f>
        <v>166.05</v>
      </c>
      <c r="AT10" s="81" t="n">
        <f aca="false">AT9*'Assumption Setting'!$K$41</f>
        <v>166.05</v>
      </c>
      <c r="AU10" s="81" t="n">
        <f aca="false">AU9*'Assumption Setting'!$K$41</f>
        <v>166.05</v>
      </c>
      <c r="AV10" s="81" t="n">
        <f aca="false">AV9*'Assumption Setting'!$K$41</f>
        <v>166.05</v>
      </c>
      <c r="AW10" s="81" t="n">
        <f aca="false">AW9*'Assumption Setting'!$K$41</f>
        <v>166.05</v>
      </c>
      <c r="AX10" s="81" t="n">
        <f aca="false">AX9*'Assumption Setting'!$K$41</f>
        <v>166.05</v>
      </c>
      <c r="AY10" s="81" t="n">
        <f aca="false">AY9*'Assumption Setting'!$K$41</f>
        <v>166.05</v>
      </c>
      <c r="AZ10" s="81" t="n">
        <f aca="false">AZ9*'Assumption Setting'!$K$41</f>
        <v>166.05</v>
      </c>
      <c r="BA10" s="81" t="n">
        <f aca="false">BA9*'Assumption Setting'!$K$41</f>
        <v>166.05</v>
      </c>
      <c r="BB10" s="80" t="n">
        <f aca="false">SUM(BC10:BN10)</f>
        <v>2656.8</v>
      </c>
      <c r="BC10" s="81" t="n">
        <f aca="false">BC9*'Assumption Setting'!$K$41</f>
        <v>221.4</v>
      </c>
      <c r="BD10" s="81" t="n">
        <f aca="false">BD9*'Assumption Setting'!$K$41</f>
        <v>221.4</v>
      </c>
      <c r="BE10" s="81" t="n">
        <f aca="false">BE9*'Assumption Setting'!$K$41</f>
        <v>221.4</v>
      </c>
      <c r="BF10" s="81" t="n">
        <f aca="false">BF9*'Assumption Setting'!$K$41</f>
        <v>221.4</v>
      </c>
      <c r="BG10" s="81" t="n">
        <f aca="false">BG9*'Assumption Setting'!$K$41</f>
        <v>221.4</v>
      </c>
      <c r="BH10" s="81" t="n">
        <f aca="false">BH9*'Assumption Setting'!$K$41</f>
        <v>221.4</v>
      </c>
      <c r="BI10" s="81" t="n">
        <f aca="false">BI9*'Assumption Setting'!$K$41</f>
        <v>221.4</v>
      </c>
      <c r="BJ10" s="81" t="n">
        <f aca="false">BJ9*'Assumption Setting'!$K$41</f>
        <v>221.4</v>
      </c>
      <c r="BK10" s="81" t="n">
        <f aca="false">BK9*'Assumption Setting'!$K$41</f>
        <v>221.4</v>
      </c>
      <c r="BL10" s="81" t="n">
        <f aca="false">BL9*'Assumption Setting'!$K$41</f>
        <v>221.4</v>
      </c>
      <c r="BM10" s="81" t="n">
        <f aca="false">BM9*'Assumption Setting'!$K$41</f>
        <v>221.4</v>
      </c>
      <c r="BN10" s="81" t="n">
        <f aca="false">BN9*'Assumption Setting'!$K$41</f>
        <v>221.4</v>
      </c>
    </row>
    <row r="11" customFormat="false" ht="15" hidden="false" customHeight="false" outlineLevel="0" collapsed="false">
      <c r="A11" s="12" t="s">
        <v>233</v>
      </c>
      <c r="B11" s="64" t="n">
        <f aca="false">SUM(C11:N11)</f>
        <v>960</v>
      </c>
      <c r="C11" s="65" t="n">
        <f aca="false">'Assumption Setting'!$C$42</f>
        <v>80</v>
      </c>
      <c r="D11" s="65" t="n">
        <f aca="false">'Assumption Setting'!$C$42</f>
        <v>80</v>
      </c>
      <c r="E11" s="65" t="n">
        <f aca="false">'Assumption Setting'!$C$42</f>
        <v>80</v>
      </c>
      <c r="F11" s="65" t="n">
        <f aca="false">'Assumption Setting'!$C$42</f>
        <v>80</v>
      </c>
      <c r="G11" s="65" t="n">
        <f aca="false">'Assumption Setting'!$C$42</f>
        <v>80</v>
      </c>
      <c r="H11" s="65" t="n">
        <f aca="false">'Assumption Setting'!$C$42</f>
        <v>80</v>
      </c>
      <c r="I11" s="65" t="n">
        <f aca="false">'Assumption Setting'!$C$42</f>
        <v>80</v>
      </c>
      <c r="J11" s="65" t="n">
        <f aca="false">'Assumption Setting'!$C$42</f>
        <v>80</v>
      </c>
      <c r="K11" s="65" t="n">
        <f aca="false">'Assumption Setting'!$C$42</f>
        <v>80</v>
      </c>
      <c r="L11" s="65" t="n">
        <f aca="false">'Assumption Setting'!$C$42</f>
        <v>80</v>
      </c>
      <c r="M11" s="65" t="n">
        <f aca="false">'Assumption Setting'!$C$42</f>
        <v>80</v>
      </c>
      <c r="N11" s="65" t="n">
        <f aca="false">'Assumption Setting'!$C$42</f>
        <v>80</v>
      </c>
      <c r="O11" s="64" t="n">
        <f aca="false">SUM(P11:AA11)</f>
        <v>3000</v>
      </c>
      <c r="P11" s="65" t="n">
        <f aca="false">'Assumption Setting'!$D$42</f>
        <v>250</v>
      </c>
      <c r="Q11" s="65" t="n">
        <f aca="false">'Assumption Setting'!$D$42</f>
        <v>250</v>
      </c>
      <c r="R11" s="65" t="n">
        <f aca="false">'Assumption Setting'!$D$42</f>
        <v>250</v>
      </c>
      <c r="S11" s="65" t="n">
        <f aca="false">'Assumption Setting'!$D$42</f>
        <v>250</v>
      </c>
      <c r="T11" s="65" t="n">
        <f aca="false">'Assumption Setting'!$D$42</f>
        <v>250</v>
      </c>
      <c r="U11" s="65" t="n">
        <f aca="false">'Assumption Setting'!$D$42</f>
        <v>250</v>
      </c>
      <c r="V11" s="65" t="n">
        <f aca="false">'Assumption Setting'!$D$42</f>
        <v>250</v>
      </c>
      <c r="W11" s="65" t="n">
        <f aca="false">'Assumption Setting'!$D$42</f>
        <v>250</v>
      </c>
      <c r="X11" s="65" t="n">
        <f aca="false">'Assumption Setting'!$D$42</f>
        <v>250</v>
      </c>
      <c r="Y11" s="65" t="n">
        <f aca="false">'Assumption Setting'!$D$42</f>
        <v>250</v>
      </c>
      <c r="Z11" s="65" t="n">
        <f aca="false">'Assumption Setting'!$D$42</f>
        <v>250</v>
      </c>
      <c r="AA11" s="65" t="n">
        <f aca="false">'Assumption Setting'!$D$42</f>
        <v>250</v>
      </c>
      <c r="AB11" s="64" t="n">
        <f aca="false">SUM(AC11:AN11)</f>
        <v>6600</v>
      </c>
      <c r="AC11" s="65" t="n">
        <f aca="false">'Assumption Setting'!$E$42</f>
        <v>550</v>
      </c>
      <c r="AD11" s="65" t="n">
        <f aca="false">'Assumption Setting'!$E$42</f>
        <v>550</v>
      </c>
      <c r="AE11" s="65" t="n">
        <f aca="false">'Assumption Setting'!$E$42</f>
        <v>550</v>
      </c>
      <c r="AF11" s="65" t="n">
        <f aca="false">'Assumption Setting'!$E$42</f>
        <v>550</v>
      </c>
      <c r="AG11" s="65" t="n">
        <f aca="false">'Assumption Setting'!$E$42</f>
        <v>550</v>
      </c>
      <c r="AH11" s="65" t="n">
        <f aca="false">'Assumption Setting'!$E$42</f>
        <v>550</v>
      </c>
      <c r="AI11" s="65" t="n">
        <f aca="false">'Assumption Setting'!$E$42</f>
        <v>550</v>
      </c>
      <c r="AJ11" s="65" t="n">
        <f aca="false">'Assumption Setting'!$E$42</f>
        <v>550</v>
      </c>
      <c r="AK11" s="65" t="n">
        <f aca="false">'Assumption Setting'!$E$42</f>
        <v>550</v>
      </c>
      <c r="AL11" s="65" t="n">
        <f aca="false">'Assumption Setting'!$E$42</f>
        <v>550</v>
      </c>
      <c r="AM11" s="65" t="n">
        <f aca="false">'Assumption Setting'!$E$42</f>
        <v>550</v>
      </c>
      <c r="AN11" s="65" t="n">
        <f aca="false">'Assumption Setting'!$E$42</f>
        <v>550</v>
      </c>
      <c r="AO11" s="64" t="n">
        <f aca="false">SUM(AP11:BA11)</f>
        <v>10200</v>
      </c>
      <c r="AP11" s="65" t="n">
        <f aca="false">'Assumption Setting'!$F$42</f>
        <v>850</v>
      </c>
      <c r="AQ11" s="65" t="n">
        <f aca="false">'Assumption Setting'!$F$42</f>
        <v>850</v>
      </c>
      <c r="AR11" s="65" t="n">
        <f aca="false">'Assumption Setting'!$F$42</f>
        <v>850</v>
      </c>
      <c r="AS11" s="65" t="n">
        <f aca="false">'Assumption Setting'!$F$42</f>
        <v>850</v>
      </c>
      <c r="AT11" s="65" t="n">
        <f aca="false">'Assumption Setting'!$F$42</f>
        <v>850</v>
      </c>
      <c r="AU11" s="65" t="n">
        <f aca="false">'Assumption Setting'!$F$42</f>
        <v>850</v>
      </c>
      <c r="AV11" s="65" t="n">
        <f aca="false">'Assumption Setting'!$F$42</f>
        <v>850</v>
      </c>
      <c r="AW11" s="65" t="n">
        <f aca="false">'Assumption Setting'!$F$42</f>
        <v>850</v>
      </c>
      <c r="AX11" s="65" t="n">
        <f aca="false">'Assumption Setting'!$F$42</f>
        <v>850</v>
      </c>
      <c r="AY11" s="65" t="n">
        <f aca="false">'Assumption Setting'!$F$42</f>
        <v>850</v>
      </c>
      <c r="AZ11" s="65" t="n">
        <f aca="false">'Assumption Setting'!$F$42</f>
        <v>850</v>
      </c>
      <c r="BA11" s="65" t="n">
        <f aca="false">'Assumption Setting'!$F$42</f>
        <v>850</v>
      </c>
      <c r="BB11" s="64" t="n">
        <f aca="false">SUM(BC11:BN11)</f>
        <v>13200</v>
      </c>
      <c r="BC11" s="65" t="n">
        <f aca="false">'Assumption Setting'!$G$42</f>
        <v>1100</v>
      </c>
      <c r="BD11" s="65" t="n">
        <f aca="false">'Assumption Setting'!$G$42</f>
        <v>1100</v>
      </c>
      <c r="BE11" s="65" t="n">
        <f aca="false">'Assumption Setting'!$G$42</f>
        <v>1100</v>
      </c>
      <c r="BF11" s="65" t="n">
        <f aca="false">'Assumption Setting'!$G$42</f>
        <v>1100</v>
      </c>
      <c r="BG11" s="65" t="n">
        <f aca="false">'Assumption Setting'!$G$42</f>
        <v>1100</v>
      </c>
      <c r="BH11" s="65" t="n">
        <f aca="false">'Assumption Setting'!$G$42</f>
        <v>1100</v>
      </c>
      <c r="BI11" s="65" t="n">
        <f aca="false">'Assumption Setting'!$G$42</f>
        <v>1100</v>
      </c>
      <c r="BJ11" s="65" t="n">
        <f aca="false">'Assumption Setting'!$G$42</f>
        <v>1100</v>
      </c>
      <c r="BK11" s="65" t="n">
        <f aca="false">'Assumption Setting'!$G$42</f>
        <v>1100</v>
      </c>
      <c r="BL11" s="65" t="n">
        <f aca="false">'Assumption Setting'!$G$42</f>
        <v>1100</v>
      </c>
      <c r="BM11" s="65" t="n">
        <f aca="false">'Assumption Setting'!$G$42</f>
        <v>1100</v>
      </c>
      <c r="BN11" s="65" t="n">
        <f aca="false">'Assumption Setting'!$G$42</f>
        <v>1100</v>
      </c>
    </row>
    <row r="12" customFormat="false" ht="15" hidden="false" customHeight="false" outlineLevel="0" collapsed="false">
      <c r="A12" s="12" t="s">
        <v>596</v>
      </c>
      <c r="B12" s="78" t="n">
        <f aca="false">SUM(C12:N12)</f>
        <v>5333.33333333333</v>
      </c>
      <c r="C12" s="79" t="n">
        <f aca="false">IFERROR(C11/'Assumption Setting'!$H$42,0)</f>
        <v>444.444444444444</v>
      </c>
      <c r="D12" s="79" t="n">
        <f aca="false">IFERROR(D11/'Assumption Setting'!$H$42,0)</f>
        <v>444.444444444444</v>
      </c>
      <c r="E12" s="79" t="n">
        <f aca="false">IFERROR(E11/'Assumption Setting'!$H$42,0)</f>
        <v>444.444444444444</v>
      </c>
      <c r="F12" s="79" t="n">
        <f aca="false">IFERROR(F11/'Assumption Setting'!$H$42,0)</f>
        <v>444.444444444444</v>
      </c>
      <c r="G12" s="79" t="n">
        <f aca="false">IFERROR(G11/'Assumption Setting'!$H$42,0)</f>
        <v>444.444444444444</v>
      </c>
      <c r="H12" s="79" t="n">
        <f aca="false">IFERROR(H11/'Assumption Setting'!$H$42,0)</f>
        <v>444.444444444444</v>
      </c>
      <c r="I12" s="79" t="n">
        <f aca="false">IFERROR(I11/'Assumption Setting'!$H$42,0)</f>
        <v>444.444444444444</v>
      </c>
      <c r="J12" s="79" t="n">
        <f aca="false">IFERROR(J11/'Assumption Setting'!$H$42,0)</f>
        <v>444.444444444444</v>
      </c>
      <c r="K12" s="79" t="n">
        <f aca="false">IFERROR(K11/'Assumption Setting'!$H$42,0)</f>
        <v>444.444444444444</v>
      </c>
      <c r="L12" s="79" t="n">
        <f aca="false">IFERROR(L11/'Assumption Setting'!$H$42,0)</f>
        <v>444.444444444444</v>
      </c>
      <c r="M12" s="79" t="n">
        <f aca="false">IFERROR(M11/'Assumption Setting'!$H$42,0)</f>
        <v>444.444444444444</v>
      </c>
      <c r="N12" s="79" t="n">
        <f aca="false">IFERROR(N11/'Assumption Setting'!$H$42,0)</f>
        <v>444.444444444444</v>
      </c>
      <c r="O12" s="78" t="n">
        <f aca="false">SUM(P12:AA12)</f>
        <v>16666.6666666667</v>
      </c>
      <c r="P12" s="79" t="n">
        <f aca="false">IFERROR(P11/'Assumption Setting'!$H$42,0)</f>
        <v>1388.88888888889</v>
      </c>
      <c r="Q12" s="79" t="n">
        <f aca="false">IFERROR(Q11/'Assumption Setting'!$H$42,0)</f>
        <v>1388.88888888889</v>
      </c>
      <c r="R12" s="79" t="n">
        <f aca="false">IFERROR(R11/'Assumption Setting'!$H$42,0)</f>
        <v>1388.88888888889</v>
      </c>
      <c r="S12" s="79" t="n">
        <f aca="false">IFERROR(S11/'Assumption Setting'!$H$42,0)</f>
        <v>1388.88888888889</v>
      </c>
      <c r="T12" s="79" t="n">
        <f aca="false">IFERROR(T11/'Assumption Setting'!$H$42,0)</f>
        <v>1388.88888888889</v>
      </c>
      <c r="U12" s="79" t="n">
        <f aca="false">IFERROR(U11/'Assumption Setting'!$H$42,0)</f>
        <v>1388.88888888889</v>
      </c>
      <c r="V12" s="79" t="n">
        <f aca="false">IFERROR(V11/'Assumption Setting'!$H$42,0)</f>
        <v>1388.88888888889</v>
      </c>
      <c r="W12" s="79" t="n">
        <f aca="false">IFERROR(W11/'Assumption Setting'!$H$42,0)</f>
        <v>1388.88888888889</v>
      </c>
      <c r="X12" s="79" t="n">
        <f aca="false">IFERROR(X11/'Assumption Setting'!$H$42,0)</f>
        <v>1388.88888888889</v>
      </c>
      <c r="Y12" s="79" t="n">
        <f aca="false">IFERROR(Y11/'Assumption Setting'!$H$42,0)</f>
        <v>1388.88888888889</v>
      </c>
      <c r="Z12" s="79" t="n">
        <f aca="false">IFERROR(Z11/'Assumption Setting'!$H$42,0)</f>
        <v>1388.88888888889</v>
      </c>
      <c r="AA12" s="79" t="n">
        <f aca="false">IFERROR(AA11/'Assumption Setting'!$H$42,0)</f>
        <v>1388.88888888889</v>
      </c>
      <c r="AB12" s="78" t="n">
        <f aca="false">SUM(AC12:AN12)</f>
        <v>36666.6666666667</v>
      </c>
      <c r="AC12" s="79" t="n">
        <f aca="false">IFERROR(AC11/'Assumption Setting'!$H$42,0)</f>
        <v>3055.55555555556</v>
      </c>
      <c r="AD12" s="79" t="n">
        <f aca="false">IFERROR(AD11/'Assumption Setting'!$H$42,0)</f>
        <v>3055.55555555556</v>
      </c>
      <c r="AE12" s="79" t="n">
        <f aca="false">IFERROR(AE11/'Assumption Setting'!$H$42,0)</f>
        <v>3055.55555555556</v>
      </c>
      <c r="AF12" s="79" t="n">
        <f aca="false">IFERROR(AF11/'Assumption Setting'!$H$42,0)</f>
        <v>3055.55555555556</v>
      </c>
      <c r="AG12" s="79" t="n">
        <f aca="false">IFERROR(AG11/'Assumption Setting'!$H$42,0)</f>
        <v>3055.55555555556</v>
      </c>
      <c r="AH12" s="79" t="n">
        <f aca="false">IFERROR(AH11/'Assumption Setting'!$H$42,0)</f>
        <v>3055.55555555556</v>
      </c>
      <c r="AI12" s="79" t="n">
        <f aca="false">IFERROR(AI11/'Assumption Setting'!$H$42,0)</f>
        <v>3055.55555555556</v>
      </c>
      <c r="AJ12" s="79" t="n">
        <f aca="false">IFERROR(AJ11/'Assumption Setting'!$H$42,0)</f>
        <v>3055.55555555556</v>
      </c>
      <c r="AK12" s="79" t="n">
        <f aca="false">IFERROR(AK11/'Assumption Setting'!$H$42,0)</f>
        <v>3055.55555555556</v>
      </c>
      <c r="AL12" s="79" t="n">
        <f aca="false">IFERROR(AL11/'Assumption Setting'!$H$42,0)</f>
        <v>3055.55555555556</v>
      </c>
      <c r="AM12" s="79" t="n">
        <f aca="false">IFERROR(AM11/'Assumption Setting'!$H$42,0)</f>
        <v>3055.55555555556</v>
      </c>
      <c r="AN12" s="79" t="n">
        <f aca="false">IFERROR(AN11/'Assumption Setting'!$H$42,0)</f>
        <v>3055.55555555556</v>
      </c>
      <c r="AO12" s="78" t="n">
        <f aca="false">SUM(AP12:BA12)</f>
        <v>56666.6666666667</v>
      </c>
      <c r="AP12" s="79" t="n">
        <f aca="false">IFERROR(AP11/'Assumption Setting'!$H$42,0)</f>
        <v>4722.22222222222</v>
      </c>
      <c r="AQ12" s="79" t="n">
        <f aca="false">IFERROR(AQ11/'Assumption Setting'!$H$42,0)</f>
        <v>4722.22222222222</v>
      </c>
      <c r="AR12" s="79" t="n">
        <f aca="false">IFERROR(AR11/'Assumption Setting'!$H$42,0)</f>
        <v>4722.22222222222</v>
      </c>
      <c r="AS12" s="79" t="n">
        <f aca="false">IFERROR(AS11/'Assumption Setting'!$H$42,0)</f>
        <v>4722.22222222222</v>
      </c>
      <c r="AT12" s="79" t="n">
        <f aca="false">IFERROR(AT11/'Assumption Setting'!$H$42,0)</f>
        <v>4722.22222222222</v>
      </c>
      <c r="AU12" s="79" t="n">
        <f aca="false">IFERROR(AU11/'Assumption Setting'!$H$42,0)</f>
        <v>4722.22222222222</v>
      </c>
      <c r="AV12" s="79" t="n">
        <f aca="false">IFERROR(AV11/'Assumption Setting'!$H$42,0)</f>
        <v>4722.22222222222</v>
      </c>
      <c r="AW12" s="79" t="n">
        <f aca="false">IFERROR(AW11/'Assumption Setting'!$H$42,0)</f>
        <v>4722.22222222222</v>
      </c>
      <c r="AX12" s="79" t="n">
        <f aca="false">IFERROR(AX11/'Assumption Setting'!$H$42,0)</f>
        <v>4722.22222222222</v>
      </c>
      <c r="AY12" s="79" t="n">
        <f aca="false">IFERROR(AY11/'Assumption Setting'!$H$42,0)</f>
        <v>4722.22222222222</v>
      </c>
      <c r="AZ12" s="79" t="n">
        <f aca="false">IFERROR(AZ11/'Assumption Setting'!$H$42,0)</f>
        <v>4722.22222222222</v>
      </c>
      <c r="BA12" s="79" t="n">
        <f aca="false">IFERROR(BA11/'Assumption Setting'!$H$42,0)</f>
        <v>4722.22222222222</v>
      </c>
      <c r="BB12" s="78" t="n">
        <f aca="false">SUM(BC12:BN12)</f>
        <v>73333.3333333333</v>
      </c>
      <c r="BC12" s="79" t="n">
        <f aca="false">IFERROR(BC11/'Assumption Setting'!$H$42,0)</f>
        <v>6111.11111111111</v>
      </c>
      <c r="BD12" s="79" t="n">
        <f aca="false">IFERROR(BD11/'Assumption Setting'!$H$42,0)</f>
        <v>6111.11111111111</v>
      </c>
      <c r="BE12" s="79" t="n">
        <f aca="false">IFERROR(BE11/'Assumption Setting'!$H$42,0)</f>
        <v>6111.11111111111</v>
      </c>
      <c r="BF12" s="79" t="n">
        <f aca="false">IFERROR(BF11/'Assumption Setting'!$H$42,0)</f>
        <v>6111.11111111111</v>
      </c>
      <c r="BG12" s="79" t="n">
        <f aca="false">IFERROR(BG11/'Assumption Setting'!$H$42,0)</f>
        <v>6111.11111111111</v>
      </c>
      <c r="BH12" s="79" t="n">
        <f aca="false">IFERROR(BH11/'Assumption Setting'!$H$42,0)</f>
        <v>6111.11111111111</v>
      </c>
      <c r="BI12" s="79" t="n">
        <f aca="false">IFERROR(BI11/'Assumption Setting'!$H$42,0)</f>
        <v>6111.11111111111</v>
      </c>
      <c r="BJ12" s="79" t="n">
        <f aca="false">IFERROR(BJ11/'Assumption Setting'!$H$42,0)</f>
        <v>6111.11111111111</v>
      </c>
      <c r="BK12" s="79" t="n">
        <f aca="false">IFERROR(BK11/'Assumption Setting'!$H$42,0)</f>
        <v>6111.11111111111</v>
      </c>
      <c r="BL12" s="79" t="n">
        <f aca="false">IFERROR(BL11/'Assumption Setting'!$H$42,0)</f>
        <v>6111.11111111111</v>
      </c>
      <c r="BM12" s="79" t="n">
        <f aca="false">IFERROR(BM11/'Assumption Setting'!$H$42,0)</f>
        <v>6111.11111111111</v>
      </c>
      <c r="BN12" s="79" t="n">
        <f aca="false">IFERROR(BN11/'Assumption Setting'!$H$42,0)</f>
        <v>6111.11111111111</v>
      </c>
    </row>
    <row r="13" customFormat="false" ht="15" hidden="false" customHeight="false" outlineLevel="0" collapsed="false">
      <c r="A13" s="12" t="s">
        <v>597</v>
      </c>
      <c r="B13" s="78" t="n">
        <f aca="false">SUM(C13:N13)</f>
        <v>5920</v>
      </c>
      <c r="C13" s="79" t="n">
        <f aca="false">C12*(1+'Assumption Setting'!$I$42+'Assumption Setting'!$J$42)</f>
        <v>493.333333333333</v>
      </c>
      <c r="D13" s="79" t="n">
        <f aca="false">D12*(1+'Assumption Setting'!$I$42+'Assumption Setting'!$J$42)</f>
        <v>493.333333333333</v>
      </c>
      <c r="E13" s="79" t="n">
        <f aca="false">E12*(1+'Assumption Setting'!$I$42+'Assumption Setting'!$J$42)</f>
        <v>493.333333333333</v>
      </c>
      <c r="F13" s="79" t="n">
        <f aca="false">F12*(1+'Assumption Setting'!$I$42+'Assumption Setting'!$J$42)</f>
        <v>493.333333333333</v>
      </c>
      <c r="G13" s="79" t="n">
        <f aca="false">G12*(1+'Assumption Setting'!$I$42+'Assumption Setting'!$J$42)</f>
        <v>493.333333333333</v>
      </c>
      <c r="H13" s="79" t="n">
        <f aca="false">H12*(1+'Assumption Setting'!$I$42+'Assumption Setting'!$J$42)</f>
        <v>493.333333333333</v>
      </c>
      <c r="I13" s="79" t="n">
        <f aca="false">I12*(1+'Assumption Setting'!$I$42+'Assumption Setting'!$J$42)</f>
        <v>493.333333333333</v>
      </c>
      <c r="J13" s="79" t="n">
        <f aca="false">J12*(1+'Assumption Setting'!$I$42+'Assumption Setting'!$J$42)</f>
        <v>493.333333333333</v>
      </c>
      <c r="K13" s="79" t="n">
        <f aca="false">K12*(1+'Assumption Setting'!$I$42+'Assumption Setting'!$J$42)</f>
        <v>493.333333333333</v>
      </c>
      <c r="L13" s="79" t="n">
        <f aca="false">L12*(1+'Assumption Setting'!$I$42+'Assumption Setting'!$J$42)</f>
        <v>493.333333333333</v>
      </c>
      <c r="M13" s="79" t="n">
        <f aca="false">M12*(1+'Assumption Setting'!$I$42+'Assumption Setting'!$J$42)</f>
        <v>493.333333333333</v>
      </c>
      <c r="N13" s="79" t="n">
        <f aca="false">N12*(1+'Assumption Setting'!$I$42+'Assumption Setting'!$J$42)</f>
        <v>493.333333333333</v>
      </c>
      <c r="O13" s="78" t="n">
        <f aca="false">SUM(P13:AA13)</f>
        <v>18500</v>
      </c>
      <c r="P13" s="79" t="n">
        <f aca="false">P12*(1+'Assumption Setting'!$I$42+'Assumption Setting'!$J$42)</f>
        <v>1541.66666666667</v>
      </c>
      <c r="Q13" s="79" t="n">
        <f aca="false">Q12*(1+'Assumption Setting'!$I$42+'Assumption Setting'!$J$42)</f>
        <v>1541.66666666667</v>
      </c>
      <c r="R13" s="79" t="n">
        <f aca="false">R12*(1+'Assumption Setting'!$I$42+'Assumption Setting'!$J$42)</f>
        <v>1541.66666666667</v>
      </c>
      <c r="S13" s="79" t="n">
        <f aca="false">S12*(1+'Assumption Setting'!$I$42+'Assumption Setting'!$J$42)</f>
        <v>1541.66666666667</v>
      </c>
      <c r="T13" s="79" t="n">
        <f aca="false">T12*(1+'Assumption Setting'!$I$42+'Assumption Setting'!$J$42)</f>
        <v>1541.66666666667</v>
      </c>
      <c r="U13" s="79" t="n">
        <f aca="false">U12*(1+'Assumption Setting'!$I$42+'Assumption Setting'!$J$42)</f>
        <v>1541.66666666667</v>
      </c>
      <c r="V13" s="79" t="n">
        <f aca="false">V12*(1+'Assumption Setting'!$I$42+'Assumption Setting'!$J$42)</f>
        <v>1541.66666666667</v>
      </c>
      <c r="W13" s="79" t="n">
        <f aca="false">W12*(1+'Assumption Setting'!$I$42+'Assumption Setting'!$J$42)</f>
        <v>1541.66666666667</v>
      </c>
      <c r="X13" s="79" t="n">
        <f aca="false">X12*(1+'Assumption Setting'!$I$42+'Assumption Setting'!$J$42)</f>
        <v>1541.66666666667</v>
      </c>
      <c r="Y13" s="79" t="n">
        <f aca="false">Y12*(1+'Assumption Setting'!$I$42+'Assumption Setting'!$J$42)</f>
        <v>1541.66666666667</v>
      </c>
      <c r="Z13" s="79" t="n">
        <f aca="false">Z12*(1+'Assumption Setting'!$I$42+'Assumption Setting'!$J$42)</f>
        <v>1541.66666666667</v>
      </c>
      <c r="AA13" s="79" t="n">
        <f aca="false">AA12*(1+'Assumption Setting'!$I$42+'Assumption Setting'!$J$42)</f>
        <v>1541.66666666667</v>
      </c>
      <c r="AB13" s="78" t="n">
        <f aca="false">SUM(AC13:AN13)</f>
        <v>40700</v>
      </c>
      <c r="AC13" s="79" t="n">
        <f aca="false">AC12*(1+'Assumption Setting'!$I$42+'Assumption Setting'!$J$42)</f>
        <v>3391.66666666667</v>
      </c>
      <c r="AD13" s="79" t="n">
        <f aca="false">AD12*(1+'Assumption Setting'!$I$42+'Assumption Setting'!$J$42)</f>
        <v>3391.66666666667</v>
      </c>
      <c r="AE13" s="79" t="n">
        <f aca="false">AE12*(1+'Assumption Setting'!$I$42+'Assumption Setting'!$J$42)</f>
        <v>3391.66666666667</v>
      </c>
      <c r="AF13" s="79" t="n">
        <f aca="false">AF12*(1+'Assumption Setting'!$I$42+'Assumption Setting'!$J$42)</f>
        <v>3391.66666666667</v>
      </c>
      <c r="AG13" s="79" t="n">
        <f aca="false">AG12*(1+'Assumption Setting'!$I$42+'Assumption Setting'!$J$42)</f>
        <v>3391.66666666667</v>
      </c>
      <c r="AH13" s="79" t="n">
        <f aca="false">AH12*(1+'Assumption Setting'!$I$42+'Assumption Setting'!$J$42)</f>
        <v>3391.66666666667</v>
      </c>
      <c r="AI13" s="79" t="n">
        <f aca="false">AI12*(1+'Assumption Setting'!$I$42+'Assumption Setting'!$J$42)</f>
        <v>3391.66666666667</v>
      </c>
      <c r="AJ13" s="79" t="n">
        <f aca="false">AJ12*(1+'Assumption Setting'!$I$42+'Assumption Setting'!$J$42)</f>
        <v>3391.66666666667</v>
      </c>
      <c r="AK13" s="79" t="n">
        <f aca="false">AK12*(1+'Assumption Setting'!$I$42+'Assumption Setting'!$J$42)</f>
        <v>3391.66666666667</v>
      </c>
      <c r="AL13" s="79" t="n">
        <f aca="false">AL12*(1+'Assumption Setting'!$I$42+'Assumption Setting'!$J$42)</f>
        <v>3391.66666666667</v>
      </c>
      <c r="AM13" s="79" t="n">
        <f aca="false">AM12*(1+'Assumption Setting'!$I$42+'Assumption Setting'!$J$42)</f>
        <v>3391.66666666667</v>
      </c>
      <c r="AN13" s="79" t="n">
        <f aca="false">AN12*(1+'Assumption Setting'!$I$42+'Assumption Setting'!$J$42)</f>
        <v>3391.66666666667</v>
      </c>
      <c r="AO13" s="78" t="n">
        <f aca="false">SUM(AP13:BA13)</f>
        <v>62900</v>
      </c>
      <c r="AP13" s="79" t="n">
        <f aca="false">AP12*(1+'Assumption Setting'!$I$42+'Assumption Setting'!$J$42)</f>
        <v>5241.66666666667</v>
      </c>
      <c r="AQ13" s="79" t="n">
        <f aca="false">AQ12*(1+'Assumption Setting'!$I$42+'Assumption Setting'!$J$42)</f>
        <v>5241.66666666667</v>
      </c>
      <c r="AR13" s="79" t="n">
        <f aca="false">AR12*(1+'Assumption Setting'!$I$42+'Assumption Setting'!$J$42)</f>
        <v>5241.66666666667</v>
      </c>
      <c r="AS13" s="79" t="n">
        <f aca="false">AS12*(1+'Assumption Setting'!$I$42+'Assumption Setting'!$J$42)</f>
        <v>5241.66666666667</v>
      </c>
      <c r="AT13" s="79" t="n">
        <f aca="false">AT12*(1+'Assumption Setting'!$I$42+'Assumption Setting'!$J$42)</f>
        <v>5241.66666666667</v>
      </c>
      <c r="AU13" s="79" t="n">
        <f aca="false">AU12*(1+'Assumption Setting'!$I$42+'Assumption Setting'!$J$42)</f>
        <v>5241.66666666667</v>
      </c>
      <c r="AV13" s="79" t="n">
        <f aca="false">AV12*(1+'Assumption Setting'!$I$42+'Assumption Setting'!$J$42)</f>
        <v>5241.66666666667</v>
      </c>
      <c r="AW13" s="79" t="n">
        <f aca="false">AW12*(1+'Assumption Setting'!$I$42+'Assumption Setting'!$J$42)</f>
        <v>5241.66666666667</v>
      </c>
      <c r="AX13" s="79" t="n">
        <f aca="false">AX12*(1+'Assumption Setting'!$I$42+'Assumption Setting'!$J$42)</f>
        <v>5241.66666666667</v>
      </c>
      <c r="AY13" s="79" t="n">
        <f aca="false">AY12*(1+'Assumption Setting'!$I$42+'Assumption Setting'!$J$42)</f>
        <v>5241.66666666667</v>
      </c>
      <c r="AZ13" s="79" t="n">
        <f aca="false">AZ12*(1+'Assumption Setting'!$I$42+'Assumption Setting'!$J$42)</f>
        <v>5241.66666666667</v>
      </c>
      <c r="BA13" s="79" t="n">
        <f aca="false">BA12*(1+'Assumption Setting'!$I$42+'Assumption Setting'!$J$42)</f>
        <v>5241.66666666667</v>
      </c>
      <c r="BB13" s="78" t="n">
        <f aca="false">SUM(BC13:BN13)</f>
        <v>81400</v>
      </c>
      <c r="BC13" s="79" t="n">
        <f aca="false">BC12*(1+'Assumption Setting'!$I$42+'Assumption Setting'!$J$42)</f>
        <v>6783.33333333333</v>
      </c>
      <c r="BD13" s="79" t="n">
        <f aca="false">BD12*(1+'Assumption Setting'!$I$42+'Assumption Setting'!$J$42)</f>
        <v>6783.33333333333</v>
      </c>
      <c r="BE13" s="79" t="n">
        <f aca="false">BE12*(1+'Assumption Setting'!$I$42+'Assumption Setting'!$J$42)</f>
        <v>6783.33333333333</v>
      </c>
      <c r="BF13" s="79" t="n">
        <f aca="false">BF12*(1+'Assumption Setting'!$I$42+'Assumption Setting'!$J$42)</f>
        <v>6783.33333333333</v>
      </c>
      <c r="BG13" s="79" t="n">
        <f aca="false">BG12*(1+'Assumption Setting'!$I$42+'Assumption Setting'!$J$42)</f>
        <v>6783.33333333333</v>
      </c>
      <c r="BH13" s="79" t="n">
        <f aca="false">BH12*(1+'Assumption Setting'!$I$42+'Assumption Setting'!$J$42)</f>
        <v>6783.33333333333</v>
      </c>
      <c r="BI13" s="79" t="n">
        <f aca="false">BI12*(1+'Assumption Setting'!$I$42+'Assumption Setting'!$J$42)</f>
        <v>6783.33333333333</v>
      </c>
      <c r="BJ13" s="79" t="n">
        <f aca="false">BJ12*(1+'Assumption Setting'!$I$42+'Assumption Setting'!$J$42)</f>
        <v>6783.33333333333</v>
      </c>
      <c r="BK13" s="79" t="n">
        <f aca="false">BK12*(1+'Assumption Setting'!$I$42+'Assumption Setting'!$J$42)</f>
        <v>6783.33333333333</v>
      </c>
      <c r="BL13" s="79" t="n">
        <f aca="false">BL12*(1+'Assumption Setting'!$I$42+'Assumption Setting'!$J$42)</f>
        <v>6783.33333333333</v>
      </c>
      <c r="BM13" s="79" t="n">
        <f aca="false">BM12*(1+'Assumption Setting'!$I$42+'Assumption Setting'!$J$42)</f>
        <v>6783.33333333333</v>
      </c>
      <c r="BN13" s="79" t="n">
        <f aca="false">BN12*(1+'Assumption Setting'!$I$42+'Assumption Setting'!$J$42)</f>
        <v>6783.33333333333</v>
      </c>
    </row>
    <row r="14" customFormat="false" ht="15" hidden="false" customHeight="false" outlineLevel="0" collapsed="false">
      <c r="A14" s="12" t="s">
        <v>598</v>
      </c>
      <c r="B14" s="80" t="n">
        <f aca="false">SUM(C14:N14)</f>
        <v>118.4</v>
      </c>
      <c r="C14" s="81" t="n">
        <f aca="false">C13*'Assumption Setting'!$K$42</f>
        <v>9.86666666666667</v>
      </c>
      <c r="D14" s="81" t="n">
        <f aca="false">D13*'Assumption Setting'!$K$42</f>
        <v>9.86666666666667</v>
      </c>
      <c r="E14" s="81" t="n">
        <f aca="false">E13*'Assumption Setting'!$K$42</f>
        <v>9.86666666666667</v>
      </c>
      <c r="F14" s="81" t="n">
        <f aca="false">F13*'Assumption Setting'!$K$42</f>
        <v>9.86666666666667</v>
      </c>
      <c r="G14" s="81" t="n">
        <f aca="false">G13*'Assumption Setting'!$K$42</f>
        <v>9.86666666666667</v>
      </c>
      <c r="H14" s="81" t="n">
        <f aca="false">H13*'Assumption Setting'!$K$42</f>
        <v>9.86666666666667</v>
      </c>
      <c r="I14" s="81" t="n">
        <f aca="false">I13*'Assumption Setting'!$K$42</f>
        <v>9.86666666666667</v>
      </c>
      <c r="J14" s="81" t="n">
        <f aca="false">J13*'Assumption Setting'!$K$42</f>
        <v>9.86666666666667</v>
      </c>
      <c r="K14" s="81" t="n">
        <f aca="false">K13*'Assumption Setting'!$K$42</f>
        <v>9.86666666666667</v>
      </c>
      <c r="L14" s="81" t="n">
        <f aca="false">L13*'Assumption Setting'!$K$42</f>
        <v>9.86666666666667</v>
      </c>
      <c r="M14" s="81" t="n">
        <f aca="false">M13*'Assumption Setting'!$K$42</f>
        <v>9.86666666666667</v>
      </c>
      <c r="N14" s="81" t="n">
        <f aca="false">N13*'Assumption Setting'!$K$42</f>
        <v>9.86666666666667</v>
      </c>
      <c r="O14" s="80" t="n">
        <f aca="false">SUM(P14:AA14)</f>
        <v>370</v>
      </c>
      <c r="P14" s="81" t="n">
        <f aca="false">P13*'Assumption Setting'!$K$42</f>
        <v>30.8333333333333</v>
      </c>
      <c r="Q14" s="81" t="n">
        <f aca="false">Q13*'Assumption Setting'!$K$42</f>
        <v>30.8333333333333</v>
      </c>
      <c r="R14" s="81" t="n">
        <f aca="false">R13*'Assumption Setting'!$K$42</f>
        <v>30.8333333333333</v>
      </c>
      <c r="S14" s="81" t="n">
        <f aca="false">S13*'Assumption Setting'!$K$42</f>
        <v>30.8333333333333</v>
      </c>
      <c r="T14" s="81" t="n">
        <f aca="false">T13*'Assumption Setting'!$K$42</f>
        <v>30.8333333333333</v>
      </c>
      <c r="U14" s="81" t="n">
        <f aca="false">U13*'Assumption Setting'!$K$42</f>
        <v>30.8333333333333</v>
      </c>
      <c r="V14" s="81" t="n">
        <f aca="false">V13*'Assumption Setting'!$K$42</f>
        <v>30.8333333333333</v>
      </c>
      <c r="W14" s="81" t="n">
        <f aca="false">W13*'Assumption Setting'!$K$42</f>
        <v>30.8333333333333</v>
      </c>
      <c r="X14" s="81" t="n">
        <f aca="false">X13*'Assumption Setting'!$K$42</f>
        <v>30.8333333333333</v>
      </c>
      <c r="Y14" s="81" t="n">
        <f aca="false">Y13*'Assumption Setting'!$K$42</f>
        <v>30.8333333333333</v>
      </c>
      <c r="Z14" s="81" t="n">
        <f aca="false">Z13*'Assumption Setting'!$K$42</f>
        <v>30.8333333333333</v>
      </c>
      <c r="AA14" s="81" t="n">
        <f aca="false">AA13*'Assumption Setting'!$K$42</f>
        <v>30.8333333333333</v>
      </c>
      <c r="AB14" s="80" t="n">
        <f aca="false">SUM(AC14:AN14)</f>
        <v>814</v>
      </c>
      <c r="AC14" s="81" t="n">
        <f aca="false">AC13*'Assumption Setting'!$K$42</f>
        <v>67.8333333333333</v>
      </c>
      <c r="AD14" s="81" t="n">
        <f aca="false">AD13*'Assumption Setting'!$K$42</f>
        <v>67.8333333333333</v>
      </c>
      <c r="AE14" s="81" t="n">
        <f aca="false">AE13*'Assumption Setting'!$K$42</f>
        <v>67.8333333333333</v>
      </c>
      <c r="AF14" s="81" t="n">
        <f aca="false">AF13*'Assumption Setting'!$K$42</f>
        <v>67.8333333333333</v>
      </c>
      <c r="AG14" s="81" t="n">
        <f aca="false">AG13*'Assumption Setting'!$K$42</f>
        <v>67.8333333333333</v>
      </c>
      <c r="AH14" s="81" t="n">
        <f aca="false">AH13*'Assumption Setting'!$K$42</f>
        <v>67.8333333333333</v>
      </c>
      <c r="AI14" s="81" t="n">
        <f aca="false">AI13*'Assumption Setting'!$K$42</f>
        <v>67.8333333333333</v>
      </c>
      <c r="AJ14" s="81" t="n">
        <f aca="false">AJ13*'Assumption Setting'!$K$42</f>
        <v>67.8333333333333</v>
      </c>
      <c r="AK14" s="81" t="n">
        <f aca="false">AK13*'Assumption Setting'!$K$42</f>
        <v>67.8333333333333</v>
      </c>
      <c r="AL14" s="81" t="n">
        <f aca="false">AL13*'Assumption Setting'!$K$42</f>
        <v>67.8333333333333</v>
      </c>
      <c r="AM14" s="81" t="n">
        <f aca="false">AM13*'Assumption Setting'!$K$42</f>
        <v>67.8333333333333</v>
      </c>
      <c r="AN14" s="81" t="n">
        <f aca="false">AN13*'Assumption Setting'!$K$42</f>
        <v>67.8333333333333</v>
      </c>
      <c r="AO14" s="80" t="n">
        <f aca="false">SUM(AP14:BA14)</f>
        <v>1258</v>
      </c>
      <c r="AP14" s="81" t="n">
        <f aca="false">AP13*'Assumption Setting'!$K$42</f>
        <v>104.833333333333</v>
      </c>
      <c r="AQ14" s="81" t="n">
        <f aca="false">AQ13*'Assumption Setting'!$K$42</f>
        <v>104.833333333333</v>
      </c>
      <c r="AR14" s="81" t="n">
        <f aca="false">AR13*'Assumption Setting'!$K$42</f>
        <v>104.833333333333</v>
      </c>
      <c r="AS14" s="81" t="n">
        <f aca="false">AS13*'Assumption Setting'!$K$42</f>
        <v>104.833333333333</v>
      </c>
      <c r="AT14" s="81" t="n">
        <f aca="false">AT13*'Assumption Setting'!$K$42</f>
        <v>104.833333333333</v>
      </c>
      <c r="AU14" s="81" t="n">
        <f aca="false">AU13*'Assumption Setting'!$K$42</f>
        <v>104.833333333333</v>
      </c>
      <c r="AV14" s="81" t="n">
        <f aca="false">AV13*'Assumption Setting'!$K$42</f>
        <v>104.833333333333</v>
      </c>
      <c r="AW14" s="81" t="n">
        <f aca="false">AW13*'Assumption Setting'!$K$42</f>
        <v>104.833333333333</v>
      </c>
      <c r="AX14" s="81" t="n">
        <f aca="false">AX13*'Assumption Setting'!$K$42</f>
        <v>104.833333333333</v>
      </c>
      <c r="AY14" s="81" t="n">
        <f aca="false">AY13*'Assumption Setting'!$K$42</f>
        <v>104.833333333333</v>
      </c>
      <c r="AZ14" s="81" t="n">
        <f aca="false">AZ13*'Assumption Setting'!$K$42</f>
        <v>104.833333333333</v>
      </c>
      <c r="BA14" s="81" t="n">
        <f aca="false">BA13*'Assumption Setting'!$K$42</f>
        <v>104.833333333333</v>
      </c>
      <c r="BB14" s="80" t="n">
        <f aca="false">SUM(BC14:BN14)</f>
        <v>1628</v>
      </c>
      <c r="BC14" s="81" t="n">
        <f aca="false">BC13*'Assumption Setting'!$K$42</f>
        <v>135.666666666667</v>
      </c>
      <c r="BD14" s="81" t="n">
        <f aca="false">BD13*'Assumption Setting'!$K$42</f>
        <v>135.666666666667</v>
      </c>
      <c r="BE14" s="81" t="n">
        <f aca="false">BE13*'Assumption Setting'!$K$42</f>
        <v>135.666666666667</v>
      </c>
      <c r="BF14" s="81" t="n">
        <f aca="false">BF13*'Assumption Setting'!$K$42</f>
        <v>135.666666666667</v>
      </c>
      <c r="BG14" s="81" t="n">
        <f aca="false">BG13*'Assumption Setting'!$K$42</f>
        <v>135.666666666667</v>
      </c>
      <c r="BH14" s="81" t="n">
        <f aca="false">BH13*'Assumption Setting'!$K$42</f>
        <v>135.666666666667</v>
      </c>
      <c r="BI14" s="81" t="n">
        <f aca="false">BI13*'Assumption Setting'!$K$42</f>
        <v>135.666666666667</v>
      </c>
      <c r="BJ14" s="81" t="n">
        <f aca="false">BJ13*'Assumption Setting'!$K$42</f>
        <v>135.666666666667</v>
      </c>
      <c r="BK14" s="81" t="n">
        <f aca="false">BK13*'Assumption Setting'!$K$42</f>
        <v>135.666666666667</v>
      </c>
      <c r="BL14" s="81" t="n">
        <f aca="false">BL13*'Assumption Setting'!$K$42</f>
        <v>135.666666666667</v>
      </c>
      <c r="BM14" s="81" t="n">
        <f aca="false">BM13*'Assumption Setting'!$K$42</f>
        <v>135.666666666667</v>
      </c>
      <c r="BN14" s="81" t="n">
        <f aca="false">BN13*'Assumption Setting'!$K$42</f>
        <v>135.666666666667</v>
      </c>
    </row>
    <row r="15" customFormat="false" ht="15" hidden="false" customHeight="false" outlineLevel="0" collapsed="false">
      <c r="A15" s="12" t="s">
        <v>234</v>
      </c>
      <c r="B15" s="64" t="n">
        <f aca="false">SUM(C15:N15)</f>
        <v>600</v>
      </c>
      <c r="C15" s="65" t="n">
        <f aca="false">'Assumption Setting'!$C$43</f>
        <v>50</v>
      </c>
      <c r="D15" s="65" t="n">
        <f aca="false">'Assumption Setting'!$C$43</f>
        <v>50</v>
      </c>
      <c r="E15" s="65" t="n">
        <f aca="false">'Assumption Setting'!$C$43</f>
        <v>50</v>
      </c>
      <c r="F15" s="65" t="n">
        <f aca="false">'Assumption Setting'!$C$43</f>
        <v>50</v>
      </c>
      <c r="G15" s="65" t="n">
        <f aca="false">'Assumption Setting'!$C$43</f>
        <v>50</v>
      </c>
      <c r="H15" s="65" t="n">
        <f aca="false">'Assumption Setting'!$C$43</f>
        <v>50</v>
      </c>
      <c r="I15" s="65" t="n">
        <f aca="false">'Assumption Setting'!$C$43</f>
        <v>50</v>
      </c>
      <c r="J15" s="65" t="n">
        <f aca="false">'Assumption Setting'!$C$43</f>
        <v>50</v>
      </c>
      <c r="K15" s="65" t="n">
        <f aca="false">'Assumption Setting'!$C$43</f>
        <v>50</v>
      </c>
      <c r="L15" s="65" t="n">
        <f aca="false">'Assumption Setting'!$C$43</f>
        <v>50</v>
      </c>
      <c r="M15" s="65" t="n">
        <f aca="false">'Assumption Setting'!$C$43</f>
        <v>50</v>
      </c>
      <c r="N15" s="65" t="n">
        <f aca="false">'Assumption Setting'!$C$43</f>
        <v>50</v>
      </c>
      <c r="O15" s="64" t="n">
        <f aca="false">SUM(P15:AA15)</f>
        <v>2400</v>
      </c>
      <c r="P15" s="65" t="n">
        <f aca="false">'Assumption Setting'!$D$43</f>
        <v>200</v>
      </c>
      <c r="Q15" s="65" t="n">
        <f aca="false">'Assumption Setting'!$D$43</f>
        <v>200</v>
      </c>
      <c r="R15" s="65" t="n">
        <f aca="false">'Assumption Setting'!$D$43</f>
        <v>200</v>
      </c>
      <c r="S15" s="65" t="n">
        <f aca="false">'Assumption Setting'!$D$43</f>
        <v>200</v>
      </c>
      <c r="T15" s="65" t="n">
        <f aca="false">'Assumption Setting'!$D$43</f>
        <v>200</v>
      </c>
      <c r="U15" s="65" t="n">
        <f aca="false">'Assumption Setting'!$D$43</f>
        <v>200</v>
      </c>
      <c r="V15" s="65" t="n">
        <f aca="false">'Assumption Setting'!$D$43</f>
        <v>200</v>
      </c>
      <c r="W15" s="65" t="n">
        <f aca="false">'Assumption Setting'!$D$43</f>
        <v>200</v>
      </c>
      <c r="X15" s="65" t="n">
        <f aca="false">'Assumption Setting'!$D$43</f>
        <v>200</v>
      </c>
      <c r="Y15" s="65" t="n">
        <f aca="false">'Assumption Setting'!$D$43</f>
        <v>200</v>
      </c>
      <c r="Z15" s="65" t="n">
        <f aca="false">'Assumption Setting'!$D$43</f>
        <v>200</v>
      </c>
      <c r="AA15" s="65" t="n">
        <f aca="false">'Assumption Setting'!$D$43</f>
        <v>200</v>
      </c>
      <c r="AB15" s="64" t="n">
        <f aca="false">SUM(AC15:AN15)</f>
        <v>4800</v>
      </c>
      <c r="AC15" s="65" t="n">
        <f aca="false">'Assumption Setting'!$E$43</f>
        <v>400</v>
      </c>
      <c r="AD15" s="65" t="n">
        <f aca="false">'Assumption Setting'!$E$43</f>
        <v>400</v>
      </c>
      <c r="AE15" s="65" t="n">
        <f aca="false">'Assumption Setting'!$E$43</f>
        <v>400</v>
      </c>
      <c r="AF15" s="65" t="n">
        <f aca="false">'Assumption Setting'!$E$43</f>
        <v>400</v>
      </c>
      <c r="AG15" s="65" t="n">
        <f aca="false">'Assumption Setting'!$E$43</f>
        <v>400</v>
      </c>
      <c r="AH15" s="65" t="n">
        <f aca="false">'Assumption Setting'!$E$43</f>
        <v>400</v>
      </c>
      <c r="AI15" s="65" t="n">
        <f aca="false">'Assumption Setting'!$E$43</f>
        <v>400</v>
      </c>
      <c r="AJ15" s="65" t="n">
        <f aca="false">'Assumption Setting'!$E$43</f>
        <v>400</v>
      </c>
      <c r="AK15" s="65" t="n">
        <f aca="false">'Assumption Setting'!$E$43</f>
        <v>400</v>
      </c>
      <c r="AL15" s="65" t="n">
        <f aca="false">'Assumption Setting'!$E$43</f>
        <v>400</v>
      </c>
      <c r="AM15" s="65" t="n">
        <f aca="false">'Assumption Setting'!$E$43</f>
        <v>400</v>
      </c>
      <c r="AN15" s="65" t="n">
        <f aca="false">'Assumption Setting'!$E$43</f>
        <v>400</v>
      </c>
      <c r="AO15" s="64" t="n">
        <f aca="false">SUM(AP15:BA15)</f>
        <v>7800</v>
      </c>
      <c r="AP15" s="65" t="n">
        <f aca="false">'Assumption Setting'!$F$43</f>
        <v>650</v>
      </c>
      <c r="AQ15" s="65" t="n">
        <f aca="false">'Assumption Setting'!$F$43</f>
        <v>650</v>
      </c>
      <c r="AR15" s="65" t="n">
        <f aca="false">'Assumption Setting'!$F$43</f>
        <v>650</v>
      </c>
      <c r="AS15" s="65" t="n">
        <f aca="false">'Assumption Setting'!$F$43</f>
        <v>650</v>
      </c>
      <c r="AT15" s="65" t="n">
        <f aca="false">'Assumption Setting'!$F$43</f>
        <v>650</v>
      </c>
      <c r="AU15" s="65" t="n">
        <f aca="false">'Assumption Setting'!$F$43</f>
        <v>650</v>
      </c>
      <c r="AV15" s="65" t="n">
        <f aca="false">'Assumption Setting'!$F$43</f>
        <v>650</v>
      </c>
      <c r="AW15" s="65" t="n">
        <f aca="false">'Assumption Setting'!$F$43</f>
        <v>650</v>
      </c>
      <c r="AX15" s="65" t="n">
        <f aca="false">'Assumption Setting'!$F$43</f>
        <v>650</v>
      </c>
      <c r="AY15" s="65" t="n">
        <f aca="false">'Assumption Setting'!$F$43</f>
        <v>650</v>
      </c>
      <c r="AZ15" s="65" t="n">
        <f aca="false">'Assumption Setting'!$F$43</f>
        <v>650</v>
      </c>
      <c r="BA15" s="65" t="n">
        <f aca="false">'Assumption Setting'!$F$43</f>
        <v>650</v>
      </c>
      <c r="BB15" s="64" t="n">
        <f aca="false">SUM(BC15:BN15)</f>
        <v>10800</v>
      </c>
      <c r="BC15" s="65" t="n">
        <f aca="false">'Assumption Setting'!$G$43</f>
        <v>900</v>
      </c>
      <c r="BD15" s="65" t="n">
        <f aca="false">'Assumption Setting'!$G$43</f>
        <v>900</v>
      </c>
      <c r="BE15" s="65" t="n">
        <f aca="false">'Assumption Setting'!$G$43</f>
        <v>900</v>
      </c>
      <c r="BF15" s="65" t="n">
        <f aca="false">'Assumption Setting'!$G$43</f>
        <v>900</v>
      </c>
      <c r="BG15" s="65" t="n">
        <f aca="false">'Assumption Setting'!$G$43</f>
        <v>900</v>
      </c>
      <c r="BH15" s="65" t="n">
        <f aca="false">'Assumption Setting'!$G$43</f>
        <v>900</v>
      </c>
      <c r="BI15" s="65" t="n">
        <f aca="false">'Assumption Setting'!$G$43</f>
        <v>900</v>
      </c>
      <c r="BJ15" s="65" t="n">
        <f aca="false">'Assumption Setting'!$G$43</f>
        <v>900</v>
      </c>
      <c r="BK15" s="65" t="n">
        <f aca="false">'Assumption Setting'!$G$43</f>
        <v>900</v>
      </c>
      <c r="BL15" s="65" t="n">
        <f aca="false">'Assumption Setting'!$G$43</f>
        <v>900</v>
      </c>
      <c r="BM15" s="65" t="n">
        <f aca="false">'Assumption Setting'!$G$43</f>
        <v>900</v>
      </c>
      <c r="BN15" s="65" t="n">
        <f aca="false">'Assumption Setting'!$G$43</f>
        <v>900</v>
      </c>
    </row>
    <row r="16" customFormat="false" ht="15" hidden="false" customHeight="false" outlineLevel="0" collapsed="false">
      <c r="A16" s="12" t="s">
        <v>596</v>
      </c>
      <c r="B16" s="78" t="n">
        <f aca="false">SUM(C16:N16)</f>
        <v>4285.71428571429</v>
      </c>
      <c r="C16" s="79" t="n">
        <f aca="false">IFERROR(C15/'Assumption Setting'!$H$43,0)</f>
        <v>357.142857142857</v>
      </c>
      <c r="D16" s="79" t="n">
        <f aca="false">IFERROR(D15/'Assumption Setting'!$H$43,0)</f>
        <v>357.142857142857</v>
      </c>
      <c r="E16" s="79" t="n">
        <f aca="false">IFERROR(E15/'Assumption Setting'!$H$43,0)</f>
        <v>357.142857142857</v>
      </c>
      <c r="F16" s="79" t="n">
        <f aca="false">IFERROR(F15/'Assumption Setting'!$H$43,0)</f>
        <v>357.142857142857</v>
      </c>
      <c r="G16" s="79" t="n">
        <f aca="false">IFERROR(G15/'Assumption Setting'!$H$43,0)</f>
        <v>357.142857142857</v>
      </c>
      <c r="H16" s="79" t="n">
        <f aca="false">IFERROR(H15/'Assumption Setting'!$H$43,0)</f>
        <v>357.142857142857</v>
      </c>
      <c r="I16" s="79" t="n">
        <f aca="false">IFERROR(I15/'Assumption Setting'!$H$43,0)</f>
        <v>357.142857142857</v>
      </c>
      <c r="J16" s="79" t="n">
        <f aca="false">IFERROR(J15/'Assumption Setting'!$H$43,0)</f>
        <v>357.142857142857</v>
      </c>
      <c r="K16" s="79" t="n">
        <f aca="false">IFERROR(K15/'Assumption Setting'!$H$43,0)</f>
        <v>357.142857142857</v>
      </c>
      <c r="L16" s="79" t="n">
        <f aca="false">IFERROR(L15/'Assumption Setting'!$H$43,0)</f>
        <v>357.142857142857</v>
      </c>
      <c r="M16" s="79" t="n">
        <f aca="false">IFERROR(M15/'Assumption Setting'!$H$43,0)</f>
        <v>357.142857142857</v>
      </c>
      <c r="N16" s="79" t="n">
        <f aca="false">IFERROR(N15/'Assumption Setting'!$H$43,0)</f>
        <v>357.142857142857</v>
      </c>
      <c r="O16" s="78" t="n">
        <f aca="false">SUM(P16:AA16)</f>
        <v>17142.8571428571</v>
      </c>
      <c r="P16" s="79" t="n">
        <f aca="false">IFERROR(P15/'Assumption Setting'!$H$43,0)</f>
        <v>1428.57142857143</v>
      </c>
      <c r="Q16" s="79" t="n">
        <f aca="false">IFERROR(Q15/'Assumption Setting'!$H$43,0)</f>
        <v>1428.57142857143</v>
      </c>
      <c r="R16" s="79" t="n">
        <f aca="false">IFERROR(R15/'Assumption Setting'!$H$43,0)</f>
        <v>1428.57142857143</v>
      </c>
      <c r="S16" s="79" t="n">
        <f aca="false">IFERROR(S15/'Assumption Setting'!$H$43,0)</f>
        <v>1428.57142857143</v>
      </c>
      <c r="T16" s="79" t="n">
        <f aca="false">IFERROR(T15/'Assumption Setting'!$H$43,0)</f>
        <v>1428.57142857143</v>
      </c>
      <c r="U16" s="79" t="n">
        <f aca="false">IFERROR(U15/'Assumption Setting'!$H$43,0)</f>
        <v>1428.57142857143</v>
      </c>
      <c r="V16" s="79" t="n">
        <f aca="false">IFERROR(V15/'Assumption Setting'!$H$43,0)</f>
        <v>1428.57142857143</v>
      </c>
      <c r="W16" s="79" t="n">
        <f aca="false">IFERROR(W15/'Assumption Setting'!$H$43,0)</f>
        <v>1428.57142857143</v>
      </c>
      <c r="X16" s="79" t="n">
        <f aca="false">IFERROR(X15/'Assumption Setting'!$H$43,0)</f>
        <v>1428.57142857143</v>
      </c>
      <c r="Y16" s="79" t="n">
        <f aca="false">IFERROR(Y15/'Assumption Setting'!$H$43,0)</f>
        <v>1428.57142857143</v>
      </c>
      <c r="Z16" s="79" t="n">
        <f aca="false">IFERROR(Z15/'Assumption Setting'!$H$43,0)</f>
        <v>1428.57142857143</v>
      </c>
      <c r="AA16" s="79" t="n">
        <f aca="false">IFERROR(AA15/'Assumption Setting'!$H$43,0)</f>
        <v>1428.57142857143</v>
      </c>
      <c r="AB16" s="78" t="n">
        <f aca="false">SUM(AC16:AN16)</f>
        <v>34285.7142857143</v>
      </c>
      <c r="AC16" s="79" t="n">
        <f aca="false">IFERROR(AC15/'Assumption Setting'!$H$43,0)</f>
        <v>2857.14285714286</v>
      </c>
      <c r="AD16" s="79" t="n">
        <f aca="false">IFERROR(AD15/'Assumption Setting'!$H$43,0)</f>
        <v>2857.14285714286</v>
      </c>
      <c r="AE16" s="79" t="n">
        <f aca="false">IFERROR(AE15/'Assumption Setting'!$H$43,0)</f>
        <v>2857.14285714286</v>
      </c>
      <c r="AF16" s="79" t="n">
        <f aca="false">IFERROR(AF15/'Assumption Setting'!$H$43,0)</f>
        <v>2857.14285714286</v>
      </c>
      <c r="AG16" s="79" t="n">
        <f aca="false">IFERROR(AG15/'Assumption Setting'!$H$43,0)</f>
        <v>2857.14285714286</v>
      </c>
      <c r="AH16" s="79" t="n">
        <f aca="false">IFERROR(AH15/'Assumption Setting'!$H$43,0)</f>
        <v>2857.14285714286</v>
      </c>
      <c r="AI16" s="79" t="n">
        <f aca="false">IFERROR(AI15/'Assumption Setting'!$H$43,0)</f>
        <v>2857.14285714286</v>
      </c>
      <c r="AJ16" s="79" t="n">
        <f aca="false">IFERROR(AJ15/'Assumption Setting'!$H$43,0)</f>
        <v>2857.14285714286</v>
      </c>
      <c r="AK16" s="79" t="n">
        <f aca="false">IFERROR(AK15/'Assumption Setting'!$H$43,0)</f>
        <v>2857.14285714286</v>
      </c>
      <c r="AL16" s="79" t="n">
        <f aca="false">IFERROR(AL15/'Assumption Setting'!$H$43,0)</f>
        <v>2857.14285714286</v>
      </c>
      <c r="AM16" s="79" t="n">
        <f aca="false">IFERROR(AM15/'Assumption Setting'!$H$43,0)</f>
        <v>2857.14285714286</v>
      </c>
      <c r="AN16" s="79" t="n">
        <f aca="false">IFERROR(AN15/'Assumption Setting'!$H$43,0)</f>
        <v>2857.14285714286</v>
      </c>
      <c r="AO16" s="78" t="n">
        <f aca="false">SUM(AP16:BA16)</f>
        <v>55714.2857142857</v>
      </c>
      <c r="AP16" s="79" t="n">
        <f aca="false">IFERROR(AP15/'Assumption Setting'!$H$43,0)</f>
        <v>4642.85714285714</v>
      </c>
      <c r="AQ16" s="79" t="n">
        <f aca="false">IFERROR(AQ15/'Assumption Setting'!$H$43,0)</f>
        <v>4642.85714285714</v>
      </c>
      <c r="AR16" s="79" t="n">
        <f aca="false">IFERROR(AR15/'Assumption Setting'!$H$43,0)</f>
        <v>4642.85714285714</v>
      </c>
      <c r="AS16" s="79" t="n">
        <f aca="false">IFERROR(AS15/'Assumption Setting'!$H$43,0)</f>
        <v>4642.85714285714</v>
      </c>
      <c r="AT16" s="79" t="n">
        <f aca="false">IFERROR(AT15/'Assumption Setting'!$H$43,0)</f>
        <v>4642.85714285714</v>
      </c>
      <c r="AU16" s="79" t="n">
        <f aca="false">IFERROR(AU15/'Assumption Setting'!$H$43,0)</f>
        <v>4642.85714285714</v>
      </c>
      <c r="AV16" s="79" t="n">
        <f aca="false">IFERROR(AV15/'Assumption Setting'!$H$43,0)</f>
        <v>4642.85714285714</v>
      </c>
      <c r="AW16" s="79" t="n">
        <f aca="false">IFERROR(AW15/'Assumption Setting'!$H$43,0)</f>
        <v>4642.85714285714</v>
      </c>
      <c r="AX16" s="79" t="n">
        <f aca="false">IFERROR(AX15/'Assumption Setting'!$H$43,0)</f>
        <v>4642.85714285714</v>
      </c>
      <c r="AY16" s="79" t="n">
        <f aca="false">IFERROR(AY15/'Assumption Setting'!$H$43,0)</f>
        <v>4642.85714285714</v>
      </c>
      <c r="AZ16" s="79" t="n">
        <f aca="false">IFERROR(AZ15/'Assumption Setting'!$H$43,0)</f>
        <v>4642.85714285714</v>
      </c>
      <c r="BA16" s="79" t="n">
        <f aca="false">IFERROR(BA15/'Assumption Setting'!$H$43,0)</f>
        <v>4642.85714285714</v>
      </c>
      <c r="BB16" s="78" t="n">
        <f aca="false">SUM(BC16:BN16)</f>
        <v>77142.8571428571</v>
      </c>
      <c r="BC16" s="79" t="n">
        <f aca="false">IFERROR(BC15/'Assumption Setting'!$H$43,0)</f>
        <v>6428.57142857143</v>
      </c>
      <c r="BD16" s="79" t="n">
        <f aca="false">IFERROR(BD15/'Assumption Setting'!$H$43,0)</f>
        <v>6428.57142857143</v>
      </c>
      <c r="BE16" s="79" t="n">
        <f aca="false">IFERROR(BE15/'Assumption Setting'!$H$43,0)</f>
        <v>6428.57142857143</v>
      </c>
      <c r="BF16" s="79" t="n">
        <f aca="false">IFERROR(BF15/'Assumption Setting'!$H$43,0)</f>
        <v>6428.57142857143</v>
      </c>
      <c r="BG16" s="79" t="n">
        <f aca="false">IFERROR(BG15/'Assumption Setting'!$H$43,0)</f>
        <v>6428.57142857143</v>
      </c>
      <c r="BH16" s="79" t="n">
        <f aca="false">IFERROR(BH15/'Assumption Setting'!$H$43,0)</f>
        <v>6428.57142857143</v>
      </c>
      <c r="BI16" s="79" t="n">
        <f aca="false">IFERROR(BI15/'Assumption Setting'!$H$43,0)</f>
        <v>6428.57142857143</v>
      </c>
      <c r="BJ16" s="79" t="n">
        <f aca="false">IFERROR(BJ15/'Assumption Setting'!$H$43,0)</f>
        <v>6428.57142857143</v>
      </c>
      <c r="BK16" s="79" t="n">
        <f aca="false">IFERROR(BK15/'Assumption Setting'!$H$43,0)</f>
        <v>6428.57142857143</v>
      </c>
      <c r="BL16" s="79" t="n">
        <f aca="false">IFERROR(BL15/'Assumption Setting'!$H$43,0)</f>
        <v>6428.57142857143</v>
      </c>
      <c r="BM16" s="79" t="n">
        <f aca="false">IFERROR(BM15/'Assumption Setting'!$H$43,0)</f>
        <v>6428.57142857143</v>
      </c>
      <c r="BN16" s="79" t="n">
        <f aca="false">IFERROR(BN15/'Assumption Setting'!$H$43,0)</f>
        <v>6428.57142857143</v>
      </c>
    </row>
    <row r="17" customFormat="false" ht="15" hidden="false" customHeight="false" outlineLevel="0" collapsed="false">
      <c r="A17" s="12" t="s">
        <v>597</v>
      </c>
      <c r="B17" s="78" t="n">
        <f aca="false">SUM(C17:N17)</f>
        <v>5057.14285714286</v>
      </c>
      <c r="C17" s="79" t="n">
        <f aca="false">C16*(1+'Assumption Setting'!$I$43+'Assumption Setting'!$J$43)</f>
        <v>421.428571428571</v>
      </c>
      <c r="D17" s="79" t="n">
        <f aca="false">D16*(1+'Assumption Setting'!$I$43+'Assumption Setting'!$J$43)</f>
        <v>421.428571428571</v>
      </c>
      <c r="E17" s="79" t="n">
        <f aca="false">E16*(1+'Assumption Setting'!$I$43+'Assumption Setting'!$J$43)</f>
        <v>421.428571428571</v>
      </c>
      <c r="F17" s="79" t="n">
        <f aca="false">F16*(1+'Assumption Setting'!$I$43+'Assumption Setting'!$J$43)</f>
        <v>421.428571428571</v>
      </c>
      <c r="G17" s="79" t="n">
        <f aca="false">G16*(1+'Assumption Setting'!$I$43+'Assumption Setting'!$J$43)</f>
        <v>421.428571428571</v>
      </c>
      <c r="H17" s="79" t="n">
        <f aca="false">H16*(1+'Assumption Setting'!$I$43+'Assumption Setting'!$J$43)</f>
        <v>421.428571428571</v>
      </c>
      <c r="I17" s="79" t="n">
        <f aca="false">I16*(1+'Assumption Setting'!$I$43+'Assumption Setting'!$J$43)</f>
        <v>421.428571428571</v>
      </c>
      <c r="J17" s="79" t="n">
        <f aca="false">J16*(1+'Assumption Setting'!$I$43+'Assumption Setting'!$J$43)</f>
        <v>421.428571428571</v>
      </c>
      <c r="K17" s="79" t="n">
        <f aca="false">K16*(1+'Assumption Setting'!$I$43+'Assumption Setting'!$J$43)</f>
        <v>421.428571428571</v>
      </c>
      <c r="L17" s="79" t="n">
        <f aca="false">L16*(1+'Assumption Setting'!$I$43+'Assumption Setting'!$J$43)</f>
        <v>421.428571428571</v>
      </c>
      <c r="M17" s="79" t="n">
        <f aca="false">M16*(1+'Assumption Setting'!$I$43+'Assumption Setting'!$J$43)</f>
        <v>421.428571428571</v>
      </c>
      <c r="N17" s="79" t="n">
        <f aca="false">N16*(1+'Assumption Setting'!$I$43+'Assumption Setting'!$J$43)</f>
        <v>421.428571428571</v>
      </c>
      <c r="O17" s="78" t="n">
        <f aca="false">SUM(P17:AA17)</f>
        <v>20228.5714285714</v>
      </c>
      <c r="P17" s="79" t="n">
        <f aca="false">P16*(1+'Assumption Setting'!$I$43+'Assumption Setting'!$J$43)</f>
        <v>1685.71428571429</v>
      </c>
      <c r="Q17" s="79" t="n">
        <f aca="false">Q16*(1+'Assumption Setting'!$I$43+'Assumption Setting'!$J$43)</f>
        <v>1685.71428571429</v>
      </c>
      <c r="R17" s="79" t="n">
        <f aca="false">R16*(1+'Assumption Setting'!$I$43+'Assumption Setting'!$J$43)</f>
        <v>1685.71428571429</v>
      </c>
      <c r="S17" s="79" t="n">
        <f aca="false">S16*(1+'Assumption Setting'!$I$43+'Assumption Setting'!$J$43)</f>
        <v>1685.71428571429</v>
      </c>
      <c r="T17" s="79" t="n">
        <f aca="false">T16*(1+'Assumption Setting'!$I$43+'Assumption Setting'!$J$43)</f>
        <v>1685.71428571429</v>
      </c>
      <c r="U17" s="79" t="n">
        <f aca="false">U16*(1+'Assumption Setting'!$I$43+'Assumption Setting'!$J$43)</f>
        <v>1685.71428571429</v>
      </c>
      <c r="V17" s="79" t="n">
        <f aca="false">V16*(1+'Assumption Setting'!$I$43+'Assumption Setting'!$J$43)</f>
        <v>1685.71428571429</v>
      </c>
      <c r="W17" s="79" t="n">
        <f aca="false">W16*(1+'Assumption Setting'!$I$43+'Assumption Setting'!$J$43)</f>
        <v>1685.71428571429</v>
      </c>
      <c r="X17" s="79" t="n">
        <f aca="false">X16*(1+'Assumption Setting'!$I$43+'Assumption Setting'!$J$43)</f>
        <v>1685.71428571429</v>
      </c>
      <c r="Y17" s="79" t="n">
        <f aca="false">Y16*(1+'Assumption Setting'!$I$43+'Assumption Setting'!$J$43)</f>
        <v>1685.71428571429</v>
      </c>
      <c r="Z17" s="79" t="n">
        <f aca="false">Z16*(1+'Assumption Setting'!$I$43+'Assumption Setting'!$J$43)</f>
        <v>1685.71428571429</v>
      </c>
      <c r="AA17" s="79" t="n">
        <f aca="false">AA16*(1+'Assumption Setting'!$I$43+'Assumption Setting'!$J$43)</f>
        <v>1685.71428571429</v>
      </c>
      <c r="AB17" s="78" t="n">
        <f aca="false">SUM(AC17:AN17)</f>
        <v>40457.1428571429</v>
      </c>
      <c r="AC17" s="79" t="n">
        <f aca="false">AC16*(1+'Assumption Setting'!$I$43+'Assumption Setting'!$J$43)</f>
        <v>3371.42857142857</v>
      </c>
      <c r="AD17" s="79" t="n">
        <f aca="false">AD16*(1+'Assumption Setting'!$I$43+'Assumption Setting'!$J$43)</f>
        <v>3371.42857142857</v>
      </c>
      <c r="AE17" s="79" t="n">
        <f aca="false">AE16*(1+'Assumption Setting'!$I$43+'Assumption Setting'!$J$43)</f>
        <v>3371.42857142857</v>
      </c>
      <c r="AF17" s="79" t="n">
        <f aca="false">AF16*(1+'Assumption Setting'!$I$43+'Assumption Setting'!$J$43)</f>
        <v>3371.42857142857</v>
      </c>
      <c r="AG17" s="79" t="n">
        <f aca="false">AG16*(1+'Assumption Setting'!$I$43+'Assumption Setting'!$J$43)</f>
        <v>3371.42857142857</v>
      </c>
      <c r="AH17" s="79" t="n">
        <f aca="false">AH16*(1+'Assumption Setting'!$I$43+'Assumption Setting'!$J$43)</f>
        <v>3371.42857142857</v>
      </c>
      <c r="AI17" s="79" t="n">
        <f aca="false">AI16*(1+'Assumption Setting'!$I$43+'Assumption Setting'!$J$43)</f>
        <v>3371.42857142857</v>
      </c>
      <c r="AJ17" s="79" t="n">
        <f aca="false">AJ16*(1+'Assumption Setting'!$I$43+'Assumption Setting'!$J$43)</f>
        <v>3371.42857142857</v>
      </c>
      <c r="AK17" s="79" t="n">
        <f aca="false">AK16*(1+'Assumption Setting'!$I$43+'Assumption Setting'!$J$43)</f>
        <v>3371.42857142857</v>
      </c>
      <c r="AL17" s="79" t="n">
        <f aca="false">AL16*(1+'Assumption Setting'!$I$43+'Assumption Setting'!$J$43)</f>
        <v>3371.42857142857</v>
      </c>
      <c r="AM17" s="79" t="n">
        <f aca="false">AM16*(1+'Assumption Setting'!$I$43+'Assumption Setting'!$J$43)</f>
        <v>3371.42857142857</v>
      </c>
      <c r="AN17" s="79" t="n">
        <f aca="false">AN16*(1+'Assumption Setting'!$I$43+'Assumption Setting'!$J$43)</f>
        <v>3371.42857142857</v>
      </c>
      <c r="AO17" s="78" t="n">
        <f aca="false">SUM(AP17:BA17)</f>
        <v>65742.8571428571</v>
      </c>
      <c r="AP17" s="79" t="n">
        <f aca="false">AP16*(1+'Assumption Setting'!$I$43+'Assumption Setting'!$J$43)</f>
        <v>5478.57142857143</v>
      </c>
      <c r="AQ17" s="79" t="n">
        <f aca="false">AQ16*(1+'Assumption Setting'!$I$43+'Assumption Setting'!$J$43)</f>
        <v>5478.57142857143</v>
      </c>
      <c r="AR17" s="79" t="n">
        <f aca="false">AR16*(1+'Assumption Setting'!$I$43+'Assumption Setting'!$J$43)</f>
        <v>5478.57142857143</v>
      </c>
      <c r="AS17" s="79" t="n">
        <f aca="false">AS16*(1+'Assumption Setting'!$I$43+'Assumption Setting'!$J$43)</f>
        <v>5478.57142857143</v>
      </c>
      <c r="AT17" s="79" t="n">
        <f aca="false">AT16*(1+'Assumption Setting'!$I$43+'Assumption Setting'!$J$43)</f>
        <v>5478.57142857143</v>
      </c>
      <c r="AU17" s="79" t="n">
        <f aca="false">AU16*(1+'Assumption Setting'!$I$43+'Assumption Setting'!$J$43)</f>
        <v>5478.57142857143</v>
      </c>
      <c r="AV17" s="79" t="n">
        <f aca="false">AV16*(1+'Assumption Setting'!$I$43+'Assumption Setting'!$J$43)</f>
        <v>5478.57142857143</v>
      </c>
      <c r="AW17" s="79" t="n">
        <f aca="false">AW16*(1+'Assumption Setting'!$I$43+'Assumption Setting'!$J$43)</f>
        <v>5478.57142857143</v>
      </c>
      <c r="AX17" s="79" t="n">
        <f aca="false">AX16*(1+'Assumption Setting'!$I$43+'Assumption Setting'!$J$43)</f>
        <v>5478.57142857143</v>
      </c>
      <c r="AY17" s="79" t="n">
        <f aca="false">AY16*(1+'Assumption Setting'!$I$43+'Assumption Setting'!$J$43)</f>
        <v>5478.57142857143</v>
      </c>
      <c r="AZ17" s="79" t="n">
        <f aca="false">AZ16*(1+'Assumption Setting'!$I$43+'Assumption Setting'!$J$43)</f>
        <v>5478.57142857143</v>
      </c>
      <c r="BA17" s="79" t="n">
        <f aca="false">BA16*(1+'Assumption Setting'!$I$43+'Assumption Setting'!$J$43)</f>
        <v>5478.57142857143</v>
      </c>
      <c r="BB17" s="78" t="n">
        <f aca="false">SUM(BC17:BN17)</f>
        <v>91028.5714285714</v>
      </c>
      <c r="BC17" s="79" t="n">
        <f aca="false">BC16*(1+'Assumption Setting'!$I$43+'Assumption Setting'!$J$43)</f>
        <v>7585.71428571429</v>
      </c>
      <c r="BD17" s="79" t="n">
        <f aca="false">BD16*(1+'Assumption Setting'!$I$43+'Assumption Setting'!$J$43)</f>
        <v>7585.71428571429</v>
      </c>
      <c r="BE17" s="79" t="n">
        <f aca="false">BE16*(1+'Assumption Setting'!$I$43+'Assumption Setting'!$J$43)</f>
        <v>7585.71428571429</v>
      </c>
      <c r="BF17" s="79" t="n">
        <f aca="false">BF16*(1+'Assumption Setting'!$I$43+'Assumption Setting'!$J$43)</f>
        <v>7585.71428571429</v>
      </c>
      <c r="BG17" s="79" t="n">
        <f aca="false">BG16*(1+'Assumption Setting'!$I$43+'Assumption Setting'!$J$43)</f>
        <v>7585.71428571429</v>
      </c>
      <c r="BH17" s="79" t="n">
        <f aca="false">BH16*(1+'Assumption Setting'!$I$43+'Assumption Setting'!$J$43)</f>
        <v>7585.71428571429</v>
      </c>
      <c r="BI17" s="79" t="n">
        <f aca="false">BI16*(1+'Assumption Setting'!$I$43+'Assumption Setting'!$J$43)</f>
        <v>7585.71428571429</v>
      </c>
      <c r="BJ17" s="79" t="n">
        <f aca="false">BJ16*(1+'Assumption Setting'!$I$43+'Assumption Setting'!$J$43)</f>
        <v>7585.71428571429</v>
      </c>
      <c r="BK17" s="79" t="n">
        <f aca="false">BK16*(1+'Assumption Setting'!$I$43+'Assumption Setting'!$J$43)</f>
        <v>7585.71428571429</v>
      </c>
      <c r="BL17" s="79" t="n">
        <f aca="false">BL16*(1+'Assumption Setting'!$I$43+'Assumption Setting'!$J$43)</f>
        <v>7585.71428571429</v>
      </c>
      <c r="BM17" s="79" t="n">
        <f aca="false">BM16*(1+'Assumption Setting'!$I$43+'Assumption Setting'!$J$43)</f>
        <v>7585.71428571429</v>
      </c>
      <c r="BN17" s="79" t="n">
        <f aca="false">BN16*(1+'Assumption Setting'!$I$43+'Assumption Setting'!$J$43)</f>
        <v>7585.71428571429</v>
      </c>
    </row>
    <row r="18" customFormat="false" ht="15" hidden="false" customHeight="false" outlineLevel="0" collapsed="false">
      <c r="A18" s="12" t="s">
        <v>598</v>
      </c>
      <c r="B18" s="80" t="n">
        <f aca="false">SUM(C18:N18)</f>
        <v>91.0285714285714</v>
      </c>
      <c r="C18" s="81" t="n">
        <f aca="false">C17*'Assumption Setting'!$K$43</f>
        <v>7.58571428571429</v>
      </c>
      <c r="D18" s="81" t="n">
        <f aca="false">D17*'Assumption Setting'!$K$43</f>
        <v>7.58571428571429</v>
      </c>
      <c r="E18" s="81" t="n">
        <f aca="false">E17*'Assumption Setting'!$K$43</f>
        <v>7.58571428571429</v>
      </c>
      <c r="F18" s="81" t="n">
        <f aca="false">F17*'Assumption Setting'!$K$43</f>
        <v>7.58571428571429</v>
      </c>
      <c r="G18" s="81" t="n">
        <f aca="false">G17*'Assumption Setting'!$K$43</f>
        <v>7.58571428571429</v>
      </c>
      <c r="H18" s="81" t="n">
        <f aca="false">H17*'Assumption Setting'!$K$43</f>
        <v>7.58571428571429</v>
      </c>
      <c r="I18" s="81" t="n">
        <f aca="false">I17*'Assumption Setting'!$K$43</f>
        <v>7.58571428571429</v>
      </c>
      <c r="J18" s="81" t="n">
        <f aca="false">J17*'Assumption Setting'!$K$43</f>
        <v>7.58571428571429</v>
      </c>
      <c r="K18" s="81" t="n">
        <f aca="false">K17*'Assumption Setting'!$K$43</f>
        <v>7.58571428571429</v>
      </c>
      <c r="L18" s="81" t="n">
        <f aca="false">L17*'Assumption Setting'!$K$43</f>
        <v>7.58571428571429</v>
      </c>
      <c r="M18" s="81" t="n">
        <f aca="false">M17*'Assumption Setting'!$K$43</f>
        <v>7.58571428571429</v>
      </c>
      <c r="N18" s="81" t="n">
        <f aca="false">N17*'Assumption Setting'!$K$43</f>
        <v>7.58571428571429</v>
      </c>
      <c r="O18" s="80" t="n">
        <f aca="false">SUM(P18:AA18)</f>
        <v>364.114285714286</v>
      </c>
      <c r="P18" s="81" t="n">
        <f aca="false">P17*'Assumption Setting'!$K$43</f>
        <v>30.3428571428571</v>
      </c>
      <c r="Q18" s="81" t="n">
        <f aca="false">Q17*'Assumption Setting'!$K$43</f>
        <v>30.3428571428571</v>
      </c>
      <c r="R18" s="81" t="n">
        <f aca="false">R17*'Assumption Setting'!$K$43</f>
        <v>30.3428571428571</v>
      </c>
      <c r="S18" s="81" t="n">
        <f aca="false">S17*'Assumption Setting'!$K$43</f>
        <v>30.3428571428571</v>
      </c>
      <c r="T18" s="81" t="n">
        <f aca="false">T17*'Assumption Setting'!$K$43</f>
        <v>30.3428571428571</v>
      </c>
      <c r="U18" s="81" t="n">
        <f aca="false">U17*'Assumption Setting'!$K$43</f>
        <v>30.3428571428571</v>
      </c>
      <c r="V18" s="81" t="n">
        <f aca="false">V17*'Assumption Setting'!$K$43</f>
        <v>30.3428571428571</v>
      </c>
      <c r="W18" s="81" t="n">
        <f aca="false">W17*'Assumption Setting'!$K$43</f>
        <v>30.3428571428571</v>
      </c>
      <c r="X18" s="81" t="n">
        <f aca="false">X17*'Assumption Setting'!$K$43</f>
        <v>30.3428571428571</v>
      </c>
      <c r="Y18" s="81" t="n">
        <f aca="false">Y17*'Assumption Setting'!$K$43</f>
        <v>30.3428571428571</v>
      </c>
      <c r="Z18" s="81" t="n">
        <f aca="false">Z17*'Assumption Setting'!$K$43</f>
        <v>30.3428571428571</v>
      </c>
      <c r="AA18" s="81" t="n">
        <f aca="false">AA17*'Assumption Setting'!$K$43</f>
        <v>30.3428571428571</v>
      </c>
      <c r="AB18" s="80" t="n">
        <f aca="false">SUM(AC18:AN18)</f>
        <v>728.228571428571</v>
      </c>
      <c r="AC18" s="81" t="n">
        <f aca="false">AC17*'Assumption Setting'!$K$43</f>
        <v>60.6857142857143</v>
      </c>
      <c r="AD18" s="81" t="n">
        <f aca="false">AD17*'Assumption Setting'!$K$43</f>
        <v>60.6857142857143</v>
      </c>
      <c r="AE18" s="81" t="n">
        <f aca="false">AE17*'Assumption Setting'!$K$43</f>
        <v>60.6857142857143</v>
      </c>
      <c r="AF18" s="81" t="n">
        <f aca="false">AF17*'Assumption Setting'!$K$43</f>
        <v>60.6857142857143</v>
      </c>
      <c r="AG18" s="81" t="n">
        <f aca="false">AG17*'Assumption Setting'!$K$43</f>
        <v>60.6857142857143</v>
      </c>
      <c r="AH18" s="81" t="n">
        <f aca="false">AH17*'Assumption Setting'!$K$43</f>
        <v>60.6857142857143</v>
      </c>
      <c r="AI18" s="81" t="n">
        <f aca="false">AI17*'Assumption Setting'!$K$43</f>
        <v>60.6857142857143</v>
      </c>
      <c r="AJ18" s="81" t="n">
        <f aca="false">AJ17*'Assumption Setting'!$K$43</f>
        <v>60.6857142857143</v>
      </c>
      <c r="AK18" s="81" t="n">
        <f aca="false">AK17*'Assumption Setting'!$K$43</f>
        <v>60.6857142857143</v>
      </c>
      <c r="AL18" s="81" t="n">
        <f aca="false">AL17*'Assumption Setting'!$K$43</f>
        <v>60.6857142857143</v>
      </c>
      <c r="AM18" s="81" t="n">
        <f aca="false">AM17*'Assumption Setting'!$K$43</f>
        <v>60.6857142857143</v>
      </c>
      <c r="AN18" s="81" t="n">
        <f aca="false">AN17*'Assumption Setting'!$K$43</f>
        <v>60.6857142857143</v>
      </c>
      <c r="AO18" s="80" t="n">
        <f aca="false">SUM(AP18:BA18)</f>
        <v>1183.37142857143</v>
      </c>
      <c r="AP18" s="81" t="n">
        <f aca="false">AP17*'Assumption Setting'!$K$43</f>
        <v>98.6142857142857</v>
      </c>
      <c r="AQ18" s="81" t="n">
        <f aca="false">AQ17*'Assumption Setting'!$K$43</f>
        <v>98.6142857142857</v>
      </c>
      <c r="AR18" s="81" t="n">
        <f aca="false">AR17*'Assumption Setting'!$K$43</f>
        <v>98.6142857142857</v>
      </c>
      <c r="AS18" s="81" t="n">
        <f aca="false">AS17*'Assumption Setting'!$K$43</f>
        <v>98.6142857142857</v>
      </c>
      <c r="AT18" s="81" t="n">
        <f aca="false">AT17*'Assumption Setting'!$K$43</f>
        <v>98.6142857142857</v>
      </c>
      <c r="AU18" s="81" t="n">
        <f aca="false">AU17*'Assumption Setting'!$K$43</f>
        <v>98.6142857142857</v>
      </c>
      <c r="AV18" s="81" t="n">
        <f aca="false">AV17*'Assumption Setting'!$K$43</f>
        <v>98.6142857142857</v>
      </c>
      <c r="AW18" s="81" t="n">
        <f aca="false">AW17*'Assumption Setting'!$K$43</f>
        <v>98.6142857142857</v>
      </c>
      <c r="AX18" s="81" t="n">
        <f aca="false">AX17*'Assumption Setting'!$K$43</f>
        <v>98.6142857142857</v>
      </c>
      <c r="AY18" s="81" t="n">
        <f aca="false">AY17*'Assumption Setting'!$K$43</f>
        <v>98.6142857142857</v>
      </c>
      <c r="AZ18" s="81" t="n">
        <f aca="false">AZ17*'Assumption Setting'!$K$43</f>
        <v>98.6142857142857</v>
      </c>
      <c r="BA18" s="81" t="n">
        <f aca="false">BA17*'Assumption Setting'!$K$43</f>
        <v>98.6142857142857</v>
      </c>
      <c r="BB18" s="80" t="n">
        <f aca="false">SUM(BC18:BN18)</f>
        <v>1638.51428571429</v>
      </c>
      <c r="BC18" s="81" t="n">
        <f aca="false">BC17*'Assumption Setting'!$K$43</f>
        <v>136.542857142857</v>
      </c>
      <c r="BD18" s="81" t="n">
        <f aca="false">BD17*'Assumption Setting'!$K$43</f>
        <v>136.542857142857</v>
      </c>
      <c r="BE18" s="81" t="n">
        <f aca="false">BE17*'Assumption Setting'!$K$43</f>
        <v>136.542857142857</v>
      </c>
      <c r="BF18" s="81" t="n">
        <f aca="false">BF17*'Assumption Setting'!$K$43</f>
        <v>136.542857142857</v>
      </c>
      <c r="BG18" s="81" t="n">
        <f aca="false">BG17*'Assumption Setting'!$K$43</f>
        <v>136.542857142857</v>
      </c>
      <c r="BH18" s="81" t="n">
        <f aca="false">BH17*'Assumption Setting'!$K$43</f>
        <v>136.542857142857</v>
      </c>
      <c r="BI18" s="81" t="n">
        <f aca="false">BI17*'Assumption Setting'!$K$43</f>
        <v>136.542857142857</v>
      </c>
      <c r="BJ18" s="81" t="n">
        <f aca="false">BJ17*'Assumption Setting'!$K$43</f>
        <v>136.542857142857</v>
      </c>
      <c r="BK18" s="81" t="n">
        <f aca="false">BK17*'Assumption Setting'!$K$43</f>
        <v>136.542857142857</v>
      </c>
      <c r="BL18" s="81" t="n">
        <f aca="false">BL17*'Assumption Setting'!$K$43</f>
        <v>136.542857142857</v>
      </c>
      <c r="BM18" s="81" t="n">
        <f aca="false">BM17*'Assumption Setting'!$K$43</f>
        <v>136.542857142857</v>
      </c>
      <c r="BN18" s="81" t="n">
        <f aca="false">BN17*'Assumption Setting'!$K$43</f>
        <v>136.542857142857</v>
      </c>
    </row>
    <row r="19" customFormat="false" ht="15" hidden="false" customHeight="false" outlineLevel="0" collapsed="false">
      <c r="A19" s="12" t="s">
        <v>235</v>
      </c>
      <c r="B19" s="64" t="n">
        <f aca="false">SUM(C19:N19)</f>
        <v>480</v>
      </c>
      <c r="C19" s="65" t="n">
        <f aca="false">'Assumption Setting'!$C$44</f>
        <v>40</v>
      </c>
      <c r="D19" s="65" t="n">
        <f aca="false">'Assumption Setting'!$C$44</f>
        <v>40</v>
      </c>
      <c r="E19" s="65" t="n">
        <f aca="false">'Assumption Setting'!$C$44</f>
        <v>40</v>
      </c>
      <c r="F19" s="65" t="n">
        <f aca="false">'Assumption Setting'!$C$44</f>
        <v>40</v>
      </c>
      <c r="G19" s="65" t="n">
        <f aca="false">'Assumption Setting'!$C$44</f>
        <v>40</v>
      </c>
      <c r="H19" s="65" t="n">
        <f aca="false">'Assumption Setting'!$C$44</f>
        <v>40</v>
      </c>
      <c r="I19" s="65" t="n">
        <f aca="false">'Assumption Setting'!$C$44</f>
        <v>40</v>
      </c>
      <c r="J19" s="65" t="n">
        <f aca="false">'Assumption Setting'!$C$44</f>
        <v>40</v>
      </c>
      <c r="K19" s="65" t="n">
        <f aca="false">'Assumption Setting'!$C$44</f>
        <v>40</v>
      </c>
      <c r="L19" s="65" t="n">
        <f aca="false">'Assumption Setting'!$C$44</f>
        <v>40</v>
      </c>
      <c r="M19" s="65" t="n">
        <f aca="false">'Assumption Setting'!$C$44</f>
        <v>40</v>
      </c>
      <c r="N19" s="65" t="n">
        <f aca="false">'Assumption Setting'!$C$44</f>
        <v>40</v>
      </c>
      <c r="O19" s="64" t="n">
        <f aca="false">SUM(P19:AA19)</f>
        <v>2160</v>
      </c>
      <c r="P19" s="65" t="n">
        <f aca="false">'Assumption Setting'!$D$44</f>
        <v>180</v>
      </c>
      <c r="Q19" s="65" t="n">
        <f aca="false">'Assumption Setting'!$D$44</f>
        <v>180</v>
      </c>
      <c r="R19" s="65" t="n">
        <f aca="false">'Assumption Setting'!$D$44</f>
        <v>180</v>
      </c>
      <c r="S19" s="65" t="n">
        <f aca="false">'Assumption Setting'!$D$44</f>
        <v>180</v>
      </c>
      <c r="T19" s="65" t="n">
        <f aca="false">'Assumption Setting'!$D$44</f>
        <v>180</v>
      </c>
      <c r="U19" s="65" t="n">
        <f aca="false">'Assumption Setting'!$D$44</f>
        <v>180</v>
      </c>
      <c r="V19" s="65" t="n">
        <f aca="false">'Assumption Setting'!$D$44</f>
        <v>180</v>
      </c>
      <c r="W19" s="65" t="n">
        <f aca="false">'Assumption Setting'!$D$44</f>
        <v>180</v>
      </c>
      <c r="X19" s="65" t="n">
        <f aca="false">'Assumption Setting'!$D$44</f>
        <v>180</v>
      </c>
      <c r="Y19" s="65" t="n">
        <f aca="false">'Assumption Setting'!$D$44</f>
        <v>180</v>
      </c>
      <c r="Z19" s="65" t="n">
        <f aca="false">'Assumption Setting'!$D$44</f>
        <v>180</v>
      </c>
      <c r="AA19" s="65" t="n">
        <f aca="false">'Assumption Setting'!$D$44</f>
        <v>180</v>
      </c>
      <c r="AB19" s="64" t="n">
        <f aca="false">SUM(AC19:AN19)</f>
        <v>4200</v>
      </c>
      <c r="AC19" s="65" t="n">
        <f aca="false">'Assumption Setting'!$E$44</f>
        <v>350</v>
      </c>
      <c r="AD19" s="65" t="n">
        <f aca="false">'Assumption Setting'!$E$44</f>
        <v>350</v>
      </c>
      <c r="AE19" s="65" t="n">
        <f aca="false">'Assumption Setting'!$E$44</f>
        <v>350</v>
      </c>
      <c r="AF19" s="65" t="n">
        <f aca="false">'Assumption Setting'!$E$44</f>
        <v>350</v>
      </c>
      <c r="AG19" s="65" t="n">
        <f aca="false">'Assumption Setting'!$E$44</f>
        <v>350</v>
      </c>
      <c r="AH19" s="65" t="n">
        <f aca="false">'Assumption Setting'!$E$44</f>
        <v>350</v>
      </c>
      <c r="AI19" s="65" t="n">
        <f aca="false">'Assumption Setting'!$E$44</f>
        <v>350</v>
      </c>
      <c r="AJ19" s="65" t="n">
        <f aca="false">'Assumption Setting'!$E$44</f>
        <v>350</v>
      </c>
      <c r="AK19" s="65" t="n">
        <f aca="false">'Assumption Setting'!$E$44</f>
        <v>350</v>
      </c>
      <c r="AL19" s="65" t="n">
        <f aca="false">'Assumption Setting'!$E$44</f>
        <v>350</v>
      </c>
      <c r="AM19" s="65" t="n">
        <f aca="false">'Assumption Setting'!$E$44</f>
        <v>350</v>
      </c>
      <c r="AN19" s="65" t="n">
        <f aca="false">'Assumption Setting'!$E$44</f>
        <v>350</v>
      </c>
      <c r="AO19" s="64" t="n">
        <f aca="false">SUM(AP19:BA19)</f>
        <v>6600</v>
      </c>
      <c r="AP19" s="65" t="n">
        <f aca="false">'Assumption Setting'!$F$44</f>
        <v>550</v>
      </c>
      <c r="AQ19" s="65" t="n">
        <f aca="false">'Assumption Setting'!$F$44</f>
        <v>550</v>
      </c>
      <c r="AR19" s="65" t="n">
        <f aca="false">'Assumption Setting'!$F$44</f>
        <v>550</v>
      </c>
      <c r="AS19" s="65" t="n">
        <f aca="false">'Assumption Setting'!$F$44</f>
        <v>550</v>
      </c>
      <c r="AT19" s="65" t="n">
        <f aca="false">'Assumption Setting'!$F$44</f>
        <v>550</v>
      </c>
      <c r="AU19" s="65" t="n">
        <f aca="false">'Assumption Setting'!$F$44</f>
        <v>550</v>
      </c>
      <c r="AV19" s="65" t="n">
        <f aca="false">'Assumption Setting'!$F$44</f>
        <v>550</v>
      </c>
      <c r="AW19" s="65" t="n">
        <f aca="false">'Assumption Setting'!$F$44</f>
        <v>550</v>
      </c>
      <c r="AX19" s="65" t="n">
        <f aca="false">'Assumption Setting'!$F$44</f>
        <v>550</v>
      </c>
      <c r="AY19" s="65" t="n">
        <f aca="false">'Assumption Setting'!$F$44</f>
        <v>550</v>
      </c>
      <c r="AZ19" s="65" t="n">
        <f aca="false">'Assumption Setting'!$F$44</f>
        <v>550</v>
      </c>
      <c r="BA19" s="65" t="n">
        <f aca="false">'Assumption Setting'!$F$44</f>
        <v>550</v>
      </c>
      <c r="BB19" s="64" t="n">
        <f aca="false">SUM(BC19:BN19)</f>
        <v>9000</v>
      </c>
      <c r="BC19" s="65" t="n">
        <f aca="false">'Assumption Setting'!$G$44</f>
        <v>750</v>
      </c>
      <c r="BD19" s="65" t="n">
        <f aca="false">'Assumption Setting'!$G$44</f>
        <v>750</v>
      </c>
      <c r="BE19" s="65" t="n">
        <f aca="false">'Assumption Setting'!$G$44</f>
        <v>750</v>
      </c>
      <c r="BF19" s="65" t="n">
        <f aca="false">'Assumption Setting'!$G$44</f>
        <v>750</v>
      </c>
      <c r="BG19" s="65" t="n">
        <f aca="false">'Assumption Setting'!$G$44</f>
        <v>750</v>
      </c>
      <c r="BH19" s="65" t="n">
        <f aca="false">'Assumption Setting'!$G$44</f>
        <v>750</v>
      </c>
      <c r="BI19" s="65" t="n">
        <f aca="false">'Assumption Setting'!$G$44</f>
        <v>750</v>
      </c>
      <c r="BJ19" s="65" t="n">
        <f aca="false">'Assumption Setting'!$G$44</f>
        <v>750</v>
      </c>
      <c r="BK19" s="65" t="n">
        <f aca="false">'Assumption Setting'!$G$44</f>
        <v>750</v>
      </c>
      <c r="BL19" s="65" t="n">
        <f aca="false">'Assumption Setting'!$G$44</f>
        <v>750</v>
      </c>
      <c r="BM19" s="65" t="n">
        <f aca="false">'Assumption Setting'!$G$44</f>
        <v>750</v>
      </c>
      <c r="BN19" s="65" t="n">
        <f aca="false">'Assumption Setting'!$G$44</f>
        <v>750</v>
      </c>
    </row>
    <row r="20" customFormat="false" ht="15" hidden="false" customHeight="false" outlineLevel="0" collapsed="false">
      <c r="A20" s="12" t="s">
        <v>596</v>
      </c>
      <c r="B20" s="78" t="n">
        <f aca="false">SUM(C20:N20)</f>
        <v>1846.15384615385</v>
      </c>
      <c r="C20" s="79" t="n">
        <f aca="false">IFERROR(C19/'Assumption Setting'!$H$44,0)</f>
        <v>153.846153846154</v>
      </c>
      <c r="D20" s="79" t="n">
        <f aca="false">IFERROR(D19/'Assumption Setting'!$H$44,0)</f>
        <v>153.846153846154</v>
      </c>
      <c r="E20" s="79" t="n">
        <f aca="false">IFERROR(E19/'Assumption Setting'!$H$44,0)</f>
        <v>153.846153846154</v>
      </c>
      <c r="F20" s="79" t="n">
        <f aca="false">IFERROR(F19/'Assumption Setting'!$H$44,0)</f>
        <v>153.846153846154</v>
      </c>
      <c r="G20" s="79" t="n">
        <f aca="false">IFERROR(G19/'Assumption Setting'!$H$44,0)</f>
        <v>153.846153846154</v>
      </c>
      <c r="H20" s="79" t="n">
        <f aca="false">IFERROR(H19/'Assumption Setting'!$H$44,0)</f>
        <v>153.846153846154</v>
      </c>
      <c r="I20" s="79" t="n">
        <f aca="false">IFERROR(I19/'Assumption Setting'!$H$44,0)</f>
        <v>153.846153846154</v>
      </c>
      <c r="J20" s="79" t="n">
        <f aca="false">IFERROR(J19/'Assumption Setting'!$H$44,0)</f>
        <v>153.846153846154</v>
      </c>
      <c r="K20" s="79" t="n">
        <f aca="false">IFERROR(K19/'Assumption Setting'!$H$44,0)</f>
        <v>153.846153846154</v>
      </c>
      <c r="L20" s="79" t="n">
        <f aca="false">IFERROR(L19/'Assumption Setting'!$H$44,0)</f>
        <v>153.846153846154</v>
      </c>
      <c r="M20" s="79" t="n">
        <f aca="false">IFERROR(M19/'Assumption Setting'!$H$44,0)</f>
        <v>153.846153846154</v>
      </c>
      <c r="N20" s="79" t="n">
        <f aca="false">IFERROR(N19/'Assumption Setting'!$H$44,0)</f>
        <v>153.846153846154</v>
      </c>
      <c r="O20" s="78" t="n">
        <f aca="false">SUM(P20:AA20)</f>
        <v>8307.69230769231</v>
      </c>
      <c r="P20" s="79" t="n">
        <f aca="false">IFERROR(P19/'Assumption Setting'!$H$44,0)</f>
        <v>692.307692307692</v>
      </c>
      <c r="Q20" s="79" t="n">
        <f aca="false">IFERROR(Q19/'Assumption Setting'!$H$44,0)</f>
        <v>692.307692307692</v>
      </c>
      <c r="R20" s="79" t="n">
        <f aca="false">IFERROR(R19/'Assumption Setting'!$H$44,0)</f>
        <v>692.307692307692</v>
      </c>
      <c r="S20" s="79" t="n">
        <f aca="false">IFERROR(S19/'Assumption Setting'!$H$44,0)</f>
        <v>692.307692307692</v>
      </c>
      <c r="T20" s="79" t="n">
        <f aca="false">IFERROR(T19/'Assumption Setting'!$H$44,0)</f>
        <v>692.307692307692</v>
      </c>
      <c r="U20" s="79" t="n">
        <f aca="false">IFERROR(U19/'Assumption Setting'!$H$44,0)</f>
        <v>692.307692307692</v>
      </c>
      <c r="V20" s="79" t="n">
        <f aca="false">IFERROR(V19/'Assumption Setting'!$H$44,0)</f>
        <v>692.307692307692</v>
      </c>
      <c r="W20" s="79" t="n">
        <f aca="false">IFERROR(W19/'Assumption Setting'!$H$44,0)</f>
        <v>692.307692307692</v>
      </c>
      <c r="X20" s="79" t="n">
        <f aca="false">IFERROR(X19/'Assumption Setting'!$H$44,0)</f>
        <v>692.307692307692</v>
      </c>
      <c r="Y20" s="79" t="n">
        <f aca="false">IFERROR(Y19/'Assumption Setting'!$H$44,0)</f>
        <v>692.307692307692</v>
      </c>
      <c r="Z20" s="79" t="n">
        <f aca="false">IFERROR(Z19/'Assumption Setting'!$H$44,0)</f>
        <v>692.307692307692</v>
      </c>
      <c r="AA20" s="79" t="n">
        <f aca="false">IFERROR(AA19/'Assumption Setting'!$H$44,0)</f>
        <v>692.307692307692</v>
      </c>
      <c r="AB20" s="78" t="n">
        <f aca="false">SUM(AC20:AN20)</f>
        <v>16153.8461538462</v>
      </c>
      <c r="AC20" s="79" t="n">
        <f aca="false">IFERROR(AC19/'Assumption Setting'!$H$44,0)</f>
        <v>1346.15384615385</v>
      </c>
      <c r="AD20" s="79" t="n">
        <f aca="false">IFERROR(AD19/'Assumption Setting'!$H$44,0)</f>
        <v>1346.15384615385</v>
      </c>
      <c r="AE20" s="79" t="n">
        <f aca="false">IFERROR(AE19/'Assumption Setting'!$H$44,0)</f>
        <v>1346.15384615385</v>
      </c>
      <c r="AF20" s="79" t="n">
        <f aca="false">IFERROR(AF19/'Assumption Setting'!$H$44,0)</f>
        <v>1346.15384615385</v>
      </c>
      <c r="AG20" s="79" t="n">
        <f aca="false">IFERROR(AG19/'Assumption Setting'!$H$44,0)</f>
        <v>1346.15384615385</v>
      </c>
      <c r="AH20" s="79" t="n">
        <f aca="false">IFERROR(AH19/'Assumption Setting'!$H$44,0)</f>
        <v>1346.15384615385</v>
      </c>
      <c r="AI20" s="79" t="n">
        <f aca="false">IFERROR(AI19/'Assumption Setting'!$H$44,0)</f>
        <v>1346.15384615385</v>
      </c>
      <c r="AJ20" s="79" t="n">
        <f aca="false">IFERROR(AJ19/'Assumption Setting'!$H$44,0)</f>
        <v>1346.15384615385</v>
      </c>
      <c r="AK20" s="79" t="n">
        <f aca="false">IFERROR(AK19/'Assumption Setting'!$H$44,0)</f>
        <v>1346.15384615385</v>
      </c>
      <c r="AL20" s="79" t="n">
        <f aca="false">IFERROR(AL19/'Assumption Setting'!$H$44,0)</f>
        <v>1346.15384615385</v>
      </c>
      <c r="AM20" s="79" t="n">
        <f aca="false">IFERROR(AM19/'Assumption Setting'!$H$44,0)</f>
        <v>1346.15384615385</v>
      </c>
      <c r="AN20" s="79" t="n">
        <f aca="false">IFERROR(AN19/'Assumption Setting'!$H$44,0)</f>
        <v>1346.15384615385</v>
      </c>
      <c r="AO20" s="78" t="n">
        <f aca="false">SUM(AP20:BA20)</f>
        <v>25384.6153846154</v>
      </c>
      <c r="AP20" s="79" t="n">
        <f aca="false">IFERROR(AP19/'Assumption Setting'!$H$44,0)</f>
        <v>2115.38461538462</v>
      </c>
      <c r="AQ20" s="79" t="n">
        <f aca="false">IFERROR(AQ19/'Assumption Setting'!$H$44,0)</f>
        <v>2115.38461538462</v>
      </c>
      <c r="AR20" s="79" t="n">
        <f aca="false">IFERROR(AR19/'Assumption Setting'!$H$44,0)</f>
        <v>2115.38461538462</v>
      </c>
      <c r="AS20" s="79" t="n">
        <f aca="false">IFERROR(AS19/'Assumption Setting'!$H$44,0)</f>
        <v>2115.38461538462</v>
      </c>
      <c r="AT20" s="79" t="n">
        <f aca="false">IFERROR(AT19/'Assumption Setting'!$H$44,0)</f>
        <v>2115.38461538462</v>
      </c>
      <c r="AU20" s="79" t="n">
        <f aca="false">IFERROR(AU19/'Assumption Setting'!$H$44,0)</f>
        <v>2115.38461538462</v>
      </c>
      <c r="AV20" s="79" t="n">
        <f aca="false">IFERROR(AV19/'Assumption Setting'!$H$44,0)</f>
        <v>2115.38461538462</v>
      </c>
      <c r="AW20" s="79" t="n">
        <f aca="false">IFERROR(AW19/'Assumption Setting'!$H$44,0)</f>
        <v>2115.38461538462</v>
      </c>
      <c r="AX20" s="79" t="n">
        <f aca="false">IFERROR(AX19/'Assumption Setting'!$H$44,0)</f>
        <v>2115.38461538462</v>
      </c>
      <c r="AY20" s="79" t="n">
        <f aca="false">IFERROR(AY19/'Assumption Setting'!$H$44,0)</f>
        <v>2115.38461538462</v>
      </c>
      <c r="AZ20" s="79" t="n">
        <f aca="false">IFERROR(AZ19/'Assumption Setting'!$H$44,0)</f>
        <v>2115.38461538462</v>
      </c>
      <c r="BA20" s="79" t="n">
        <f aca="false">IFERROR(BA19/'Assumption Setting'!$H$44,0)</f>
        <v>2115.38461538462</v>
      </c>
      <c r="BB20" s="78" t="n">
        <f aca="false">SUM(BC20:BN20)</f>
        <v>34615.3846153846</v>
      </c>
      <c r="BC20" s="79" t="n">
        <f aca="false">IFERROR(BC19/'Assumption Setting'!$H$44,0)</f>
        <v>2884.61538461538</v>
      </c>
      <c r="BD20" s="79" t="n">
        <f aca="false">IFERROR(BD19/'Assumption Setting'!$H$44,0)</f>
        <v>2884.61538461538</v>
      </c>
      <c r="BE20" s="79" t="n">
        <f aca="false">IFERROR(BE19/'Assumption Setting'!$H$44,0)</f>
        <v>2884.61538461538</v>
      </c>
      <c r="BF20" s="79" t="n">
        <f aca="false">IFERROR(BF19/'Assumption Setting'!$H$44,0)</f>
        <v>2884.61538461538</v>
      </c>
      <c r="BG20" s="79" t="n">
        <f aca="false">IFERROR(BG19/'Assumption Setting'!$H$44,0)</f>
        <v>2884.61538461538</v>
      </c>
      <c r="BH20" s="79" t="n">
        <f aca="false">IFERROR(BH19/'Assumption Setting'!$H$44,0)</f>
        <v>2884.61538461538</v>
      </c>
      <c r="BI20" s="79" t="n">
        <f aca="false">IFERROR(BI19/'Assumption Setting'!$H$44,0)</f>
        <v>2884.61538461538</v>
      </c>
      <c r="BJ20" s="79" t="n">
        <f aca="false">IFERROR(BJ19/'Assumption Setting'!$H$44,0)</f>
        <v>2884.61538461538</v>
      </c>
      <c r="BK20" s="79" t="n">
        <f aca="false">IFERROR(BK19/'Assumption Setting'!$H$44,0)</f>
        <v>2884.61538461538</v>
      </c>
      <c r="BL20" s="79" t="n">
        <f aca="false">IFERROR(BL19/'Assumption Setting'!$H$44,0)</f>
        <v>2884.61538461538</v>
      </c>
      <c r="BM20" s="79" t="n">
        <f aca="false">IFERROR(BM19/'Assumption Setting'!$H$44,0)</f>
        <v>2884.61538461538</v>
      </c>
      <c r="BN20" s="79" t="n">
        <f aca="false">IFERROR(BN19/'Assumption Setting'!$H$44,0)</f>
        <v>2884.61538461538</v>
      </c>
    </row>
    <row r="21" customFormat="false" ht="15" hidden="false" customHeight="false" outlineLevel="0" collapsed="false">
      <c r="A21" s="12" t="s">
        <v>597</v>
      </c>
      <c r="B21" s="78" t="n">
        <f aca="false">SUM(C21:N21)</f>
        <v>2363.07692307692</v>
      </c>
      <c r="C21" s="79" t="n">
        <f aca="false">C20*(1+'Assumption Setting'!$I$44+'Assumption Setting'!$J$44)</f>
        <v>196.923076923077</v>
      </c>
      <c r="D21" s="79" t="n">
        <f aca="false">D20*(1+'Assumption Setting'!$I$44+'Assumption Setting'!$J$44)</f>
        <v>196.923076923077</v>
      </c>
      <c r="E21" s="79" t="n">
        <f aca="false">E20*(1+'Assumption Setting'!$I$44+'Assumption Setting'!$J$44)</f>
        <v>196.923076923077</v>
      </c>
      <c r="F21" s="79" t="n">
        <f aca="false">F20*(1+'Assumption Setting'!$I$44+'Assumption Setting'!$J$44)</f>
        <v>196.923076923077</v>
      </c>
      <c r="G21" s="79" t="n">
        <f aca="false">G20*(1+'Assumption Setting'!$I$44+'Assumption Setting'!$J$44)</f>
        <v>196.923076923077</v>
      </c>
      <c r="H21" s="79" t="n">
        <f aca="false">H20*(1+'Assumption Setting'!$I$44+'Assumption Setting'!$J$44)</f>
        <v>196.923076923077</v>
      </c>
      <c r="I21" s="79" t="n">
        <f aca="false">I20*(1+'Assumption Setting'!$I$44+'Assumption Setting'!$J$44)</f>
        <v>196.923076923077</v>
      </c>
      <c r="J21" s="79" t="n">
        <f aca="false">J20*(1+'Assumption Setting'!$I$44+'Assumption Setting'!$J$44)</f>
        <v>196.923076923077</v>
      </c>
      <c r="K21" s="79" t="n">
        <f aca="false">K20*(1+'Assumption Setting'!$I$44+'Assumption Setting'!$J$44)</f>
        <v>196.923076923077</v>
      </c>
      <c r="L21" s="79" t="n">
        <f aca="false">L20*(1+'Assumption Setting'!$I$44+'Assumption Setting'!$J$44)</f>
        <v>196.923076923077</v>
      </c>
      <c r="M21" s="79" t="n">
        <f aca="false">M20*(1+'Assumption Setting'!$I$44+'Assumption Setting'!$J$44)</f>
        <v>196.923076923077</v>
      </c>
      <c r="N21" s="79" t="n">
        <f aca="false">N20*(1+'Assumption Setting'!$I$44+'Assumption Setting'!$J$44)</f>
        <v>196.923076923077</v>
      </c>
      <c r="O21" s="78" t="n">
        <f aca="false">SUM(P21:AA21)</f>
        <v>10633.8461538462</v>
      </c>
      <c r="P21" s="79" t="n">
        <f aca="false">P20*(1+'Assumption Setting'!$I$44+'Assumption Setting'!$J$44)</f>
        <v>886.153846153846</v>
      </c>
      <c r="Q21" s="79" t="n">
        <f aca="false">Q20*(1+'Assumption Setting'!$I$44+'Assumption Setting'!$J$44)</f>
        <v>886.153846153846</v>
      </c>
      <c r="R21" s="79" t="n">
        <f aca="false">R20*(1+'Assumption Setting'!$I$44+'Assumption Setting'!$J$44)</f>
        <v>886.153846153846</v>
      </c>
      <c r="S21" s="79" t="n">
        <f aca="false">S20*(1+'Assumption Setting'!$I$44+'Assumption Setting'!$J$44)</f>
        <v>886.153846153846</v>
      </c>
      <c r="T21" s="79" t="n">
        <f aca="false">T20*(1+'Assumption Setting'!$I$44+'Assumption Setting'!$J$44)</f>
        <v>886.153846153846</v>
      </c>
      <c r="U21" s="79" t="n">
        <f aca="false">U20*(1+'Assumption Setting'!$I$44+'Assumption Setting'!$J$44)</f>
        <v>886.153846153846</v>
      </c>
      <c r="V21" s="79" t="n">
        <f aca="false">V20*(1+'Assumption Setting'!$I$44+'Assumption Setting'!$J$44)</f>
        <v>886.153846153846</v>
      </c>
      <c r="W21" s="79" t="n">
        <f aca="false">W20*(1+'Assumption Setting'!$I$44+'Assumption Setting'!$J$44)</f>
        <v>886.153846153846</v>
      </c>
      <c r="X21" s="79" t="n">
        <f aca="false">X20*(1+'Assumption Setting'!$I$44+'Assumption Setting'!$J$44)</f>
        <v>886.153846153846</v>
      </c>
      <c r="Y21" s="79" t="n">
        <f aca="false">Y20*(1+'Assumption Setting'!$I$44+'Assumption Setting'!$J$44)</f>
        <v>886.153846153846</v>
      </c>
      <c r="Z21" s="79" t="n">
        <f aca="false">Z20*(1+'Assumption Setting'!$I$44+'Assumption Setting'!$J$44)</f>
        <v>886.153846153846</v>
      </c>
      <c r="AA21" s="79" t="n">
        <f aca="false">AA20*(1+'Assumption Setting'!$I$44+'Assumption Setting'!$J$44)</f>
        <v>886.153846153846</v>
      </c>
      <c r="AB21" s="78" t="n">
        <f aca="false">SUM(AC21:AN21)</f>
        <v>20676.9230769231</v>
      </c>
      <c r="AC21" s="79" t="n">
        <f aca="false">AC20*(1+'Assumption Setting'!$I$44+'Assumption Setting'!$J$44)</f>
        <v>1723.07692307692</v>
      </c>
      <c r="AD21" s="79" t="n">
        <f aca="false">AD20*(1+'Assumption Setting'!$I$44+'Assumption Setting'!$J$44)</f>
        <v>1723.07692307692</v>
      </c>
      <c r="AE21" s="79" t="n">
        <f aca="false">AE20*(1+'Assumption Setting'!$I$44+'Assumption Setting'!$J$44)</f>
        <v>1723.07692307692</v>
      </c>
      <c r="AF21" s="79" t="n">
        <f aca="false">AF20*(1+'Assumption Setting'!$I$44+'Assumption Setting'!$J$44)</f>
        <v>1723.07692307692</v>
      </c>
      <c r="AG21" s="79" t="n">
        <f aca="false">AG20*(1+'Assumption Setting'!$I$44+'Assumption Setting'!$J$44)</f>
        <v>1723.07692307692</v>
      </c>
      <c r="AH21" s="79" t="n">
        <f aca="false">AH20*(1+'Assumption Setting'!$I$44+'Assumption Setting'!$J$44)</f>
        <v>1723.07692307692</v>
      </c>
      <c r="AI21" s="79" t="n">
        <f aca="false">AI20*(1+'Assumption Setting'!$I$44+'Assumption Setting'!$J$44)</f>
        <v>1723.07692307692</v>
      </c>
      <c r="AJ21" s="79" t="n">
        <f aca="false">AJ20*(1+'Assumption Setting'!$I$44+'Assumption Setting'!$J$44)</f>
        <v>1723.07692307692</v>
      </c>
      <c r="AK21" s="79" t="n">
        <f aca="false">AK20*(1+'Assumption Setting'!$I$44+'Assumption Setting'!$J$44)</f>
        <v>1723.07692307692</v>
      </c>
      <c r="AL21" s="79" t="n">
        <f aca="false">AL20*(1+'Assumption Setting'!$I$44+'Assumption Setting'!$J$44)</f>
        <v>1723.07692307692</v>
      </c>
      <c r="AM21" s="79" t="n">
        <f aca="false">AM20*(1+'Assumption Setting'!$I$44+'Assumption Setting'!$J$44)</f>
        <v>1723.07692307692</v>
      </c>
      <c r="AN21" s="79" t="n">
        <f aca="false">AN20*(1+'Assumption Setting'!$I$44+'Assumption Setting'!$J$44)</f>
        <v>1723.07692307692</v>
      </c>
      <c r="AO21" s="78" t="n">
        <f aca="false">SUM(AP21:BA21)</f>
        <v>32492.3076923077</v>
      </c>
      <c r="AP21" s="79" t="n">
        <f aca="false">AP20*(1+'Assumption Setting'!$I$44+'Assumption Setting'!$J$44)</f>
        <v>2707.69230769231</v>
      </c>
      <c r="AQ21" s="79" t="n">
        <f aca="false">AQ20*(1+'Assumption Setting'!$I$44+'Assumption Setting'!$J$44)</f>
        <v>2707.69230769231</v>
      </c>
      <c r="AR21" s="79" t="n">
        <f aca="false">AR20*(1+'Assumption Setting'!$I$44+'Assumption Setting'!$J$44)</f>
        <v>2707.69230769231</v>
      </c>
      <c r="AS21" s="79" t="n">
        <f aca="false">AS20*(1+'Assumption Setting'!$I$44+'Assumption Setting'!$J$44)</f>
        <v>2707.69230769231</v>
      </c>
      <c r="AT21" s="79" t="n">
        <f aca="false">AT20*(1+'Assumption Setting'!$I$44+'Assumption Setting'!$J$44)</f>
        <v>2707.69230769231</v>
      </c>
      <c r="AU21" s="79" t="n">
        <f aca="false">AU20*(1+'Assumption Setting'!$I$44+'Assumption Setting'!$J$44)</f>
        <v>2707.69230769231</v>
      </c>
      <c r="AV21" s="79" t="n">
        <f aca="false">AV20*(1+'Assumption Setting'!$I$44+'Assumption Setting'!$J$44)</f>
        <v>2707.69230769231</v>
      </c>
      <c r="AW21" s="79" t="n">
        <f aca="false">AW20*(1+'Assumption Setting'!$I$44+'Assumption Setting'!$J$44)</f>
        <v>2707.69230769231</v>
      </c>
      <c r="AX21" s="79" t="n">
        <f aca="false">AX20*(1+'Assumption Setting'!$I$44+'Assumption Setting'!$J$44)</f>
        <v>2707.69230769231</v>
      </c>
      <c r="AY21" s="79" t="n">
        <f aca="false">AY20*(1+'Assumption Setting'!$I$44+'Assumption Setting'!$J$44)</f>
        <v>2707.69230769231</v>
      </c>
      <c r="AZ21" s="79" t="n">
        <f aca="false">AZ20*(1+'Assumption Setting'!$I$44+'Assumption Setting'!$J$44)</f>
        <v>2707.69230769231</v>
      </c>
      <c r="BA21" s="79" t="n">
        <f aca="false">BA20*(1+'Assumption Setting'!$I$44+'Assumption Setting'!$J$44)</f>
        <v>2707.69230769231</v>
      </c>
      <c r="BB21" s="78" t="n">
        <f aca="false">SUM(BC21:BN21)</f>
        <v>44307.6923076923</v>
      </c>
      <c r="BC21" s="79" t="n">
        <f aca="false">BC20*(1+'Assumption Setting'!$I$44+'Assumption Setting'!$J$44)</f>
        <v>3692.30769230769</v>
      </c>
      <c r="BD21" s="79" t="n">
        <f aca="false">BD20*(1+'Assumption Setting'!$I$44+'Assumption Setting'!$J$44)</f>
        <v>3692.30769230769</v>
      </c>
      <c r="BE21" s="79" t="n">
        <f aca="false">BE20*(1+'Assumption Setting'!$I$44+'Assumption Setting'!$J$44)</f>
        <v>3692.30769230769</v>
      </c>
      <c r="BF21" s="79" t="n">
        <f aca="false">BF20*(1+'Assumption Setting'!$I$44+'Assumption Setting'!$J$44)</f>
        <v>3692.30769230769</v>
      </c>
      <c r="BG21" s="79" t="n">
        <f aca="false">BG20*(1+'Assumption Setting'!$I$44+'Assumption Setting'!$J$44)</f>
        <v>3692.30769230769</v>
      </c>
      <c r="BH21" s="79" t="n">
        <f aca="false">BH20*(1+'Assumption Setting'!$I$44+'Assumption Setting'!$J$44)</f>
        <v>3692.30769230769</v>
      </c>
      <c r="BI21" s="79" t="n">
        <f aca="false">BI20*(1+'Assumption Setting'!$I$44+'Assumption Setting'!$J$44)</f>
        <v>3692.30769230769</v>
      </c>
      <c r="BJ21" s="79" t="n">
        <f aca="false">BJ20*(1+'Assumption Setting'!$I$44+'Assumption Setting'!$J$44)</f>
        <v>3692.30769230769</v>
      </c>
      <c r="BK21" s="79" t="n">
        <f aca="false">BK20*(1+'Assumption Setting'!$I$44+'Assumption Setting'!$J$44)</f>
        <v>3692.30769230769</v>
      </c>
      <c r="BL21" s="79" t="n">
        <f aca="false">BL20*(1+'Assumption Setting'!$I$44+'Assumption Setting'!$J$44)</f>
        <v>3692.30769230769</v>
      </c>
      <c r="BM21" s="79" t="n">
        <f aca="false">BM20*(1+'Assumption Setting'!$I$44+'Assumption Setting'!$J$44)</f>
        <v>3692.30769230769</v>
      </c>
      <c r="BN21" s="79" t="n">
        <f aca="false">BN20*(1+'Assumption Setting'!$I$44+'Assumption Setting'!$J$44)</f>
        <v>3692.30769230769</v>
      </c>
    </row>
    <row r="22" customFormat="false" ht="15" hidden="false" customHeight="false" outlineLevel="0" collapsed="false">
      <c r="A22" s="12" t="s">
        <v>598</v>
      </c>
      <c r="B22" s="80" t="n">
        <f aca="false">SUM(C22:N22)</f>
        <v>66.1661538461539</v>
      </c>
      <c r="C22" s="81" t="n">
        <f aca="false">C21*'Assumption Setting'!$K$44</f>
        <v>5.51384615384615</v>
      </c>
      <c r="D22" s="81" t="n">
        <f aca="false">D21*'Assumption Setting'!$K$44</f>
        <v>5.51384615384615</v>
      </c>
      <c r="E22" s="81" t="n">
        <f aca="false">E21*'Assumption Setting'!$K$44</f>
        <v>5.51384615384615</v>
      </c>
      <c r="F22" s="81" t="n">
        <f aca="false">F21*'Assumption Setting'!$K$44</f>
        <v>5.51384615384615</v>
      </c>
      <c r="G22" s="81" t="n">
        <f aca="false">G21*'Assumption Setting'!$K$44</f>
        <v>5.51384615384615</v>
      </c>
      <c r="H22" s="81" t="n">
        <f aca="false">H21*'Assumption Setting'!$K$44</f>
        <v>5.51384615384615</v>
      </c>
      <c r="I22" s="81" t="n">
        <f aca="false">I21*'Assumption Setting'!$K$44</f>
        <v>5.51384615384615</v>
      </c>
      <c r="J22" s="81" t="n">
        <f aca="false">J21*'Assumption Setting'!$K$44</f>
        <v>5.51384615384615</v>
      </c>
      <c r="K22" s="81" t="n">
        <f aca="false">K21*'Assumption Setting'!$K$44</f>
        <v>5.51384615384615</v>
      </c>
      <c r="L22" s="81" t="n">
        <f aca="false">L21*'Assumption Setting'!$K$44</f>
        <v>5.51384615384615</v>
      </c>
      <c r="M22" s="81" t="n">
        <f aca="false">M21*'Assumption Setting'!$K$44</f>
        <v>5.51384615384615</v>
      </c>
      <c r="N22" s="81" t="n">
        <f aca="false">N21*'Assumption Setting'!$K$44</f>
        <v>5.51384615384615</v>
      </c>
      <c r="O22" s="80" t="n">
        <f aca="false">SUM(P22:AA22)</f>
        <v>297.747692307692</v>
      </c>
      <c r="P22" s="81" t="n">
        <f aca="false">P21*'Assumption Setting'!$K$44</f>
        <v>24.8123076923077</v>
      </c>
      <c r="Q22" s="81" t="n">
        <f aca="false">Q21*'Assumption Setting'!$K$44</f>
        <v>24.8123076923077</v>
      </c>
      <c r="R22" s="81" t="n">
        <f aca="false">R21*'Assumption Setting'!$K$44</f>
        <v>24.8123076923077</v>
      </c>
      <c r="S22" s="81" t="n">
        <f aca="false">S21*'Assumption Setting'!$K$44</f>
        <v>24.8123076923077</v>
      </c>
      <c r="T22" s="81" t="n">
        <f aca="false">T21*'Assumption Setting'!$K$44</f>
        <v>24.8123076923077</v>
      </c>
      <c r="U22" s="81" t="n">
        <f aca="false">U21*'Assumption Setting'!$K$44</f>
        <v>24.8123076923077</v>
      </c>
      <c r="V22" s="81" t="n">
        <f aca="false">V21*'Assumption Setting'!$K$44</f>
        <v>24.8123076923077</v>
      </c>
      <c r="W22" s="81" t="n">
        <f aca="false">W21*'Assumption Setting'!$K$44</f>
        <v>24.8123076923077</v>
      </c>
      <c r="X22" s="81" t="n">
        <f aca="false">X21*'Assumption Setting'!$K$44</f>
        <v>24.8123076923077</v>
      </c>
      <c r="Y22" s="81" t="n">
        <f aca="false">Y21*'Assumption Setting'!$K$44</f>
        <v>24.8123076923077</v>
      </c>
      <c r="Z22" s="81" t="n">
        <f aca="false">Z21*'Assumption Setting'!$K$44</f>
        <v>24.8123076923077</v>
      </c>
      <c r="AA22" s="81" t="n">
        <f aca="false">AA21*'Assumption Setting'!$K$44</f>
        <v>24.8123076923077</v>
      </c>
      <c r="AB22" s="80" t="n">
        <f aca="false">SUM(AC22:AN22)</f>
        <v>578.953846153846</v>
      </c>
      <c r="AC22" s="81" t="n">
        <f aca="false">AC21*'Assumption Setting'!$K$44</f>
        <v>48.2461538461538</v>
      </c>
      <c r="AD22" s="81" t="n">
        <f aca="false">AD21*'Assumption Setting'!$K$44</f>
        <v>48.2461538461538</v>
      </c>
      <c r="AE22" s="81" t="n">
        <f aca="false">AE21*'Assumption Setting'!$K$44</f>
        <v>48.2461538461538</v>
      </c>
      <c r="AF22" s="81" t="n">
        <f aca="false">AF21*'Assumption Setting'!$K$44</f>
        <v>48.2461538461538</v>
      </c>
      <c r="AG22" s="81" t="n">
        <f aca="false">AG21*'Assumption Setting'!$K$44</f>
        <v>48.2461538461538</v>
      </c>
      <c r="AH22" s="81" t="n">
        <f aca="false">AH21*'Assumption Setting'!$K$44</f>
        <v>48.2461538461538</v>
      </c>
      <c r="AI22" s="81" t="n">
        <f aca="false">AI21*'Assumption Setting'!$K$44</f>
        <v>48.2461538461538</v>
      </c>
      <c r="AJ22" s="81" t="n">
        <f aca="false">AJ21*'Assumption Setting'!$K$44</f>
        <v>48.2461538461538</v>
      </c>
      <c r="AK22" s="81" t="n">
        <f aca="false">AK21*'Assumption Setting'!$K$44</f>
        <v>48.2461538461538</v>
      </c>
      <c r="AL22" s="81" t="n">
        <f aca="false">AL21*'Assumption Setting'!$K$44</f>
        <v>48.2461538461538</v>
      </c>
      <c r="AM22" s="81" t="n">
        <f aca="false">AM21*'Assumption Setting'!$K$44</f>
        <v>48.2461538461538</v>
      </c>
      <c r="AN22" s="81" t="n">
        <f aca="false">AN21*'Assumption Setting'!$K$44</f>
        <v>48.2461538461538</v>
      </c>
      <c r="AO22" s="80" t="n">
        <f aca="false">SUM(AP22:BA22)</f>
        <v>909.784615384615</v>
      </c>
      <c r="AP22" s="81" t="n">
        <f aca="false">AP21*'Assumption Setting'!$K$44</f>
        <v>75.8153846153846</v>
      </c>
      <c r="AQ22" s="81" t="n">
        <f aca="false">AQ21*'Assumption Setting'!$K$44</f>
        <v>75.8153846153846</v>
      </c>
      <c r="AR22" s="81" t="n">
        <f aca="false">AR21*'Assumption Setting'!$K$44</f>
        <v>75.8153846153846</v>
      </c>
      <c r="AS22" s="81" t="n">
        <f aca="false">AS21*'Assumption Setting'!$K$44</f>
        <v>75.8153846153846</v>
      </c>
      <c r="AT22" s="81" t="n">
        <f aca="false">AT21*'Assumption Setting'!$K$44</f>
        <v>75.8153846153846</v>
      </c>
      <c r="AU22" s="81" t="n">
        <f aca="false">AU21*'Assumption Setting'!$K$44</f>
        <v>75.8153846153846</v>
      </c>
      <c r="AV22" s="81" t="n">
        <f aca="false">AV21*'Assumption Setting'!$K$44</f>
        <v>75.8153846153846</v>
      </c>
      <c r="AW22" s="81" t="n">
        <f aca="false">AW21*'Assumption Setting'!$K$44</f>
        <v>75.8153846153846</v>
      </c>
      <c r="AX22" s="81" t="n">
        <f aca="false">AX21*'Assumption Setting'!$K$44</f>
        <v>75.8153846153846</v>
      </c>
      <c r="AY22" s="81" t="n">
        <f aca="false">AY21*'Assumption Setting'!$K$44</f>
        <v>75.8153846153846</v>
      </c>
      <c r="AZ22" s="81" t="n">
        <f aca="false">AZ21*'Assumption Setting'!$K$44</f>
        <v>75.8153846153846</v>
      </c>
      <c r="BA22" s="81" t="n">
        <f aca="false">BA21*'Assumption Setting'!$K$44</f>
        <v>75.8153846153846</v>
      </c>
      <c r="BB22" s="80" t="n">
        <f aca="false">SUM(BC22:BN22)</f>
        <v>1240.61538461538</v>
      </c>
      <c r="BC22" s="81" t="n">
        <f aca="false">BC21*'Assumption Setting'!$K$44</f>
        <v>103.384615384615</v>
      </c>
      <c r="BD22" s="81" t="n">
        <f aca="false">BD21*'Assumption Setting'!$K$44</f>
        <v>103.384615384615</v>
      </c>
      <c r="BE22" s="81" t="n">
        <f aca="false">BE21*'Assumption Setting'!$K$44</f>
        <v>103.384615384615</v>
      </c>
      <c r="BF22" s="81" t="n">
        <f aca="false">BF21*'Assumption Setting'!$K$44</f>
        <v>103.384615384615</v>
      </c>
      <c r="BG22" s="81" t="n">
        <f aca="false">BG21*'Assumption Setting'!$K$44</f>
        <v>103.384615384615</v>
      </c>
      <c r="BH22" s="81" t="n">
        <f aca="false">BH21*'Assumption Setting'!$K$44</f>
        <v>103.384615384615</v>
      </c>
      <c r="BI22" s="81" t="n">
        <f aca="false">BI21*'Assumption Setting'!$K$44</f>
        <v>103.384615384615</v>
      </c>
      <c r="BJ22" s="81" t="n">
        <f aca="false">BJ21*'Assumption Setting'!$K$44</f>
        <v>103.384615384615</v>
      </c>
      <c r="BK22" s="81" t="n">
        <f aca="false">BK21*'Assumption Setting'!$K$44</f>
        <v>103.384615384615</v>
      </c>
      <c r="BL22" s="81" t="n">
        <f aca="false">BL21*'Assumption Setting'!$K$44</f>
        <v>103.384615384615</v>
      </c>
      <c r="BM22" s="81" t="n">
        <f aca="false">BM21*'Assumption Setting'!$K$44</f>
        <v>103.384615384615</v>
      </c>
      <c r="BN22" s="81" t="n">
        <f aca="false">BN21*'Assumption Setting'!$K$44</f>
        <v>103.384615384615</v>
      </c>
    </row>
    <row r="23" customFormat="false" ht="15" hidden="false" customHeight="false" outlineLevel="0" collapsed="false">
      <c r="A23" s="12" t="s">
        <v>236</v>
      </c>
      <c r="B23" s="64" t="n">
        <f aca="false">SUM(C23:N23)</f>
        <v>360</v>
      </c>
      <c r="C23" s="65" t="n">
        <f aca="false">'Assumption Setting'!$C$45</f>
        <v>30</v>
      </c>
      <c r="D23" s="65" t="n">
        <f aca="false">'Assumption Setting'!$C$45</f>
        <v>30</v>
      </c>
      <c r="E23" s="65" t="n">
        <f aca="false">'Assumption Setting'!$C$45</f>
        <v>30</v>
      </c>
      <c r="F23" s="65" t="n">
        <f aca="false">'Assumption Setting'!$C$45</f>
        <v>30</v>
      </c>
      <c r="G23" s="65" t="n">
        <f aca="false">'Assumption Setting'!$C$45</f>
        <v>30</v>
      </c>
      <c r="H23" s="65" t="n">
        <f aca="false">'Assumption Setting'!$C$45</f>
        <v>30</v>
      </c>
      <c r="I23" s="65" t="n">
        <f aca="false">'Assumption Setting'!$C$45</f>
        <v>30</v>
      </c>
      <c r="J23" s="65" t="n">
        <f aca="false">'Assumption Setting'!$C$45</f>
        <v>30</v>
      </c>
      <c r="K23" s="65" t="n">
        <f aca="false">'Assumption Setting'!$C$45</f>
        <v>30</v>
      </c>
      <c r="L23" s="65" t="n">
        <f aca="false">'Assumption Setting'!$C$45</f>
        <v>30</v>
      </c>
      <c r="M23" s="65" t="n">
        <f aca="false">'Assumption Setting'!$C$45</f>
        <v>30</v>
      </c>
      <c r="N23" s="65" t="n">
        <f aca="false">'Assumption Setting'!$C$45</f>
        <v>30</v>
      </c>
      <c r="O23" s="64" t="n">
        <f aca="false">SUM(P23:AA23)</f>
        <v>1200</v>
      </c>
      <c r="P23" s="65" t="n">
        <f aca="false">'Assumption Setting'!$D$45</f>
        <v>100</v>
      </c>
      <c r="Q23" s="65" t="n">
        <f aca="false">'Assumption Setting'!$D$45</f>
        <v>100</v>
      </c>
      <c r="R23" s="65" t="n">
        <f aca="false">'Assumption Setting'!$D$45</f>
        <v>100</v>
      </c>
      <c r="S23" s="65" t="n">
        <f aca="false">'Assumption Setting'!$D$45</f>
        <v>100</v>
      </c>
      <c r="T23" s="65" t="n">
        <f aca="false">'Assumption Setting'!$D$45</f>
        <v>100</v>
      </c>
      <c r="U23" s="65" t="n">
        <f aca="false">'Assumption Setting'!$D$45</f>
        <v>100</v>
      </c>
      <c r="V23" s="65" t="n">
        <f aca="false">'Assumption Setting'!$D$45</f>
        <v>100</v>
      </c>
      <c r="W23" s="65" t="n">
        <f aca="false">'Assumption Setting'!$D$45</f>
        <v>100</v>
      </c>
      <c r="X23" s="65" t="n">
        <f aca="false">'Assumption Setting'!$D$45</f>
        <v>100</v>
      </c>
      <c r="Y23" s="65" t="n">
        <f aca="false">'Assumption Setting'!$D$45</f>
        <v>100</v>
      </c>
      <c r="Z23" s="65" t="n">
        <f aca="false">'Assumption Setting'!$D$45</f>
        <v>100</v>
      </c>
      <c r="AA23" s="65" t="n">
        <f aca="false">'Assumption Setting'!$D$45</f>
        <v>100</v>
      </c>
      <c r="AB23" s="64" t="n">
        <f aca="false">SUM(AC23:AN23)</f>
        <v>2400</v>
      </c>
      <c r="AC23" s="65" t="n">
        <f aca="false">'Assumption Setting'!$E$45</f>
        <v>200</v>
      </c>
      <c r="AD23" s="65" t="n">
        <f aca="false">'Assumption Setting'!$E$45</f>
        <v>200</v>
      </c>
      <c r="AE23" s="65" t="n">
        <f aca="false">'Assumption Setting'!$E$45</f>
        <v>200</v>
      </c>
      <c r="AF23" s="65" t="n">
        <f aca="false">'Assumption Setting'!$E$45</f>
        <v>200</v>
      </c>
      <c r="AG23" s="65" t="n">
        <f aca="false">'Assumption Setting'!$E$45</f>
        <v>200</v>
      </c>
      <c r="AH23" s="65" t="n">
        <f aca="false">'Assumption Setting'!$E$45</f>
        <v>200</v>
      </c>
      <c r="AI23" s="65" t="n">
        <f aca="false">'Assumption Setting'!$E$45</f>
        <v>200</v>
      </c>
      <c r="AJ23" s="65" t="n">
        <f aca="false">'Assumption Setting'!$E$45</f>
        <v>200</v>
      </c>
      <c r="AK23" s="65" t="n">
        <f aca="false">'Assumption Setting'!$E$45</f>
        <v>200</v>
      </c>
      <c r="AL23" s="65" t="n">
        <f aca="false">'Assumption Setting'!$E$45</f>
        <v>200</v>
      </c>
      <c r="AM23" s="65" t="n">
        <f aca="false">'Assumption Setting'!$E$45</f>
        <v>200</v>
      </c>
      <c r="AN23" s="65" t="n">
        <f aca="false">'Assumption Setting'!$E$45</f>
        <v>200</v>
      </c>
      <c r="AO23" s="64" t="n">
        <f aca="false">SUM(AP23:BA23)</f>
        <v>3600</v>
      </c>
      <c r="AP23" s="65" t="n">
        <f aca="false">'Assumption Setting'!$F$45</f>
        <v>300</v>
      </c>
      <c r="AQ23" s="65" t="n">
        <f aca="false">'Assumption Setting'!$F$45</f>
        <v>300</v>
      </c>
      <c r="AR23" s="65" t="n">
        <f aca="false">'Assumption Setting'!$F$45</f>
        <v>300</v>
      </c>
      <c r="AS23" s="65" t="n">
        <f aca="false">'Assumption Setting'!$F$45</f>
        <v>300</v>
      </c>
      <c r="AT23" s="65" t="n">
        <f aca="false">'Assumption Setting'!$F$45</f>
        <v>300</v>
      </c>
      <c r="AU23" s="65" t="n">
        <f aca="false">'Assumption Setting'!$F$45</f>
        <v>300</v>
      </c>
      <c r="AV23" s="65" t="n">
        <f aca="false">'Assumption Setting'!$F$45</f>
        <v>300</v>
      </c>
      <c r="AW23" s="65" t="n">
        <f aca="false">'Assumption Setting'!$F$45</f>
        <v>300</v>
      </c>
      <c r="AX23" s="65" t="n">
        <f aca="false">'Assumption Setting'!$F$45</f>
        <v>300</v>
      </c>
      <c r="AY23" s="65" t="n">
        <f aca="false">'Assumption Setting'!$F$45</f>
        <v>300</v>
      </c>
      <c r="AZ23" s="65" t="n">
        <f aca="false">'Assumption Setting'!$F$45</f>
        <v>300</v>
      </c>
      <c r="BA23" s="65" t="n">
        <f aca="false">'Assumption Setting'!$F$45</f>
        <v>300</v>
      </c>
      <c r="BB23" s="64" t="n">
        <f aca="false">SUM(BC23:BN23)</f>
        <v>4800</v>
      </c>
      <c r="BC23" s="65" t="n">
        <f aca="false">'Assumption Setting'!$G$45</f>
        <v>400</v>
      </c>
      <c r="BD23" s="65" t="n">
        <f aca="false">'Assumption Setting'!$G$45</f>
        <v>400</v>
      </c>
      <c r="BE23" s="65" t="n">
        <f aca="false">'Assumption Setting'!$G$45</f>
        <v>400</v>
      </c>
      <c r="BF23" s="65" t="n">
        <f aca="false">'Assumption Setting'!$G$45</f>
        <v>400</v>
      </c>
      <c r="BG23" s="65" t="n">
        <f aca="false">'Assumption Setting'!$G$45</f>
        <v>400</v>
      </c>
      <c r="BH23" s="65" t="n">
        <f aca="false">'Assumption Setting'!$G$45</f>
        <v>400</v>
      </c>
      <c r="BI23" s="65" t="n">
        <f aca="false">'Assumption Setting'!$G$45</f>
        <v>400</v>
      </c>
      <c r="BJ23" s="65" t="n">
        <f aca="false">'Assumption Setting'!$G$45</f>
        <v>400</v>
      </c>
      <c r="BK23" s="65" t="n">
        <f aca="false">'Assumption Setting'!$G$45</f>
        <v>400</v>
      </c>
      <c r="BL23" s="65" t="n">
        <f aca="false">'Assumption Setting'!$G$45</f>
        <v>400</v>
      </c>
      <c r="BM23" s="65" t="n">
        <f aca="false">'Assumption Setting'!$G$45</f>
        <v>400</v>
      </c>
      <c r="BN23" s="65" t="n">
        <f aca="false">'Assumption Setting'!$G$45</f>
        <v>400</v>
      </c>
    </row>
    <row r="24" customFormat="false" ht="15" hidden="false" customHeight="false" outlineLevel="0" collapsed="false">
      <c r="A24" s="12" t="s">
        <v>596</v>
      </c>
      <c r="B24" s="78" t="n">
        <f aca="false">SUM(C24:N24)</f>
        <v>654.545454545454</v>
      </c>
      <c r="C24" s="79" t="n">
        <f aca="false">IFERROR(C23/'Assumption Setting'!$H$45,0)</f>
        <v>54.5454545454545</v>
      </c>
      <c r="D24" s="79" t="n">
        <f aca="false">IFERROR(D23/'Assumption Setting'!$H$45,0)</f>
        <v>54.5454545454545</v>
      </c>
      <c r="E24" s="79" t="n">
        <f aca="false">IFERROR(E23/'Assumption Setting'!$H$45,0)</f>
        <v>54.5454545454545</v>
      </c>
      <c r="F24" s="79" t="n">
        <f aca="false">IFERROR(F23/'Assumption Setting'!$H$45,0)</f>
        <v>54.5454545454545</v>
      </c>
      <c r="G24" s="79" t="n">
        <f aca="false">IFERROR(G23/'Assumption Setting'!$H$45,0)</f>
        <v>54.5454545454545</v>
      </c>
      <c r="H24" s="79" t="n">
        <f aca="false">IFERROR(H23/'Assumption Setting'!$H$45,0)</f>
        <v>54.5454545454545</v>
      </c>
      <c r="I24" s="79" t="n">
        <f aca="false">IFERROR(I23/'Assumption Setting'!$H$45,0)</f>
        <v>54.5454545454545</v>
      </c>
      <c r="J24" s="79" t="n">
        <f aca="false">IFERROR(J23/'Assumption Setting'!$H$45,0)</f>
        <v>54.5454545454545</v>
      </c>
      <c r="K24" s="79" t="n">
        <f aca="false">IFERROR(K23/'Assumption Setting'!$H$45,0)</f>
        <v>54.5454545454545</v>
      </c>
      <c r="L24" s="79" t="n">
        <f aca="false">IFERROR(L23/'Assumption Setting'!$H$45,0)</f>
        <v>54.5454545454545</v>
      </c>
      <c r="M24" s="79" t="n">
        <f aca="false">IFERROR(M23/'Assumption Setting'!$H$45,0)</f>
        <v>54.5454545454545</v>
      </c>
      <c r="N24" s="79" t="n">
        <f aca="false">IFERROR(N23/'Assumption Setting'!$H$45,0)</f>
        <v>54.5454545454545</v>
      </c>
      <c r="O24" s="78" t="n">
        <f aca="false">SUM(P24:AA24)</f>
        <v>2181.81818181818</v>
      </c>
      <c r="P24" s="79" t="n">
        <f aca="false">IFERROR(P23/'Assumption Setting'!$H$45,0)</f>
        <v>181.818181818182</v>
      </c>
      <c r="Q24" s="79" t="n">
        <f aca="false">IFERROR(Q23/'Assumption Setting'!$H$45,0)</f>
        <v>181.818181818182</v>
      </c>
      <c r="R24" s="79" t="n">
        <f aca="false">IFERROR(R23/'Assumption Setting'!$H$45,0)</f>
        <v>181.818181818182</v>
      </c>
      <c r="S24" s="79" t="n">
        <f aca="false">IFERROR(S23/'Assumption Setting'!$H$45,0)</f>
        <v>181.818181818182</v>
      </c>
      <c r="T24" s="79" t="n">
        <f aca="false">IFERROR(T23/'Assumption Setting'!$H$45,0)</f>
        <v>181.818181818182</v>
      </c>
      <c r="U24" s="79" t="n">
        <f aca="false">IFERROR(U23/'Assumption Setting'!$H$45,0)</f>
        <v>181.818181818182</v>
      </c>
      <c r="V24" s="79" t="n">
        <f aca="false">IFERROR(V23/'Assumption Setting'!$H$45,0)</f>
        <v>181.818181818182</v>
      </c>
      <c r="W24" s="79" t="n">
        <f aca="false">IFERROR(W23/'Assumption Setting'!$H$45,0)</f>
        <v>181.818181818182</v>
      </c>
      <c r="X24" s="79" t="n">
        <f aca="false">IFERROR(X23/'Assumption Setting'!$H$45,0)</f>
        <v>181.818181818182</v>
      </c>
      <c r="Y24" s="79" t="n">
        <f aca="false">IFERROR(Y23/'Assumption Setting'!$H$45,0)</f>
        <v>181.818181818182</v>
      </c>
      <c r="Z24" s="79" t="n">
        <f aca="false">IFERROR(Z23/'Assumption Setting'!$H$45,0)</f>
        <v>181.818181818182</v>
      </c>
      <c r="AA24" s="79" t="n">
        <f aca="false">IFERROR(AA23/'Assumption Setting'!$H$45,0)</f>
        <v>181.818181818182</v>
      </c>
      <c r="AB24" s="78" t="n">
        <f aca="false">SUM(AC24:AN24)</f>
        <v>4363.63636363636</v>
      </c>
      <c r="AC24" s="79" t="n">
        <f aca="false">IFERROR(AC23/'Assumption Setting'!$H$45,0)</f>
        <v>363.636363636364</v>
      </c>
      <c r="AD24" s="79" t="n">
        <f aca="false">IFERROR(AD23/'Assumption Setting'!$H$45,0)</f>
        <v>363.636363636364</v>
      </c>
      <c r="AE24" s="79" t="n">
        <f aca="false">IFERROR(AE23/'Assumption Setting'!$H$45,0)</f>
        <v>363.636363636364</v>
      </c>
      <c r="AF24" s="79" t="n">
        <f aca="false">IFERROR(AF23/'Assumption Setting'!$H$45,0)</f>
        <v>363.636363636364</v>
      </c>
      <c r="AG24" s="79" t="n">
        <f aca="false">IFERROR(AG23/'Assumption Setting'!$H$45,0)</f>
        <v>363.636363636364</v>
      </c>
      <c r="AH24" s="79" t="n">
        <f aca="false">IFERROR(AH23/'Assumption Setting'!$H$45,0)</f>
        <v>363.636363636364</v>
      </c>
      <c r="AI24" s="79" t="n">
        <f aca="false">IFERROR(AI23/'Assumption Setting'!$H$45,0)</f>
        <v>363.636363636364</v>
      </c>
      <c r="AJ24" s="79" t="n">
        <f aca="false">IFERROR(AJ23/'Assumption Setting'!$H$45,0)</f>
        <v>363.636363636364</v>
      </c>
      <c r="AK24" s="79" t="n">
        <f aca="false">IFERROR(AK23/'Assumption Setting'!$H$45,0)</f>
        <v>363.636363636364</v>
      </c>
      <c r="AL24" s="79" t="n">
        <f aca="false">IFERROR(AL23/'Assumption Setting'!$H$45,0)</f>
        <v>363.636363636364</v>
      </c>
      <c r="AM24" s="79" t="n">
        <f aca="false">IFERROR(AM23/'Assumption Setting'!$H$45,0)</f>
        <v>363.636363636364</v>
      </c>
      <c r="AN24" s="79" t="n">
        <f aca="false">IFERROR(AN23/'Assumption Setting'!$H$45,0)</f>
        <v>363.636363636364</v>
      </c>
      <c r="AO24" s="78" t="n">
        <f aca="false">SUM(AP24:BA24)</f>
        <v>6545.45454545454</v>
      </c>
      <c r="AP24" s="79" t="n">
        <f aca="false">IFERROR(AP23/'Assumption Setting'!$H$45,0)</f>
        <v>545.454545454545</v>
      </c>
      <c r="AQ24" s="79" t="n">
        <f aca="false">IFERROR(AQ23/'Assumption Setting'!$H$45,0)</f>
        <v>545.454545454545</v>
      </c>
      <c r="AR24" s="79" t="n">
        <f aca="false">IFERROR(AR23/'Assumption Setting'!$H$45,0)</f>
        <v>545.454545454545</v>
      </c>
      <c r="AS24" s="79" t="n">
        <f aca="false">IFERROR(AS23/'Assumption Setting'!$H$45,0)</f>
        <v>545.454545454545</v>
      </c>
      <c r="AT24" s="79" t="n">
        <f aca="false">IFERROR(AT23/'Assumption Setting'!$H$45,0)</f>
        <v>545.454545454545</v>
      </c>
      <c r="AU24" s="79" t="n">
        <f aca="false">IFERROR(AU23/'Assumption Setting'!$H$45,0)</f>
        <v>545.454545454545</v>
      </c>
      <c r="AV24" s="79" t="n">
        <f aca="false">IFERROR(AV23/'Assumption Setting'!$H$45,0)</f>
        <v>545.454545454545</v>
      </c>
      <c r="AW24" s="79" t="n">
        <f aca="false">IFERROR(AW23/'Assumption Setting'!$H$45,0)</f>
        <v>545.454545454545</v>
      </c>
      <c r="AX24" s="79" t="n">
        <f aca="false">IFERROR(AX23/'Assumption Setting'!$H$45,0)</f>
        <v>545.454545454545</v>
      </c>
      <c r="AY24" s="79" t="n">
        <f aca="false">IFERROR(AY23/'Assumption Setting'!$H$45,0)</f>
        <v>545.454545454545</v>
      </c>
      <c r="AZ24" s="79" t="n">
        <f aca="false">IFERROR(AZ23/'Assumption Setting'!$H$45,0)</f>
        <v>545.454545454545</v>
      </c>
      <c r="BA24" s="79" t="n">
        <f aca="false">IFERROR(BA23/'Assumption Setting'!$H$45,0)</f>
        <v>545.454545454545</v>
      </c>
      <c r="BB24" s="78" t="n">
        <f aca="false">SUM(BC24:BN24)</f>
        <v>8727.27272727273</v>
      </c>
      <c r="BC24" s="79" t="n">
        <f aca="false">IFERROR(BC23/'Assumption Setting'!$H$45,0)</f>
        <v>727.272727272727</v>
      </c>
      <c r="BD24" s="79" t="n">
        <f aca="false">IFERROR(BD23/'Assumption Setting'!$H$45,0)</f>
        <v>727.272727272727</v>
      </c>
      <c r="BE24" s="79" t="n">
        <f aca="false">IFERROR(BE23/'Assumption Setting'!$H$45,0)</f>
        <v>727.272727272727</v>
      </c>
      <c r="BF24" s="79" t="n">
        <f aca="false">IFERROR(BF23/'Assumption Setting'!$H$45,0)</f>
        <v>727.272727272727</v>
      </c>
      <c r="BG24" s="79" t="n">
        <f aca="false">IFERROR(BG23/'Assumption Setting'!$H$45,0)</f>
        <v>727.272727272727</v>
      </c>
      <c r="BH24" s="79" t="n">
        <f aca="false">IFERROR(BH23/'Assumption Setting'!$H$45,0)</f>
        <v>727.272727272727</v>
      </c>
      <c r="BI24" s="79" t="n">
        <f aca="false">IFERROR(BI23/'Assumption Setting'!$H$45,0)</f>
        <v>727.272727272727</v>
      </c>
      <c r="BJ24" s="79" t="n">
        <f aca="false">IFERROR(BJ23/'Assumption Setting'!$H$45,0)</f>
        <v>727.272727272727</v>
      </c>
      <c r="BK24" s="79" t="n">
        <f aca="false">IFERROR(BK23/'Assumption Setting'!$H$45,0)</f>
        <v>727.272727272727</v>
      </c>
      <c r="BL24" s="79" t="n">
        <f aca="false">IFERROR(BL23/'Assumption Setting'!$H$45,0)</f>
        <v>727.272727272727</v>
      </c>
      <c r="BM24" s="79" t="n">
        <f aca="false">IFERROR(BM23/'Assumption Setting'!$H$45,0)</f>
        <v>727.272727272727</v>
      </c>
      <c r="BN24" s="79" t="n">
        <f aca="false">IFERROR(BN23/'Assumption Setting'!$H$45,0)</f>
        <v>727.272727272727</v>
      </c>
    </row>
    <row r="25" customFormat="false" ht="15" hidden="false" customHeight="false" outlineLevel="0" collapsed="false">
      <c r="A25" s="12" t="s">
        <v>597</v>
      </c>
      <c r="B25" s="78" t="n">
        <f aca="false">SUM(C25:N25)</f>
        <v>759.272727272727</v>
      </c>
      <c r="C25" s="79" t="n">
        <f aca="false">C24*(1+'Assumption Setting'!$I$45+'Assumption Setting'!$J$45)</f>
        <v>63.2727272727273</v>
      </c>
      <c r="D25" s="79" t="n">
        <f aca="false">D24*(1+'Assumption Setting'!$I$45+'Assumption Setting'!$J$45)</f>
        <v>63.2727272727273</v>
      </c>
      <c r="E25" s="79" t="n">
        <f aca="false">E24*(1+'Assumption Setting'!$I$45+'Assumption Setting'!$J$45)</f>
        <v>63.2727272727273</v>
      </c>
      <c r="F25" s="79" t="n">
        <f aca="false">F24*(1+'Assumption Setting'!$I$45+'Assumption Setting'!$J$45)</f>
        <v>63.2727272727273</v>
      </c>
      <c r="G25" s="79" t="n">
        <f aca="false">G24*(1+'Assumption Setting'!$I$45+'Assumption Setting'!$J$45)</f>
        <v>63.2727272727273</v>
      </c>
      <c r="H25" s="79" t="n">
        <f aca="false">H24*(1+'Assumption Setting'!$I$45+'Assumption Setting'!$J$45)</f>
        <v>63.2727272727273</v>
      </c>
      <c r="I25" s="79" t="n">
        <f aca="false">I24*(1+'Assumption Setting'!$I$45+'Assumption Setting'!$J$45)</f>
        <v>63.2727272727273</v>
      </c>
      <c r="J25" s="79" t="n">
        <f aca="false">J24*(1+'Assumption Setting'!$I$45+'Assumption Setting'!$J$45)</f>
        <v>63.2727272727273</v>
      </c>
      <c r="K25" s="79" t="n">
        <f aca="false">K24*(1+'Assumption Setting'!$I$45+'Assumption Setting'!$J$45)</f>
        <v>63.2727272727273</v>
      </c>
      <c r="L25" s="79" t="n">
        <f aca="false">L24*(1+'Assumption Setting'!$I$45+'Assumption Setting'!$J$45)</f>
        <v>63.2727272727273</v>
      </c>
      <c r="M25" s="79" t="n">
        <f aca="false">M24*(1+'Assumption Setting'!$I$45+'Assumption Setting'!$J$45)</f>
        <v>63.2727272727273</v>
      </c>
      <c r="N25" s="79" t="n">
        <f aca="false">N24*(1+'Assumption Setting'!$I$45+'Assumption Setting'!$J$45)</f>
        <v>63.2727272727273</v>
      </c>
      <c r="O25" s="78" t="n">
        <f aca="false">SUM(P25:AA25)</f>
        <v>2530.90909090909</v>
      </c>
      <c r="P25" s="79" t="n">
        <f aca="false">P24*(1+'Assumption Setting'!$I$45+'Assumption Setting'!$J$45)</f>
        <v>210.909090909091</v>
      </c>
      <c r="Q25" s="79" t="n">
        <f aca="false">Q24*(1+'Assumption Setting'!$I$45+'Assumption Setting'!$J$45)</f>
        <v>210.909090909091</v>
      </c>
      <c r="R25" s="79" t="n">
        <f aca="false">R24*(1+'Assumption Setting'!$I$45+'Assumption Setting'!$J$45)</f>
        <v>210.909090909091</v>
      </c>
      <c r="S25" s="79" t="n">
        <f aca="false">S24*(1+'Assumption Setting'!$I$45+'Assumption Setting'!$J$45)</f>
        <v>210.909090909091</v>
      </c>
      <c r="T25" s="79" t="n">
        <f aca="false">T24*(1+'Assumption Setting'!$I$45+'Assumption Setting'!$J$45)</f>
        <v>210.909090909091</v>
      </c>
      <c r="U25" s="79" t="n">
        <f aca="false">U24*(1+'Assumption Setting'!$I$45+'Assumption Setting'!$J$45)</f>
        <v>210.909090909091</v>
      </c>
      <c r="V25" s="79" t="n">
        <f aca="false">V24*(1+'Assumption Setting'!$I$45+'Assumption Setting'!$J$45)</f>
        <v>210.909090909091</v>
      </c>
      <c r="W25" s="79" t="n">
        <f aca="false">W24*(1+'Assumption Setting'!$I$45+'Assumption Setting'!$J$45)</f>
        <v>210.909090909091</v>
      </c>
      <c r="X25" s="79" t="n">
        <f aca="false">X24*(1+'Assumption Setting'!$I$45+'Assumption Setting'!$J$45)</f>
        <v>210.909090909091</v>
      </c>
      <c r="Y25" s="79" t="n">
        <f aca="false">Y24*(1+'Assumption Setting'!$I$45+'Assumption Setting'!$J$45)</f>
        <v>210.909090909091</v>
      </c>
      <c r="Z25" s="79" t="n">
        <f aca="false">Z24*(1+'Assumption Setting'!$I$45+'Assumption Setting'!$J$45)</f>
        <v>210.909090909091</v>
      </c>
      <c r="AA25" s="79" t="n">
        <f aca="false">AA24*(1+'Assumption Setting'!$I$45+'Assumption Setting'!$J$45)</f>
        <v>210.909090909091</v>
      </c>
      <c r="AB25" s="78" t="n">
        <f aca="false">SUM(AC25:AN25)</f>
        <v>5061.81818181818</v>
      </c>
      <c r="AC25" s="79" t="n">
        <f aca="false">AC24*(1+'Assumption Setting'!$I$45+'Assumption Setting'!$J$45)</f>
        <v>421.818181818182</v>
      </c>
      <c r="AD25" s="79" t="n">
        <f aca="false">AD24*(1+'Assumption Setting'!$I$45+'Assumption Setting'!$J$45)</f>
        <v>421.818181818182</v>
      </c>
      <c r="AE25" s="79" t="n">
        <f aca="false">AE24*(1+'Assumption Setting'!$I$45+'Assumption Setting'!$J$45)</f>
        <v>421.818181818182</v>
      </c>
      <c r="AF25" s="79" t="n">
        <f aca="false">AF24*(1+'Assumption Setting'!$I$45+'Assumption Setting'!$J$45)</f>
        <v>421.818181818182</v>
      </c>
      <c r="AG25" s="79" t="n">
        <f aca="false">AG24*(1+'Assumption Setting'!$I$45+'Assumption Setting'!$J$45)</f>
        <v>421.818181818182</v>
      </c>
      <c r="AH25" s="79" t="n">
        <f aca="false">AH24*(1+'Assumption Setting'!$I$45+'Assumption Setting'!$J$45)</f>
        <v>421.818181818182</v>
      </c>
      <c r="AI25" s="79" t="n">
        <f aca="false">AI24*(1+'Assumption Setting'!$I$45+'Assumption Setting'!$J$45)</f>
        <v>421.818181818182</v>
      </c>
      <c r="AJ25" s="79" t="n">
        <f aca="false">AJ24*(1+'Assumption Setting'!$I$45+'Assumption Setting'!$J$45)</f>
        <v>421.818181818182</v>
      </c>
      <c r="AK25" s="79" t="n">
        <f aca="false">AK24*(1+'Assumption Setting'!$I$45+'Assumption Setting'!$J$45)</f>
        <v>421.818181818182</v>
      </c>
      <c r="AL25" s="79" t="n">
        <f aca="false">AL24*(1+'Assumption Setting'!$I$45+'Assumption Setting'!$J$45)</f>
        <v>421.818181818182</v>
      </c>
      <c r="AM25" s="79" t="n">
        <f aca="false">AM24*(1+'Assumption Setting'!$I$45+'Assumption Setting'!$J$45)</f>
        <v>421.818181818182</v>
      </c>
      <c r="AN25" s="79" t="n">
        <f aca="false">AN24*(1+'Assumption Setting'!$I$45+'Assumption Setting'!$J$45)</f>
        <v>421.818181818182</v>
      </c>
      <c r="AO25" s="78" t="n">
        <f aca="false">SUM(AP25:BA25)</f>
        <v>7592.72727272727</v>
      </c>
      <c r="AP25" s="79" t="n">
        <f aca="false">AP24*(1+'Assumption Setting'!$I$45+'Assumption Setting'!$J$45)</f>
        <v>632.727272727273</v>
      </c>
      <c r="AQ25" s="79" t="n">
        <f aca="false">AQ24*(1+'Assumption Setting'!$I$45+'Assumption Setting'!$J$45)</f>
        <v>632.727272727273</v>
      </c>
      <c r="AR25" s="79" t="n">
        <f aca="false">AR24*(1+'Assumption Setting'!$I$45+'Assumption Setting'!$J$45)</f>
        <v>632.727272727273</v>
      </c>
      <c r="AS25" s="79" t="n">
        <f aca="false">AS24*(1+'Assumption Setting'!$I$45+'Assumption Setting'!$J$45)</f>
        <v>632.727272727273</v>
      </c>
      <c r="AT25" s="79" t="n">
        <f aca="false">AT24*(1+'Assumption Setting'!$I$45+'Assumption Setting'!$J$45)</f>
        <v>632.727272727273</v>
      </c>
      <c r="AU25" s="79" t="n">
        <f aca="false">AU24*(1+'Assumption Setting'!$I$45+'Assumption Setting'!$J$45)</f>
        <v>632.727272727273</v>
      </c>
      <c r="AV25" s="79" t="n">
        <f aca="false">AV24*(1+'Assumption Setting'!$I$45+'Assumption Setting'!$J$45)</f>
        <v>632.727272727273</v>
      </c>
      <c r="AW25" s="79" t="n">
        <f aca="false">AW24*(1+'Assumption Setting'!$I$45+'Assumption Setting'!$J$45)</f>
        <v>632.727272727273</v>
      </c>
      <c r="AX25" s="79" t="n">
        <f aca="false">AX24*(1+'Assumption Setting'!$I$45+'Assumption Setting'!$J$45)</f>
        <v>632.727272727273</v>
      </c>
      <c r="AY25" s="79" t="n">
        <f aca="false">AY24*(1+'Assumption Setting'!$I$45+'Assumption Setting'!$J$45)</f>
        <v>632.727272727273</v>
      </c>
      <c r="AZ25" s="79" t="n">
        <f aca="false">AZ24*(1+'Assumption Setting'!$I$45+'Assumption Setting'!$J$45)</f>
        <v>632.727272727273</v>
      </c>
      <c r="BA25" s="79" t="n">
        <f aca="false">BA24*(1+'Assumption Setting'!$I$45+'Assumption Setting'!$J$45)</f>
        <v>632.727272727273</v>
      </c>
      <c r="BB25" s="78" t="n">
        <f aca="false">SUM(BC25:BN25)</f>
        <v>10123.6363636364</v>
      </c>
      <c r="BC25" s="79" t="n">
        <f aca="false">BC24*(1+'Assumption Setting'!$I$45+'Assumption Setting'!$J$45)</f>
        <v>843.636363636364</v>
      </c>
      <c r="BD25" s="79" t="n">
        <f aca="false">BD24*(1+'Assumption Setting'!$I$45+'Assumption Setting'!$J$45)</f>
        <v>843.636363636364</v>
      </c>
      <c r="BE25" s="79" t="n">
        <f aca="false">BE24*(1+'Assumption Setting'!$I$45+'Assumption Setting'!$J$45)</f>
        <v>843.636363636364</v>
      </c>
      <c r="BF25" s="79" t="n">
        <f aca="false">BF24*(1+'Assumption Setting'!$I$45+'Assumption Setting'!$J$45)</f>
        <v>843.636363636364</v>
      </c>
      <c r="BG25" s="79" t="n">
        <f aca="false">BG24*(1+'Assumption Setting'!$I$45+'Assumption Setting'!$J$45)</f>
        <v>843.636363636364</v>
      </c>
      <c r="BH25" s="79" t="n">
        <f aca="false">BH24*(1+'Assumption Setting'!$I$45+'Assumption Setting'!$J$45)</f>
        <v>843.636363636364</v>
      </c>
      <c r="BI25" s="79" t="n">
        <f aca="false">BI24*(1+'Assumption Setting'!$I$45+'Assumption Setting'!$J$45)</f>
        <v>843.636363636364</v>
      </c>
      <c r="BJ25" s="79" t="n">
        <f aca="false">BJ24*(1+'Assumption Setting'!$I$45+'Assumption Setting'!$J$45)</f>
        <v>843.636363636364</v>
      </c>
      <c r="BK25" s="79" t="n">
        <f aca="false">BK24*(1+'Assumption Setting'!$I$45+'Assumption Setting'!$J$45)</f>
        <v>843.636363636364</v>
      </c>
      <c r="BL25" s="79" t="n">
        <f aca="false">BL24*(1+'Assumption Setting'!$I$45+'Assumption Setting'!$J$45)</f>
        <v>843.636363636364</v>
      </c>
      <c r="BM25" s="79" t="n">
        <f aca="false">BM24*(1+'Assumption Setting'!$I$45+'Assumption Setting'!$J$45)</f>
        <v>843.636363636364</v>
      </c>
      <c r="BN25" s="79" t="n">
        <f aca="false">BN24*(1+'Assumption Setting'!$I$45+'Assumption Setting'!$J$45)</f>
        <v>843.636363636364</v>
      </c>
    </row>
    <row r="26" customFormat="false" ht="15" hidden="false" customHeight="false" outlineLevel="0" collapsed="false">
      <c r="A26" s="12" t="s">
        <v>598</v>
      </c>
      <c r="B26" s="80" t="n">
        <f aca="false">SUM(C26:N26)</f>
        <v>106.298181818182</v>
      </c>
      <c r="C26" s="81" t="n">
        <f aca="false">C25*'Assumption Setting'!$K$45</f>
        <v>8.85818181818182</v>
      </c>
      <c r="D26" s="81" t="n">
        <f aca="false">D25*'Assumption Setting'!$K$45</f>
        <v>8.85818181818182</v>
      </c>
      <c r="E26" s="81" t="n">
        <f aca="false">E25*'Assumption Setting'!$K$45</f>
        <v>8.85818181818182</v>
      </c>
      <c r="F26" s="81" t="n">
        <f aca="false">F25*'Assumption Setting'!$K$45</f>
        <v>8.85818181818182</v>
      </c>
      <c r="G26" s="81" t="n">
        <f aca="false">G25*'Assumption Setting'!$K$45</f>
        <v>8.85818181818182</v>
      </c>
      <c r="H26" s="81" t="n">
        <f aca="false">H25*'Assumption Setting'!$K$45</f>
        <v>8.85818181818182</v>
      </c>
      <c r="I26" s="81" t="n">
        <f aca="false">I25*'Assumption Setting'!$K$45</f>
        <v>8.85818181818182</v>
      </c>
      <c r="J26" s="81" t="n">
        <f aca="false">J25*'Assumption Setting'!$K$45</f>
        <v>8.85818181818182</v>
      </c>
      <c r="K26" s="81" t="n">
        <f aca="false">K25*'Assumption Setting'!$K$45</f>
        <v>8.85818181818182</v>
      </c>
      <c r="L26" s="81" t="n">
        <f aca="false">L25*'Assumption Setting'!$K$45</f>
        <v>8.85818181818182</v>
      </c>
      <c r="M26" s="81" t="n">
        <f aca="false">M25*'Assumption Setting'!$K$45</f>
        <v>8.85818181818182</v>
      </c>
      <c r="N26" s="81" t="n">
        <f aca="false">N25*'Assumption Setting'!$K$45</f>
        <v>8.85818181818182</v>
      </c>
      <c r="O26" s="80" t="n">
        <f aca="false">SUM(P26:AA26)</f>
        <v>354.327272727273</v>
      </c>
      <c r="P26" s="81" t="n">
        <f aca="false">P25*'Assumption Setting'!$K$45</f>
        <v>29.5272727272727</v>
      </c>
      <c r="Q26" s="81" t="n">
        <f aca="false">Q25*'Assumption Setting'!$K$45</f>
        <v>29.5272727272727</v>
      </c>
      <c r="R26" s="81" t="n">
        <f aca="false">R25*'Assumption Setting'!$K$45</f>
        <v>29.5272727272727</v>
      </c>
      <c r="S26" s="81" t="n">
        <f aca="false">S25*'Assumption Setting'!$K$45</f>
        <v>29.5272727272727</v>
      </c>
      <c r="T26" s="81" t="n">
        <f aca="false">T25*'Assumption Setting'!$K$45</f>
        <v>29.5272727272727</v>
      </c>
      <c r="U26" s="81" t="n">
        <f aca="false">U25*'Assumption Setting'!$K$45</f>
        <v>29.5272727272727</v>
      </c>
      <c r="V26" s="81" t="n">
        <f aca="false">V25*'Assumption Setting'!$K$45</f>
        <v>29.5272727272727</v>
      </c>
      <c r="W26" s="81" t="n">
        <f aca="false">W25*'Assumption Setting'!$K$45</f>
        <v>29.5272727272727</v>
      </c>
      <c r="X26" s="81" t="n">
        <f aca="false">X25*'Assumption Setting'!$K$45</f>
        <v>29.5272727272727</v>
      </c>
      <c r="Y26" s="81" t="n">
        <f aca="false">Y25*'Assumption Setting'!$K$45</f>
        <v>29.5272727272727</v>
      </c>
      <c r="Z26" s="81" t="n">
        <f aca="false">Z25*'Assumption Setting'!$K$45</f>
        <v>29.5272727272727</v>
      </c>
      <c r="AA26" s="81" t="n">
        <f aca="false">AA25*'Assumption Setting'!$K$45</f>
        <v>29.5272727272727</v>
      </c>
      <c r="AB26" s="80" t="n">
        <f aca="false">SUM(AC26:AN26)</f>
        <v>708.654545454546</v>
      </c>
      <c r="AC26" s="81" t="n">
        <f aca="false">AC25*'Assumption Setting'!$K$45</f>
        <v>59.0545454545455</v>
      </c>
      <c r="AD26" s="81" t="n">
        <f aca="false">AD25*'Assumption Setting'!$K$45</f>
        <v>59.0545454545455</v>
      </c>
      <c r="AE26" s="81" t="n">
        <f aca="false">AE25*'Assumption Setting'!$K$45</f>
        <v>59.0545454545455</v>
      </c>
      <c r="AF26" s="81" t="n">
        <f aca="false">AF25*'Assumption Setting'!$K$45</f>
        <v>59.0545454545455</v>
      </c>
      <c r="AG26" s="81" t="n">
        <f aca="false">AG25*'Assumption Setting'!$K$45</f>
        <v>59.0545454545455</v>
      </c>
      <c r="AH26" s="81" t="n">
        <f aca="false">AH25*'Assumption Setting'!$K$45</f>
        <v>59.0545454545455</v>
      </c>
      <c r="AI26" s="81" t="n">
        <f aca="false">AI25*'Assumption Setting'!$K$45</f>
        <v>59.0545454545455</v>
      </c>
      <c r="AJ26" s="81" t="n">
        <f aca="false">AJ25*'Assumption Setting'!$K$45</f>
        <v>59.0545454545455</v>
      </c>
      <c r="AK26" s="81" t="n">
        <f aca="false">AK25*'Assumption Setting'!$K$45</f>
        <v>59.0545454545455</v>
      </c>
      <c r="AL26" s="81" t="n">
        <f aca="false">AL25*'Assumption Setting'!$K$45</f>
        <v>59.0545454545455</v>
      </c>
      <c r="AM26" s="81" t="n">
        <f aca="false">AM25*'Assumption Setting'!$K$45</f>
        <v>59.0545454545455</v>
      </c>
      <c r="AN26" s="81" t="n">
        <f aca="false">AN25*'Assumption Setting'!$K$45</f>
        <v>59.0545454545455</v>
      </c>
      <c r="AO26" s="80" t="n">
        <f aca="false">SUM(AP26:BA26)</f>
        <v>1062.98181818182</v>
      </c>
      <c r="AP26" s="81" t="n">
        <f aca="false">AP25*'Assumption Setting'!$K$45</f>
        <v>88.5818181818182</v>
      </c>
      <c r="AQ26" s="81" t="n">
        <f aca="false">AQ25*'Assumption Setting'!$K$45</f>
        <v>88.5818181818182</v>
      </c>
      <c r="AR26" s="81" t="n">
        <f aca="false">AR25*'Assumption Setting'!$K$45</f>
        <v>88.5818181818182</v>
      </c>
      <c r="AS26" s="81" t="n">
        <f aca="false">AS25*'Assumption Setting'!$K$45</f>
        <v>88.5818181818182</v>
      </c>
      <c r="AT26" s="81" t="n">
        <f aca="false">AT25*'Assumption Setting'!$K$45</f>
        <v>88.5818181818182</v>
      </c>
      <c r="AU26" s="81" t="n">
        <f aca="false">AU25*'Assumption Setting'!$K$45</f>
        <v>88.5818181818182</v>
      </c>
      <c r="AV26" s="81" t="n">
        <f aca="false">AV25*'Assumption Setting'!$K$45</f>
        <v>88.5818181818182</v>
      </c>
      <c r="AW26" s="81" t="n">
        <f aca="false">AW25*'Assumption Setting'!$K$45</f>
        <v>88.5818181818182</v>
      </c>
      <c r="AX26" s="81" t="n">
        <f aca="false">AX25*'Assumption Setting'!$K$45</f>
        <v>88.5818181818182</v>
      </c>
      <c r="AY26" s="81" t="n">
        <f aca="false">AY25*'Assumption Setting'!$K$45</f>
        <v>88.5818181818182</v>
      </c>
      <c r="AZ26" s="81" t="n">
        <f aca="false">AZ25*'Assumption Setting'!$K$45</f>
        <v>88.5818181818182</v>
      </c>
      <c r="BA26" s="81" t="n">
        <f aca="false">BA25*'Assumption Setting'!$K$45</f>
        <v>88.5818181818182</v>
      </c>
      <c r="BB26" s="80" t="n">
        <f aca="false">SUM(BC26:BN26)</f>
        <v>1417.30909090909</v>
      </c>
      <c r="BC26" s="81" t="n">
        <f aca="false">BC25*'Assumption Setting'!$K$45</f>
        <v>118.109090909091</v>
      </c>
      <c r="BD26" s="81" t="n">
        <f aca="false">BD25*'Assumption Setting'!$K$45</f>
        <v>118.109090909091</v>
      </c>
      <c r="BE26" s="81" t="n">
        <f aca="false">BE25*'Assumption Setting'!$K$45</f>
        <v>118.109090909091</v>
      </c>
      <c r="BF26" s="81" t="n">
        <f aca="false">BF25*'Assumption Setting'!$K$45</f>
        <v>118.109090909091</v>
      </c>
      <c r="BG26" s="81" t="n">
        <f aca="false">BG25*'Assumption Setting'!$K$45</f>
        <v>118.109090909091</v>
      </c>
      <c r="BH26" s="81" t="n">
        <f aca="false">BH25*'Assumption Setting'!$K$45</f>
        <v>118.109090909091</v>
      </c>
      <c r="BI26" s="81" t="n">
        <f aca="false">BI25*'Assumption Setting'!$K$45</f>
        <v>118.109090909091</v>
      </c>
      <c r="BJ26" s="81" t="n">
        <f aca="false">BJ25*'Assumption Setting'!$K$45</f>
        <v>118.109090909091</v>
      </c>
      <c r="BK26" s="81" t="n">
        <f aca="false">BK25*'Assumption Setting'!$K$45</f>
        <v>118.109090909091</v>
      </c>
      <c r="BL26" s="81" t="n">
        <f aca="false">BL25*'Assumption Setting'!$K$45</f>
        <v>118.109090909091</v>
      </c>
      <c r="BM26" s="81" t="n">
        <f aca="false">BM25*'Assumption Setting'!$K$45</f>
        <v>118.109090909091</v>
      </c>
      <c r="BN26" s="81" t="n">
        <f aca="false">BN25*'Assumption Setting'!$K$45</f>
        <v>118.109090909091</v>
      </c>
    </row>
    <row r="27" customFormat="false" ht="15" hidden="false" customHeight="false" outlineLevel="0" collapsed="false">
      <c r="A27" s="12" t="s">
        <v>237</v>
      </c>
      <c r="B27" s="64" t="n">
        <f aca="false">SUM(C27:N27)</f>
        <v>480</v>
      </c>
      <c r="C27" s="65" t="n">
        <f aca="false">'Assumption Setting'!$C$46</f>
        <v>40</v>
      </c>
      <c r="D27" s="65" t="n">
        <f aca="false">'Assumption Setting'!$C$46</f>
        <v>40</v>
      </c>
      <c r="E27" s="65" t="n">
        <f aca="false">'Assumption Setting'!$C$46</f>
        <v>40</v>
      </c>
      <c r="F27" s="65" t="n">
        <f aca="false">'Assumption Setting'!$C$46</f>
        <v>40</v>
      </c>
      <c r="G27" s="65" t="n">
        <f aca="false">'Assumption Setting'!$C$46</f>
        <v>40</v>
      </c>
      <c r="H27" s="65" t="n">
        <f aca="false">'Assumption Setting'!$C$46</f>
        <v>40</v>
      </c>
      <c r="I27" s="65" t="n">
        <f aca="false">'Assumption Setting'!$C$46</f>
        <v>40</v>
      </c>
      <c r="J27" s="65" t="n">
        <f aca="false">'Assumption Setting'!$C$46</f>
        <v>40</v>
      </c>
      <c r="K27" s="65" t="n">
        <f aca="false">'Assumption Setting'!$C$46</f>
        <v>40</v>
      </c>
      <c r="L27" s="65" t="n">
        <f aca="false">'Assumption Setting'!$C$46</f>
        <v>40</v>
      </c>
      <c r="M27" s="65" t="n">
        <f aca="false">'Assumption Setting'!$C$46</f>
        <v>40</v>
      </c>
      <c r="N27" s="65" t="n">
        <f aca="false">'Assumption Setting'!$C$46</f>
        <v>40</v>
      </c>
      <c r="O27" s="64" t="n">
        <f aca="false">SUM(P27:AA27)</f>
        <v>1800</v>
      </c>
      <c r="P27" s="65" t="n">
        <f aca="false">'Assumption Setting'!$D$46</f>
        <v>150</v>
      </c>
      <c r="Q27" s="65" t="n">
        <f aca="false">'Assumption Setting'!$D$46</f>
        <v>150</v>
      </c>
      <c r="R27" s="65" t="n">
        <f aca="false">'Assumption Setting'!$D$46</f>
        <v>150</v>
      </c>
      <c r="S27" s="65" t="n">
        <f aca="false">'Assumption Setting'!$D$46</f>
        <v>150</v>
      </c>
      <c r="T27" s="65" t="n">
        <f aca="false">'Assumption Setting'!$D$46</f>
        <v>150</v>
      </c>
      <c r="U27" s="65" t="n">
        <f aca="false">'Assumption Setting'!$D$46</f>
        <v>150</v>
      </c>
      <c r="V27" s="65" t="n">
        <f aca="false">'Assumption Setting'!$D$46</f>
        <v>150</v>
      </c>
      <c r="W27" s="65" t="n">
        <f aca="false">'Assumption Setting'!$D$46</f>
        <v>150</v>
      </c>
      <c r="X27" s="65" t="n">
        <f aca="false">'Assumption Setting'!$D$46</f>
        <v>150</v>
      </c>
      <c r="Y27" s="65" t="n">
        <f aca="false">'Assumption Setting'!$D$46</f>
        <v>150</v>
      </c>
      <c r="Z27" s="65" t="n">
        <f aca="false">'Assumption Setting'!$D$46</f>
        <v>150</v>
      </c>
      <c r="AA27" s="65" t="n">
        <f aca="false">'Assumption Setting'!$D$46</f>
        <v>150</v>
      </c>
      <c r="AB27" s="64" t="n">
        <f aca="false">SUM(AC27:AN27)</f>
        <v>3600</v>
      </c>
      <c r="AC27" s="65" t="n">
        <f aca="false">'Assumption Setting'!$E$46</f>
        <v>300</v>
      </c>
      <c r="AD27" s="65" t="n">
        <f aca="false">'Assumption Setting'!$E$46</f>
        <v>300</v>
      </c>
      <c r="AE27" s="65" t="n">
        <f aca="false">'Assumption Setting'!$E$46</f>
        <v>300</v>
      </c>
      <c r="AF27" s="65" t="n">
        <f aca="false">'Assumption Setting'!$E$46</f>
        <v>300</v>
      </c>
      <c r="AG27" s="65" t="n">
        <f aca="false">'Assumption Setting'!$E$46</f>
        <v>300</v>
      </c>
      <c r="AH27" s="65" t="n">
        <f aca="false">'Assumption Setting'!$E$46</f>
        <v>300</v>
      </c>
      <c r="AI27" s="65" t="n">
        <f aca="false">'Assumption Setting'!$E$46</f>
        <v>300</v>
      </c>
      <c r="AJ27" s="65" t="n">
        <f aca="false">'Assumption Setting'!$E$46</f>
        <v>300</v>
      </c>
      <c r="AK27" s="65" t="n">
        <f aca="false">'Assumption Setting'!$E$46</f>
        <v>300</v>
      </c>
      <c r="AL27" s="65" t="n">
        <f aca="false">'Assumption Setting'!$E$46</f>
        <v>300</v>
      </c>
      <c r="AM27" s="65" t="n">
        <f aca="false">'Assumption Setting'!$E$46</f>
        <v>300</v>
      </c>
      <c r="AN27" s="65" t="n">
        <f aca="false">'Assumption Setting'!$E$46</f>
        <v>300</v>
      </c>
      <c r="AO27" s="64" t="n">
        <f aca="false">SUM(AP27:BA27)</f>
        <v>5400</v>
      </c>
      <c r="AP27" s="65" t="n">
        <f aca="false">'Assumption Setting'!$F$46</f>
        <v>450</v>
      </c>
      <c r="AQ27" s="65" t="n">
        <f aca="false">'Assumption Setting'!$F$46</f>
        <v>450</v>
      </c>
      <c r="AR27" s="65" t="n">
        <f aca="false">'Assumption Setting'!$F$46</f>
        <v>450</v>
      </c>
      <c r="AS27" s="65" t="n">
        <f aca="false">'Assumption Setting'!$F$46</f>
        <v>450</v>
      </c>
      <c r="AT27" s="65" t="n">
        <f aca="false">'Assumption Setting'!$F$46</f>
        <v>450</v>
      </c>
      <c r="AU27" s="65" t="n">
        <f aca="false">'Assumption Setting'!$F$46</f>
        <v>450</v>
      </c>
      <c r="AV27" s="65" t="n">
        <f aca="false">'Assumption Setting'!$F$46</f>
        <v>450</v>
      </c>
      <c r="AW27" s="65" t="n">
        <f aca="false">'Assumption Setting'!$F$46</f>
        <v>450</v>
      </c>
      <c r="AX27" s="65" t="n">
        <f aca="false">'Assumption Setting'!$F$46</f>
        <v>450</v>
      </c>
      <c r="AY27" s="65" t="n">
        <f aca="false">'Assumption Setting'!$F$46</f>
        <v>450</v>
      </c>
      <c r="AZ27" s="65" t="n">
        <f aca="false">'Assumption Setting'!$F$46</f>
        <v>450</v>
      </c>
      <c r="BA27" s="65" t="n">
        <f aca="false">'Assumption Setting'!$F$46</f>
        <v>450</v>
      </c>
      <c r="BB27" s="64" t="n">
        <f aca="false">SUM(BC27:BN27)</f>
        <v>7200</v>
      </c>
      <c r="BC27" s="65" t="n">
        <f aca="false">'Assumption Setting'!$G$46</f>
        <v>600</v>
      </c>
      <c r="BD27" s="65" t="n">
        <f aca="false">'Assumption Setting'!$G$46</f>
        <v>600</v>
      </c>
      <c r="BE27" s="65" t="n">
        <f aca="false">'Assumption Setting'!$G$46</f>
        <v>600</v>
      </c>
      <c r="BF27" s="65" t="n">
        <f aca="false">'Assumption Setting'!$G$46</f>
        <v>600</v>
      </c>
      <c r="BG27" s="65" t="n">
        <f aca="false">'Assumption Setting'!$G$46</f>
        <v>600</v>
      </c>
      <c r="BH27" s="65" t="n">
        <f aca="false">'Assumption Setting'!$G$46</f>
        <v>600</v>
      </c>
      <c r="BI27" s="65" t="n">
        <f aca="false">'Assumption Setting'!$G$46</f>
        <v>600</v>
      </c>
      <c r="BJ27" s="65" t="n">
        <f aca="false">'Assumption Setting'!$G$46</f>
        <v>600</v>
      </c>
      <c r="BK27" s="65" t="n">
        <f aca="false">'Assumption Setting'!$G$46</f>
        <v>600</v>
      </c>
      <c r="BL27" s="65" t="n">
        <f aca="false">'Assumption Setting'!$G$46</f>
        <v>600</v>
      </c>
      <c r="BM27" s="65" t="n">
        <f aca="false">'Assumption Setting'!$G$46</f>
        <v>600</v>
      </c>
      <c r="BN27" s="65" t="n">
        <f aca="false">'Assumption Setting'!$G$46</f>
        <v>600</v>
      </c>
    </row>
    <row r="28" customFormat="false" ht="15" hidden="false" customHeight="false" outlineLevel="0" collapsed="false">
      <c r="A28" s="12" t="s">
        <v>596</v>
      </c>
      <c r="B28" s="78" t="n">
        <f aca="false">SUM(C28:N28)</f>
        <v>9600</v>
      </c>
      <c r="C28" s="79" t="n">
        <f aca="false">IFERROR(C27/'Assumption Setting'!$H$46,0)</f>
        <v>800</v>
      </c>
      <c r="D28" s="79" t="n">
        <f aca="false">IFERROR(D27/'Assumption Setting'!$H$46,0)</f>
        <v>800</v>
      </c>
      <c r="E28" s="79" t="n">
        <f aca="false">IFERROR(E27/'Assumption Setting'!$H$46,0)</f>
        <v>800</v>
      </c>
      <c r="F28" s="79" t="n">
        <f aca="false">IFERROR(F27/'Assumption Setting'!$H$46,0)</f>
        <v>800</v>
      </c>
      <c r="G28" s="79" t="n">
        <f aca="false">IFERROR(G27/'Assumption Setting'!$H$46,0)</f>
        <v>800</v>
      </c>
      <c r="H28" s="79" t="n">
        <f aca="false">IFERROR(H27/'Assumption Setting'!$H$46,0)</f>
        <v>800</v>
      </c>
      <c r="I28" s="79" t="n">
        <f aca="false">IFERROR(I27/'Assumption Setting'!$H$46,0)</f>
        <v>800</v>
      </c>
      <c r="J28" s="79" t="n">
        <f aca="false">IFERROR(J27/'Assumption Setting'!$H$46,0)</f>
        <v>800</v>
      </c>
      <c r="K28" s="79" t="n">
        <f aca="false">IFERROR(K27/'Assumption Setting'!$H$46,0)</f>
        <v>800</v>
      </c>
      <c r="L28" s="79" t="n">
        <f aca="false">IFERROR(L27/'Assumption Setting'!$H$46,0)</f>
        <v>800</v>
      </c>
      <c r="M28" s="79" t="n">
        <f aca="false">IFERROR(M27/'Assumption Setting'!$H$46,0)</f>
        <v>800</v>
      </c>
      <c r="N28" s="79" t="n">
        <f aca="false">IFERROR(N27/'Assumption Setting'!$H$46,0)</f>
        <v>800</v>
      </c>
      <c r="O28" s="78" t="n">
        <f aca="false">SUM(P28:AA28)</f>
        <v>36000</v>
      </c>
      <c r="P28" s="79" t="n">
        <f aca="false">IFERROR(P27/'Assumption Setting'!$H$46,0)</f>
        <v>3000</v>
      </c>
      <c r="Q28" s="79" t="n">
        <f aca="false">IFERROR(Q27/'Assumption Setting'!$H$46,0)</f>
        <v>3000</v>
      </c>
      <c r="R28" s="79" t="n">
        <f aca="false">IFERROR(R27/'Assumption Setting'!$H$46,0)</f>
        <v>3000</v>
      </c>
      <c r="S28" s="79" t="n">
        <f aca="false">IFERROR(S27/'Assumption Setting'!$H$46,0)</f>
        <v>3000</v>
      </c>
      <c r="T28" s="79" t="n">
        <f aca="false">IFERROR(T27/'Assumption Setting'!$H$46,0)</f>
        <v>3000</v>
      </c>
      <c r="U28" s="79" t="n">
        <f aca="false">IFERROR(U27/'Assumption Setting'!$H$46,0)</f>
        <v>3000</v>
      </c>
      <c r="V28" s="79" t="n">
        <f aca="false">IFERROR(V27/'Assumption Setting'!$H$46,0)</f>
        <v>3000</v>
      </c>
      <c r="W28" s="79" t="n">
        <f aca="false">IFERROR(W27/'Assumption Setting'!$H$46,0)</f>
        <v>3000</v>
      </c>
      <c r="X28" s="79" t="n">
        <f aca="false">IFERROR(X27/'Assumption Setting'!$H$46,0)</f>
        <v>3000</v>
      </c>
      <c r="Y28" s="79" t="n">
        <f aca="false">IFERROR(Y27/'Assumption Setting'!$H$46,0)</f>
        <v>3000</v>
      </c>
      <c r="Z28" s="79" t="n">
        <f aca="false">IFERROR(Z27/'Assumption Setting'!$H$46,0)</f>
        <v>3000</v>
      </c>
      <c r="AA28" s="79" t="n">
        <f aca="false">IFERROR(AA27/'Assumption Setting'!$H$46,0)</f>
        <v>3000</v>
      </c>
      <c r="AB28" s="78" t="n">
        <f aca="false">SUM(AC28:AN28)</f>
        <v>72000</v>
      </c>
      <c r="AC28" s="79" t="n">
        <f aca="false">IFERROR(AC27/'Assumption Setting'!$H$46,0)</f>
        <v>6000</v>
      </c>
      <c r="AD28" s="79" t="n">
        <f aca="false">IFERROR(AD27/'Assumption Setting'!$H$46,0)</f>
        <v>6000</v>
      </c>
      <c r="AE28" s="79" t="n">
        <f aca="false">IFERROR(AE27/'Assumption Setting'!$H$46,0)</f>
        <v>6000</v>
      </c>
      <c r="AF28" s="79" t="n">
        <f aca="false">IFERROR(AF27/'Assumption Setting'!$H$46,0)</f>
        <v>6000</v>
      </c>
      <c r="AG28" s="79" t="n">
        <f aca="false">IFERROR(AG27/'Assumption Setting'!$H$46,0)</f>
        <v>6000</v>
      </c>
      <c r="AH28" s="79" t="n">
        <f aca="false">IFERROR(AH27/'Assumption Setting'!$H$46,0)</f>
        <v>6000</v>
      </c>
      <c r="AI28" s="79" t="n">
        <f aca="false">IFERROR(AI27/'Assumption Setting'!$H$46,0)</f>
        <v>6000</v>
      </c>
      <c r="AJ28" s="79" t="n">
        <f aca="false">IFERROR(AJ27/'Assumption Setting'!$H$46,0)</f>
        <v>6000</v>
      </c>
      <c r="AK28" s="79" t="n">
        <f aca="false">IFERROR(AK27/'Assumption Setting'!$H$46,0)</f>
        <v>6000</v>
      </c>
      <c r="AL28" s="79" t="n">
        <f aca="false">IFERROR(AL27/'Assumption Setting'!$H$46,0)</f>
        <v>6000</v>
      </c>
      <c r="AM28" s="79" t="n">
        <f aca="false">IFERROR(AM27/'Assumption Setting'!$H$46,0)</f>
        <v>6000</v>
      </c>
      <c r="AN28" s="79" t="n">
        <f aca="false">IFERROR(AN27/'Assumption Setting'!$H$46,0)</f>
        <v>6000</v>
      </c>
      <c r="AO28" s="78" t="n">
        <f aca="false">SUM(AP28:BA28)</f>
        <v>108000</v>
      </c>
      <c r="AP28" s="79" t="n">
        <f aca="false">IFERROR(AP27/'Assumption Setting'!$H$46,0)</f>
        <v>9000</v>
      </c>
      <c r="AQ28" s="79" t="n">
        <f aca="false">IFERROR(AQ27/'Assumption Setting'!$H$46,0)</f>
        <v>9000</v>
      </c>
      <c r="AR28" s="79" t="n">
        <f aca="false">IFERROR(AR27/'Assumption Setting'!$H$46,0)</f>
        <v>9000</v>
      </c>
      <c r="AS28" s="79" t="n">
        <f aca="false">IFERROR(AS27/'Assumption Setting'!$H$46,0)</f>
        <v>9000</v>
      </c>
      <c r="AT28" s="79" t="n">
        <f aca="false">IFERROR(AT27/'Assumption Setting'!$H$46,0)</f>
        <v>9000</v>
      </c>
      <c r="AU28" s="79" t="n">
        <f aca="false">IFERROR(AU27/'Assumption Setting'!$H$46,0)</f>
        <v>9000</v>
      </c>
      <c r="AV28" s="79" t="n">
        <f aca="false">IFERROR(AV27/'Assumption Setting'!$H$46,0)</f>
        <v>9000</v>
      </c>
      <c r="AW28" s="79" t="n">
        <f aca="false">IFERROR(AW27/'Assumption Setting'!$H$46,0)</f>
        <v>9000</v>
      </c>
      <c r="AX28" s="79" t="n">
        <f aca="false">IFERROR(AX27/'Assumption Setting'!$H$46,0)</f>
        <v>9000</v>
      </c>
      <c r="AY28" s="79" t="n">
        <f aca="false">IFERROR(AY27/'Assumption Setting'!$H$46,0)</f>
        <v>9000</v>
      </c>
      <c r="AZ28" s="79" t="n">
        <f aca="false">IFERROR(AZ27/'Assumption Setting'!$H$46,0)</f>
        <v>9000</v>
      </c>
      <c r="BA28" s="79" t="n">
        <f aca="false">IFERROR(BA27/'Assumption Setting'!$H$46,0)</f>
        <v>9000</v>
      </c>
      <c r="BB28" s="78" t="n">
        <f aca="false">SUM(BC28:BN28)</f>
        <v>144000</v>
      </c>
      <c r="BC28" s="79" t="n">
        <f aca="false">IFERROR(BC27/'Assumption Setting'!$H$46,0)</f>
        <v>12000</v>
      </c>
      <c r="BD28" s="79" t="n">
        <f aca="false">IFERROR(BD27/'Assumption Setting'!$H$46,0)</f>
        <v>12000</v>
      </c>
      <c r="BE28" s="79" t="n">
        <f aca="false">IFERROR(BE27/'Assumption Setting'!$H$46,0)</f>
        <v>12000</v>
      </c>
      <c r="BF28" s="79" t="n">
        <f aca="false">IFERROR(BF27/'Assumption Setting'!$H$46,0)</f>
        <v>12000</v>
      </c>
      <c r="BG28" s="79" t="n">
        <f aca="false">IFERROR(BG27/'Assumption Setting'!$H$46,0)</f>
        <v>12000</v>
      </c>
      <c r="BH28" s="79" t="n">
        <f aca="false">IFERROR(BH27/'Assumption Setting'!$H$46,0)</f>
        <v>12000</v>
      </c>
      <c r="BI28" s="79" t="n">
        <f aca="false">IFERROR(BI27/'Assumption Setting'!$H$46,0)</f>
        <v>12000</v>
      </c>
      <c r="BJ28" s="79" t="n">
        <f aca="false">IFERROR(BJ27/'Assumption Setting'!$H$46,0)</f>
        <v>12000</v>
      </c>
      <c r="BK28" s="79" t="n">
        <f aca="false">IFERROR(BK27/'Assumption Setting'!$H$46,0)</f>
        <v>12000</v>
      </c>
      <c r="BL28" s="79" t="n">
        <f aca="false">IFERROR(BL27/'Assumption Setting'!$H$46,0)</f>
        <v>12000</v>
      </c>
      <c r="BM28" s="79" t="n">
        <f aca="false">IFERROR(BM27/'Assumption Setting'!$H$46,0)</f>
        <v>12000</v>
      </c>
      <c r="BN28" s="79" t="n">
        <f aca="false">IFERROR(BN27/'Assumption Setting'!$H$46,0)</f>
        <v>12000</v>
      </c>
    </row>
    <row r="29" customFormat="false" ht="15" hidden="false" customHeight="false" outlineLevel="0" collapsed="false">
      <c r="A29" s="12" t="s">
        <v>597</v>
      </c>
      <c r="B29" s="78" t="n">
        <f aca="false">SUM(C29:N29)</f>
        <v>12384</v>
      </c>
      <c r="C29" s="79" t="n">
        <f aca="false">C28*(1+'Assumption Setting'!$I$46+'Assumption Setting'!$J$46)</f>
        <v>1032</v>
      </c>
      <c r="D29" s="79" t="n">
        <f aca="false">D28*(1+'Assumption Setting'!$I$46+'Assumption Setting'!$J$46)</f>
        <v>1032</v>
      </c>
      <c r="E29" s="79" t="n">
        <f aca="false">E28*(1+'Assumption Setting'!$I$46+'Assumption Setting'!$J$46)</f>
        <v>1032</v>
      </c>
      <c r="F29" s="79" t="n">
        <f aca="false">F28*(1+'Assumption Setting'!$I$46+'Assumption Setting'!$J$46)</f>
        <v>1032</v>
      </c>
      <c r="G29" s="79" t="n">
        <f aca="false">G28*(1+'Assumption Setting'!$I$46+'Assumption Setting'!$J$46)</f>
        <v>1032</v>
      </c>
      <c r="H29" s="79" t="n">
        <f aca="false">H28*(1+'Assumption Setting'!$I$46+'Assumption Setting'!$J$46)</f>
        <v>1032</v>
      </c>
      <c r="I29" s="79" t="n">
        <f aca="false">I28*(1+'Assumption Setting'!$I$46+'Assumption Setting'!$J$46)</f>
        <v>1032</v>
      </c>
      <c r="J29" s="79" t="n">
        <f aca="false">J28*(1+'Assumption Setting'!$I$46+'Assumption Setting'!$J$46)</f>
        <v>1032</v>
      </c>
      <c r="K29" s="79" t="n">
        <f aca="false">K28*(1+'Assumption Setting'!$I$46+'Assumption Setting'!$J$46)</f>
        <v>1032</v>
      </c>
      <c r="L29" s="79" t="n">
        <f aca="false">L28*(1+'Assumption Setting'!$I$46+'Assumption Setting'!$J$46)</f>
        <v>1032</v>
      </c>
      <c r="M29" s="79" t="n">
        <f aca="false">M28*(1+'Assumption Setting'!$I$46+'Assumption Setting'!$J$46)</f>
        <v>1032</v>
      </c>
      <c r="N29" s="79" t="n">
        <f aca="false">N28*(1+'Assumption Setting'!$I$46+'Assumption Setting'!$J$46)</f>
        <v>1032</v>
      </c>
      <c r="O29" s="78" t="n">
        <f aca="false">SUM(P29:AA29)</f>
        <v>46440</v>
      </c>
      <c r="P29" s="79" t="n">
        <f aca="false">P28*(1+'Assumption Setting'!$I$46+'Assumption Setting'!$J$46)</f>
        <v>3870</v>
      </c>
      <c r="Q29" s="79" t="n">
        <f aca="false">Q28*(1+'Assumption Setting'!$I$46+'Assumption Setting'!$J$46)</f>
        <v>3870</v>
      </c>
      <c r="R29" s="79" t="n">
        <f aca="false">R28*(1+'Assumption Setting'!$I$46+'Assumption Setting'!$J$46)</f>
        <v>3870</v>
      </c>
      <c r="S29" s="79" t="n">
        <f aca="false">S28*(1+'Assumption Setting'!$I$46+'Assumption Setting'!$J$46)</f>
        <v>3870</v>
      </c>
      <c r="T29" s="79" t="n">
        <f aca="false">T28*(1+'Assumption Setting'!$I$46+'Assumption Setting'!$J$46)</f>
        <v>3870</v>
      </c>
      <c r="U29" s="79" t="n">
        <f aca="false">U28*(1+'Assumption Setting'!$I$46+'Assumption Setting'!$J$46)</f>
        <v>3870</v>
      </c>
      <c r="V29" s="79" t="n">
        <f aca="false">V28*(1+'Assumption Setting'!$I$46+'Assumption Setting'!$J$46)</f>
        <v>3870</v>
      </c>
      <c r="W29" s="79" t="n">
        <f aca="false">W28*(1+'Assumption Setting'!$I$46+'Assumption Setting'!$J$46)</f>
        <v>3870</v>
      </c>
      <c r="X29" s="79" t="n">
        <f aca="false">X28*(1+'Assumption Setting'!$I$46+'Assumption Setting'!$J$46)</f>
        <v>3870</v>
      </c>
      <c r="Y29" s="79" t="n">
        <f aca="false">Y28*(1+'Assumption Setting'!$I$46+'Assumption Setting'!$J$46)</f>
        <v>3870</v>
      </c>
      <c r="Z29" s="79" t="n">
        <f aca="false">Z28*(1+'Assumption Setting'!$I$46+'Assumption Setting'!$J$46)</f>
        <v>3870</v>
      </c>
      <c r="AA29" s="79" t="n">
        <f aca="false">AA28*(1+'Assumption Setting'!$I$46+'Assumption Setting'!$J$46)</f>
        <v>3870</v>
      </c>
      <c r="AB29" s="78" t="n">
        <f aca="false">SUM(AC29:AN29)</f>
        <v>92880</v>
      </c>
      <c r="AC29" s="79" t="n">
        <f aca="false">AC28*(1+'Assumption Setting'!$I$46+'Assumption Setting'!$J$46)</f>
        <v>7740</v>
      </c>
      <c r="AD29" s="79" t="n">
        <f aca="false">AD28*(1+'Assumption Setting'!$I$46+'Assumption Setting'!$J$46)</f>
        <v>7740</v>
      </c>
      <c r="AE29" s="79" t="n">
        <f aca="false">AE28*(1+'Assumption Setting'!$I$46+'Assumption Setting'!$J$46)</f>
        <v>7740</v>
      </c>
      <c r="AF29" s="79" t="n">
        <f aca="false">AF28*(1+'Assumption Setting'!$I$46+'Assumption Setting'!$J$46)</f>
        <v>7740</v>
      </c>
      <c r="AG29" s="79" t="n">
        <f aca="false">AG28*(1+'Assumption Setting'!$I$46+'Assumption Setting'!$J$46)</f>
        <v>7740</v>
      </c>
      <c r="AH29" s="79" t="n">
        <f aca="false">AH28*(1+'Assumption Setting'!$I$46+'Assumption Setting'!$J$46)</f>
        <v>7740</v>
      </c>
      <c r="AI29" s="79" t="n">
        <f aca="false">AI28*(1+'Assumption Setting'!$I$46+'Assumption Setting'!$J$46)</f>
        <v>7740</v>
      </c>
      <c r="AJ29" s="79" t="n">
        <f aca="false">AJ28*(1+'Assumption Setting'!$I$46+'Assumption Setting'!$J$46)</f>
        <v>7740</v>
      </c>
      <c r="AK29" s="79" t="n">
        <f aca="false">AK28*(1+'Assumption Setting'!$I$46+'Assumption Setting'!$J$46)</f>
        <v>7740</v>
      </c>
      <c r="AL29" s="79" t="n">
        <f aca="false">AL28*(1+'Assumption Setting'!$I$46+'Assumption Setting'!$J$46)</f>
        <v>7740</v>
      </c>
      <c r="AM29" s="79" t="n">
        <f aca="false">AM28*(1+'Assumption Setting'!$I$46+'Assumption Setting'!$J$46)</f>
        <v>7740</v>
      </c>
      <c r="AN29" s="79" t="n">
        <f aca="false">AN28*(1+'Assumption Setting'!$I$46+'Assumption Setting'!$J$46)</f>
        <v>7740</v>
      </c>
      <c r="AO29" s="78" t="n">
        <f aca="false">SUM(AP29:BA29)</f>
        <v>139320</v>
      </c>
      <c r="AP29" s="79" t="n">
        <f aca="false">AP28*(1+'Assumption Setting'!$I$46+'Assumption Setting'!$J$46)</f>
        <v>11610</v>
      </c>
      <c r="AQ29" s="79" t="n">
        <f aca="false">AQ28*(1+'Assumption Setting'!$I$46+'Assumption Setting'!$J$46)</f>
        <v>11610</v>
      </c>
      <c r="AR29" s="79" t="n">
        <f aca="false">AR28*(1+'Assumption Setting'!$I$46+'Assumption Setting'!$J$46)</f>
        <v>11610</v>
      </c>
      <c r="AS29" s="79" t="n">
        <f aca="false">AS28*(1+'Assumption Setting'!$I$46+'Assumption Setting'!$J$46)</f>
        <v>11610</v>
      </c>
      <c r="AT29" s="79" t="n">
        <f aca="false">AT28*(1+'Assumption Setting'!$I$46+'Assumption Setting'!$J$46)</f>
        <v>11610</v>
      </c>
      <c r="AU29" s="79" t="n">
        <f aca="false">AU28*(1+'Assumption Setting'!$I$46+'Assumption Setting'!$J$46)</f>
        <v>11610</v>
      </c>
      <c r="AV29" s="79" t="n">
        <f aca="false">AV28*(1+'Assumption Setting'!$I$46+'Assumption Setting'!$J$46)</f>
        <v>11610</v>
      </c>
      <c r="AW29" s="79" t="n">
        <f aca="false">AW28*(1+'Assumption Setting'!$I$46+'Assumption Setting'!$J$46)</f>
        <v>11610</v>
      </c>
      <c r="AX29" s="79" t="n">
        <f aca="false">AX28*(1+'Assumption Setting'!$I$46+'Assumption Setting'!$J$46)</f>
        <v>11610</v>
      </c>
      <c r="AY29" s="79" t="n">
        <f aca="false">AY28*(1+'Assumption Setting'!$I$46+'Assumption Setting'!$J$46)</f>
        <v>11610</v>
      </c>
      <c r="AZ29" s="79" t="n">
        <f aca="false">AZ28*(1+'Assumption Setting'!$I$46+'Assumption Setting'!$J$46)</f>
        <v>11610</v>
      </c>
      <c r="BA29" s="79" t="n">
        <f aca="false">BA28*(1+'Assumption Setting'!$I$46+'Assumption Setting'!$J$46)</f>
        <v>11610</v>
      </c>
      <c r="BB29" s="78" t="n">
        <f aca="false">SUM(BC29:BN29)</f>
        <v>185760</v>
      </c>
      <c r="BC29" s="79" t="n">
        <f aca="false">BC28*(1+'Assumption Setting'!$I$46+'Assumption Setting'!$J$46)</f>
        <v>15480</v>
      </c>
      <c r="BD29" s="79" t="n">
        <f aca="false">BD28*(1+'Assumption Setting'!$I$46+'Assumption Setting'!$J$46)</f>
        <v>15480</v>
      </c>
      <c r="BE29" s="79" t="n">
        <f aca="false">BE28*(1+'Assumption Setting'!$I$46+'Assumption Setting'!$J$46)</f>
        <v>15480</v>
      </c>
      <c r="BF29" s="79" t="n">
        <f aca="false">BF28*(1+'Assumption Setting'!$I$46+'Assumption Setting'!$J$46)</f>
        <v>15480</v>
      </c>
      <c r="BG29" s="79" t="n">
        <f aca="false">BG28*(1+'Assumption Setting'!$I$46+'Assumption Setting'!$J$46)</f>
        <v>15480</v>
      </c>
      <c r="BH29" s="79" t="n">
        <f aca="false">BH28*(1+'Assumption Setting'!$I$46+'Assumption Setting'!$J$46)</f>
        <v>15480</v>
      </c>
      <c r="BI29" s="79" t="n">
        <f aca="false">BI28*(1+'Assumption Setting'!$I$46+'Assumption Setting'!$J$46)</f>
        <v>15480</v>
      </c>
      <c r="BJ29" s="79" t="n">
        <f aca="false">BJ28*(1+'Assumption Setting'!$I$46+'Assumption Setting'!$J$46)</f>
        <v>15480</v>
      </c>
      <c r="BK29" s="79" t="n">
        <f aca="false">BK28*(1+'Assumption Setting'!$I$46+'Assumption Setting'!$J$46)</f>
        <v>15480</v>
      </c>
      <c r="BL29" s="79" t="n">
        <f aca="false">BL28*(1+'Assumption Setting'!$I$46+'Assumption Setting'!$J$46)</f>
        <v>15480</v>
      </c>
      <c r="BM29" s="79" t="n">
        <f aca="false">BM28*(1+'Assumption Setting'!$I$46+'Assumption Setting'!$J$46)</f>
        <v>15480</v>
      </c>
      <c r="BN29" s="79" t="n">
        <f aca="false">BN28*(1+'Assumption Setting'!$I$46+'Assumption Setting'!$J$46)</f>
        <v>15480</v>
      </c>
    </row>
    <row r="30" customFormat="false" ht="15" hidden="false" customHeight="false" outlineLevel="0" collapsed="false">
      <c r="A30" s="12" t="s">
        <v>598</v>
      </c>
      <c r="B30" s="80" t="n">
        <f aca="false">SUM(C30:N30)</f>
        <v>272.448</v>
      </c>
      <c r="C30" s="81" t="n">
        <f aca="false">C29*'Assumption Setting'!$K$46</f>
        <v>22.704</v>
      </c>
      <c r="D30" s="81" t="n">
        <f aca="false">D29*'Assumption Setting'!$K$46</f>
        <v>22.704</v>
      </c>
      <c r="E30" s="81" t="n">
        <f aca="false">E29*'Assumption Setting'!$K$46</f>
        <v>22.704</v>
      </c>
      <c r="F30" s="81" t="n">
        <f aca="false">F29*'Assumption Setting'!$K$46</f>
        <v>22.704</v>
      </c>
      <c r="G30" s="81" t="n">
        <f aca="false">G29*'Assumption Setting'!$K$46</f>
        <v>22.704</v>
      </c>
      <c r="H30" s="81" t="n">
        <f aca="false">H29*'Assumption Setting'!$K$46</f>
        <v>22.704</v>
      </c>
      <c r="I30" s="81" t="n">
        <f aca="false">I29*'Assumption Setting'!$K$46</f>
        <v>22.704</v>
      </c>
      <c r="J30" s="81" t="n">
        <f aca="false">J29*'Assumption Setting'!$K$46</f>
        <v>22.704</v>
      </c>
      <c r="K30" s="81" t="n">
        <f aca="false">K29*'Assumption Setting'!$K$46</f>
        <v>22.704</v>
      </c>
      <c r="L30" s="81" t="n">
        <f aca="false">L29*'Assumption Setting'!$K$46</f>
        <v>22.704</v>
      </c>
      <c r="M30" s="81" t="n">
        <f aca="false">M29*'Assumption Setting'!$K$46</f>
        <v>22.704</v>
      </c>
      <c r="N30" s="81" t="n">
        <f aca="false">N29*'Assumption Setting'!$K$46</f>
        <v>22.704</v>
      </c>
      <c r="O30" s="80" t="n">
        <f aca="false">SUM(P30:AA30)</f>
        <v>1021.68</v>
      </c>
      <c r="P30" s="81" t="n">
        <f aca="false">P29*'Assumption Setting'!$K$46</f>
        <v>85.14</v>
      </c>
      <c r="Q30" s="81" t="n">
        <f aca="false">Q29*'Assumption Setting'!$K$46</f>
        <v>85.14</v>
      </c>
      <c r="R30" s="81" t="n">
        <f aca="false">R29*'Assumption Setting'!$K$46</f>
        <v>85.14</v>
      </c>
      <c r="S30" s="81" t="n">
        <f aca="false">S29*'Assumption Setting'!$K$46</f>
        <v>85.14</v>
      </c>
      <c r="T30" s="81" t="n">
        <f aca="false">T29*'Assumption Setting'!$K$46</f>
        <v>85.14</v>
      </c>
      <c r="U30" s="81" t="n">
        <f aca="false">U29*'Assumption Setting'!$K$46</f>
        <v>85.14</v>
      </c>
      <c r="V30" s="81" t="n">
        <f aca="false">V29*'Assumption Setting'!$K$46</f>
        <v>85.14</v>
      </c>
      <c r="W30" s="81" t="n">
        <f aca="false">W29*'Assumption Setting'!$K$46</f>
        <v>85.14</v>
      </c>
      <c r="X30" s="81" t="n">
        <f aca="false">X29*'Assumption Setting'!$K$46</f>
        <v>85.14</v>
      </c>
      <c r="Y30" s="81" t="n">
        <f aca="false">Y29*'Assumption Setting'!$K$46</f>
        <v>85.14</v>
      </c>
      <c r="Z30" s="81" t="n">
        <f aca="false">Z29*'Assumption Setting'!$K$46</f>
        <v>85.14</v>
      </c>
      <c r="AA30" s="81" t="n">
        <f aca="false">AA29*'Assumption Setting'!$K$46</f>
        <v>85.14</v>
      </c>
      <c r="AB30" s="80" t="n">
        <f aca="false">SUM(AC30:AN30)</f>
        <v>2043.36</v>
      </c>
      <c r="AC30" s="81" t="n">
        <f aca="false">AC29*'Assumption Setting'!$K$46</f>
        <v>170.28</v>
      </c>
      <c r="AD30" s="81" t="n">
        <f aca="false">AD29*'Assumption Setting'!$K$46</f>
        <v>170.28</v>
      </c>
      <c r="AE30" s="81" t="n">
        <f aca="false">AE29*'Assumption Setting'!$K$46</f>
        <v>170.28</v>
      </c>
      <c r="AF30" s="81" t="n">
        <f aca="false">AF29*'Assumption Setting'!$K$46</f>
        <v>170.28</v>
      </c>
      <c r="AG30" s="81" t="n">
        <f aca="false">AG29*'Assumption Setting'!$K$46</f>
        <v>170.28</v>
      </c>
      <c r="AH30" s="81" t="n">
        <f aca="false">AH29*'Assumption Setting'!$K$46</f>
        <v>170.28</v>
      </c>
      <c r="AI30" s="81" t="n">
        <f aca="false">AI29*'Assumption Setting'!$K$46</f>
        <v>170.28</v>
      </c>
      <c r="AJ30" s="81" t="n">
        <f aca="false">AJ29*'Assumption Setting'!$K$46</f>
        <v>170.28</v>
      </c>
      <c r="AK30" s="81" t="n">
        <f aca="false">AK29*'Assumption Setting'!$K$46</f>
        <v>170.28</v>
      </c>
      <c r="AL30" s="81" t="n">
        <f aca="false">AL29*'Assumption Setting'!$K$46</f>
        <v>170.28</v>
      </c>
      <c r="AM30" s="81" t="n">
        <f aca="false">AM29*'Assumption Setting'!$K$46</f>
        <v>170.28</v>
      </c>
      <c r="AN30" s="81" t="n">
        <f aca="false">AN29*'Assumption Setting'!$K$46</f>
        <v>170.28</v>
      </c>
      <c r="AO30" s="80" t="n">
        <f aca="false">SUM(AP30:BA30)</f>
        <v>3065.04</v>
      </c>
      <c r="AP30" s="81" t="n">
        <f aca="false">AP29*'Assumption Setting'!$K$46</f>
        <v>255.42</v>
      </c>
      <c r="AQ30" s="81" t="n">
        <f aca="false">AQ29*'Assumption Setting'!$K$46</f>
        <v>255.42</v>
      </c>
      <c r="AR30" s="81" t="n">
        <f aca="false">AR29*'Assumption Setting'!$K$46</f>
        <v>255.42</v>
      </c>
      <c r="AS30" s="81" t="n">
        <f aca="false">AS29*'Assumption Setting'!$K$46</f>
        <v>255.42</v>
      </c>
      <c r="AT30" s="81" t="n">
        <f aca="false">AT29*'Assumption Setting'!$K$46</f>
        <v>255.42</v>
      </c>
      <c r="AU30" s="81" t="n">
        <f aca="false">AU29*'Assumption Setting'!$K$46</f>
        <v>255.42</v>
      </c>
      <c r="AV30" s="81" t="n">
        <f aca="false">AV29*'Assumption Setting'!$K$46</f>
        <v>255.42</v>
      </c>
      <c r="AW30" s="81" t="n">
        <f aca="false">AW29*'Assumption Setting'!$K$46</f>
        <v>255.42</v>
      </c>
      <c r="AX30" s="81" t="n">
        <f aca="false">AX29*'Assumption Setting'!$K$46</f>
        <v>255.42</v>
      </c>
      <c r="AY30" s="81" t="n">
        <f aca="false">AY29*'Assumption Setting'!$K$46</f>
        <v>255.42</v>
      </c>
      <c r="AZ30" s="81" t="n">
        <f aca="false">AZ29*'Assumption Setting'!$K$46</f>
        <v>255.42</v>
      </c>
      <c r="BA30" s="81" t="n">
        <f aca="false">BA29*'Assumption Setting'!$K$46</f>
        <v>255.42</v>
      </c>
      <c r="BB30" s="80" t="n">
        <f aca="false">SUM(BC30:BN30)</f>
        <v>4086.72</v>
      </c>
      <c r="BC30" s="81" t="n">
        <f aca="false">BC29*'Assumption Setting'!$K$46</f>
        <v>340.56</v>
      </c>
      <c r="BD30" s="81" t="n">
        <f aca="false">BD29*'Assumption Setting'!$K$46</f>
        <v>340.56</v>
      </c>
      <c r="BE30" s="81" t="n">
        <f aca="false">BE29*'Assumption Setting'!$K$46</f>
        <v>340.56</v>
      </c>
      <c r="BF30" s="81" t="n">
        <f aca="false">BF29*'Assumption Setting'!$K$46</f>
        <v>340.56</v>
      </c>
      <c r="BG30" s="81" t="n">
        <f aca="false">BG29*'Assumption Setting'!$K$46</f>
        <v>340.56</v>
      </c>
      <c r="BH30" s="81" t="n">
        <f aca="false">BH29*'Assumption Setting'!$K$46</f>
        <v>340.56</v>
      </c>
      <c r="BI30" s="81" t="n">
        <f aca="false">BI29*'Assumption Setting'!$K$46</f>
        <v>340.56</v>
      </c>
      <c r="BJ30" s="81" t="n">
        <f aca="false">BJ29*'Assumption Setting'!$K$46</f>
        <v>340.56</v>
      </c>
      <c r="BK30" s="81" t="n">
        <f aca="false">BK29*'Assumption Setting'!$K$46</f>
        <v>340.56</v>
      </c>
      <c r="BL30" s="81" t="n">
        <f aca="false">BL29*'Assumption Setting'!$K$46</f>
        <v>340.56</v>
      </c>
      <c r="BM30" s="81" t="n">
        <f aca="false">BM29*'Assumption Setting'!$K$46</f>
        <v>340.56</v>
      </c>
      <c r="BN30" s="81" t="n">
        <f aca="false">BN29*'Assumption Setting'!$K$46</f>
        <v>340.56</v>
      </c>
    </row>
    <row r="31" customFormat="false" ht="15" hidden="false" customHeight="false" outlineLevel="0" collapsed="false">
      <c r="A31" s="69" t="s">
        <v>599</v>
      </c>
      <c r="B31" s="64" t="n">
        <f aca="false">SUM(C31:N31)</f>
        <v>4080</v>
      </c>
      <c r="C31" s="70" t="n">
        <f aca="false">C7+C11+C15+C19+C23+C27</f>
        <v>340</v>
      </c>
      <c r="D31" s="70" t="n">
        <f aca="false">D7+D11+D15+D19+D23+D27</f>
        <v>340</v>
      </c>
      <c r="E31" s="70" t="n">
        <f aca="false">E7+E11+E15+E19+E23+E27</f>
        <v>340</v>
      </c>
      <c r="F31" s="70" t="n">
        <f aca="false">F7+F11+F15+F19+F23+F27</f>
        <v>340</v>
      </c>
      <c r="G31" s="70" t="n">
        <f aca="false">G7+G11+G15+G19+G23+G27</f>
        <v>340</v>
      </c>
      <c r="H31" s="70" t="n">
        <f aca="false">H7+H11+H15+H19+H23+H27</f>
        <v>340</v>
      </c>
      <c r="I31" s="70" t="n">
        <f aca="false">I7+I11+I15+I19+I23+I27</f>
        <v>340</v>
      </c>
      <c r="J31" s="70" t="n">
        <f aca="false">J7+J11+J15+J19+J23+J27</f>
        <v>340</v>
      </c>
      <c r="K31" s="70" t="n">
        <f aca="false">K7+K11+K15+K19+K23+K27</f>
        <v>340</v>
      </c>
      <c r="L31" s="70" t="n">
        <f aca="false">L7+L11+L15+L19+L23+L27</f>
        <v>340</v>
      </c>
      <c r="M31" s="70" t="n">
        <f aca="false">M7+M11+M15+M19+M23+M27</f>
        <v>340</v>
      </c>
      <c r="N31" s="70" t="n">
        <f aca="false">N7+N11+N15+N19+N23+N27</f>
        <v>340</v>
      </c>
      <c r="O31" s="64" t="n">
        <f aca="false">SUM(P31:AA31)</f>
        <v>14160</v>
      </c>
      <c r="P31" s="70" t="n">
        <f aca="false">P7+P11+P15+P19+P23+P27</f>
        <v>1180</v>
      </c>
      <c r="Q31" s="70" t="n">
        <f aca="false">Q7+Q11+Q15+Q19+Q23+Q27</f>
        <v>1180</v>
      </c>
      <c r="R31" s="70" t="n">
        <f aca="false">R7+R11+R15+R19+R23+R27</f>
        <v>1180</v>
      </c>
      <c r="S31" s="70" t="n">
        <f aca="false">S7+S11+S15+S19+S23+S27</f>
        <v>1180</v>
      </c>
      <c r="T31" s="70" t="n">
        <f aca="false">T7+T11+T15+T19+T23+T27</f>
        <v>1180</v>
      </c>
      <c r="U31" s="70" t="n">
        <f aca="false">U7+U11+U15+U19+U23+U27</f>
        <v>1180</v>
      </c>
      <c r="V31" s="70" t="n">
        <f aca="false">V7+V11+V15+V19+V23+V27</f>
        <v>1180</v>
      </c>
      <c r="W31" s="70" t="n">
        <f aca="false">W7+W11+W15+W19+W23+W27</f>
        <v>1180</v>
      </c>
      <c r="X31" s="70" t="n">
        <f aca="false">X7+X11+X15+X19+X23+X27</f>
        <v>1180</v>
      </c>
      <c r="Y31" s="70" t="n">
        <f aca="false">Y7+Y11+Y15+Y19+Y23+Y27</f>
        <v>1180</v>
      </c>
      <c r="Z31" s="70" t="n">
        <f aca="false">Z7+Z11+Z15+Z19+Z23+Z27</f>
        <v>1180</v>
      </c>
      <c r="AA31" s="70" t="n">
        <f aca="false">AA7+AA11+AA15+AA19+AA23+AA27</f>
        <v>1180</v>
      </c>
      <c r="AB31" s="64" t="n">
        <f aca="false">SUM(AC31:AN31)</f>
        <v>28800</v>
      </c>
      <c r="AC31" s="70" t="n">
        <f aca="false">AC7+AC11+AC15+AC19+AC23+AC27</f>
        <v>2400</v>
      </c>
      <c r="AD31" s="70" t="n">
        <f aca="false">AD7+AD11+AD15+AD19+AD23+AD27</f>
        <v>2400</v>
      </c>
      <c r="AE31" s="70" t="n">
        <f aca="false">AE7+AE11+AE15+AE19+AE23+AE27</f>
        <v>2400</v>
      </c>
      <c r="AF31" s="70" t="n">
        <f aca="false">AF7+AF11+AF15+AF19+AF23+AF27</f>
        <v>2400</v>
      </c>
      <c r="AG31" s="70" t="n">
        <f aca="false">AG7+AG11+AG15+AG19+AG23+AG27</f>
        <v>2400</v>
      </c>
      <c r="AH31" s="70" t="n">
        <f aca="false">AH7+AH11+AH15+AH19+AH23+AH27</f>
        <v>2400</v>
      </c>
      <c r="AI31" s="70" t="n">
        <f aca="false">AI7+AI11+AI15+AI19+AI23+AI27</f>
        <v>2400</v>
      </c>
      <c r="AJ31" s="70" t="n">
        <f aca="false">AJ7+AJ11+AJ15+AJ19+AJ23+AJ27</f>
        <v>2400</v>
      </c>
      <c r="AK31" s="70" t="n">
        <f aca="false">AK7+AK11+AK15+AK19+AK23+AK27</f>
        <v>2400</v>
      </c>
      <c r="AL31" s="70" t="n">
        <f aca="false">AL7+AL11+AL15+AL19+AL23+AL27</f>
        <v>2400</v>
      </c>
      <c r="AM31" s="70" t="n">
        <f aca="false">AM7+AM11+AM15+AM19+AM23+AM27</f>
        <v>2400</v>
      </c>
      <c r="AN31" s="70" t="n">
        <f aca="false">AN7+AN11+AN15+AN19+AN23+AN27</f>
        <v>2400</v>
      </c>
      <c r="AO31" s="64" t="n">
        <f aca="false">SUM(AP31:BA31)</f>
        <v>44400</v>
      </c>
      <c r="AP31" s="70" t="n">
        <f aca="false">AP7+AP11+AP15+AP19+AP23+AP27</f>
        <v>3700</v>
      </c>
      <c r="AQ31" s="70" t="n">
        <f aca="false">AQ7+AQ11+AQ15+AQ19+AQ23+AQ27</f>
        <v>3700</v>
      </c>
      <c r="AR31" s="70" t="n">
        <f aca="false">AR7+AR11+AR15+AR19+AR23+AR27</f>
        <v>3700</v>
      </c>
      <c r="AS31" s="70" t="n">
        <f aca="false">AS7+AS11+AS15+AS19+AS23+AS27</f>
        <v>3700</v>
      </c>
      <c r="AT31" s="70" t="n">
        <f aca="false">AT7+AT11+AT15+AT19+AT23+AT27</f>
        <v>3700</v>
      </c>
      <c r="AU31" s="70" t="n">
        <f aca="false">AU7+AU11+AU15+AU19+AU23+AU27</f>
        <v>3700</v>
      </c>
      <c r="AV31" s="70" t="n">
        <f aca="false">AV7+AV11+AV15+AV19+AV23+AV27</f>
        <v>3700</v>
      </c>
      <c r="AW31" s="70" t="n">
        <f aca="false">AW7+AW11+AW15+AW19+AW23+AW27</f>
        <v>3700</v>
      </c>
      <c r="AX31" s="70" t="n">
        <f aca="false">AX7+AX11+AX15+AX19+AX23+AX27</f>
        <v>3700</v>
      </c>
      <c r="AY31" s="70" t="n">
        <f aca="false">AY7+AY11+AY15+AY19+AY23+AY27</f>
        <v>3700</v>
      </c>
      <c r="AZ31" s="70" t="n">
        <f aca="false">AZ7+AZ11+AZ15+AZ19+AZ23+AZ27</f>
        <v>3700</v>
      </c>
      <c r="BA31" s="70" t="n">
        <f aca="false">BA7+BA11+BA15+BA19+BA23+BA27</f>
        <v>3700</v>
      </c>
      <c r="BB31" s="64" t="n">
        <f aca="false">SUM(BC31:BN31)</f>
        <v>59400</v>
      </c>
      <c r="BC31" s="70" t="n">
        <f aca="false">BC7+BC11+BC15+BC19+BC23+BC27</f>
        <v>4950</v>
      </c>
      <c r="BD31" s="70" t="n">
        <f aca="false">BD7+BD11+BD15+BD19+BD23+BD27</f>
        <v>4950</v>
      </c>
      <c r="BE31" s="70" t="n">
        <f aca="false">BE7+BE11+BE15+BE19+BE23+BE27</f>
        <v>4950</v>
      </c>
      <c r="BF31" s="70" t="n">
        <f aca="false">BF7+BF11+BF15+BF19+BF23+BF27</f>
        <v>4950</v>
      </c>
      <c r="BG31" s="70" t="n">
        <f aca="false">BG7+BG11+BG15+BG19+BG23+BG27</f>
        <v>4950</v>
      </c>
      <c r="BH31" s="70" t="n">
        <f aca="false">BH7+BH11+BH15+BH19+BH23+BH27</f>
        <v>4950</v>
      </c>
      <c r="BI31" s="70" t="n">
        <f aca="false">BI7+BI11+BI15+BI19+BI23+BI27</f>
        <v>4950</v>
      </c>
      <c r="BJ31" s="70" t="n">
        <f aca="false">BJ7+BJ11+BJ15+BJ19+BJ23+BJ27</f>
        <v>4950</v>
      </c>
      <c r="BK31" s="70" t="n">
        <f aca="false">BK7+BK11+BK15+BK19+BK23+BK27</f>
        <v>4950</v>
      </c>
      <c r="BL31" s="70" t="n">
        <f aca="false">BL7+BL11+BL15+BL19+BL23+BL27</f>
        <v>4950</v>
      </c>
      <c r="BM31" s="70" t="n">
        <f aca="false">BM7+BM11+BM15+BM19+BM23+BM27</f>
        <v>4950</v>
      </c>
      <c r="BN31" s="70" t="n">
        <f aca="false">BN7+BN11+BN15+BN19+BN23+BN27</f>
        <v>4950</v>
      </c>
    </row>
    <row r="32" customFormat="false" ht="15" hidden="false" customHeight="false" outlineLevel="0" collapsed="false">
      <c r="A32" s="18" t="s">
        <v>600</v>
      </c>
      <c r="B32" s="78" t="n">
        <f aca="false">SUM(C32:N32)</f>
        <v>41243.4925074925</v>
      </c>
      <c r="C32" s="82" t="n">
        <f aca="false">C9+C13+C17+C21+C25+C29</f>
        <v>3436.95770895771</v>
      </c>
      <c r="D32" s="82" t="n">
        <f aca="false">D9+D13+D17+D21+D25+D29</f>
        <v>3436.95770895771</v>
      </c>
      <c r="E32" s="82" t="n">
        <f aca="false">E9+E13+E17+E21+E25+E29</f>
        <v>3436.95770895771</v>
      </c>
      <c r="F32" s="82" t="n">
        <f aca="false">F9+F13+F17+F21+F25+F29</f>
        <v>3436.95770895771</v>
      </c>
      <c r="G32" s="82" t="n">
        <f aca="false">G9+G13+G17+G21+G25+G29</f>
        <v>3436.95770895771</v>
      </c>
      <c r="H32" s="82" t="n">
        <f aca="false">H9+H13+H17+H21+H25+H29</f>
        <v>3436.95770895771</v>
      </c>
      <c r="I32" s="82" t="n">
        <f aca="false">I9+I13+I17+I21+I25+I29</f>
        <v>3436.95770895771</v>
      </c>
      <c r="J32" s="82" t="n">
        <f aca="false">J9+J13+J17+J21+J25+J29</f>
        <v>3436.95770895771</v>
      </c>
      <c r="K32" s="82" t="n">
        <f aca="false">K9+K13+K17+K21+K25+K29</f>
        <v>3436.95770895771</v>
      </c>
      <c r="L32" s="82" t="n">
        <f aca="false">L9+L13+L17+L21+L25+L29</f>
        <v>3436.95770895771</v>
      </c>
      <c r="M32" s="82" t="n">
        <f aca="false">M9+M13+M17+M21+M25+M29</f>
        <v>3436.95770895771</v>
      </c>
      <c r="N32" s="82" t="n">
        <f aca="false">N9+N13+N17+N21+N25+N29</f>
        <v>3436.95770895771</v>
      </c>
      <c r="O32" s="78" t="n">
        <f aca="false">SUM(P32:AA32)</f>
        <v>142613.326673327</v>
      </c>
      <c r="P32" s="82" t="n">
        <f aca="false">P9+P13+P17+P21+P25+P29</f>
        <v>11884.4438894439</v>
      </c>
      <c r="Q32" s="82" t="n">
        <f aca="false">Q9+Q13+Q17+Q21+Q25+Q29</f>
        <v>11884.4438894439</v>
      </c>
      <c r="R32" s="82" t="n">
        <f aca="false">R9+R13+R17+R21+R25+R29</f>
        <v>11884.4438894439</v>
      </c>
      <c r="S32" s="82" t="n">
        <f aca="false">S9+S13+S17+S21+S25+S29</f>
        <v>11884.4438894439</v>
      </c>
      <c r="T32" s="82" t="n">
        <f aca="false">T9+T13+T17+T21+T25+T29</f>
        <v>11884.4438894439</v>
      </c>
      <c r="U32" s="82" t="n">
        <f aca="false">U9+U13+U17+U21+U25+U29</f>
        <v>11884.4438894439</v>
      </c>
      <c r="V32" s="82" t="n">
        <f aca="false">V9+V13+V17+V21+V25+V29</f>
        <v>11884.4438894439</v>
      </c>
      <c r="W32" s="82" t="n">
        <f aca="false">W9+W13+W17+W21+W25+W29</f>
        <v>11884.4438894439</v>
      </c>
      <c r="X32" s="82" t="n">
        <f aca="false">X9+X13+X17+X21+X25+X29</f>
        <v>11884.4438894439</v>
      </c>
      <c r="Y32" s="82" t="n">
        <f aca="false">Y9+Y13+Y17+Y21+Y25+Y29</f>
        <v>11884.4438894439</v>
      </c>
      <c r="Z32" s="82" t="n">
        <f aca="false">Z9+Z13+Z17+Z21+Z25+Z29</f>
        <v>11884.4438894439</v>
      </c>
      <c r="AA32" s="82" t="n">
        <f aca="false">AA9+AA13+AA17+AA21+AA25+AA29</f>
        <v>11884.4438894439</v>
      </c>
      <c r="AB32" s="78" t="n">
        <f aca="false">SUM(AC32:AN32)</f>
        <v>288335.884115884</v>
      </c>
      <c r="AC32" s="82" t="n">
        <f aca="false">AC9+AC13+AC17+AC21+AC25+AC29</f>
        <v>24027.9903429903</v>
      </c>
      <c r="AD32" s="82" t="n">
        <f aca="false">AD9+AD13+AD17+AD21+AD25+AD29</f>
        <v>24027.9903429903</v>
      </c>
      <c r="AE32" s="82" t="n">
        <f aca="false">AE9+AE13+AE17+AE21+AE25+AE29</f>
        <v>24027.9903429903</v>
      </c>
      <c r="AF32" s="82" t="n">
        <f aca="false">AF9+AF13+AF17+AF21+AF25+AF29</f>
        <v>24027.9903429903</v>
      </c>
      <c r="AG32" s="82" t="n">
        <f aca="false">AG9+AG13+AG17+AG21+AG25+AG29</f>
        <v>24027.9903429903</v>
      </c>
      <c r="AH32" s="82" t="n">
        <f aca="false">AH9+AH13+AH17+AH21+AH25+AH29</f>
        <v>24027.9903429903</v>
      </c>
      <c r="AI32" s="82" t="n">
        <f aca="false">AI9+AI13+AI17+AI21+AI25+AI29</f>
        <v>24027.9903429903</v>
      </c>
      <c r="AJ32" s="82" t="n">
        <f aca="false">AJ9+AJ13+AJ17+AJ21+AJ25+AJ29</f>
        <v>24027.9903429903</v>
      </c>
      <c r="AK32" s="82" t="n">
        <f aca="false">AK9+AK13+AK17+AK21+AK25+AK29</f>
        <v>24027.9903429903</v>
      </c>
      <c r="AL32" s="82" t="n">
        <f aca="false">AL9+AL13+AL17+AL21+AL25+AL29</f>
        <v>24027.9903429903</v>
      </c>
      <c r="AM32" s="82" t="n">
        <f aca="false">AM9+AM13+AM17+AM21+AM25+AM29</f>
        <v>24027.9903429903</v>
      </c>
      <c r="AN32" s="82" t="n">
        <f aca="false">AN9+AN13+AN17+AN21+AN25+AN29</f>
        <v>24027.9903429903</v>
      </c>
      <c r="AO32" s="78" t="n">
        <f aca="false">SUM(AP32:BA32)</f>
        <v>440887.892107892</v>
      </c>
      <c r="AP32" s="82" t="n">
        <f aca="false">AP9+AP13+AP17+AP21+AP25+AP29</f>
        <v>36740.6576756577</v>
      </c>
      <c r="AQ32" s="82" t="n">
        <f aca="false">AQ9+AQ13+AQ17+AQ21+AQ25+AQ29</f>
        <v>36740.6576756577</v>
      </c>
      <c r="AR32" s="82" t="n">
        <f aca="false">AR9+AR13+AR17+AR21+AR25+AR29</f>
        <v>36740.6576756577</v>
      </c>
      <c r="AS32" s="82" t="n">
        <f aca="false">AS9+AS13+AS17+AS21+AS25+AS29</f>
        <v>36740.6576756577</v>
      </c>
      <c r="AT32" s="82" t="n">
        <f aca="false">AT9+AT13+AT17+AT21+AT25+AT29</f>
        <v>36740.6576756577</v>
      </c>
      <c r="AU32" s="82" t="n">
        <f aca="false">AU9+AU13+AU17+AU21+AU25+AU29</f>
        <v>36740.6576756577</v>
      </c>
      <c r="AV32" s="82" t="n">
        <f aca="false">AV9+AV13+AV17+AV21+AV25+AV29</f>
        <v>36740.6576756577</v>
      </c>
      <c r="AW32" s="82" t="n">
        <f aca="false">AW9+AW13+AW17+AW21+AW25+AW29</f>
        <v>36740.6576756577</v>
      </c>
      <c r="AX32" s="82" t="n">
        <f aca="false">AX9+AX13+AX17+AX21+AX25+AX29</f>
        <v>36740.6576756577</v>
      </c>
      <c r="AY32" s="82" t="n">
        <f aca="false">AY9+AY13+AY17+AY21+AY25+AY29</f>
        <v>36740.6576756577</v>
      </c>
      <c r="AZ32" s="82" t="n">
        <f aca="false">AZ9+AZ13+AZ17+AZ21+AZ25+AZ29</f>
        <v>36740.6576756577</v>
      </c>
      <c r="BA32" s="82" t="n">
        <f aca="false">BA9+BA13+BA17+BA21+BA25+BA29</f>
        <v>36740.6576756577</v>
      </c>
      <c r="BB32" s="78" t="n">
        <f aca="false">SUM(BC32:BN32)</f>
        <v>589739.9000999</v>
      </c>
      <c r="BC32" s="82" t="n">
        <f aca="false">BC9+BC13+BC17+BC21+BC25+BC29</f>
        <v>49144.9916749917</v>
      </c>
      <c r="BD32" s="82" t="n">
        <f aca="false">BD9+BD13+BD17+BD21+BD25+BD29</f>
        <v>49144.9916749917</v>
      </c>
      <c r="BE32" s="82" t="n">
        <f aca="false">BE9+BE13+BE17+BE21+BE25+BE29</f>
        <v>49144.9916749917</v>
      </c>
      <c r="BF32" s="82" t="n">
        <f aca="false">BF9+BF13+BF17+BF21+BF25+BF29</f>
        <v>49144.9916749917</v>
      </c>
      <c r="BG32" s="82" t="n">
        <f aca="false">BG9+BG13+BG17+BG21+BG25+BG29</f>
        <v>49144.9916749917</v>
      </c>
      <c r="BH32" s="82" t="n">
        <f aca="false">BH9+BH13+BH17+BH21+BH25+BH29</f>
        <v>49144.9916749917</v>
      </c>
      <c r="BI32" s="82" t="n">
        <f aca="false">BI9+BI13+BI17+BI21+BI25+BI29</f>
        <v>49144.9916749917</v>
      </c>
      <c r="BJ32" s="82" t="n">
        <f aca="false">BJ9+BJ13+BJ17+BJ21+BJ25+BJ29</f>
        <v>49144.9916749917</v>
      </c>
      <c r="BK32" s="82" t="n">
        <f aca="false">BK9+BK13+BK17+BK21+BK25+BK29</f>
        <v>49144.9916749917</v>
      </c>
      <c r="BL32" s="82" t="n">
        <f aca="false">BL9+BL13+BL17+BL21+BL25+BL29</f>
        <v>49144.9916749917</v>
      </c>
      <c r="BM32" s="82" t="n">
        <f aca="false">BM9+BM13+BM17+BM21+BM25+BM29</f>
        <v>49144.9916749917</v>
      </c>
      <c r="BN32" s="82" t="n">
        <f aca="false">BN9+BN13+BN17+BN21+BN25+BN29</f>
        <v>49144.9916749917</v>
      </c>
    </row>
    <row r="33" customFormat="false" ht="15" hidden="false" customHeight="false" outlineLevel="0" collapsed="false">
      <c r="A33" s="18" t="s">
        <v>601</v>
      </c>
      <c r="B33" s="80" t="n">
        <f aca="false">SUM(C33:N33)</f>
        <v>875.740907092907</v>
      </c>
      <c r="C33" s="83" t="n">
        <f aca="false">C10+C14+C18+C22+C26+C30</f>
        <v>72.9784089244089</v>
      </c>
      <c r="D33" s="83" t="n">
        <f aca="false">D10+D14+D18+D22+D26+D30</f>
        <v>72.9784089244089</v>
      </c>
      <c r="E33" s="83" t="n">
        <f aca="false">E10+E14+E18+E22+E26+E30</f>
        <v>72.9784089244089</v>
      </c>
      <c r="F33" s="83" t="n">
        <f aca="false">F10+F14+F18+F22+F26+F30</f>
        <v>72.9784089244089</v>
      </c>
      <c r="G33" s="83" t="n">
        <f aca="false">G10+G14+G18+G22+G26+G30</f>
        <v>72.9784089244089</v>
      </c>
      <c r="H33" s="83" t="n">
        <f aca="false">H10+H14+H18+H22+H26+H30</f>
        <v>72.9784089244089</v>
      </c>
      <c r="I33" s="83" t="n">
        <f aca="false">I10+I14+I18+I22+I26+I30</f>
        <v>72.9784089244089</v>
      </c>
      <c r="J33" s="83" t="n">
        <f aca="false">J10+J14+J18+J22+J26+J30</f>
        <v>72.9784089244089</v>
      </c>
      <c r="K33" s="83" t="n">
        <f aca="false">K10+K14+K18+K22+K26+K30</f>
        <v>72.9784089244089</v>
      </c>
      <c r="L33" s="83" t="n">
        <f aca="false">L10+L14+L18+L22+L26+L30</f>
        <v>72.9784089244089</v>
      </c>
      <c r="M33" s="83" t="n">
        <f aca="false">M10+M14+M18+M22+M26+M30</f>
        <v>72.9784089244089</v>
      </c>
      <c r="N33" s="83" t="n">
        <f aca="false">N10+N14+N18+N22+N26+N30</f>
        <v>72.9784089244089</v>
      </c>
      <c r="O33" s="80" t="n">
        <f aca="false">SUM(P33:AA33)</f>
        <v>3072.06925074925</v>
      </c>
      <c r="P33" s="83" t="n">
        <f aca="false">P10+P14+P18+P22+P26+P30</f>
        <v>256.005770895771</v>
      </c>
      <c r="Q33" s="83" t="n">
        <f aca="false">Q10+Q14+Q18+Q22+Q26+Q30</f>
        <v>256.005770895771</v>
      </c>
      <c r="R33" s="83" t="n">
        <f aca="false">R10+R14+R18+R22+R26+R30</f>
        <v>256.005770895771</v>
      </c>
      <c r="S33" s="83" t="n">
        <f aca="false">S10+S14+S18+S22+S26+S30</f>
        <v>256.005770895771</v>
      </c>
      <c r="T33" s="83" t="n">
        <f aca="false">T10+T14+T18+T22+T26+T30</f>
        <v>256.005770895771</v>
      </c>
      <c r="U33" s="83" t="n">
        <f aca="false">U10+U14+U18+U22+U26+U30</f>
        <v>256.005770895771</v>
      </c>
      <c r="V33" s="83" t="n">
        <f aca="false">V10+V14+V18+V22+V26+V30</f>
        <v>256.005770895771</v>
      </c>
      <c r="W33" s="83" t="n">
        <f aca="false">W10+W14+W18+W22+W26+W30</f>
        <v>256.005770895771</v>
      </c>
      <c r="X33" s="83" t="n">
        <f aca="false">X10+X14+X18+X22+X26+X30</f>
        <v>256.005770895771</v>
      </c>
      <c r="Y33" s="83" t="n">
        <f aca="false">Y10+Y14+Y18+Y22+Y26+Y30</f>
        <v>256.005770895771</v>
      </c>
      <c r="Z33" s="83" t="n">
        <f aca="false">Z10+Z14+Z18+Z22+Z26+Z30</f>
        <v>256.005770895771</v>
      </c>
      <c r="AA33" s="83" t="n">
        <f aca="false">AA10+AA14+AA18+AA22+AA26+AA30</f>
        <v>256.005770895771</v>
      </c>
      <c r="AB33" s="80" t="n">
        <f aca="false">SUM(AC33:AN33)</f>
        <v>6201.59696303697</v>
      </c>
      <c r="AC33" s="83" t="n">
        <f aca="false">AC10+AC14+AC18+AC22+AC26+AC30</f>
        <v>516.799746919747</v>
      </c>
      <c r="AD33" s="83" t="n">
        <f aca="false">AD10+AD14+AD18+AD22+AD26+AD30</f>
        <v>516.799746919747</v>
      </c>
      <c r="AE33" s="83" t="n">
        <f aca="false">AE10+AE14+AE18+AE22+AE26+AE30</f>
        <v>516.799746919747</v>
      </c>
      <c r="AF33" s="83" t="n">
        <f aca="false">AF10+AF14+AF18+AF22+AF26+AF30</f>
        <v>516.799746919747</v>
      </c>
      <c r="AG33" s="83" t="n">
        <f aca="false">AG10+AG14+AG18+AG22+AG26+AG30</f>
        <v>516.799746919747</v>
      </c>
      <c r="AH33" s="83" t="n">
        <f aca="false">AH10+AH14+AH18+AH22+AH26+AH30</f>
        <v>516.799746919747</v>
      </c>
      <c r="AI33" s="83" t="n">
        <f aca="false">AI10+AI14+AI18+AI22+AI26+AI30</f>
        <v>516.799746919747</v>
      </c>
      <c r="AJ33" s="83" t="n">
        <f aca="false">AJ10+AJ14+AJ18+AJ22+AJ26+AJ30</f>
        <v>516.799746919747</v>
      </c>
      <c r="AK33" s="83" t="n">
        <f aca="false">AK10+AK14+AK18+AK22+AK26+AK30</f>
        <v>516.799746919747</v>
      </c>
      <c r="AL33" s="83" t="n">
        <f aca="false">AL10+AL14+AL18+AL22+AL26+AL30</f>
        <v>516.799746919747</v>
      </c>
      <c r="AM33" s="83" t="n">
        <f aca="false">AM10+AM14+AM18+AM22+AM26+AM30</f>
        <v>516.799746919747</v>
      </c>
      <c r="AN33" s="83" t="n">
        <f aca="false">AN10+AN14+AN18+AN22+AN26+AN30</f>
        <v>516.799746919747</v>
      </c>
      <c r="AO33" s="80" t="n">
        <f aca="false">SUM(AP33:BA33)</f>
        <v>9471.77786213786</v>
      </c>
      <c r="AP33" s="83" t="n">
        <f aca="false">AP10+AP14+AP18+AP22+AP26+AP30</f>
        <v>789.314821844822</v>
      </c>
      <c r="AQ33" s="83" t="n">
        <f aca="false">AQ10+AQ14+AQ18+AQ22+AQ26+AQ30</f>
        <v>789.314821844822</v>
      </c>
      <c r="AR33" s="83" t="n">
        <f aca="false">AR10+AR14+AR18+AR22+AR26+AR30</f>
        <v>789.314821844822</v>
      </c>
      <c r="AS33" s="83" t="n">
        <f aca="false">AS10+AS14+AS18+AS22+AS26+AS30</f>
        <v>789.314821844822</v>
      </c>
      <c r="AT33" s="83" t="n">
        <f aca="false">AT10+AT14+AT18+AT22+AT26+AT30</f>
        <v>789.314821844822</v>
      </c>
      <c r="AU33" s="83" t="n">
        <f aca="false">AU10+AU14+AU18+AU22+AU26+AU30</f>
        <v>789.314821844822</v>
      </c>
      <c r="AV33" s="83" t="n">
        <f aca="false">AV10+AV14+AV18+AV22+AV26+AV30</f>
        <v>789.314821844822</v>
      </c>
      <c r="AW33" s="83" t="n">
        <f aca="false">AW10+AW14+AW18+AW22+AW26+AW30</f>
        <v>789.314821844822</v>
      </c>
      <c r="AX33" s="83" t="n">
        <f aca="false">AX10+AX14+AX18+AX22+AX26+AX30</f>
        <v>789.314821844822</v>
      </c>
      <c r="AY33" s="83" t="n">
        <f aca="false">AY10+AY14+AY18+AY22+AY26+AY30</f>
        <v>789.314821844822</v>
      </c>
      <c r="AZ33" s="83" t="n">
        <f aca="false">AZ10+AZ14+AZ18+AZ22+AZ26+AZ30</f>
        <v>789.314821844822</v>
      </c>
      <c r="BA33" s="83" t="n">
        <f aca="false">BA10+BA14+BA18+BA22+BA26+BA30</f>
        <v>789.314821844822</v>
      </c>
      <c r="BB33" s="80" t="n">
        <f aca="false">SUM(BC33:BN33)</f>
        <v>12667.9587612388</v>
      </c>
      <c r="BC33" s="83" t="n">
        <f aca="false">BC10+BC14+BC18+BC22+BC26+BC30</f>
        <v>1055.66323010323</v>
      </c>
      <c r="BD33" s="83" t="n">
        <f aca="false">BD10+BD14+BD18+BD22+BD26+BD30</f>
        <v>1055.66323010323</v>
      </c>
      <c r="BE33" s="83" t="n">
        <f aca="false">BE10+BE14+BE18+BE22+BE26+BE30</f>
        <v>1055.66323010323</v>
      </c>
      <c r="BF33" s="83" t="n">
        <f aca="false">BF10+BF14+BF18+BF22+BF26+BF30</f>
        <v>1055.66323010323</v>
      </c>
      <c r="BG33" s="83" t="n">
        <f aca="false">BG10+BG14+BG18+BG22+BG26+BG30</f>
        <v>1055.66323010323</v>
      </c>
      <c r="BH33" s="83" t="n">
        <f aca="false">BH10+BH14+BH18+BH22+BH26+BH30</f>
        <v>1055.66323010323</v>
      </c>
      <c r="BI33" s="83" t="n">
        <f aca="false">BI10+BI14+BI18+BI22+BI26+BI30</f>
        <v>1055.66323010323</v>
      </c>
      <c r="BJ33" s="83" t="n">
        <f aca="false">BJ10+BJ14+BJ18+BJ22+BJ26+BJ30</f>
        <v>1055.66323010323</v>
      </c>
      <c r="BK33" s="83" t="n">
        <f aca="false">BK10+BK14+BK18+BK22+BK26+BK30</f>
        <v>1055.66323010323</v>
      </c>
      <c r="BL33" s="83" t="n">
        <f aca="false">BL10+BL14+BL18+BL22+BL26+BL30</f>
        <v>1055.66323010323</v>
      </c>
      <c r="BM33" s="83" t="n">
        <f aca="false">BM10+BM14+BM18+BM22+BM26+BM30</f>
        <v>1055.66323010323</v>
      </c>
      <c r="BN33" s="83" t="n">
        <f aca="false">BN10+BN14+BN18+BN22+BN26+BN30</f>
        <v>1055.66323010323</v>
      </c>
    </row>
    <row r="34" customFormat="false" ht="15" hidden="false" customHeight="false" outlineLevel="0" collapsed="false">
      <c r="A34" s="12" t="s">
        <v>602</v>
      </c>
      <c r="B34" s="84" t="n">
        <f aca="false">IFERROR(AVERAGE(C34:N34),0)</f>
        <v>4.65891220445998</v>
      </c>
      <c r="C34" s="85" t="n">
        <f aca="false">IFERROR(C31/C33,0)</f>
        <v>4.65891220445998</v>
      </c>
      <c r="D34" s="85" t="n">
        <f aca="false">IFERROR(D31/D33,0)</f>
        <v>4.65891220445998</v>
      </c>
      <c r="E34" s="85" t="n">
        <f aca="false">IFERROR(E31/E33,0)</f>
        <v>4.65891220445998</v>
      </c>
      <c r="F34" s="85" t="n">
        <f aca="false">IFERROR(F31/F33,0)</f>
        <v>4.65891220445998</v>
      </c>
      <c r="G34" s="85" t="n">
        <f aca="false">IFERROR(G31/G33,0)</f>
        <v>4.65891220445998</v>
      </c>
      <c r="H34" s="85" t="n">
        <f aca="false">IFERROR(H31/H33,0)</f>
        <v>4.65891220445998</v>
      </c>
      <c r="I34" s="85" t="n">
        <f aca="false">IFERROR(I31/I33,0)</f>
        <v>4.65891220445998</v>
      </c>
      <c r="J34" s="85" t="n">
        <f aca="false">IFERROR(J31/J33,0)</f>
        <v>4.65891220445998</v>
      </c>
      <c r="K34" s="85" t="n">
        <f aca="false">IFERROR(K31/K33,0)</f>
        <v>4.65891220445998</v>
      </c>
      <c r="L34" s="85" t="n">
        <f aca="false">IFERROR(L31/L33,0)</f>
        <v>4.65891220445998</v>
      </c>
      <c r="M34" s="85" t="n">
        <f aca="false">IFERROR(M31/M33,0)</f>
        <v>4.65891220445998</v>
      </c>
      <c r="N34" s="85" t="n">
        <f aca="false">IFERROR(N31/N33,0)</f>
        <v>4.65891220445998</v>
      </c>
      <c r="O34" s="84" t="n">
        <f aca="false">IFERROR(AVERAGE(P34:AA34),0)</f>
        <v>4.60927109522238</v>
      </c>
      <c r="P34" s="85" t="n">
        <f aca="false">IFERROR(P31/P33,0)</f>
        <v>4.60927109522238</v>
      </c>
      <c r="Q34" s="85" t="n">
        <f aca="false">IFERROR(Q31/Q33,0)</f>
        <v>4.60927109522238</v>
      </c>
      <c r="R34" s="85" t="n">
        <f aca="false">IFERROR(R31/R33,0)</f>
        <v>4.60927109522238</v>
      </c>
      <c r="S34" s="85" t="n">
        <f aca="false">IFERROR(S31/S33,0)</f>
        <v>4.60927109522238</v>
      </c>
      <c r="T34" s="85" t="n">
        <f aca="false">IFERROR(T31/T33,0)</f>
        <v>4.60927109522238</v>
      </c>
      <c r="U34" s="85" t="n">
        <f aca="false">IFERROR(U31/U33,0)</f>
        <v>4.60927109522238</v>
      </c>
      <c r="V34" s="85" t="n">
        <f aca="false">IFERROR(V31/V33,0)</f>
        <v>4.60927109522238</v>
      </c>
      <c r="W34" s="85" t="n">
        <f aca="false">IFERROR(W31/W33,0)</f>
        <v>4.60927109522238</v>
      </c>
      <c r="X34" s="85" t="n">
        <f aca="false">IFERROR(X31/X33,0)</f>
        <v>4.60927109522238</v>
      </c>
      <c r="Y34" s="85" t="n">
        <f aca="false">IFERROR(Y31/Y33,0)</f>
        <v>4.60927109522238</v>
      </c>
      <c r="Z34" s="85" t="n">
        <f aca="false">IFERROR(Z31/Z33,0)</f>
        <v>4.60927109522238</v>
      </c>
      <c r="AA34" s="85" t="n">
        <f aca="false">IFERROR(AA31/AA33,0)</f>
        <v>4.60927109522238</v>
      </c>
      <c r="AB34" s="84" t="n">
        <f aca="false">IFERROR(AVERAGE(AC34:AN34),0)</f>
        <v>4.64396512247653</v>
      </c>
      <c r="AC34" s="85" t="n">
        <f aca="false">IFERROR(AC31/AC33,0)</f>
        <v>4.64396512247653</v>
      </c>
      <c r="AD34" s="85" t="n">
        <f aca="false">IFERROR(AD31/AD33,0)</f>
        <v>4.64396512247653</v>
      </c>
      <c r="AE34" s="85" t="n">
        <f aca="false">IFERROR(AE31/AE33,0)</f>
        <v>4.64396512247653</v>
      </c>
      <c r="AF34" s="85" t="n">
        <f aca="false">IFERROR(AF31/AF33,0)</f>
        <v>4.64396512247653</v>
      </c>
      <c r="AG34" s="85" t="n">
        <f aca="false">IFERROR(AG31/AG33,0)</f>
        <v>4.64396512247653</v>
      </c>
      <c r="AH34" s="85" t="n">
        <f aca="false">IFERROR(AH31/AH33,0)</f>
        <v>4.64396512247653</v>
      </c>
      <c r="AI34" s="85" t="n">
        <f aca="false">IFERROR(AI31/AI33,0)</f>
        <v>4.64396512247653</v>
      </c>
      <c r="AJ34" s="85" t="n">
        <f aca="false">IFERROR(AJ31/AJ33,0)</f>
        <v>4.64396512247653</v>
      </c>
      <c r="AK34" s="85" t="n">
        <f aca="false">IFERROR(AK31/AK33,0)</f>
        <v>4.64396512247653</v>
      </c>
      <c r="AL34" s="85" t="n">
        <f aca="false">IFERROR(AL31/AL33,0)</f>
        <v>4.64396512247653</v>
      </c>
      <c r="AM34" s="85" t="n">
        <f aca="false">IFERROR(AM31/AM33,0)</f>
        <v>4.64396512247653</v>
      </c>
      <c r="AN34" s="85" t="n">
        <f aca="false">IFERROR(AN31/AN33,0)</f>
        <v>4.64396512247653</v>
      </c>
      <c r="AO34" s="84" t="n">
        <f aca="false">IFERROR(AVERAGE(AP34:BA34),0)</f>
        <v>4.6876099340846</v>
      </c>
      <c r="AP34" s="85" t="n">
        <f aca="false">IFERROR(AP31/AP33,0)</f>
        <v>4.6876099340846</v>
      </c>
      <c r="AQ34" s="85" t="n">
        <f aca="false">IFERROR(AQ31/AQ33,0)</f>
        <v>4.6876099340846</v>
      </c>
      <c r="AR34" s="85" t="n">
        <f aca="false">IFERROR(AR31/AR33,0)</f>
        <v>4.6876099340846</v>
      </c>
      <c r="AS34" s="85" t="n">
        <f aca="false">IFERROR(AS31/AS33,0)</f>
        <v>4.6876099340846</v>
      </c>
      <c r="AT34" s="85" t="n">
        <f aca="false">IFERROR(AT31/AT33,0)</f>
        <v>4.6876099340846</v>
      </c>
      <c r="AU34" s="85" t="n">
        <f aca="false">IFERROR(AU31/AU33,0)</f>
        <v>4.6876099340846</v>
      </c>
      <c r="AV34" s="85" t="n">
        <f aca="false">IFERROR(AV31/AV33,0)</f>
        <v>4.6876099340846</v>
      </c>
      <c r="AW34" s="85" t="n">
        <f aca="false">IFERROR(AW31/AW33,0)</f>
        <v>4.6876099340846</v>
      </c>
      <c r="AX34" s="85" t="n">
        <f aca="false">IFERROR(AX31/AX33,0)</f>
        <v>4.6876099340846</v>
      </c>
      <c r="AY34" s="85" t="n">
        <f aca="false">IFERROR(AY31/AY33,0)</f>
        <v>4.6876099340846</v>
      </c>
      <c r="AZ34" s="85" t="n">
        <f aca="false">IFERROR(AZ31/AZ33,0)</f>
        <v>4.6876099340846</v>
      </c>
      <c r="BA34" s="85" t="n">
        <f aca="false">IFERROR(BA31/BA33,0)</f>
        <v>4.6876099340846</v>
      </c>
      <c r="BB34" s="84" t="n">
        <f aca="false">IFERROR(AVERAGE(BC34:BN34),0)</f>
        <v>4.68899537167355</v>
      </c>
      <c r="BC34" s="85" t="n">
        <f aca="false">IFERROR(BC31/BC33,0)</f>
        <v>4.68899537167355</v>
      </c>
      <c r="BD34" s="85" t="n">
        <f aca="false">IFERROR(BD31/BD33,0)</f>
        <v>4.68899537167355</v>
      </c>
      <c r="BE34" s="85" t="n">
        <f aca="false">IFERROR(BE31/BE33,0)</f>
        <v>4.68899537167355</v>
      </c>
      <c r="BF34" s="85" t="n">
        <f aca="false">IFERROR(BF31/BF33,0)</f>
        <v>4.68899537167355</v>
      </c>
      <c r="BG34" s="85" t="n">
        <f aca="false">IFERROR(BG31/BG33,0)</f>
        <v>4.68899537167355</v>
      </c>
      <c r="BH34" s="85" t="n">
        <f aca="false">IFERROR(BH31/BH33,0)</f>
        <v>4.68899537167355</v>
      </c>
      <c r="BI34" s="85" t="n">
        <f aca="false">IFERROR(BI31/BI33,0)</f>
        <v>4.68899537167355</v>
      </c>
      <c r="BJ34" s="85" t="n">
        <f aca="false">IFERROR(BJ31/BJ33,0)</f>
        <v>4.68899537167355</v>
      </c>
      <c r="BK34" s="85" t="n">
        <f aca="false">IFERROR(BK31/BK33,0)</f>
        <v>4.68899537167355</v>
      </c>
      <c r="BL34" s="85" t="n">
        <f aca="false">IFERROR(BL31/BL33,0)</f>
        <v>4.68899537167355</v>
      </c>
      <c r="BM34" s="85" t="n">
        <f aca="false">IFERROR(BM31/BM33,0)</f>
        <v>4.68899537167355</v>
      </c>
      <c r="BN34" s="85" t="n">
        <f aca="false">IFERROR(BN31/BN33,0)</f>
        <v>4.68899537167355</v>
      </c>
    </row>
    <row r="36" customFormat="false" ht="16.5" hidden="false" customHeight="true" outlineLevel="0" collapsed="false">
      <c r="A36" s="15" t="s">
        <v>603</v>
      </c>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row>
    <row r="37" customFormat="false" ht="15" hidden="false" customHeight="true" outlineLevel="0" collapsed="false">
      <c r="A37" s="26" t="s">
        <v>481</v>
      </c>
      <c r="B37" s="61" t="s">
        <v>81</v>
      </c>
      <c r="C37" s="62" t="s">
        <v>482</v>
      </c>
      <c r="D37" s="62" t="s">
        <v>483</v>
      </c>
      <c r="E37" s="62" t="s">
        <v>484</v>
      </c>
      <c r="F37" s="62" t="s">
        <v>485</v>
      </c>
      <c r="G37" s="62" t="s">
        <v>486</v>
      </c>
      <c r="H37" s="62" t="s">
        <v>487</v>
      </c>
      <c r="I37" s="62" t="s">
        <v>488</v>
      </c>
      <c r="J37" s="62" t="s">
        <v>489</v>
      </c>
      <c r="K37" s="62" t="s">
        <v>490</v>
      </c>
      <c r="L37" s="62" t="s">
        <v>491</v>
      </c>
      <c r="M37" s="62" t="s">
        <v>492</v>
      </c>
      <c r="N37" s="62" t="s">
        <v>493</v>
      </c>
      <c r="O37" s="61" t="s">
        <v>82</v>
      </c>
      <c r="P37" s="63" t="s">
        <v>494</v>
      </c>
      <c r="Q37" s="63" t="s">
        <v>495</v>
      </c>
      <c r="R37" s="63" t="s">
        <v>496</v>
      </c>
      <c r="S37" s="63" t="s">
        <v>497</v>
      </c>
      <c r="T37" s="63" t="s">
        <v>498</v>
      </c>
      <c r="U37" s="63" t="s">
        <v>499</v>
      </c>
      <c r="V37" s="63" t="s">
        <v>500</v>
      </c>
      <c r="W37" s="63" t="s">
        <v>501</v>
      </c>
      <c r="X37" s="63" t="s">
        <v>502</v>
      </c>
      <c r="Y37" s="63" t="s">
        <v>503</v>
      </c>
      <c r="Z37" s="63" t="s">
        <v>504</v>
      </c>
      <c r="AA37" s="63" t="s">
        <v>505</v>
      </c>
      <c r="AB37" s="61" t="s">
        <v>83</v>
      </c>
      <c r="AC37" s="62" t="s">
        <v>506</v>
      </c>
      <c r="AD37" s="62" t="s">
        <v>507</v>
      </c>
      <c r="AE37" s="62" t="s">
        <v>508</v>
      </c>
      <c r="AF37" s="62" t="s">
        <v>509</v>
      </c>
      <c r="AG37" s="62" t="s">
        <v>510</v>
      </c>
      <c r="AH37" s="62" t="s">
        <v>511</v>
      </c>
      <c r="AI37" s="62" t="s">
        <v>512</v>
      </c>
      <c r="AJ37" s="62" t="s">
        <v>513</v>
      </c>
      <c r="AK37" s="62" t="s">
        <v>514</v>
      </c>
      <c r="AL37" s="62" t="s">
        <v>515</v>
      </c>
      <c r="AM37" s="62" t="s">
        <v>516</v>
      </c>
      <c r="AN37" s="62" t="s">
        <v>517</v>
      </c>
      <c r="AO37" s="61" t="s">
        <v>84</v>
      </c>
      <c r="AP37" s="63" t="s">
        <v>518</v>
      </c>
      <c r="AQ37" s="63" t="s">
        <v>519</v>
      </c>
      <c r="AR37" s="63" t="s">
        <v>520</v>
      </c>
      <c r="AS37" s="63" t="s">
        <v>521</v>
      </c>
      <c r="AT37" s="63" t="s">
        <v>522</v>
      </c>
      <c r="AU37" s="63" t="s">
        <v>523</v>
      </c>
      <c r="AV37" s="63" t="s">
        <v>524</v>
      </c>
      <c r="AW37" s="63" t="s">
        <v>525</v>
      </c>
      <c r="AX37" s="63" t="s">
        <v>526</v>
      </c>
      <c r="AY37" s="63" t="s">
        <v>527</v>
      </c>
      <c r="AZ37" s="63" t="s">
        <v>528</v>
      </c>
      <c r="BA37" s="63" t="s">
        <v>529</v>
      </c>
      <c r="BB37" s="61" t="s">
        <v>85</v>
      </c>
      <c r="BC37" s="62" t="s">
        <v>530</v>
      </c>
      <c r="BD37" s="62" t="s">
        <v>531</v>
      </c>
      <c r="BE37" s="62" t="s">
        <v>532</v>
      </c>
      <c r="BF37" s="62" t="s">
        <v>533</v>
      </c>
      <c r="BG37" s="62" t="s">
        <v>534</v>
      </c>
      <c r="BH37" s="62" t="s">
        <v>535</v>
      </c>
      <c r="BI37" s="62" t="s">
        <v>536</v>
      </c>
      <c r="BJ37" s="62" t="s">
        <v>537</v>
      </c>
      <c r="BK37" s="62" t="s">
        <v>538</v>
      </c>
      <c r="BL37" s="62" t="s">
        <v>539</v>
      </c>
      <c r="BM37" s="62" t="s">
        <v>540</v>
      </c>
      <c r="BN37" s="62" t="s">
        <v>541</v>
      </c>
    </row>
    <row r="38" customFormat="false" ht="15" hidden="false" customHeight="false" outlineLevel="0" collapsed="false">
      <c r="A38" s="12" t="s">
        <v>250</v>
      </c>
      <c r="B38" s="80" t="n">
        <f aca="false">SUM(C38:N38)</f>
        <v>12</v>
      </c>
      <c r="C38" s="81" t="n">
        <f aca="false">'Assumption Setting'!$C$56</f>
        <v>1</v>
      </c>
      <c r="D38" s="81" t="n">
        <f aca="false">'Assumption Setting'!$C$56</f>
        <v>1</v>
      </c>
      <c r="E38" s="81" t="n">
        <f aca="false">'Assumption Setting'!$C$56</f>
        <v>1</v>
      </c>
      <c r="F38" s="81" t="n">
        <f aca="false">'Assumption Setting'!$C$56</f>
        <v>1</v>
      </c>
      <c r="G38" s="81" t="n">
        <f aca="false">'Assumption Setting'!$C$56</f>
        <v>1</v>
      </c>
      <c r="H38" s="81" t="n">
        <f aca="false">'Assumption Setting'!$C$56</f>
        <v>1</v>
      </c>
      <c r="I38" s="81" t="n">
        <f aca="false">'Assumption Setting'!$C$56</f>
        <v>1</v>
      </c>
      <c r="J38" s="81" t="n">
        <f aca="false">'Assumption Setting'!$C$56</f>
        <v>1</v>
      </c>
      <c r="K38" s="81" t="n">
        <f aca="false">'Assumption Setting'!$C$56</f>
        <v>1</v>
      </c>
      <c r="L38" s="81" t="n">
        <f aca="false">'Assumption Setting'!$C$56</f>
        <v>1</v>
      </c>
      <c r="M38" s="81" t="n">
        <f aca="false">'Assumption Setting'!$C$56</f>
        <v>1</v>
      </c>
      <c r="N38" s="81" t="n">
        <f aca="false">'Assumption Setting'!$C$56</f>
        <v>1</v>
      </c>
      <c r="O38" s="80" t="n">
        <f aca="false">SUM(P38:AA38)</f>
        <v>48</v>
      </c>
      <c r="P38" s="81" t="n">
        <f aca="false">'Assumption Setting'!$D$56</f>
        <v>4</v>
      </c>
      <c r="Q38" s="81" t="n">
        <f aca="false">'Assumption Setting'!$D$56</f>
        <v>4</v>
      </c>
      <c r="R38" s="81" t="n">
        <f aca="false">'Assumption Setting'!$D$56</f>
        <v>4</v>
      </c>
      <c r="S38" s="81" t="n">
        <f aca="false">'Assumption Setting'!$D$56</f>
        <v>4</v>
      </c>
      <c r="T38" s="81" t="n">
        <f aca="false">'Assumption Setting'!$D$56</f>
        <v>4</v>
      </c>
      <c r="U38" s="81" t="n">
        <f aca="false">'Assumption Setting'!$D$56</f>
        <v>4</v>
      </c>
      <c r="V38" s="81" t="n">
        <f aca="false">'Assumption Setting'!$D$56</f>
        <v>4</v>
      </c>
      <c r="W38" s="81" t="n">
        <f aca="false">'Assumption Setting'!$D$56</f>
        <v>4</v>
      </c>
      <c r="X38" s="81" t="n">
        <f aca="false">'Assumption Setting'!$D$56</f>
        <v>4</v>
      </c>
      <c r="Y38" s="81" t="n">
        <f aca="false">'Assumption Setting'!$D$56</f>
        <v>4</v>
      </c>
      <c r="Z38" s="81" t="n">
        <f aca="false">'Assumption Setting'!$D$56</f>
        <v>4</v>
      </c>
      <c r="AA38" s="81" t="n">
        <f aca="false">'Assumption Setting'!$D$56</f>
        <v>4</v>
      </c>
      <c r="AB38" s="80" t="n">
        <f aca="false">SUM(AC38:AN38)</f>
        <v>96</v>
      </c>
      <c r="AC38" s="81" t="n">
        <f aca="false">'Assumption Setting'!$E$56</f>
        <v>8</v>
      </c>
      <c r="AD38" s="81" t="n">
        <f aca="false">'Assumption Setting'!$E$56</f>
        <v>8</v>
      </c>
      <c r="AE38" s="81" t="n">
        <f aca="false">'Assumption Setting'!$E$56</f>
        <v>8</v>
      </c>
      <c r="AF38" s="81" t="n">
        <f aca="false">'Assumption Setting'!$E$56</f>
        <v>8</v>
      </c>
      <c r="AG38" s="81" t="n">
        <f aca="false">'Assumption Setting'!$E$56</f>
        <v>8</v>
      </c>
      <c r="AH38" s="81" t="n">
        <f aca="false">'Assumption Setting'!$E$56</f>
        <v>8</v>
      </c>
      <c r="AI38" s="81" t="n">
        <f aca="false">'Assumption Setting'!$E$56</f>
        <v>8</v>
      </c>
      <c r="AJ38" s="81" t="n">
        <f aca="false">'Assumption Setting'!$E$56</f>
        <v>8</v>
      </c>
      <c r="AK38" s="81" t="n">
        <f aca="false">'Assumption Setting'!$E$56</f>
        <v>8</v>
      </c>
      <c r="AL38" s="81" t="n">
        <f aca="false">'Assumption Setting'!$E$56</f>
        <v>8</v>
      </c>
      <c r="AM38" s="81" t="n">
        <f aca="false">'Assumption Setting'!$E$56</f>
        <v>8</v>
      </c>
      <c r="AN38" s="81" t="n">
        <f aca="false">'Assumption Setting'!$E$56</f>
        <v>8</v>
      </c>
      <c r="AO38" s="80" t="n">
        <f aca="false">SUM(AP38:BA38)</f>
        <v>132</v>
      </c>
      <c r="AP38" s="81" t="n">
        <f aca="false">'Assumption Setting'!$F$56</f>
        <v>11</v>
      </c>
      <c r="AQ38" s="81" t="n">
        <f aca="false">'Assumption Setting'!$F$56</f>
        <v>11</v>
      </c>
      <c r="AR38" s="81" t="n">
        <f aca="false">'Assumption Setting'!$F$56</f>
        <v>11</v>
      </c>
      <c r="AS38" s="81" t="n">
        <f aca="false">'Assumption Setting'!$F$56</f>
        <v>11</v>
      </c>
      <c r="AT38" s="81" t="n">
        <f aca="false">'Assumption Setting'!$F$56</f>
        <v>11</v>
      </c>
      <c r="AU38" s="81" t="n">
        <f aca="false">'Assumption Setting'!$F$56</f>
        <v>11</v>
      </c>
      <c r="AV38" s="81" t="n">
        <f aca="false">'Assumption Setting'!$F$56</f>
        <v>11</v>
      </c>
      <c r="AW38" s="81" t="n">
        <f aca="false">'Assumption Setting'!$F$56</f>
        <v>11</v>
      </c>
      <c r="AX38" s="81" t="n">
        <f aca="false">'Assumption Setting'!$F$56</f>
        <v>11</v>
      </c>
      <c r="AY38" s="81" t="n">
        <f aca="false">'Assumption Setting'!$F$56</f>
        <v>11</v>
      </c>
      <c r="AZ38" s="81" t="n">
        <f aca="false">'Assumption Setting'!$F$56</f>
        <v>11</v>
      </c>
      <c r="BA38" s="81" t="n">
        <f aca="false">'Assumption Setting'!$F$56</f>
        <v>11</v>
      </c>
      <c r="BB38" s="80" t="n">
        <f aca="false">SUM(BC38:BN38)</f>
        <v>168</v>
      </c>
      <c r="BC38" s="81" t="n">
        <f aca="false">'Assumption Setting'!$G$56</f>
        <v>14</v>
      </c>
      <c r="BD38" s="81" t="n">
        <f aca="false">'Assumption Setting'!$G$56</f>
        <v>14</v>
      </c>
      <c r="BE38" s="81" t="n">
        <f aca="false">'Assumption Setting'!$G$56</f>
        <v>14</v>
      </c>
      <c r="BF38" s="81" t="n">
        <f aca="false">'Assumption Setting'!$G$56</f>
        <v>14</v>
      </c>
      <c r="BG38" s="81" t="n">
        <f aca="false">'Assumption Setting'!$G$56</f>
        <v>14</v>
      </c>
      <c r="BH38" s="81" t="n">
        <f aca="false">'Assumption Setting'!$G$56</f>
        <v>14</v>
      </c>
      <c r="BI38" s="81" t="n">
        <f aca="false">'Assumption Setting'!$G$56</f>
        <v>14</v>
      </c>
      <c r="BJ38" s="81" t="n">
        <f aca="false">'Assumption Setting'!$G$56</f>
        <v>14</v>
      </c>
      <c r="BK38" s="81" t="n">
        <f aca="false">'Assumption Setting'!$G$56</f>
        <v>14</v>
      </c>
      <c r="BL38" s="81" t="n">
        <f aca="false">'Assumption Setting'!$G$56</f>
        <v>14</v>
      </c>
      <c r="BM38" s="81" t="n">
        <f aca="false">'Assumption Setting'!$G$56</f>
        <v>14</v>
      </c>
      <c r="BN38" s="81" t="n">
        <f aca="false">'Assumption Setting'!$G$56</f>
        <v>14</v>
      </c>
    </row>
    <row r="39" customFormat="false" ht="15" hidden="false" customHeight="false" outlineLevel="0" collapsed="false">
      <c r="A39" s="12" t="s">
        <v>604</v>
      </c>
      <c r="B39" s="64" t="n">
        <f aca="false">SUM(C39:N39)</f>
        <v>2160</v>
      </c>
      <c r="C39" s="65" t="n">
        <f aca="false">C38*'Assumption Setting'!$H$56</f>
        <v>180</v>
      </c>
      <c r="D39" s="65" t="n">
        <f aca="false">D38*'Assumption Setting'!$H$56</f>
        <v>180</v>
      </c>
      <c r="E39" s="65" t="n">
        <f aca="false">E38*'Assumption Setting'!$H$56</f>
        <v>180</v>
      </c>
      <c r="F39" s="65" t="n">
        <f aca="false">F38*'Assumption Setting'!$H$56</f>
        <v>180</v>
      </c>
      <c r="G39" s="65" t="n">
        <f aca="false">G38*'Assumption Setting'!$H$56</f>
        <v>180</v>
      </c>
      <c r="H39" s="65" t="n">
        <f aca="false">H38*'Assumption Setting'!$H$56</f>
        <v>180</v>
      </c>
      <c r="I39" s="65" t="n">
        <f aca="false">I38*'Assumption Setting'!$H$56</f>
        <v>180</v>
      </c>
      <c r="J39" s="65" t="n">
        <f aca="false">J38*'Assumption Setting'!$H$56</f>
        <v>180</v>
      </c>
      <c r="K39" s="65" t="n">
        <f aca="false">K38*'Assumption Setting'!$H$56</f>
        <v>180</v>
      </c>
      <c r="L39" s="65" t="n">
        <f aca="false">L38*'Assumption Setting'!$H$56</f>
        <v>180</v>
      </c>
      <c r="M39" s="65" t="n">
        <f aca="false">M38*'Assumption Setting'!$H$56</f>
        <v>180</v>
      </c>
      <c r="N39" s="65" t="n">
        <f aca="false">N38*'Assumption Setting'!$H$56</f>
        <v>180</v>
      </c>
      <c r="O39" s="64" t="n">
        <f aca="false">SUM(P39:AA39)</f>
        <v>8640</v>
      </c>
      <c r="P39" s="65" t="n">
        <f aca="false">P38*'Assumption Setting'!$H$56</f>
        <v>720</v>
      </c>
      <c r="Q39" s="65" t="n">
        <f aca="false">Q38*'Assumption Setting'!$H$56</f>
        <v>720</v>
      </c>
      <c r="R39" s="65" t="n">
        <f aca="false">R38*'Assumption Setting'!$H$56</f>
        <v>720</v>
      </c>
      <c r="S39" s="65" t="n">
        <f aca="false">S38*'Assumption Setting'!$H$56</f>
        <v>720</v>
      </c>
      <c r="T39" s="65" t="n">
        <f aca="false">T38*'Assumption Setting'!$H$56</f>
        <v>720</v>
      </c>
      <c r="U39" s="65" t="n">
        <f aca="false">U38*'Assumption Setting'!$H$56</f>
        <v>720</v>
      </c>
      <c r="V39" s="65" t="n">
        <f aca="false">V38*'Assumption Setting'!$H$56</f>
        <v>720</v>
      </c>
      <c r="W39" s="65" t="n">
        <f aca="false">W38*'Assumption Setting'!$H$56</f>
        <v>720</v>
      </c>
      <c r="X39" s="65" t="n">
        <f aca="false">X38*'Assumption Setting'!$H$56</f>
        <v>720</v>
      </c>
      <c r="Y39" s="65" t="n">
        <f aca="false">Y38*'Assumption Setting'!$H$56</f>
        <v>720</v>
      </c>
      <c r="Z39" s="65" t="n">
        <f aca="false">Z38*'Assumption Setting'!$H$56</f>
        <v>720</v>
      </c>
      <c r="AA39" s="65" t="n">
        <f aca="false">AA38*'Assumption Setting'!$H$56</f>
        <v>720</v>
      </c>
      <c r="AB39" s="64" t="n">
        <f aca="false">SUM(AC39:AN39)</f>
        <v>17280</v>
      </c>
      <c r="AC39" s="65" t="n">
        <f aca="false">AC38*'Assumption Setting'!$H$56</f>
        <v>1440</v>
      </c>
      <c r="AD39" s="65" t="n">
        <f aca="false">AD38*'Assumption Setting'!$H$56</f>
        <v>1440</v>
      </c>
      <c r="AE39" s="65" t="n">
        <f aca="false">AE38*'Assumption Setting'!$H$56</f>
        <v>1440</v>
      </c>
      <c r="AF39" s="65" t="n">
        <f aca="false">AF38*'Assumption Setting'!$H$56</f>
        <v>1440</v>
      </c>
      <c r="AG39" s="65" t="n">
        <f aca="false">AG38*'Assumption Setting'!$H$56</f>
        <v>1440</v>
      </c>
      <c r="AH39" s="65" t="n">
        <f aca="false">AH38*'Assumption Setting'!$H$56</f>
        <v>1440</v>
      </c>
      <c r="AI39" s="65" t="n">
        <f aca="false">AI38*'Assumption Setting'!$H$56</f>
        <v>1440</v>
      </c>
      <c r="AJ39" s="65" t="n">
        <f aca="false">AJ38*'Assumption Setting'!$H$56</f>
        <v>1440</v>
      </c>
      <c r="AK39" s="65" t="n">
        <f aca="false">AK38*'Assumption Setting'!$H$56</f>
        <v>1440</v>
      </c>
      <c r="AL39" s="65" t="n">
        <f aca="false">AL38*'Assumption Setting'!$H$56</f>
        <v>1440</v>
      </c>
      <c r="AM39" s="65" t="n">
        <f aca="false">AM38*'Assumption Setting'!$H$56</f>
        <v>1440</v>
      </c>
      <c r="AN39" s="65" t="n">
        <f aca="false">AN38*'Assumption Setting'!$H$56</f>
        <v>1440</v>
      </c>
      <c r="AO39" s="64" t="n">
        <f aca="false">SUM(AP39:BA39)</f>
        <v>23760</v>
      </c>
      <c r="AP39" s="65" t="n">
        <f aca="false">AP38*'Assumption Setting'!$H$56</f>
        <v>1980</v>
      </c>
      <c r="AQ39" s="65" t="n">
        <f aca="false">AQ38*'Assumption Setting'!$H$56</f>
        <v>1980</v>
      </c>
      <c r="AR39" s="65" t="n">
        <f aca="false">AR38*'Assumption Setting'!$H$56</f>
        <v>1980</v>
      </c>
      <c r="AS39" s="65" t="n">
        <f aca="false">AS38*'Assumption Setting'!$H$56</f>
        <v>1980</v>
      </c>
      <c r="AT39" s="65" t="n">
        <f aca="false">AT38*'Assumption Setting'!$H$56</f>
        <v>1980</v>
      </c>
      <c r="AU39" s="65" t="n">
        <f aca="false">AU38*'Assumption Setting'!$H$56</f>
        <v>1980</v>
      </c>
      <c r="AV39" s="65" t="n">
        <f aca="false">AV38*'Assumption Setting'!$H$56</f>
        <v>1980</v>
      </c>
      <c r="AW39" s="65" t="n">
        <f aca="false">AW38*'Assumption Setting'!$H$56</f>
        <v>1980</v>
      </c>
      <c r="AX39" s="65" t="n">
        <f aca="false">AX38*'Assumption Setting'!$H$56</f>
        <v>1980</v>
      </c>
      <c r="AY39" s="65" t="n">
        <f aca="false">AY38*'Assumption Setting'!$H$56</f>
        <v>1980</v>
      </c>
      <c r="AZ39" s="65" t="n">
        <f aca="false">AZ38*'Assumption Setting'!$H$56</f>
        <v>1980</v>
      </c>
      <c r="BA39" s="65" t="n">
        <f aca="false">BA38*'Assumption Setting'!$H$56</f>
        <v>1980</v>
      </c>
      <c r="BB39" s="64" t="n">
        <f aca="false">SUM(BC39:BN39)</f>
        <v>30240</v>
      </c>
      <c r="BC39" s="65" t="n">
        <f aca="false">BC38*'Assumption Setting'!$H$56</f>
        <v>2520</v>
      </c>
      <c r="BD39" s="65" t="n">
        <f aca="false">BD38*'Assumption Setting'!$H$56</f>
        <v>2520</v>
      </c>
      <c r="BE39" s="65" t="n">
        <f aca="false">BE38*'Assumption Setting'!$H$56</f>
        <v>2520</v>
      </c>
      <c r="BF39" s="65" t="n">
        <f aca="false">BF38*'Assumption Setting'!$H$56</f>
        <v>2520</v>
      </c>
      <c r="BG39" s="65" t="n">
        <f aca="false">BG38*'Assumption Setting'!$H$56</f>
        <v>2520</v>
      </c>
      <c r="BH39" s="65" t="n">
        <f aca="false">BH38*'Assumption Setting'!$H$56</f>
        <v>2520</v>
      </c>
      <c r="BI39" s="65" t="n">
        <f aca="false">BI38*'Assumption Setting'!$H$56</f>
        <v>2520</v>
      </c>
      <c r="BJ39" s="65" t="n">
        <f aca="false">BJ38*'Assumption Setting'!$H$56</f>
        <v>2520</v>
      </c>
      <c r="BK39" s="65" t="n">
        <f aca="false">BK38*'Assumption Setting'!$H$56</f>
        <v>2520</v>
      </c>
      <c r="BL39" s="65" t="n">
        <f aca="false">BL38*'Assumption Setting'!$H$56</f>
        <v>2520</v>
      </c>
      <c r="BM39" s="65" t="n">
        <f aca="false">BM38*'Assumption Setting'!$H$56</f>
        <v>2520</v>
      </c>
      <c r="BN39" s="65" t="n">
        <f aca="false">BN38*'Assumption Setting'!$H$56</f>
        <v>2520</v>
      </c>
    </row>
    <row r="40" customFormat="false" ht="15" hidden="false" customHeight="false" outlineLevel="0" collapsed="false">
      <c r="A40" s="12" t="s">
        <v>605</v>
      </c>
      <c r="B40" s="78" t="n">
        <f aca="false">SUM(C40:N40)</f>
        <v>360</v>
      </c>
      <c r="C40" s="79" t="n">
        <f aca="false">C38*'Assumption Setting'!$I$56</f>
        <v>30</v>
      </c>
      <c r="D40" s="79" t="n">
        <f aca="false">D38*'Assumption Setting'!$I$56</f>
        <v>30</v>
      </c>
      <c r="E40" s="79" t="n">
        <f aca="false">E38*'Assumption Setting'!$I$56</f>
        <v>30</v>
      </c>
      <c r="F40" s="79" t="n">
        <f aca="false">F38*'Assumption Setting'!$I$56</f>
        <v>30</v>
      </c>
      <c r="G40" s="79" t="n">
        <f aca="false">G38*'Assumption Setting'!$I$56</f>
        <v>30</v>
      </c>
      <c r="H40" s="79" t="n">
        <f aca="false">H38*'Assumption Setting'!$I$56</f>
        <v>30</v>
      </c>
      <c r="I40" s="79" t="n">
        <f aca="false">I38*'Assumption Setting'!$I$56</f>
        <v>30</v>
      </c>
      <c r="J40" s="79" t="n">
        <f aca="false">J38*'Assumption Setting'!$I$56</f>
        <v>30</v>
      </c>
      <c r="K40" s="79" t="n">
        <f aca="false">K38*'Assumption Setting'!$I$56</f>
        <v>30</v>
      </c>
      <c r="L40" s="79" t="n">
        <f aca="false">L38*'Assumption Setting'!$I$56</f>
        <v>30</v>
      </c>
      <c r="M40" s="79" t="n">
        <f aca="false">M38*'Assumption Setting'!$I$56</f>
        <v>30</v>
      </c>
      <c r="N40" s="79" t="n">
        <f aca="false">N38*'Assumption Setting'!$I$56</f>
        <v>30</v>
      </c>
      <c r="O40" s="78" t="n">
        <f aca="false">SUM(P40:AA40)</f>
        <v>1440</v>
      </c>
      <c r="P40" s="79" t="n">
        <f aca="false">P38*'Assumption Setting'!$I$56</f>
        <v>120</v>
      </c>
      <c r="Q40" s="79" t="n">
        <f aca="false">Q38*'Assumption Setting'!$I$56</f>
        <v>120</v>
      </c>
      <c r="R40" s="79" t="n">
        <f aca="false">R38*'Assumption Setting'!$I$56</f>
        <v>120</v>
      </c>
      <c r="S40" s="79" t="n">
        <f aca="false">S38*'Assumption Setting'!$I$56</f>
        <v>120</v>
      </c>
      <c r="T40" s="79" t="n">
        <f aca="false">T38*'Assumption Setting'!$I$56</f>
        <v>120</v>
      </c>
      <c r="U40" s="79" t="n">
        <f aca="false">U38*'Assumption Setting'!$I$56</f>
        <v>120</v>
      </c>
      <c r="V40" s="79" t="n">
        <f aca="false">V38*'Assumption Setting'!$I$56</f>
        <v>120</v>
      </c>
      <c r="W40" s="79" t="n">
        <f aca="false">W38*'Assumption Setting'!$I$56</f>
        <v>120</v>
      </c>
      <c r="X40" s="79" t="n">
        <f aca="false">X38*'Assumption Setting'!$I$56</f>
        <v>120</v>
      </c>
      <c r="Y40" s="79" t="n">
        <f aca="false">Y38*'Assumption Setting'!$I$56</f>
        <v>120</v>
      </c>
      <c r="Z40" s="79" t="n">
        <f aca="false">Z38*'Assumption Setting'!$I$56</f>
        <v>120</v>
      </c>
      <c r="AA40" s="79" t="n">
        <f aca="false">AA38*'Assumption Setting'!$I$56</f>
        <v>120</v>
      </c>
      <c r="AB40" s="78" t="n">
        <f aca="false">SUM(AC40:AN40)</f>
        <v>2880</v>
      </c>
      <c r="AC40" s="79" t="n">
        <f aca="false">AC38*'Assumption Setting'!$I$56</f>
        <v>240</v>
      </c>
      <c r="AD40" s="79" t="n">
        <f aca="false">AD38*'Assumption Setting'!$I$56</f>
        <v>240</v>
      </c>
      <c r="AE40" s="79" t="n">
        <f aca="false">AE38*'Assumption Setting'!$I$56</f>
        <v>240</v>
      </c>
      <c r="AF40" s="79" t="n">
        <f aca="false">AF38*'Assumption Setting'!$I$56</f>
        <v>240</v>
      </c>
      <c r="AG40" s="79" t="n">
        <f aca="false">AG38*'Assumption Setting'!$I$56</f>
        <v>240</v>
      </c>
      <c r="AH40" s="79" t="n">
        <f aca="false">AH38*'Assumption Setting'!$I$56</f>
        <v>240</v>
      </c>
      <c r="AI40" s="79" t="n">
        <f aca="false">AI38*'Assumption Setting'!$I$56</f>
        <v>240</v>
      </c>
      <c r="AJ40" s="79" t="n">
        <f aca="false">AJ38*'Assumption Setting'!$I$56</f>
        <v>240</v>
      </c>
      <c r="AK40" s="79" t="n">
        <f aca="false">AK38*'Assumption Setting'!$I$56</f>
        <v>240</v>
      </c>
      <c r="AL40" s="79" t="n">
        <f aca="false">AL38*'Assumption Setting'!$I$56</f>
        <v>240</v>
      </c>
      <c r="AM40" s="79" t="n">
        <f aca="false">AM38*'Assumption Setting'!$I$56</f>
        <v>240</v>
      </c>
      <c r="AN40" s="79" t="n">
        <f aca="false">AN38*'Assumption Setting'!$I$56</f>
        <v>240</v>
      </c>
      <c r="AO40" s="78" t="n">
        <f aca="false">SUM(AP40:BA40)</f>
        <v>3960</v>
      </c>
      <c r="AP40" s="79" t="n">
        <f aca="false">AP38*'Assumption Setting'!$I$56</f>
        <v>330</v>
      </c>
      <c r="AQ40" s="79" t="n">
        <f aca="false">AQ38*'Assumption Setting'!$I$56</f>
        <v>330</v>
      </c>
      <c r="AR40" s="79" t="n">
        <f aca="false">AR38*'Assumption Setting'!$I$56</f>
        <v>330</v>
      </c>
      <c r="AS40" s="79" t="n">
        <f aca="false">AS38*'Assumption Setting'!$I$56</f>
        <v>330</v>
      </c>
      <c r="AT40" s="79" t="n">
        <f aca="false">AT38*'Assumption Setting'!$I$56</f>
        <v>330</v>
      </c>
      <c r="AU40" s="79" t="n">
        <f aca="false">AU38*'Assumption Setting'!$I$56</f>
        <v>330</v>
      </c>
      <c r="AV40" s="79" t="n">
        <f aca="false">AV38*'Assumption Setting'!$I$56</f>
        <v>330</v>
      </c>
      <c r="AW40" s="79" t="n">
        <f aca="false">AW38*'Assumption Setting'!$I$56</f>
        <v>330</v>
      </c>
      <c r="AX40" s="79" t="n">
        <f aca="false">AX38*'Assumption Setting'!$I$56</f>
        <v>330</v>
      </c>
      <c r="AY40" s="79" t="n">
        <f aca="false">AY38*'Assumption Setting'!$I$56</f>
        <v>330</v>
      </c>
      <c r="AZ40" s="79" t="n">
        <f aca="false">AZ38*'Assumption Setting'!$I$56</f>
        <v>330</v>
      </c>
      <c r="BA40" s="79" t="n">
        <f aca="false">BA38*'Assumption Setting'!$I$56</f>
        <v>330</v>
      </c>
      <c r="BB40" s="78" t="n">
        <f aca="false">SUM(BC40:BN40)</f>
        <v>5040</v>
      </c>
      <c r="BC40" s="79" t="n">
        <f aca="false">BC38*'Assumption Setting'!$I$56</f>
        <v>420</v>
      </c>
      <c r="BD40" s="79" t="n">
        <f aca="false">BD38*'Assumption Setting'!$I$56</f>
        <v>420</v>
      </c>
      <c r="BE40" s="79" t="n">
        <f aca="false">BE38*'Assumption Setting'!$I$56</f>
        <v>420</v>
      </c>
      <c r="BF40" s="79" t="n">
        <f aca="false">BF38*'Assumption Setting'!$I$56</f>
        <v>420</v>
      </c>
      <c r="BG40" s="79" t="n">
        <f aca="false">BG38*'Assumption Setting'!$I$56</f>
        <v>420</v>
      </c>
      <c r="BH40" s="79" t="n">
        <f aca="false">BH38*'Assumption Setting'!$I$56</f>
        <v>420</v>
      </c>
      <c r="BI40" s="79" t="n">
        <f aca="false">BI38*'Assumption Setting'!$I$56</f>
        <v>420</v>
      </c>
      <c r="BJ40" s="79" t="n">
        <f aca="false">BJ38*'Assumption Setting'!$I$56</f>
        <v>420</v>
      </c>
      <c r="BK40" s="79" t="n">
        <f aca="false">BK38*'Assumption Setting'!$I$56</f>
        <v>420</v>
      </c>
      <c r="BL40" s="79" t="n">
        <f aca="false">BL38*'Assumption Setting'!$I$56</f>
        <v>420</v>
      </c>
      <c r="BM40" s="79" t="n">
        <f aca="false">BM38*'Assumption Setting'!$I$56</f>
        <v>420</v>
      </c>
      <c r="BN40" s="79" t="n">
        <f aca="false">BN38*'Assumption Setting'!$I$56</f>
        <v>420</v>
      </c>
    </row>
    <row r="41" customFormat="false" ht="15" hidden="false" customHeight="false" outlineLevel="0" collapsed="false">
      <c r="A41" s="12" t="s">
        <v>606</v>
      </c>
      <c r="B41" s="80" t="n">
        <f aca="false">SUM(C41:N41)</f>
        <v>9.6</v>
      </c>
      <c r="C41" s="81" t="n">
        <f aca="false">C38*'Assumption Setting'!$J$56</f>
        <v>0.8</v>
      </c>
      <c r="D41" s="81" t="n">
        <f aca="false">D38*'Assumption Setting'!$J$56</f>
        <v>0.8</v>
      </c>
      <c r="E41" s="81" t="n">
        <f aca="false">E38*'Assumption Setting'!$J$56</f>
        <v>0.8</v>
      </c>
      <c r="F41" s="81" t="n">
        <f aca="false">F38*'Assumption Setting'!$J$56</f>
        <v>0.8</v>
      </c>
      <c r="G41" s="81" t="n">
        <f aca="false">G38*'Assumption Setting'!$J$56</f>
        <v>0.8</v>
      </c>
      <c r="H41" s="81" t="n">
        <f aca="false">H38*'Assumption Setting'!$J$56</f>
        <v>0.8</v>
      </c>
      <c r="I41" s="81" t="n">
        <f aca="false">I38*'Assumption Setting'!$J$56</f>
        <v>0.8</v>
      </c>
      <c r="J41" s="81" t="n">
        <f aca="false">J38*'Assumption Setting'!$J$56</f>
        <v>0.8</v>
      </c>
      <c r="K41" s="81" t="n">
        <f aca="false">K38*'Assumption Setting'!$J$56</f>
        <v>0.8</v>
      </c>
      <c r="L41" s="81" t="n">
        <f aca="false">L38*'Assumption Setting'!$J$56</f>
        <v>0.8</v>
      </c>
      <c r="M41" s="81" t="n">
        <f aca="false">M38*'Assumption Setting'!$J$56</f>
        <v>0.8</v>
      </c>
      <c r="N41" s="81" t="n">
        <f aca="false">N38*'Assumption Setting'!$J$56</f>
        <v>0.8</v>
      </c>
      <c r="O41" s="80" t="n">
        <f aca="false">SUM(P41:AA41)</f>
        <v>38.4</v>
      </c>
      <c r="P41" s="81" t="n">
        <f aca="false">P38*'Assumption Setting'!$J$56</f>
        <v>3.2</v>
      </c>
      <c r="Q41" s="81" t="n">
        <f aca="false">Q38*'Assumption Setting'!$J$56</f>
        <v>3.2</v>
      </c>
      <c r="R41" s="81" t="n">
        <f aca="false">R38*'Assumption Setting'!$J$56</f>
        <v>3.2</v>
      </c>
      <c r="S41" s="81" t="n">
        <f aca="false">S38*'Assumption Setting'!$J$56</f>
        <v>3.2</v>
      </c>
      <c r="T41" s="81" t="n">
        <f aca="false">T38*'Assumption Setting'!$J$56</f>
        <v>3.2</v>
      </c>
      <c r="U41" s="81" t="n">
        <f aca="false">U38*'Assumption Setting'!$J$56</f>
        <v>3.2</v>
      </c>
      <c r="V41" s="81" t="n">
        <f aca="false">V38*'Assumption Setting'!$J$56</f>
        <v>3.2</v>
      </c>
      <c r="W41" s="81" t="n">
        <f aca="false">W38*'Assumption Setting'!$J$56</f>
        <v>3.2</v>
      </c>
      <c r="X41" s="81" t="n">
        <f aca="false">X38*'Assumption Setting'!$J$56</f>
        <v>3.2</v>
      </c>
      <c r="Y41" s="81" t="n">
        <f aca="false">Y38*'Assumption Setting'!$J$56</f>
        <v>3.2</v>
      </c>
      <c r="Z41" s="81" t="n">
        <f aca="false">Z38*'Assumption Setting'!$J$56</f>
        <v>3.2</v>
      </c>
      <c r="AA41" s="81" t="n">
        <f aca="false">AA38*'Assumption Setting'!$J$56</f>
        <v>3.2</v>
      </c>
      <c r="AB41" s="80" t="n">
        <f aca="false">SUM(AC41:AN41)</f>
        <v>76.8</v>
      </c>
      <c r="AC41" s="81" t="n">
        <f aca="false">AC38*'Assumption Setting'!$J$56</f>
        <v>6.4</v>
      </c>
      <c r="AD41" s="81" t="n">
        <f aca="false">AD38*'Assumption Setting'!$J$56</f>
        <v>6.4</v>
      </c>
      <c r="AE41" s="81" t="n">
        <f aca="false">AE38*'Assumption Setting'!$J$56</f>
        <v>6.4</v>
      </c>
      <c r="AF41" s="81" t="n">
        <f aca="false">AF38*'Assumption Setting'!$J$56</f>
        <v>6.4</v>
      </c>
      <c r="AG41" s="81" t="n">
        <f aca="false">AG38*'Assumption Setting'!$J$56</f>
        <v>6.4</v>
      </c>
      <c r="AH41" s="81" t="n">
        <f aca="false">AH38*'Assumption Setting'!$J$56</f>
        <v>6.4</v>
      </c>
      <c r="AI41" s="81" t="n">
        <f aca="false">AI38*'Assumption Setting'!$J$56</f>
        <v>6.4</v>
      </c>
      <c r="AJ41" s="81" t="n">
        <f aca="false">AJ38*'Assumption Setting'!$J$56</f>
        <v>6.4</v>
      </c>
      <c r="AK41" s="81" t="n">
        <f aca="false">AK38*'Assumption Setting'!$J$56</f>
        <v>6.4</v>
      </c>
      <c r="AL41" s="81" t="n">
        <f aca="false">AL38*'Assumption Setting'!$J$56</f>
        <v>6.4</v>
      </c>
      <c r="AM41" s="81" t="n">
        <f aca="false">AM38*'Assumption Setting'!$J$56</f>
        <v>6.4</v>
      </c>
      <c r="AN41" s="81" t="n">
        <f aca="false">AN38*'Assumption Setting'!$J$56</f>
        <v>6.4</v>
      </c>
      <c r="AO41" s="80" t="n">
        <f aca="false">SUM(AP41:BA41)</f>
        <v>105.6</v>
      </c>
      <c r="AP41" s="81" t="n">
        <f aca="false">AP38*'Assumption Setting'!$J$56</f>
        <v>8.8</v>
      </c>
      <c r="AQ41" s="81" t="n">
        <f aca="false">AQ38*'Assumption Setting'!$J$56</f>
        <v>8.8</v>
      </c>
      <c r="AR41" s="81" t="n">
        <f aca="false">AR38*'Assumption Setting'!$J$56</f>
        <v>8.8</v>
      </c>
      <c r="AS41" s="81" t="n">
        <f aca="false">AS38*'Assumption Setting'!$J$56</f>
        <v>8.8</v>
      </c>
      <c r="AT41" s="81" t="n">
        <f aca="false">AT38*'Assumption Setting'!$J$56</f>
        <v>8.8</v>
      </c>
      <c r="AU41" s="81" t="n">
        <f aca="false">AU38*'Assumption Setting'!$J$56</f>
        <v>8.8</v>
      </c>
      <c r="AV41" s="81" t="n">
        <f aca="false">AV38*'Assumption Setting'!$J$56</f>
        <v>8.8</v>
      </c>
      <c r="AW41" s="81" t="n">
        <f aca="false">AW38*'Assumption Setting'!$J$56</f>
        <v>8.8</v>
      </c>
      <c r="AX41" s="81" t="n">
        <f aca="false">AX38*'Assumption Setting'!$J$56</f>
        <v>8.8</v>
      </c>
      <c r="AY41" s="81" t="n">
        <f aca="false">AY38*'Assumption Setting'!$J$56</f>
        <v>8.8</v>
      </c>
      <c r="AZ41" s="81" t="n">
        <f aca="false">AZ38*'Assumption Setting'!$J$56</f>
        <v>8.8</v>
      </c>
      <c r="BA41" s="81" t="n">
        <f aca="false">BA38*'Assumption Setting'!$J$56</f>
        <v>8.8</v>
      </c>
      <c r="BB41" s="80" t="n">
        <f aca="false">SUM(BC41:BN41)</f>
        <v>134.4</v>
      </c>
      <c r="BC41" s="81" t="n">
        <f aca="false">BC38*'Assumption Setting'!$J$56</f>
        <v>11.2</v>
      </c>
      <c r="BD41" s="81" t="n">
        <f aca="false">BD38*'Assumption Setting'!$J$56</f>
        <v>11.2</v>
      </c>
      <c r="BE41" s="81" t="n">
        <f aca="false">BE38*'Assumption Setting'!$J$56</f>
        <v>11.2</v>
      </c>
      <c r="BF41" s="81" t="n">
        <f aca="false">BF38*'Assumption Setting'!$J$56</f>
        <v>11.2</v>
      </c>
      <c r="BG41" s="81" t="n">
        <f aca="false">BG38*'Assumption Setting'!$J$56</f>
        <v>11.2</v>
      </c>
      <c r="BH41" s="81" t="n">
        <f aca="false">BH38*'Assumption Setting'!$J$56</f>
        <v>11.2</v>
      </c>
      <c r="BI41" s="81" t="n">
        <f aca="false">BI38*'Assumption Setting'!$J$56</f>
        <v>11.2</v>
      </c>
      <c r="BJ41" s="81" t="n">
        <f aca="false">BJ38*'Assumption Setting'!$J$56</f>
        <v>11.2</v>
      </c>
      <c r="BK41" s="81" t="n">
        <f aca="false">BK38*'Assumption Setting'!$J$56</f>
        <v>11.2</v>
      </c>
      <c r="BL41" s="81" t="n">
        <f aca="false">BL38*'Assumption Setting'!$J$56</f>
        <v>11.2</v>
      </c>
      <c r="BM41" s="81" t="n">
        <f aca="false">BM38*'Assumption Setting'!$J$56</f>
        <v>11.2</v>
      </c>
      <c r="BN41" s="81" t="n">
        <f aca="false">BN38*'Assumption Setting'!$J$56</f>
        <v>11.2</v>
      </c>
    </row>
    <row r="42" customFormat="false" ht="15" hidden="false" customHeight="false" outlineLevel="0" collapsed="false">
      <c r="A42" s="12" t="s">
        <v>252</v>
      </c>
      <c r="B42" s="80" t="n">
        <f aca="false">SUM(C42:N42)</f>
        <v>24</v>
      </c>
      <c r="C42" s="81" t="n">
        <f aca="false">'Assumption Setting'!$C$57</f>
        <v>2</v>
      </c>
      <c r="D42" s="81" t="n">
        <f aca="false">'Assumption Setting'!$C$57</f>
        <v>2</v>
      </c>
      <c r="E42" s="81" t="n">
        <f aca="false">'Assumption Setting'!$C$57</f>
        <v>2</v>
      </c>
      <c r="F42" s="81" t="n">
        <f aca="false">'Assumption Setting'!$C$57</f>
        <v>2</v>
      </c>
      <c r="G42" s="81" t="n">
        <f aca="false">'Assumption Setting'!$C$57</f>
        <v>2</v>
      </c>
      <c r="H42" s="81" t="n">
        <f aca="false">'Assumption Setting'!$C$57</f>
        <v>2</v>
      </c>
      <c r="I42" s="81" t="n">
        <f aca="false">'Assumption Setting'!$C$57</f>
        <v>2</v>
      </c>
      <c r="J42" s="81" t="n">
        <f aca="false">'Assumption Setting'!$C$57</f>
        <v>2</v>
      </c>
      <c r="K42" s="81" t="n">
        <f aca="false">'Assumption Setting'!$C$57</f>
        <v>2</v>
      </c>
      <c r="L42" s="81" t="n">
        <f aca="false">'Assumption Setting'!$C$57</f>
        <v>2</v>
      </c>
      <c r="M42" s="81" t="n">
        <f aca="false">'Assumption Setting'!$C$57</f>
        <v>2</v>
      </c>
      <c r="N42" s="81" t="n">
        <f aca="false">'Assumption Setting'!$C$57</f>
        <v>2</v>
      </c>
      <c r="O42" s="80" t="n">
        <f aca="false">SUM(P42:AA42)</f>
        <v>60</v>
      </c>
      <c r="P42" s="81" t="n">
        <f aca="false">'Assumption Setting'!$D$57</f>
        <v>5</v>
      </c>
      <c r="Q42" s="81" t="n">
        <f aca="false">'Assumption Setting'!$D$57</f>
        <v>5</v>
      </c>
      <c r="R42" s="81" t="n">
        <f aca="false">'Assumption Setting'!$D$57</f>
        <v>5</v>
      </c>
      <c r="S42" s="81" t="n">
        <f aca="false">'Assumption Setting'!$D$57</f>
        <v>5</v>
      </c>
      <c r="T42" s="81" t="n">
        <f aca="false">'Assumption Setting'!$D$57</f>
        <v>5</v>
      </c>
      <c r="U42" s="81" t="n">
        <f aca="false">'Assumption Setting'!$D$57</f>
        <v>5</v>
      </c>
      <c r="V42" s="81" t="n">
        <f aca="false">'Assumption Setting'!$D$57</f>
        <v>5</v>
      </c>
      <c r="W42" s="81" t="n">
        <f aca="false">'Assumption Setting'!$D$57</f>
        <v>5</v>
      </c>
      <c r="X42" s="81" t="n">
        <f aca="false">'Assumption Setting'!$D$57</f>
        <v>5</v>
      </c>
      <c r="Y42" s="81" t="n">
        <f aca="false">'Assumption Setting'!$D$57</f>
        <v>5</v>
      </c>
      <c r="Z42" s="81" t="n">
        <f aca="false">'Assumption Setting'!$D$57</f>
        <v>5</v>
      </c>
      <c r="AA42" s="81" t="n">
        <f aca="false">'Assumption Setting'!$D$57</f>
        <v>5</v>
      </c>
      <c r="AB42" s="80" t="n">
        <f aca="false">SUM(AC42:AN42)</f>
        <v>108</v>
      </c>
      <c r="AC42" s="81" t="n">
        <f aca="false">'Assumption Setting'!$E$57</f>
        <v>9</v>
      </c>
      <c r="AD42" s="81" t="n">
        <f aca="false">'Assumption Setting'!$E$57</f>
        <v>9</v>
      </c>
      <c r="AE42" s="81" t="n">
        <f aca="false">'Assumption Setting'!$E$57</f>
        <v>9</v>
      </c>
      <c r="AF42" s="81" t="n">
        <f aca="false">'Assumption Setting'!$E$57</f>
        <v>9</v>
      </c>
      <c r="AG42" s="81" t="n">
        <f aca="false">'Assumption Setting'!$E$57</f>
        <v>9</v>
      </c>
      <c r="AH42" s="81" t="n">
        <f aca="false">'Assumption Setting'!$E$57</f>
        <v>9</v>
      </c>
      <c r="AI42" s="81" t="n">
        <f aca="false">'Assumption Setting'!$E$57</f>
        <v>9</v>
      </c>
      <c r="AJ42" s="81" t="n">
        <f aca="false">'Assumption Setting'!$E$57</f>
        <v>9</v>
      </c>
      <c r="AK42" s="81" t="n">
        <f aca="false">'Assumption Setting'!$E$57</f>
        <v>9</v>
      </c>
      <c r="AL42" s="81" t="n">
        <f aca="false">'Assumption Setting'!$E$57</f>
        <v>9</v>
      </c>
      <c r="AM42" s="81" t="n">
        <f aca="false">'Assumption Setting'!$E$57</f>
        <v>9</v>
      </c>
      <c r="AN42" s="81" t="n">
        <f aca="false">'Assumption Setting'!$E$57</f>
        <v>9</v>
      </c>
      <c r="AO42" s="80" t="n">
        <f aca="false">SUM(AP42:BA42)</f>
        <v>144</v>
      </c>
      <c r="AP42" s="81" t="n">
        <f aca="false">'Assumption Setting'!$F$57</f>
        <v>12</v>
      </c>
      <c r="AQ42" s="81" t="n">
        <f aca="false">'Assumption Setting'!$F$57</f>
        <v>12</v>
      </c>
      <c r="AR42" s="81" t="n">
        <f aca="false">'Assumption Setting'!$F$57</f>
        <v>12</v>
      </c>
      <c r="AS42" s="81" t="n">
        <f aca="false">'Assumption Setting'!$F$57</f>
        <v>12</v>
      </c>
      <c r="AT42" s="81" t="n">
        <f aca="false">'Assumption Setting'!$F$57</f>
        <v>12</v>
      </c>
      <c r="AU42" s="81" t="n">
        <f aca="false">'Assumption Setting'!$F$57</f>
        <v>12</v>
      </c>
      <c r="AV42" s="81" t="n">
        <f aca="false">'Assumption Setting'!$F$57</f>
        <v>12</v>
      </c>
      <c r="AW42" s="81" t="n">
        <f aca="false">'Assumption Setting'!$F$57</f>
        <v>12</v>
      </c>
      <c r="AX42" s="81" t="n">
        <f aca="false">'Assumption Setting'!$F$57</f>
        <v>12</v>
      </c>
      <c r="AY42" s="81" t="n">
        <f aca="false">'Assumption Setting'!$F$57</f>
        <v>12</v>
      </c>
      <c r="AZ42" s="81" t="n">
        <f aca="false">'Assumption Setting'!$F$57</f>
        <v>12</v>
      </c>
      <c r="BA42" s="81" t="n">
        <f aca="false">'Assumption Setting'!$F$57</f>
        <v>12</v>
      </c>
      <c r="BB42" s="80" t="n">
        <f aca="false">SUM(BC42:BN42)</f>
        <v>180</v>
      </c>
      <c r="BC42" s="81" t="n">
        <f aca="false">'Assumption Setting'!$G$57</f>
        <v>15</v>
      </c>
      <c r="BD42" s="81" t="n">
        <f aca="false">'Assumption Setting'!$G$57</f>
        <v>15</v>
      </c>
      <c r="BE42" s="81" t="n">
        <f aca="false">'Assumption Setting'!$G$57</f>
        <v>15</v>
      </c>
      <c r="BF42" s="81" t="n">
        <f aca="false">'Assumption Setting'!$G$57</f>
        <v>15</v>
      </c>
      <c r="BG42" s="81" t="n">
        <f aca="false">'Assumption Setting'!$G$57</f>
        <v>15</v>
      </c>
      <c r="BH42" s="81" t="n">
        <f aca="false">'Assumption Setting'!$G$57</f>
        <v>15</v>
      </c>
      <c r="BI42" s="81" t="n">
        <f aca="false">'Assumption Setting'!$G$57</f>
        <v>15</v>
      </c>
      <c r="BJ42" s="81" t="n">
        <f aca="false">'Assumption Setting'!$G$57</f>
        <v>15</v>
      </c>
      <c r="BK42" s="81" t="n">
        <f aca="false">'Assumption Setting'!$G$57</f>
        <v>15</v>
      </c>
      <c r="BL42" s="81" t="n">
        <f aca="false">'Assumption Setting'!$G$57</f>
        <v>15</v>
      </c>
      <c r="BM42" s="81" t="n">
        <f aca="false">'Assumption Setting'!$G$57</f>
        <v>15</v>
      </c>
      <c r="BN42" s="81" t="n">
        <f aca="false">'Assumption Setting'!$G$57</f>
        <v>15</v>
      </c>
    </row>
    <row r="43" customFormat="false" ht="15" hidden="false" customHeight="false" outlineLevel="0" collapsed="false">
      <c r="A43" s="12" t="s">
        <v>604</v>
      </c>
      <c r="B43" s="64" t="n">
        <f aca="false">SUM(C43:N43)</f>
        <v>1920</v>
      </c>
      <c r="C43" s="65" t="n">
        <f aca="false">C42*'Assumption Setting'!$H$57</f>
        <v>160</v>
      </c>
      <c r="D43" s="65" t="n">
        <f aca="false">D42*'Assumption Setting'!$H$57</f>
        <v>160</v>
      </c>
      <c r="E43" s="65" t="n">
        <f aca="false">E42*'Assumption Setting'!$H$57</f>
        <v>160</v>
      </c>
      <c r="F43" s="65" t="n">
        <f aca="false">F42*'Assumption Setting'!$H$57</f>
        <v>160</v>
      </c>
      <c r="G43" s="65" t="n">
        <f aca="false">G42*'Assumption Setting'!$H$57</f>
        <v>160</v>
      </c>
      <c r="H43" s="65" t="n">
        <f aca="false">H42*'Assumption Setting'!$H$57</f>
        <v>160</v>
      </c>
      <c r="I43" s="65" t="n">
        <f aca="false">I42*'Assumption Setting'!$H$57</f>
        <v>160</v>
      </c>
      <c r="J43" s="65" t="n">
        <f aca="false">J42*'Assumption Setting'!$H$57</f>
        <v>160</v>
      </c>
      <c r="K43" s="65" t="n">
        <f aca="false">K42*'Assumption Setting'!$H$57</f>
        <v>160</v>
      </c>
      <c r="L43" s="65" t="n">
        <f aca="false">L42*'Assumption Setting'!$H$57</f>
        <v>160</v>
      </c>
      <c r="M43" s="65" t="n">
        <f aca="false">M42*'Assumption Setting'!$H$57</f>
        <v>160</v>
      </c>
      <c r="N43" s="65" t="n">
        <f aca="false">N42*'Assumption Setting'!$H$57</f>
        <v>160</v>
      </c>
      <c r="O43" s="64" t="n">
        <f aca="false">SUM(P43:AA43)</f>
        <v>4800</v>
      </c>
      <c r="P43" s="65" t="n">
        <f aca="false">P42*'Assumption Setting'!$H$57</f>
        <v>400</v>
      </c>
      <c r="Q43" s="65" t="n">
        <f aca="false">Q42*'Assumption Setting'!$H$57</f>
        <v>400</v>
      </c>
      <c r="R43" s="65" t="n">
        <f aca="false">R42*'Assumption Setting'!$H$57</f>
        <v>400</v>
      </c>
      <c r="S43" s="65" t="n">
        <f aca="false">S42*'Assumption Setting'!$H$57</f>
        <v>400</v>
      </c>
      <c r="T43" s="65" t="n">
        <f aca="false">T42*'Assumption Setting'!$H$57</f>
        <v>400</v>
      </c>
      <c r="U43" s="65" t="n">
        <f aca="false">U42*'Assumption Setting'!$H$57</f>
        <v>400</v>
      </c>
      <c r="V43" s="65" t="n">
        <f aca="false">V42*'Assumption Setting'!$H$57</f>
        <v>400</v>
      </c>
      <c r="W43" s="65" t="n">
        <f aca="false">W42*'Assumption Setting'!$H$57</f>
        <v>400</v>
      </c>
      <c r="X43" s="65" t="n">
        <f aca="false">X42*'Assumption Setting'!$H$57</f>
        <v>400</v>
      </c>
      <c r="Y43" s="65" t="n">
        <f aca="false">Y42*'Assumption Setting'!$H$57</f>
        <v>400</v>
      </c>
      <c r="Z43" s="65" t="n">
        <f aca="false">Z42*'Assumption Setting'!$H$57</f>
        <v>400</v>
      </c>
      <c r="AA43" s="65" t="n">
        <f aca="false">AA42*'Assumption Setting'!$H$57</f>
        <v>400</v>
      </c>
      <c r="AB43" s="64" t="n">
        <f aca="false">SUM(AC43:AN43)</f>
        <v>8640</v>
      </c>
      <c r="AC43" s="65" t="n">
        <f aca="false">AC42*'Assumption Setting'!$H$57</f>
        <v>720</v>
      </c>
      <c r="AD43" s="65" t="n">
        <f aca="false">AD42*'Assumption Setting'!$H$57</f>
        <v>720</v>
      </c>
      <c r="AE43" s="65" t="n">
        <f aca="false">AE42*'Assumption Setting'!$H$57</f>
        <v>720</v>
      </c>
      <c r="AF43" s="65" t="n">
        <f aca="false">AF42*'Assumption Setting'!$H$57</f>
        <v>720</v>
      </c>
      <c r="AG43" s="65" t="n">
        <f aca="false">AG42*'Assumption Setting'!$H$57</f>
        <v>720</v>
      </c>
      <c r="AH43" s="65" t="n">
        <f aca="false">AH42*'Assumption Setting'!$H$57</f>
        <v>720</v>
      </c>
      <c r="AI43" s="65" t="n">
        <f aca="false">AI42*'Assumption Setting'!$H$57</f>
        <v>720</v>
      </c>
      <c r="AJ43" s="65" t="n">
        <f aca="false">AJ42*'Assumption Setting'!$H$57</f>
        <v>720</v>
      </c>
      <c r="AK43" s="65" t="n">
        <f aca="false">AK42*'Assumption Setting'!$H$57</f>
        <v>720</v>
      </c>
      <c r="AL43" s="65" t="n">
        <f aca="false">AL42*'Assumption Setting'!$H$57</f>
        <v>720</v>
      </c>
      <c r="AM43" s="65" t="n">
        <f aca="false">AM42*'Assumption Setting'!$H$57</f>
        <v>720</v>
      </c>
      <c r="AN43" s="65" t="n">
        <f aca="false">AN42*'Assumption Setting'!$H$57</f>
        <v>720</v>
      </c>
      <c r="AO43" s="64" t="n">
        <f aca="false">SUM(AP43:BA43)</f>
        <v>11520</v>
      </c>
      <c r="AP43" s="65" t="n">
        <f aca="false">AP42*'Assumption Setting'!$H$57</f>
        <v>960</v>
      </c>
      <c r="AQ43" s="65" t="n">
        <f aca="false">AQ42*'Assumption Setting'!$H$57</f>
        <v>960</v>
      </c>
      <c r="AR43" s="65" t="n">
        <f aca="false">AR42*'Assumption Setting'!$H$57</f>
        <v>960</v>
      </c>
      <c r="AS43" s="65" t="n">
        <f aca="false">AS42*'Assumption Setting'!$H$57</f>
        <v>960</v>
      </c>
      <c r="AT43" s="65" t="n">
        <f aca="false">AT42*'Assumption Setting'!$H$57</f>
        <v>960</v>
      </c>
      <c r="AU43" s="65" t="n">
        <f aca="false">AU42*'Assumption Setting'!$H$57</f>
        <v>960</v>
      </c>
      <c r="AV43" s="65" t="n">
        <f aca="false">AV42*'Assumption Setting'!$H$57</f>
        <v>960</v>
      </c>
      <c r="AW43" s="65" t="n">
        <f aca="false">AW42*'Assumption Setting'!$H$57</f>
        <v>960</v>
      </c>
      <c r="AX43" s="65" t="n">
        <f aca="false">AX42*'Assumption Setting'!$H$57</f>
        <v>960</v>
      </c>
      <c r="AY43" s="65" t="n">
        <f aca="false">AY42*'Assumption Setting'!$H$57</f>
        <v>960</v>
      </c>
      <c r="AZ43" s="65" t="n">
        <f aca="false">AZ42*'Assumption Setting'!$H$57</f>
        <v>960</v>
      </c>
      <c r="BA43" s="65" t="n">
        <f aca="false">BA42*'Assumption Setting'!$H$57</f>
        <v>960</v>
      </c>
      <c r="BB43" s="64" t="n">
        <f aca="false">SUM(BC43:BN43)</f>
        <v>14400</v>
      </c>
      <c r="BC43" s="65" t="n">
        <f aca="false">BC42*'Assumption Setting'!$H$57</f>
        <v>1200</v>
      </c>
      <c r="BD43" s="65" t="n">
        <f aca="false">BD42*'Assumption Setting'!$H$57</f>
        <v>1200</v>
      </c>
      <c r="BE43" s="65" t="n">
        <f aca="false">BE42*'Assumption Setting'!$H$57</f>
        <v>1200</v>
      </c>
      <c r="BF43" s="65" t="n">
        <f aca="false">BF42*'Assumption Setting'!$H$57</f>
        <v>1200</v>
      </c>
      <c r="BG43" s="65" t="n">
        <f aca="false">BG42*'Assumption Setting'!$H$57</f>
        <v>1200</v>
      </c>
      <c r="BH43" s="65" t="n">
        <f aca="false">BH42*'Assumption Setting'!$H$57</f>
        <v>1200</v>
      </c>
      <c r="BI43" s="65" t="n">
        <f aca="false">BI42*'Assumption Setting'!$H$57</f>
        <v>1200</v>
      </c>
      <c r="BJ43" s="65" t="n">
        <f aca="false">BJ42*'Assumption Setting'!$H$57</f>
        <v>1200</v>
      </c>
      <c r="BK43" s="65" t="n">
        <f aca="false">BK42*'Assumption Setting'!$H$57</f>
        <v>1200</v>
      </c>
      <c r="BL43" s="65" t="n">
        <f aca="false">BL42*'Assumption Setting'!$H$57</f>
        <v>1200</v>
      </c>
      <c r="BM43" s="65" t="n">
        <f aca="false">BM42*'Assumption Setting'!$H$57</f>
        <v>1200</v>
      </c>
      <c r="BN43" s="65" t="n">
        <f aca="false">BN42*'Assumption Setting'!$H$57</f>
        <v>1200</v>
      </c>
    </row>
    <row r="44" customFormat="false" ht="15" hidden="false" customHeight="false" outlineLevel="0" collapsed="false">
      <c r="A44" s="12" t="s">
        <v>605</v>
      </c>
      <c r="B44" s="78" t="n">
        <f aca="false">SUM(C44:N44)</f>
        <v>528</v>
      </c>
      <c r="C44" s="79" t="n">
        <f aca="false">C42*'Assumption Setting'!$I$57</f>
        <v>44</v>
      </c>
      <c r="D44" s="79" t="n">
        <f aca="false">D42*'Assumption Setting'!$I$57</f>
        <v>44</v>
      </c>
      <c r="E44" s="79" t="n">
        <f aca="false">E42*'Assumption Setting'!$I$57</f>
        <v>44</v>
      </c>
      <c r="F44" s="79" t="n">
        <f aca="false">F42*'Assumption Setting'!$I$57</f>
        <v>44</v>
      </c>
      <c r="G44" s="79" t="n">
        <f aca="false">G42*'Assumption Setting'!$I$57</f>
        <v>44</v>
      </c>
      <c r="H44" s="79" t="n">
        <f aca="false">H42*'Assumption Setting'!$I$57</f>
        <v>44</v>
      </c>
      <c r="I44" s="79" t="n">
        <f aca="false">I42*'Assumption Setting'!$I$57</f>
        <v>44</v>
      </c>
      <c r="J44" s="79" t="n">
        <f aca="false">J42*'Assumption Setting'!$I$57</f>
        <v>44</v>
      </c>
      <c r="K44" s="79" t="n">
        <f aca="false">K42*'Assumption Setting'!$I$57</f>
        <v>44</v>
      </c>
      <c r="L44" s="79" t="n">
        <f aca="false">L42*'Assumption Setting'!$I$57</f>
        <v>44</v>
      </c>
      <c r="M44" s="79" t="n">
        <f aca="false">M42*'Assumption Setting'!$I$57</f>
        <v>44</v>
      </c>
      <c r="N44" s="79" t="n">
        <f aca="false">N42*'Assumption Setting'!$I$57</f>
        <v>44</v>
      </c>
      <c r="O44" s="78" t="n">
        <f aca="false">SUM(P44:AA44)</f>
        <v>1320</v>
      </c>
      <c r="P44" s="79" t="n">
        <f aca="false">P42*'Assumption Setting'!$I$57</f>
        <v>110</v>
      </c>
      <c r="Q44" s="79" t="n">
        <f aca="false">Q42*'Assumption Setting'!$I$57</f>
        <v>110</v>
      </c>
      <c r="R44" s="79" t="n">
        <f aca="false">R42*'Assumption Setting'!$I$57</f>
        <v>110</v>
      </c>
      <c r="S44" s="79" t="n">
        <f aca="false">S42*'Assumption Setting'!$I$57</f>
        <v>110</v>
      </c>
      <c r="T44" s="79" t="n">
        <f aca="false">T42*'Assumption Setting'!$I$57</f>
        <v>110</v>
      </c>
      <c r="U44" s="79" t="n">
        <f aca="false">U42*'Assumption Setting'!$I$57</f>
        <v>110</v>
      </c>
      <c r="V44" s="79" t="n">
        <f aca="false">V42*'Assumption Setting'!$I$57</f>
        <v>110</v>
      </c>
      <c r="W44" s="79" t="n">
        <f aca="false">W42*'Assumption Setting'!$I$57</f>
        <v>110</v>
      </c>
      <c r="X44" s="79" t="n">
        <f aca="false">X42*'Assumption Setting'!$I$57</f>
        <v>110</v>
      </c>
      <c r="Y44" s="79" t="n">
        <f aca="false">Y42*'Assumption Setting'!$I$57</f>
        <v>110</v>
      </c>
      <c r="Z44" s="79" t="n">
        <f aca="false">Z42*'Assumption Setting'!$I$57</f>
        <v>110</v>
      </c>
      <c r="AA44" s="79" t="n">
        <f aca="false">AA42*'Assumption Setting'!$I$57</f>
        <v>110</v>
      </c>
      <c r="AB44" s="78" t="n">
        <f aca="false">SUM(AC44:AN44)</f>
        <v>2376</v>
      </c>
      <c r="AC44" s="79" t="n">
        <f aca="false">AC42*'Assumption Setting'!$I$57</f>
        <v>198</v>
      </c>
      <c r="AD44" s="79" t="n">
        <f aca="false">AD42*'Assumption Setting'!$I$57</f>
        <v>198</v>
      </c>
      <c r="AE44" s="79" t="n">
        <f aca="false">AE42*'Assumption Setting'!$I$57</f>
        <v>198</v>
      </c>
      <c r="AF44" s="79" t="n">
        <f aca="false">AF42*'Assumption Setting'!$I$57</f>
        <v>198</v>
      </c>
      <c r="AG44" s="79" t="n">
        <f aca="false">AG42*'Assumption Setting'!$I$57</f>
        <v>198</v>
      </c>
      <c r="AH44" s="79" t="n">
        <f aca="false">AH42*'Assumption Setting'!$I$57</f>
        <v>198</v>
      </c>
      <c r="AI44" s="79" t="n">
        <f aca="false">AI42*'Assumption Setting'!$I$57</f>
        <v>198</v>
      </c>
      <c r="AJ44" s="79" t="n">
        <f aca="false">AJ42*'Assumption Setting'!$I$57</f>
        <v>198</v>
      </c>
      <c r="AK44" s="79" t="n">
        <f aca="false">AK42*'Assumption Setting'!$I$57</f>
        <v>198</v>
      </c>
      <c r="AL44" s="79" t="n">
        <f aca="false">AL42*'Assumption Setting'!$I$57</f>
        <v>198</v>
      </c>
      <c r="AM44" s="79" t="n">
        <f aca="false">AM42*'Assumption Setting'!$I$57</f>
        <v>198</v>
      </c>
      <c r="AN44" s="79" t="n">
        <f aca="false">AN42*'Assumption Setting'!$I$57</f>
        <v>198</v>
      </c>
      <c r="AO44" s="78" t="n">
        <f aca="false">SUM(AP44:BA44)</f>
        <v>3168</v>
      </c>
      <c r="AP44" s="79" t="n">
        <f aca="false">AP42*'Assumption Setting'!$I$57</f>
        <v>264</v>
      </c>
      <c r="AQ44" s="79" t="n">
        <f aca="false">AQ42*'Assumption Setting'!$I$57</f>
        <v>264</v>
      </c>
      <c r="AR44" s="79" t="n">
        <f aca="false">AR42*'Assumption Setting'!$I$57</f>
        <v>264</v>
      </c>
      <c r="AS44" s="79" t="n">
        <f aca="false">AS42*'Assumption Setting'!$I$57</f>
        <v>264</v>
      </c>
      <c r="AT44" s="79" t="n">
        <f aca="false">AT42*'Assumption Setting'!$I$57</f>
        <v>264</v>
      </c>
      <c r="AU44" s="79" t="n">
        <f aca="false">AU42*'Assumption Setting'!$I$57</f>
        <v>264</v>
      </c>
      <c r="AV44" s="79" t="n">
        <f aca="false">AV42*'Assumption Setting'!$I$57</f>
        <v>264</v>
      </c>
      <c r="AW44" s="79" t="n">
        <f aca="false">AW42*'Assumption Setting'!$I$57</f>
        <v>264</v>
      </c>
      <c r="AX44" s="79" t="n">
        <f aca="false">AX42*'Assumption Setting'!$I$57</f>
        <v>264</v>
      </c>
      <c r="AY44" s="79" t="n">
        <f aca="false">AY42*'Assumption Setting'!$I$57</f>
        <v>264</v>
      </c>
      <c r="AZ44" s="79" t="n">
        <f aca="false">AZ42*'Assumption Setting'!$I$57</f>
        <v>264</v>
      </c>
      <c r="BA44" s="79" t="n">
        <f aca="false">BA42*'Assumption Setting'!$I$57</f>
        <v>264</v>
      </c>
      <c r="BB44" s="78" t="n">
        <f aca="false">SUM(BC44:BN44)</f>
        <v>3960</v>
      </c>
      <c r="BC44" s="79" t="n">
        <f aca="false">BC42*'Assumption Setting'!$I$57</f>
        <v>330</v>
      </c>
      <c r="BD44" s="79" t="n">
        <f aca="false">BD42*'Assumption Setting'!$I$57</f>
        <v>330</v>
      </c>
      <c r="BE44" s="79" t="n">
        <f aca="false">BE42*'Assumption Setting'!$I$57</f>
        <v>330</v>
      </c>
      <c r="BF44" s="79" t="n">
        <f aca="false">BF42*'Assumption Setting'!$I$57</f>
        <v>330</v>
      </c>
      <c r="BG44" s="79" t="n">
        <f aca="false">BG42*'Assumption Setting'!$I$57</f>
        <v>330</v>
      </c>
      <c r="BH44" s="79" t="n">
        <f aca="false">BH42*'Assumption Setting'!$I$57</f>
        <v>330</v>
      </c>
      <c r="BI44" s="79" t="n">
        <f aca="false">BI42*'Assumption Setting'!$I$57</f>
        <v>330</v>
      </c>
      <c r="BJ44" s="79" t="n">
        <f aca="false">BJ42*'Assumption Setting'!$I$57</f>
        <v>330</v>
      </c>
      <c r="BK44" s="79" t="n">
        <f aca="false">BK42*'Assumption Setting'!$I$57</f>
        <v>330</v>
      </c>
      <c r="BL44" s="79" t="n">
        <f aca="false">BL42*'Assumption Setting'!$I$57</f>
        <v>330</v>
      </c>
      <c r="BM44" s="79" t="n">
        <f aca="false">BM42*'Assumption Setting'!$I$57</f>
        <v>330</v>
      </c>
      <c r="BN44" s="79" t="n">
        <f aca="false">BN42*'Assumption Setting'!$I$57</f>
        <v>330</v>
      </c>
    </row>
    <row r="45" customFormat="false" ht="15" hidden="false" customHeight="false" outlineLevel="0" collapsed="false">
      <c r="A45" s="12" t="s">
        <v>606</v>
      </c>
      <c r="B45" s="80" t="n">
        <f aca="false">SUM(C45:N45)</f>
        <v>7.2</v>
      </c>
      <c r="C45" s="81" t="n">
        <f aca="false">C42*'Assumption Setting'!$J$57</f>
        <v>0.6</v>
      </c>
      <c r="D45" s="81" t="n">
        <f aca="false">D42*'Assumption Setting'!$J$57</f>
        <v>0.6</v>
      </c>
      <c r="E45" s="81" t="n">
        <f aca="false">E42*'Assumption Setting'!$J$57</f>
        <v>0.6</v>
      </c>
      <c r="F45" s="81" t="n">
        <f aca="false">F42*'Assumption Setting'!$J$57</f>
        <v>0.6</v>
      </c>
      <c r="G45" s="81" t="n">
        <f aca="false">G42*'Assumption Setting'!$J$57</f>
        <v>0.6</v>
      </c>
      <c r="H45" s="81" t="n">
        <f aca="false">H42*'Assumption Setting'!$J$57</f>
        <v>0.6</v>
      </c>
      <c r="I45" s="81" t="n">
        <f aca="false">I42*'Assumption Setting'!$J$57</f>
        <v>0.6</v>
      </c>
      <c r="J45" s="81" t="n">
        <f aca="false">J42*'Assumption Setting'!$J$57</f>
        <v>0.6</v>
      </c>
      <c r="K45" s="81" t="n">
        <f aca="false">K42*'Assumption Setting'!$J$57</f>
        <v>0.6</v>
      </c>
      <c r="L45" s="81" t="n">
        <f aca="false">L42*'Assumption Setting'!$J$57</f>
        <v>0.6</v>
      </c>
      <c r="M45" s="81" t="n">
        <f aca="false">M42*'Assumption Setting'!$J$57</f>
        <v>0.6</v>
      </c>
      <c r="N45" s="81" t="n">
        <f aca="false">N42*'Assumption Setting'!$J$57</f>
        <v>0.6</v>
      </c>
      <c r="O45" s="80" t="n">
        <f aca="false">SUM(P45:AA45)</f>
        <v>18</v>
      </c>
      <c r="P45" s="81" t="n">
        <f aca="false">P42*'Assumption Setting'!$J$57</f>
        <v>1.5</v>
      </c>
      <c r="Q45" s="81" t="n">
        <f aca="false">Q42*'Assumption Setting'!$J$57</f>
        <v>1.5</v>
      </c>
      <c r="R45" s="81" t="n">
        <f aca="false">R42*'Assumption Setting'!$J$57</f>
        <v>1.5</v>
      </c>
      <c r="S45" s="81" t="n">
        <f aca="false">S42*'Assumption Setting'!$J$57</f>
        <v>1.5</v>
      </c>
      <c r="T45" s="81" t="n">
        <f aca="false">T42*'Assumption Setting'!$J$57</f>
        <v>1.5</v>
      </c>
      <c r="U45" s="81" t="n">
        <f aca="false">U42*'Assumption Setting'!$J$57</f>
        <v>1.5</v>
      </c>
      <c r="V45" s="81" t="n">
        <f aca="false">V42*'Assumption Setting'!$J$57</f>
        <v>1.5</v>
      </c>
      <c r="W45" s="81" t="n">
        <f aca="false">W42*'Assumption Setting'!$J$57</f>
        <v>1.5</v>
      </c>
      <c r="X45" s="81" t="n">
        <f aca="false">X42*'Assumption Setting'!$J$57</f>
        <v>1.5</v>
      </c>
      <c r="Y45" s="81" t="n">
        <f aca="false">Y42*'Assumption Setting'!$J$57</f>
        <v>1.5</v>
      </c>
      <c r="Z45" s="81" t="n">
        <f aca="false">Z42*'Assumption Setting'!$J$57</f>
        <v>1.5</v>
      </c>
      <c r="AA45" s="81" t="n">
        <f aca="false">AA42*'Assumption Setting'!$J$57</f>
        <v>1.5</v>
      </c>
      <c r="AB45" s="80" t="n">
        <f aca="false">SUM(AC45:AN45)</f>
        <v>32.4</v>
      </c>
      <c r="AC45" s="81" t="n">
        <f aca="false">AC42*'Assumption Setting'!$J$57</f>
        <v>2.7</v>
      </c>
      <c r="AD45" s="81" t="n">
        <f aca="false">AD42*'Assumption Setting'!$J$57</f>
        <v>2.7</v>
      </c>
      <c r="AE45" s="81" t="n">
        <f aca="false">AE42*'Assumption Setting'!$J$57</f>
        <v>2.7</v>
      </c>
      <c r="AF45" s="81" t="n">
        <f aca="false">AF42*'Assumption Setting'!$J$57</f>
        <v>2.7</v>
      </c>
      <c r="AG45" s="81" t="n">
        <f aca="false">AG42*'Assumption Setting'!$J$57</f>
        <v>2.7</v>
      </c>
      <c r="AH45" s="81" t="n">
        <f aca="false">AH42*'Assumption Setting'!$J$57</f>
        <v>2.7</v>
      </c>
      <c r="AI45" s="81" t="n">
        <f aca="false">AI42*'Assumption Setting'!$J$57</f>
        <v>2.7</v>
      </c>
      <c r="AJ45" s="81" t="n">
        <f aca="false">AJ42*'Assumption Setting'!$J$57</f>
        <v>2.7</v>
      </c>
      <c r="AK45" s="81" t="n">
        <f aca="false">AK42*'Assumption Setting'!$J$57</f>
        <v>2.7</v>
      </c>
      <c r="AL45" s="81" t="n">
        <f aca="false">AL42*'Assumption Setting'!$J$57</f>
        <v>2.7</v>
      </c>
      <c r="AM45" s="81" t="n">
        <f aca="false">AM42*'Assumption Setting'!$J$57</f>
        <v>2.7</v>
      </c>
      <c r="AN45" s="81" t="n">
        <f aca="false">AN42*'Assumption Setting'!$J$57</f>
        <v>2.7</v>
      </c>
      <c r="AO45" s="80" t="n">
        <f aca="false">SUM(AP45:BA45)</f>
        <v>43.2</v>
      </c>
      <c r="AP45" s="81" t="n">
        <f aca="false">AP42*'Assumption Setting'!$J$57</f>
        <v>3.6</v>
      </c>
      <c r="AQ45" s="81" t="n">
        <f aca="false">AQ42*'Assumption Setting'!$J$57</f>
        <v>3.6</v>
      </c>
      <c r="AR45" s="81" t="n">
        <f aca="false">AR42*'Assumption Setting'!$J$57</f>
        <v>3.6</v>
      </c>
      <c r="AS45" s="81" t="n">
        <f aca="false">AS42*'Assumption Setting'!$J$57</f>
        <v>3.6</v>
      </c>
      <c r="AT45" s="81" t="n">
        <f aca="false">AT42*'Assumption Setting'!$J$57</f>
        <v>3.6</v>
      </c>
      <c r="AU45" s="81" t="n">
        <f aca="false">AU42*'Assumption Setting'!$J$57</f>
        <v>3.6</v>
      </c>
      <c r="AV45" s="81" t="n">
        <f aca="false">AV42*'Assumption Setting'!$J$57</f>
        <v>3.6</v>
      </c>
      <c r="AW45" s="81" t="n">
        <f aca="false">AW42*'Assumption Setting'!$J$57</f>
        <v>3.6</v>
      </c>
      <c r="AX45" s="81" t="n">
        <f aca="false">AX42*'Assumption Setting'!$J$57</f>
        <v>3.6</v>
      </c>
      <c r="AY45" s="81" t="n">
        <f aca="false">AY42*'Assumption Setting'!$J$57</f>
        <v>3.6</v>
      </c>
      <c r="AZ45" s="81" t="n">
        <f aca="false">AZ42*'Assumption Setting'!$J$57</f>
        <v>3.6</v>
      </c>
      <c r="BA45" s="81" t="n">
        <f aca="false">BA42*'Assumption Setting'!$J$57</f>
        <v>3.6</v>
      </c>
      <c r="BB45" s="80" t="n">
        <f aca="false">SUM(BC45:BN45)</f>
        <v>54</v>
      </c>
      <c r="BC45" s="81" t="n">
        <f aca="false">BC42*'Assumption Setting'!$J$57</f>
        <v>4.5</v>
      </c>
      <c r="BD45" s="81" t="n">
        <f aca="false">BD42*'Assumption Setting'!$J$57</f>
        <v>4.5</v>
      </c>
      <c r="BE45" s="81" t="n">
        <f aca="false">BE42*'Assumption Setting'!$J$57</f>
        <v>4.5</v>
      </c>
      <c r="BF45" s="81" t="n">
        <f aca="false">BF42*'Assumption Setting'!$J$57</f>
        <v>4.5</v>
      </c>
      <c r="BG45" s="81" t="n">
        <f aca="false">BG42*'Assumption Setting'!$J$57</f>
        <v>4.5</v>
      </c>
      <c r="BH45" s="81" t="n">
        <f aca="false">BH42*'Assumption Setting'!$J$57</f>
        <v>4.5</v>
      </c>
      <c r="BI45" s="81" t="n">
        <f aca="false">BI42*'Assumption Setting'!$J$57</f>
        <v>4.5</v>
      </c>
      <c r="BJ45" s="81" t="n">
        <f aca="false">BJ42*'Assumption Setting'!$J$57</f>
        <v>4.5</v>
      </c>
      <c r="BK45" s="81" t="n">
        <f aca="false">BK42*'Assumption Setting'!$J$57</f>
        <v>4.5</v>
      </c>
      <c r="BL45" s="81" t="n">
        <f aca="false">BL42*'Assumption Setting'!$J$57</f>
        <v>4.5</v>
      </c>
      <c r="BM45" s="81" t="n">
        <f aca="false">BM42*'Assumption Setting'!$J$57</f>
        <v>4.5</v>
      </c>
      <c r="BN45" s="81" t="n">
        <f aca="false">BN42*'Assumption Setting'!$J$57</f>
        <v>4.5</v>
      </c>
    </row>
    <row r="46" customFormat="false" ht="15" hidden="false" customHeight="false" outlineLevel="0" collapsed="false">
      <c r="A46" s="12" t="s">
        <v>254</v>
      </c>
      <c r="B46" s="80" t="n">
        <f aca="false">SUM(C46:N46)</f>
        <v>2.4</v>
      </c>
      <c r="C46" s="81" t="n">
        <f aca="false">'Assumption Setting'!$C$58</f>
        <v>0.2</v>
      </c>
      <c r="D46" s="81" t="n">
        <f aca="false">'Assumption Setting'!$C$58</f>
        <v>0.2</v>
      </c>
      <c r="E46" s="81" t="n">
        <f aca="false">'Assumption Setting'!$C$58</f>
        <v>0.2</v>
      </c>
      <c r="F46" s="81" t="n">
        <f aca="false">'Assumption Setting'!$C$58</f>
        <v>0.2</v>
      </c>
      <c r="G46" s="81" t="n">
        <f aca="false">'Assumption Setting'!$C$58</f>
        <v>0.2</v>
      </c>
      <c r="H46" s="81" t="n">
        <f aca="false">'Assumption Setting'!$C$58</f>
        <v>0.2</v>
      </c>
      <c r="I46" s="81" t="n">
        <f aca="false">'Assumption Setting'!$C$58</f>
        <v>0.2</v>
      </c>
      <c r="J46" s="81" t="n">
        <f aca="false">'Assumption Setting'!$C$58</f>
        <v>0.2</v>
      </c>
      <c r="K46" s="81" t="n">
        <f aca="false">'Assumption Setting'!$C$58</f>
        <v>0.2</v>
      </c>
      <c r="L46" s="81" t="n">
        <f aca="false">'Assumption Setting'!$C$58</f>
        <v>0.2</v>
      </c>
      <c r="M46" s="81" t="n">
        <f aca="false">'Assumption Setting'!$C$58</f>
        <v>0.2</v>
      </c>
      <c r="N46" s="81" t="n">
        <f aca="false">'Assumption Setting'!$C$58</f>
        <v>0.2</v>
      </c>
      <c r="O46" s="80" t="n">
        <f aca="false">SUM(P46:AA46)</f>
        <v>12</v>
      </c>
      <c r="P46" s="81" t="n">
        <f aca="false">'Assumption Setting'!$D$58</f>
        <v>1</v>
      </c>
      <c r="Q46" s="81" t="n">
        <f aca="false">'Assumption Setting'!$D$58</f>
        <v>1</v>
      </c>
      <c r="R46" s="81" t="n">
        <f aca="false">'Assumption Setting'!$D$58</f>
        <v>1</v>
      </c>
      <c r="S46" s="81" t="n">
        <f aca="false">'Assumption Setting'!$D$58</f>
        <v>1</v>
      </c>
      <c r="T46" s="81" t="n">
        <f aca="false">'Assumption Setting'!$D$58</f>
        <v>1</v>
      </c>
      <c r="U46" s="81" t="n">
        <f aca="false">'Assumption Setting'!$D$58</f>
        <v>1</v>
      </c>
      <c r="V46" s="81" t="n">
        <f aca="false">'Assumption Setting'!$D$58</f>
        <v>1</v>
      </c>
      <c r="W46" s="81" t="n">
        <f aca="false">'Assumption Setting'!$D$58</f>
        <v>1</v>
      </c>
      <c r="X46" s="81" t="n">
        <f aca="false">'Assumption Setting'!$D$58</f>
        <v>1</v>
      </c>
      <c r="Y46" s="81" t="n">
        <f aca="false">'Assumption Setting'!$D$58</f>
        <v>1</v>
      </c>
      <c r="Z46" s="81" t="n">
        <f aca="false">'Assumption Setting'!$D$58</f>
        <v>1</v>
      </c>
      <c r="AA46" s="81" t="n">
        <f aca="false">'Assumption Setting'!$D$58</f>
        <v>1</v>
      </c>
      <c r="AB46" s="80" t="n">
        <f aca="false">SUM(AC46:AN46)</f>
        <v>24</v>
      </c>
      <c r="AC46" s="81" t="n">
        <f aca="false">'Assumption Setting'!$E$58</f>
        <v>2</v>
      </c>
      <c r="AD46" s="81" t="n">
        <f aca="false">'Assumption Setting'!$E$58</f>
        <v>2</v>
      </c>
      <c r="AE46" s="81" t="n">
        <f aca="false">'Assumption Setting'!$E$58</f>
        <v>2</v>
      </c>
      <c r="AF46" s="81" t="n">
        <f aca="false">'Assumption Setting'!$E$58</f>
        <v>2</v>
      </c>
      <c r="AG46" s="81" t="n">
        <f aca="false">'Assumption Setting'!$E$58</f>
        <v>2</v>
      </c>
      <c r="AH46" s="81" t="n">
        <f aca="false">'Assumption Setting'!$E$58</f>
        <v>2</v>
      </c>
      <c r="AI46" s="81" t="n">
        <f aca="false">'Assumption Setting'!$E$58</f>
        <v>2</v>
      </c>
      <c r="AJ46" s="81" t="n">
        <f aca="false">'Assumption Setting'!$E$58</f>
        <v>2</v>
      </c>
      <c r="AK46" s="81" t="n">
        <f aca="false">'Assumption Setting'!$E$58</f>
        <v>2</v>
      </c>
      <c r="AL46" s="81" t="n">
        <f aca="false">'Assumption Setting'!$E$58</f>
        <v>2</v>
      </c>
      <c r="AM46" s="81" t="n">
        <f aca="false">'Assumption Setting'!$E$58</f>
        <v>2</v>
      </c>
      <c r="AN46" s="81" t="n">
        <f aca="false">'Assumption Setting'!$E$58</f>
        <v>2</v>
      </c>
      <c r="AO46" s="80" t="n">
        <f aca="false">SUM(AP46:BA46)</f>
        <v>30</v>
      </c>
      <c r="AP46" s="81" t="n">
        <f aca="false">'Assumption Setting'!$F$58</f>
        <v>2.5</v>
      </c>
      <c r="AQ46" s="81" t="n">
        <f aca="false">'Assumption Setting'!$F$58</f>
        <v>2.5</v>
      </c>
      <c r="AR46" s="81" t="n">
        <f aca="false">'Assumption Setting'!$F$58</f>
        <v>2.5</v>
      </c>
      <c r="AS46" s="81" t="n">
        <f aca="false">'Assumption Setting'!$F$58</f>
        <v>2.5</v>
      </c>
      <c r="AT46" s="81" t="n">
        <f aca="false">'Assumption Setting'!$F$58</f>
        <v>2.5</v>
      </c>
      <c r="AU46" s="81" t="n">
        <f aca="false">'Assumption Setting'!$F$58</f>
        <v>2.5</v>
      </c>
      <c r="AV46" s="81" t="n">
        <f aca="false">'Assumption Setting'!$F$58</f>
        <v>2.5</v>
      </c>
      <c r="AW46" s="81" t="n">
        <f aca="false">'Assumption Setting'!$F$58</f>
        <v>2.5</v>
      </c>
      <c r="AX46" s="81" t="n">
        <f aca="false">'Assumption Setting'!$F$58</f>
        <v>2.5</v>
      </c>
      <c r="AY46" s="81" t="n">
        <f aca="false">'Assumption Setting'!$F$58</f>
        <v>2.5</v>
      </c>
      <c r="AZ46" s="81" t="n">
        <f aca="false">'Assumption Setting'!$F$58</f>
        <v>2.5</v>
      </c>
      <c r="BA46" s="81" t="n">
        <f aca="false">'Assumption Setting'!$F$58</f>
        <v>2.5</v>
      </c>
      <c r="BB46" s="80" t="n">
        <f aca="false">SUM(BC46:BN46)</f>
        <v>36</v>
      </c>
      <c r="BC46" s="81" t="n">
        <f aca="false">'Assumption Setting'!$G$58</f>
        <v>3</v>
      </c>
      <c r="BD46" s="81" t="n">
        <f aca="false">'Assumption Setting'!$G$58</f>
        <v>3</v>
      </c>
      <c r="BE46" s="81" t="n">
        <f aca="false">'Assumption Setting'!$G$58</f>
        <v>3</v>
      </c>
      <c r="BF46" s="81" t="n">
        <f aca="false">'Assumption Setting'!$G$58</f>
        <v>3</v>
      </c>
      <c r="BG46" s="81" t="n">
        <f aca="false">'Assumption Setting'!$G$58</f>
        <v>3</v>
      </c>
      <c r="BH46" s="81" t="n">
        <f aca="false">'Assumption Setting'!$G$58</f>
        <v>3</v>
      </c>
      <c r="BI46" s="81" t="n">
        <f aca="false">'Assumption Setting'!$G$58</f>
        <v>3</v>
      </c>
      <c r="BJ46" s="81" t="n">
        <f aca="false">'Assumption Setting'!$G$58</f>
        <v>3</v>
      </c>
      <c r="BK46" s="81" t="n">
        <f aca="false">'Assumption Setting'!$G$58</f>
        <v>3</v>
      </c>
      <c r="BL46" s="81" t="n">
        <f aca="false">'Assumption Setting'!$G$58</f>
        <v>3</v>
      </c>
      <c r="BM46" s="81" t="n">
        <f aca="false">'Assumption Setting'!$G$58</f>
        <v>3</v>
      </c>
      <c r="BN46" s="81" t="n">
        <f aca="false">'Assumption Setting'!$G$58</f>
        <v>3</v>
      </c>
    </row>
    <row r="47" customFormat="false" ht="15" hidden="false" customHeight="false" outlineLevel="0" collapsed="false">
      <c r="A47" s="12" t="s">
        <v>604</v>
      </c>
      <c r="B47" s="64" t="n">
        <f aca="false">SUM(C47:N47)</f>
        <v>1440</v>
      </c>
      <c r="C47" s="65" t="n">
        <f aca="false">C46*'Assumption Setting'!$H$58</f>
        <v>120</v>
      </c>
      <c r="D47" s="65" t="n">
        <f aca="false">D46*'Assumption Setting'!$H$58</f>
        <v>120</v>
      </c>
      <c r="E47" s="65" t="n">
        <f aca="false">E46*'Assumption Setting'!$H$58</f>
        <v>120</v>
      </c>
      <c r="F47" s="65" t="n">
        <f aca="false">F46*'Assumption Setting'!$H$58</f>
        <v>120</v>
      </c>
      <c r="G47" s="65" t="n">
        <f aca="false">G46*'Assumption Setting'!$H$58</f>
        <v>120</v>
      </c>
      <c r="H47" s="65" t="n">
        <f aca="false">H46*'Assumption Setting'!$H$58</f>
        <v>120</v>
      </c>
      <c r="I47" s="65" t="n">
        <f aca="false">I46*'Assumption Setting'!$H$58</f>
        <v>120</v>
      </c>
      <c r="J47" s="65" t="n">
        <f aca="false">J46*'Assumption Setting'!$H$58</f>
        <v>120</v>
      </c>
      <c r="K47" s="65" t="n">
        <f aca="false">K46*'Assumption Setting'!$H$58</f>
        <v>120</v>
      </c>
      <c r="L47" s="65" t="n">
        <f aca="false">L46*'Assumption Setting'!$H$58</f>
        <v>120</v>
      </c>
      <c r="M47" s="65" t="n">
        <f aca="false">M46*'Assumption Setting'!$H$58</f>
        <v>120</v>
      </c>
      <c r="N47" s="65" t="n">
        <f aca="false">N46*'Assumption Setting'!$H$58</f>
        <v>120</v>
      </c>
      <c r="O47" s="64" t="n">
        <f aca="false">SUM(P47:AA47)</f>
        <v>7200</v>
      </c>
      <c r="P47" s="65" t="n">
        <f aca="false">P46*'Assumption Setting'!$H$58</f>
        <v>600</v>
      </c>
      <c r="Q47" s="65" t="n">
        <f aca="false">Q46*'Assumption Setting'!$H$58</f>
        <v>600</v>
      </c>
      <c r="R47" s="65" t="n">
        <f aca="false">R46*'Assumption Setting'!$H$58</f>
        <v>600</v>
      </c>
      <c r="S47" s="65" t="n">
        <f aca="false">S46*'Assumption Setting'!$H$58</f>
        <v>600</v>
      </c>
      <c r="T47" s="65" t="n">
        <f aca="false">T46*'Assumption Setting'!$H$58</f>
        <v>600</v>
      </c>
      <c r="U47" s="65" t="n">
        <f aca="false">U46*'Assumption Setting'!$H$58</f>
        <v>600</v>
      </c>
      <c r="V47" s="65" t="n">
        <f aca="false">V46*'Assumption Setting'!$H$58</f>
        <v>600</v>
      </c>
      <c r="W47" s="65" t="n">
        <f aca="false">W46*'Assumption Setting'!$H$58</f>
        <v>600</v>
      </c>
      <c r="X47" s="65" t="n">
        <f aca="false">X46*'Assumption Setting'!$H$58</f>
        <v>600</v>
      </c>
      <c r="Y47" s="65" t="n">
        <f aca="false">Y46*'Assumption Setting'!$H$58</f>
        <v>600</v>
      </c>
      <c r="Z47" s="65" t="n">
        <f aca="false">Z46*'Assumption Setting'!$H$58</f>
        <v>600</v>
      </c>
      <c r="AA47" s="65" t="n">
        <f aca="false">AA46*'Assumption Setting'!$H$58</f>
        <v>600</v>
      </c>
      <c r="AB47" s="64" t="n">
        <f aca="false">SUM(AC47:AN47)</f>
        <v>14400</v>
      </c>
      <c r="AC47" s="65" t="n">
        <f aca="false">AC46*'Assumption Setting'!$H$58</f>
        <v>1200</v>
      </c>
      <c r="AD47" s="65" t="n">
        <f aca="false">AD46*'Assumption Setting'!$H$58</f>
        <v>1200</v>
      </c>
      <c r="AE47" s="65" t="n">
        <f aca="false">AE46*'Assumption Setting'!$H$58</f>
        <v>1200</v>
      </c>
      <c r="AF47" s="65" t="n">
        <f aca="false">AF46*'Assumption Setting'!$H$58</f>
        <v>1200</v>
      </c>
      <c r="AG47" s="65" t="n">
        <f aca="false">AG46*'Assumption Setting'!$H$58</f>
        <v>1200</v>
      </c>
      <c r="AH47" s="65" t="n">
        <f aca="false">AH46*'Assumption Setting'!$H$58</f>
        <v>1200</v>
      </c>
      <c r="AI47" s="65" t="n">
        <f aca="false">AI46*'Assumption Setting'!$H$58</f>
        <v>1200</v>
      </c>
      <c r="AJ47" s="65" t="n">
        <f aca="false">AJ46*'Assumption Setting'!$H$58</f>
        <v>1200</v>
      </c>
      <c r="AK47" s="65" t="n">
        <f aca="false">AK46*'Assumption Setting'!$H$58</f>
        <v>1200</v>
      </c>
      <c r="AL47" s="65" t="n">
        <f aca="false">AL46*'Assumption Setting'!$H$58</f>
        <v>1200</v>
      </c>
      <c r="AM47" s="65" t="n">
        <f aca="false">AM46*'Assumption Setting'!$H$58</f>
        <v>1200</v>
      </c>
      <c r="AN47" s="65" t="n">
        <f aca="false">AN46*'Assumption Setting'!$H$58</f>
        <v>1200</v>
      </c>
      <c r="AO47" s="64" t="n">
        <f aca="false">SUM(AP47:BA47)</f>
        <v>18000</v>
      </c>
      <c r="AP47" s="65" t="n">
        <f aca="false">AP46*'Assumption Setting'!$H$58</f>
        <v>1500</v>
      </c>
      <c r="AQ47" s="65" t="n">
        <f aca="false">AQ46*'Assumption Setting'!$H$58</f>
        <v>1500</v>
      </c>
      <c r="AR47" s="65" t="n">
        <f aca="false">AR46*'Assumption Setting'!$H$58</f>
        <v>1500</v>
      </c>
      <c r="AS47" s="65" t="n">
        <f aca="false">AS46*'Assumption Setting'!$H$58</f>
        <v>1500</v>
      </c>
      <c r="AT47" s="65" t="n">
        <f aca="false">AT46*'Assumption Setting'!$H$58</f>
        <v>1500</v>
      </c>
      <c r="AU47" s="65" t="n">
        <f aca="false">AU46*'Assumption Setting'!$H$58</f>
        <v>1500</v>
      </c>
      <c r="AV47" s="65" t="n">
        <f aca="false">AV46*'Assumption Setting'!$H$58</f>
        <v>1500</v>
      </c>
      <c r="AW47" s="65" t="n">
        <f aca="false">AW46*'Assumption Setting'!$H$58</f>
        <v>1500</v>
      </c>
      <c r="AX47" s="65" t="n">
        <f aca="false">AX46*'Assumption Setting'!$H$58</f>
        <v>1500</v>
      </c>
      <c r="AY47" s="65" t="n">
        <f aca="false">AY46*'Assumption Setting'!$H$58</f>
        <v>1500</v>
      </c>
      <c r="AZ47" s="65" t="n">
        <f aca="false">AZ46*'Assumption Setting'!$H$58</f>
        <v>1500</v>
      </c>
      <c r="BA47" s="65" t="n">
        <f aca="false">BA46*'Assumption Setting'!$H$58</f>
        <v>1500</v>
      </c>
      <c r="BB47" s="64" t="n">
        <f aca="false">SUM(BC47:BN47)</f>
        <v>21600</v>
      </c>
      <c r="BC47" s="65" t="n">
        <f aca="false">BC46*'Assumption Setting'!$H$58</f>
        <v>1800</v>
      </c>
      <c r="BD47" s="65" t="n">
        <f aca="false">BD46*'Assumption Setting'!$H$58</f>
        <v>1800</v>
      </c>
      <c r="BE47" s="65" t="n">
        <f aca="false">BE46*'Assumption Setting'!$H$58</f>
        <v>1800</v>
      </c>
      <c r="BF47" s="65" t="n">
        <f aca="false">BF46*'Assumption Setting'!$H$58</f>
        <v>1800</v>
      </c>
      <c r="BG47" s="65" t="n">
        <f aca="false">BG46*'Assumption Setting'!$H$58</f>
        <v>1800</v>
      </c>
      <c r="BH47" s="65" t="n">
        <f aca="false">BH46*'Assumption Setting'!$H$58</f>
        <v>1800</v>
      </c>
      <c r="BI47" s="65" t="n">
        <f aca="false">BI46*'Assumption Setting'!$H$58</f>
        <v>1800</v>
      </c>
      <c r="BJ47" s="65" t="n">
        <f aca="false">BJ46*'Assumption Setting'!$H$58</f>
        <v>1800</v>
      </c>
      <c r="BK47" s="65" t="n">
        <f aca="false">BK46*'Assumption Setting'!$H$58</f>
        <v>1800</v>
      </c>
      <c r="BL47" s="65" t="n">
        <f aca="false">BL46*'Assumption Setting'!$H$58</f>
        <v>1800</v>
      </c>
      <c r="BM47" s="65" t="n">
        <f aca="false">BM46*'Assumption Setting'!$H$58</f>
        <v>1800</v>
      </c>
      <c r="BN47" s="65" t="n">
        <f aca="false">BN46*'Assumption Setting'!$H$58</f>
        <v>1800</v>
      </c>
    </row>
    <row r="48" customFormat="false" ht="15" hidden="false" customHeight="false" outlineLevel="0" collapsed="false">
      <c r="A48" s="12" t="s">
        <v>605</v>
      </c>
      <c r="B48" s="78" t="n">
        <f aca="false">SUM(C48:N48)</f>
        <v>192</v>
      </c>
      <c r="C48" s="79" t="n">
        <f aca="false">C46*'Assumption Setting'!$I$58</f>
        <v>16</v>
      </c>
      <c r="D48" s="79" t="n">
        <f aca="false">D46*'Assumption Setting'!$I$58</f>
        <v>16</v>
      </c>
      <c r="E48" s="79" t="n">
        <f aca="false">E46*'Assumption Setting'!$I$58</f>
        <v>16</v>
      </c>
      <c r="F48" s="79" t="n">
        <f aca="false">F46*'Assumption Setting'!$I$58</f>
        <v>16</v>
      </c>
      <c r="G48" s="79" t="n">
        <f aca="false">G46*'Assumption Setting'!$I$58</f>
        <v>16</v>
      </c>
      <c r="H48" s="79" t="n">
        <f aca="false">H46*'Assumption Setting'!$I$58</f>
        <v>16</v>
      </c>
      <c r="I48" s="79" t="n">
        <f aca="false">I46*'Assumption Setting'!$I$58</f>
        <v>16</v>
      </c>
      <c r="J48" s="79" t="n">
        <f aca="false">J46*'Assumption Setting'!$I$58</f>
        <v>16</v>
      </c>
      <c r="K48" s="79" t="n">
        <f aca="false">K46*'Assumption Setting'!$I$58</f>
        <v>16</v>
      </c>
      <c r="L48" s="79" t="n">
        <f aca="false">L46*'Assumption Setting'!$I$58</f>
        <v>16</v>
      </c>
      <c r="M48" s="79" t="n">
        <f aca="false">M46*'Assumption Setting'!$I$58</f>
        <v>16</v>
      </c>
      <c r="N48" s="79" t="n">
        <f aca="false">N46*'Assumption Setting'!$I$58</f>
        <v>16</v>
      </c>
      <c r="O48" s="78" t="n">
        <f aca="false">SUM(P48:AA48)</f>
        <v>960</v>
      </c>
      <c r="P48" s="79" t="n">
        <f aca="false">P46*'Assumption Setting'!$I$58</f>
        <v>80</v>
      </c>
      <c r="Q48" s="79" t="n">
        <f aca="false">Q46*'Assumption Setting'!$I$58</f>
        <v>80</v>
      </c>
      <c r="R48" s="79" t="n">
        <f aca="false">R46*'Assumption Setting'!$I$58</f>
        <v>80</v>
      </c>
      <c r="S48" s="79" t="n">
        <f aca="false">S46*'Assumption Setting'!$I$58</f>
        <v>80</v>
      </c>
      <c r="T48" s="79" t="n">
        <f aca="false">T46*'Assumption Setting'!$I$58</f>
        <v>80</v>
      </c>
      <c r="U48" s="79" t="n">
        <f aca="false">U46*'Assumption Setting'!$I$58</f>
        <v>80</v>
      </c>
      <c r="V48" s="79" t="n">
        <f aca="false">V46*'Assumption Setting'!$I$58</f>
        <v>80</v>
      </c>
      <c r="W48" s="79" t="n">
        <f aca="false">W46*'Assumption Setting'!$I$58</f>
        <v>80</v>
      </c>
      <c r="X48" s="79" t="n">
        <f aca="false">X46*'Assumption Setting'!$I$58</f>
        <v>80</v>
      </c>
      <c r="Y48" s="79" t="n">
        <f aca="false">Y46*'Assumption Setting'!$I$58</f>
        <v>80</v>
      </c>
      <c r="Z48" s="79" t="n">
        <f aca="false">Z46*'Assumption Setting'!$I$58</f>
        <v>80</v>
      </c>
      <c r="AA48" s="79" t="n">
        <f aca="false">AA46*'Assumption Setting'!$I$58</f>
        <v>80</v>
      </c>
      <c r="AB48" s="78" t="n">
        <f aca="false">SUM(AC48:AN48)</f>
        <v>1920</v>
      </c>
      <c r="AC48" s="79" t="n">
        <f aca="false">AC46*'Assumption Setting'!$I$58</f>
        <v>160</v>
      </c>
      <c r="AD48" s="79" t="n">
        <f aca="false">AD46*'Assumption Setting'!$I$58</f>
        <v>160</v>
      </c>
      <c r="AE48" s="79" t="n">
        <f aca="false">AE46*'Assumption Setting'!$I$58</f>
        <v>160</v>
      </c>
      <c r="AF48" s="79" t="n">
        <f aca="false">AF46*'Assumption Setting'!$I$58</f>
        <v>160</v>
      </c>
      <c r="AG48" s="79" t="n">
        <f aca="false">AG46*'Assumption Setting'!$I$58</f>
        <v>160</v>
      </c>
      <c r="AH48" s="79" t="n">
        <f aca="false">AH46*'Assumption Setting'!$I$58</f>
        <v>160</v>
      </c>
      <c r="AI48" s="79" t="n">
        <f aca="false">AI46*'Assumption Setting'!$I$58</f>
        <v>160</v>
      </c>
      <c r="AJ48" s="79" t="n">
        <f aca="false">AJ46*'Assumption Setting'!$I$58</f>
        <v>160</v>
      </c>
      <c r="AK48" s="79" t="n">
        <f aca="false">AK46*'Assumption Setting'!$I$58</f>
        <v>160</v>
      </c>
      <c r="AL48" s="79" t="n">
        <f aca="false">AL46*'Assumption Setting'!$I$58</f>
        <v>160</v>
      </c>
      <c r="AM48" s="79" t="n">
        <f aca="false">AM46*'Assumption Setting'!$I$58</f>
        <v>160</v>
      </c>
      <c r="AN48" s="79" t="n">
        <f aca="false">AN46*'Assumption Setting'!$I$58</f>
        <v>160</v>
      </c>
      <c r="AO48" s="78" t="n">
        <f aca="false">SUM(AP48:BA48)</f>
        <v>2400</v>
      </c>
      <c r="AP48" s="79" t="n">
        <f aca="false">AP46*'Assumption Setting'!$I$58</f>
        <v>200</v>
      </c>
      <c r="AQ48" s="79" t="n">
        <f aca="false">AQ46*'Assumption Setting'!$I$58</f>
        <v>200</v>
      </c>
      <c r="AR48" s="79" t="n">
        <f aca="false">AR46*'Assumption Setting'!$I$58</f>
        <v>200</v>
      </c>
      <c r="AS48" s="79" t="n">
        <f aca="false">AS46*'Assumption Setting'!$I$58</f>
        <v>200</v>
      </c>
      <c r="AT48" s="79" t="n">
        <f aca="false">AT46*'Assumption Setting'!$I$58</f>
        <v>200</v>
      </c>
      <c r="AU48" s="79" t="n">
        <f aca="false">AU46*'Assumption Setting'!$I$58</f>
        <v>200</v>
      </c>
      <c r="AV48" s="79" t="n">
        <f aca="false">AV46*'Assumption Setting'!$I$58</f>
        <v>200</v>
      </c>
      <c r="AW48" s="79" t="n">
        <f aca="false">AW46*'Assumption Setting'!$I$58</f>
        <v>200</v>
      </c>
      <c r="AX48" s="79" t="n">
        <f aca="false">AX46*'Assumption Setting'!$I$58</f>
        <v>200</v>
      </c>
      <c r="AY48" s="79" t="n">
        <f aca="false">AY46*'Assumption Setting'!$I$58</f>
        <v>200</v>
      </c>
      <c r="AZ48" s="79" t="n">
        <f aca="false">AZ46*'Assumption Setting'!$I$58</f>
        <v>200</v>
      </c>
      <c r="BA48" s="79" t="n">
        <f aca="false">BA46*'Assumption Setting'!$I$58</f>
        <v>200</v>
      </c>
      <c r="BB48" s="78" t="n">
        <f aca="false">SUM(BC48:BN48)</f>
        <v>2880</v>
      </c>
      <c r="BC48" s="79" t="n">
        <f aca="false">BC46*'Assumption Setting'!$I$58</f>
        <v>240</v>
      </c>
      <c r="BD48" s="79" t="n">
        <f aca="false">BD46*'Assumption Setting'!$I$58</f>
        <v>240</v>
      </c>
      <c r="BE48" s="79" t="n">
        <f aca="false">BE46*'Assumption Setting'!$I$58</f>
        <v>240</v>
      </c>
      <c r="BF48" s="79" t="n">
        <f aca="false">BF46*'Assumption Setting'!$I$58</f>
        <v>240</v>
      </c>
      <c r="BG48" s="79" t="n">
        <f aca="false">BG46*'Assumption Setting'!$I$58</f>
        <v>240</v>
      </c>
      <c r="BH48" s="79" t="n">
        <f aca="false">BH46*'Assumption Setting'!$I$58</f>
        <v>240</v>
      </c>
      <c r="BI48" s="79" t="n">
        <f aca="false">BI46*'Assumption Setting'!$I$58</f>
        <v>240</v>
      </c>
      <c r="BJ48" s="79" t="n">
        <f aca="false">BJ46*'Assumption Setting'!$I$58</f>
        <v>240</v>
      </c>
      <c r="BK48" s="79" t="n">
        <f aca="false">BK46*'Assumption Setting'!$I$58</f>
        <v>240</v>
      </c>
      <c r="BL48" s="79" t="n">
        <f aca="false">BL46*'Assumption Setting'!$I$58</f>
        <v>240</v>
      </c>
      <c r="BM48" s="79" t="n">
        <f aca="false">BM46*'Assumption Setting'!$I$58</f>
        <v>240</v>
      </c>
      <c r="BN48" s="79" t="n">
        <f aca="false">BN46*'Assumption Setting'!$I$58</f>
        <v>240</v>
      </c>
    </row>
    <row r="49" customFormat="false" ht="15" hidden="false" customHeight="false" outlineLevel="0" collapsed="false">
      <c r="A49" s="12" t="s">
        <v>606</v>
      </c>
      <c r="B49" s="80" t="n">
        <f aca="false">SUM(C49:N49)</f>
        <v>4.32</v>
      </c>
      <c r="C49" s="81" t="n">
        <f aca="false">C46*'Assumption Setting'!$J$58</f>
        <v>0.36</v>
      </c>
      <c r="D49" s="81" t="n">
        <f aca="false">D46*'Assumption Setting'!$J$58</f>
        <v>0.36</v>
      </c>
      <c r="E49" s="81" t="n">
        <f aca="false">E46*'Assumption Setting'!$J$58</f>
        <v>0.36</v>
      </c>
      <c r="F49" s="81" t="n">
        <f aca="false">F46*'Assumption Setting'!$J$58</f>
        <v>0.36</v>
      </c>
      <c r="G49" s="81" t="n">
        <f aca="false">G46*'Assumption Setting'!$J$58</f>
        <v>0.36</v>
      </c>
      <c r="H49" s="81" t="n">
        <f aca="false">H46*'Assumption Setting'!$J$58</f>
        <v>0.36</v>
      </c>
      <c r="I49" s="81" t="n">
        <f aca="false">I46*'Assumption Setting'!$J$58</f>
        <v>0.36</v>
      </c>
      <c r="J49" s="81" t="n">
        <f aca="false">J46*'Assumption Setting'!$J$58</f>
        <v>0.36</v>
      </c>
      <c r="K49" s="81" t="n">
        <f aca="false">K46*'Assumption Setting'!$J$58</f>
        <v>0.36</v>
      </c>
      <c r="L49" s="81" t="n">
        <f aca="false">L46*'Assumption Setting'!$J$58</f>
        <v>0.36</v>
      </c>
      <c r="M49" s="81" t="n">
        <f aca="false">M46*'Assumption Setting'!$J$58</f>
        <v>0.36</v>
      </c>
      <c r="N49" s="81" t="n">
        <f aca="false">N46*'Assumption Setting'!$J$58</f>
        <v>0.36</v>
      </c>
      <c r="O49" s="80" t="n">
        <f aca="false">SUM(P49:AA49)</f>
        <v>21.6</v>
      </c>
      <c r="P49" s="81" t="n">
        <f aca="false">P46*'Assumption Setting'!$J$58</f>
        <v>1.8</v>
      </c>
      <c r="Q49" s="81" t="n">
        <f aca="false">Q46*'Assumption Setting'!$J$58</f>
        <v>1.8</v>
      </c>
      <c r="R49" s="81" t="n">
        <f aca="false">R46*'Assumption Setting'!$J$58</f>
        <v>1.8</v>
      </c>
      <c r="S49" s="81" t="n">
        <f aca="false">S46*'Assumption Setting'!$J$58</f>
        <v>1.8</v>
      </c>
      <c r="T49" s="81" t="n">
        <f aca="false">T46*'Assumption Setting'!$J$58</f>
        <v>1.8</v>
      </c>
      <c r="U49" s="81" t="n">
        <f aca="false">U46*'Assumption Setting'!$J$58</f>
        <v>1.8</v>
      </c>
      <c r="V49" s="81" t="n">
        <f aca="false">V46*'Assumption Setting'!$J$58</f>
        <v>1.8</v>
      </c>
      <c r="W49" s="81" t="n">
        <f aca="false">W46*'Assumption Setting'!$J$58</f>
        <v>1.8</v>
      </c>
      <c r="X49" s="81" t="n">
        <f aca="false">X46*'Assumption Setting'!$J$58</f>
        <v>1.8</v>
      </c>
      <c r="Y49" s="81" t="n">
        <f aca="false">Y46*'Assumption Setting'!$J$58</f>
        <v>1.8</v>
      </c>
      <c r="Z49" s="81" t="n">
        <f aca="false">Z46*'Assumption Setting'!$J$58</f>
        <v>1.8</v>
      </c>
      <c r="AA49" s="81" t="n">
        <f aca="false">AA46*'Assumption Setting'!$J$58</f>
        <v>1.8</v>
      </c>
      <c r="AB49" s="80" t="n">
        <f aca="false">SUM(AC49:AN49)</f>
        <v>43.2</v>
      </c>
      <c r="AC49" s="81" t="n">
        <f aca="false">AC46*'Assumption Setting'!$J$58</f>
        <v>3.6</v>
      </c>
      <c r="AD49" s="81" t="n">
        <f aca="false">AD46*'Assumption Setting'!$J$58</f>
        <v>3.6</v>
      </c>
      <c r="AE49" s="81" t="n">
        <f aca="false">AE46*'Assumption Setting'!$J$58</f>
        <v>3.6</v>
      </c>
      <c r="AF49" s="81" t="n">
        <f aca="false">AF46*'Assumption Setting'!$J$58</f>
        <v>3.6</v>
      </c>
      <c r="AG49" s="81" t="n">
        <f aca="false">AG46*'Assumption Setting'!$J$58</f>
        <v>3.6</v>
      </c>
      <c r="AH49" s="81" t="n">
        <f aca="false">AH46*'Assumption Setting'!$J$58</f>
        <v>3.6</v>
      </c>
      <c r="AI49" s="81" t="n">
        <f aca="false">AI46*'Assumption Setting'!$J$58</f>
        <v>3.6</v>
      </c>
      <c r="AJ49" s="81" t="n">
        <f aca="false">AJ46*'Assumption Setting'!$J$58</f>
        <v>3.6</v>
      </c>
      <c r="AK49" s="81" t="n">
        <f aca="false">AK46*'Assumption Setting'!$J$58</f>
        <v>3.6</v>
      </c>
      <c r="AL49" s="81" t="n">
        <f aca="false">AL46*'Assumption Setting'!$J$58</f>
        <v>3.6</v>
      </c>
      <c r="AM49" s="81" t="n">
        <f aca="false">AM46*'Assumption Setting'!$J$58</f>
        <v>3.6</v>
      </c>
      <c r="AN49" s="81" t="n">
        <f aca="false">AN46*'Assumption Setting'!$J$58</f>
        <v>3.6</v>
      </c>
      <c r="AO49" s="80" t="n">
        <f aca="false">SUM(AP49:BA49)</f>
        <v>54</v>
      </c>
      <c r="AP49" s="81" t="n">
        <f aca="false">AP46*'Assumption Setting'!$J$58</f>
        <v>4.5</v>
      </c>
      <c r="AQ49" s="81" t="n">
        <f aca="false">AQ46*'Assumption Setting'!$J$58</f>
        <v>4.5</v>
      </c>
      <c r="AR49" s="81" t="n">
        <f aca="false">AR46*'Assumption Setting'!$J$58</f>
        <v>4.5</v>
      </c>
      <c r="AS49" s="81" t="n">
        <f aca="false">AS46*'Assumption Setting'!$J$58</f>
        <v>4.5</v>
      </c>
      <c r="AT49" s="81" t="n">
        <f aca="false">AT46*'Assumption Setting'!$J$58</f>
        <v>4.5</v>
      </c>
      <c r="AU49" s="81" t="n">
        <f aca="false">AU46*'Assumption Setting'!$J$58</f>
        <v>4.5</v>
      </c>
      <c r="AV49" s="81" t="n">
        <f aca="false">AV46*'Assumption Setting'!$J$58</f>
        <v>4.5</v>
      </c>
      <c r="AW49" s="81" t="n">
        <f aca="false">AW46*'Assumption Setting'!$J$58</f>
        <v>4.5</v>
      </c>
      <c r="AX49" s="81" t="n">
        <f aca="false">AX46*'Assumption Setting'!$J$58</f>
        <v>4.5</v>
      </c>
      <c r="AY49" s="81" t="n">
        <f aca="false">AY46*'Assumption Setting'!$J$58</f>
        <v>4.5</v>
      </c>
      <c r="AZ49" s="81" t="n">
        <f aca="false">AZ46*'Assumption Setting'!$J$58</f>
        <v>4.5</v>
      </c>
      <c r="BA49" s="81" t="n">
        <f aca="false">BA46*'Assumption Setting'!$J$58</f>
        <v>4.5</v>
      </c>
      <c r="BB49" s="80" t="n">
        <f aca="false">SUM(BC49:BN49)</f>
        <v>64.8</v>
      </c>
      <c r="BC49" s="81" t="n">
        <f aca="false">BC46*'Assumption Setting'!$J$58</f>
        <v>5.4</v>
      </c>
      <c r="BD49" s="81" t="n">
        <f aca="false">BD46*'Assumption Setting'!$J$58</f>
        <v>5.4</v>
      </c>
      <c r="BE49" s="81" t="n">
        <f aca="false">BE46*'Assumption Setting'!$J$58</f>
        <v>5.4</v>
      </c>
      <c r="BF49" s="81" t="n">
        <f aca="false">BF46*'Assumption Setting'!$J$58</f>
        <v>5.4</v>
      </c>
      <c r="BG49" s="81" t="n">
        <f aca="false">BG46*'Assumption Setting'!$J$58</f>
        <v>5.4</v>
      </c>
      <c r="BH49" s="81" t="n">
        <f aca="false">BH46*'Assumption Setting'!$J$58</f>
        <v>5.4</v>
      </c>
      <c r="BI49" s="81" t="n">
        <f aca="false">BI46*'Assumption Setting'!$J$58</f>
        <v>5.4</v>
      </c>
      <c r="BJ49" s="81" t="n">
        <f aca="false">BJ46*'Assumption Setting'!$J$58</f>
        <v>5.4</v>
      </c>
      <c r="BK49" s="81" t="n">
        <f aca="false">BK46*'Assumption Setting'!$J$58</f>
        <v>5.4</v>
      </c>
      <c r="BL49" s="81" t="n">
        <f aca="false">BL46*'Assumption Setting'!$J$58</f>
        <v>5.4</v>
      </c>
      <c r="BM49" s="81" t="n">
        <f aca="false">BM46*'Assumption Setting'!$J$58</f>
        <v>5.4</v>
      </c>
      <c r="BN49" s="81" t="n">
        <f aca="false">BN46*'Assumption Setting'!$J$58</f>
        <v>5.4</v>
      </c>
    </row>
    <row r="50" customFormat="false" ht="15" hidden="false" customHeight="false" outlineLevel="0" collapsed="false">
      <c r="A50" s="12" t="s">
        <v>256</v>
      </c>
      <c r="B50" s="80" t="n">
        <f aca="false">SUM(C50:N50)</f>
        <v>3.6</v>
      </c>
      <c r="C50" s="81" t="n">
        <f aca="false">'Assumption Setting'!$C$59</f>
        <v>0.3</v>
      </c>
      <c r="D50" s="81" t="n">
        <f aca="false">'Assumption Setting'!$C$59</f>
        <v>0.3</v>
      </c>
      <c r="E50" s="81" t="n">
        <f aca="false">'Assumption Setting'!$C$59</f>
        <v>0.3</v>
      </c>
      <c r="F50" s="81" t="n">
        <f aca="false">'Assumption Setting'!$C$59</f>
        <v>0.3</v>
      </c>
      <c r="G50" s="81" t="n">
        <f aca="false">'Assumption Setting'!$C$59</f>
        <v>0.3</v>
      </c>
      <c r="H50" s="81" t="n">
        <f aca="false">'Assumption Setting'!$C$59</f>
        <v>0.3</v>
      </c>
      <c r="I50" s="81" t="n">
        <f aca="false">'Assumption Setting'!$C$59</f>
        <v>0.3</v>
      </c>
      <c r="J50" s="81" t="n">
        <f aca="false">'Assumption Setting'!$C$59</f>
        <v>0.3</v>
      </c>
      <c r="K50" s="81" t="n">
        <f aca="false">'Assumption Setting'!$C$59</f>
        <v>0.3</v>
      </c>
      <c r="L50" s="81" t="n">
        <f aca="false">'Assumption Setting'!$C$59</f>
        <v>0.3</v>
      </c>
      <c r="M50" s="81" t="n">
        <f aca="false">'Assumption Setting'!$C$59</f>
        <v>0.3</v>
      </c>
      <c r="N50" s="81" t="n">
        <f aca="false">'Assumption Setting'!$C$59</f>
        <v>0.3</v>
      </c>
      <c r="O50" s="80" t="n">
        <f aca="false">SUM(P50:AA50)</f>
        <v>18</v>
      </c>
      <c r="P50" s="81" t="n">
        <f aca="false">'Assumption Setting'!$D$59</f>
        <v>1.5</v>
      </c>
      <c r="Q50" s="81" t="n">
        <f aca="false">'Assumption Setting'!$D$59</f>
        <v>1.5</v>
      </c>
      <c r="R50" s="81" t="n">
        <f aca="false">'Assumption Setting'!$D$59</f>
        <v>1.5</v>
      </c>
      <c r="S50" s="81" t="n">
        <f aca="false">'Assumption Setting'!$D$59</f>
        <v>1.5</v>
      </c>
      <c r="T50" s="81" t="n">
        <f aca="false">'Assumption Setting'!$D$59</f>
        <v>1.5</v>
      </c>
      <c r="U50" s="81" t="n">
        <f aca="false">'Assumption Setting'!$D$59</f>
        <v>1.5</v>
      </c>
      <c r="V50" s="81" t="n">
        <f aca="false">'Assumption Setting'!$D$59</f>
        <v>1.5</v>
      </c>
      <c r="W50" s="81" t="n">
        <f aca="false">'Assumption Setting'!$D$59</f>
        <v>1.5</v>
      </c>
      <c r="X50" s="81" t="n">
        <f aca="false">'Assumption Setting'!$D$59</f>
        <v>1.5</v>
      </c>
      <c r="Y50" s="81" t="n">
        <f aca="false">'Assumption Setting'!$D$59</f>
        <v>1.5</v>
      </c>
      <c r="Z50" s="81" t="n">
        <f aca="false">'Assumption Setting'!$D$59</f>
        <v>1.5</v>
      </c>
      <c r="AA50" s="81" t="n">
        <f aca="false">'Assumption Setting'!$D$59</f>
        <v>1.5</v>
      </c>
      <c r="AB50" s="80" t="n">
        <f aca="false">SUM(AC50:AN50)</f>
        <v>36</v>
      </c>
      <c r="AC50" s="81" t="n">
        <f aca="false">'Assumption Setting'!$E$59</f>
        <v>3</v>
      </c>
      <c r="AD50" s="81" t="n">
        <f aca="false">'Assumption Setting'!$E$59</f>
        <v>3</v>
      </c>
      <c r="AE50" s="81" t="n">
        <f aca="false">'Assumption Setting'!$E$59</f>
        <v>3</v>
      </c>
      <c r="AF50" s="81" t="n">
        <f aca="false">'Assumption Setting'!$E$59</f>
        <v>3</v>
      </c>
      <c r="AG50" s="81" t="n">
        <f aca="false">'Assumption Setting'!$E$59</f>
        <v>3</v>
      </c>
      <c r="AH50" s="81" t="n">
        <f aca="false">'Assumption Setting'!$E$59</f>
        <v>3</v>
      </c>
      <c r="AI50" s="81" t="n">
        <f aca="false">'Assumption Setting'!$E$59</f>
        <v>3</v>
      </c>
      <c r="AJ50" s="81" t="n">
        <f aca="false">'Assumption Setting'!$E$59</f>
        <v>3</v>
      </c>
      <c r="AK50" s="81" t="n">
        <f aca="false">'Assumption Setting'!$E$59</f>
        <v>3</v>
      </c>
      <c r="AL50" s="81" t="n">
        <f aca="false">'Assumption Setting'!$E$59</f>
        <v>3</v>
      </c>
      <c r="AM50" s="81" t="n">
        <f aca="false">'Assumption Setting'!$E$59</f>
        <v>3</v>
      </c>
      <c r="AN50" s="81" t="n">
        <f aca="false">'Assumption Setting'!$E$59</f>
        <v>3</v>
      </c>
      <c r="AO50" s="80" t="n">
        <f aca="false">SUM(AP50:BA50)</f>
        <v>48</v>
      </c>
      <c r="AP50" s="81" t="n">
        <f aca="false">'Assumption Setting'!$F$59</f>
        <v>4</v>
      </c>
      <c r="AQ50" s="81" t="n">
        <f aca="false">'Assumption Setting'!$F$59</f>
        <v>4</v>
      </c>
      <c r="AR50" s="81" t="n">
        <f aca="false">'Assumption Setting'!$F$59</f>
        <v>4</v>
      </c>
      <c r="AS50" s="81" t="n">
        <f aca="false">'Assumption Setting'!$F$59</f>
        <v>4</v>
      </c>
      <c r="AT50" s="81" t="n">
        <f aca="false">'Assumption Setting'!$F$59</f>
        <v>4</v>
      </c>
      <c r="AU50" s="81" t="n">
        <f aca="false">'Assumption Setting'!$F$59</f>
        <v>4</v>
      </c>
      <c r="AV50" s="81" t="n">
        <f aca="false">'Assumption Setting'!$F$59</f>
        <v>4</v>
      </c>
      <c r="AW50" s="81" t="n">
        <f aca="false">'Assumption Setting'!$F$59</f>
        <v>4</v>
      </c>
      <c r="AX50" s="81" t="n">
        <f aca="false">'Assumption Setting'!$F$59</f>
        <v>4</v>
      </c>
      <c r="AY50" s="81" t="n">
        <f aca="false">'Assumption Setting'!$F$59</f>
        <v>4</v>
      </c>
      <c r="AZ50" s="81" t="n">
        <f aca="false">'Assumption Setting'!$F$59</f>
        <v>4</v>
      </c>
      <c r="BA50" s="81" t="n">
        <f aca="false">'Assumption Setting'!$F$59</f>
        <v>4</v>
      </c>
      <c r="BB50" s="80" t="n">
        <f aca="false">SUM(BC50:BN50)</f>
        <v>60</v>
      </c>
      <c r="BC50" s="81" t="n">
        <f aca="false">'Assumption Setting'!$G$59</f>
        <v>5</v>
      </c>
      <c r="BD50" s="81" t="n">
        <f aca="false">'Assumption Setting'!$G$59</f>
        <v>5</v>
      </c>
      <c r="BE50" s="81" t="n">
        <f aca="false">'Assumption Setting'!$G$59</f>
        <v>5</v>
      </c>
      <c r="BF50" s="81" t="n">
        <f aca="false">'Assumption Setting'!$G$59</f>
        <v>5</v>
      </c>
      <c r="BG50" s="81" t="n">
        <f aca="false">'Assumption Setting'!$G$59</f>
        <v>5</v>
      </c>
      <c r="BH50" s="81" t="n">
        <f aca="false">'Assumption Setting'!$G$59</f>
        <v>5</v>
      </c>
      <c r="BI50" s="81" t="n">
        <f aca="false">'Assumption Setting'!$G$59</f>
        <v>5</v>
      </c>
      <c r="BJ50" s="81" t="n">
        <f aca="false">'Assumption Setting'!$G$59</f>
        <v>5</v>
      </c>
      <c r="BK50" s="81" t="n">
        <f aca="false">'Assumption Setting'!$G$59</f>
        <v>5</v>
      </c>
      <c r="BL50" s="81" t="n">
        <f aca="false">'Assumption Setting'!$G$59</f>
        <v>5</v>
      </c>
      <c r="BM50" s="81" t="n">
        <f aca="false">'Assumption Setting'!$G$59</f>
        <v>5</v>
      </c>
      <c r="BN50" s="81" t="n">
        <f aca="false">'Assumption Setting'!$G$59</f>
        <v>5</v>
      </c>
    </row>
    <row r="51" customFormat="false" ht="15" hidden="false" customHeight="false" outlineLevel="0" collapsed="false">
      <c r="A51" s="12" t="s">
        <v>604</v>
      </c>
      <c r="B51" s="64" t="n">
        <f aca="false">SUM(C51:N51)</f>
        <v>540</v>
      </c>
      <c r="C51" s="65" t="n">
        <f aca="false">C50*'Assumption Setting'!$H$59</f>
        <v>45</v>
      </c>
      <c r="D51" s="65" t="n">
        <f aca="false">D50*'Assumption Setting'!$H$59</f>
        <v>45</v>
      </c>
      <c r="E51" s="65" t="n">
        <f aca="false">E50*'Assumption Setting'!$H$59</f>
        <v>45</v>
      </c>
      <c r="F51" s="65" t="n">
        <f aca="false">F50*'Assumption Setting'!$H$59</f>
        <v>45</v>
      </c>
      <c r="G51" s="65" t="n">
        <f aca="false">G50*'Assumption Setting'!$H$59</f>
        <v>45</v>
      </c>
      <c r="H51" s="65" t="n">
        <f aca="false">H50*'Assumption Setting'!$H$59</f>
        <v>45</v>
      </c>
      <c r="I51" s="65" t="n">
        <f aca="false">I50*'Assumption Setting'!$H$59</f>
        <v>45</v>
      </c>
      <c r="J51" s="65" t="n">
        <f aca="false">J50*'Assumption Setting'!$H$59</f>
        <v>45</v>
      </c>
      <c r="K51" s="65" t="n">
        <f aca="false">K50*'Assumption Setting'!$H$59</f>
        <v>45</v>
      </c>
      <c r="L51" s="65" t="n">
        <f aca="false">L50*'Assumption Setting'!$H$59</f>
        <v>45</v>
      </c>
      <c r="M51" s="65" t="n">
        <f aca="false">M50*'Assumption Setting'!$H$59</f>
        <v>45</v>
      </c>
      <c r="N51" s="65" t="n">
        <f aca="false">N50*'Assumption Setting'!$H$59</f>
        <v>45</v>
      </c>
      <c r="O51" s="64" t="n">
        <f aca="false">SUM(P51:AA51)</f>
        <v>2700</v>
      </c>
      <c r="P51" s="65" t="n">
        <f aca="false">P50*'Assumption Setting'!$H$59</f>
        <v>225</v>
      </c>
      <c r="Q51" s="65" t="n">
        <f aca="false">Q50*'Assumption Setting'!$H$59</f>
        <v>225</v>
      </c>
      <c r="R51" s="65" t="n">
        <f aca="false">R50*'Assumption Setting'!$H$59</f>
        <v>225</v>
      </c>
      <c r="S51" s="65" t="n">
        <f aca="false">S50*'Assumption Setting'!$H$59</f>
        <v>225</v>
      </c>
      <c r="T51" s="65" t="n">
        <f aca="false">T50*'Assumption Setting'!$H$59</f>
        <v>225</v>
      </c>
      <c r="U51" s="65" t="n">
        <f aca="false">U50*'Assumption Setting'!$H$59</f>
        <v>225</v>
      </c>
      <c r="V51" s="65" t="n">
        <f aca="false">V50*'Assumption Setting'!$H$59</f>
        <v>225</v>
      </c>
      <c r="W51" s="65" t="n">
        <f aca="false">W50*'Assumption Setting'!$H$59</f>
        <v>225</v>
      </c>
      <c r="X51" s="65" t="n">
        <f aca="false">X50*'Assumption Setting'!$H$59</f>
        <v>225</v>
      </c>
      <c r="Y51" s="65" t="n">
        <f aca="false">Y50*'Assumption Setting'!$H$59</f>
        <v>225</v>
      </c>
      <c r="Z51" s="65" t="n">
        <f aca="false">Z50*'Assumption Setting'!$H$59</f>
        <v>225</v>
      </c>
      <c r="AA51" s="65" t="n">
        <f aca="false">AA50*'Assumption Setting'!$H$59</f>
        <v>225</v>
      </c>
      <c r="AB51" s="64" t="n">
        <f aca="false">SUM(AC51:AN51)</f>
        <v>5400</v>
      </c>
      <c r="AC51" s="65" t="n">
        <f aca="false">AC50*'Assumption Setting'!$H$59</f>
        <v>450</v>
      </c>
      <c r="AD51" s="65" t="n">
        <f aca="false">AD50*'Assumption Setting'!$H$59</f>
        <v>450</v>
      </c>
      <c r="AE51" s="65" t="n">
        <f aca="false">AE50*'Assumption Setting'!$H$59</f>
        <v>450</v>
      </c>
      <c r="AF51" s="65" t="n">
        <f aca="false">AF50*'Assumption Setting'!$H$59</f>
        <v>450</v>
      </c>
      <c r="AG51" s="65" t="n">
        <f aca="false">AG50*'Assumption Setting'!$H$59</f>
        <v>450</v>
      </c>
      <c r="AH51" s="65" t="n">
        <f aca="false">AH50*'Assumption Setting'!$H$59</f>
        <v>450</v>
      </c>
      <c r="AI51" s="65" t="n">
        <f aca="false">AI50*'Assumption Setting'!$H$59</f>
        <v>450</v>
      </c>
      <c r="AJ51" s="65" t="n">
        <f aca="false">AJ50*'Assumption Setting'!$H$59</f>
        <v>450</v>
      </c>
      <c r="AK51" s="65" t="n">
        <f aca="false">AK50*'Assumption Setting'!$H$59</f>
        <v>450</v>
      </c>
      <c r="AL51" s="65" t="n">
        <f aca="false">AL50*'Assumption Setting'!$H$59</f>
        <v>450</v>
      </c>
      <c r="AM51" s="65" t="n">
        <f aca="false">AM50*'Assumption Setting'!$H$59</f>
        <v>450</v>
      </c>
      <c r="AN51" s="65" t="n">
        <f aca="false">AN50*'Assumption Setting'!$H$59</f>
        <v>450</v>
      </c>
      <c r="AO51" s="64" t="n">
        <f aca="false">SUM(AP51:BA51)</f>
        <v>7200</v>
      </c>
      <c r="AP51" s="65" t="n">
        <f aca="false">AP50*'Assumption Setting'!$H$59</f>
        <v>600</v>
      </c>
      <c r="AQ51" s="65" t="n">
        <f aca="false">AQ50*'Assumption Setting'!$H$59</f>
        <v>600</v>
      </c>
      <c r="AR51" s="65" t="n">
        <f aca="false">AR50*'Assumption Setting'!$H$59</f>
        <v>600</v>
      </c>
      <c r="AS51" s="65" t="n">
        <f aca="false">AS50*'Assumption Setting'!$H$59</f>
        <v>600</v>
      </c>
      <c r="AT51" s="65" t="n">
        <f aca="false">AT50*'Assumption Setting'!$H$59</f>
        <v>600</v>
      </c>
      <c r="AU51" s="65" t="n">
        <f aca="false">AU50*'Assumption Setting'!$H$59</f>
        <v>600</v>
      </c>
      <c r="AV51" s="65" t="n">
        <f aca="false">AV50*'Assumption Setting'!$H$59</f>
        <v>600</v>
      </c>
      <c r="AW51" s="65" t="n">
        <f aca="false">AW50*'Assumption Setting'!$H$59</f>
        <v>600</v>
      </c>
      <c r="AX51" s="65" t="n">
        <f aca="false">AX50*'Assumption Setting'!$H$59</f>
        <v>600</v>
      </c>
      <c r="AY51" s="65" t="n">
        <f aca="false">AY50*'Assumption Setting'!$H$59</f>
        <v>600</v>
      </c>
      <c r="AZ51" s="65" t="n">
        <f aca="false">AZ50*'Assumption Setting'!$H$59</f>
        <v>600</v>
      </c>
      <c r="BA51" s="65" t="n">
        <f aca="false">BA50*'Assumption Setting'!$H$59</f>
        <v>600</v>
      </c>
      <c r="BB51" s="64" t="n">
        <f aca="false">SUM(BC51:BN51)</f>
        <v>9000</v>
      </c>
      <c r="BC51" s="65" t="n">
        <f aca="false">BC50*'Assumption Setting'!$H$59</f>
        <v>750</v>
      </c>
      <c r="BD51" s="65" t="n">
        <f aca="false">BD50*'Assumption Setting'!$H$59</f>
        <v>750</v>
      </c>
      <c r="BE51" s="65" t="n">
        <f aca="false">BE50*'Assumption Setting'!$H$59</f>
        <v>750</v>
      </c>
      <c r="BF51" s="65" t="n">
        <f aca="false">BF50*'Assumption Setting'!$H$59</f>
        <v>750</v>
      </c>
      <c r="BG51" s="65" t="n">
        <f aca="false">BG50*'Assumption Setting'!$H$59</f>
        <v>750</v>
      </c>
      <c r="BH51" s="65" t="n">
        <f aca="false">BH50*'Assumption Setting'!$H$59</f>
        <v>750</v>
      </c>
      <c r="BI51" s="65" t="n">
        <f aca="false">BI50*'Assumption Setting'!$H$59</f>
        <v>750</v>
      </c>
      <c r="BJ51" s="65" t="n">
        <f aca="false">BJ50*'Assumption Setting'!$H$59</f>
        <v>750</v>
      </c>
      <c r="BK51" s="65" t="n">
        <f aca="false">BK50*'Assumption Setting'!$H$59</f>
        <v>750</v>
      </c>
      <c r="BL51" s="65" t="n">
        <f aca="false">BL50*'Assumption Setting'!$H$59</f>
        <v>750</v>
      </c>
      <c r="BM51" s="65" t="n">
        <f aca="false">BM50*'Assumption Setting'!$H$59</f>
        <v>750</v>
      </c>
      <c r="BN51" s="65" t="n">
        <f aca="false">BN50*'Assumption Setting'!$H$59</f>
        <v>750</v>
      </c>
    </row>
    <row r="52" customFormat="false" ht="15" hidden="false" customHeight="false" outlineLevel="0" collapsed="false">
      <c r="A52" s="12" t="s">
        <v>605</v>
      </c>
      <c r="B52" s="78" t="n">
        <f aca="false">SUM(C52:N52)</f>
        <v>144</v>
      </c>
      <c r="C52" s="79" t="n">
        <f aca="false">C50*'Assumption Setting'!$I$59</f>
        <v>12</v>
      </c>
      <c r="D52" s="79" t="n">
        <f aca="false">D50*'Assumption Setting'!$I$59</f>
        <v>12</v>
      </c>
      <c r="E52" s="79" t="n">
        <f aca="false">E50*'Assumption Setting'!$I$59</f>
        <v>12</v>
      </c>
      <c r="F52" s="79" t="n">
        <f aca="false">F50*'Assumption Setting'!$I$59</f>
        <v>12</v>
      </c>
      <c r="G52" s="79" t="n">
        <f aca="false">G50*'Assumption Setting'!$I$59</f>
        <v>12</v>
      </c>
      <c r="H52" s="79" t="n">
        <f aca="false">H50*'Assumption Setting'!$I$59</f>
        <v>12</v>
      </c>
      <c r="I52" s="79" t="n">
        <f aca="false">I50*'Assumption Setting'!$I$59</f>
        <v>12</v>
      </c>
      <c r="J52" s="79" t="n">
        <f aca="false">J50*'Assumption Setting'!$I$59</f>
        <v>12</v>
      </c>
      <c r="K52" s="79" t="n">
        <f aca="false">K50*'Assumption Setting'!$I$59</f>
        <v>12</v>
      </c>
      <c r="L52" s="79" t="n">
        <f aca="false">L50*'Assumption Setting'!$I$59</f>
        <v>12</v>
      </c>
      <c r="M52" s="79" t="n">
        <f aca="false">M50*'Assumption Setting'!$I$59</f>
        <v>12</v>
      </c>
      <c r="N52" s="79" t="n">
        <f aca="false">N50*'Assumption Setting'!$I$59</f>
        <v>12</v>
      </c>
      <c r="O52" s="78" t="n">
        <f aca="false">SUM(P52:AA52)</f>
        <v>720</v>
      </c>
      <c r="P52" s="79" t="n">
        <f aca="false">P50*'Assumption Setting'!$I$59</f>
        <v>60</v>
      </c>
      <c r="Q52" s="79" t="n">
        <f aca="false">Q50*'Assumption Setting'!$I$59</f>
        <v>60</v>
      </c>
      <c r="R52" s="79" t="n">
        <f aca="false">R50*'Assumption Setting'!$I$59</f>
        <v>60</v>
      </c>
      <c r="S52" s="79" t="n">
        <f aca="false">S50*'Assumption Setting'!$I$59</f>
        <v>60</v>
      </c>
      <c r="T52" s="79" t="n">
        <f aca="false">T50*'Assumption Setting'!$I$59</f>
        <v>60</v>
      </c>
      <c r="U52" s="79" t="n">
        <f aca="false">U50*'Assumption Setting'!$I$59</f>
        <v>60</v>
      </c>
      <c r="V52" s="79" t="n">
        <f aca="false">V50*'Assumption Setting'!$I$59</f>
        <v>60</v>
      </c>
      <c r="W52" s="79" t="n">
        <f aca="false">W50*'Assumption Setting'!$I$59</f>
        <v>60</v>
      </c>
      <c r="X52" s="79" t="n">
        <f aca="false">X50*'Assumption Setting'!$I$59</f>
        <v>60</v>
      </c>
      <c r="Y52" s="79" t="n">
        <f aca="false">Y50*'Assumption Setting'!$I$59</f>
        <v>60</v>
      </c>
      <c r="Z52" s="79" t="n">
        <f aca="false">Z50*'Assumption Setting'!$I$59</f>
        <v>60</v>
      </c>
      <c r="AA52" s="79" t="n">
        <f aca="false">AA50*'Assumption Setting'!$I$59</f>
        <v>60</v>
      </c>
      <c r="AB52" s="78" t="n">
        <f aca="false">SUM(AC52:AN52)</f>
        <v>1440</v>
      </c>
      <c r="AC52" s="79" t="n">
        <f aca="false">AC50*'Assumption Setting'!$I$59</f>
        <v>120</v>
      </c>
      <c r="AD52" s="79" t="n">
        <f aca="false">AD50*'Assumption Setting'!$I$59</f>
        <v>120</v>
      </c>
      <c r="AE52" s="79" t="n">
        <f aca="false">AE50*'Assumption Setting'!$I$59</f>
        <v>120</v>
      </c>
      <c r="AF52" s="79" t="n">
        <f aca="false">AF50*'Assumption Setting'!$I$59</f>
        <v>120</v>
      </c>
      <c r="AG52" s="79" t="n">
        <f aca="false">AG50*'Assumption Setting'!$I$59</f>
        <v>120</v>
      </c>
      <c r="AH52" s="79" t="n">
        <f aca="false">AH50*'Assumption Setting'!$I$59</f>
        <v>120</v>
      </c>
      <c r="AI52" s="79" t="n">
        <f aca="false">AI50*'Assumption Setting'!$I$59</f>
        <v>120</v>
      </c>
      <c r="AJ52" s="79" t="n">
        <f aca="false">AJ50*'Assumption Setting'!$I$59</f>
        <v>120</v>
      </c>
      <c r="AK52" s="79" t="n">
        <f aca="false">AK50*'Assumption Setting'!$I$59</f>
        <v>120</v>
      </c>
      <c r="AL52" s="79" t="n">
        <f aca="false">AL50*'Assumption Setting'!$I$59</f>
        <v>120</v>
      </c>
      <c r="AM52" s="79" t="n">
        <f aca="false">AM50*'Assumption Setting'!$I$59</f>
        <v>120</v>
      </c>
      <c r="AN52" s="79" t="n">
        <f aca="false">AN50*'Assumption Setting'!$I$59</f>
        <v>120</v>
      </c>
      <c r="AO52" s="78" t="n">
        <f aca="false">SUM(AP52:BA52)</f>
        <v>1920</v>
      </c>
      <c r="AP52" s="79" t="n">
        <f aca="false">AP50*'Assumption Setting'!$I$59</f>
        <v>160</v>
      </c>
      <c r="AQ52" s="79" t="n">
        <f aca="false">AQ50*'Assumption Setting'!$I$59</f>
        <v>160</v>
      </c>
      <c r="AR52" s="79" t="n">
        <f aca="false">AR50*'Assumption Setting'!$I$59</f>
        <v>160</v>
      </c>
      <c r="AS52" s="79" t="n">
        <f aca="false">AS50*'Assumption Setting'!$I$59</f>
        <v>160</v>
      </c>
      <c r="AT52" s="79" t="n">
        <f aca="false">AT50*'Assumption Setting'!$I$59</f>
        <v>160</v>
      </c>
      <c r="AU52" s="79" t="n">
        <f aca="false">AU50*'Assumption Setting'!$I$59</f>
        <v>160</v>
      </c>
      <c r="AV52" s="79" t="n">
        <f aca="false">AV50*'Assumption Setting'!$I$59</f>
        <v>160</v>
      </c>
      <c r="AW52" s="79" t="n">
        <f aca="false">AW50*'Assumption Setting'!$I$59</f>
        <v>160</v>
      </c>
      <c r="AX52" s="79" t="n">
        <f aca="false">AX50*'Assumption Setting'!$I$59</f>
        <v>160</v>
      </c>
      <c r="AY52" s="79" t="n">
        <f aca="false">AY50*'Assumption Setting'!$I$59</f>
        <v>160</v>
      </c>
      <c r="AZ52" s="79" t="n">
        <f aca="false">AZ50*'Assumption Setting'!$I$59</f>
        <v>160</v>
      </c>
      <c r="BA52" s="79" t="n">
        <f aca="false">BA50*'Assumption Setting'!$I$59</f>
        <v>160</v>
      </c>
      <c r="BB52" s="78" t="n">
        <f aca="false">SUM(BC52:BN52)</f>
        <v>2400</v>
      </c>
      <c r="BC52" s="79" t="n">
        <f aca="false">BC50*'Assumption Setting'!$I$59</f>
        <v>200</v>
      </c>
      <c r="BD52" s="79" t="n">
        <f aca="false">BD50*'Assumption Setting'!$I$59</f>
        <v>200</v>
      </c>
      <c r="BE52" s="79" t="n">
        <f aca="false">BE50*'Assumption Setting'!$I$59</f>
        <v>200</v>
      </c>
      <c r="BF52" s="79" t="n">
        <f aca="false">BF50*'Assumption Setting'!$I$59</f>
        <v>200</v>
      </c>
      <c r="BG52" s="79" t="n">
        <f aca="false">BG50*'Assumption Setting'!$I$59</f>
        <v>200</v>
      </c>
      <c r="BH52" s="79" t="n">
        <f aca="false">BH50*'Assumption Setting'!$I$59</f>
        <v>200</v>
      </c>
      <c r="BI52" s="79" t="n">
        <f aca="false">BI50*'Assumption Setting'!$I$59</f>
        <v>200</v>
      </c>
      <c r="BJ52" s="79" t="n">
        <f aca="false">BJ50*'Assumption Setting'!$I$59</f>
        <v>200</v>
      </c>
      <c r="BK52" s="79" t="n">
        <f aca="false">BK50*'Assumption Setting'!$I$59</f>
        <v>200</v>
      </c>
      <c r="BL52" s="79" t="n">
        <f aca="false">BL50*'Assumption Setting'!$I$59</f>
        <v>200</v>
      </c>
      <c r="BM52" s="79" t="n">
        <f aca="false">BM50*'Assumption Setting'!$I$59</f>
        <v>200</v>
      </c>
      <c r="BN52" s="79" t="n">
        <f aca="false">BN50*'Assumption Setting'!$I$59</f>
        <v>200</v>
      </c>
    </row>
    <row r="53" customFormat="false" ht="15" hidden="false" customHeight="false" outlineLevel="0" collapsed="false">
      <c r="A53" s="12" t="s">
        <v>606</v>
      </c>
      <c r="B53" s="80" t="n">
        <f aca="false">SUM(C53:N53)</f>
        <v>3.6</v>
      </c>
      <c r="C53" s="81" t="n">
        <f aca="false">C50*'Assumption Setting'!$J$59</f>
        <v>0.3</v>
      </c>
      <c r="D53" s="81" t="n">
        <f aca="false">D50*'Assumption Setting'!$J$59</f>
        <v>0.3</v>
      </c>
      <c r="E53" s="81" t="n">
        <f aca="false">E50*'Assumption Setting'!$J$59</f>
        <v>0.3</v>
      </c>
      <c r="F53" s="81" t="n">
        <f aca="false">F50*'Assumption Setting'!$J$59</f>
        <v>0.3</v>
      </c>
      <c r="G53" s="81" t="n">
        <f aca="false">G50*'Assumption Setting'!$J$59</f>
        <v>0.3</v>
      </c>
      <c r="H53" s="81" t="n">
        <f aca="false">H50*'Assumption Setting'!$J$59</f>
        <v>0.3</v>
      </c>
      <c r="I53" s="81" t="n">
        <f aca="false">I50*'Assumption Setting'!$J$59</f>
        <v>0.3</v>
      </c>
      <c r="J53" s="81" t="n">
        <f aca="false">J50*'Assumption Setting'!$J$59</f>
        <v>0.3</v>
      </c>
      <c r="K53" s="81" t="n">
        <f aca="false">K50*'Assumption Setting'!$J$59</f>
        <v>0.3</v>
      </c>
      <c r="L53" s="81" t="n">
        <f aca="false">L50*'Assumption Setting'!$J$59</f>
        <v>0.3</v>
      </c>
      <c r="M53" s="81" t="n">
        <f aca="false">M50*'Assumption Setting'!$J$59</f>
        <v>0.3</v>
      </c>
      <c r="N53" s="81" t="n">
        <f aca="false">N50*'Assumption Setting'!$J$59</f>
        <v>0.3</v>
      </c>
      <c r="O53" s="80" t="n">
        <f aca="false">SUM(P53:AA53)</f>
        <v>18</v>
      </c>
      <c r="P53" s="81" t="n">
        <f aca="false">P50*'Assumption Setting'!$J$59</f>
        <v>1.5</v>
      </c>
      <c r="Q53" s="81" t="n">
        <f aca="false">Q50*'Assumption Setting'!$J$59</f>
        <v>1.5</v>
      </c>
      <c r="R53" s="81" t="n">
        <f aca="false">R50*'Assumption Setting'!$J$59</f>
        <v>1.5</v>
      </c>
      <c r="S53" s="81" t="n">
        <f aca="false">S50*'Assumption Setting'!$J$59</f>
        <v>1.5</v>
      </c>
      <c r="T53" s="81" t="n">
        <f aca="false">T50*'Assumption Setting'!$J$59</f>
        <v>1.5</v>
      </c>
      <c r="U53" s="81" t="n">
        <f aca="false">U50*'Assumption Setting'!$J$59</f>
        <v>1.5</v>
      </c>
      <c r="V53" s="81" t="n">
        <f aca="false">V50*'Assumption Setting'!$J$59</f>
        <v>1.5</v>
      </c>
      <c r="W53" s="81" t="n">
        <f aca="false">W50*'Assumption Setting'!$J$59</f>
        <v>1.5</v>
      </c>
      <c r="X53" s="81" t="n">
        <f aca="false">X50*'Assumption Setting'!$J$59</f>
        <v>1.5</v>
      </c>
      <c r="Y53" s="81" t="n">
        <f aca="false">Y50*'Assumption Setting'!$J$59</f>
        <v>1.5</v>
      </c>
      <c r="Z53" s="81" t="n">
        <f aca="false">Z50*'Assumption Setting'!$J$59</f>
        <v>1.5</v>
      </c>
      <c r="AA53" s="81" t="n">
        <f aca="false">AA50*'Assumption Setting'!$J$59</f>
        <v>1.5</v>
      </c>
      <c r="AB53" s="80" t="n">
        <f aca="false">SUM(AC53:AN53)</f>
        <v>36</v>
      </c>
      <c r="AC53" s="81" t="n">
        <f aca="false">AC50*'Assumption Setting'!$J$59</f>
        <v>3</v>
      </c>
      <c r="AD53" s="81" t="n">
        <f aca="false">AD50*'Assumption Setting'!$J$59</f>
        <v>3</v>
      </c>
      <c r="AE53" s="81" t="n">
        <f aca="false">AE50*'Assumption Setting'!$J$59</f>
        <v>3</v>
      </c>
      <c r="AF53" s="81" t="n">
        <f aca="false">AF50*'Assumption Setting'!$J$59</f>
        <v>3</v>
      </c>
      <c r="AG53" s="81" t="n">
        <f aca="false">AG50*'Assumption Setting'!$J$59</f>
        <v>3</v>
      </c>
      <c r="AH53" s="81" t="n">
        <f aca="false">AH50*'Assumption Setting'!$J$59</f>
        <v>3</v>
      </c>
      <c r="AI53" s="81" t="n">
        <f aca="false">AI50*'Assumption Setting'!$J$59</f>
        <v>3</v>
      </c>
      <c r="AJ53" s="81" t="n">
        <f aca="false">AJ50*'Assumption Setting'!$J$59</f>
        <v>3</v>
      </c>
      <c r="AK53" s="81" t="n">
        <f aca="false">AK50*'Assumption Setting'!$J$59</f>
        <v>3</v>
      </c>
      <c r="AL53" s="81" t="n">
        <f aca="false">AL50*'Assumption Setting'!$J$59</f>
        <v>3</v>
      </c>
      <c r="AM53" s="81" t="n">
        <f aca="false">AM50*'Assumption Setting'!$J$59</f>
        <v>3</v>
      </c>
      <c r="AN53" s="81" t="n">
        <f aca="false">AN50*'Assumption Setting'!$J$59</f>
        <v>3</v>
      </c>
      <c r="AO53" s="80" t="n">
        <f aca="false">SUM(AP53:BA53)</f>
        <v>48</v>
      </c>
      <c r="AP53" s="81" t="n">
        <f aca="false">AP50*'Assumption Setting'!$J$59</f>
        <v>4</v>
      </c>
      <c r="AQ53" s="81" t="n">
        <f aca="false">AQ50*'Assumption Setting'!$J$59</f>
        <v>4</v>
      </c>
      <c r="AR53" s="81" t="n">
        <f aca="false">AR50*'Assumption Setting'!$J$59</f>
        <v>4</v>
      </c>
      <c r="AS53" s="81" t="n">
        <f aca="false">AS50*'Assumption Setting'!$J$59</f>
        <v>4</v>
      </c>
      <c r="AT53" s="81" t="n">
        <f aca="false">AT50*'Assumption Setting'!$J$59</f>
        <v>4</v>
      </c>
      <c r="AU53" s="81" t="n">
        <f aca="false">AU50*'Assumption Setting'!$J$59</f>
        <v>4</v>
      </c>
      <c r="AV53" s="81" t="n">
        <f aca="false">AV50*'Assumption Setting'!$J$59</f>
        <v>4</v>
      </c>
      <c r="AW53" s="81" t="n">
        <f aca="false">AW50*'Assumption Setting'!$J$59</f>
        <v>4</v>
      </c>
      <c r="AX53" s="81" t="n">
        <f aca="false">AX50*'Assumption Setting'!$J$59</f>
        <v>4</v>
      </c>
      <c r="AY53" s="81" t="n">
        <f aca="false">AY50*'Assumption Setting'!$J$59</f>
        <v>4</v>
      </c>
      <c r="AZ53" s="81" t="n">
        <f aca="false">AZ50*'Assumption Setting'!$J$59</f>
        <v>4</v>
      </c>
      <c r="BA53" s="81" t="n">
        <f aca="false">BA50*'Assumption Setting'!$J$59</f>
        <v>4</v>
      </c>
      <c r="BB53" s="80" t="n">
        <f aca="false">SUM(BC53:BN53)</f>
        <v>60</v>
      </c>
      <c r="BC53" s="81" t="n">
        <f aca="false">BC50*'Assumption Setting'!$J$59</f>
        <v>5</v>
      </c>
      <c r="BD53" s="81" t="n">
        <f aca="false">BD50*'Assumption Setting'!$J$59</f>
        <v>5</v>
      </c>
      <c r="BE53" s="81" t="n">
        <f aca="false">BE50*'Assumption Setting'!$J$59</f>
        <v>5</v>
      </c>
      <c r="BF53" s="81" t="n">
        <f aca="false">BF50*'Assumption Setting'!$J$59</f>
        <v>5</v>
      </c>
      <c r="BG53" s="81" t="n">
        <f aca="false">BG50*'Assumption Setting'!$J$59</f>
        <v>5</v>
      </c>
      <c r="BH53" s="81" t="n">
        <f aca="false">BH50*'Assumption Setting'!$J$59</f>
        <v>5</v>
      </c>
      <c r="BI53" s="81" t="n">
        <f aca="false">BI50*'Assumption Setting'!$J$59</f>
        <v>5</v>
      </c>
      <c r="BJ53" s="81" t="n">
        <f aca="false">BJ50*'Assumption Setting'!$J$59</f>
        <v>5</v>
      </c>
      <c r="BK53" s="81" t="n">
        <f aca="false">BK50*'Assumption Setting'!$J$59</f>
        <v>5</v>
      </c>
      <c r="BL53" s="81" t="n">
        <f aca="false">BL50*'Assumption Setting'!$J$59</f>
        <v>5</v>
      </c>
      <c r="BM53" s="81" t="n">
        <f aca="false">BM50*'Assumption Setting'!$J$59</f>
        <v>5</v>
      </c>
      <c r="BN53" s="81" t="n">
        <f aca="false">BN50*'Assumption Setting'!$J$59</f>
        <v>5</v>
      </c>
    </row>
    <row r="54" customFormat="false" ht="15" hidden="false" customHeight="false" outlineLevel="0" collapsed="false">
      <c r="A54" s="12" t="s">
        <v>257</v>
      </c>
      <c r="B54" s="80" t="n">
        <f aca="false">SUM(C54:N54)</f>
        <v>360</v>
      </c>
      <c r="C54" s="81" t="n">
        <f aca="false">'Assumption Setting'!$C$60</f>
        <v>30</v>
      </c>
      <c r="D54" s="81" t="n">
        <f aca="false">'Assumption Setting'!$C$60</f>
        <v>30</v>
      </c>
      <c r="E54" s="81" t="n">
        <f aca="false">'Assumption Setting'!$C$60</f>
        <v>30</v>
      </c>
      <c r="F54" s="81" t="n">
        <f aca="false">'Assumption Setting'!$C$60</f>
        <v>30</v>
      </c>
      <c r="G54" s="81" t="n">
        <f aca="false">'Assumption Setting'!$C$60</f>
        <v>30</v>
      </c>
      <c r="H54" s="81" t="n">
        <f aca="false">'Assumption Setting'!$C$60</f>
        <v>30</v>
      </c>
      <c r="I54" s="81" t="n">
        <f aca="false">'Assumption Setting'!$C$60</f>
        <v>30</v>
      </c>
      <c r="J54" s="81" t="n">
        <f aca="false">'Assumption Setting'!$C$60</f>
        <v>30</v>
      </c>
      <c r="K54" s="81" t="n">
        <f aca="false">'Assumption Setting'!$C$60</f>
        <v>30</v>
      </c>
      <c r="L54" s="81" t="n">
        <f aca="false">'Assumption Setting'!$C$60</f>
        <v>30</v>
      </c>
      <c r="M54" s="81" t="n">
        <f aca="false">'Assumption Setting'!$C$60</f>
        <v>30</v>
      </c>
      <c r="N54" s="81" t="n">
        <f aca="false">'Assumption Setting'!$C$60</f>
        <v>30</v>
      </c>
      <c r="O54" s="80" t="n">
        <f aca="false">SUM(P54:AA54)</f>
        <v>480</v>
      </c>
      <c r="P54" s="81" t="n">
        <f aca="false">'Assumption Setting'!$D$60</f>
        <v>40</v>
      </c>
      <c r="Q54" s="81" t="n">
        <f aca="false">'Assumption Setting'!$D$60</f>
        <v>40</v>
      </c>
      <c r="R54" s="81" t="n">
        <f aca="false">'Assumption Setting'!$D$60</f>
        <v>40</v>
      </c>
      <c r="S54" s="81" t="n">
        <f aca="false">'Assumption Setting'!$D$60</f>
        <v>40</v>
      </c>
      <c r="T54" s="81" t="n">
        <f aca="false">'Assumption Setting'!$D$60</f>
        <v>40</v>
      </c>
      <c r="U54" s="81" t="n">
        <f aca="false">'Assumption Setting'!$D$60</f>
        <v>40</v>
      </c>
      <c r="V54" s="81" t="n">
        <f aca="false">'Assumption Setting'!$D$60</f>
        <v>40</v>
      </c>
      <c r="W54" s="81" t="n">
        <f aca="false">'Assumption Setting'!$D$60</f>
        <v>40</v>
      </c>
      <c r="X54" s="81" t="n">
        <f aca="false">'Assumption Setting'!$D$60</f>
        <v>40</v>
      </c>
      <c r="Y54" s="81" t="n">
        <f aca="false">'Assumption Setting'!$D$60</f>
        <v>40</v>
      </c>
      <c r="Z54" s="81" t="n">
        <f aca="false">'Assumption Setting'!$D$60</f>
        <v>40</v>
      </c>
      <c r="AA54" s="81" t="n">
        <f aca="false">'Assumption Setting'!$D$60</f>
        <v>40</v>
      </c>
      <c r="AB54" s="80" t="n">
        <f aca="false">SUM(AC54:AN54)</f>
        <v>660</v>
      </c>
      <c r="AC54" s="81" t="n">
        <f aca="false">'Assumption Setting'!$E$60</f>
        <v>55</v>
      </c>
      <c r="AD54" s="81" t="n">
        <f aca="false">'Assumption Setting'!$E$60</f>
        <v>55</v>
      </c>
      <c r="AE54" s="81" t="n">
        <f aca="false">'Assumption Setting'!$E$60</f>
        <v>55</v>
      </c>
      <c r="AF54" s="81" t="n">
        <f aca="false">'Assumption Setting'!$E$60</f>
        <v>55</v>
      </c>
      <c r="AG54" s="81" t="n">
        <f aca="false">'Assumption Setting'!$E$60</f>
        <v>55</v>
      </c>
      <c r="AH54" s="81" t="n">
        <f aca="false">'Assumption Setting'!$E$60</f>
        <v>55</v>
      </c>
      <c r="AI54" s="81" t="n">
        <f aca="false">'Assumption Setting'!$E$60</f>
        <v>55</v>
      </c>
      <c r="AJ54" s="81" t="n">
        <f aca="false">'Assumption Setting'!$E$60</f>
        <v>55</v>
      </c>
      <c r="AK54" s="81" t="n">
        <f aca="false">'Assumption Setting'!$E$60</f>
        <v>55</v>
      </c>
      <c r="AL54" s="81" t="n">
        <f aca="false">'Assumption Setting'!$E$60</f>
        <v>55</v>
      </c>
      <c r="AM54" s="81" t="n">
        <f aca="false">'Assumption Setting'!$E$60</f>
        <v>55</v>
      </c>
      <c r="AN54" s="81" t="n">
        <f aca="false">'Assumption Setting'!$E$60</f>
        <v>55</v>
      </c>
      <c r="AO54" s="80" t="n">
        <f aca="false">SUM(AP54:BA54)</f>
        <v>840</v>
      </c>
      <c r="AP54" s="81" t="n">
        <f aca="false">'Assumption Setting'!$F$60</f>
        <v>70</v>
      </c>
      <c r="AQ54" s="81" t="n">
        <f aca="false">'Assumption Setting'!$F$60</f>
        <v>70</v>
      </c>
      <c r="AR54" s="81" t="n">
        <f aca="false">'Assumption Setting'!$F$60</f>
        <v>70</v>
      </c>
      <c r="AS54" s="81" t="n">
        <f aca="false">'Assumption Setting'!$F$60</f>
        <v>70</v>
      </c>
      <c r="AT54" s="81" t="n">
        <f aca="false">'Assumption Setting'!$F$60</f>
        <v>70</v>
      </c>
      <c r="AU54" s="81" t="n">
        <f aca="false">'Assumption Setting'!$F$60</f>
        <v>70</v>
      </c>
      <c r="AV54" s="81" t="n">
        <f aca="false">'Assumption Setting'!$F$60</f>
        <v>70</v>
      </c>
      <c r="AW54" s="81" t="n">
        <f aca="false">'Assumption Setting'!$F$60</f>
        <v>70</v>
      </c>
      <c r="AX54" s="81" t="n">
        <f aca="false">'Assumption Setting'!$F$60</f>
        <v>70</v>
      </c>
      <c r="AY54" s="81" t="n">
        <f aca="false">'Assumption Setting'!$F$60</f>
        <v>70</v>
      </c>
      <c r="AZ54" s="81" t="n">
        <f aca="false">'Assumption Setting'!$F$60</f>
        <v>70</v>
      </c>
      <c r="BA54" s="81" t="n">
        <f aca="false">'Assumption Setting'!$F$60</f>
        <v>70</v>
      </c>
      <c r="BB54" s="80" t="n">
        <f aca="false">SUM(BC54:BN54)</f>
        <v>1020</v>
      </c>
      <c r="BC54" s="81" t="n">
        <f aca="false">'Assumption Setting'!$G$60</f>
        <v>85</v>
      </c>
      <c r="BD54" s="81" t="n">
        <f aca="false">'Assumption Setting'!$G$60</f>
        <v>85</v>
      </c>
      <c r="BE54" s="81" t="n">
        <f aca="false">'Assumption Setting'!$G$60</f>
        <v>85</v>
      </c>
      <c r="BF54" s="81" t="n">
        <f aca="false">'Assumption Setting'!$G$60</f>
        <v>85</v>
      </c>
      <c r="BG54" s="81" t="n">
        <f aca="false">'Assumption Setting'!$G$60</f>
        <v>85</v>
      </c>
      <c r="BH54" s="81" t="n">
        <f aca="false">'Assumption Setting'!$G$60</f>
        <v>85</v>
      </c>
      <c r="BI54" s="81" t="n">
        <f aca="false">'Assumption Setting'!$G$60</f>
        <v>85</v>
      </c>
      <c r="BJ54" s="81" t="n">
        <f aca="false">'Assumption Setting'!$G$60</f>
        <v>85</v>
      </c>
      <c r="BK54" s="81" t="n">
        <f aca="false">'Assumption Setting'!$G$60</f>
        <v>85</v>
      </c>
      <c r="BL54" s="81" t="n">
        <f aca="false">'Assumption Setting'!$G$60</f>
        <v>85</v>
      </c>
      <c r="BM54" s="81" t="n">
        <f aca="false">'Assumption Setting'!$G$60</f>
        <v>85</v>
      </c>
      <c r="BN54" s="81" t="n">
        <f aca="false">'Assumption Setting'!$G$60</f>
        <v>85</v>
      </c>
    </row>
    <row r="55" customFormat="false" ht="15" hidden="false" customHeight="false" outlineLevel="0" collapsed="false">
      <c r="A55" s="12" t="s">
        <v>604</v>
      </c>
      <c r="B55" s="64" t="n">
        <f aca="false">SUM(C55:N55)</f>
        <v>0</v>
      </c>
      <c r="C55" s="65" t="n">
        <f aca="false">C54*'Assumption Setting'!$H$60</f>
        <v>0</v>
      </c>
      <c r="D55" s="65" t="n">
        <f aca="false">D54*'Assumption Setting'!$H$60</f>
        <v>0</v>
      </c>
      <c r="E55" s="65" t="n">
        <f aca="false">E54*'Assumption Setting'!$H$60</f>
        <v>0</v>
      </c>
      <c r="F55" s="65" t="n">
        <f aca="false">F54*'Assumption Setting'!$H$60</f>
        <v>0</v>
      </c>
      <c r="G55" s="65" t="n">
        <f aca="false">G54*'Assumption Setting'!$H$60</f>
        <v>0</v>
      </c>
      <c r="H55" s="65" t="n">
        <f aca="false">H54*'Assumption Setting'!$H$60</f>
        <v>0</v>
      </c>
      <c r="I55" s="65" t="n">
        <f aca="false">I54*'Assumption Setting'!$H$60</f>
        <v>0</v>
      </c>
      <c r="J55" s="65" t="n">
        <f aca="false">J54*'Assumption Setting'!$H$60</f>
        <v>0</v>
      </c>
      <c r="K55" s="65" t="n">
        <f aca="false">K54*'Assumption Setting'!$H$60</f>
        <v>0</v>
      </c>
      <c r="L55" s="65" t="n">
        <f aca="false">L54*'Assumption Setting'!$H$60</f>
        <v>0</v>
      </c>
      <c r="M55" s="65" t="n">
        <f aca="false">M54*'Assumption Setting'!$H$60</f>
        <v>0</v>
      </c>
      <c r="N55" s="65" t="n">
        <f aca="false">N54*'Assumption Setting'!$H$60</f>
        <v>0</v>
      </c>
      <c r="O55" s="64" t="n">
        <f aca="false">SUM(P55:AA55)</f>
        <v>0</v>
      </c>
      <c r="P55" s="65" t="n">
        <f aca="false">P54*'Assumption Setting'!$H$60</f>
        <v>0</v>
      </c>
      <c r="Q55" s="65" t="n">
        <f aca="false">Q54*'Assumption Setting'!$H$60</f>
        <v>0</v>
      </c>
      <c r="R55" s="65" t="n">
        <f aca="false">R54*'Assumption Setting'!$H$60</f>
        <v>0</v>
      </c>
      <c r="S55" s="65" t="n">
        <f aca="false">S54*'Assumption Setting'!$H$60</f>
        <v>0</v>
      </c>
      <c r="T55" s="65" t="n">
        <f aca="false">T54*'Assumption Setting'!$H$60</f>
        <v>0</v>
      </c>
      <c r="U55" s="65" t="n">
        <f aca="false">U54*'Assumption Setting'!$H$60</f>
        <v>0</v>
      </c>
      <c r="V55" s="65" t="n">
        <f aca="false">V54*'Assumption Setting'!$H$60</f>
        <v>0</v>
      </c>
      <c r="W55" s="65" t="n">
        <f aca="false">W54*'Assumption Setting'!$H$60</f>
        <v>0</v>
      </c>
      <c r="X55" s="65" t="n">
        <f aca="false">X54*'Assumption Setting'!$H$60</f>
        <v>0</v>
      </c>
      <c r="Y55" s="65" t="n">
        <f aca="false">Y54*'Assumption Setting'!$H$60</f>
        <v>0</v>
      </c>
      <c r="Z55" s="65" t="n">
        <f aca="false">Z54*'Assumption Setting'!$H$60</f>
        <v>0</v>
      </c>
      <c r="AA55" s="65" t="n">
        <f aca="false">AA54*'Assumption Setting'!$H$60</f>
        <v>0</v>
      </c>
      <c r="AB55" s="64" t="n">
        <f aca="false">SUM(AC55:AN55)</f>
        <v>0</v>
      </c>
      <c r="AC55" s="65" t="n">
        <f aca="false">AC54*'Assumption Setting'!$H$60</f>
        <v>0</v>
      </c>
      <c r="AD55" s="65" t="n">
        <f aca="false">AD54*'Assumption Setting'!$H$60</f>
        <v>0</v>
      </c>
      <c r="AE55" s="65" t="n">
        <f aca="false">AE54*'Assumption Setting'!$H$60</f>
        <v>0</v>
      </c>
      <c r="AF55" s="65" t="n">
        <f aca="false">AF54*'Assumption Setting'!$H$60</f>
        <v>0</v>
      </c>
      <c r="AG55" s="65" t="n">
        <f aca="false">AG54*'Assumption Setting'!$H$60</f>
        <v>0</v>
      </c>
      <c r="AH55" s="65" t="n">
        <f aca="false">AH54*'Assumption Setting'!$H$60</f>
        <v>0</v>
      </c>
      <c r="AI55" s="65" t="n">
        <f aca="false">AI54*'Assumption Setting'!$H$60</f>
        <v>0</v>
      </c>
      <c r="AJ55" s="65" t="n">
        <f aca="false">AJ54*'Assumption Setting'!$H$60</f>
        <v>0</v>
      </c>
      <c r="AK55" s="65" t="n">
        <f aca="false">AK54*'Assumption Setting'!$H$60</f>
        <v>0</v>
      </c>
      <c r="AL55" s="65" t="n">
        <f aca="false">AL54*'Assumption Setting'!$H$60</f>
        <v>0</v>
      </c>
      <c r="AM55" s="65" t="n">
        <f aca="false">AM54*'Assumption Setting'!$H$60</f>
        <v>0</v>
      </c>
      <c r="AN55" s="65" t="n">
        <f aca="false">AN54*'Assumption Setting'!$H$60</f>
        <v>0</v>
      </c>
      <c r="AO55" s="64" t="n">
        <f aca="false">SUM(AP55:BA55)</f>
        <v>0</v>
      </c>
      <c r="AP55" s="65" t="n">
        <f aca="false">AP54*'Assumption Setting'!$H$60</f>
        <v>0</v>
      </c>
      <c r="AQ55" s="65" t="n">
        <f aca="false">AQ54*'Assumption Setting'!$H$60</f>
        <v>0</v>
      </c>
      <c r="AR55" s="65" t="n">
        <f aca="false">AR54*'Assumption Setting'!$H$60</f>
        <v>0</v>
      </c>
      <c r="AS55" s="65" t="n">
        <f aca="false">AS54*'Assumption Setting'!$H$60</f>
        <v>0</v>
      </c>
      <c r="AT55" s="65" t="n">
        <f aca="false">AT54*'Assumption Setting'!$H$60</f>
        <v>0</v>
      </c>
      <c r="AU55" s="65" t="n">
        <f aca="false">AU54*'Assumption Setting'!$H$60</f>
        <v>0</v>
      </c>
      <c r="AV55" s="65" t="n">
        <f aca="false">AV54*'Assumption Setting'!$H$60</f>
        <v>0</v>
      </c>
      <c r="AW55" s="65" t="n">
        <f aca="false">AW54*'Assumption Setting'!$H$60</f>
        <v>0</v>
      </c>
      <c r="AX55" s="65" t="n">
        <f aca="false">AX54*'Assumption Setting'!$H$60</f>
        <v>0</v>
      </c>
      <c r="AY55" s="65" t="n">
        <f aca="false">AY54*'Assumption Setting'!$H$60</f>
        <v>0</v>
      </c>
      <c r="AZ55" s="65" t="n">
        <f aca="false">AZ54*'Assumption Setting'!$H$60</f>
        <v>0</v>
      </c>
      <c r="BA55" s="65" t="n">
        <f aca="false">BA54*'Assumption Setting'!$H$60</f>
        <v>0</v>
      </c>
      <c r="BB55" s="64" t="n">
        <f aca="false">SUM(BC55:BN55)</f>
        <v>0</v>
      </c>
      <c r="BC55" s="65" t="n">
        <f aca="false">BC54*'Assumption Setting'!$H$60</f>
        <v>0</v>
      </c>
      <c r="BD55" s="65" t="n">
        <f aca="false">BD54*'Assumption Setting'!$H$60</f>
        <v>0</v>
      </c>
      <c r="BE55" s="65" t="n">
        <f aca="false">BE54*'Assumption Setting'!$H$60</f>
        <v>0</v>
      </c>
      <c r="BF55" s="65" t="n">
        <f aca="false">BF54*'Assumption Setting'!$H$60</f>
        <v>0</v>
      </c>
      <c r="BG55" s="65" t="n">
        <f aca="false">BG54*'Assumption Setting'!$H$60</f>
        <v>0</v>
      </c>
      <c r="BH55" s="65" t="n">
        <f aca="false">BH54*'Assumption Setting'!$H$60</f>
        <v>0</v>
      </c>
      <c r="BI55" s="65" t="n">
        <f aca="false">BI54*'Assumption Setting'!$H$60</f>
        <v>0</v>
      </c>
      <c r="BJ55" s="65" t="n">
        <f aca="false">BJ54*'Assumption Setting'!$H$60</f>
        <v>0</v>
      </c>
      <c r="BK55" s="65" t="n">
        <f aca="false">BK54*'Assumption Setting'!$H$60</f>
        <v>0</v>
      </c>
      <c r="BL55" s="65" t="n">
        <f aca="false">BL54*'Assumption Setting'!$H$60</f>
        <v>0</v>
      </c>
      <c r="BM55" s="65" t="n">
        <f aca="false">BM54*'Assumption Setting'!$H$60</f>
        <v>0</v>
      </c>
      <c r="BN55" s="65" t="n">
        <f aca="false">BN54*'Assumption Setting'!$H$60</f>
        <v>0</v>
      </c>
    </row>
    <row r="56" customFormat="false" ht="15" hidden="false" customHeight="false" outlineLevel="0" collapsed="false">
      <c r="A56" s="12" t="s">
        <v>605</v>
      </c>
      <c r="B56" s="78" t="n">
        <f aca="false">SUM(C56:N56)</f>
        <v>0</v>
      </c>
      <c r="C56" s="79" t="n">
        <f aca="false">C54*'Assumption Setting'!$I$60</f>
        <v>0</v>
      </c>
      <c r="D56" s="79" t="n">
        <f aca="false">D54*'Assumption Setting'!$I$60</f>
        <v>0</v>
      </c>
      <c r="E56" s="79" t="n">
        <f aca="false">E54*'Assumption Setting'!$I$60</f>
        <v>0</v>
      </c>
      <c r="F56" s="79" t="n">
        <f aca="false">F54*'Assumption Setting'!$I$60</f>
        <v>0</v>
      </c>
      <c r="G56" s="79" t="n">
        <f aca="false">G54*'Assumption Setting'!$I$60</f>
        <v>0</v>
      </c>
      <c r="H56" s="79" t="n">
        <f aca="false">H54*'Assumption Setting'!$I$60</f>
        <v>0</v>
      </c>
      <c r="I56" s="79" t="n">
        <f aca="false">I54*'Assumption Setting'!$I$60</f>
        <v>0</v>
      </c>
      <c r="J56" s="79" t="n">
        <f aca="false">J54*'Assumption Setting'!$I$60</f>
        <v>0</v>
      </c>
      <c r="K56" s="79" t="n">
        <f aca="false">K54*'Assumption Setting'!$I$60</f>
        <v>0</v>
      </c>
      <c r="L56" s="79" t="n">
        <f aca="false">L54*'Assumption Setting'!$I$60</f>
        <v>0</v>
      </c>
      <c r="M56" s="79" t="n">
        <f aca="false">M54*'Assumption Setting'!$I$60</f>
        <v>0</v>
      </c>
      <c r="N56" s="79" t="n">
        <f aca="false">N54*'Assumption Setting'!$I$60</f>
        <v>0</v>
      </c>
      <c r="O56" s="78" t="n">
        <f aca="false">SUM(P56:AA56)</f>
        <v>0</v>
      </c>
      <c r="P56" s="79" t="n">
        <f aca="false">P54*'Assumption Setting'!$I$60</f>
        <v>0</v>
      </c>
      <c r="Q56" s="79" t="n">
        <f aca="false">Q54*'Assumption Setting'!$I$60</f>
        <v>0</v>
      </c>
      <c r="R56" s="79" t="n">
        <f aca="false">R54*'Assumption Setting'!$I$60</f>
        <v>0</v>
      </c>
      <c r="S56" s="79" t="n">
        <f aca="false">S54*'Assumption Setting'!$I$60</f>
        <v>0</v>
      </c>
      <c r="T56" s="79" t="n">
        <f aca="false">T54*'Assumption Setting'!$I$60</f>
        <v>0</v>
      </c>
      <c r="U56" s="79" t="n">
        <f aca="false">U54*'Assumption Setting'!$I$60</f>
        <v>0</v>
      </c>
      <c r="V56" s="79" t="n">
        <f aca="false">V54*'Assumption Setting'!$I$60</f>
        <v>0</v>
      </c>
      <c r="W56" s="79" t="n">
        <f aca="false">W54*'Assumption Setting'!$I$60</f>
        <v>0</v>
      </c>
      <c r="X56" s="79" t="n">
        <f aca="false">X54*'Assumption Setting'!$I$60</f>
        <v>0</v>
      </c>
      <c r="Y56" s="79" t="n">
        <f aca="false">Y54*'Assumption Setting'!$I$60</f>
        <v>0</v>
      </c>
      <c r="Z56" s="79" t="n">
        <f aca="false">Z54*'Assumption Setting'!$I$60</f>
        <v>0</v>
      </c>
      <c r="AA56" s="79" t="n">
        <f aca="false">AA54*'Assumption Setting'!$I$60</f>
        <v>0</v>
      </c>
      <c r="AB56" s="78" t="n">
        <f aca="false">SUM(AC56:AN56)</f>
        <v>0</v>
      </c>
      <c r="AC56" s="79" t="n">
        <f aca="false">AC54*'Assumption Setting'!$I$60</f>
        <v>0</v>
      </c>
      <c r="AD56" s="79" t="n">
        <f aca="false">AD54*'Assumption Setting'!$I$60</f>
        <v>0</v>
      </c>
      <c r="AE56" s="79" t="n">
        <f aca="false">AE54*'Assumption Setting'!$I$60</f>
        <v>0</v>
      </c>
      <c r="AF56" s="79" t="n">
        <f aca="false">AF54*'Assumption Setting'!$I$60</f>
        <v>0</v>
      </c>
      <c r="AG56" s="79" t="n">
        <f aca="false">AG54*'Assumption Setting'!$I$60</f>
        <v>0</v>
      </c>
      <c r="AH56" s="79" t="n">
        <f aca="false">AH54*'Assumption Setting'!$I$60</f>
        <v>0</v>
      </c>
      <c r="AI56" s="79" t="n">
        <f aca="false">AI54*'Assumption Setting'!$I$60</f>
        <v>0</v>
      </c>
      <c r="AJ56" s="79" t="n">
        <f aca="false">AJ54*'Assumption Setting'!$I$60</f>
        <v>0</v>
      </c>
      <c r="AK56" s="79" t="n">
        <f aca="false">AK54*'Assumption Setting'!$I$60</f>
        <v>0</v>
      </c>
      <c r="AL56" s="79" t="n">
        <f aca="false">AL54*'Assumption Setting'!$I$60</f>
        <v>0</v>
      </c>
      <c r="AM56" s="79" t="n">
        <f aca="false">AM54*'Assumption Setting'!$I$60</f>
        <v>0</v>
      </c>
      <c r="AN56" s="79" t="n">
        <f aca="false">AN54*'Assumption Setting'!$I$60</f>
        <v>0</v>
      </c>
      <c r="AO56" s="78" t="n">
        <f aca="false">SUM(AP56:BA56)</f>
        <v>0</v>
      </c>
      <c r="AP56" s="79" t="n">
        <f aca="false">AP54*'Assumption Setting'!$I$60</f>
        <v>0</v>
      </c>
      <c r="AQ56" s="79" t="n">
        <f aca="false">AQ54*'Assumption Setting'!$I$60</f>
        <v>0</v>
      </c>
      <c r="AR56" s="79" t="n">
        <f aca="false">AR54*'Assumption Setting'!$I$60</f>
        <v>0</v>
      </c>
      <c r="AS56" s="79" t="n">
        <f aca="false">AS54*'Assumption Setting'!$I$60</f>
        <v>0</v>
      </c>
      <c r="AT56" s="79" t="n">
        <f aca="false">AT54*'Assumption Setting'!$I$60</f>
        <v>0</v>
      </c>
      <c r="AU56" s="79" t="n">
        <f aca="false">AU54*'Assumption Setting'!$I$60</f>
        <v>0</v>
      </c>
      <c r="AV56" s="79" t="n">
        <f aca="false">AV54*'Assumption Setting'!$I$60</f>
        <v>0</v>
      </c>
      <c r="AW56" s="79" t="n">
        <f aca="false">AW54*'Assumption Setting'!$I$60</f>
        <v>0</v>
      </c>
      <c r="AX56" s="79" t="n">
        <f aca="false">AX54*'Assumption Setting'!$I$60</f>
        <v>0</v>
      </c>
      <c r="AY56" s="79" t="n">
        <f aca="false">AY54*'Assumption Setting'!$I$60</f>
        <v>0</v>
      </c>
      <c r="AZ56" s="79" t="n">
        <f aca="false">AZ54*'Assumption Setting'!$I$60</f>
        <v>0</v>
      </c>
      <c r="BA56" s="79" t="n">
        <f aca="false">BA54*'Assumption Setting'!$I$60</f>
        <v>0</v>
      </c>
      <c r="BB56" s="78" t="n">
        <f aca="false">SUM(BC56:BN56)</f>
        <v>0</v>
      </c>
      <c r="BC56" s="79" t="n">
        <f aca="false">BC54*'Assumption Setting'!$I$60</f>
        <v>0</v>
      </c>
      <c r="BD56" s="79" t="n">
        <f aca="false">BD54*'Assumption Setting'!$I$60</f>
        <v>0</v>
      </c>
      <c r="BE56" s="79" t="n">
        <f aca="false">BE54*'Assumption Setting'!$I$60</f>
        <v>0</v>
      </c>
      <c r="BF56" s="79" t="n">
        <f aca="false">BF54*'Assumption Setting'!$I$60</f>
        <v>0</v>
      </c>
      <c r="BG56" s="79" t="n">
        <f aca="false">BG54*'Assumption Setting'!$I$60</f>
        <v>0</v>
      </c>
      <c r="BH56" s="79" t="n">
        <f aca="false">BH54*'Assumption Setting'!$I$60</f>
        <v>0</v>
      </c>
      <c r="BI56" s="79" t="n">
        <f aca="false">BI54*'Assumption Setting'!$I$60</f>
        <v>0</v>
      </c>
      <c r="BJ56" s="79" t="n">
        <f aca="false">BJ54*'Assumption Setting'!$I$60</f>
        <v>0</v>
      </c>
      <c r="BK56" s="79" t="n">
        <f aca="false">BK54*'Assumption Setting'!$I$60</f>
        <v>0</v>
      </c>
      <c r="BL56" s="79" t="n">
        <f aca="false">BL54*'Assumption Setting'!$I$60</f>
        <v>0</v>
      </c>
      <c r="BM56" s="79" t="n">
        <f aca="false">BM54*'Assumption Setting'!$I$60</f>
        <v>0</v>
      </c>
      <c r="BN56" s="79" t="n">
        <f aca="false">BN54*'Assumption Setting'!$I$60</f>
        <v>0</v>
      </c>
    </row>
    <row r="57" customFormat="false" ht="15" hidden="false" customHeight="false" outlineLevel="0" collapsed="false">
      <c r="A57" s="12" t="s">
        <v>606</v>
      </c>
      <c r="B57" s="80" t="n">
        <f aca="false">SUM(C57:N57)</f>
        <v>360</v>
      </c>
      <c r="C57" s="81" t="n">
        <f aca="false">C54*'Assumption Setting'!$J$60</f>
        <v>30</v>
      </c>
      <c r="D57" s="81" t="n">
        <f aca="false">D54*'Assumption Setting'!$J$60</f>
        <v>30</v>
      </c>
      <c r="E57" s="81" t="n">
        <f aca="false">E54*'Assumption Setting'!$J$60</f>
        <v>30</v>
      </c>
      <c r="F57" s="81" t="n">
        <f aca="false">F54*'Assumption Setting'!$J$60</f>
        <v>30</v>
      </c>
      <c r="G57" s="81" t="n">
        <f aca="false">G54*'Assumption Setting'!$J$60</f>
        <v>30</v>
      </c>
      <c r="H57" s="81" t="n">
        <f aca="false">H54*'Assumption Setting'!$J$60</f>
        <v>30</v>
      </c>
      <c r="I57" s="81" t="n">
        <f aca="false">I54*'Assumption Setting'!$J$60</f>
        <v>30</v>
      </c>
      <c r="J57" s="81" t="n">
        <f aca="false">J54*'Assumption Setting'!$J$60</f>
        <v>30</v>
      </c>
      <c r="K57" s="81" t="n">
        <f aca="false">K54*'Assumption Setting'!$J$60</f>
        <v>30</v>
      </c>
      <c r="L57" s="81" t="n">
        <f aca="false">L54*'Assumption Setting'!$J$60</f>
        <v>30</v>
      </c>
      <c r="M57" s="81" t="n">
        <f aca="false">M54*'Assumption Setting'!$J$60</f>
        <v>30</v>
      </c>
      <c r="N57" s="81" t="n">
        <f aca="false">N54*'Assumption Setting'!$J$60</f>
        <v>30</v>
      </c>
      <c r="O57" s="80" t="n">
        <f aca="false">SUM(P57:AA57)</f>
        <v>480</v>
      </c>
      <c r="P57" s="81" t="n">
        <f aca="false">P54*'Assumption Setting'!$J$60</f>
        <v>40</v>
      </c>
      <c r="Q57" s="81" t="n">
        <f aca="false">Q54*'Assumption Setting'!$J$60</f>
        <v>40</v>
      </c>
      <c r="R57" s="81" t="n">
        <f aca="false">R54*'Assumption Setting'!$J$60</f>
        <v>40</v>
      </c>
      <c r="S57" s="81" t="n">
        <f aca="false">S54*'Assumption Setting'!$J$60</f>
        <v>40</v>
      </c>
      <c r="T57" s="81" t="n">
        <f aca="false">T54*'Assumption Setting'!$J$60</f>
        <v>40</v>
      </c>
      <c r="U57" s="81" t="n">
        <f aca="false">U54*'Assumption Setting'!$J$60</f>
        <v>40</v>
      </c>
      <c r="V57" s="81" t="n">
        <f aca="false">V54*'Assumption Setting'!$J$60</f>
        <v>40</v>
      </c>
      <c r="W57" s="81" t="n">
        <f aca="false">W54*'Assumption Setting'!$J$60</f>
        <v>40</v>
      </c>
      <c r="X57" s="81" t="n">
        <f aca="false">X54*'Assumption Setting'!$J$60</f>
        <v>40</v>
      </c>
      <c r="Y57" s="81" t="n">
        <f aca="false">Y54*'Assumption Setting'!$J$60</f>
        <v>40</v>
      </c>
      <c r="Z57" s="81" t="n">
        <f aca="false">Z54*'Assumption Setting'!$J$60</f>
        <v>40</v>
      </c>
      <c r="AA57" s="81" t="n">
        <f aca="false">AA54*'Assumption Setting'!$J$60</f>
        <v>40</v>
      </c>
      <c r="AB57" s="80" t="n">
        <f aca="false">SUM(AC57:AN57)</f>
        <v>660</v>
      </c>
      <c r="AC57" s="81" t="n">
        <f aca="false">AC54*'Assumption Setting'!$J$60</f>
        <v>55</v>
      </c>
      <c r="AD57" s="81" t="n">
        <f aca="false">AD54*'Assumption Setting'!$J$60</f>
        <v>55</v>
      </c>
      <c r="AE57" s="81" t="n">
        <f aca="false">AE54*'Assumption Setting'!$J$60</f>
        <v>55</v>
      </c>
      <c r="AF57" s="81" t="n">
        <f aca="false">AF54*'Assumption Setting'!$J$60</f>
        <v>55</v>
      </c>
      <c r="AG57" s="81" t="n">
        <f aca="false">AG54*'Assumption Setting'!$J$60</f>
        <v>55</v>
      </c>
      <c r="AH57" s="81" t="n">
        <f aca="false">AH54*'Assumption Setting'!$J$60</f>
        <v>55</v>
      </c>
      <c r="AI57" s="81" t="n">
        <f aca="false">AI54*'Assumption Setting'!$J$60</f>
        <v>55</v>
      </c>
      <c r="AJ57" s="81" t="n">
        <f aca="false">AJ54*'Assumption Setting'!$J$60</f>
        <v>55</v>
      </c>
      <c r="AK57" s="81" t="n">
        <f aca="false">AK54*'Assumption Setting'!$J$60</f>
        <v>55</v>
      </c>
      <c r="AL57" s="81" t="n">
        <f aca="false">AL54*'Assumption Setting'!$J$60</f>
        <v>55</v>
      </c>
      <c r="AM57" s="81" t="n">
        <f aca="false">AM54*'Assumption Setting'!$J$60</f>
        <v>55</v>
      </c>
      <c r="AN57" s="81" t="n">
        <f aca="false">AN54*'Assumption Setting'!$J$60</f>
        <v>55</v>
      </c>
      <c r="AO57" s="80" t="n">
        <f aca="false">SUM(AP57:BA57)</f>
        <v>840</v>
      </c>
      <c r="AP57" s="81" t="n">
        <f aca="false">AP54*'Assumption Setting'!$J$60</f>
        <v>70</v>
      </c>
      <c r="AQ57" s="81" t="n">
        <f aca="false">AQ54*'Assumption Setting'!$J$60</f>
        <v>70</v>
      </c>
      <c r="AR57" s="81" t="n">
        <f aca="false">AR54*'Assumption Setting'!$J$60</f>
        <v>70</v>
      </c>
      <c r="AS57" s="81" t="n">
        <f aca="false">AS54*'Assumption Setting'!$J$60</f>
        <v>70</v>
      </c>
      <c r="AT57" s="81" t="n">
        <f aca="false">AT54*'Assumption Setting'!$J$60</f>
        <v>70</v>
      </c>
      <c r="AU57" s="81" t="n">
        <f aca="false">AU54*'Assumption Setting'!$J$60</f>
        <v>70</v>
      </c>
      <c r="AV57" s="81" t="n">
        <f aca="false">AV54*'Assumption Setting'!$J$60</f>
        <v>70</v>
      </c>
      <c r="AW57" s="81" t="n">
        <f aca="false">AW54*'Assumption Setting'!$J$60</f>
        <v>70</v>
      </c>
      <c r="AX57" s="81" t="n">
        <f aca="false">AX54*'Assumption Setting'!$J$60</f>
        <v>70</v>
      </c>
      <c r="AY57" s="81" t="n">
        <f aca="false">AY54*'Assumption Setting'!$J$60</f>
        <v>70</v>
      </c>
      <c r="AZ57" s="81" t="n">
        <f aca="false">AZ54*'Assumption Setting'!$J$60</f>
        <v>70</v>
      </c>
      <c r="BA57" s="81" t="n">
        <f aca="false">BA54*'Assumption Setting'!$J$60</f>
        <v>70</v>
      </c>
      <c r="BB57" s="80" t="n">
        <f aca="false">SUM(BC57:BN57)</f>
        <v>1020</v>
      </c>
      <c r="BC57" s="81" t="n">
        <f aca="false">BC54*'Assumption Setting'!$J$60</f>
        <v>85</v>
      </c>
      <c r="BD57" s="81" t="n">
        <f aca="false">BD54*'Assumption Setting'!$J$60</f>
        <v>85</v>
      </c>
      <c r="BE57" s="81" t="n">
        <f aca="false">BE54*'Assumption Setting'!$J$60</f>
        <v>85</v>
      </c>
      <c r="BF57" s="81" t="n">
        <f aca="false">BF54*'Assumption Setting'!$J$60</f>
        <v>85</v>
      </c>
      <c r="BG57" s="81" t="n">
        <f aca="false">BG54*'Assumption Setting'!$J$60</f>
        <v>85</v>
      </c>
      <c r="BH57" s="81" t="n">
        <f aca="false">BH54*'Assumption Setting'!$J$60</f>
        <v>85</v>
      </c>
      <c r="BI57" s="81" t="n">
        <f aca="false">BI54*'Assumption Setting'!$J$60</f>
        <v>85</v>
      </c>
      <c r="BJ57" s="81" t="n">
        <f aca="false">BJ54*'Assumption Setting'!$J$60</f>
        <v>85</v>
      </c>
      <c r="BK57" s="81" t="n">
        <f aca="false">BK54*'Assumption Setting'!$J$60</f>
        <v>85</v>
      </c>
      <c r="BL57" s="81" t="n">
        <f aca="false">BL54*'Assumption Setting'!$J$60</f>
        <v>85</v>
      </c>
      <c r="BM57" s="81" t="n">
        <f aca="false">BM54*'Assumption Setting'!$J$60</f>
        <v>85</v>
      </c>
      <c r="BN57" s="81" t="n">
        <f aca="false">BN54*'Assumption Setting'!$J$60</f>
        <v>85</v>
      </c>
    </row>
    <row r="58" customFormat="false" ht="15" hidden="false" customHeight="false" outlineLevel="0" collapsed="false">
      <c r="A58" s="69" t="s">
        <v>607</v>
      </c>
      <c r="B58" s="64" t="n">
        <f aca="false">SUM(C58:N58)</f>
        <v>6060</v>
      </c>
      <c r="C58" s="70" t="n">
        <f aca="false">C39+C43+C47+C51+C55</f>
        <v>505</v>
      </c>
      <c r="D58" s="70" t="n">
        <f aca="false">D39+D43+D47+D51+D55</f>
        <v>505</v>
      </c>
      <c r="E58" s="70" t="n">
        <f aca="false">E39+E43+E47+E51+E55</f>
        <v>505</v>
      </c>
      <c r="F58" s="70" t="n">
        <f aca="false">F39+F43+F47+F51+F55</f>
        <v>505</v>
      </c>
      <c r="G58" s="70" t="n">
        <f aca="false">G39+G43+G47+G51+G55</f>
        <v>505</v>
      </c>
      <c r="H58" s="70" t="n">
        <f aca="false">H39+H43+H47+H51+H55</f>
        <v>505</v>
      </c>
      <c r="I58" s="70" t="n">
        <f aca="false">I39+I43+I47+I51+I55</f>
        <v>505</v>
      </c>
      <c r="J58" s="70" t="n">
        <f aca="false">J39+J43+J47+J51+J55</f>
        <v>505</v>
      </c>
      <c r="K58" s="70" t="n">
        <f aca="false">K39+K43+K47+K51+K55</f>
        <v>505</v>
      </c>
      <c r="L58" s="70" t="n">
        <f aca="false">L39+L43+L47+L51+L55</f>
        <v>505</v>
      </c>
      <c r="M58" s="70" t="n">
        <f aca="false">M39+M43+M47+M51+M55</f>
        <v>505</v>
      </c>
      <c r="N58" s="70" t="n">
        <f aca="false">N39+N43+N47+N51+N55</f>
        <v>505</v>
      </c>
      <c r="O58" s="64" t="n">
        <f aca="false">SUM(P58:AA58)</f>
        <v>23340</v>
      </c>
      <c r="P58" s="70" t="n">
        <f aca="false">P39+P43+P47+P51+P55</f>
        <v>1945</v>
      </c>
      <c r="Q58" s="70" t="n">
        <f aca="false">Q39+Q43+Q47+Q51+Q55</f>
        <v>1945</v>
      </c>
      <c r="R58" s="70" t="n">
        <f aca="false">R39+R43+R47+R51+R55</f>
        <v>1945</v>
      </c>
      <c r="S58" s="70" t="n">
        <f aca="false">S39+S43+S47+S51+S55</f>
        <v>1945</v>
      </c>
      <c r="T58" s="70" t="n">
        <f aca="false">T39+T43+T47+T51+T55</f>
        <v>1945</v>
      </c>
      <c r="U58" s="70" t="n">
        <f aca="false">U39+U43+U47+U51+U55</f>
        <v>1945</v>
      </c>
      <c r="V58" s="70" t="n">
        <f aca="false">V39+V43+V47+V51+V55</f>
        <v>1945</v>
      </c>
      <c r="W58" s="70" t="n">
        <f aca="false">W39+W43+W47+W51+W55</f>
        <v>1945</v>
      </c>
      <c r="X58" s="70" t="n">
        <f aca="false">X39+X43+X47+X51+X55</f>
        <v>1945</v>
      </c>
      <c r="Y58" s="70" t="n">
        <f aca="false">Y39+Y43+Y47+Y51+Y55</f>
        <v>1945</v>
      </c>
      <c r="Z58" s="70" t="n">
        <f aca="false">Z39+Z43+Z47+Z51+Z55</f>
        <v>1945</v>
      </c>
      <c r="AA58" s="70" t="n">
        <f aca="false">AA39+AA43+AA47+AA51+AA55</f>
        <v>1945</v>
      </c>
      <c r="AB58" s="64" t="n">
        <f aca="false">SUM(AC58:AN58)</f>
        <v>45720</v>
      </c>
      <c r="AC58" s="70" t="n">
        <f aca="false">AC39+AC43+AC47+AC51+AC55</f>
        <v>3810</v>
      </c>
      <c r="AD58" s="70" t="n">
        <f aca="false">AD39+AD43+AD47+AD51+AD55</f>
        <v>3810</v>
      </c>
      <c r="AE58" s="70" t="n">
        <f aca="false">AE39+AE43+AE47+AE51+AE55</f>
        <v>3810</v>
      </c>
      <c r="AF58" s="70" t="n">
        <f aca="false">AF39+AF43+AF47+AF51+AF55</f>
        <v>3810</v>
      </c>
      <c r="AG58" s="70" t="n">
        <f aca="false">AG39+AG43+AG47+AG51+AG55</f>
        <v>3810</v>
      </c>
      <c r="AH58" s="70" t="n">
        <f aca="false">AH39+AH43+AH47+AH51+AH55</f>
        <v>3810</v>
      </c>
      <c r="AI58" s="70" t="n">
        <f aca="false">AI39+AI43+AI47+AI51+AI55</f>
        <v>3810</v>
      </c>
      <c r="AJ58" s="70" t="n">
        <f aca="false">AJ39+AJ43+AJ47+AJ51+AJ55</f>
        <v>3810</v>
      </c>
      <c r="AK58" s="70" t="n">
        <f aca="false">AK39+AK43+AK47+AK51+AK55</f>
        <v>3810</v>
      </c>
      <c r="AL58" s="70" t="n">
        <f aca="false">AL39+AL43+AL47+AL51+AL55</f>
        <v>3810</v>
      </c>
      <c r="AM58" s="70" t="n">
        <f aca="false">AM39+AM43+AM47+AM51+AM55</f>
        <v>3810</v>
      </c>
      <c r="AN58" s="70" t="n">
        <f aca="false">AN39+AN43+AN47+AN51+AN55</f>
        <v>3810</v>
      </c>
      <c r="AO58" s="64" t="n">
        <f aca="false">SUM(AP58:BA58)</f>
        <v>60480</v>
      </c>
      <c r="AP58" s="70" t="n">
        <f aca="false">AP39+AP43+AP47+AP51+AP55</f>
        <v>5040</v>
      </c>
      <c r="AQ58" s="70" t="n">
        <f aca="false">AQ39+AQ43+AQ47+AQ51+AQ55</f>
        <v>5040</v>
      </c>
      <c r="AR58" s="70" t="n">
        <f aca="false">AR39+AR43+AR47+AR51+AR55</f>
        <v>5040</v>
      </c>
      <c r="AS58" s="70" t="n">
        <f aca="false">AS39+AS43+AS47+AS51+AS55</f>
        <v>5040</v>
      </c>
      <c r="AT58" s="70" t="n">
        <f aca="false">AT39+AT43+AT47+AT51+AT55</f>
        <v>5040</v>
      </c>
      <c r="AU58" s="70" t="n">
        <f aca="false">AU39+AU43+AU47+AU51+AU55</f>
        <v>5040</v>
      </c>
      <c r="AV58" s="70" t="n">
        <f aca="false">AV39+AV43+AV47+AV51+AV55</f>
        <v>5040</v>
      </c>
      <c r="AW58" s="70" t="n">
        <f aca="false">AW39+AW43+AW47+AW51+AW55</f>
        <v>5040</v>
      </c>
      <c r="AX58" s="70" t="n">
        <f aca="false">AX39+AX43+AX47+AX51+AX55</f>
        <v>5040</v>
      </c>
      <c r="AY58" s="70" t="n">
        <f aca="false">AY39+AY43+AY47+AY51+AY55</f>
        <v>5040</v>
      </c>
      <c r="AZ58" s="70" t="n">
        <f aca="false">AZ39+AZ43+AZ47+AZ51+AZ55</f>
        <v>5040</v>
      </c>
      <c r="BA58" s="70" t="n">
        <f aca="false">BA39+BA43+BA47+BA51+BA55</f>
        <v>5040</v>
      </c>
      <c r="BB58" s="64" t="n">
        <f aca="false">SUM(BC58:BN58)</f>
        <v>75240</v>
      </c>
      <c r="BC58" s="70" t="n">
        <f aca="false">BC39+BC43+BC47+BC51+BC55</f>
        <v>6270</v>
      </c>
      <c r="BD58" s="70" t="n">
        <f aca="false">BD39+BD43+BD47+BD51+BD55</f>
        <v>6270</v>
      </c>
      <c r="BE58" s="70" t="n">
        <f aca="false">BE39+BE43+BE47+BE51+BE55</f>
        <v>6270</v>
      </c>
      <c r="BF58" s="70" t="n">
        <f aca="false">BF39+BF43+BF47+BF51+BF55</f>
        <v>6270</v>
      </c>
      <c r="BG58" s="70" t="n">
        <f aca="false">BG39+BG43+BG47+BG51+BG55</f>
        <v>6270</v>
      </c>
      <c r="BH58" s="70" t="n">
        <f aca="false">BH39+BH43+BH47+BH51+BH55</f>
        <v>6270</v>
      </c>
      <c r="BI58" s="70" t="n">
        <f aca="false">BI39+BI43+BI47+BI51+BI55</f>
        <v>6270</v>
      </c>
      <c r="BJ58" s="70" t="n">
        <f aca="false">BJ39+BJ43+BJ47+BJ51+BJ55</f>
        <v>6270</v>
      </c>
      <c r="BK58" s="70" t="n">
        <f aca="false">BK39+BK43+BK47+BK51+BK55</f>
        <v>6270</v>
      </c>
      <c r="BL58" s="70" t="n">
        <f aca="false">BL39+BL43+BL47+BL51+BL55</f>
        <v>6270</v>
      </c>
      <c r="BM58" s="70" t="n">
        <f aca="false">BM39+BM43+BM47+BM51+BM55</f>
        <v>6270</v>
      </c>
      <c r="BN58" s="70" t="n">
        <f aca="false">BN39+BN43+BN47+BN51+BN55</f>
        <v>6270</v>
      </c>
    </row>
    <row r="59" customFormat="false" ht="15" hidden="false" customHeight="false" outlineLevel="0" collapsed="false">
      <c r="A59" s="18" t="s">
        <v>608</v>
      </c>
      <c r="B59" s="78" t="n">
        <f aca="false">SUM(C59:N59)</f>
        <v>1224</v>
      </c>
      <c r="C59" s="82" t="n">
        <f aca="false">C40+C44+C48+C52+C56</f>
        <v>102</v>
      </c>
      <c r="D59" s="82" t="n">
        <f aca="false">D40+D44+D48+D52+D56</f>
        <v>102</v>
      </c>
      <c r="E59" s="82" t="n">
        <f aca="false">E40+E44+E48+E52+E56</f>
        <v>102</v>
      </c>
      <c r="F59" s="82" t="n">
        <f aca="false">F40+F44+F48+F52+F56</f>
        <v>102</v>
      </c>
      <c r="G59" s="82" t="n">
        <f aca="false">G40+G44+G48+G52+G56</f>
        <v>102</v>
      </c>
      <c r="H59" s="82" t="n">
        <f aca="false">H40+H44+H48+H52+H56</f>
        <v>102</v>
      </c>
      <c r="I59" s="82" t="n">
        <f aca="false">I40+I44+I48+I52+I56</f>
        <v>102</v>
      </c>
      <c r="J59" s="82" t="n">
        <f aca="false">J40+J44+J48+J52+J56</f>
        <v>102</v>
      </c>
      <c r="K59" s="82" t="n">
        <f aca="false">K40+K44+K48+K52+K56</f>
        <v>102</v>
      </c>
      <c r="L59" s="82" t="n">
        <f aca="false">L40+L44+L48+L52+L56</f>
        <v>102</v>
      </c>
      <c r="M59" s="82" t="n">
        <f aca="false">M40+M44+M48+M52+M56</f>
        <v>102</v>
      </c>
      <c r="N59" s="82" t="n">
        <f aca="false">N40+N44+N48+N52+N56</f>
        <v>102</v>
      </c>
      <c r="O59" s="78" t="n">
        <f aca="false">SUM(P59:AA59)</f>
        <v>4440</v>
      </c>
      <c r="P59" s="82" t="n">
        <f aca="false">P40+P44+P48+P52+P56</f>
        <v>370</v>
      </c>
      <c r="Q59" s="82" t="n">
        <f aca="false">Q40+Q44+Q48+Q52+Q56</f>
        <v>370</v>
      </c>
      <c r="R59" s="82" t="n">
        <f aca="false">R40+R44+R48+R52+R56</f>
        <v>370</v>
      </c>
      <c r="S59" s="82" t="n">
        <f aca="false">S40+S44+S48+S52+S56</f>
        <v>370</v>
      </c>
      <c r="T59" s="82" t="n">
        <f aca="false">T40+T44+T48+T52+T56</f>
        <v>370</v>
      </c>
      <c r="U59" s="82" t="n">
        <f aca="false">U40+U44+U48+U52+U56</f>
        <v>370</v>
      </c>
      <c r="V59" s="82" t="n">
        <f aca="false">V40+V44+V48+V52+V56</f>
        <v>370</v>
      </c>
      <c r="W59" s="82" t="n">
        <f aca="false">W40+W44+W48+W52+W56</f>
        <v>370</v>
      </c>
      <c r="X59" s="82" t="n">
        <f aca="false">X40+X44+X48+X52+X56</f>
        <v>370</v>
      </c>
      <c r="Y59" s="82" t="n">
        <f aca="false">Y40+Y44+Y48+Y52+Y56</f>
        <v>370</v>
      </c>
      <c r="Z59" s="82" t="n">
        <f aca="false">Z40+Z44+Z48+Z52+Z56</f>
        <v>370</v>
      </c>
      <c r="AA59" s="82" t="n">
        <f aca="false">AA40+AA44+AA48+AA52+AA56</f>
        <v>370</v>
      </c>
      <c r="AB59" s="78" t="n">
        <f aca="false">SUM(AC59:AN59)</f>
        <v>8616</v>
      </c>
      <c r="AC59" s="82" t="n">
        <f aca="false">AC40+AC44+AC48+AC52+AC56</f>
        <v>718</v>
      </c>
      <c r="AD59" s="82" t="n">
        <f aca="false">AD40+AD44+AD48+AD52+AD56</f>
        <v>718</v>
      </c>
      <c r="AE59" s="82" t="n">
        <f aca="false">AE40+AE44+AE48+AE52+AE56</f>
        <v>718</v>
      </c>
      <c r="AF59" s="82" t="n">
        <f aca="false">AF40+AF44+AF48+AF52+AF56</f>
        <v>718</v>
      </c>
      <c r="AG59" s="82" t="n">
        <f aca="false">AG40+AG44+AG48+AG52+AG56</f>
        <v>718</v>
      </c>
      <c r="AH59" s="82" t="n">
        <f aca="false">AH40+AH44+AH48+AH52+AH56</f>
        <v>718</v>
      </c>
      <c r="AI59" s="82" t="n">
        <f aca="false">AI40+AI44+AI48+AI52+AI56</f>
        <v>718</v>
      </c>
      <c r="AJ59" s="82" t="n">
        <f aca="false">AJ40+AJ44+AJ48+AJ52+AJ56</f>
        <v>718</v>
      </c>
      <c r="AK59" s="82" t="n">
        <f aca="false">AK40+AK44+AK48+AK52+AK56</f>
        <v>718</v>
      </c>
      <c r="AL59" s="82" t="n">
        <f aca="false">AL40+AL44+AL48+AL52+AL56</f>
        <v>718</v>
      </c>
      <c r="AM59" s="82" t="n">
        <f aca="false">AM40+AM44+AM48+AM52+AM56</f>
        <v>718</v>
      </c>
      <c r="AN59" s="82" t="n">
        <f aca="false">AN40+AN44+AN48+AN52+AN56</f>
        <v>718</v>
      </c>
      <c r="AO59" s="78" t="n">
        <f aca="false">SUM(AP59:BA59)</f>
        <v>11448</v>
      </c>
      <c r="AP59" s="82" t="n">
        <f aca="false">AP40+AP44+AP48+AP52+AP56</f>
        <v>954</v>
      </c>
      <c r="AQ59" s="82" t="n">
        <f aca="false">AQ40+AQ44+AQ48+AQ52+AQ56</f>
        <v>954</v>
      </c>
      <c r="AR59" s="82" t="n">
        <f aca="false">AR40+AR44+AR48+AR52+AR56</f>
        <v>954</v>
      </c>
      <c r="AS59" s="82" t="n">
        <f aca="false">AS40+AS44+AS48+AS52+AS56</f>
        <v>954</v>
      </c>
      <c r="AT59" s="82" t="n">
        <f aca="false">AT40+AT44+AT48+AT52+AT56</f>
        <v>954</v>
      </c>
      <c r="AU59" s="82" t="n">
        <f aca="false">AU40+AU44+AU48+AU52+AU56</f>
        <v>954</v>
      </c>
      <c r="AV59" s="82" t="n">
        <f aca="false">AV40+AV44+AV48+AV52+AV56</f>
        <v>954</v>
      </c>
      <c r="AW59" s="82" t="n">
        <f aca="false">AW40+AW44+AW48+AW52+AW56</f>
        <v>954</v>
      </c>
      <c r="AX59" s="82" t="n">
        <f aca="false">AX40+AX44+AX48+AX52+AX56</f>
        <v>954</v>
      </c>
      <c r="AY59" s="82" t="n">
        <f aca="false">AY40+AY44+AY48+AY52+AY56</f>
        <v>954</v>
      </c>
      <c r="AZ59" s="82" t="n">
        <f aca="false">AZ40+AZ44+AZ48+AZ52+AZ56</f>
        <v>954</v>
      </c>
      <c r="BA59" s="82" t="n">
        <f aca="false">BA40+BA44+BA48+BA52+BA56</f>
        <v>954</v>
      </c>
      <c r="BB59" s="78" t="n">
        <f aca="false">SUM(BC59:BN59)</f>
        <v>14280</v>
      </c>
      <c r="BC59" s="82" t="n">
        <f aca="false">BC40+BC44+BC48+BC52+BC56</f>
        <v>1190</v>
      </c>
      <c r="BD59" s="82" t="n">
        <f aca="false">BD40+BD44+BD48+BD52+BD56</f>
        <v>1190</v>
      </c>
      <c r="BE59" s="82" t="n">
        <f aca="false">BE40+BE44+BE48+BE52+BE56</f>
        <v>1190</v>
      </c>
      <c r="BF59" s="82" t="n">
        <f aca="false">BF40+BF44+BF48+BF52+BF56</f>
        <v>1190</v>
      </c>
      <c r="BG59" s="82" t="n">
        <f aca="false">BG40+BG44+BG48+BG52+BG56</f>
        <v>1190</v>
      </c>
      <c r="BH59" s="82" t="n">
        <f aca="false">BH40+BH44+BH48+BH52+BH56</f>
        <v>1190</v>
      </c>
      <c r="BI59" s="82" t="n">
        <f aca="false">BI40+BI44+BI48+BI52+BI56</f>
        <v>1190</v>
      </c>
      <c r="BJ59" s="82" t="n">
        <f aca="false">BJ40+BJ44+BJ48+BJ52+BJ56</f>
        <v>1190</v>
      </c>
      <c r="BK59" s="82" t="n">
        <f aca="false">BK40+BK44+BK48+BK52+BK56</f>
        <v>1190</v>
      </c>
      <c r="BL59" s="82" t="n">
        <f aca="false">BL40+BL44+BL48+BL52+BL56</f>
        <v>1190</v>
      </c>
      <c r="BM59" s="82" t="n">
        <f aca="false">BM40+BM44+BM48+BM52+BM56</f>
        <v>1190</v>
      </c>
      <c r="BN59" s="82" t="n">
        <f aca="false">BN40+BN44+BN48+BN52+BN56</f>
        <v>1190</v>
      </c>
    </row>
    <row r="60" customFormat="false" ht="15" hidden="false" customHeight="false" outlineLevel="0" collapsed="false">
      <c r="A60" s="18" t="s">
        <v>609</v>
      </c>
      <c r="B60" s="80" t="n">
        <f aca="false">SUM(C60:N60)</f>
        <v>384.72</v>
      </c>
      <c r="C60" s="83" t="n">
        <f aca="false">C41+C45+C49+C53+C57</f>
        <v>32.06</v>
      </c>
      <c r="D60" s="83" t="n">
        <f aca="false">D41+D45+D49+D53+D57</f>
        <v>32.06</v>
      </c>
      <c r="E60" s="83" t="n">
        <f aca="false">E41+E45+E49+E53+E57</f>
        <v>32.06</v>
      </c>
      <c r="F60" s="83" t="n">
        <f aca="false">F41+F45+F49+F53+F57</f>
        <v>32.06</v>
      </c>
      <c r="G60" s="83" t="n">
        <f aca="false">G41+G45+G49+G53+G57</f>
        <v>32.06</v>
      </c>
      <c r="H60" s="83" t="n">
        <f aca="false">H41+H45+H49+H53+H57</f>
        <v>32.06</v>
      </c>
      <c r="I60" s="83" t="n">
        <f aca="false">I41+I45+I49+I53+I57</f>
        <v>32.06</v>
      </c>
      <c r="J60" s="83" t="n">
        <f aca="false">J41+J45+J49+J53+J57</f>
        <v>32.06</v>
      </c>
      <c r="K60" s="83" t="n">
        <f aca="false">K41+K45+K49+K53+K57</f>
        <v>32.06</v>
      </c>
      <c r="L60" s="83" t="n">
        <f aca="false">L41+L45+L49+L53+L57</f>
        <v>32.06</v>
      </c>
      <c r="M60" s="83" t="n">
        <f aca="false">M41+M45+M49+M53+M57</f>
        <v>32.06</v>
      </c>
      <c r="N60" s="83" t="n">
        <f aca="false">N41+N45+N49+N53+N57</f>
        <v>32.06</v>
      </c>
      <c r="O60" s="80" t="n">
        <f aca="false">SUM(P60:AA60)</f>
        <v>576</v>
      </c>
      <c r="P60" s="83" t="n">
        <f aca="false">P41+P45+P49+P53+P57</f>
        <v>48</v>
      </c>
      <c r="Q60" s="83" t="n">
        <f aca="false">Q41+Q45+Q49+Q53+Q57</f>
        <v>48</v>
      </c>
      <c r="R60" s="83" t="n">
        <f aca="false">R41+R45+R49+R53+R57</f>
        <v>48</v>
      </c>
      <c r="S60" s="83" t="n">
        <f aca="false">S41+S45+S49+S53+S57</f>
        <v>48</v>
      </c>
      <c r="T60" s="83" t="n">
        <f aca="false">T41+T45+T49+T53+T57</f>
        <v>48</v>
      </c>
      <c r="U60" s="83" t="n">
        <f aca="false">U41+U45+U49+U53+U57</f>
        <v>48</v>
      </c>
      <c r="V60" s="83" t="n">
        <f aca="false">V41+V45+V49+V53+V57</f>
        <v>48</v>
      </c>
      <c r="W60" s="83" t="n">
        <f aca="false">W41+W45+W49+W53+W57</f>
        <v>48</v>
      </c>
      <c r="X60" s="83" t="n">
        <f aca="false">X41+X45+X49+X53+X57</f>
        <v>48</v>
      </c>
      <c r="Y60" s="83" t="n">
        <f aca="false">Y41+Y45+Y49+Y53+Y57</f>
        <v>48</v>
      </c>
      <c r="Z60" s="83" t="n">
        <f aca="false">Z41+Z45+Z49+Z53+Z57</f>
        <v>48</v>
      </c>
      <c r="AA60" s="83" t="n">
        <f aca="false">AA41+AA45+AA49+AA53+AA57</f>
        <v>48</v>
      </c>
      <c r="AB60" s="80" t="n">
        <f aca="false">SUM(AC60:AN60)</f>
        <v>848.4</v>
      </c>
      <c r="AC60" s="83" t="n">
        <f aca="false">AC41+AC45+AC49+AC53+AC57</f>
        <v>70.7</v>
      </c>
      <c r="AD60" s="83" t="n">
        <f aca="false">AD41+AD45+AD49+AD53+AD57</f>
        <v>70.7</v>
      </c>
      <c r="AE60" s="83" t="n">
        <f aca="false">AE41+AE45+AE49+AE53+AE57</f>
        <v>70.7</v>
      </c>
      <c r="AF60" s="83" t="n">
        <f aca="false">AF41+AF45+AF49+AF53+AF57</f>
        <v>70.7</v>
      </c>
      <c r="AG60" s="83" t="n">
        <f aca="false">AG41+AG45+AG49+AG53+AG57</f>
        <v>70.7</v>
      </c>
      <c r="AH60" s="83" t="n">
        <f aca="false">AH41+AH45+AH49+AH53+AH57</f>
        <v>70.7</v>
      </c>
      <c r="AI60" s="83" t="n">
        <f aca="false">AI41+AI45+AI49+AI53+AI57</f>
        <v>70.7</v>
      </c>
      <c r="AJ60" s="83" t="n">
        <f aca="false">AJ41+AJ45+AJ49+AJ53+AJ57</f>
        <v>70.7</v>
      </c>
      <c r="AK60" s="83" t="n">
        <f aca="false">AK41+AK45+AK49+AK53+AK57</f>
        <v>70.7</v>
      </c>
      <c r="AL60" s="83" t="n">
        <f aca="false">AL41+AL45+AL49+AL53+AL57</f>
        <v>70.7</v>
      </c>
      <c r="AM60" s="83" t="n">
        <f aca="false">AM41+AM45+AM49+AM53+AM57</f>
        <v>70.7</v>
      </c>
      <c r="AN60" s="83" t="n">
        <f aca="false">AN41+AN45+AN49+AN53+AN57</f>
        <v>70.7</v>
      </c>
      <c r="AO60" s="80" t="n">
        <f aca="false">SUM(AP60:BA60)</f>
        <v>1090.8</v>
      </c>
      <c r="AP60" s="83" t="n">
        <f aca="false">AP41+AP45+AP49+AP53+AP57</f>
        <v>90.9</v>
      </c>
      <c r="AQ60" s="83" t="n">
        <f aca="false">AQ41+AQ45+AQ49+AQ53+AQ57</f>
        <v>90.9</v>
      </c>
      <c r="AR60" s="83" t="n">
        <f aca="false">AR41+AR45+AR49+AR53+AR57</f>
        <v>90.9</v>
      </c>
      <c r="AS60" s="83" t="n">
        <f aca="false">AS41+AS45+AS49+AS53+AS57</f>
        <v>90.9</v>
      </c>
      <c r="AT60" s="83" t="n">
        <f aca="false">AT41+AT45+AT49+AT53+AT57</f>
        <v>90.9</v>
      </c>
      <c r="AU60" s="83" t="n">
        <f aca="false">AU41+AU45+AU49+AU53+AU57</f>
        <v>90.9</v>
      </c>
      <c r="AV60" s="83" t="n">
        <f aca="false">AV41+AV45+AV49+AV53+AV57</f>
        <v>90.9</v>
      </c>
      <c r="AW60" s="83" t="n">
        <f aca="false">AW41+AW45+AW49+AW53+AW57</f>
        <v>90.9</v>
      </c>
      <c r="AX60" s="83" t="n">
        <f aca="false">AX41+AX45+AX49+AX53+AX57</f>
        <v>90.9</v>
      </c>
      <c r="AY60" s="83" t="n">
        <f aca="false">AY41+AY45+AY49+AY53+AY57</f>
        <v>90.9</v>
      </c>
      <c r="AZ60" s="83" t="n">
        <f aca="false">AZ41+AZ45+AZ49+AZ53+AZ57</f>
        <v>90.9</v>
      </c>
      <c r="BA60" s="83" t="n">
        <f aca="false">BA41+BA45+BA49+BA53+BA57</f>
        <v>90.9</v>
      </c>
      <c r="BB60" s="80" t="n">
        <f aca="false">SUM(BC60:BN60)</f>
        <v>1333.2</v>
      </c>
      <c r="BC60" s="83" t="n">
        <f aca="false">BC41+BC45+BC49+BC53+BC57</f>
        <v>111.1</v>
      </c>
      <c r="BD60" s="83" t="n">
        <f aca="false">BD41+BD45+BD49+BD53+BD57</f>
        <v>111.1</v>
      </c>
      <c r="BE60" s="83" t="n">
        <f aca="false">BE41+BE45+BE49+BE53+BE57</f>
        <v>111.1</v>
      </c>
      <c r="BF60" s="83" t="n">
        <f aca="false">BF41+BF45+BF49+BF53+BF57</f>
        <v>111.1</v>
      </c>
      <c r="BG60" s="83" t="n">
        <f aca="false">BG41+BG45+BG49+BG53+BG57</f>
        <v>111.1</v>
      </c>
      <c r="BH60" s="83" t="n">
        <f aca="false">BH41+BH45+BH49+BH53+BH57</f>
        <v>111.1</v>
      </c>
      <c r="BI60" s="83" t="n">
        <f aca="false">BI41+BI45+BI49+BI53+BI57</f>
        <v>111.1</v>
      </c>
      <c r="BJ60" s="83" t="n">
        <f aca="false">BJ41+BJ45+BJ49+BJ53+BJ57</f>
        <v>111.1</v>
      </c>
      <c r="BK60" s="83" t="n">
        <f aca="false">BK41+BK45+BK49+BK53+BK57</f>
        <v>111.1</v>
      </c>
      <c r="BL60" s="83" t="n">
        <f aca="false">BL41+BL45+BL49+BL53+BL57</f>
        <v>111.1</v>
      </c>
      <c r="BM60" s="83" t="n">
        <f aca="false">BM41+BM45+BM49+BM53+BM57</f>
        <v>111.1</v>
      </c>
      <c r="BN60" s="83" t="n">
        <f aca="false">BN41+BN45+BN49+BN53+BN57</f>
        <v>111.1</v>
      </c>
    </row>
    <row r="61" customFormat="false" ht="15" hidden="false" customHeight="false" outlineLevel="0" collapsed="false">
      <c r="A61" s="66" t="s">
        <v>610</v>
      </c>
      <c r="B61" s="67" t="n">
        <f aca="false">SUM(C61:N61)</f>
        <v>10140</v>
      </c>
      <c r="C61" s="68" t="n">
        <f aca="false">C31+C58</f>
        <v>845</v>
      </c>
      <c r="D61" s="68" t="n">
        <f aca="false">D31+D58</f>
        <v>845</v>
      </c>
      <c r="E61" s="68" t="n">
        <f aca="false">E31+E58</f>
        <v>845</v>
      </c>
      <c r="F61" s="68" t="n">
        <f aca="false">F31+F58</f>
        <v>845</v>
      </c>
      <c r="G61" s="68" t="n">
        <f aca="false">G31+G58</f>
        <v>845</v>
      </c>
      <c r="H61" s="68" t="n">
        <f aca="false">H31+H58</f>
        <v>845</v>
      </c>
      <c r="I61" s="68" t="n">
        <f aca="false">I31+I58</f>
        <v>845</v>
      </c>
      <c r="J61" s="68" t="n">
        <f aca="false">J31+J58</f>
        <v>845</v>
      </c>
      <c r="K61" s="68" t="n">
        <f aca="false">K31+K58</f>
        <v>845</v>
      </c>
      <c r="L61" s="68" t="n">
        <f aca="false">L31+L58</f>
        <v>845</v>
      </c>
      <c r="M61" s="68" t="n">
        <f aca="false">M31+M58</f>
        <v>845</v>
      </c>
      <c r="N61" s="68" t="n">
        <f aca="false">N31+N58</f>
        <v>845</v>
      </c>
      <c r="O61" s="67" t="n">
        <f aca="false">SUM(P61:AA61)</f>
        <v>37500</v>
      </c>
      <c r="P61" s="68" t="n">
        <f aca="false">P31+P58</f>
        <v>3125</v>
      </c>
      <c r="Q61" s="68" t="n">
        <f aca="false">Q31+Q58</f>
        <v>3125</v>
      </c>
      <c r="R61" s="68" t="n">
        <f aca="false">R31+R58</f>
        <v>3125</v>
      </c>
      <c r="S61" s="68" t="n">
        <f aca="false">S31+S58</f>
        <v>3125</v>
      </c>
      <c r="T61" s="68" t="n">
        <f aca="false">T31+T58</f>
        <v>3125</v>
      </c>
      <c r="U61" s="68" t="n">
        <f aca="false">U31+U58</f>
        <v>3125</v>
      </c>
      <c r="V61" s="68" t="n">
        <f aca="false">V31+V58</f>
        <v>3125</v>
      </c>
      <c r="W61" s="68" t="n">
        <f aca="false">W31+W58</f>
        <v>3125</v>
      </c>
      <c r="X61" s="68" t="n">
        <f aca="false">X31+X58</f>
        <v>3125</v>
      </c>
      <c r="Y61" s="68" t="n">
        <f aca="false">Y31+Y58</f>
        <v>3125</v>
      </c>
      <c r="Z61" s="68" t="n">
        <f aca="false">Z31+Z58</f>
        <v>3125</v>
      </c>
      <c r="AA61" s="68" t="n">
        <f aca="false">AA31+AA58</f>
        <v>3125</v>
      </c>
      <c r="AB61" s="67" t="n">
        <f aca="false">SUM(AC61:AN61)</f>
        <v>74520</v>
      </c>
      <c r="AC61" s="68" t="n">
        <f aca="false">AC31+AC58</f>
        <v>6210</v>
      </c>
      <c r="AD61" s="68" t="n">
        <f aca="false">AD31+AD58</f>
        <v>6210</v>
      </c>
      <c r="AE61" s="68" t="n">
        <f aca="false">AE31+AE58</f>
        <v>6210</v>
      </c>
      <c r="AF61" s="68" t="n">
        <f aca="false">AF31+AF58</f>
        <v>6210</v>
      </c>
      <c r="AG61" s="68" t="n">
        <f aca="false">AG31+AG58</f>
        <v>6210</v>
      </c>
      <c r="AH61" s="68" t="n">
        <f aca="false">AH31+AH58</f>
        <v>6210</v>
      </c>
      <c r="AI61" s="68" t="n">
        <f aca="false">AI31+AI58</f>
        <v>6210</v>
      </c>
      <c r="AJ61" s="68" t="n">
        <f aca="false">AJ31+AJ58</f>
        <v>6210</v>
      </c>
      <c r="AK61" s="68" t="n">
        <f aca="false">AK31+AK58</f>
        <v>6210</v>
      </c>
      <c r="AL61" s="68" t="n">
        <f aca="false">AL31+AL58</f>
        <v>6210</v>
      </c>
      <c r="AM61" s="68" t="n">
        <f aca="false">AM31+AM58</f>
        <v>6210</v>
      </c>
      <c r="AN61" s="68" t="n">
        <f aca="false">AN31+AN58</f>
        <v>6210</v>
      </c>
      <c r="AO61" s="67" t="n">
        <f aca="false">SUM(AP61:BA61)</f>
        <v>104880</v>
      </c>
      <c r="AP61" s="68" t="n">
        <f aca="false">AP31+AP58</f>
        <v>8740</v>
      </c>
      <c r="AQ61" s="68" t="n">
        <f aca="false">AQ31+AQ58</f>
        <v>8740</v>
      </c>
      <c r="AR61" s="68" t="n">
        <f aca="false">AR31+AR58</f>
        <v>8740</v>
      </c>
      <c r="AS61" s="68" t="n">
        <f aca="false">AS31+AS58</f>
        <v>8740</v>
      </c>
      <c r="AT61" s="68" t="n">
        <f aca="false">AT31+AT58</f>
        <v>8740</v>
      </c>
      <c r="AU61" s="68" t="n">
        <f aca="false">AU31+AU58</f>
        <v>8740</v>
      </c>
      <c r="AV61" s="68" t="n">
        <f aca="false">AV31+AV58</f>
        <v>8740</v>
      </c>
      <c r="AW61" s="68" t="n">
        <f aca="false">AW31+AW58</f>
        <v>8740</v>
      </c>
      <c r="AX61" s="68" t="n">
        <f aca="false">AX31+AX58</f>
        <v>8740</v>
      </c>
      <c r="AY61" s="68" t="n">
        <f aca="false">AY31+AY58</f>
        <v>8740</v>
      </c>
      <c r="AZ61" s="68" t="n">
        <f aca="false">AZ31+AZ58</f>
        <v>8740</v>
      </c>
      <c r="BA61" s="68" t="n">
        <f aca="false">BA31+BA58</f>
        <v>8740</v>
      </c>
      <c r="BB61" s="67" t="n">
        <f aca="false">SUM(BC61:BN61)</f>
        <v>134640</v>
      </c>
      <c r="BC61" s="68" t="n">
        <f aca="false">BC31+BC58</f>
        <v>11220</v>
      </c>
      <c r="BD61" s="68" t="n">
        <f aca="false">BD31+BD58</f>
        <v>11220</v>
      </c>
      <c r="BE61" s="68" t="n">
        <f aca="false">BE31+BE58</f>
        <v>11220</v>
      </c>
      <c r="BF61" s="68" t="n">
        <f aca="false">BF31+BF58</f>
        <v>11220</v>
      </c>
      <c r="BG61" s="68" t="n">
        <f aca="false">BG31+BG58</f>
        <v>11220</v>
      </c>
      <c r="BH61" s="68" t="n">
        <f aca="false">BH31+BH58</f>
        <v>11220</v>
      </c>
      <c r="BI61" s="68" t="n">
        <f aca="false">BI31+BI58</f>
        <v>11220</v>
      </c>
      <c r="BJ61" s="68" t="n">
        <f aca="false">BJ31+BJ58</f>
        <v>11220</v>
      </c>
      <c r="BK61" s="68" t="n">
        <f aca="false">BK31+BK58</f>
        <v>11220</v>
      </c>
      <c r="BL61" s="68" t="n">
        <f aca="false">BL31+BL58</f>
        <v>11220</v>
      </c>
      <c r="BM61" s="68" t="n">
        <f aca="false">BM31+BM58</f>
        <v>11220</v>
      </c>
      <c r="BN61" s="68" t="n">
        <f aca="false">BN31+BN58</f>
        <v>11220</v>
      </c>
    </row>
    <row r="63" customFormat="false" ht="16.5" hidden="false" customHeight="true" outlineLevel="0" collapsed="false">
      <c r="A63" s="15" t="s">
        <v>611</v>
      </c>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row>
    <row r="64" customFormat="false" ht="15" hidden="false" customHeight="true" outlineLevel="0" collapsed="false">
      <c r="A64" s="26" t="s">
        <v>481</v>
      </c>
      <c r="B64" s="61" t="s">
        <v>81</v>
      </c>
      <c r="C64" s="62" t="s">
        <v>482</v>
      </c>
      <c r="D64" s="62" t="s">
        <v>483</v>
      </c>
      <c r="E64" s="62" t="s">
        <v>484</v>
      </c>
      <c r="F64" s="62" t="s">
        <v>485</v>
      </c>
      <c r="G64" s="62" t="s">
        <v>486</v>
      </c>
      <c r="H64" s="62" t="s">
        <v>487</v>
      </c>
      <c r="I64" s="62" t="s">
        <v>488</v>
      </c>
      <c r="J64" s="62" t="s">
        <v>489</v>
      </c>
      <c r="K64" s="62" t="s">
        <v>490</v>
      </c>
      <c r="L64" s="62" t="s">
        <v>491</v>
      </c>
      <c r="M64" s="62" t="s">
        <v>492</v>
      </c>
      <c r="N64" s="62" t="s">
        <v>493</v>
      </c>
      <c r="O64" s="61" t="s">
        <v>82</v>
      </c>
      <c r="P64" s="63" t="s">
        <v>494</v>
      </c>
      <c r="Q64" s="63" t="s">
        <v>495</v>
      </c>
      <c r="R64" s="63" t="s">
        <v>496</v>
      </c>
      <c r="S64" s="63" t="s">
        <v>497</v>
      </c>
      <c r="T64" s="63" t="s">
        <v>498</v>
      </c>
      <c r="U64" s="63" t="s">
        <v>499</v>
      </c>
      <c r="V64" s="63" t="s">
        <v>500</v>
      </c>
      <c r="W64" s="63" t="s">
        <v>501</v>
      </c>
      <c r="X64" s="63" t="s">
        <v>502</v>
      </c>
      <c r="Y64" s="63" t="s">
        <v>503</v>
      </c>
      <c r="Z64" s="63" t="s">
        <v>504</v>
      </c>
      <c r="AA64" s="63" t="s">
        <v>505</v>
      </c>
      <c r="AB64" s="61" t="s">
        <v>83</v>
      </c>
      <c r="AC64" s="62" t="s">
        <v>506</v>
      </c>
      <c r="AD64" s="62" t="s">
        <v>507</v>
      </c>
      <c r="AE64" s="62" t="s">
        <v>508</v>
      </c>
      <c r="AF64" s="62" t="s">
        <v>509</v>
      </c>
      <c r="AG64" s="62" t="s">
        <v>510</v>
      </c>
      <c r="AH64" s="62" t="s">
        <v>511</v>
      </c>
      <c r="AI64" s="62" t="s">
        <v>512</v>
      </c>
      <c r="AJ64" s="62" t="s">
        <v>513</v>
      </c>
      <c r="AK64" s="62" t="s">
        <v>514</v>
      </c>
      <c r="AL64" s="62" t="s">
        <v>515</v>
      </c>
      <c r="AM64" s="62" t="s">
        <v>516</v>
      </c>
      <c r="AN64" s="62" t="s">
        <v>517</v>
      </c>
      <c r="AO64" s="61" t="s">
        <v>84</v>
      </c>
      <c r="AP64" s="63" t="s">
        <v>518</v>
      </c>
      <c r="AQ64" s="63" t="s">
        <v>519</v>
      </c>
      <c r="AR64" s="63" t="s">
        <v>520</v>
      </c>
      <c r="AS64" s="63" t="s">
        <v>521</v>
      </c>
      <c r="AT64" s="63" t="s">
        <v>522</v>
      </c>
      <c r="AU64" s="63" t="s">
        <v>523</v>
      </c>
      <c r="AV64" s="63" t="s">
        <v>524</v>
      </c>
      <c r="AW64" s="63" t="s">
        <v>525</v>
      </c>
      <c r="AX64" s="63" t="s">
        <v>526</v>
      </c>
      <c r="AY64" s="63" t="s">
        <v>527</v>
      </c>
      <c r="AZ64" s="63" t="s">
        <v>528</v>
      </c>
      <c r="BA64" s="63" t="s">
        <v>529</v>
      </c>
      <c r="BB64" s="61" t="s">
        <v>85</v>
      </c>
      <c r="BC64" s="62" t="s">
        <v>530</v>
      </c>
      <c r="BD64" s="62" t="s">
        <v>531</v>
      </c>
      <c r="BE64" s="62" t="s">
        <v>532</v>
      </c>
      <c r="BF64" s="62" t="s">
        <v>533</v>
      </c>
      <c r="BG64" s="62" t="s">
        <v>534</v>
      </c>
      <c r="BH64" s="62" t="s">
        <v>535</v>
      </c>
      <c r="BI64" s="62" t="s">
        <v>536</v>
      </c>
      <c r="BJ64" s="62" t="s">
        <v>537</v>
      </c>
      <c r="BK64" s="62" t="s">
        <v>538</v>
      </c>
      <c r="BL64" s="62" t="s">
        <v>539</v>
      </c>
      <c r="BM64" s="62" t="s">
        <v>540</v>
      </c>
      <c r="BN64" s="62" t="s">
        <v>541</v>
      </c>
    </row>
    <row r="65" customFormat="false" ht="15" hidden="false" customHeight="false" outlineLevel="0" collapsed="false">
      <c r="A65" s="12" t="s">
        <v>612</v>
      </c>
      <c r="B65" s="78" t="n">
        <f aca="false">SUM(C65:N65)</f>
        <v>350.296362837163</v>
      </c>
      <c r="C65" s="79" t="n">
        <f aca="false">C33*'Assumption Setting'!$C$49</f>
        <v>29.1913635697636</v>
      </c>
      <c r="D65" s="79" t="n">
        <f aca="false">D33*'Assumption Setting'!$C$49</f>
        <v>29.1913635697636</v>
      </c>
      <c r="E65" s="79" t="n">
        <f aca="false">E33*'Assumption Setting'!$C$49</f>
        <v>29.1913635697636</v>
      </c>
      <c r="F65" s="79" t="n">
        <f aca="false">F33*'Assumption Setting'!$C$49</f>
        <v>29.1913635697636</v>
      </c>
      <c r="G65" s="79" t="n">
        <f aca="false">G33*'Assumption Setting'!$C$49</f>
        <v>29.1913635697636</v>
      </c>
      <c r="H65" s="79" t="n">
        <f aca="false">H33*'Assumption Setting'!$C$49</f>
        <v>29.1913635697636</v>
      </c>
      <c r="I65" s="79" t="n">
        <f aca="false">I33*'Assumption Setting'!$C$49</f>
        <v>29.1913635697636</v>
      </c>
      <c r="J65" s="79" t="n">
        <f aca="false">J33*'Assumption Setting'!$C$49</f>
        <v>29.1913635697636</v>
      </c>
      <c r="K65" s="79" t="n">
        <f aca="false">K33*'Assumption Setting'!$C$49</f>
        <v>29.1913635697636</v>
      </c>
      <c r="L65" s="79" t="n">
        <f aca="false">L33*'Assumption Setting'!$C$49</f>
        <v>29.1913635697636</v>
      </c>
      <c r="M65" s="79" t="n">
        <f aca="false">M33*'Assumption Setting'!$C$49</f>
        <v>29.1913635697636</v>
      </c>
      <c r="N65" s="79" t="n">
        <f aca="false">N33*'Assumption Setting'!$C$49</f>
        <v>29.1913635697636</v>
      </c>
      <c r="O65" s="78" t="n">
        <f aca="false">SUM(P65:AA65)</f>
        <v>1290.26908531469</v>
      </c>
      <c r="P65" s="79" t="n">
        <f aca="false">P33*'Assumption Setting'!$D$49</f>
        <v>107.522423776224</v>
      </c>
      <c r="Q65" s="79" t="n">
        <f aca="false">Q33*'Assumption Setting'!$D$49</f>
        <v>107.522423776224</v>
      </c>
      <c r="R65" s="79" t="n">
        <f aca="false">R33*'Assumption Setting'!$D$49</f>
        <v>107.522423776224</v>
      </c>
      <c r="S65" s="79" t="n">
        <f aca="false">S33*'Assumption Setting'!$D$49</f>
        <v>107.522423776224</v>
      </c>
      <c r="T65" s="79" t="n">
        <f aca="false">T33*'Assumption Setting'!$D$49</f>
        <v>107.522423776224</v>
      </c>
      <c r="U65" s="79" t="n">
        <f aca="false">U33*'Assumption Setting'!$D$49</f>
        <v>107.522423776224</v>
      </c>
      <c r="V65" s="79" t="n">
        <f aca="false">V33*'Assumption Setting'!$D$49</f>
        <v>107.522423776224</v>
      </c>
      <c r="W65" s="79" t="n">
        <f aca="false">W33*'Assumption Setting'!$D$49</f>
        <v>107.522423776224</v>
      </c>
      <c r="X65" s="79" t="n">
        <f aca="false">X33*'Assumption Setting'!$D$49</f>
        <v>107.522423776224</v>
      </c>
      <c r="Y65" s="79" t="n">
        <f aca="false">Y33*'Assumption Setting'!$D$49</f>
        <v>107.522423776224</v>
      </c>
      <c r="Z65" s="79" t="n">
        <f aca="false">Z33*'Assumption Setting'!$D$49</f>
        <v>107.522423776224</v>
      </c>
      <c r="AA65" s="79" t="n">
        <f aca="false">AA33*'Assumption Setting'!$D$49</f>
        <v>107.522423776224</v>
      </c>
      <c r="AB65" s="78" t="n">
        <f aca="false">SUM(AC65:AN65)</f>
        <v>2790.71863336663</v>
      </c>
      <c r="AC65" s="79" t="n">
        <f aca="false">AC33*'Assumption Setting'!$E$49</f>
        <v>232.559886113886</v>
      </c>
      <c r="AD65" s="79" t="n">
        <f aca="false">AD33*'Assumption Setting'!$E$49</f>
        <v>232.559886113886</v>
      </c>
      <c r="AE65" s="79" t="n">
        <f aca="false">AE33*'Assumption Setting'!$E$49</f>
        <v>232.559886113886</v>
      </c>
      <c r="AF65" s="79" t="n">
        <f aca="false">AF33*'Assumption Setting'!$E$49</f>
        <v>232.559886113886</v>
      </c>
      <c r="AG65" s="79" t="n">
        <f aca="false">AG33*'Assumption Setting'!$E$49</f>
        <v>232.559886113886</v>
      </c>
      <c r="AH65" s="79" t="n">
        <f aca="false">AH33*'Assumption Setting'!$E$49</f>
        <v>232.559886113886</v>
      </c>
      <c r="AI65" s="79" t="n">
        <f aca="false">AI33*'Assumption Setting'!$E$49</f>
        <v>232.559886113886</v>
      </c>
      <c r="AJ65" s="79" t="n">
        <f aca="false">AJ33*'Assumption Setting'!$E$49</f>
        <v>232.559886113886</v>
      </c>
      <c r="AK65" s="79" t="n">
        <f aca="false">AK33*'Assumption Setting'!$E$49</f>
        <v>232.559886113886</v>
      </c>
      <c r="AL65" s="79" t="n">
        <f aca="false">AL33*'Assumption Setting'!$E$49</f>
        <v>232.559886113886</v>
      </c>
      <c r="AM65" s="79" t="n">
        <f aca="false">AM33*'Assumption Setting'!$E$49</f>
        <v>232.559886113886</v>
      </c>
      <c r="AN65" s="79" t="n">
        <f aca="false">AN33*'Assumption Setting'!$E$49</f>
        <v>232.559886113886</v>
      </c>
      <c r="AO65" s="78" t="n">
        <f aca="false">SUM(AP65:BA65)</f>
        <v>4451.7355952048</v>
      </c>
      <c r="AP65" s="79" t="n">
        <f aca="false">AP33*'Assumption Setting'!$F$49</f>
        <v>370.977966267066</v>
      </c>
      <c r="AQ65" s="79" t="n">
        <f aca="false">AQ33*'Assumption Setting'!$F$49</f>
        <v>370.977966267066</v>
      </c>
      <c r="AR65" s="79" t="n">
        <f aca="false">AR33*'Assumption Setting'!$F$49</f>
        <v>370.977966267066</v>
      </c>
      <c r="AS65" s="79" t="n">
        <f aca="false">AS33*'Assumption Setting'!$F$49</f>
        <v>370.977966267066</v>
      </c>
      <c r="AT65" s="79" t="n">
        <f aca="false">AT33*'Assumption Setting'!$F$49</f>
        <v>370.977966267066</v>
      </c>
      <c r="AU65" s="79" t="n">
        <f aca="false">AU33*'Assumption Setting'!$F$49</f>
        <v>370.977966267066</v>
      </c>
      <c r="AV65" s="79" t="n">
        <f aca="false">AV33*'Assumption Setting'!$F$49</f>
        <v>370.977966267066</v>
      </c>
      <c r="AW65" s="79" t="n">
        <f aca="false">AW33*'Assumption Setting'!$F$49</f>
        <v>370.977966267066</v>
      </c>
      <c r="AX65" s="79" t="n">
        <f aca="false">AX33*'Assumption Setting'!$F$49</f>
        <v>370.977966267066</v>
      </c>
      <c r="AY65" s="79" t="n">
        <f aca="false">AY33*'Assumption Setting'!$F$49</f>
        <v>370.977966267066</v>
      </c>
      <c r="AZ65" s="79" t="n">
        <f aca="false">AZ33*'Assumption Setting'!$F$49</f>
        <v>370.977966267066</v>
      </c>
      <c r="BA65" s="79" t="n">
        <f aca="false">BA33*'Assumption Setting'!$F$49</f>
        <v>370.977966267066</v>
      </c>
      <c r="BB65" s="78" t="n">
        <f aca="false">SUM(BC65:BN65)</f>
        <v>6080.6202053946</v>
      </c>
      <c r="BC65" s="79" t="n">
        <f aca="false">BC33*'Assumption Setting'!$G$49</f>
        <v>506.71835044955</v>
      </c>
      <c r="BD65" s="79" t="n">
        <f aca="false">BD33*'Assumption Setting'!$G$49</f>
        <v>506.71835044955</v>
      </c>
      <c r="BE65" s="79" t="n">
        <f aca="false">BE33*'Assumption Setting'!$G$49</f>
        <v>506.71835044955</v>
      </c>
      <c r="BF65" s="79" t="n">
        <f aca="false">BF33*'Assumption Setting'!$G$49</f>
        <v>506.71835044955</v>
      </c>
      <c r="BG65" s="79" t="n">
        <f aca="false">BG33*'Assumption Setting'!$G$49</f>
        <v>506.71835044955</v>
      </c>
      <c r="BH65" s="79" t="n">
        <f aca="false">BH33*'Assumption Setting'!$G$49</f>
        <v>506.71835044955</v>
      </c>
      <c r="BI65" s="79" t="n">
        <f aca="false">BI33*'Assumption Setting'!$G$49</f>
        <v>506.71835044955</v>
      </c>
      <c r="BJ65" s="79" t="n">
        <f aca="false">BJ33*'Assumption Setting'!$G$49</f>
        <v>506.71835044955</v>
      </c>
      <c r="BK65" s="79" t="n">
        <f aca="false">BK33*'Assumption Setting'!$G$49</f>
        <v>506.71835044955</v>
      </c>
      <c r="BL65" s="79" t="n">
        <f aca="false">BL33*'Assumption Setting'!$G$49</f>
        <v>506.71835044955</v>
      </c>
      <c r="BM65" s="79" t="n">
        <f aca="false">BM33*'Assumption Setting'!$G$49</f>
        <v>506.71835044955</v>
      </c>
      <c r="BN65" s="79" t="n">
        <f aca="false">BN33*'Assumption Setting'!$G$49</f>
        <v>506.71835044955</v>
      </c>
    </row>
    <row r="66" customFormat="false" ht="15" hidden="false" customHeight="false" outlineLevel="0" collapsed="false">
      <c r="A66" s="12" t="s">
        <v>613</v>
      </c>
      <c r="B66" s="78" t="n">
        <f aca="false">SUM(C66:N66)</f>
        <v>489.6</v>
      </c>
      <c r="C66" s="79" t="n">
        <f aca="false">C59*'Assumption Setting'!$C$49</f>
        <v>40.8</v>
      </c>
      <c r="D66" s="79" t="n">
        <f aca="false">D59*'Assumption Setting'!$C$49</f>
        <v>40.8</v>
      </c>
      <c r="E66" s="79" t="n">
        <f aca="false">E59*'Assumption Setting'!$C$49</f>
        <v>40.8</v>
      </c>
      <c r="F66" s="79" t="n">
        <f aca="false">F59*'Assumption Setting'!$C$49</f>
        <v>40.8</v>
      </c>
      <c r="G66" s="79" t="n">
        <f aca="false">G59*'Assumption Setting'!$C$49</f>
        <v>40.8</v>
      </c>
      <c r="H66" s="79" t="n">
        <f aca="false">H59*'Assumption Setting'!$C$49</f>
        <v>40.8</v>
      </c>
      <c r="I66" s="79" t="n">
        <f aca="false">I59*'Assumption Setting'!$C$49</f>
        <v>40.8</v>
      </c>
      <c r="J66" s="79" t="n">
        <f aca="false">J59*'Assumption Setting'!$C$49</f>
        <v>40.8</v>
      </c>
      <c r="K66" s="79" t="n">
        <f aca="false">K59*'Assumption Setting'!$C$49</f>
        <v>40.8</v>
      </c>
      <c r="L66" s="79" t="n">
        <f aca="false">L59*'Assumption Setting'!$C$49</f>
        <v>40.8</v>
      </c>
      <c r="M66" s="79" t="n">
        <f aca="false">M59*'Assumption Setting'!$C$49</f>
        <v>40.8</v>
      </c>
      <c r="N66" s="79" t="n">
        <f aca="false">N59*'Assumption Setting'!$C$49</f>
        <v>40.8</v>
      </c>
      <c r="O66" s="78" t="n">
        <f aca="false">SUM(P66:AA66)</f>
        <v>1864.8</v>
      </c>
      <c r="P66" s="79" t="n">
        <f aca="false">P59*'Assumption Setting'!$D$49</f>
        <v>155.4</v>
      </c>
      <c r="Q66" s="79" t="n">
        <f aca="false">Q59*'Assumption Setting'!$D$49</f>
        <v>155.4</v>
      </c>
      <c r="R66" s="79" t="n">
        <f aca="false">R59*'Assumption Setting'!$D$49</f>
        <v>155.4</v>
      </c>
      <c r="S66" s="79" t="n">
        <f aca="false">S59*'Assumption Setting'!$D$49</f>
        <v>155.4</v>
      </c>
      <c r="T66" s="79" t="n">
        <f aca="false">T59*'Assumption Setting'!$D$49</f>
        <v>155.4</v>
      </c>
      <c r="U66" s="79" t="n">
        <f aca="false">U59*'Assumption Setting'!$D$49</f>
        <v>155.4</v>
      </c>
      <c r="V66" s="79" t="n">
        <f aca="false">V59*'Assumption Setting'!$D$49</f>
        <v>155.4</v>
      </c>
      <c r="W66" s="79" t="n">
        <f aca="false">W59*'Assumption Setting'!$D$49</f>
        <v>155.4</v>
      </c>
      <c r="X66" s="79" t="n">
        <f aca="false">X59*'Assumption Setting'!$D$49</f>
        <v>155.4</v>
      </c>
      <c r="Y66" s="79" t="n">
        <f aca="false">Y59*'Assumption Setting'!$D$49</f>
        <v>155.4</v>
      </c>
      <c r="Z66" s="79" t="n">
        <f aca="false">Z59*'Assumption Setting'!$D$49</f>
        <v>155.4</v>
      </c>
      <c r="AA66" s="79" t="n">
        <f aca="false">AA59*'Assumption Setting'!$D$49</f>
        <v>155.4</v>
      </c>
      <c r="AB66" s="78" t="n">
        <f aca="false">SUM(AC66:AN66)</f>
        <v>3877.2</v>
      </c>
      <c r="AC66" s="79" t="n">
        <f aca="false">AC59*'Assumption Setting'!$E$49</f>
        <v>323.1</v>
      </c>
      <c r="AD66" s="79" t="n">
        <f aca="false">AD59*'Assumption Setting'!$E$49</f>
        <v>323.1</v>
      </c>
      <c r="AE66" s="79" t="n">
        <f aca="false">AE59*'Assumption Setting'!$E$49</f>
        <v>323.1</v>
      </c>
      <c r="AF66" s="79" t="n">
        <f aca="false">AF59*'Assumption Setting'!$E$49</f>
        <v>323.1</v>
      </c>
      <c r="AG66" s="79" t="n">
        <f aca="false">AG59*'Assumption Setting'!$E$49</f>
        <v>323.1</v>
      </c>
      <c r="AH66" s="79" t="n">
        <f aca="false">AH59*'Assumption Setting'!$E$49</f>
        <v>323.1</v>
      </c>
      <c r="AI66" s="79" t="n">
        <f aca="false">AI59*'Assumption Setting'!$E$49</f>
        <v>323.1</v>
      </c>
      <c r="AJ66" s="79" t="n">
        <f aca="false">AJ59*'Assumption Setting'!$E$49</f>
        <v>323.1</v>
      </c>
      <c r="AK66" s="79" t="n">
        <f aca="false">AK59*'Assumption Setting'!$E$49</f>
        <v>323.1</v>
      </c>
      <c r="AL66" s="79" t="n">
        <f aca="false">AL59*'Assumption Setting'!$E$49</f>
        <v>323.1</v>
      </c>
      <c r="AM66" s="79" t="n">
        <f aca="false">AM59*'Assumption Setting'!$E$49</f>
        <v>323.1</v>
      </c>
      <c r="AN66" s="79" t="n">
        <f aca="false">AN59*'Assumption Setting'!$E$49</f>
        <v>323.1</v>
      </c>
      <c r="AO66" s="78" t="n">
        <f aca="false">SUM(AP66:BA66)</f>
        <v>5380.56</v>
      </c>
      <c r="AP66" s="79" t="n">
        <f aca="false">AP59*'Assumption Setting'!$F$49</f>
        <v>448.38</v>
      </c>
      <c r="AQ66" s="79" t="n">
        <f aca="false">AQ59*'Assumption Setting'!$F$49</f>
        <v>448.38</v>
      </c>
      <c r="AR66" s="79" t="n">
        <f aca="false">AR59*'Assumption Setting'!$F$49</f>
        <v>448.38</v>
      </c>
      <c r="AS66" s="79" t="n">
        <f aca="false">AS59*'Assumption Setting'!$F$49</f>
        <v>448.38</v>
      </c>
      <c r="AT66" s="79" t="n">
        <f aca="false">AT59*'Assumption Setting'!$F$49</f>
        <v>448.38</v>
      </c>
      <c r="AU66" s="79" t="n">
        <f aca="false">AU59*'Assumption Setting'!$F$49</f>
        <v>448.38</v>
      </c>
      <c r="AV66" s="79" t="n">
        <f aca="false">AV59*'Assumption Setting'!$F$49</f>
        <v>448.38</v>
      </c>
      <c r="AW66" s="79" t="n">
        <f aca="false">AW59*'Assumption Setting'!$F$49</f>
        <v>448.38</v>
      </c>
      <c r="AX66" s="79" t="n">
        <f aca="false">AX59*'Assumption Setting'!$F$49</f>
        <v>448.38</v>
      </c>
      <c r="AY66" s="79" t="n">
        <f aca="false">AY59*'Assumption Setting'!$F$49</f>
        <v>448.38</v>
      </c>
      <c r="AZ66" s="79" t="n">
        <f aca="false">AZ59*'Assumption Setting'!$F$49</f>
        <v>448.38</v>
      </c>
      <c r="BA66" s="79" t="n">
        <f aca="false">BA59*'Assumption Setting'!$F$49</f>
        <v>448.38</v>
      </c>
      <c r="BB66" s="78" t="n">
        <f aca="false">SUM(BC66:BN66)</f>
        <v>6854.4</v>
      </c>
      <c r="BC66" s="79" t="n">
        <f aca="false">BC59*'Assumption Setting'!$G$49</f>
        <v>571.2</v>
      </c>
      <c r="BD66" s="79" t="n">
        <f aca="false">BD59*'Assumption Setting'!$G$49</f>
        <v>571.2</v>
      </c>
      <c r="BE66" s="79" t="n">
        <f aca="false">BE59*'Assumption Setting'!$G$49</f>
        <v>571.2</v>
      </c>
      <c r="BF66" s="79" t="n">
        <f aca="false">BF59*'Assumption Setting'!$G$49</f>
        <v>571.2</v>
      </c>
      <c r="BG66" s="79" t="n">
        <f aca="false">BG59*'Assumption Setting'!$G$49</f>
        <v>571.2</v>
      </c>
      <c r="BH66" s="79" t="n">
        <f aca="false">BH59*'Assumption Setting'!$G$49</f>
        <v>571.2</v>
      </c>
      <c r="BI66" s="79" t="n">
        <f aca="false">BI59*'Assumption Setting'!$G$49</f>
        <v>571.2</v>
      </c>
      <c r="BJ66" s="79" t="n">
        <f aca="false">BJ59*'Assumption Setting'!$G$49</f>
        <v>571.2</v>
      </c>
      <c r="BK66" s="79" t="n">
        <f aca="false">BK59*'Assumption Setting'!$G$49</f>
        <v>571.2</v>
      </c>
      <c r="BL66" s="79" t="n">
        <f aca="false">BL59*'Assumption Setting'!$G$49</f>
        <v>571.2</v>
      </c>
      <c r="BM66" s="79" t="n">
        <f aca="false">BM59*'Assumption Setting'!$G$49</f>
        <v>571.2</v>
      </c>
      <c r="BN66" s="79" t="n">
        <f aca="false">BN59*'Assumption Setting'!$G$49</f>
        <v>571.2</v>
      </c>
    </row>
    <row r="67" customFormat="false" ht="15" hidden="false" customHeight="false" outlineLevel="0" collapsed="false">
      <c r="A67" s="12" t="s">
        <v>614</v>
      </c>
      <c r="B67" s="80" t="n">
        <f aca="false">SUM(C67:N67)</f>
        <v>6.7191709026973</v>
      </c>
      <c r="C67" s="81" t="n">
        <f aca="false">(C65+C66)/1000*'Assumption Setting'!$C$62</f>
        <v>0.559930908558109</v>
      </c>
      <c r="D67" s="81" t="n">
        <f aca="false">(D65+D66)/1000*'Assumption Setting'!$C$62</f>
        <v>0.559930908558109</v>
      </c>
      <c r="E67" s="81" t="n">
        <f aca="false">(E65+E66)/1000*'Assumption Setting'!$C$62</f>
        <v>0.559930908558109</v>
      </c>
      <c r="F67" s="81" t="n">
        <f aca="false">(F65+F66)/1000*'Assumption Setting'!$C$62</f>
        <v>0.559930908558109</v>
      </c>
      <c r="G67" s="81" t="n">
        <f aca="false">(G65+G66)/1000*'Assumption Setting'!$C$62</f>
        <v>0.559930908558109</v>
      </c>
      <c r="H67" s="81" t="n">
        <f aca="false">(H65+H66)/1000*'Assumption Setting'!$C$62</f>
        <v>0.559930908558109</v>
      </c>
      <c r="I67" s="81" t="n">
        <f aca="false">(I65+I66)/1000*'Assumption Setting'!$C$62</f>
        <v>0.559930908558109</v>
      </c>
      <c r="J67" s="81" t="n">
        <f aca="false">(J65+J66)/1000*'Assumption Setting'!$C$62</f>
        <v>0.559930908558109</v>
      </c>
      <c r="K67" s="81" t="n">
        <f aca="false">(K65+K66)/1000*'Assumption Setting'!$C$62</f>
        <v>0.559930908558109</v>
      </c>
      <c r="L67" s="81" t="n">
        <f aca="false">(L65+L66)/1000*'Assumption Setting'!$C$62</f>
        <v>0.559930908558109</v>
      </c>
      <c r="M67" s="81" t="n">
        <f aca="false">(M65+M66)/1000*'Assumption Setting'!$C$62</f>
        <v>0.559930908558109</v>
      </c>
      <c r="N67" s="81" t="n">
        <f aca="false">(N65+N66)/1000*'Assumption Setting'!$C$62</f>
        <v>0.559930908558109</v>
      </c>
      <c r="O67" s="80" t="n">
        <f aca="false">SUM(P67:AA67)</f>
        <v>25.2405526825175</v>
      </c>
      <c r="P67" s="81" t="n">
        <f aca="false">(P65+P66)/1000*'Assumption Setting'!$C$62</f>
        <v>2.10337939020979</v>
      </c>
      <c r="Q67" s="81" t="n">
        <f aca="false">(Q65+Q66)/1000*'Assumption Setting'!$C$62</f>
        <v>2.10337939020979</v>
      </c>
      <c r="R67" s="81" t="n">
        <f aca="false">(R65+R66)/1000*'Assumption Setting'!$C$62</f>
        <v>2.10337939020979</v>
      </c>
      <c r="S67" s="81" t="n">
        <f aca="false">(S65+S66)/1000*'Assumption Setting'!$C$62</f>
        <v>2.10337939020979</v>
      </c>
      <c r="T67" s="81" t="n">
        <f aca="false">(T65+T66)/1000*'Assumption Setting'!$C$62</f>
        <v>2.10337939020979</v>
      </c>
      <c r="U67" s="81" t="n">
        <f aca="false">(U65+U66)/1000*'Assumption Setting'!$C$62</f>
        <v>2.10337939020979</v>
      </c>
      <c r="V67" s="81" t="n">
        <f aca="false">(V65+V66)/1000*'Assumption Setting'!$C$62</f>
        <v>2.10337939020979</v>
      </c>
      <c r="W67" s="81" t="n">
        <f aca="false">(W65+W66)/1000*'Assumption Setting'!$C$62</f>
        <v>2.10337939020979</v>
      </c>
      <c r="X67" s="81" t="n">
        <f aca="false">(X65+X66)/1000*'Assumption Setting'!$C$62</f>
        <v>2.10337939020979</v>
      </c>
      <c r="Y67" s="81" t="n">
        <f aca="false">(Y65+Y66)/1000*'Assumption Setting'!$C$62</f>
        <v>2.10337939020979</v>
      </c>
      <c r="Z67" s="81" t="n">
        <f aca="false">(Z65+Z66)/1000*'Assumption Setting'!$C$62</f>
        <v>2.10337939020979</v>
      </c>
      <c r="AA67" s="81" t="n">
        <f aca="false">(AA65+AA66)/1000*'Assumption Setting'!$C$62</f>
        <v>2.10337939020979</v>
      </c>
      <c r="AB67" s="80" t="n">
        <f aca="false">SUM(AC67:AN67)</f>
        <v>53.3433490669331</v>
      </c>
      <c r="AC67" s="81" t="n">
        <f aca="false">(AC65+AC66)/1000*'Assumption Setting'!$C$62</f>
        <v>4.44527908891109</v>
      </c>
      <c r="AD67" s="81" t="n">
        <f aca="false">(AD65+AD66)/1000*'Assumption Setting'!$C$62</f>
        <v>4.44527908891109</v>
      </c>
      <c r="AE67" s="81" t="n">
        <f aca="false">(AE65+AE66)/1000*'Assumption Setting'!$C$62</f>
        <v>4.44527908891109</v>
      </c>
      <c r="AF67" s="81" t="n">
        <f aca="false">(AF65+AF66)/1000*'Assumption Setting'!$C$62</f>
        <v>4.44527908891109</v>
      </c>
      <c r="AG67" s="81" t="n">
        <f aca="false">(AG65+AG66)/1000*'Assumption Setting'!$C$62</f>
        <v>4.44527908891109</v>
      </c>
      <c r="AH67" s="81" t="n">
        <f aca="false">(AH65+AH66)/1000*'Assumption Setting'!$C$62</f>
        <v>4.44527908891109</v>
      </c>
      <c r="AI67" s="81" t="n">
        <f aca="false">(AI65+AI66)/1000*'Assumption Setting'!$C$62</f>
        <v>4.44527908891109</v>
      </c>
      <c r="AJ67" s="81" t="n">
        <f aca="false">(AJ65+AJ66)/1000*'Assumption Setting'!$C$62</f>
        <v>4.44527908891109</v>
      </c>
      <c r="AK67" s="81" t="n">
        <f aca="false">(AK65+AK66)/1000*'Assumption Setting'!$C$62</f>
        <v>4.44527908891109</v>
      </c>
      <c r="AL67" s="81" t="n">
        <f aca="false">(AL65+AL66)/1000*'Assumption Setting'!$C$62</f>
        <v>4.44527908891109</v>
      </c>
      <c r="AM67" s="81" t="n">
        <f aca="false">(AM65+AM66)/1000*'Assumption Setting'!$C$62</f>
        <v>4.44527908891109</v>
      </c>
      <c r="AN67" s="81" t="n">
        <f aca="false">(AN65+AN66)/1000*'Assumption Setting'!$C$62</f>
        <v>4.44527908891109</v>
      </c>
      <c r="AO67" s="80" t="n">
        <f aca="false">SUM(AP67:BA67)</f>
        <v>78.6583647616384</v>
      </c>
      <c r="AP67" s="81" t="n">
        <f aca="false">(AP65+AP66)/1000*'Assumption Setting'!$C$62</f>
        <v>6.55486373013653</v>
      </c>
      <c r="AQ67" s="81" t="n">
        <f aca="false">(AQ65+AQ66)/1000*'Assumption Setting'!$C$62</f>
        <v>6.55486373013653</v>
      </c>
      <c r="AR67" s="81" t="n">
        <f aca="false">(AR65+AR66)/1000*'Assumption Setting'!$C$62</f>
        <v>6.55486373013653</v>
      </c>
      <c r="AS67" s="81" t="n">
        <f aca="false">(AS65+AS66)/1000*'Assumption Setting'!$C$62</f>
        <v>6.55486373013653</v>
      </c>
      <c r="AT67" s="81" t="n">
        <f aca="false">(AT65+AT66)/1000*'Assumption Setting'!$C$62</f>
        <v>6.55486373013653</v>
      </c>
      <c r="AU67" s="81" t="n">
        <f aca="false">(AU65+AU66)/1000*'Assumption Setting'!$C$62</f>
        <v>6.55486373013653</v>
      </c>
      <c r="AV67" s="81" t="n">
        <f aca="false">(AV65+AV66)/1000*'Assumption Setting'!$C$62</f>
        <v>6.55486373013653</v>
      </c>
      <c r="AW67" s="81" t="n">
        <f aca="false">(AW65+AW66)/1000*'Assumption Setting'!$C$62</f>
        <v>6.55486373013653</v>
      </c>
      <c r="AX67" s="81" t="n">
        <f aca="false">(AX65+AX66)/1000*'Assumption Setting'!$C$62</f>
        <v>6.55486373013653</v>
      </c>
      <c r="AY67" s="81" t="n">
        <f aca="false">(AY65+AY66)/1000*'Assumption Setting'!$C$62</f>
        <v>6.55486373013653</v>
      </c>
      <c r="AZ67" s="81" t="n">
        <f aca="false">(AZ65+AZ66)/1000*'Assumption Setting'!$C$62</f>
        <v>6.55486373013653</v>
      </c>
      <c r="BA67" s="81" t="n">
        <f aca="false">(BA65+BA66)/1000*'Assumption Setting'!$C$62</f>
        <v>6.55486373013653</v>
      </c>
      <c r="BB67" s="80" t="n">
        <f aca="false">SUM(BC67:BN67)</f>
        <v>103.480161643157</v>
      </c>
      <c r="BC67" s="81" t="n">
        <f aca="false">(BC65+BC66)/1000*'Assumption Setting'!$C$62</f>
        <v>8.6233468035964</v>
      </c>
      <c r="BD67" s="81" t="n">
        <f aca="false">(BD65+BD66)/1000*'Assumption Setting'!$C$62</f>
        <v>8.6233468035964</v>
      </c>
      <c r="BE67" s="81" t="n">
        <f aca="false">(BE65+BE66)/1000*'Assumption Setting'!$C$62</f>
        <v>8.6233468035964</v>
      </c>
      <c r="BF67" s="81" t="n">
        <f aca="false">(BF65+BF66)/1000*'Assumption Setting'!$C$62</f>
        <v>8.6233468035964</v>
      </c>
      <c r="BG67" s="81" t="n">
        <f aca="false">(BG65+BG66)/1000*'Assumption Setting'!$C$62</f>
        <v>8.6233468035964</v>
      </c>
      <c r="BH67" s="81" t="n">
        <f aca="false">(BH65+BH66)/1000*'Assumption Setting'!$C$62</f>
        <v>8.6233468035964</v>
      </c>
      <c r="BI67" s="81" t="n">
        <f aca="false">(BI65+BI66)/1000*'Assumption Setting'!$C$62</f>
        <v>8.6233468035964</v>
      </c>
      <c r="BJ67" s="81" t="n">
        <f aca="false">(BJ65+BJ66)/1000*'Assumption Setting'!$C$62</f>
        <v>8.6233468035964</v>
      </c>
      <c r="BK67" s="81" t="n">
        <f aca="false">(BK65+BK66)/1000*'Assumption Setting'!$C$62</f>
        <v>8.6233468035964</v>
      </c>
      <c r="BL67" s="81" t="n">
        <f aca="false">(BL65+BL66)/1000*'Assumption Setting'!$C$62</f>
        <v>8.6233468035964</v>
      </c>
      <c r="BM67" s="81" t="n">
        <f aca="false">(BM65+BM66)/1000*'Assumption Setting'!$C$62</f>
        <v>8.6233468035964</v>
      </c>
      <c r="BN67" s="81" t="n">
        <f aca="false">(BN65+BN66)/1000*'Assumption Setting'!$C$62</f>
        <v>8.6233468035964</v>
      </c>
    </row>
    <row r="68" customFormat="false" ht="15" hidden="false" customHeight="false" outlineLevel="0" collapsed="false">
      <c r="A68" s="69" t="s">
        <v>615</v>
      </c>
      <c r="B68" s="80" t="n">
        <f aca="false">SUM(C68:N68)</f>
        <v>391.439170902697</v>
      </c>
      <c r="C68" s="86" t="n">
        <f aca="false">C60+C67</f>
        <v>32.6199309085581</v>
      </c>
      <c r="D68" s="86" t="n">
        <f aca="false">D60+D67</f>
        <v>32.6199309085581</v>
      </c>
      <c r="E68" s="86" t="n">
        <f aca="false">E60+E67</f>
        <v>32.6199309085581</v>
      </c>
      <c r="F68" s="86" t="n">
        <f aca="false">F60+F67</f>
        <v>32.6199309085581</v>
      </c>
      <c r="G68" s="86" t="n">
        <f aca="false">G60+G67</f>
        <v>32.6199309085581</v>
      </c>
      <c r="H68" s="86" t="n">
        <f aca="false">H60+H67</f>
        <v>32.6199309085581</v>
      </c>
      <c r="I68" s="86" t="n">
        <f aca="false">I60+I67</f>
        <v>32.6199309085581</v>
      </c>
      <c r="J68" s="86" t="n">
        <f aca="false">J60+J67</f>
        <v>32.6199309085581</v>
      </c>
      <c r="K68" s="86" t="n">
        <f aca="false">K60+K67</f>
        <v>32.6199309085581</v>
      </c>
      <c r="L68" s="86" t="n">
        <f aca="false">L60+L67</f>
        <v>32.6199309085581</v>
      </c>
      <c r="M68" s="86" t="n">
        <f aca="false">M60+M67</f>
        <v>32.6199309085581</v>
      </c>
      <c r="N68" s="86" t="n">
        <f aca="false">N60+N67</f>
        <v>32.6199309085581</v>
      </c>
      <c r="O68" s="80" t="n">
        <f aca="false">SUM(P68:AA68)</f>
        <v>601.240552682517</v>
      </c>
      <c r="P68" s="86" t="n">
        <f aca="false">P60+P67</f>
        <v>50.1033793902098</v>
      </c>
      <c r="Q68" s="86" t="n">
        <f aca="false">Q60+Q67</f>
        <v>50.1033793902098</v>
      </c>
      <c r="R68" s="86" t="n">
        <f aca="false">R60+R67</f>
        <v>50.1033793902098</v>
      </c>
      <c r="S68" s="86" t="n">
        <f aca="false">S60+S67</f>
        <v>50.1033793902098</v>
      </c>
      <c r="T68" s="86" t="n">
        <f aca="false">T60+T67</f>
        <v>50.1033793902098</v>
      </c>
      <c r="U68" s="86" t="n">
        <f aca="false">U60+U67</f>
        <v>50.1033793902098</v>
      </c>
      <c r="V68" s="86" t="n">
        <f aca="false">V60+V67</f>
        <v>50.1033793902098</v>
      </c>
      <c r="W68" s="86" t="n">
        <f aca="false">W60+W67</f>
        <v>50.1033793902098</v>
      </c>
      <c r="X68" s="86" t="n">
        <f aca="false">X60+X67</f>
        <v>50.1033793902098</v>
      </c>
      <c r="Y68" s="86" t="n">
        <f aca="false">Y60+Y67</f>
        <v>50.1033793902098</v>
      </c>
      <c r="Z68" s="86" t="n">
        <f aca="false">Z60+Z67</f>
        <v>50.1033793902098</v>
      </c>
      <c r="AA68" s="86" t="n">
        <f aca="false">AA60+AA67</f>
        <v>50.1033793902098</v>
      </c>
      <c r="AB68" s="80" t="n">
        <f aca="false">SUM(AC68:AN68)</f>
        <v>901.743349066933</v>
      </c>
      <c r="AC68" s="86" t="n">
        <f aca="false">AC60+AC67</f>
        <v>75.1452790889111</v>
      </c>
      <c r="AD68" s="86" t="n">
        <f aca="false">AD60+AD67</f>
        <v>75.1452790889111</v>
      </c>
      <c r="AE68" s="86" t="n">
        <f aca="false">AE60+AE67</f>
        <v>75.1452790889111</v>
      </c>
      <c r="AF68" s="86" t="n">
        <f aca="false">AF60+AF67</f>
        <v>75.1452790889111</v>
      </c>
      <c r="AG68" s="86" t="n">
        <f aca="false">AG60+AG67</f>
        <v>75.1452790889111</v>
      </c>
      <c r="AH68" s="86" t="n">
        <f aca="false">AH60+AH67</f>
        <v>75.1452790889111</v>
      </c>
      <c r="AI68" s="86" t="n">
        <f aca="false">AI60+AI67</f>
        <v>75.1452790889111</v>
      </c>
      <c r="AJ68" s="86" t="n">
        <f aca="false">AJ60+AJ67</f>
        <v>75.1452790889111</v>
      </c>
      <c r="AK68" s="86" t="n">
        <f aca="false">AK60+AK67</f>
        <v>75.1452790889111</v>
      </c>
      <c r="AL68" s="86" t="n">
        <f aca="false">AL60+AL67</f>
        <v>75.1452790889111</v>
      </c>
      <c r="AM68" s="86" t="n">
        <f aca="false">AM60+AM67</f>
        <v>75.1452790889111</v>
      </c>
      <c r="AN68" s="86" t="n">
        <f aca="false">AN60+AN67</f>
        <v>75.1452790889111</v>
      </c>
      <c r="AO68" s="80" t="n">
        <f aca="false">SUM(AP68:BA68)</f>
        <v>1169.45836476164</v>
      </c>
      <c r="AP68" s="86" t="n">
        <f aca="false">AP60+AP67</f>
        <v>97.4548637301365</v>
      </c>
      <c r="AQ68" s="86" t="n">
        <f aca="false">AQ60+AQ67</f>
        <v>97.4548637301365</v>
      </c>
      <c r="AR68" s="86" t="n">
        <f aca="false">AR60+AR67</f>
        <v>97.4548637301365</v>
      </c>
      <c r="AS68" s="86" t="n">
        <f aca="false">AS60+AS67</f>
        <v>97.4548637301365</v>
      </c>
      <c r="AT68" s="86" t="n">
        <f aca="false">AT60+AT67</f>
        <v>97.4548637301365</v>
      </c>
      <c r="AU68" s="86" t="n">
        <f aca="false">AU60+AU67</f>
        <v>97.4548637301365</v>
      </c>
      <c r="AV68" s="86" t="n">
        <f aca="false">AV60+AV67</f>
        <v>97.4548637301365</v>
      </c>
      <c r="AW68" s="86" t="n">
        <f aca="false">AW60+AW67</f>
        <v>97.4548637301365</v>
      </c>
      <c r="AX68" s="86" t="n">
        <f aca="false">AX60+AX67</f>
        <v>97.4548637301365</v>
      </c>
      <c r="AY68" s="86" t="n">
        <f aca="false">AY60+AY67</f>
        <v>97.4548637301365</v>
      </c>
      <c r="AZ68" s="86" t="n">
        <f aca="false">AZ60+AZ67</f>
        <v>97.4548637301365</v>
      </c>
      <c r="BA68" s="86" t="n">
        <f aca="false">BA60+BA67</f>
        <v>97.4548637301365</v>
      </c>
      <c r="BB68" s="80" t="n">
        <f aca="false">SUM(BC68:BN68)</f>
        <v>1436.68016164316</v>
      </c>
      <c r="BC68" s="86" t="n">
        <f aca="false">BC60+BC67</f>
        <v>119.723346803596</v>
      </c>
      <c r="BD68" s="86" t="n">
        <f aca="false">BD60+BD67</f>
        <v>119.723346803596</v>
      </c>
      <c r="BE68" s="86" t="n">
        <f aca="false">BE60+BE67</f>
        <v>119.723346803596</v>
      </c>
      <c r="BF68" s="86" t="n">
        <f aca="false">BF60+BF67</f>
        <v>119.723346803596</v>
      </c>
      <c r="BG68" s="86" t="n">
        <f aca="false">BG60+BG67</f>
        <v>119.723346803596</v>
      </c>
      <c r="BH68" s="86" t="n">
        <f aca="false">BH60+BH67</f>
        <v>119.723346803596</v>
      </c>
      <c r="BI68" s="86" t="n">
        <f aca="false">BI60+BI67</f>
        <v>119.723346803596</v>
      </c>
      <c r="BJ68" s="86" t="n">
        <f aca="false">BJ60+BJ67</f>
        <v>119.723346803596</v>
      </c>
      <c r="BK68" s="86" t="n">
        <f aca="false">BK60+BK67</f>
        <v>119.723346803596</v>
      </c>
      <c r="BL68" s="86" t="n">
        <f aca="false">BL60+BL67</f>
        <v>119.723346803596</v>
      </c>
      <c r="BM68" s="86" t="n">
        <f aca="false">BM60+BM67</f>
        <v>119.723346803596</v>
      </c>
      <c r="BN68" s="86" t="n">
        <f aca="false">BN60+BN67</f>
        <v>119.723346803596</v>
      </c>
    </row>
    <row r="69" customFormat="false" ht="15" hidden="false" customHeight="false" outlineLevel="0" collapsed="false">
      <c r="A69" s="18" t="s">
        <v>272</v>
      </c>
      <c r="B69" s="80" t="n">
        <f aca="false">SUM(C69:N69)</f>
        <v>156.575668361079</v>
      </c>
      <c r="C69" s="83" t="n">
        <f aca="false">C68*'Assumption Setting'!$C$68</f>
        <v>13.0479723634232</v>
      </c>
      <c r="D69" s="83" t="n">
        <f aca="false">D68*'Assumption Setting'!$C$68</f>
        <v>13.0479723634232</v>
      </c>
      <c r="E69" s="83" t="n">
        <f aca="false">E68*'Assumption Setting'!$C$68</f>
        <v>13.0479723634232</v>
      </c>
      <c r="F69" s="83" t="n">
        <f aca="false">F68*'Assumption Setting'!$C$68</f>
        <v>13.0479723634232</v>
      </c>
      <c r="G69" s="83" t="n">
        <f aca="false">G68*'Assumption Setting'!$C$68</f>
        <v>13.0479723634232</v>
      </c>
      <c r="H69" s="83" t="n">
        <f aca="false">H68*'Assumption Setting'!$C$68</f>
        <v>13.0479723634232</v>
      </c>
      <c r="I69" s="83" t="n">
        <f aca="false">I68*'Assumption Setting'!$C$68</f>
        <v>13.0479723634232</v>
      </c>
      <c r="J69" s="83" t="n">
        <f aca="false">J68*'Assumption Setting'!$C$68</f>
        <v>13.0479723634232</v>
      </c>
      <c r="K69" s="83" t="n">
        <f aca="false">K68*'Assumption Setting'!$C$68</f>
        <v>13.0479723634232</v>
      </c>
      <c r="L69" s="83" t="n">
        <f aca="false">L68*'Assumption Setting'!$C$68</f>
        <v>13.0479723634232</v>
      </c>
      <c r="M69" s="83" t="n">
        <f aca="false">M68*'Assumption Setting'!$C$68</f>
        <v>13.0479723634232</v>
      </c>
      <c r="N69" s="83" t="n">
        <f aca="false">N68*'Assumption Setting'!$C$68</f>
        <v>13.0479723634232</v>
      </c>
      <c r="O69" s="80" t="n">
        <f aca="false">SUM(P69:AA69)</f>
        <v>240.496221073007</v>
      </c>
      <c r="P69" s="83" t="n">
        <f aca="false">P68*'Assumption Setting'!$C$68</f>
        <v>20.0413517560839</v>
      </c>
      <c r="Q69" s="83" t="n">
        <f aca="false">Q68*'Assumption Setting'!$C$68</f>
        <v>20.0413517560839</v>
      </c>
      <c r="R69" s="83" t="n">
        <f aca="false">R68*'Assumption Setting'!$C$68</f>
        <v>20.0413517560839</v>
      </c>
      <c r="S69" s="83" t="n">
        <f aca="false">S68*'Assumption Setting'!$C$68</f>
        <v>20.0413517560839</v>
      </c>
      <c r="T69" s="83" t="n">
        <f aca="false">T68*'Assumption Setting'!$C$68</f>
        <v>20.0413517560839</v>
      </c>
      <c r="U69" s="83" t="n">
        <f aca="false">U68*'Assumption Setting'!$C$68</f>
        <v>20.0413517560839</v>
      </c>
      <c r="V69" s="83" t="n">
        <f aca="false">V68*'Assumption Setting'!$C$68</f>
        <v>20.0413517560839</v>
      </c>
      <c r="W69" s="83" t="n">
        <f aca="false">W68*'Assumption Setting'!$C$68</f>
        <v>20.0413517560839</v>
      </c>
      <c r="X69" s="83" t="n">
        <f aca="false">X68*'Assumption Setting'!$C$68</f>
        <v>20.0413517560839</v>
      </c>
      <c r="Y69" s="83" t="n">
        <f aca="false">Y68*'Assumption Setting'!$C$68</f>
        <v>20.0413517560839</v>
      </c>
      <c r="Z69" s="83" t="n">
        <f aca="false">Z68*'Assumption Setting'!$C$68</f>
        <v>20.0413517560839</v>
      </c>
      <c r="AA69" s="83" t="n">
        <f aca="false">AA68*'Assumption Setting'!$C$68</f>
        <v>20.0413517560839</v>
      </c>
      <c r="AB69" s="80" t="n">
        <f aca="false">SUM(AC69:AN69)</f>
        <v>360.697339626773</v>
      </c>
      <c r="AC69" s="83" t="n">
        <f aca="false">AC68*'Assumption Setting'!$C$68</f>
        <v>30.0581116355644</v>
      </c>
      <c r="AD69" s="83" t="n">
        <f aca="false">AD68*'Assumption Setting'!$C$68</f>
        <v>30.0581116355644</v>
      </c>
      <c r="AE69" s="83" t="n">
        <f aca="false">AE68*'Assumption Setting'!$C$68</f>
        <v>30.0581116355644</v>
      </c>
      <c r="AF69" s="83" t="n">
        <f aca="false">AF68*'Assumption Setting'!$C$68</f>
        <v>30.0581116355644</v>
      </c>
      <c r="AG69" s="83" t="n">
        <f aca="false">AG68*'Assumption Setting'!$C$68</f>
        <v>30.0581116355644</v>
      </c>
      <c r="AH69" s="83" t="n">
        <f aca="false">AH68*'Assumption Setting'!$C$68</f>
        <v>30.0581116355644</v>
      </c>
      <c r="AI69" s="83" t="n">
        <f aca="false">AI68*'Assumption Setting'!$C$68</f>
        <v>30.0581116355644</v>
      </c>
      <c r="AJ69" s="83" t="n">
        <f aca="false">AJ68*'Assumption Setting'!$C$68</f>
        <v>30.0581116355644</v>
      </c>
      <c r="AK69" s="83" t="n">
        <f aca="false">AK68*'Assumption Setting'!$C$68</f>
        <v>30.0581116355644</v>
      </c>
      <c r="AL69" s="83" t="n">
        <f aca="false">AL68*'Assumption Setting'!$C$68</f>
        <v>30.0581116355644</v>
      </c>
      <c r="AM69" s="83" t="n">
        <f aca="false">AM68*'Assumption Setting'!$C$68</f>
        <v>30.0581116355644</v>
      </c>
      <c r="AN69" s="83" t="n">
        <f aca="false">AN68*'Assumption Setting'!$C$68</f>
        <v>30.0581116355644</v>
      </c>
      <c r="AO69" s="80" t="n">
        <f aca="false">SUM(AP69:BA69)</f>
        <v>467.783345904655</v>
      </c>
      <c r="AP69" s="83" t="n">
        <f aca="false">AP68*'Assumption Setting'!$C$68</f>
        <v>38.9819454920546</v>
      </c>
      <c r="AQ69" s="83" t="n">
        <f aca="false">AQ68*'Assumption Setting'!$C$68</f>
        <v>38.9819454920546</v>
      </c>
      <c r="AR69" s="83" t="n">
        <f aca="false">AR68*'Assumption Setting'!$C$68</f>
        <v>38.9819454920546</v>
      </c>
      <c r="AS69" s="83" t="n">
        <f aca="false">AS68*'Assumption Setting'!$C$68</f>
        <v>38.9819454920546</v>
      </c>
      <c r="AT69" s="83" t="n">
        <f aca="false">AT68*'Assumption Setting'!$C$68</f>
        <v>38.9819454920546</v>
      </c>
      <c r="AU69" s="83" t="n">
        <f aca="false">AU68*'Assumption Setting'!$C$68</f>
        <v>38.9819454920546</v>
      </c>
      <c r="AV69" s="83" t="n">
        <f aca="false">AV68*'Assumption Setting'!$C$68</f>
        <v>38.9819454920546</v>
      </c>
      <c r="AW69" s="83" t="n">
        <f aca="false">AW68*'Assumption Setting'!$C$68</f>
        <v>38.9819454920546</v>
      </c>
      <c r="AX69" s="83" t="n">
        <f aca="false">AX68*'Assumption Setting'!$C$68</f>
        <v>38.9819454920546</v>
      </c>
      <c r="AY69" s="83" t="n">
        <f aca="false">AY68*'Assumption Setting'!$C$68</f>
        <v>38.9819454920546</v>
      </c>
      <c r="AZ69" s="83" t="n">
        <f aca="false">AZ68*'Assumption Setting'!$C$68</f>
        <v>38.9819454920546</v>
      </c>
      <c r="BA69" s="83" t="n">
        <f aca="false">BA68*'Assumption Setting'!$C$68</f>
        <v>38.9819454920546</v>
      </c>
      <c r="BB69" s="80" t="n">
        <f aca="false">SUM(BC69:BN69)</f>
        <v>574.672064657263</v>
      </c>
      <c r="BC69" s="83" t="n">
        <f aca="false">BC68*'Assumption Setting'!$C$68</f>
        <v>47.8893387214386</v>
      </c>
      <c r="BD69" s="83" t="n">
        <f aca="false">BD68*'Assumption Setting'!$C$68</f>
        <v>47.8893387214386</v>
      </c>
      <c r="BE69" s="83" t="n">
        <f aca="false">BE68*'Assumption Setting'!$C$68</f>
        <v>47.8893387214386</v>
      </c>
      <c r="BF69" s="83" t="n">
        <f aca="false">BF68*'Assumption Setting'!$C$68</f>
        <v>47.8893387214386</v>
      </c>
      <c r="BG69" s="83" t="n">
        <f aca="false">BG68*'Assumption Setting'!$C$68</f>
        <v>47.8893387214386</v>
      </c>
      <c r="BH69" s="83" t="n">
        <f aca="false">BH68*'Assumption Setting'!$C$68</f>
        <v>47.8893387214386</v>
      </c>
      <c r="BI69" s="83" t="n">
        <f aca="false">BI68*'Assumption Setting'!$C$68</f>
        <v>47.8893387214386</v>
      </c>
      <c r="BJ69" s="83" t="n">
        <f aca="false">BJ68*'Assumption Setting'!$C$68</f>
        <v>47.8893387214386</v>
      </c>
      <c r="BK69" s="83" t="n">
        <f aca="false">BK68*'Assumption Setting'!$C$68</f>
        <v>47.8893387214386</v>
      </c>
      <c r="BL69" s="83" t="n">
        <f aca="false">BL68*'Assumption Setting'!$C$68</f>
        <v>47.8893387214386</v>
      </c>
      <c r="BM69" s="83" t="n">
        <f aca="false">BM68*'Assumption Setting'!$C$68</f>
        <v>47.8893387214386</v>
      </c>
      <c r="BN69" s="83" t="n">
        <f aca="false">BN68*'Assumption Setting'!$C$68</f>
        <v>47.8893387214386</v>
      </c>
    </row>
    <row r="70" customFormat="false" ht="15" hidden="false" customHeight="false" outlineLevel="0" collapsed="false">
      <c r="A70" s="12" t="s">
        <v>616</v>
      </c>
      <c r="B70" s="80" t="n">
        <f aca="false">SUM(C70:N70)</f>
        <v>62.6302673444316</v>
      </c>
      <c r="C70" s="81" t="n">
        <f aca="false">C69*'Assumption Setting'!$D$68</f>
        <v>5.2191889453693</v>
      </c>
      <c r="D70" s="81" t="n">
        <f aca="false">D69*'Assumption Setting'!$D$68</f>
        <v>5.2191889453693</v>
      </c>
      <c r="E70" s="81" t="n">
        <f aca="false">E69*'Assumption Setting'!$D$68</f>
        <v>5.2191889453693</v>
      </c>
      <c r="F70" s="81" t="n">
        <f aca="false">F69*'Assumption Setting'!$D$68</f>
        <v>5.2191889453693</v>
      </c>
      <c r="G70" s="81" t="n">
        <f aca="false">G69*'Assumption Setting'!$D$68</f>
        <v>5.2191889453693</v>
      </c>
      <c r="H70" s="81" t="n">
        <f aca="false">H69*'Assumption Setting'!$D$68</f>
        <v>5.2191889453693</v>
      </c>
      <c r="I70" s="81" t="n">
        <f aca="false">I69*'Assumption Setting'!$D$68</f>
        <v>5.2191889453693</v>
      </c>
      <c r="J70" s="81" t="n">
        <f aca="false">J69*'Assumption Setting'!$D$68</f>
        <v>5.2191889453693</v>
      </c>
      <c r="K70" s="81" t="n">
        <f aca="false">K69*'Assumption Setting'!$D$68</f>
        <v>5.2191889453693</v>
      </c>
      <c r="L70" s="81" t="n">
        <f aca="false">L69*'Assumption Setting'!$D$68</f>
        <v>5.2191889453693</v>
      </c>
      <c r="M70" s="81" t="n">
        <f aca="false">M69*'Assumption Setting'!$D$68</f>
        <v>5.2191889453693</v>
      </c>
      <c r="N70" s="81" t="n">
        <f aca="false">N69*'Assumption Setting'!$D$68</f>
        <v>5.2191889453693</v>
      </c>
      <c r="O70" s="80" t="n">
        <f aca="false">SUM(P70:AA70)</f>
        <v>96.1984884292028</v>
      </c>
      <c r="P70" s="81" t="n">
        <f aca="false">P69*'Assumption Setting'!$D$68</f>
        <v>8.01654070243357</v>
      </c>
      <c r="Q70" s="81" t="n">
        <f aca="false">Q69*'Assumption Setting'!$D$68</f>
        <v>8.01654070243357</v>
      </c>
      <c r="R70" s="81" t="n">
        <f aca="false">R69*'Assumption Setting'!$D$68</f>
        <v>8.01654070243357</v>
      </c>
      <c r="S70" s="81" t="n">
        <f aca="false">S69*'Assumption Setting'!$D$68</f>
        <v>8.01654070243357</v>
      </c>
      <c r="T70" s="81" t="n">
        <f aca="false">T69*'Assumption Setting'!$D$68</f>
        <v>8.01654070243357</v>
      </c>
      <c r="U70" s="81" t="n">
        <f aca="false">U69*'Assumption Setting'!$D$68</f>
        <v>8.01654070243357</v>
      </c>
      <c r="V70" s="81" t="n">
        <f aca="false">V69*'Assumption Setting'!$D$68</f>
        <v>8.01654070243357</v>
      </c>
      <c r="W70" s="81" t="n">
        <f aca="false">W69*'Assumption Setting'!$D$68</f>
        <v>8.01654070243357</v>
      </c>
      <c r="X70" s="81" t="n">
        <f aca="false">X69*'Assumption Setting'!$D$68</f>
        <v>8.01654070243357</v>
      </c>
      <c r="Y70" s="81" t="n">
        <f aca="false">Y69*'Assumption Setting'!$D$68</f>
        <v>8.01654070243357</v>
      </c>
      <c r="Z70" s="81" t="n">
        <f aca="false">Z69*'Assumption Setting'!$D$68</f>
        <v>8.01654070243357</v>
      </c>
      <c r="AA70" s="81" t="n">
        <f aca="false">AA69*'Assumption Setting'!$D$68</f>
        <v>8.01654070243357</v>
      </c>
      <c r="AB70" s="80" t="n">
        <f aca="false">SUM(AC70:AN70)</f>
        <v>144.278935850709</v>
      </c>
      <c r="AC70" s="81" t="n">
        <f aca="false">AC69*'Assumption Setting'!$D$68</f>
        <v>12.0232446542258</v>
      </c>
      <c r="AD70" s="81" t="n">
        <f aca="false">AD69*'Assumption Setting'!$D$68</f>
        <v>12.0232446542258</v>
      </c>
      <c r="AE70" s="81" t="n">
        <f aca="false">AE69*'Assumption Setting'!$D$68</f>
        <v>12.0232446542258</v>
      </c>
      <c r="AF70" s="81" t="n">
        <f aca="false">AF69*'Assumption Setting'!$D$68</f>
        <v>12.0232446542258</v>
      </c>
      <c r="AG70" s="81" t="n">
        <f aca="false">AG69*'Assumption Setting'!$D$68</f>
        <v>12.0232446542258</v>
      </c>
      <c r="AH70" s="81" t="n">
        <f aca="false">AH69*'Assumption Setting'!$D$68</f>
        <v>12.0232446542258</v>
      </c>
      <c r="AI70" s="81" t="n">
        <f aca="false">AI69*'Assumption Setting'!$D$68</f>
        <v>12.0232446542258</v>
      </c>
      <c r="AJ70" s="81" t="n">
        <f aca="false">AJ69*'Assumption Setting'!$D$68</f>
        <v>12.0232446542258</v>
      </c>
      <c r="AK70" s="81" t="n">
        <f aca="false">AK69*'Assumption Setting'!$D$68</f>
        <v>12.0232446542258</v>
      </c>
      <c r="AL70" s="81" t="n">
        <f aca="false">AL69*'Assumption Setting'!$D$68</f>
        <v>12.0232446542258</v>
      </c>
      <c r="AM70" s="81" t="n">
        <f aca="false">AM69*'Assumption Setting'!$D$68</f>
        <v>12.0232446542258</v>
      </c>
      <c r="AN70" s="81" t="n">
        <f aca="false">AN69*'Assumption Setting'!$D$68</f>
        <v>12.0232446542258</v>
      </c>
      <c r="AO70" s="80" t="n">
        <f aca="false">SUM(AP70:BA70)</f>
        <v>187.113338361862</v>
      </c>
      <c r="AP70" s="81" t="n">
        <f aca="false">AP69*'Assumption Setting'!$D$68</f>
        <v>15.5927781968218</v>
      </c>
      <c r="AQ70" s="81" t="n">
        <f aca="false">AQ69*'Assumption Setting'!$D$68</f>
        <v>15.5927781968218</v>
      </c>
      <c r="AR70" s="81" t="n">
        <f aca="false">AR69*'Assumption Setting'!$D$68</f>
        <v>15.5927781968218</v>
      </c>
      <c r="AS70" s="81" t="n">
        <f aca="false">AS69*'Assumption Setting'!$D$68</f>
        <v>15.5927781968218</v>
      </c>
      <c r="AT70" s="81" t="n">
        <f aca="false">AT69*'Assumption Setting'!$D$68</f>
        <v>15.5927781968218</v>
      </c>
      <c r="AU70" s="81" t="n">
        <f aca="false">AU69*'Assumption Setting'!$D$68</f>
        <v>15.5927781968218</v>
      </c>
      <c r="AV70" s="81" t="n">
        <f aca="false">AV69*'Assumption Setting'!$D$68</f>
        <v>15.5927781968218</v>
      </c>
      <c r="AW70" s="81" t="n">
        <f aca="false">AW69*'Assumption Setting'!$D$68</f>
        <v>15.5927781968218</v>
      </c>
      <c r="AX70" s="81" t="n">
        <f aca="false">AX69*'Assumption Setting'!$D$68</f>
        <v>15.5927781968218</v>
      </c>
      <c r="AY70" s="81" t="n">
        <f aca="false">AY69*'Assumption Setting'!$D$68</f>
        <v>15.5927781968218</v>
      </c>
      <c r="AZ70" s="81" t="n">
        <f aca="false">AZ69*'Assumption Setting'!$D$68</f>
        <v>15.5927781968218</v>
      </c>
      <c r="BA70" s="81" t="n">
        <f aca="false">BA69*'Assumption Setting'!$D$68</f>
        <v>15.5927781968218</v>
      </c>
      <c r="BB70" s="80" t="n">
        <f aca="false">SUM(BC70:BN70)</f>
        <v>229.868825862905</v>
      </c>
      <c r="BC70" s="81" t="n">
        <f aca="false">BC69*'Assumption Setting'!$D$68</f>
        <v>19.1557354885754</v>
      </c>
      <c r="BD70" s="81" t="n">
        <f aca="false">BD69*'Assumption Setting'!$D$68</f>
        <v>19.1557354885754</v>
      </c>
      <c r="BE70" s="81" t="n">
        <f aca="false">BE69*'Assumption Setting'!$D$68</f>
        <v>19.1557354885754</v>
      </c>
      <c r="BF70" s="81" t="n">
        <f aca="false">BF69*'Assumption Setting'!$D$68</f>
        <v>19.1557354885754</v>
      </c>
      <c r="BG70" s="81" t="n">
        <f aca="false">BG69*'Assumption Setting'!$D$68</f>
        <v>19.1557354885754</v>
      </c>
      <c r="BH70" s="81" t="n">
        <f aca="false">BH69*'Assumption Setting'!$D$68</f>
        <v>19.1557354885754</v>
      </c>
      <c r="BI70" s="81" t="n">
        <f aca="false">BI69*'Assumption Setting'!$D$68</f>
        <v>19.1557354885754</v>
      </c>
      <c r="BJ70" s="81" t="n">
        <f aca="false">BJ69*'Assumption Setting'!$D$68</f>
        <v>19.1557354885754</v>
      </c>
      <c r="BK70" s="81" t="n">
        <f aca="false">BK69*'Assumption Setting'!$D$68</f>
        <v>19.1557354885754</v>
      </c>
      <c r="BL70" s="81" t="n">
        <f aca="false">BL69*'Assumption Setting'!$D$68</f>
        <v>19.1557354885754</v>
      </c>
      <c r="BM70" s="81" t="n">
        <f aca="false">BM69*'Assumption Setting'!$D$68</f>
        <v>19.1557354885754</v>
      </c>
      <c r="BN70" s="81" t="n">
        <f aca="false">BN69*'Assumption Setting'!$D$68</f>
        <v>19.1557354885754</v>
      </c>
    </row>
    <row r="71" customFormat="false" ht="15" hidden="false" customHeight="false" outlineLevel="0" collapsed="false">
      <c r="A71" s="12" t="s">
        <v>617</v>
      </c>
      <c r="B71" s="80" t="n">
        <f aca="false">SUM(C71:N71)</f>
        <v>28.1836203049942</v>
      </c>
      <c r="C71" s="81" t="n">
        <f aca="false">C70*'Assumption Setting'!$E$68</f>
        <v>2.34863502541618</v>
      </c>
      <c r="D71" s="81" t="n">
        <f aca="false">D70*'Assumption Setting'!$E$68</f>
        <v>2.34863502541618</v>
      </c>
      <c r="E71" s="81" t="n">
        <f aca="false">E70*'Assumption Setting'!$E$68</f>
        <v>2.34863502541618</v>
      </c>
      <c r="F71" s="81" t="n">
        <f aca="false">F70*'Assumption Setting'!$E$68</f>
        <v>2.34863502541618</v>
      </c>
      <c r="G71" s="81" t="n">
        <f aca="false">G70*'Assumption Setting'!$E$68</f>
        <v>2.34863502541618</v>
      </c>
      <c r="H71" s="81" t="n">
        <f aca="false">H70*'Assumption Setting'!$E$68</f>
        <v>2.34863502541618</v>
      </c>
      <c r="I71" s="81" t="n">
        <f aca="false">I70*'Assumption Setting'!$E$68</f>
        <v>2.34863502541618</v>
      </c>
      <c r="J71" s="81" t="n">
        <f aca="false">J70*'Assumption Setting'!$E$68</f>
        <v>2.34863502541618</v>
      </c>
      <c r="K71" s="81" t="n">
        <f aca="false">K70*'Assumption Setting'!$E$68</f>
        <v>2.34863502541618</v>
      </c>
      <c r="L71" s="81" t="n">
        <f aca="false">L70*'Assumption Setting'!$E$68</f>
        <v>2.34863502541618</v>
      </c>
      <c r="M71" s="81" t="n">
        <f aca="false">M70*'Assumption Setting'!$E$68</f>
        <v>2.34863502541618</v>
      </c>
      <c r="N71" s="81" t="n">
        <f aca="false">N70*'Assumption Setting'!$E$68</f>
        <v>2.34863502541618</v>
      </c>
      <c r="O71" s="80" t="n">
        <f aca="false">SUM(P71:AA71)</f>
        <v>43.2893197931413</v>
      </c>
      <c r="P71" s="81" t="n">
        <f aca="false">P70*'Assumption Setting'!$E$68</f>
        <v>3.60744331609511</v>
      </c>
      <c r="Q71" s="81" t="n">
        <f aca="false">Q70*'Assumption Setting'!$E$68</f>
        <v>3.60744331609511</v>
      </c>
      <c r="R71" s="81" t="n">
        <f aca="false">R70*'Assumption Setting'!$E$68</f>
        <v>3.60744331609511</v>
      </c>
      <c r="S71" s="81" t="n">
        <f aca="false">S70*'Assumption Setting'!$E$68</f>
        <v>3.60744331609511</v>
      </c>
      <c r="T71" s="81" t="n">
        <f aca="false">T70*'Assumption Setting'!$E$68</f>
        <v>3.60744331609511</v>
      </c>
      <c r="U71" s="81" t="n">
        <f aca="false">U70*'Assumption Setting'!$E$68</f>
        <v>3.60744331609511</v>
      </c>
      <c r="V71" s="81" t="n">
        <f aca="false">V70*'Assumption Setting'!$E$68</f>
        <v>3.60744331609511</v>
      </c>
      <c r="W71" s="81" t="n">
        <f aca="false">W70*'Assumption Setting'!$E$68</f>
        <v>3.60744331609511</v>
      </c>
      <c r="X71" s="81" t="n">
        <f aca="false">X70*'Assumption Setting'!$E$68</f>
        <v>3.60744331609511</v>
      </c>
      <c r="Y71" s="81" t="n">
        <f aca="false">Y70*'Assumption Setting'!$E$68</f>
        <v>3.60744331609511</v>
      </c>
      <c r="Z71" s="81" t="n">
        <f aca="false">Z70*'Assumption Setting'!$E$68</f>
        <v>3.60744331609511</v>
      </c>
      <c r="AA71" s="81" t="n">
        <f aca="false">AA70*'Assumption Setting'!$E$68</f>
        <v>3.60744331609511</v>
      </c>
      <c r="AB71" s="80" t="n">
        <f aca="false">SUM(AC71:AN71)</f>
        <v>64.9255211328192</v>
      </c>
      <c r="AC71" s="81" t="n">
        <f aca="false">AC70*'Assumption Setting'!$E$68</f>
        <v>5.4104600944016</v>
      </c>
      <c r="AD71" s="81" t="n">
        <f aca="false">AD70*'Assumption Setting'!$E$68</f>
        <v>5.4104600944016</v>
      </c>
      <c r="AE71" s="81" t="n">
        <f aca="false">AE70*'Assumption Setting'!$E$68</f>
        <v>5.4104600944016</v>
      </c>
      <c r="AF71" s="81" t="n">
        <f aca="false">AF70*'Assumption Setting'!$E$68</f>
        <v>5.4104600944016</v>
      </c>
      <c r="AG71" s="81" t="n">
        <f aca="false">AG70*'Assumption Setting'!$E$68</f>
        <v>5.4104600944016</v>
      </c>
      <c r="AH71" s="81" t="n">
        <f aca="false">AH70*'Assumption Setting'!$E$68</f>
        <v>5.4104600944016</v>
      </c>
      <c r="AI71" s="81" t="n">
        <f aca="false">AI70*'Assumption Setting'!$E$68</f>
        <v>5.4104600944016</v>
      </c>
      <c r="AJ71" s="81" t="n">
        <f aca="false">AJ70*'Assumption Setting'!$E$68</f>
        <v>5.4104600944016</v>
      </c>
      <c r="AK71" s="81" t="n">
        <f aca="false">AK70*'Assumption Setting'!$E$68</f>
        <v>5.4104600944016</v>
      </c>
      <c r="AL71" s="81" t="n">
        <f aca="false">AL70*'Assumption Setting'!$E$68</f>
        <v>5.4104600944016</v>
      </c>
      <c r="AM71" s="81" t="n">
        <f aca="false">AM70*'Assumption Setting'!$E$68</f>
        <v>5.4104600944016</v>
      </c>
      <c r="AN71" s="81" t="n">
        <f aca="false">AN70*'Assumption Setting'!$E$68</f>
        <v>5.4104600944016</v>
      </c>
      <c r="AO71" s="80" t="n">
        <f aca="false">SUM(AP71:BA71)</f>
        <v>84.201002262838</v>
      </c>
      <c r="AP71" s="81" t="n">
        <f aca="false">AP70*'Assumption Setting'!$E$68</f>
        <v>7.01675018856983</v>
      </c>
      <c r="AQ71" s="81" t="n">
        <f aca="false">AQ70*'Assumption Setting'!$E$68</f>
        <v>7.01675018856983</v>
      </c>
      <c r="AR71" s="81" t="n">
        <f aca="false">AR70*'Assumption Setting'!$E$68</f>
        <v>7.01675018856983</v>
      </c>
      <c r="AS71" s="81" t="n">
        <f aca="false">AS70*'Assumption Setting'!$E$68</f>
        <v>7.01675018856983</v>
      </c>
      <c r="AT71" s="81" t="n">
        <f aca="false">AT70*'Assumption Setting'!$E$68</f>
        <v>7.01675018856983</v>
      </c>
      <c r="AU71" s="81" t="n">
        <f aca="false">AU70*'Assumption Setting'!$E$68</f>
        <v>7.01675018856983</v>
      </c>
      <c r="AV71" s="81" t="n">
        <f aca="false">AV70*'Assumption Setting'!$E$68</f>
        <v>7.01675018856983</v>
      </c>
      <c r="AW71" s="81" t="n">
        <f aca="false">AW70*'Assumption Setting'!$E$68</f>
        <v>7.01675018856983</v>
      </c>
      <c r="AX71" s="81" t="n">
        <f aca="false">AX70*'Assumption Setting'!$E$68</f>
        <v>7.01675018856983</v>
      </c>
      <c r="AY71" s="81" t="n">
        <f aca="false">AY70*'Assumption Setting'!$E$68</f>
        <v>7.01675018856983</v>
      </c>
      <c r="AZ71" s="81" t="n">
        <f aca="false">AZ70*'Assumption Setting'!$E$68</f>
        <v>7.01675018856983</v>
      </c>
      <c r="BA71" s="81" t="n">
        <f aca="false">BA70*'Assumption Setting'!$E$68</f>
        <v>7.01675018856983</v>
      </c>
      <c r="BB71" s="80" t="n">
        <f aca="false">SUM(BC71:BN71)</f>
        <v>103.440971638307</v>
      </c>
      <c r="BC71" s="81" t="n">
        <f aca="false">BC70*'Assumption Setting'!$E$68</f>
        <v>8.62008096985894</v>
      </c>
      <c r="BD71" s="81" t="n">
        <f aca="false">BD70*'Assumption Setting'!$E$68</f>
        <v>8.62008096985894</v>
      </c>
      <c r="BE71" s="81" t="n">
        <f aca="false">BE70*'Assumption Setting'!$E$68</f>
        <v>8.62008096985894</v>
      </c>
      <c r="BF71" s="81" t="n">
        <f aca="false">BF70*'Assumption Setting'!$E$68</f>
        <v>8.62008096985894</v>
      </c>
      <c r="BG71" s="81" t="n">
        <f aca="false">BG70*'Assumption Setting'!$E$68</f>
        <v>8.62008096985894</v>
      </c>
      <c r="BH71" s="81" t="n">
        <f aca="false">BH70*'Assumption Setting'!$E$68</f>
        <v>8.62008096985894</v>
      </c>
      <c r="BI71" s="81" t="n">
        <f aca="false">BI70*'Assumption Setting'!$E$68</f>
        <v>8.62008096985894</v>
      </c>
      <c r="BJ71" s="81" t="n">
        <f aca="false">BJ70*'Assumption Setting'!$E$68</f>
        <v>8.62008096985894</v>
      </c>
      <c r="BK71" s="81" t="n">
        <f aca="false">BK70*'Assumption Setting'!$E$68</f>
        <v>8.62008096985894</v>
      </c>
      <c r="BL71" s="81" t="n">
        <f aca="false">BL70*'Assumption Setting'!$E$68</f>
        <v>8.62008096985894</v>
      </c>
      <c r="BM71" s="81" t="n">
        <f aca="false">BM70*'Assumption Setting'!$E$68</f>
        <v>8.62008096985894</v>
      </c>
      <c r="BN71" s="81" t="n">
        <f aca="false">BN70*'Assumption Setting'!$E$68</f>
        <v>8.62008096985894</v>
      </c>
    </row>
    <row r="72" customFormat="false" ht="15" hidden="false" customHeight="false" outlineLevel="0" collapsed="false">
      <c r="A72" s="18" t="s">
        <v>618</v>
      </c>
      <c r="B72" s="80" t="n">
        <f aca="false">SUM(C72:N72)</f>
        <v>5.26094245693225</v>
      </c>
      <c r="C72" s="83" t="n">
        <f aca="true">IF((1-'Assumption Setting'!$G$68)&lt;1,0,OFFSET($A$71,0,2+13*INT(((1-'Assumption Setting'!$G$68)-1)/12)+MOD((1-'Assumption Setting'!$G$68)-1,12)))*'Assumption Setting'!$F$68*'Assumption Setting'!$C$77</f>
        <v>0</v>
      </c>
      <c r="D72" s="83" t="n">
        <f aca="true">IF((2-'Assumption Setting'!$G$68)&lt;1,0,OFFSET($A$71,0,2+13*INT(((2-'Assumption Setting'!$G$68)-1)/12)+MOD((2-'Assumption Setting'!$G$68)-1,12)))*'Assumption Setting'!$F$68*'Assumption Setting'!$C$77</f>
        <v>0</v>
      </c>
      <c r="E72" s="83" t="n">
        <f aca="true">IF((3-'Assumption Setting'!$G$68)&lt;1,0,OFFSET($A$71,0,2+13*INT(((3-'Assumption Setting'!$G$68)-1)/12)+MOD((3-'Assumption Setting'!$G$68)-1,12)))*'Assumption Setting'!$F$68*'Assumption Setting'!$C$77</f>
        <v>0</v>
      </c>
      <c r="F72" s="83" t="n">
        <f aca="true">IF((4-'Assumption Setting'!$G$68)&lt;1,0,OFFSET($A$71,0,2+13*INT(((4-'Assumption Setting'!$G$68)-1)/12)+MOD((4-'Assumption Setting'!$G$68)-1,12)))*'Assumption Setting'!$F$68*'Assumption Setting'!$C$77</f>
        <v>0</v>
      </c>
      <c r="G72" s="83" t="n">
        <f aca="true">IF((5-'Assumption Setting'!$G$68)&lt;1,0,OFFSET($A$71,0,2+13*INT(((5-'Assumption Setting'!$G$68)-1)/12)+MOD((5-'Assumption Setting'!$G$68)-1,12)))*'Assumption Setting'!$F$68*'Assumption Setting'!$C$77</f>
        <v>0.657617807116532</v>
      </c>
      <c r="H72" s="83" t="n">
        <f aca="true">IF((6-'Assumption Setting'!$G$68)&lt;1,0,OFFSET($A$71,0,2+13*INT(((6-'Assumption Setting'!$G$68)-1)/12)+MOD((6-'Assumption Setting'!$G$68)-1,12)))*'Assumption Setting'!$F$68*'Assumption Setting'!$C$77</f>
        <v>0.657617807116532</v>
      </c>
      <c r="I72" s="83" t="n">
        <f aca="true">IF((7-'Assumption Setting'!$G$68)&lt;1,0,OFFSET($A$71,0,2+13*INT(((7-'Assumption Setting'!$G$68)-1)/12)+MOD((7-'Assumption Setting'!$G$68)-1,12)))*'Assumption Setting'!$F$68*'Assumption Setting'!$C$77</f>
        <v>0.657617807116532</v>
      </c>
      <c r="J72" s="83" t="n">
        <f aca="true">IF((8-'Assumption Setting'!$G$68)&lt;1,0,OFFSET($A$71,0,2+13*INT(((8-'Assumption Setting'!$G$68)-1)/12)+MOD((8-'Assumption Setting'!$G$68)-1,12)))*'Assumption Setting'!$F$68*'Assumption Setting'!$C$77</f>
        <v>0.657617807116532</v>
      </c>
      <c r="K72" s="83" t="n">
        <f aca="true">IF((9-'Assumption Setting'!$G$68)&lt;1,0,OFFSET($A$71,0,2+13*INT(((9-'Assumption Setting'!$G$68)-1)/12)+MOD((9-'Assumption Setting'!$G$68)-1,12)))*'Assumption Setting'!$F$68*'Assumption Setting'!$C$77</f>
        <v>0.657617807116532</v>
      </c>
      <c r="L72" s="83" t="n">
        <f aca="true">IF((10-'Assumption Setting'!$G$68)&lt;1,0,OFFSET($A$71,0,2+13*INT(((10-'Assumption Setting'!$G$68)-1)/12)+MOD((10-'Assumption Setting'!$G$68)-1,12)))*'Assumption Setting'!$F$68*'Assumption Setting'!$C$77</f>
        <v>0.657617807116532</v>
      </c>
      <c r="M72" s="83" t="n">
        <f aca="true">IF((11-'Assumption Setting'!$G$68)&lt;1,0,OFFSET($A$71,0,2+13*INT(((11-'Assumption Setting'!$G$68)-1)/12)+MOD((11-'Assumption Setting'!$G$68)-1,12)))*'Assumption Setting'!$F$68*'Assumption Setting'!$C$77</f>
        <v>0.657617807116532</v>
      </c>
      <c r="N72" s="83" t="n">
        <f aca="true">IF((12-'Assumption Setting'!$G$68)&lt;1,0,OFFSET($A$71,0,2+13*INT(((12-'Assumption Setting'!$G$68)-1)/12)+MOD((12-'Assumption Setting'!$G$68)-1,12)))*'Assumption Setting'!$F$68*'Assumption Setting'!$C$77</f>
        <v>0.657617807116532</v>
      </c>
      <c r="O72" s="80" t="n">
        <f aca="false">SUM(P72:AA72)</f>
        <v>11.7822586821711</v>
      </c>
      <c r="P72" s="83" t="n">
        <f aca="true">IF((13-'Assumption Setting'!$G$68)&lt;1,0,OFFSET($A$71,0,2+13*INT(((13-'Assumption Setting'!$G$68)-1)/12)+MOD((13-'Assumption Setting'!$G$68)-1,12)))*'Assumption Setting'!$F$68*'Assumption Setting'!$D$77</f>
        <v>0.723379587828185</v>
      </c>
      <c r="Q72" s="83" t="n">
        <f aca="true">IF((14-'Assumption Setting'!$G$68)&lt;1,0,OFFSET($A$71,0,2+13*INT(((14-'Assumption Setting'!$G$68)-1)/12)+MOD((14-'Assumption Setting'!$G$68)-1,12)))*'Assumption Setting'!$F$68*'Assumption Setting'!$D$77</f>
        <v>0.723379587828185</v>
      </c>
      <c r="R72" s="83" t="n">
        <f aca="true">IF((15-'Assumption Setting'!$G$68)&lt;1,0,OFFSET($A$71,0,2+13*INT(((15-'Assumption Setting'!$G$68)-1)/12)+MOD((15-'Assumption Setting'!$G$68)-1,12)))*'Assumption Setting'!$F$68*'Assumption Setting'!$D$77</f>
        <v>0.723379587828185</v>
      </c>
      <c r="S72" s="83" t="n">
        <f aca="true">IF((16-'Assumption Setting'!$G$68)&lt;1,0,OFFSET($A$71,0,2+13*INT(((16-'Assumption Setting'!$G$68)-1)/12)+MOD((16-'Assumption Setting'!$G$68)-1,12)))*'Assumption Setting'!$F$68*'Assumption Setting'!$D$77</f>
        <v>0.723379587828185</v>
      </c>
      <c r="T72" s="83" t="n">
        <f aca="true">IF((17-'Assumption Setting'!$G$68)&lt;1,0,OFFSET($A$71,0,2+13*INT(((17-'Assumption Setting'!$G$68)-1)/12)+MOD((17-'Assumption Setting'!$G$68)-1,12)))*'Assumption Setting'!$F$68*'Assumption Setting'!$D$77</f>
        <v>1.11109254135729</v>
      </c>
      <c r="U72" s="83" t="n">
        <f aca="true">IF((18-'Assumption Setting'!$G$68)&lt;1,0,OFFSET($A$71,0,2+13*INT(((18-'Assumption Setting'!$G$68)-1)/12)+MOD((18-'Assumption Setting'!$G$68)-1,12)))*'Assumption Setting'!$F$68*'Assumption Setting'!$D$77</f>
        <v>1.11109254135729</v>
      </c>
      <c r="V72" s="83" t="n">
        <f aca="true">IF((19-'Assumption Setting'!$G$68)&lt;1,0,OFFSET($A$71,0,2+13*INT(((19-'Assumption Setting'!$G$68)-1)/12)+MOD((19-'Assumption Setting'!$G$68)-1,12)))*'Assumption Setting'!$F$68*'Assumption Setting'!$D$77</f>
        <v>1.11109254135729</v>
      </c>
      <c r="W72" s="83" t="n">
        <f aca="true">IF((20-'Assumption Setting'!$G$68)&lt;1,0,OFFSET($A$71,0,2+13*INT(((20-'Assumption Setting'!$G$68)-1)/12)+MOD((20-'Assumption Setting'!$G$68)-1,12)))*'Assumption Setting'!$F$68*'Assumption Setting'!$D$77</f>
        <v>1.11109254135729</v>
      </c>
      <c r="X72" s="83" t="n">
        <f aca="true">IF((21-'Assumption Setting'!$G$68)&lt;1,0,OFFSET($A$71,0,2+13*INT(((21-'Assumption Setting'!$G$68)-1)/12)+MOD((21-'Assumption Setting'!$G$68)-1,12)))*'Assumption Setting'!$F$68*'Assumption Setting'!$D$77</f>
        <v>1.11109254135729</v>
      </c>
      <c r="Y72" s="83" t="n">
        <f aca="true">IF((22-'Assumption Setting'!$G$68)&lt;1,0,OFFSET($A$71,0,2+13*INT(((22-'Assumption Setting'!$G$68)-1)/12)+MOD((22-'Assumption Setting'!$G$68)-1,12)))*'Assumption Setting'!$F$68*'Assumption Setting'!$D$77</f>
        <v>1.11109254135729</v>
      </c>
      <c r="Z72" s="83" t="n">
        <f aca="true">IF((23-'Assumption Setting'!$G$68)&lt;1,0,OFFSET($A$71,0,2+13*INT(((23-'Assumption Setting'!$G$68)-1)/12)+MOD((23-'Assumption Setting'!$G$68)-1,12)))*'Assumption Setting'!$F$68*'Assumption Setting'!$D$77</f>
        <v>1.11109254135729</v>
      </c>
      <c r="AA72" s="83" t="n">
        <f aca="true">IF((24-'Assumption Setting'!$G$68)&lt;1,0,OFFSET($A$71,0,2+13*INT(((24-'Assumption Setting'!$G$68)-1)/12)+MOD((24-'Assumption Setting'!$G$68)-1,12)))*'Assumption Setting'!$F$68*'Assumption Setting'!$D$77</f>
        <v>1.11109254135729</v>
      </c>
      <c r="AB72" s="80" t="n">
        <f aca="false">SUM(AC72:AN72)</f>
        <v>19.3917205505833</v>
      </c>
      <c r="AC72" s="83" t="n">
        <f aca="true">IF((25-'Assumption Setting'!$G$68)&lt;1,0,OFFSET($A$71,0,2+13*INT(((25-'Assumption Setting'!$G$68)-1)/12)+MOD((25-'Assumption Setting'!$G$68)-1,12)))*'Assumption Setting'!$F$68*'Assumption Setting'!$E$77</f>
        <v>1.21210095420796</v>
      </c>
      <c r="AD72" s="83" t="n">
        <f aca="true">IF((26-'Assumption Setting'!$G$68)&lt;1,0,OFFSET($A$71,0,2+13*INT(((26-'Assumption Setting'!$G$68)-1)/12)+MOD((26-'Assumption Setting'!$G$68)-1,12)))*'Assumption Setting'!$F$68*'Assumption Setting'!$E$77</f>
        <v>1.21210095420796</v>
      </c>
      <c r="AE72" s="83" t="n">
        <f aca="true">IF((27-'Assumption Setting'!$G$68)&lt;1,0,OFFSET($A$71,0,2+13*INT(((27-'Assumption Setting'!$G$68)-1)/12)+MOD((27-'Assumption Setting'!$G$68)-1,12)))*'Assumption Setting'!$F$68*'Assumption Setting'!$E$77</f>
        <v>1.21210095420796</v>
      </c>
      <c r="AF72" s="83" t="n">
        <f aca="true">IF((28-'Assumption Setting'!$G$68)&lt;1,0,OFFSET($A$71,0,2+13*INT(((28-'Assumption Setting'!$G$68)-1)/12)+MOD((28-'Assumption Setting'!$G$68)-1,12)))*'Assumption Setting'!$F$68*'Assumption Setting'!$E$77</f>
        <v>1.21210095420796</v>
      </c>
      <c r="AG72" s="83" t="n">
        <f aca="true">IF((29-'Assumption Setting'!$G$68)&lt;1,0,OFFSET($A$71,0,2+13*INT(((29-'Assumption Setting'!$G$68)-1)/12)+MOD((29-'Assumption Setting'!$G$68)-1,12)))*'Assumption Setting'!$F$68*'Assumption Setting'!$E$77</f>
        <v>1.81791459171894</v>
      </c>
      <c r="AH72" s="83" t="n">
        <f aca="true">IF((30-'Assumption Setting'!$G$68)&lt;1,0,OFFSET($A$71,0,2+13*INT(((30-'Assumption Setting'!$G$68)-1)/12)+MOD((30-'Assumption Setting'!$G$68)-1,12)))*'Assumption Setting'!$F$68*'Assumption Setting'!$E$77</f>
        <v>1.81791459171894</v>
      </c>
      <c r="AI72" s="83" t="n">
        <f aca="true">IF((31-'Assumption Setting'!$G$68)&lt;1,0,OFFSET($A$71,0,2+13*INT(((31-'Assumption Setting'!$G$68)-1)/12)+MOD((31-'Assumption Setting'!$G$68)-1,12)))*'Assumption Setting'!$F$68*'Assumption Setting'!$E$77</f>
        <v>1.81791459171894</v>
      </c>
      <c r="AJ72" s="83" t="n">
        <f aca="true">IF((32-'Assumption Setting'!$G$68)&lt;1,0,OFFSET($A$71,0,2+13*INT(((32-'Assumption Setting'!$G$68)-1)/12)+MOD((32-'Assumption Setting'!$G$68)-1,12)))*'Assumption Setting'!$F$68*'Assumption Setting'!$E$77</f>
        <v>1.81791459171894</v>
      </c>
      <c r="AK72" s="83" t="n">
        <f aca="true">IF((33-'Assumption Setting'!$G$68)&lt;1,0,OFFSET($A$71,0,2+13*INT(((33-'Assumption Setting'!$G$68)-1)/12)+MOD((33-'Assumption Setting'!$G$68)-1,12)))*'Assumption Setting'!$F$68*'Assumption Setting'!$E$77</f>
        <v>1.81791459171894</v>
      </c>
      <c r="AL72" s="83" t="n">
        <f aca="true">IF((34-'Assumption Setting'!$G$68)&lt;1,0,OFFSET($A$71,0,2+13*INT(((34-'Assumption Setting'!$G$68)-1)/12)+MOD((34-'Assumption Setting'!$G$68)-1,12)))*'Assumption Setting'!$F$68*'Assumption Setting'!$E$77</f>
        <v>1.81791459171894</v>
      </c>
      <c r="AM72" s="83" t="n">
        <f aca="true">IF((35-'Assumption Setting'!$G$68)&lt;1,0,OFFSET($A$71,0,2+13*INT(((35-'Assumption Setting'!$G$68)-1)/12)+MOD((35-'Assumption Setting'!$G$68)-1,12)))*'Assumption Setting'!$F$68*'Assumption Setting'!$E$77</f>
        <v>1.81791459171894</v>
      </c>
      <c r="AN72" s="83" t="n">
        <f aca="true">IF((36-'Assumption Setting'!$G$68)&lt;1,0,OFFSET($A$71,0,2+13*INT(((36-'Assumption Setting'!$G$68)-1)/12)+MOD((36-'Assumption Setting'!$G$68)-1,12)))*'Assumption Setting'!$F$68*'Assumption Setting'!$E$77</f>
        <v>1.81791459171894</v>
      </c>
      <c r="AO72" s="80" t="n">
        <f aca="false">SUM(AP72:BA72)</f>
        <v>27.2215446601578</v>
      </c>
      <c r="AP72" s="83" t="n">
        <f aca="true">IF((37-'Assumption Setting'!$G$68)&lt;1,0,OFFSET($A$71,0,2+13*INT(((37-'Assumption Setting'!$G$68)-1)/12)+MOD((37-'Assumption Setting'!$G$68)-1,12)))*'Assumption Setting'!$F$68*'Assumption Setting'!$F$77</f>
        <v>1.89366103304056</v>
      </c>
      <c r="AQ72" s="83" t="n">
        <f aca="true">IF((38-'Assumption Setting'!$G$68)&lt;1,0,OFFSET($A$71,0,2+13*INT(((38-'Assumption Setting'!$G$68)-1)/12)+MOD((38-'Assumption Setting'!$G$68)-1,12)))*'Assumption Setting'!$F$68*'Assumption Setting'!$F$77</f>
        <v>1.89366103304056</v>
      </c>
      <c r="AR72" s="83" t="n">
        <f aca="true">IF((39-'Assumption Setting'!$G$68)&lt;1,0,OFFSET($A$71,0,2+13*INT(((39-'Assumption Setting'!$G$68)-1)/12)+MOD((39-'Assumption Setting'!$G$68)-1,12)))*'Assumption Setting'!$F$68*'Assumption Setting'!$F$77</f>
        <v>1.89366103304056</v>
      </c>
      <c r="AS72" s="83" t="n">
        <f aca="true">IF((40-'Assumption Setting'!$G$68)&lt;1,0,OFFSET($A$71,0,2+13*INT(((40-'Assumption Setting'!$G$68)-1)/12)+MOD((40-'Assumption Setting'!$G$68)-1,12)))*'Assumption Setting'!$F$68*'Assumption Setting'!$F$77</f>
        <v>1.89366103304056</v>
      </c>
      <c r="AT72" s="83" t="n">
        <f aca="true">IF((41-'Assumption Setting'!$G$68)&lt;1,0,OFFSET($A$71,0,2+13*INT(((41-'Assumption Setting'!$G$68)-1)/12)+MOD((41-'Assumption Setting'!$G$68)-1,12)))*'Assumption Setting'!$F$68*'Assumption Setting'!$F$77</f>
        <v>2.45586256599944</v>
      </c>
      <c r="AU72" s="83" t="n">
        <f aca="true">IF((42-'Assumption Setting'!$G$68)&lt;1,0,OFFSET($A$71,0,2+13*INT(((42-'Assumption Setting'!$G$68)-1)/12)+MOD((42-'Assumption Setting'!$G$68)-1,12)))*'Assumption Setting'!$F$68*'Assumption Setting'!$F$77</f>
        <v>2.45586256599944</v>
      </c>
      <c r="AV72" s="83" t="n">
        <f aca="true">IF((43-'Assumption Setting'!$G$68)&lt;1,0,OFFSET($A$71,0,2+13*INT(((43-'Assumption Setting'!$G$68)-1)/12)+MOD((43-'Assumption Setting'!$G$68)-1,12)))*'Assumption Setting'!$F$68*'Assumption Setting'!$F$77</f>
        <v>2.45586256599944</v>
      </c>
      <c r="AW72" s="83" t="n">
        <f aca="true">IF((44-'Assumption Setting'!$G$68)&lt;1,0,OFFSET($A$71,0,2+13*INT(((44-'Assumption Setting'!$G$68)-1)/12)+MOD((44-'Assumption Setting'!$G$68)-1,12)))*'Assumption Setting'!$F$68*'Assumption Setting'!$F$77</f>
        <v>2.45586256599944</v>
      </c>
      <c r="AX72" s="83" t="n">
        <f aca="true">IF((45-'Assumption Setting'!$G$68)&lt;1,0,OFFSET($A$71,0,2+13*INT(((45-'Assumption Setting'!$G$68)-1)/12)+MOD((45-'Assumption Setting'!$G$68)-1,12)))*'Assumption Setting'!$F$68*'Assumption Setting'!$F$77</f>
        <v>2.45586256599944</v>
      </c>
      <c r="AY72" s="83" t="n">
        <f aca="true">IF((46-'Assumption Setting'!$G$68)&lt;1,0,OFFSET($A$71,0,2+13*INT(((46-'Assumption Setting'!$G$68)-1)/12)+MOD((46-'Assumption Setting'!$G$68)-1,12)))*'Assumption Setting'!$F$68*'Assumption Setting'!$F$77</f>
        <v>2.45586256599944</v>
      </c>
      <c r="AZ72" s="83" t="n">
        <f aca="true">IF((47-'Assumption Setting'!$G$68)&lt;1,0,OFFSET($A$71,0,2+13*INT(((47-'Assumption Setting'!$G$68)-1)/12)+MOD((47-'Assumption Setting'!$G$68)-1,12)))*'Assumption Setting'!$F$68*'Assumption Setting'!$F$77</f>
        <v>2.45586256599944</v>
      </c>
      <c r="BA72" s="83" t="n">
        <f aca="true">IF((48-'Assumption Setting'!$G$68)&lt;1,0,OFFSET($A$71,0,2+13*INT(((48-'Assumption Setting'!$G$68)-1)/12)+MOD((48-'Assumption Setting'!$G$68)-1,12)))*'Assumption Setting'!$F$68*'Assumption Setting'!$F$77</f>
        <v>2.45586256599944</v>
      </c>
      <c r="BB72" s="80" t="n">
        <f aca="false">SUM(BC72:BN72)</f>
        <v>35.3180640587869</v>
      </c>
      <c r="BC72" s="83" t="n">
        <f aca="true">IF((49-'Assumption Setting'!$G$68)&lt;1,0,OFFSET($A$71,0,2+13*INT(((49-'Assumption Setting'!$G$68)-1)/12)+MOD((49-'Assumption Setting'!$G$68)-1,12)))*'Assumption Setting'!$F$68*'Assumption Setting'!$G$77</f>
        <v>2.55409706863942</v>
      </c>
      <c r="BD72" s="83" t="n">
        <f aca="true">IF((50-'Assumption Setting'!$G$68)&lt;1,0,OFFSET($A$71,0,2+13*INT(((50-'Assumption Setting'!$G$68)-1)/12)+MOD((50-'Assumption Setting'!$G$68)-1,12)))*'Assumption Setting'!$F$68*'Assumption Setting'!$G$77</f>
        <v>2.55409706863942</v>
      </c>
      <c r="BE72" s="83" t="n">
        <f aca="true">IF((51-'Assumption Setting'!$G$68)&lt;1,0,OFFSET($A$71,0,2+13*INT(((51-'Assumption Setting'!$G$68)-1)/12)+MOD((51-'Assumption Setting'!$G$68)-1,12)))*'Assumption Setting'!$F$68*'Assumption Setting'!$G$77</f>
        <v>2.55409706863942</v>
      </c>
      <c r="BF72" s="83" t="n">
        <f aca="true">IF((52-'Assumption Setting'!$G$68)&lt;1,0,OFFSET($A$71,0,2+13*INT(((52-'Assumption Setting'!$G$68)-1)/12)+MOD((52-'Assumption Setting'!$G$68)-1,12)))*'Assumption Setting'!$F$68*'Assumption Setting'!$G$77</f>
        <v>2.55409706863942</v>
      </c>
      <c r="BG72" s="83" t="n">
        <f aca="true">IF((53-'Assumption Setting'!$G$68)&lt;1,0,OFFSET($A$71,0,2+13*INT(((53-'Assumption Setting'!$G$68)-1)/12)+MOD((53-'Assumption Setting'!$G$68)-1,12)))*'Assumption Setting'!$F$68*'Assumption Setting'!$G$77</f>
        <v>3.13770947302866</v>
      </c>
      <c r="BH72" s="83" t="n">
        <f aca="true">IF((54-'Assumption Setting'!$G$68)&lt;1,0,OFFSET($A$71,0,2+13*INT(((54-'Assumption Setting'!$G$68)-1)/12)+MOD((54-'Assumption Setting'!$G$68)-1,12)))*'Assumption Setting'!$F$68*'Assumption Setting'!$G$77</f>
        <v>3.13770947302866</v>
      </c>
      <c r="BI72" s="83" t="n">
        <f aca="true">IF((55-'Assumption Setting'!$G$68)&lt;1,0,OFFSET($A$71,0,2+13*INT(((55-'Assumption Setting'!$G$68)-1)/12)+MOD((55-'Assumption Setting'!$G$68)-1,12)))*'Assumption Setting'!$F$68*'Assumption Setting'!$G$77</f>
        <v>3.13770947302866</v>
      </c>
      <c r="BJ72" s="83" t="n">
        <f aca="true">IF((56-'Assumption Setting'!$G$68)&lt;1,0,OFFSET($A$71,0,2+13*INT(((56-'Assumption Setting'!$G$68)-1)/12)+MOD((56-'Assumption Setting'!$G$68)-1,12)))*'Assumption Setting'!$F$68*'Assumption Setting'!$G$77</f>
        <v>3.13770947302866</v>
      </c>
      <c r="BK72" s="83" t="n">
        <f aca="true">IF((57-'Assumption Setting'!$G$68)&lt;1,0,OFFSET($A$71,0,2+13*INT(((57-'Assumption Setting'!$G$68)-1)/12)+MOD((57-'Assumption Setting'!$G$68)-1,12)))*'Assumption Setting'!$F$68*'Assumption Setting'!$G$77</f>
        <v>3.13770947302866</v>
      </c>
      <c r="BL72" s="83" t="n">
        <f aca="true">IF((58-'Assumption Setting'!$G$68)&lt;1,0,OFFSET($A$71,0,2+13*INT(((58-'Assumption Setting'!$G$68)-1)/12)+MOD((58-'Assumption Setting'!$G$68)-1,12)))*'Assumption Setting'!$F$68*'Assumption Setting'!$G$77</f>
        <v>3.13770947302866</v>
      </c>
      <c r="BM72" s="83" t="n">
        <f aca="true">IF((59-'Assumption Setting'!$G$68)&lt;1,0,OFFSET($A$71,0,2+13*INT(((59-'Assumption Setting'!$G$68)-1)/12)+MOD((59-'Assumption Setting'!$G$68)-1,12)))*'Assumption Setting'!$F$68*'Assumption Setting'!$G$77</f>
        <v>3.13770947302866</v>
      </c>
      <c r="BN72" s="83" t="n">
        <f aca="true">IF((60-'Assumption Setting'!$G$68)&lt;1,0,OFFSET($A$71,0,2+13*INT(((60-'Assumption Setting'!$G$68)-1)/12)+MOD((60-'Assumption Setting'!$G$68)-1,12)))*'Assumption Setting'!$F$68*'Assumption Setting'!$G$77</f>
        <v>3.13770947302866</v>
      </c>
    </row>
    <row r="73" customFormat="false" ht="15" hidden="false" customHeight="false" outlineLevel="0" collapsed="false">
      <c r="A73" s="69" t="s">
        <v>619</v>
      </c>
      <c r="B73" s="80" t="n">
        <f aca="false">SUM(C73:N73)</f>
        <v>3.94570684269919</v>
      </c>
      <c r="C73" s="86" t="n">
        <f aca="true">IF((1-'Assumption Setting'!$H$68)&lt;1,0,OFFSET($A$72,0,2+13*INT(((1-'Assumption Setting'!$H$68)-1)/12)+MOD((1-'Assumption Setting'!$H$68)-1,12)))</f>
        <v>0</v>
      </c>
      <c r="D73" s="86" t="n">
        <f aca="true">IF((2-'Assumption Setting'!$H$68)&lt;1,0,OFFSET($A$72,0,2+13*INT(((2-'Assumption Setting'!$H$68)-1)/12)+MOD((2-'Assumption Setting'!$H$68)-1,12)))</f>
        <v>0</v>
      </c>
      <c r="E73" s="86" t="n">
        <f aca="true">IF((3-'Assumption Setting'!$H$68)&lt;1,0,OFFSET($A$72,0,2+13*INT(((3-'Assumption Setting'!$H$68)-1)/12)+MOD((3-'Assumption Setting'!$H$68)-1,12)))</f>
        <v>0</v>
      </c>
      <c r="F73" s="86" t="n">
        <f aca="true">IF((4-'Assumption Setting'!$H$68)&lt;1,0,OFFSET($A$72,0,2+13*INT(((4-'Assumption Setting'!$H$68)-1)/12)+MOD((4-'Assumption Setting'!$H$68)-1,12)))</f>
        <v>0</v>
      </c>
      <c r="G73" s="86" t="n">
        <f aca="true">IF((5-'Assumption Setting'!$H$68)&lt;1,0,OFFSET($A$72,0,2+13*INT(((5-'Assumption Setting'!$H$68)-1)/12)+MOD((5-'Assumption Setting'!$H$68)-1,12)))</f>
        <v>0</v>
      </c>
      <c r="H73" s="86" t="n">
        <f aca="true">IF((6-'Assumption Setting'!$H$68)&lt;1,0,OFFSET($A$72,0,2+13*INT(((6-'Assumption Setting'!$H$68)-1)/12)+MOD((6-'Assumption Setting'!$H$68)-1,12)))</f>
        <v>0</v>
      </c>
      <c r="I73" s="86" t="n">
        <f aca="true">IF((7-'Assumption Setting'!$H$68)&lt;1,0,OFFSET($A$72,0,2+13*INT(((7-'Assumption Setting'!$H$68)-1)/12)+MOD((7-'Assumption Setting'!$H$68)-1,12)))</f>
        <v>0.657617807116532</v>
      </c>
      <c r="J73" s="86" t="n">
        <f aca="true">IF((8-'Assumption Setting'!$H$68)&lt;1,0,OFFSET($A$72,0,2+13*INT(((8-'Assumption Setting'!$H$68)-1)/12)+MOD((8-'Assumption Setting'!$H$68)-1,12)))</f>
        <v>0.657617807116532</v>
      </c>
      <c r="K73" s="86" t="n">
        <f aca="true">IF((9-'Assumption Setting'!$H$68)&lt;1,0,OFFSET($A$72,0,2+13*INT(((9-'Assumption Setting'!$H$68)-1)/12)+MOD((9-'Assumption Setting'!$H$68)-1,12)))</f>
        <v>0.657617807116532</v>
      </c>
      <c r="L73" s="86" t="n">
        <f aca="true">IF((10-'Assumption Setting'!$H$68)&lt;1,0,OFFSET($A$72,0,2+13*INT(((10-'Assumption Setting'!$H$68)-1)/12)+MOD((10-'Assumption Setting'!$H$68)-1,12)))</f>
        <v>0.657617807116532</v>
      </c>
      <c r="M73" s="86" t="n">
        <f aca="true">IF((11-'Assumption Setting'!$H$68)&lt;1,0,OFFSET($A$72,0,2+13*INT(((11-'Assumption Setting'!$H$68)-1)/12)+MOD((11-'Assumption Setting'!$H$68)-1,12)))</f>
        <v>0.657617807116532</v>
      </c>
      <c r="N73" s="86" t="n">
        <f aca="true">IF((12-'Assumption Setting'!$H$68)&lt;1,0,OFFSET($A$72,0,2+13*INT(((12-'Assumption Setting'!$H$68)-1)/12)+MOD((12-'Assumption Setting'!$H$68)-1,12)))</f>
        <v>0.657617807116532</v>
      </c>
      <c r="O73" s="80" t="n">
        <f aca="false">SUM(P73:AA73)</f>
        <v>10.8753092136896</v>
      </c>
      <c r="P73" s="86" t="n">
        <f aca="true">IF((13-'Assumption Setting'!$H$68)&lt;1,0,OFFSET($A$72,0,2+13*INT(((13-'Assumption Setting'!$H$68)-1)/12)+MOD((13-'Assumption Setting'!$H$68)-1,12)))</f>
        <v>0.657617807116532</v>
      </c>
      <c r="Q73" s="86" t="n">
        <f aca="true">IF((14-'Assumption Setting'!$H$68)&lt;1,0,OFFSET($A$72,0,2+13*INT(((14-'Assumption Setting'!$H$68)-1)/12)+MOD((14-'Assumption Setting'!$H$68)-1,12)))</f>
        <v>0.657617807116532</v>
      </c>
      <c r="R73" s="86" t="n">
        <f aca="true">IF((15-'Assumption Setting'!$H$68)&lt;1,0,OFFSET($A$72,0,2+13*INT(((15-'Assumption Setting'!$H$68)-1)/12)+MOD((15-'Assumption Setting'!$H$68)-1,12)))</f>
        <v>0.723379587828185</v>
      </c>
      <c r="S73" s="86" t="n">
        <f aca="true">IF((16-'Assumption Setting'!$H$68)&lt;1,0,OFFSET($A$72,0,2+13*INT(((16-'Assumption Setting'!$H$68)-1)/12)+MOD((16-'Assumption Setting'!$H$68)-1,12)))</f>
        <v>0.723379587828185</v>
      </c>
      <c r="T73" s="86" t="n">
        <f aca="true">IF((17-'Assumption Setting'!$H$68)&lt;1,0,OFFSET($A$72,0,2+13*INT(((17-'Assumption Setting'!$H$68)-1)/12)+MOD((17-'Assumption Setting'!$H$68)-1,12)))</f>
        <v>0.723379587828185</v>
      </c>
      <c r="U73" s="86" t="n">
        <f aca="true">IF((18-'Assumption Setting'!$H$68)&lt;1,0,OFFSET($A$72,0,2+13*INT(((18-'Assumption Setting'!$H$68)-1)/12)+MOD((18-'Assumption Setting'!$H$68)-1,12)))</f>
        <v>0.723379587828185</v>
      </c>
      <c r="V73" s="86" t="n">
        <f aca="true">IF((19-'Assumption Setting'!$H$68)&lt;1,0,OFFSET($A$72,0,2+13*INT(((19-'Assumption Setting'!$H$68)-1)/12)+MOD((19-'Assumption Setting'!$H$68)-1,12)))</f>
        <v>1.11109254135729</v>
      </c>
      <c r="W73" s="86" t="n">
        <f aca="true">IF((20-'Assumption Setting'!$H$68)&lt;1,0,OFFSET($A$72,0,2+13*INT(((20-'Assumption Setting'!$H$68)-1)/12)+MOD((20-'Assumption Setting'!$H$68)-1,12)))</f>
        <v>1.11109254135729</v>
      </c>
      <c r="X73" s="86" t="n">
        <f aca="true">IF((21-'Assumption Setting'!$H$68)&lt;1,0,OFFSET($A$72,0,2+13*INT(((21-'Assumption Setting'!$H$68)-1)/12)+MOD((21-'Assumption Setting'!$H$68)-1,12)))</f>
        <v>1.11109254135729</v>
      </c>
      <c r="Y73" s="86" t="n">
        <f aca="true">IF((22-'Assumption Setting'!$H$68)&lt;1,0,OFFSET($A$72,0,2+13*INT(((22-'Assumption Setting'!$H$68)-1)/12)+MOD((22-'Assumption Setting'!$H$68)-1,12)))</f>
        <v>1.11109254135729</v>
      </c>
      <c r="Z73" s="86" t="n">
        <f aca="true">IF((23-'Assumption Setting'!$H$68)&lt;1,0,OFFSET($A$72,0,2+13*INT(((23-'Assumption Setting'!$H$68)-1)/12)+MOD((23-'Assumption Setting'!$H$68)-1,12)))</f>
        <v>1.11109254135729</v>
      </c>
      <c r="AA73" s="86" t="n">
        <f aca="true">IF((24-'Assumption Setting'!$H$68)&lt;1,0,OFFSET($A$72,0,2+13*INT(((24-'Assumption Setting'!$H$68)-1)/12)+MOD((24-'Assumption Setting'!$H$68)-1,12)))</f>
        <v>1.11109254135729</v>
      </c>
      <c r="AB73" s="80" t="n">
        <f aca="false">SUM(AC73:AN73)</f>
        <v>17.97807644986</v>
      </c>
      <c r="AC73" s="86" t="n">
        <f aca="true">IF((25-'Assumption Setting'!$H$68)&lt;1,0,OFFSET($A$72,0,2+13*INT(((25-'Assumption Setting'!$H$68)-1)/12)+MOD((25-'Assumption Setting'!$H$68)-1,12)))</f>
        <v>1.11109254135729</v>
      </c>
      <c r="AD73" s="86" t="n">
        <f aca="true">IF((26-'Assumption Setting'!$H$68)&lt;1,0,OFFSET($A$72,0,2+13*INT(((26-'Assumption Setting'!$H$68)-1)/12)+MOD((26-'Assumption Setting'!$H$68)-1,12)))</f>
        <v>1.11109254135729</v>
      </c>
      <c r="AE73" s="86" t="n">
        <f aca="true">IF((27-'Assumption Setting'!$H$68)&lt;1,0,OFFSET($A$72,0,2+13*INT(((27-'Assumption Setting'!$H$68)-1)/12)+MOD((27-'Assumption Setting'!$H$68)-1,12)))</f>
        <v>1.21210095420796</v>
      </c>
      <c r="AF73" s="86" t="n">
        <f aca="true">IF((28-'Assumption Setting'!$H$68)&lt;1,0,OFFSET($A$72,0,2+13*INT(((28-'Assumption Setting'!$H$68)-1)/12)+MOD((28-'Assumption Setting'!$H$68)-1,12)))</f>
        <v>1.21210095420796</v>
      </c>
      <c r="AG73" s="86" t="n">
        <f aca="true">IF((29-'Assumption Setting'!$H$68)&lt;1,0,OFFSET($A$72,0,2+13*INT(((29-'Assumption Setting'!$H$68)-1)/12)+MOD((29-'Assumption Setting'!$H$68)-1,12)))</f>
        <v>1.21210095420796</v>
      </c>
      <c r="AH73" s="86" t="n">
        <f aca="true">IF((30-'Assumption Setting'!$H$68)&lt;1,0,OFFSET($A$72,0,2+13*INT(((30-'Assumption Setting'!$H$68)-1)/12)+MOD((30-'Assumption Setting'!$H$68)-1,12)))</f>
        <v>1.21210095420796</v>
      </c>
      <c r="AI73" s="86" t="n">
        <f aca="true">IF((31-'Assumption Setting'!$H$68)&lt;1,0,OFFSET($A$72,0,2+13*INT(((31-'Assumption Setting'!$H$68)-1)/12)+MOD((31-'Assumption Setting'!$H$68)-1,12)))</f>
        <v>1.81791459171894</v>
      </c>
      <c r="AJ73" s="86" t="n">
        <f aca="true">IF((32-'Assumption Setting'!$H$68)&lt;1,0,OFFSET($A$72,0,2+13*INT(((32-'Assumption Setting'!$H$68)-1)/12)+MOD((32-'Assumption Setting'!$H$68)-1,12)))</f>
        <v>1.81791459171894</v>
      </c>
      <c r="AK73" s="86" t="n">
        <f aca="true">IF((33-'Assumption Setting'!$H$68)&lt;1,0,OFFSET($A$72,0,2+13*INT(((33-'Assumption Setting'!$H$68)-1)/12)+MOD((33-'Assumption Setting'!$H$68)-1,12)))</f>
        <v>1.81791459171894</v>
      </c>
      <c r="AL73" s="86" t="n">
        <f aca="true">IF((34-'Assumption Setting'!$H$68)&lt;1,0,OFFSET($A$72,0,2+13*INT(((34-'Assumption Setting'!$H$68)-1)/12)+MOD((34-'Assumption Setting'!$H$68)-1,12)))</f>
        <v>1.81791459171894</v>
      </c>
      <c r="AM73" s="86" t="n">
        <f aca="true">IF((35-'Assumption Setting'!$H$68)&lt;1,0,OFFSET($A$72,0,2+13*INT(((35-'Assumption Setting'!$H$68)-1)/12)+MOD((35-'Assumption Setting'!$H$68)-1,12)))</f>
        <v>1.81791459171894</v>
      </c>
      <c r="AN73" s="86" t="n">
        <f aca="true">IF((36-'Assumption Setting'!$H$68)&lt;1,0,OFFSET($A$72,0,2+13*INT(((36-'Assumption Setting'!$H$68)-1)/12)+MOD((36-'Assumption Setting'!$H$68)-1,12)))</f>
        <v>1.81791459171894</v>
      </c>
      <c r="AO73" s="80" t="n">
        <f aca="false">SUM(AP73:BA73)</f>
        <v>25.9456487115968</v>
      </c>
      <c r="AP73" s="86" t="n">
        <f aca="true">IF((37-'Assumption Setting'!$H$68)&lt;1,0,OFFSET($A$72,0,2+13*INT(((37-'Assumption Setting'!$H$68)-1)/12)+MOD((37-'Assumption Setting'!$H$68)-1,12)))</f>
        <v>1.81791459171894</v>
      </c>
      <c r="AQ73" s="86" t="n">
        <f aca="true">IF((38-'Assumption Setting'!$H$68)&lt;1,0,OFFSET($A$72,0,2+13*INT(((38-'Assumption Setting'!$H$68)-1)/12)+MOD((38-'Assumption Setting'!$H$68)-1,12)))</f>
        <v>1.81791459171894</v>
      </c>
      <c r="AR73" s="86" t="n">
        <f aca="true">IF((39-'Assumption Setting'!$H$68)&lt;1,0,OFFSET($A$72,0,2+13*INT(((39-'Assumption Setting'!$H$68)-1)/12)+MOD((39-'Assumption Setting'!$H$68)-1,12)))</f>
        <v>1.89366103304056</v>
      </c>
      <c r="AS73" s="86" t="n">
        <f aca="true">IF((40-'Assumption Setting'!$H$68)&lt;1,0,OFFSET($A$72,0,2+13*INT(((40-'Assumption Setting'!$H$68)-1)/12)+MOD((40-'Assumption Setting'!$H$68)-1,12)))</f>
        <v>1.89366103304056</v>
      </c>
      <c r="AT73" s="86" t="n">
        <f aca="true">IF((41-'Assumption Setting'!$H$68)&lt;1,0,OFFSET($A$72,0,2+13*INT(((41-'Assumption Setting'!$H$68)-1)/12)+MOD((41-'Assumption Setting'!$H$68)-1,12)))</f>
        <v>1.89366103304056</v>
      </c>
      <c r="AU73" s="86" t="n">
        <f aca="true">IF((42-'Assumption Setting'!$H$68)&lt;1,0,OFFSET($A$72,0,2+13*INT(((42-'Assumption Setting'!$H$68)-1)/12)+MOD((42-'Assumption Setting'!$H$68)-1,12)))</f>
        <v>1.89366103304056</v>
      </c>
      <c r="AV73" s="86" t="n">
        <f aca="true">IF((43-'Assumption Setting'!$H$68)&lt;1,0,OFFSET($A$72,0,2+13*INT(((43-'Assumption Setting'!$H$68)-1)/12)+MOD((43-'Assumption Setting'!$H$68)-1,12)))</f>
        <v>2.45586256599944</v>
      </c>
      <c r="AW73" s="86" t="n">
        <f aca="true">IF((44-'Assumption Setting'!$H$68)&lt;1,0,OFFSET($A$72,0,2+13*INT(((44-'Assumption Setting'!$H$68)-1)/12)+MOD((44-'Assumption Setting'!$H$68)-1,12)))</f>
        <v>2.45586256599944</v>
      </c>
      <c r="AX73" s="86" t="n">
        <f aca="true">IF((45-'Assumption Setting'!$H$68)&lt;1,0,OFFSET($A$72,0,2+13*INT(((45-'Assumption Setting'!$H$68)-1)/12)+MOD((45-'Assumption Setting'!$H$68)-1,12)))</f>
        <v>2.45586256599944</v>
      </c>
      <c r="AY73" s="86" t="n">
        <f aca="true">IF((46-'Assumption Setting'!$H$68)&lt;1,0,OFFSET($A$72,0,2+13*INT(((46-'Assumption Setting'!$H$68)-1)/12)+MOD((46-'Assumption Setting'!$H$68)-1,12)))</f>
        <v>2.45586256599944</v>
      </c>
      <c r="AZ73" s="86" t="n">
        <f aca="true">IF((47-'Assumption Setting'!$H$68)&lt;1,0,OFFSET($A$72,0,2+13*INT(((47-'Assumption Setting'!$H$68)-1)/12)+MOD((47-'Assumption Setting'!$H$68)-1,12)))</f>
        <v>2.45586256599944</v>
      </c>
      <c r="BA73" s="86" t="n">
        <f aca="true">IF((48-'Assumption Setting'!$H$68)&lt;1,0,OFFSET($A$72,0,2+13*INT(((48-'Assumption Setting'!$H$68)-1)/12)+MOD((48-'Assumption Setting'!$H$68)-1,12)))</f>
        <v>2.45586256599944</v>
      </c>
      <c r="BB73" s="80" t="n">
        <f aca="false">SUM(BC73:BN73)</f>
        <v>33.9543702447285</v>
      </c>
      <c r="BC73" s="86" t="n">
        <f aca="true">IF((49-'Assumption Setting'!$H$68)&lt;1,0,OFFSET($A$72,0,2+13*INT(((49-'Assumption Setting'!$H$68)-1)/12)+MOD((49-'Assumption Setting'!$H$68)-1,12)))</f>
        <v>2.45586256599944</v>
      </c>
      <c r="BD73" s="86" t="n">
        <f aca="true">IF((50-'Assumption Setting'!$H$68)&lt;1,0,OFFSET($A$72,0,2+13*INT(((50-'Assumption Setting'!$H$68)-1)/12)+MOD((50-'Assumption Setting'!$H$68)-1,12)))</f>
        <v>2.45586256599944</v>
      </c>
      <c r="BE73" s="86" t="n">
        <f aca="true">IF((51-'Assumption Setting'!$H$68)&lt;1,0,OFFSET($A$72,0,2+13*INT(((51-'Assumption Setting'!$H$68)-1)/12)+MOD((51-'Assumption Setting'!$H$68)-1,12)))</f>
        <v>2.55409706863942</v>
      </c>
      <c r="BF73" s="86" t="n">
        <f aca="true">IF((52-'Assumption Setting'!$H$68)&lt;1,0,OFFSET($A$72,0,2+13*INT(((52-'Assumption Setting'!$H$68)-1)/12)+MOD((52-'Assumption Setting'!$H$68)-1,12)))</f>
        <v>2.55409706863942</v>
      </c>
      <c r="BG73" s="86" t="n">
        <f aca="true">IF((53-'Assumption Setting'!$H$68)&lt;1,0,OFFSET($A$72,0,2+13*INT(((53-'Assumption Setting'!$H$68)-1)/12)+MOD((53-'Assumption Setting'!$H$68)-1,12)))</f>
        <v>2.55409706863942</v>
      </c>
      <c r="BH73" s="86" t="n">
        <f aca="true">IF((54-'Assumption Setting'!$H$68)&lt;1,0,OFFSET($A$72,0,2+13*INT(((54-'Assumption Setting'!$H$68)-1)/12)+MOD((54-'Assumption Setting'!$H$68)-1,12)))</f>
        <v>2.55409706863942</v>
      </c>
      <c r="BI73" s="86" t="n">
        <f aca="true">IF((55-'Assumption Setting'!$H$68)&lt;1,0,OFFSET($A$72,0,2+13*INT(((55-'Assumption Setting'!$H$68)-1)/12)+MOD((55-'Assumption Setting'!$H$68)-1,12)))</f>
        <v>3.13770947302866</v>
      </c>
      <c r="BJ73" s="86" t="n">
        <f aca="true">IF((56-'Assumption Setting'!$H$68)&lt;1,0,OFFSET($A$72,0,2+13*INT(((56-'Assumption Setting'!$H$68)-1)/12)+MOD((56-'Assumption Setting'!$H$68)-1,12)))</f>
        <v>3.13770947302866</v>
      </c>
      <c r="BK73" s="86" t="n">
        <f aca="true">IF((57-'Assumption Setting'!$H$68)&lt;1,0,OFFSET($A$72,0,2+13*INT(((57-'Assumption Setting'!$H$68)-1)/12)+MOD((57-'Assumption Setting'!$H$68)-1,12)))</f>
        <v>3.13770947302866</v>
      </c>
      <c r="BL73" s="86" t="n">
        <f aca="true">IF((58-'Assumption Setting'!$H$68)&lt;1,0,OFFSET($A$72,0,2+13*INT(((58-'Assumption Setting'!$H$68)-1)/12)+MOD((58-'Assumption Setting'!$H$68)-1,12)))</f>
        <v>3.13770947302866</v>
      </c>
      <c r="BM73" s="86" t="n">
        <f aca="true">IF((59-'Assumption Setting'!$H$68)&lt;1,0,OFFSET($A$72,0,2+13*INT(((59-'Assumption Setting'!$H$68)-1)/12)+MOD((59-'Assumption Setting'!$H$68)-1,12)))</f>
        <v>3.13770947302866</v>
      </c>
      <c r="BN73" s="86" t="n">
        <f aca="true">IF((60-'Assumption Setting'!$H$68)&lt;1,0,OFFSET($A$72,0,2+13*INT(((60-'Assumption Setting'!$H$68)-1)/12)+MOD((60-'Assumption Setting'!$H$68)-1,12)))</f>
        <v>3.13770947302866</v>
      </c>
    </row>
    <row r="74" customFormat="false" ht="15" hidden="false" customHeight="false" outlineLevel="0" collapsed="false">
      <c r="A74" s="18" t="s">
        <v>274</v>
      </c>
      <c r="B74" s="80" t="n">
        <f aca="false">SUM(C74:N74)</f>
        <v>62.6302673444316</v>
      </c>
      <c r="C74" s="83" t="n">
        <f aca="false">C68*'Assumption Setting'!$C$69</f>
        <v>5.2191889453693</v>
      </c>
      <c r="D74" s="83" t="n">
        <f aca="false">D68*'Assumption Setting'!$C$69</f>
        <v>5.2191889453693</v>
      </c>
      <c r="E74" s="83" t="n">
        <f aca="false">E68*'Assumption Setting'!$C$69</f>
        <v>5.2191889453693</v>
      </c>
      <c r="F74" s="83" t="n">
        <f aca="false">F68*'Assumption Setting'!$C$69</f>
        <v>5.2191889453693</v>
      </c>
      <c r="G74" s="83" t="n">
        <f aca="false">G68*'Assumption Setting'!$C$69</f>
        <v>5.2191889453693</v>
      </c>
      <c r="H74" s="83" t="n">
        <f aca="false">H68*'Assumption Setting'!$C$69</f>
        <v>5.2191889453693</v>
      </c>
      <c r="I74" s="83" t="n">
        <f aca="false">I68*'Assumption Setting'!$C$69</f>
        <v>5.2191889453693</v>
      </c>
      <c r="J74" s="83" t="n">
        <f aca="false">J68*'Assumption Setting'!$C$69</f>
        <v>5.2191889453693</v>
      </c>
      <c r="K74" s="83" t="n">
        <f aca="false">K68*'Assumption Setting'!$C$69</f>
        <v>5.2191889453693</v>
      </c>
      <c r="L74" s="83" t="n">
        <f aca="false">L68*'Assumption Setting'!$C$69</f>
        <v>5.2191889453693</v>
      </c>
      <c r="M74" s="83" t="n">
        <f aca="false">M68*'Assumption Setting'!$C$69</f>
        <v>5.2191889453693</v>
      </c>
      <c r="N74" s="83" t="n">
        <f aca="false">N68*'Assumption Setting'!$C$69</f>
        <v>5.2191889453693</v>
      </c>
      <c r="O74" s="80" t="n">
        <f aca="false">SUM(P74:AA74)</f>
        <v>96.1984884292028</v>
      </c>
      <c r="P74" s="83" t="n">
        <f aca="false">P68*'Assumption Setting'!$C$69</f>
        <v>8.01654070243357</v>
      </c>
      <c r="Q74" s="83" t="n">
        <f aca="false">Q68*'Assumption Setting'!$C$69</f>
        <v>8.01654070243357</v>
      </c>
      <c r="R74" s="83" t="n">
        <f aca="false">R68*'Assumption Setting'!$C$69</f>
        <v>8.01654070243357</v>
      </c>
      <c r="S74" s="83" t="n">
        <f aca="false">S68*'Assumption Setting'!$C$69</f>
        <v>8.01654070243357</v>
      </c>
      <c r="T74" s="83" t="n">
        <f aca="false">T68*'Assumption Setting'!$C$69</f>
        <v>8.01654070243357</v>
      </c>
      <c r="U74" s="83" t="n">
        <f aca="false">U68*'Assumption Setting'!$C$69</f>
        <v>8.01654070243357</v>
      </c>
      <c r="V74" s="83" t="n">
        <f aca="false">V68*'Assumption Setting'!$C$69</f>
        <v>8.01654070243357</v>
      </c>
      <c r="W74" s="83" t="n">
        <f aca="false">W68*'Assumption Setting'!$C$69</f>
        <v>8.01654070243357</v>
      </c>
      <c r="X74" s="83" t="n">
        <f aca="false">X68*'Assumption Setting'!$C$69</f>
        <v>8.01654070243357</v>
      </c>
      <c r="Y74" s="83" t="n">
        <f aca="false">Y68*'Assumption Setting'!$C$69</f>
        <v>8.01654070243357</v>
      </c>
      <c r="Z74" s="83" t="n">
        <f aca="false">Z68*'Assumption Setting'!$C$69</f>
        <v>8.01654070243357</v>
      </c>
      <c r="AA74" s="83" t="n">
        <f aca="false">AA68*'Assumption Setting'!$C$69</f>
        <v>8.01654070243357</v>
      </c>
      <c r="AB74" s="80" t="n">
        <f aca="false">SUM(AC74:AN74)</f>
        <v>144.278935850709</v>
      </c>
      <c r="AC74" s="83" t="n">
        <f aca="false">AC68*'Assumption Setting'!$C$69</f>
        <v>12.0232446542258</v>
      </c>
      <c r="AD74" s="83" t="n">
        <f aca="false">AD68*'Assumption Setting'!$C$69</f>
        <v>12.0232446542258</v>
      </c>
      <c r="AE74" s="83" t="n">
        <f aca="false">AE68*'Assumption Setting'!$C$69</f>
        <v>12.0232446542258</v>
      </c>
      <c r="AF74" s="83" t="n">
        <f aca="false">AF68*'Assumption Setting'!$C$69</f>
        <v>12.0232446542258</v>
      </c>
      <c r="AG74" s="83" t="n">
        <f aca="false">AG68*'Assumption Setting'!$C$69</f>
        <v>12.0232446542258</v>
      </c>
      <c r="AH74" s="83" t="n">
        <f aca="false">AH68*'Assumption Setting'!$C$69</f>
        <v>12.0232446542258</v>
      </c>
      <c r="AI74" s="83" t="n">
        <f aca="false">AI68*'Assumption Setting'!$C$69</f>
        <v>12.0232446542258</v>
      </c>
      <c r="AJ74" s="83" t="n">
        <f aca="false">AJ68*'Assumption Setting'!$C$69</f>
        <v>12.0232446542258</v>
      </c>
      <c r="AK74" s="83" t="n">
        <f aca="false">AK68*'Assumption Setting'!$C$69</f>
        <v>12.0232446542258</v>
      </c>
      <c r="AL74" s="83" t="n">
        <f aca="false">AL68*'Assumption Setting'!$C$69</f>
        <v>12.0232446542258</v>
      </c>
      <c r="AM74" s="83" t="n">
        <f aca="false">AM68*'Assumption Setting'!$C$69</f>
        <v>12.0232446542258</v>
      </c>
      <c r="AN74" s="83" t="n">
        <f aca="false">AN68*'Assumption Setting'!$C$69</f>
        <v>12.0232446542258</v>
      </c>
      <c r="AO74" s="80" t="n">
        <f aca="false">SUM(AP74:BA74)</f>
        <v>187.113338361862</v>
      </c>
      <c r="AP74" s="83" t="n">
        <f aca="false">AP68*'Assumption Setting'!$C$69</f>
        <v>15.5927781968218</v>
      </c>
      <c r="AQ74" s="83" t="n">
        <f aca="false">AQ68*'Assumption Setting'!$C$69</f>
        <v>15.5927781968218</v>
      </c>
      <c r="AR74" s="83" t="n">
        <f aca="false">AR68*'Assumption Setting'!$C$69</f>
        <v>15.5927781968218</v>
      </c>
      <c r="AS74" s="83" t="n">
        <f aca="false">AS68*'Assumption Setting'!$C$69</f>
        <v>15.5927781968218</v>
      </c>
      <c r="AT74" s="83" t="n">
        <f aca="false">AT68*'Assumption Setting'!$C$69</f>
        <v>15.5927781968218</v>
      </c>
      <c r="AU74" s="83" t="n">
        <f aca="false">AU68*'Assumption Setting'!$C$69</f>
        <v>15.5927781968218</v>
      </c>
      <c r="AV74" s="83" t="n">
        <f aca="false">AV68*'Assumption Setting'!$C$69</f>
        <v>15.5927781968218</v>
      </c>
      <c r="AW74" s="83" t="n">
        <f aca="false">AW68*'Assumption Setting'!$C$69</f>
        <v>15.5927781968218</v>
      </c>
      <c r="AX74" s="83" t="n">
        <f aca="false">AX68*'Assumption Setting'!$C$69</f>
        <v>15.5927781968218</v>
      </c>
      <c r="AY74" s="83" t="n">
        <f aca="false">AY68*'Assumption Setting'!$C$69</f>
        <v>15.5927781968218</v>
      </c>
      <c r="AZ74" s="83" t="n">
        <f aca="false">AZ68*'Assumption Setting'!$C$69</f>
        <v>15.5927781968218</v>
      </c>
      <c r="BA74" s="83" t="n">
        <f aca="false">BA68*'Assumption Setting'!$C$69</f>
        <v>15.5927781968218</v>
      </c>
      <c r="BB74" s="80" t="n">
        <f aca="false">SUM(BC74:BN74)</f>
        <v>229.868825862905</v>
      </c>
      <c r="BC74" s="83" t="n">
        <f aca="false">BC68*'Assumption Setting'!$C$69</f>
        <v>19.1557354885754</v>
      </c>
      <c r="BD74" s="83" t="n">
        <f aca="false">BD68*'Assumption Setting'!$C$69</f>
        <v>19.1557354885754</v>
      </c>
      <c r="BE74" s="83" t="n">
        <f aca="false">BE68*'Assumption Setting'!$C$69</f>
        <v>19.1557354885754</v>
      </c>
      <c r="BF74" s="83" t="n">
        <f aca="false">BF68*'Assumption Setting'!$C$69</f>
        <v>19.1557354885754</v>
      </c>
      <c r="BG74" s="83" t="n">
        <f aca="false">BG68*'Assumption Setting'!$C$69</f>
        <v>19.1557354885754</v>
      </c>
      <c r="BH74" s="83" t="n">
        <f aca="false">BH68*'Assumption Setting'!$C$69</f>
        <v>19.1557354885754</v>
      </c>
      <c r="BI74" s="83" t="n">
        <f aca="false">BI68*'Assumption Setting'!$C$69</f>
        <v>19.1557354885754</v>
      </c>
      <c r="BJ74" s="83" t="n">
        <f aca="false">BJ68*'Assumption Setting'!$C$69</f>
        <v>19.1557354885754</v>
      </c>
      <c r="BK74" s="83" t="n">
        <f aca="false">BK68*'Assumption Setting'!$C$69</f>
        <v>19.1557354885754</v>
      </c>
      <c r="BL74" s="83" t="n">
        <f aca="false">BL68*'Assumption Setting'!$C$69</f>
        <v>19.1557354885754</v>
      </c>
      <c r="BM74" s="83" t="n">
        <f aca="false">BM68*'Assumption Setting'!$C$69</f>
        <v>19.1557354885754</v>
      </c>
      <c r="BN74" s="83" t="n">
        <f aca="false">BN68*'Assumption Setting'!$C$69</f>
        <v>19.1557354885754</v>
      </c>
    </row>
    <row r="75" customFormat="false" ht="15" hidden="false" customHeight="false" outlineLevel="0" collapsed="false">
      <c r="A75" s="12" t="s">
        <v>616</v>
      </c>
      <c r="B75" s="80" t="n">
        <f aca="false">SUM(C75:N75)</f>
        <v>21.9205935705511</v>
      </c>
      <c r="C75" s="81" t="n">
        <f aca="false">C74*'Assumption Setting'!$D$69</f>
        <v>1.82671613087925</v>
      </c>
      <c r="D75" s="81" t="n">
        <f aca="false">D74*'Assumption Setting'!$D$69</f>
        <v>1.82671613087925</v>
      </c>
      <c r="E75" s="81" t="n">
        <f aca="false">E74*'Assumption Setting'!$D$69</f>
        <v>1.82671613087925</v>
      </c>
      <c r="F75" s="81" t="n">
        <f aca="false">F74*'Assumption Setting'!$D$69</f>
        <v>1.82671613087925</v>
      </c>
      <c r="G75" s="81" t="n">
        <f aca="false">G74*'Assumption Setting'!$D$69</f>
        <v>1.82671613087925</v>
      </c>
      <c r="H75" s="81" t="n">
        <f aca="false">H74*'Assumption Setting'!$D$69</f>
        <v>1.82671613087925</v>
      </c>
      <c r="I75" s="81" t="n">
        <f aca="false">I74*'Assumption Setting'!$D$69</f>
        <v>1.82671613087925</v>
      </c>
      <c r="J75" s="81" t="n">
        <f aca="false">J74*'Assumption Setting'!$D$69</f>
        <v>1.82671613087925</v>
      </c>
      <c r="K75" s="81" t="n">
        <f aca="false">K74*'Assumption Setting'!$D$69</f>
        <v>1.82671613087925</v>
      </c>
      <c r="L75" s="81" t="n">
        <f aca="false">L74*'Assumption Setting'!$D$69</f>
        <v>1.82671613087925</v>
      </c>
      <c r="M75" s="81" t="n">
        <f aca="false">M74*'Assumption Setting'!$D$69</f>
        <v>1.82671613087925</v>
      </c>
      <c r="N75" s="81" t="n">
        <f aca="false">N74*'Assumption Setting'!$D$69</f>
        <v>1.82671613087925</v>
      </c>
      <c r="O75" s="80" t="n">
        <f aca="false">SUM(P75:AA75)</f>
        <v>33.669470950221</v>
      </c>
      <c r="P75" s="81" t="n">
        <f aca="false">P74*'Assumption Setting'!$D$69</f>
        <v>2.80578924585175</v>
      </c>
      <c r="Q75" s="81" t="n">
        <f aca="false">Q74*'Assumption Setting'!$D$69</f>
        <v>2.80578924585175</v>
      </c>
      <c r="R75" s="81" t="n">
        <f aca="false">R74*'Assumption Setting'!$D$69</f>
        <v>2.80578924585175</v>
      </c>
      <c r="S75" s="81" t="n">
        <f aca="false">S74*'Assumption Setting'!$D$69</f>
        <v>2.80578924585175</v>
      </c>
      <c r="T75" s="81" t="n">
        <f aca="false">T74*'Assumption Setting'!$D$69</f>
        <v>2.80578924585175</v>
      </c>
      <c r="U75" s="81" t="n">
        <f aca="false">U74*'Assumption Setting'!$D$69</f>
        <v>2.80578924585175</v>
      </c>
      <c r="V75" s="81" t="n">
        <f aca="false">V74*'Assumption Setting'!$D$69</f>
        <v>2.80578924585175</v>
      </c>
      <c r="W75" s="81" t="n">
        <f aca="false">W74*'Assumption Setting'!$D$69</f>
        <v>2.80578924585175</v>
      </c>
      <c r="X75" s="81" t="n">
        <f aca="false">X74*'Assumption Setting'!$D$69</f>
        <v>2.80578924585175</v>
      </c>
      <c r="Y75" s="81" t="n">
        <f aca="false">Y74*'Assumption Setting'!$D$69</f>
        <v>2.80578924585175</v>
      </c>
      <c r="Z75" s="81" t="n">
        <f aca="false">Z74*'Assumption Setting'!$D$69</f>
        <v>2.80578924585175</v>
      </c>
      <c r="AA75" s="81" t="n">
        <f aca="false">AA74*'Assumption Setting'!$D$69</f>
        <v>2.80578924585175</v>
      </c>
      <c r="AB75" s="80" t="n">
        <f aca="false">SUM(AC75:AN75)</f>
        <v>50.4976275477483</v>
      </c>
      <c r="AC75" s="81" t="n">
        <f aca="false">AC74*'Assumption Setting'!$D$69</f>
        <v>4.20813562897902</v>
      </c>
      <c r="AD75" s="81" t="n">
        <f aca="false">AD74*'Assumption Setting'!$D$69</f>
        <v>4.20813562897902</v>
      </c>
      <c r="AE75" s="81" t="n">
        <f aca="false">AE74*'Assumption Setting'!$D$69</f>
        <v>4.20813562897902</v>
      </c>
      <c r="AF75" s="81" t="n">
        <f aca="false">AF74*'Assumption Setting'!$D$69</f>
        <v>4.20813562897902</v>
      </c>
      <c r="AG75" s="81" t="n">
        <f aca="false">AG74*'Assumption Setting'!$D$69</f>
        <v>4.20813562897902</v>
      </c>
      <c r="AH75" s="81" t="n">
        <f aca="false">AH74*'Assumption Setting'!$D$69</f>
        <v>4.20813562897902</v>
      </c>
      <c r="AI75" s="81" t="n">
        <f aca="false">AI74*'Assumption Setting'!$D$69</f>
        <v>4.20813562897902</v>
      </c>
      <c r="AJ75" s="81" t="n">
        <f aca="false">AJ74*'Assumption Setting'!$D$69</f>
        <v>4.20813562897902</v>
      </c>
      <c r="AK75" s="81" t="n">
        <f aca="false">AK74*'Assumption Setting'!$D$69</f>
        <v>4.20813562897902</v>
      </c>
      <c r="AL75" s="81" t="n">
        <f aca="false">AL74*'Assumption Setting'!$D$69</f>
        <v>4.20813562897902</v>
      </c>
      <c r="AM75" s="81" t="n">
        <f aca="false">AM74*'Assumption Setting'!$D$69</f>
        <v>4.20813562897902</v>
      </c>
      <c r="AN75" s="81" t="n">
        <f aca="false">AN74*'Assumption Setting'!$D$69</f>
        <v>4.20813562897902</v>
      </c>
      <c r="AO75" s="80" t="n">
        <f aca="false">SUM(AP75:BA75)</f>
        <v>65.4896684266518</v>
      </c>
      <c r="AP75" s="81" t="n">
        <f aca="false">AP74*'Assumption Setting'!$D$69</f>
        <v>5.45747236888765</v>
      </c>
      <c r="AQ75" s="81" t="n">
        <f aca="false">AQ74*'Assumption Setting'!$D$69</f>
        <v>5.45747236888765</v>
      </c>
      <c r="AR75" s="81" t="n">
        <f aca="false">AR74*'Assumption Setting'!$D$69</f>
        <v>5.45747236888765</v>
      </c>
      <c r="AS75" s="81" t="n">
        <f aca="false">AS74*'Assumption Setting'!$D$69</f>
        <v>5.45747236888765</v>
      </c>
      <c r="AT75" s="81" t="n">
        <f aca="false">AT74*'Assumption Setting'!$D$69</f>
        <v>5.45747236888765</v>
      </c>
      <c r="AU75" s="81" t="n">
        <f aca="false">AU74*'Assumption Setting'!$D$69</f>
        <v>5.45747236888765</v>
      </c>
      <c r="AV75" s="81" t="n">
        <f aca="false">AV74*'Assumption Setting'!$D$69</f>
        <v>5.45747236888765</v>
      </c>
      <c r="AW75" s="81" t="n">
        <f aca="false">AW74*'Assumption Setting'!$D$69</f>
        <v>5.45747236888765</v>
      </c>
      <c r="AX75" s="81" t="n">
        <f aca="false">AX74*'Assumption Setting'!$D$69</f>
        <v>5.45747236888765</v>
      </c>
      <c r="AY75" s="81" t="n">
        <f aca="false">AY74*'Assumption Setting'!$D$69</f>
        <v>5.45747236888765</v>
      </c>
      <c r="AZ75" s="81" t="n">
        <f aca="false">AZ74*'Assumption Setting'!$D$69</f>
        <v>5.45747236888765</v>
      </c>
      <c r="BA75" s="81" t="n">
        <f aca="false">BA74*'Assumption Setting'!$D$69</f>
        <v>5.45747236888765</v>
      </c>
      <c r="BB75" s="80" t="n">
        <f aca="false">SUM(BC75:BN75)</f>
        <v>80.4540890520168</v>
      </c>
      <c r="BC75" s="81" t="n">
        <f aca="false">BC74*'Assumption Setting'!$D$69</f>
        <v>6.7045074210014</v>
      </c>
      <c r="BD75" s="81" t="n">
        <f aca="false">BD74*'Assumption Setting'!$D$69</f>
        <v>6.7045074210014</v>
      </c>
      <c r="BE75" s="81" t="n">
        <f aca="false">BE74*'Assumption Setting'!$D$69</f>
        <v>6.7045074210014</v>
      </c>
      <c r="BF75" s="81" t="n">
        <f aca="false">BF74*'Assumption Setting'!$D$69</f>
        <v>6.7045074210014</v>
      </c>
      <c r="BG75" s="81" t="n">
        <f aca="false">BG74*'Assumption Setting'!$D$69</f>
        <v>6.7045074210014</v>
      </c>
      <c r="BH75" s="81" t="n">
        <f aca="false">BH74*'Assumption Setting'!$D$69</f>
        <v>6.7045074210014</v>
      </c>
      <c r="BI75" s="81" t="n">
        <f aca="false">BI74*'Assumption Setting'!$D$69</f>
        <v>6.7045074210014</v>
      </c>
      <c r="BJ75" s="81" t="n">
        <f aca="false">BJ74*'Assumption Setting'!$D$69</f>
        <v>6.7045074210014</v>
      </c>
      <c r="BK75" s="81" t="n">
        <f aca="false">BK74*'Assumption Setting'!$D$69</f>
        <v>6.7045074210014</v>
      </c>
      <c r="BL75" s="81" t="n">
        <f aca="false">BL74*'Assumption Setting'!$D$69</f>
        <v>6.7045074210014</v>
      </c>
      <c r="BM75" s="81" t="n">
        <f aca="false">BM74*'Assumption Setting'!$D$69</f>
        <v>6.7045074210014</v>
      </c>
      <c r="BN75" s="81" t="n">
        <f aca="false">BN74*'Assumption Setting'!$D$69</f>
        <v>6.7045074210014</v>
      </c>
    </row>
    <row r="76" customFormat="false" ht="15" hidden="false" customHeight="false" outlineLevel="0" collapsed="false">
      <c r="A76" s="12" t="s">
        <v>617</v>
      </c>
      <c r="B76" s="80" t="n">
        <f aca="false">SUM(C76:N76)</f>
        <v>8.76823742822042</v>
      </c>
      <c r="C76" s="81" t="n">
        <f aca="false">C75*'Assumption Setting'!$E$69</f>
        <v>0.730686452351702</v>
      </c>
      <c r="D76" s="81" t="n">
        <f aca="false">D75*'Assumption Setting'!$E$69</f>
        <v>0.730686452351702</v>
      </c>
      <c r="E76" s="81" t="n">
        <f aca="false">E75*'Assumption Setting'!$E$69</f>
        <v>0.730686452351702</v>
      </c>
      <c r="F76" s="81" t="n">
        <f aca="false">F75*'Assumption Setting'!$E$69</f>
        <v>0.730686452351702</v>
      </c>
      <c r="G76" s="81" t="n">
        <f aca="false">G75*'Assumption Setting'!$E$69</f>
        <v>0.730686452351702</v>
      </c>
      <c r="H76" s="81" t="n">
        <f aca="false">H75*'Assumption Setting'!$E$69</f>
        <v>0.730686452351702</v>
      </c>
      <c r="I76" s="81" t="n">
        <f aca="false">I75*'Assumption Setting'!$E$69</f>
        <v>0.730686452351702</v>
      </c>
      <c r="J76" s="81" t="n">
        <f aca="false">J75*'Assumption Setting'!$E$69</f>
        <v>0.730686452351702</v>
      </c>
      <c r="K76" s="81" t="n">
        <f aca="false">K75*'Assumption Setting'!$E$69</f>
        <v>0.730686452351702</v>
      </c>
      <c r="L76" s="81" t="n">
        <f aca="false">L75*'Assumption Setting'!$E$69</f>
        <v>0.730686452351702</v>
      </c>
      <c r="M76" s="81" t="n">
        <f aca="false">M75*'Assumption Setting'!$E$69</f>
        <v>0.730686452351702</v>
      </c>
      <c r="N76" s="81" t="n">
        <f aca="false">N75*'Assumption Setting'!$E$69</f>
        <v>0.730686452351702</v>
      </c>
      <c r="O76" s="80" t="n">
        <f aca="false">SUM(P76:AA76)</f>
        <v>13.4677883800884</v>
      </c>
      <c r="P76" s="81" t="n">
        <f aca="false">P75*'Assumption Setting'!$E$69</f>
        <v>1.1223156983407</v>
      </c>
      <c r="Q76" s="81" t="n">
        <f aca="false">Q75*'Assumption Setting'!$E$69</f>
        <v>1.1223156983407</v>
      </c>
      <c r="R76" s="81" t="n">
        <f aca="false">R75*'Assumption Setting'!$E$69</f>
        <v>1.1223156983407</v>
      </c>
      <c r="S76" s="81" t="n">
        <f aca="false">S75*'Assumption Setting'!$E$69</f>
        <v>1.1223156983407</v>
      </c>
      <c r="T76" s="81" t="n">
        <f aca="false">T75*'Assumption Setting'!$E$69</f>
        <v>1.1223156983407</v>
      </c>
      <c r="U76" s="81" t="n">
        <f aca="false">U75*'Assumption Setting'!$E$69</f>
        <v>1.1223156983407</v>
      </c>
      <c r="V76" s="81" t="n">
        <f aca="false">V75*'Assumption Setting'!$E$69</f>
        <v>1.1223156983407</v>
      </c>
      <c r="W76" s="81" t="n">
        <f aca="false">W75*'Assumption Setting'!$E$69</f>
        <v>1.1223156983407</v>
      </c>
      <c r="X76" s="81" t="n">
        <f aca="false">X75*'Assumption Setting'!$E$69</f>
        <v>1.1223156983407</v>
      </c>
      <c r="Y76" s="81" t="n">
        <f aca="false">Y75*'Assumption Setting'!$E$69</f>
        <v>1.1223156983407</v>
      </c>
      <c r="Z76" s="81" t="n">
        <f aca="false">Z75*'Assumption Setting'!$E$69</f>
        <v>1.1223156983407</v>
      </c>
      <c r="AA76" s="81" t="n">
        <f aca="false">AA75*'Assumption Setting'!$E$69</f>
        <v>1.1223156983407</v>
      </c>
      <c r="AB76" s="80" t="n">
        <f aca="false">SUM(AC76:AN76)</f>
        <v>20.1990510190993</v>
      </c>
      <c r="AC76" s="81" t="n">
        <f aca="false">AC75*'Assumption Setting'!$E$69</f>
        <v>1.68325425159161</v>
      </c>
      <c r="AD76" s="81" t="n">
        <f aca="false">AD75*'Assumption Setting'!$E$69</f>
        <v>1.68325425159161</v>
      </c>
      <c r="AE76" s="81" t="n">
        <f aca="false">AE75*'Assumption Setting'!$E$69</f>
        <v>1.68325425159161</v>
      </c>
      <c r="AF76" s="81" t="n">
        <f aca="false">AF75*'Assumption Setting'!$E$69</f>
        <v>1.68325425159161</v>
      </c>
      <c r="AG76" s="81" t="n">
        <f aca="false">AG75*'Assumption Setting'!$E$69</f>
        <v>1.68325425159161</v>
      </c>
      <c r="AH76" s="81" t="n">
        <f aca="false">AH75*'Assumption Setting'!$E$69</f>
        <v>1.68325425159161</v>
      </c>
      <c r="AI76" s="81" t="n">
        <f aca="false">AI75*'Assumption Setting'!$E$69</f>
        <v>1.68325425159161</v>
      </c>
      <c r="AJ76" s="81" t="n">
        <f aca="false">AJ75*'Assumption Setting'!$E$69</f>
        <v>1.68325425159161</v>
      </c>
      <c r="AK76" s="81" t="n">
        <f aca="false">AK75*'Assumption Setting'!$E$69</f>
        <v>1.68325425159161</v>
      </c>
      <c r="AL76" s="81" t="n">
        <f aca="false">AL75*'Assumption Setting'!$E$69</f>
        <v>1.68325425159161</v>
      </c>
      <c r="AM76" s="81" t="n">
        <f aca="false">AM75*'Assumption Setting'!$E$69</f>
        <v>1.68325425159161</v>
      </c>
      <c r="AN76" s="81" t="n">
        <f aca="false">AN75*'Assumption Setting'!$E$69</f>
        <v>1.68325425159161</v>
      </c>
      <c r="AO76" s="80" t="n">
        <f aca="false">SUM(AP76:BA76)</f>
        <v>26.1958673706607</v>
      </c>
      <c r="AP76" s="81" t="n">
        <f aca="false">AP75*'Assumption Setting'!$E$69</f>
        <v>2.18298894755506</v>
      </c>
      <c r="AQ76" s="81" t="n">
        <f aca="false">AQ75*'Assumption Setting'!$E$69</f>
        <v>2.18298894755506</v>
      </c>
      <c r="AR76" s="81" t="n">
        <f aca="false">AR75*'Assumption Setting'!$E$69</f>
        <v>2.18298894755506</v>
      </c>
      <c r="AS76" s="81" t="n">
        <f aca="false">AS75*'Assumption Setting'!$E$69</f>
        <v>2.18298894755506</v>
      </c>
      <c r="AT76" s="81" t="n">
        <f aca="false">AT75*'Assumption Setting'!$E$69</f>
        <v>2.18298894755506</v>
      </c>
      <c r="AU76" s="81" t="n">
        <f aca="false">AU75*'Assumption Setting'!$E$69</f>
        <v>2.18298894755506</v>
      </c>
      <c r="AV76" s="81" t="n">
        <f aca="false">AV75*'Assumption Setting'!$E$69</f>
        <v>2.18298894755506</v>
      </c>
      <c r="AW76" s="81" t="n">
        <f aca="false">AW75*'Assumption Setting'!$E$69</f>
        <v>2.18298894755506</v>
      </c>
      <c r="AX76" s="81" t="n">
        <f aca="false">AX75*'Assumption Setting'!$E$69</f>
        <v>2.18298894755506</v>
      </c>
      <c r="AY76" s="81" t="n">
        <f aca="false">AY75*'Assumption Setting'!$E$69</f>
        <v>2.18298894755506</v>
      </c>
      <c r="AZ76" s="81" t="n">
        <f aca="false">AZ75*'Assumption Setting'!$E$69</f>
        <v>2.18298894755506</v>
      </c>
      <c r="BA76" s="81" t="n">
        <f aca="false">BA75*'Assumption Setting'!$E$69</f>
        <v>2.18298894755506</v>
      </c>
      <c r="BB76" s="80" t="n">
        <f aca="false">SUM(BC76:BN76)</f>
        <v>32.1816356208067</v>
      </c>
      <c r="BC76" s="81" t="n">
        <f aca="false">BC75*'Assumption Setting'!$E$69</f>
        <v>2.68180296840056</v>
      </c>
      <c r="BD76" s="81" t="n">
        <f aca="false">BD75*'Assumption Setting'!$E$69</f>
        <v>2.68180296840056</v>
      </c>
      <c r="BE76" s="81" t="n">
        <f aca="false">BE75*'Assumption Setting'!$E$69</f>
        <v>2.68180296840056</v>
      </c>
      <c r="BF76" s="81" t="n">
        <f aca="false">BF75*'Assumption Setting'!$E$69</f>
        <v>2.68180296840056</v>
      </c>
      <c r="BG76" s="81" t="n">
        <f aca="false">BG75*'Assumption Setting'!$E$69</f>
        <v>2.68180296840056</v>
      </c>
      <c r="BH76" s="81" t="n">
        <f aca="false">BH75*'Assumption Setting'!$E$69</f>
        <v>2.68180296840056</v>
      </c>
      <c r="BI76" s="81" t="n">
        <f aca="false">BI75*'Assumption Setting'!$E$69</f>
        <v>2.68180296840056</v>
      </c>
      <c r="BJ76" s="81" t="n">
        <f aca="false">BJ75*'Assumption Setting'!$E$69</f>
        <v>2.68180296840056</v>
      </c>
      <c r="BK76" s="81" t="n">
        <f aca="false">BK75*'Assumption Setting'!$E$69</f>
        <v>2.68180296840056</v>
      </c>
      <c r="BL76" s="81" t="n">
        <f aca="false">BL75*'Assumption Setting'!$E$69</f>
        <v>2.68180296840056</v>
      </c>
      <c r="BM76" s="81" t="n">
        <f aca="false">BM75*'Assumption Setting'!$E$69</f>
        <v>2.68180296840056</v>
      </c>
      <c r="BN76" s="81" t="n">
        <f aca="false">BN75*'Assumption Setting'!$E$69</f>
        <v>2.68180296840056</v>
      </c>
    </row>
    <row r="77" customFormat="false" ht="15" hidden="false" customHeight="false" outlineLevel="0" collapsed="false">
      <c r="A77" s="18" t="s">
        <v>618</v>
      </c>
      <c r="B77" s="80" t="n">
        <f aca="false">SUM(C77:N77)</f>
        <v>1.27870129161548</v>
      </c>
      <c r="C77" s="83" t="n">
        <f aca="true">IF((1-'Assumption Setting'!$G$69)&lt;1,0,OFFSET($A$76,0,2+13*INT(((1-'Assumption Setting'!$G$69)-1)/12)+MOD((1-'Assumption Setting'!$G$69)-1,12)))*'Assumption Setting'!$F$69*'Assumption Setting'!$C$77</f>
        <v>0</v>
      </c>
      <c r="D77" s="83" t="n">
        <f aca="true">IF((2-'Assumption Setting'!$G$69)&lt;1,0,OFFSET($A$76,0,2+13*INT(((2-'Assumption Setting'!$G$69)-1)/12)+MOD((2-'Assumption Setting'!$G$69)-1,12)))*'Assumption Setting'!$F$69*'Assumption Setting'!$C$77</f>
        <v>0</v>
      </c>
      <c r="E77" s="83" t="n">
        <f aca="true">IF((3-'Assumption Setting'!$G$69)&lt;1,0,OFFSET($A$76,0,2+13*INT(((3-'Assumption Setting'!$G$69)-1)/12)+MOD((3-'Assumption Setting'!$G$69)-1,12)))*'Assumption Setting'!$F$69*'Assumption Setting'!$C$77</f>
        <v>0</v>
      </c>
      <c r="F77" s="83" t="n">
        <f aca="true">IF((4-'Assumption Setting'!$G$69)&lt;1,0,OFFSET($A$76,0,2+13*INT(((4-'Assumption Setting'!$G$69)-1)/12)+MOD((4-'Assumption Setting'!$G$69)-1,12)))*'Assumption Setting'!$F$69*'Assumption Setting'!$C$77</f>
        <v>0</v>
      </c>
      <c r="G77" s="83" t="n">
        <f aca="true">IF((5-'Assumption Setting'!$G$69)&lt;1,0,OFFSET($A$76,0,2+13*INT(((5-'Assumption Setting'!$G$69)-1)/12)+MOD((5-'Assumption Setting'!$G$69)-1,12)))*'Assumption Setting'!$F$69*'Assumption Setting'!$C$77</f>
        <v>0</v>
      </c>
      <c r="H77" s="83" t="n">
        <f aca="true">IF((6-'Assumption Setting'!$G$69)&lt;1,0,OFFSET($A$76,0,2+13*INT(((6-'Assumption Setting'!$G$69)-1)/12)+MOD((6-'Assumption Setting'!$G$69)-1,12)))*'Assumption Setting'!$F$69*'Assumption Setting'!$C$77</f>
        <v>0.182671613087925</v>
      </c>
      <c r="I77" s="83" t="n">
        <f aca="true">IF((7-'Assumption Setting'!$G$69)&lt;1,0,OFFSET($A$76,0,2+13*INT(((7-'Assumption Setting'!$G$69)-1)/12)+MOD((7-'Assumption Setting'!$G$69)-1,12)))*'Assumption Setting'!$F$69*'Assumption Setting'!$C$77</f>
        <v>0.182671613087925</v>
      </c>
      <c r="J77" s="83" t="n">
        <f aca="true">IF((8-'Assumption Setting'!$G$69)&lt;1,0,OFFSET($A$76,0,2+13*INT(((8-'Assumption Setting'!$G$69)-1)/12)+MOD((8-'Assumption Setting'!$G$69)-1,12)))*'Assumption Setting'!$F$69*'Assumption Setting'!$C$77</f>
        <v>0.182671613087925</v>
      </c>
      <c r="K77" s="83" t="n">
        <f aca="true">IF((9-'Assumption Setting'!$G$69)&lt;1,0,OFFSET($A$76,0,2+13*INT(((9-'Assumption Setting'!$G$69)-1)/12)+MOD((9-'Assumption Setting'!$G$69)-1,12)))*'Assumption Setting'!$F$69*'Assumption Setting'!$C$77</f>
        <v>0.182671613087925</v>
      </c>
      <c r="L77" s="83" t="n">
        <f aca="true">IF((10-'Assumption Setting'!$G$69)&lt;1,0,OFFSET($A$76,0,2+13*INT(((10-'Assumption Setting'!$G$69)-1)/12)+MOD((10-'Assumption Setting'!$G$69)-1,12)))*'Assumption Setting'!$F$69*'Assumption Setting'!$C$77</f>
        <v>0.182671613087925</v>
      </c>
      <c r="M77" s="83" t="n">
        <f aca="true">IF((11-'Assumption Setting'!$G$69)&lt;1,0,OFFSET($A$76,0,2+13*INT(((11-'Assumption Setting'!$G$69)-1)/12)+MOD((11-'Assumption Setting'!$G$69)-1,12)))*'Assumption Setting'!$F$69*'Assumption Setting'!$C$77</f>
        <v>0.182671613087925</v>
      </c>
      <c r="N77" s="83" t="n">
        <f aca="true">IF((12-'Assumption Setting'!$G$69)&lt;1,0,OFFSET($A$76,0,2+13*INT(((12-'Assumption Setting'!$G$69)-1)/12)+MOD((12-'Assumption Setting'!$G$69)-1,12)))*'Assumption Setting'!$F$69*'Assumption Setting'!$C$77</f>
        <v>0.182671613087925</v>
      </c>
      <c r="O77" s="80" t="n">
        <f aca="false">SUM(P77:AA77)</f>
        <v>3.16515159128944</v>
      </c>
      <c r="P77" s="83" t="n">
        <f aca="true">IF((13-'Assumption Setting'!$G$69)&lt;1,0,OFFSET($A$76,0,2+13*INT(((13-'Assumption Setting'!$G$69)-1)/12)+MOD((13-'Assumption Setting'!$G$69)-1,12)))*'Assumption Setting'!$F$69*'Assumption Setting'!$D$77</f>
        <v>0.200938774396718</v>
      </c>
      <c r="Q77" s="83" t="n">
        <f aca="true">IF((14-'Assumption Setting'!$G$69)&lt;1,0,OFFSET($A$76,0,2+13*INT(((14-'Assumption Setting'!$G$69)-1)/12)+MOD((14-'Assumption Setting'!$G$69)-1,12)))*'Assumption Setting'!$F$69*'Assumption Setting'!$D$77</f>
        <v>0.200938774396718</v>
      </c>
      <c r="R77" s="83" t="n">
        <f aca="true">IF((15-'Assumption Setting'!$G$69)&lt;1,0,OFFSET($A$76,0,2+13*INT(((15-'Assumption Setting'!$G$69)-1)/12)+MOD((15-'Assumption Setting'!$G$69)-1,12)))*'Assumption Setting'!$F$69*'Assumption Setting'!$D$77</f>
        <v>0.200938774396718</v>
      </c>
      <c r="S77" s="83" t="n">
        <f aca="true">IF((16-'Assumption Setting'!$G$69)&lt;1,0,OFFSET($A$76,0,2+13*INT(((16-'Assumption Setting'!$G$69)-1)/12)+MOD((16-'Assumption Setting'!$G$69)-1,12)))*'Assumption Setting'!$F$69*'Assumption Setting'!$D$77</f>
        <v>0.200938774396718</v>
      </c>
      <c r="T77" s="83" t="n">
        <f aca="true">IF((17-'Assumption Setting'!$G$69)&lt;1,0,OFFSET($A$76,0,2+13*INT(((17-'Assumption Setting'!$G$69)-1)/12)+MOD((17-'Assumption Setting'!$G$69)-1,12)))*'Assumption Setting'!$F$69*'Assumption Setting'!$D$77</f>
        <v>0.200938774396718</v>
      </c>
      <c r="U77" s="83" t="n">
        <f aca="true">IF((18-'Assumption Setting'!$G$69)&lt;1,0,OFFSET($A$76,0,2+13*INT(((18-'Assumption Setting'!$G$69)-1)/12)+MOD((18-'Assumption Setting'!$G$69)-1,12)))*'Assumption Setting'!$F$69*'Assumption Setting'!$D$77</f>
        <v>0.308636817043692</v>
      </c>
      <c r="V77" s="83" t="n">
        <f aca="true">IF((19-'Assumption Setting'!$G$69)&lt;1,0,OFFSET($A$76,0,2+13*INT(((19-'Assumption Setting'!$G$69)-1)/12)+MOD((19-'Assumption Setting'!$G$69)-1,12)))*'Assumption Setting'!$F$69*'Assumption Setting'!$D$77</f>
        <v>0.308636817043692</v>
      </c>
      <c r="W77" s="83" t="n">
        <f aca="true">IF((20-'Assumption Setting'!$G$69)&lt;1,0,OFFSET($A$76,0,2+13*INT(((20-'Assumption Setting'!$G$69)-1)/12)+MOD((20-'Assumption Setting'!$G$69)-1,12)))*'Assumption Setting'!$F$69*'Assumption Setting'!$D$77</f>
        <v>0.308636817043692</v>
      </c>
      <c r="X77" s="83" t="n">
        <f aca="true">IF((21-'Assumption Setting'!$G$69)&lt;1,0,OFFSET($A$76,0,2+13*INT(((21-'Assumption Setting'!$G$69)-1)/12)+MOD((21-'Assumption Setting'!$G$69)-1,12)))*'Assumption Setting'!$F$69*'Assumption Setting'!$D$77</f>
        <v>0.308636817043692</v>
      </c>
      <c r="Y77" s="83" t="n">
        <f aca="true">IF((22-'Assumption Setting'!$G$69)&lt;1,0,OFFSET($A$76,0,2+13*INT(((22-'Assumption Setting'!$G$69)-1)/12)+MOD((22-'Assumption Setting'!$G$69)-1,12)))*'Assumption Setting'!$F$69*'Assumption Setting'!$D$77</f>
        <v>0.308636817043692</v>
      </c>
      <c r="Z77" s="83" t="n">
        <f aca="true">IF((23-'Assumption Setting'!$G$69)&lt;1,0,OFFSET($A$76,0,2+13*INT(((23-'Assumption Setting'!$G$69)-1)/12)+MOD((23-'Assumption Setting'!$G$69)-1,12)))*'Assumption Setting'!$F$69*'Assumption Setting'!$D$77</f>
        <v>0.308636817043692</v>
      </c>
      <c r="AA77" s="83" t="n">
        <f aca="true">IF((24-'Assumption Setting'!$G$69)&lt;1,0,OFFSET($A$76,0,2+13*INT(((24-'Assumption Setting'!$G$69)-1)/12)+MOD((24-'Assumption Setting'!$G$69)-1,12)))*'Assumption Setting'!$F$69*'Assumption Setting'!$D$77</f>
        <v>0.308636817043692</v>
      </c>
      <c r="AB77" s="80" t="n">
        <f aca="false">SUM(AC77:AN77)</f>
        <v>5.21830747585343</v>
      </c>
      <c r="AC77" s="83" t="n">
        <f aca="true">IF((25-'Assumption Setting'!$G$69)&lt;1,0,OFFSET($A$76,0,2+13*INT(((25-'Assumption Setting'!$G$69)-1)/12)+MOD((25-'Assumption Setting'!$G$69)-1,12)))*'Assumption Setting'!$F$69*'Assumption Setting'!$E$77</f>
        <v>0.33669470950221</v>
      </c>
      <c r="AD77" s="83" t="n">
        <f aca="true">IF((26-'Assumption Setting'!$G$69)&lt;1,0,OFFSET($A$76,0,2+13*INT(((26-'Assumption Setting'!$G$69)-1)/12)+MOD((26-'Assumption Setting'!$G$69)-1,12)))*'Assumption Setting'!$F$69*'Assumption Setting'!$E$77</f>
        <v>0.33669470950221</v>
      </c>
      <c r="AE77" s="83" t="n">
        <f aca="true">IF((27-'Assumption Setting'!$G$69)&lt;1,0,OFFSET($A$76,0,2+13*INT(((27-'Assumption Setting'!$G$69)-1)/12)+MOD((27-'Assumption Setting'!$G$69)-1,12)))*'Assumption Setting'!$F$69*'Assumption Setting'!$E$77</f>
        <v>0.33669470950221</v>
      </c>
      <c r="AF77" s="83" t="n">
        <f aca="true">IF((28-'Assumption Setting'!$G$69)&lt;1,0,OFFSET($A$76,0,2+13*INT(((28-'Assumption Setting'!$G$69)-1)/12)+MOD((28-'Assumption Setting'!$G$69)-1,12)))*'Assumption Setting'!$F$69*'Assumption Setting'!$E$77</f>
        <v>0.33669470950221</v>
      </c>
      <c r="AG77" s="83" t="n">
        <f aca="true">IF((29-'Assumption Setting'!$G$69)&lt;1,0,OFFSET($A$76,0,2+13*INT(((29-'Assumption Setting'!$G$69)-1)/12)+MOD((29-'Assumption Setting'!$G$69)-1,12)))*'Assumption Setting'!$F$69*'Assumption Setting'!$E$77</f>
        <v>0.33669470950221</v>
      </c>
      <c r="AH77" s="83" t="n">
        <f aca="true">IF((30-'Assumption Setting'!$G$69)&lt;1,0,OFFSET($A$76,0,2+13*INT(((30-'Assumption Setting'!$G$69)-1)/12)+MOD((30-'Assumption Setting'!$G$69)-1,12)))*'Assumption Setting'!$F$69*'Assumption Setting'!$E$77</f>
        <v>0.504976275477483</v>
      </c>
      <c r="AI77" s="83" t="n">
        <f aca="true">IF((31-'Assumption Setting'!$G$69)&lt;1,0,OFFSET($A$76,0,2+13*INT(((31-'Assumption Setting'!$G$69)-1)/12)+MOD((31-'Assumption Setting'!$G$69)-1,12)))*'Assumption Setting'!$F$69*'Assumption Setting'!$E$77</f>
        <v>0.504976275477483</v>
      </c>
      <c r="AJ77" s="83" t="n">
        <f aca="true">IF((32-'Assumption Setting'!$G$69)&lt;1,0,OFFSET($A$76,0,2+13*INT(((32-'Assumption Setting'!$G$69)-1)/12)+MOD((32-'Assumption Setting'!$G$69)-1,12)))*'Assumption Setting'!$F$69*'Assumption Setting'!$E$77</f>
        <v>0.504976275477483</v>
      </c>
      <c r="AK77" s="83" t="n">
        <f aca="true">IF((33-'Assumption Setting'!$G$69)&lt;1,0,OFFSET($A$76,0,2+13*INT(((33-'Assumption Setting'!$G$69)-1)/12)+MOD((33-'Assumption Setting'!$G$69)-1,12)))*'Assumption Setting'!$F$69*'Assumption Setting'!$E$77</f>
        <v>0.504976275477483</v>
      </c>
      <c r="AL77" s="83" t="n">
        <f aca="true">IF((34-'Assumption Setting'!$G$69)&lt;1,0,OFFSET($A$76,0,2+13*INT(((34-'Assumption Setting'!$G$69)-1)/12)+MOD((34-'Assumption Setting'!$G$69)-1,12)))*'Assumption Setting'!$F$69*'Assumption Setting'!$E$77</f>
        <v>0.504976275477483</v>
      </c>
      <c r="AM77" s="83" t="n">
        <f aca="true">IF((35-'Assumption Setting'!$G$69)&lt;1,0,OFFSET($A$76,0,2+13*INT(((35-'Assumption Setting'!$G$69)-1)/12)+MOD((35-'Assumption Setting'!$G$69)-1,12)))*'Assumption Setting'!$F$69*'Assumption Setting'!$E$77</f>
        <v>0.504976275477483</v>
      </c>
      <c r="AN77" s="83" t="n">
        <f aca="true">IF((36-'Assumption Setting'!$G$69)&lt;1,0,OFFSET($A$76,0,2+13*INT(((36-'Assumption Setting'!$G$69)-1)/12)+MOD((36-'Assumption Setting'!$G$69)-1,12)))*'Assumption Setting'!$F$69*'Assumption Setting'!$E$77</f>
        <v>0.504976275477483</v>
      </c>
      <c r="AO77" s="80" t="n">
        <f aca="false">SUM(AP77:BA77)</f>
        <v>7.40537309088858</v>
      </c>
      <c r="AP77" s="83" t="n">
        <f aca="true">IF((37-'Assumption Setting'!$G$69)&lt;1,0,OFFSET($A$76,0,2+13*INT(((37-'Assumption Setting'!$G$69)-1)/12)+MOD((37-'Assumption Setting'!$G$69)-1,12)))*'Assumption Setting'!$F$69*'Assumption Setting'!$F$77</f>
        <v>0.526016953622378</v>
      </c>
      <c r="AQ77" s="83" t="n">
        <f aca="true">IF((38-'Assumption Setting'!$G$69)&lt;1,0,OFFSET($A$76,0,2+13*INT(((38-'Assumption Setting'!$G$69)-1)/12)+MOD((38-'Assumption Setting'!$G$69)-1,12)))*'Assumption Setting'!$F$69*'Assumption Setting'!$F$77</f>
        <v>0.526016953622378</v>
      </c>
      <c r="AR77" s="83" t="n">
        <f aca="true">IF((39-'Assumption Setting'!$G$69)&lt;1,0,OFFSET($A$76,0,2+13*INT(((39-'Assumption Setting'!$G$69)-1)/12)+MOD((39-'Assumption Setting'!$G$69)-1,12)))*'Assumption Setting'!$F$69*'Assumption Setting'!$F$77</f>
        <v>0.526016953622378</v>
      </c>
      <c r="AS77" s="83" t="n">
        <f aca="true">IF((40-'Assumption Setting'!$G$69)&lt;1,0,OFFSET($A$76,0,2+13*INT(((40-'Assumption Setting'!$G$69)-1)/12)+MOD((40-'Assumption Setting'!$G$69)-1,12)))*'Assumption Setting'!$F$69*'Assumption Setting'!$F$77</f>
        <v>0.526016953622378</v>
      </c>
      <c r="AT77" s="83" t="n">
        <f aca="true">IF((41-'Assumption Setting'!$G$69)&lt;1,0,OFFSET($A$76,0,2+13*INT(((41-'Assumption Setting'!$G$69)-1)/12)+MOD((41-'Assumption Setting'!$G$69)-1,12)))*'Assumption Setting'!$F$69*'Assumption Setting'!$F$77</f>
        <v>0.526016953622378</v>
      </c>
      <c r="AU77" s="83" t="n">
        <f aca="true">IF((42-'Assumption Setting'!$G$69)&lt;1,0,OFFSET($A$76,0,2+13*INT(((42-'Assumption Setting'!$G$69)-1)/12)+MOD((42-'Assumption Setting'!$G$69)-1,12)))*'Assumption Setting'!$F$69*'Assumption Setting'!$F$77</f>
        <v>0.682184046110956</v>
      </c>
      <c r="AV77" s="83" t="n">
        <f aca="true">IF((43-'Assumption Setting'!$G$69)&lt;1,0,OFFSET($A$76,0,2+13*INT(((43-'Assumption Setting'!$G$69)-1)/12)+MOD((43-'Assumption Setting'!$G$69)-1,12)))*'Assumption Setting'!$F$69*'Assumption Setting'!$F$77</f>
        <v>0.682184046110956</v>
      </c>
      <c r="AW77" s="83" t="n">
        <f aca="true">IF((44-'Assumption Setting'!$G$69)&lt;1,0,OFFSET($A$76,0,2+13*INT(((44-'Assumption Setting'!$G$69)-1)/12)+MOD((44-'Assumption Setting'!$G$69)-1,12)))*'Assumption Setting'!$F$69*'Assumption Setting'!$F$77</f>
        <v>0.682184046110956</v>
      </c>
      <c r="AX77" s="83" t="n">
        <f aca="true">IF((45-'Assumption Setting'!$G$69)&lt;1,0,OFFSET($A$76,0,2+13*INT(((45-'Assumption Setting'!$G$69)-1)/12)+MOD((45-'Assumption Setting'!$G$69)-1,12)))*'Assumption Setting'!$F$69*'Assumption Setting'!$F$77</f>
        <v>0.682184046110956</v>
      </c>
      <c r="AY77" s="83" t="n">
        <f aca="true">IF((46-'Assumption Setting'!$G$69)&lt;1,0,OFFSET($A$76,0,2+13*INT(((46-'Assumption Setting'!$G$69)-1)/12)+MOD((46-'Assumption Setting'!$G$69)-1,12)))*'Assumption Setting'!$F$69*'Assumption Setting'!$F$77</f>
        <v>0.682184046110956</v>
      </c>
      <c r="AZ77" s="83" t="n">
        <f aca="true">IF((47-'Assumption Setting'!$G$69)&lt;1,0,OFFSET($A$76,0,2+13*INT(((47-'Assumption Setting'!$G$69)-1)/12)+MOD((47-'Assumption Setting'!$G$69)-1,12)))*'Assumption Setting'!$F$69*'Assumption Setting'!$F$77</f>
        <v>0.682184046110956</v>
      </c>
      <c r="BA77" s="83" t="n">
        <f aca="true">IF((48-'Assumption Setting'!$G$69)&lt;1,0,OFFSET($A$76,0,2+13*INT(((48-'Assumption Setting'!$G$69)-1)/12)+MOD((48-'Assumption Setting'!$G$69)-1,12)))*'Assumption Setting'!$F$69*'Assumption Setting'!$F$77</f>
        <v>0.682184046110956</v>
      </c>
      <c r="BB77" s="80" t="n">
        <f aca="false">SUM(BC77:BN77)</f>
        <v>9.64845879288824</v>
      </c>
      <c r="BC77" s="83" t="n">
        <f aca="true">IF((49-'Assumption Setting'!$G$69)&lt;1,0,OFFSET($A$76,0,2+13*INT(((49-'Assumption Setting'!$G$69)-1)/12)+MOD((49-'Assumption Setting'!$G$69)-1,12)))*'Assumption Setting'!$F$69*'Assumption Setting'!$G$77</f>
        <v>0.709471407955394</v>
      </c>
      <c r="BD77" s="83" t="n">
        <f aca="true">IF((50-'Assumption Setting'!$G$69)&lt;1,0,OFFSET($A$76,0,2+13*INT(((50-'Assumption Setting'!$G$69)-1)/12)+MOD((50-'Assumption Setting'!$G$69)-1,12)))*'Assumption Setting'!$F$69*'Assumption Setting'!$G$77</f>
        <v>0.709471407955394</v>
      </c>
      <c r="BE77" s="83" t="n">
        <f aca="true">IF((51-'Assumption Setting'!$G$69)&lt;1,0,OFFSET($A$76,0,2+13*INT(((51-'Assumption Setting'!$G$69)-1)/12)+MOD((51-'Assumption Setting'!$G$69)-1,12)))*'Assumption Setting'!$F$69*'Assumption Setting'!$G$77</f>
        <v>0.709471407955394</v>
      </c>
      <c r="BF77" s="83" t="n">
        <f aca="true">IF((52-'Assumption Setting'!$G$69)&lt;1,0,OFFSET($A$76,0,2+13*INT(((52-'Assumption Setting'!$G$69)-1)/12)+MOD((52-'Assumption Setting'!$G$69)-1,12)))*'Assumption Setting'!$F$69*'Assumption Setting'!$G$77</f>
        <v>0.709471407955394</v>
      </c>
      <c r="BG77" s="83" t="n">
        <f aca="true">IF((53-'Assumption Setting'!$G$69)&lt;1,0,OFFSET($A$76,0,2+13*INT(((53-'Assumption Setting'!$G$69)-1)/12)+MOD((53-'Assumption Setting'!$G$69)-1,12)))*'Assumption Setting'!$F$69*'Assumption Setting'!$G$77</f>
        <v>0.709471407955394</v>
      </c>
      <c r="BH77" s="83" t="n">
        <f aca="true">IF((54-'Assumption Setting'!$G$69)&lt;1,0,OFFSET($A$76,0,2+13*INT(((54-'Assumption Setting'!$G$69)-1)/12)+MOD((54-'Assumption Setting'!$G$69)-1,12)))*'Assumption Setting'!$F$69*'Assumption Setting'!$G$77</f>
        <v>0.871585964730182</v>
      </c>
      <c r="BI77" s="83" t="n">
        <f aca="true">IF((55-'Assumption Setting'!$G$69)&lt;1,0,OFFSET($A$76,0,2+13*INT(((55-'Assumption Setting'!$G$69)-1)/12)+MOD((55-'Assumption Setting'!$G$69)-1,12)))*'Assumption Setting'!$F$69*'Assumption Setting'!$G$77</f>
        <v>0.871585964730182</v>
      </c>
      <c r="BJ77" s="83" t="n">
        <f aca="true">IF((56-'Assumption Setting'!$G$69)&lt;1,0,OFFSET($A$76,0,2+13*INT(((56-'Assumption Setting'!$G$69)-1)/12)+MOD((56-'Assumption Setting'!$G$69)-1,12)))*'Assumption Setting'!$F$69*'Assumption Setting'!$G$77</f>
        <v>0.871585964730182</v>
      </c>
      <c r="BK77" s="83" t="n">
        <f aca="true">IF((57-'Assumption Setting'!$G$69)&lt;1,0,OFFSET($A$76,0,2+13*INT(((57-'Assumption Setting'!$G$69)-1)/12)+MOD((57-'Assumption Setting'!$G$69)-1,12)))*'Assumption Setting'!$F$69*'Assumption Setting'!$G$77</f>
        <v>0.871585964730182</v>
      </c>
      <c r="BL77" s="83" t="n">
        <f aca="true">IF((58-'Assumption Setting'!$G$69)&lt;1,0,OFFSET($A$76,0,2+13*INT(((58-'Assumption Setting'!$G$69)-1)/12)+MOD((58-'Assumption Setting'!$G$69)-1,12)))*'Assumption Setting'!$F$69*'Assumption Setting'!$G$77</f>
        <v>0.871585964730182</v>
      </c>
      <c r="BM77" s="83" t="n">
        <f aca="true">IF((59-'Assumption Setting'!$G$69)&lt;1,0,OFFSET($A$76,0,2+13*INT(((59-'Assumption Setting'!$G$69)-1)/12)+MOD((59-'Assumption Setting'!$G$69)-1,12)))*'Assumption Setting'!$F$69*'Assumption Setting'!$G$77</f>
        <v>0.871585964730182</v>
      </c>
      <c r="BN77" s="83" t="n">
        <f aca="true">IF((60-'Assumption Setting'!$G$69)&lt;1,0,OFFSET($A$76,0,2+13*INT(((60-'Assumption Setting'!$G$69)-1)/12)+MOD((60-'Assumption Setting'!$G$69)-1,12)))*'Assumption Setting'!$F$69*'Assumption Setting'!$G$77</f>
        <v>0.871585964730182</v>
      </c>
    </row>
    <row r="78" customFormat="false" ht="15" hidden="false" customHeight="false" outlineLevel="0" collapsed="false">
      <c r="A78" s="69" t="s">
        <v>619</v>
      </c>
      <c r="B78" s="80" t="n">
        <f aca="false">SUM(C78:N78)</f>
        <v>1.09602967852755</v>
      </c>
      <c r="C78" s="86" t="n">
        <f aca="true">IF((1-'Assumption Setting'!$H$69)&lt;1,0,OFFSET($A$77,0,2+13*INT(((1-'Assumption Setting'!$H$69)-1)/12)+MOD((1-'Assumption Setting'!$H$69)-1,12)))</f>
        <v>0</v>
      </c>
      <c r="D78" s="86" t="n">
        <f aca="true">IF((2-'Assumption Setting'!$H$69)&lt;1,0,OFFSET($A$77,0,2+13*INT(((2-'Assumption Setting'!$H$69)-1)/12)+MOD((2-'Assumption Setting'!$H$69)-1,12)))</f>
        <v>0</v>
      </c>
      <c r="E78" s="86" t="n">
        <f aca="true">IF((3-'Assumption Setting'!$H$69)&lt;1,0,OFFSET($A$77,0,2+13*INT(((3-'Assumption Setting'!$H$69)-1)/12)+MOD((3-'Assumption Setting'!$H$69)-1,12)))</f>
        <v>0</v>
      </c>
      <c r="F78" s="86" t="n">
        <f aca="true">IF((4-'Assumption Setting'!$H$69)&lt;1,0,OFFSET($A$77,0,2+13*INT(((4-'Assumption Setting'!$H$69)-1)/12)+MOD((4-'Assumption Setting'!$H$69)-1,12)))</f>
        <v>0</v>
      </c>
      <c r="G78" s="86" t="n">
        <f aca="true">IF((5-'Assumption Setting'!$H$69)&lt;1,0,OFFSET($A$77,0,2+13*INT(((5-'Assumption Setting'!$H$69)-1)/12)+MOD((5-'Assumption Setting'!$H$69)-1,12)))</f>
        <v>0</v>
      </c>
      <c r="H78" s="86" t="n">
        <f aca="true">IF((6-'Assumption Setting'!$H$69)&lt;1,0,OFFSET($A$77,0,2+13*INT(((6-'Assumption Setting'!$H$69)-1)/12)+MOD((6-'Assumption Setting'!$H$69)-1,12)))</f>
        <v>0</v>
      </c>
      <c r="I78" s="86" t="n">
        <f aca="true">IF((7-'Assumption Setting'!$H$69)&lt;1,0,OFFSET($A$77,0,2+13*INT(((7-'Assumption Setting'!$H$69)-1)/12)+MOD((7-'Assumption Setting'!$H$69)-1,12)))</f>
        <v>0.182671613087925</v>
      </c>
      <c r="J78" s="86" t="n">
        <f aca="true">IF((8-'Assumption Setting'!$H$69)&lt;1,0,OFFSET($A$77,0,2+13*INT(((8-'Assumption Setting'!$H$69)-1)/12)+MOD((8-'Assumption Setting'!$H$69)-1,12)))</f>
        <v>0.182671613087925</v>
      </c>
      <c r="K78" s="86" t="n">
        <f aca="true">IF((9-'Assumption Setting'!$H$69)&lt;1,0,OFFSET($A$77,0,2+13*INT(((9-'Assumption Setting'!$H$69)-1)/12)+MOD((9-'Assumption Setting'!$H$69)-1,12)))</f>
        <v>0.182671613087925</v>
      </c>
      <c r="L78" s="86" t="n">
        <f aca="true">IF((10-'Assumption Setting'!$H$69)&lt;1,0,OFFSET($A$77,0,2+13*INT(((10-'Assumption Setting'!$H$69)-1)/12)+MOD((10-'Assumption Setting'!$H$69)-1,12)))</f>
        <v>0.182671613087925</v>
      </c>
      <c r="M78" s="86" t="n">
        <f aca="true">IF((11-'Assumption Setting'!$H$69)&lt;1,0,OFFSET($A$77,0,2+13*INT(((11-'Assumption Setting'!$H$69)-1)/12)+MOD((11-'Assumption Setting'!$H$69)-1,12)))</f>
        <v>0.182671613087925</v>
      </c>
      <c r="N78" s="86" t="n">
        <f aca="true">IF((12-'Assumption Setting'!$H$69)&lt;1,0,OFFSET($A$77,0,2+13*INT(((12-'Assumption Setting'!$H$69)-1)/12)+MOD((12-'Assumption Setting'!$H$69)-1,12)))</f>
        <v>0.182671613087925</v>
      </c>
      <c r="O78" s="80" t="n">
        <f aca="false">SUM(P78:AA78)</f>
        <v>3.03918638733367</v>
      </c>
      <c r="P78" s="86" t="n">
        <f aca="true">IF((13-'Assumption Setting'!$H$69)&lt;1,0,OFFSET($A$77,0,2+13*INT(((13-'Assumption Setting'!$H$69)-1)/12)+MOD((13-'Assumption Setting'!$H$69)-1,12)))</f>
        <v>0.182671613087925</v>
      </c>
      <c r="Q78" s="86" t="n">
        <f aca="true">IF((14-'Assumption Setting'!$H$69)&lt;1,0,OFFSET($A$77,0,2+13*INT(((14-'Assumption Setting'!$H$69)-1)/12)+MOD((14-'Assumption Setting'!$H$69)-1,12)))</f>
        <v>0.200938774396718</v>
      </c>
      <c r="R78" s="86" t="n">
        <f aca="true">IF((15-'Assumption Setting'!$H$69)&lt;1,0,OFFSET($A$77,0,2+13*INT(((15-'Assumption Setting'!$H$69)-1)/12)+MOD((15-'Assumption Setting'!$H$69)-1,12)))</f>
        <v>0.200938774396718</v>
      </c>
      <c r="S78" s="86" t="n">
        <f aca="true">IF((16-'Assumption Setting'!$H$69)&lt;1,0,OFFSET($A$77,0,2+13*INT(((16-'Assumption Setting'!$H$69)-1)/12)+MOD((16-'Assumption Setting'!$H$69)-1,12)))</f>
        <v>0.200938774396718</v>
      </c>
      <c r="T78" s="86" t="n">
        <f aca="true">IF((17-'Assumption Setting'!$H$69)&lt;1,0,OFFSET($A$77,0,2+13*INT(((17-'Assumption Setting'!$H$69)-1)/12)+MOD((17-'Assumption Setting'!$H$69)-1,12)))</f>
        <v>0.200938774396718</v>
      </c>
      <c r="U78" s="86" t="n">
        <f aca="true">IF((18-'Assumption Setting'!$H$69)&lt;1,0,OFFSET($A$77,0,2+13*INT(((18-'Assumption Setting'!$H$69)-1)/12)+MOD((18-'Assumption Setting'!$H$69)-1,12)))</f>
        <v>0.200938774396718</v>
      </c>
      <c r="V78" s="86" t="n">
        <f aca="true">IF((19-'Assumption Setting'!$H$69)&lt;1,0,OFFSET($A$77,0,2+13*INT(((19-'Assumption Setting'!$H$69)-1)/12)+MOD((19-'Assumption Setting'!$H$69)-1,12)))</f>
        <v>0.308636817043692</v>
      </c>
      <c r="W78" s="86" t="n">
        <f aca="true">IF((20-'Assumption Setting'!$H$69)&lt;1,0,OFFSET($A$77,0,2+13*INT(((20-'Assumption Setting'!$H$69)-1)/12)+MOD((20-'Assumption Setting'!$H$69)-1,12)))</f>
        <v>0.308636817043692</v>
      </c>
      <c r="X78" s="86" t="n">
        <f aca="true">IF((21-'Assumption Setting'!$H$69)&lt;1,0,OFFSET($A$77,0,2+13*INT(((21-'Assumption Setting'!$H$69)-1)/12)+MOD((21-'Assumption Setting'!$H$69)-1,12)))</f>
        <v>0.308636817043692</v>
      </c>
      <c r="Y78" s="86" t="n">
        <f aca="true">IF((22-'Assumption Setting'!$H$69)&lt;1,0,OFFSET($A$77,0,2+13*INT(((22-'Assumption Setting'!$H$69)-1)/12)+MOD((22-'Assumption Setting'!$H$69)-1,12)))</f>
        <v>0.308636817043692</v>
      </c>
      <c r="Z78" s="86" t="n">
        <f aca="true">IF((23-'Assumption Setting'!$H$69)&lt;1,0,OFFSET($A$77,0,2+13*INT(((23-'Assumption Setting'!$H$69)-1)/12)+MOD((23-'Assumption Setting'!$H$69)-1,12)))</f>
        <v>0.308636817043692</v>
      </c>
      <c r="AA78" s="86" t="n">
        <f aca="true">IF((24-'Assumption Setting'!$H$69)&lt;1,0,OFFSET($A$77,0,2+13*INT(((24-'Assumption Setting'!$H$69)-1)/12)+MOD((24-'Assumption Setting'!$H$69)-1,12)))</f>
        <v>0.308636817043692</v>
      </c>
      <c r="AB78" s="80" t="n">
        <f aca="false">SUM(AC78:AN78)</f>
        <v>5.02196801741964</v>
      </c>
      <c r="AC78" s="86" t="n">
        <f aca="true">IF((25-'Assumption Setting'!$H$69)&lt;1,0,OFFSET($A$77,0,2+13*INT(((25-'Assumption Setting'!$H$69)-1)/12)+MOD((25-'Assumption Setting'!$H$69)-1,12)))</f>
        <v>0.308636817043692</v>
      </c>
      <c r="AD78" s="86" t="n">
        <f aca="true">IF((26-'Assumption Setting'!$H$69)&lt;1,0,OFFSET($A$77,0,2+13*INT(((26-'Assumption Setting'!$H$69)-1)/12)+MOD((26-'Assumption Setting'!$H$69)-1,12)))</f>
        <v>0.33669470950221</v>
      </c>
      <c r="AE78" s="86" t="n">
        <f aca="true">IF((27-'Assumption Setting'!$H$69)&lt;1,0,OFFSET($A$77,0,2+13*INT(((27-'Assumption Setting'!$H$69)-1)/12)+MOD((27-'Assumption Setting'!$H$69)-1,12)))</f>
        <v>0.33669470950221</v>
      </c>
      <c r="AF78" s="86" t="n">
        <f aca="true">IF((28-'Assumption Setting'!$H$69)&lt;1,0,OFFSET($A$77,0,2+13*INT(((28-'Assumption Setting'!$H$69)-1)/12)+MOD((28-'Assumption Setting'!$H$69)-1,12)))</f>
        <v>0.33669470950221</v>
      </c>
      <c r="AG78" s="86" t="n">
        <f aca="true">IF((29-'Assumption Setting'!$H$69)&lt;1,0,OFFSET($A$77,0,2+13*INT(((29-'Assumption Setting'!$H$69)-1)/12)+MOD((29-'Assumption Setting'!$H$69)-1,12)))</f>
        <v>0.33669470950221</v>
      </c>
      <c r="AH78" s="86" t="n">
        <f aca="true">IF((30-'Assumption Setting'!$H$69)&lt;1,0,OFFSET($A$77,0,2+13*INT(((30-'Assumption Setting'!$H$69)-1)/12)+MOD((30-'Assumption Setting'!$H$69)-1,12)))</f>
        <v>0.33669470950221</v>
      </c>
      <c r="AI78" s="86" t="n">
        <f aca="true">IF((31-'Assumption Setting'!$H$69)&lt;1,0,OFFSET($A$77,0,2+13*INT(((31-'Assumption Setting'!$H$69)-1)/12)+MOD((31-'Assumption Setting'!$H$69)-1,12)))</f>
        <v>0.504976275477483</v>
      </c>
      <c r="AJ78" s="86" t="n">
        <f aca="true">IF((32-'Assumption Setting'!$H$69)&lt;1,0,OFFSET($A$77,0,2+13*INT(((32-'Assumption Setting'!$H$69)-1)/12)+MOD((32-'Assumption Setting'!$H$69)-1,12)))</f>
        <v>0.504976275477483</v>
      </c>
      <c r="AK78" s="86" t="n">
        <f aca="true">IF((33-'Assumption Setting'!$H$69)&lt;1,0,OFFSET($A$77,0,2+13*INT(((33-'Assumption Setting'!$H$69)-1)/12)+MOD((33-'Assumption Setting'!$H$69)-1,12)))</f>
        <v>0.504976275477483</v>
      </c>
      <c r="AL78" s="86" t="n">
        <f aca="true">IF((34-'Assumption Setting'!$H$69)&lt;1,0,OFFSET($A$77,0,2+13*INT(((34-'Assumption Setting'!$H$69)-1)/12)+MOD((34-'Assumption Setting'!$H$69)-1,12)))</f>
        <v>0.504976275477483</v>
      </c>
      <c r="AM78" s="86" t="n">
        <f aca="true">IF((35-'Assumption Setting'!$H$69)&lt;1,0,OFFSET($A$77,0,2+13*INT(((35-'Assumption Setting'!$H$69)-1)/12)+MOD((35-'Assumption Setting'!$H$69)-1,12)))</f>
        <v>0.504976275477483</v>
      </c>
      <c r="AN78" s="86" t="n">
        <f aca="true">IF((36-'Assumption Setting'!$H$69)&lt;1,0,OFFSET($A$77,0,2+13*INT(((36-'Assumption Setting'!$H$69)-1)/12)+MOD((36-'Assumption Setting'!$H$69)-1,12)))</f>
        <v>0.504976275477483</v>
      </c>
      <c r="AO78" s="80" t="n">
        <f aca="false">SUM(AP78:BA78)</f>
        <v>7.22816532025511</v>
      </c>
      <c r="AP78" s="86" t="n">
        <f aca="true">IF((37-'Assumption Setting'!$H$69)&lt;1,0,OFFSET($A$77,0,2+13*INT(((37-'Assumption Setting'!$H$69)-1)/12)+MOD((37-'Assumption Setting'!$H$69)-1,12)))</f>
        <v>0.504976275477483</v>
      </c>
      <c r="AQ78" s="86" t="n">
        <f aca="true">IF((38-'Assumption Setting'!$H$69)&lt;1,0,OFFSET($A$77,0,2+13*INT(((38-'Assumption Setting'!$H$69)-1)/12)+MOD((38-'Assumption Setting'!$H$69)-1,12)))</f>
        <v>0.526016953622378</v>
      </c>
      <c r="AR78" s="86" t="n">
        <f aca="true">IF((39-'Assumption Setting'!$H$69)&lt;1,0,OFFSET($A$77,0,2+13*INT(((39-'Assumption Setting'!$H$69)-1)/12)+MOD((39-'Assumption Setting'!$H$69)-1,12)))</f>
        <v>0.526016953622378</v>
      </c>
      <c r="AS78" s="86" t="n">
        <f aca="true">IF((40-'Assumption Setting'!$H$69)&lt;1,0,OFFSET($A$77,0,2+13*INT(((40-'Assumption Setting'!$H$69)-1)/12)+MOD((40-'Assumption Setting'!$H$69)-1,12)))</f>
        <v>0.526016953622378</v>
      </c>
      <c r="AT78" s="86" t="n">
        <f aca="true">IF((41-'Assumption Setting'!$H$69)&lt;1,0,OFFSET($A$77,0,2+13*INT(((41-'Assumption Setting'!$H$69)-1)/12)+MOD((41-'Assumption Setting'!$H$69)-1,12)))</f>
        <v>0.526016953622378</v>
      </c>
      <c r="AU78" s="86" t="n">
        <f aca="true">IF((42-'Assumption Setting'!$H$69)&lt;1,0,OFFSET($A$77,0,2+13*INT(((42-'Assumption Setting'!$H$69)-1)/12)+MOD((42-'Assumption Setting'!$H$69)-1,12)))</f>
        <v>0.526016953622378</v>
      </c>
      <c r="AV78" s="86" t="n">
        <f aca="true">IF((43-'Assumption Setting'!$H$69)&lt;1,0,OFFSET($A$77,0,2+13*INT(((43-'Assumption Setting'!$H$69)-1)/12)+MOD((43-'Assumption Setting'!$H$69)-1,12)))</f>
        <v>0.682184046110956</v>
      </c>
      <c r="AW78" s="86" t="n">
        <f aca="true">IF((44-'Assumption Setting'!$H$69)&lt;1,0,OFFSET($A$77,0,2+13*INT(((44-'Assumption Setting'!$H$69)-1)/12)+MOD((44-'Assumption Setting'!$H$69)-1,12)))</f>
        <v>0.682184046110956</v>
      </c>
      <c r="AX78" s="86" t="n">
        <f aca="true">IF((45-'Assumption Setting'!$H$69)&lt;1,0,OFFSET($A$77,0,2+13*INT(((45-'Assumption Setting'!$H$69)-1)/12)+MOD((45-'Assumption Setting'!$H$69)-1,12)))</f>
        <v>0.682184046110956</v>
      </c>
      <c r="AY78" s="86" t="n">
        <f aca="true">IF((46-'Assumption Setting'!$H$69)&lt;1,0,OFFSET($A$77,0,2+13*INT(((46-'Assumption Setting'!$H$69)-1)/12)+MOD((46-'Assumption Setting'!$H$69)-1,12)))</f>
        <v>0.682184046110956</v>
      </c>
      <c r="AZ78" s="86" t="n">
        <f aca="true">IF((47-'Assumption Setting'!$H$69)&lt;1,0,OFFSET($A$77,0,2+13*INT(((47-'Assumption Setting'!$H$69)-1)/12)+MOD((47-'Assumption Setting'!$H$69)-1,12)))</f>
        <v>0.682184046110956</v>
      </c>
      <c r="BA78" s="86" t="n">
        <f aca="true">IF((48-'Assumption Setting'!$H$69)&lt;1,0,OFFSET($A$77,0,2+13*INT(((48-'Assumption Setting'!$H$69)-1)/12)+MOD((48-'Assumption Setting'!$H$69)-1,12)))</f>
        <v>0.682184046110956</v>
      </c>
      <c r="BB78" s="80" t="n">
        <f aca="false">SUM(BC78:BN78)</f>
        <v>9.45905687426902</v>
      </c>
      <c r="BC78" s="86" t="n">
        <f aca="true">IF((49-'Assumption Setting'!$H$69)&lt;1,0,OFFSET($A$77,0,2+13*INT(((49-'Assumption Setting'!$H$69)-1)/12)+MOD((49-'Assumption Setting'!$H$69)-1,12)))</f>
        <v>0.682184046110956</v>
      </c>
      <c r="BD78" s="86" t="n">
        <f aca="true">IF((50-'Assumption Setting'!$H$69)&lt;1,0,OFFSET($A$77,0,2+13*INT(((50-'Assumption Setting'!$H$69)-1)/12)+MOD((50-'Assumption Setting'!$H$69)-1,12)))</f>
        <v>0.709471407955394</v>
      </c>
      <c r="BE78" s="86" t="n">
        <f aca="true">IF((51-'Assumption Setting'!$H$69)&lt;1,0,OFFSET($A$77,0,2+13*INT(((51-'Assumption Setting'!$H$69)-1)/12)+MOD((51-'Assumption Setting'!$H$69)-1,12)))</f>
        <v>0.709471407955394</v>
      </c>
      <c r="BF78" s="86" t="n">
        <f aca="true">IF((52-'Assumption Setting'!$H$69)&lt;1,0,OFFSET($A$77,0,2+13*INT(((52-'Assumption Setting'!$H$69)-1)/12)+MOD((52-'Assumption Setting'!$H$69)-1,12)))</f>
        <v>0.709471407955394</v>
      </c>
      <c r="BG78" s="86" t="n">
        <f aca="true">IF((53-'Assumption Setting'!$H$69)&lt;1,0,OFFSET($A$77,0,2+13*INT(((53-'Assumption Setting'!$H$69)-1)/12)+MOD((53-'Assumption Setting'!$H$69)-1,12)))</f>
        <v>0.709471407955394</v>
      </c>
      <c r="BH78" s="86" t="n">
        <f aca="true">IF((54-'Assumption Setting'!$H$69)&lt;1,0,OFFSET($A$77,0,2+13*INT(((54-'Assumption Setting'!$H$69)-1)/12)+MOD((54-'Assumption Setting'!$H$69)-1,12)))</f>
        <v>0.709471407955394</v>
      </c>
      <c r="BI78" s="86" t="n">
        <f aca="true">IF((55-'Assumption Setting'!$H$69)&lt;1,0,OFFSET($A$77,0,2+13*INT(((55-'Assumption Setting'!$H$69)-1)/12)+MOD((55-'Assumption Setting'!$H$69)-1,12)))</f>
        <v>0.871585964730182</v>
      </c>
      <c r="BJ78" s="86" t="n">
        <f aca="true">IF((56-'Assumption Setting'!$H$69)&lt;1,0,OFFSET($A$77,0,2+13*INT(((56-'Assumption Setting'!$H$69)-1)/12)+MOD((56-'Assumption Setting'!$H$69)-1,12)))</f>
        <v>0.871585964730182</v>
      </c>
      <c r="BK78" s="86" t="n">
        <f aca="true">IF((57-'Assumption Setting'!$H$69)&lt;1,0,OFFSET($A$77,0,2+13*INT(((57-'Assumption Setting'!$H$69)-1)/12)+MOD((57-'Assumption Setting'!$H$69)-1,12)))</f>
        <v>0.871585964730182</v>
      </c>
      <c r="BL78" s="86" t="n">
        <f aca="true">IF((58-'Assumption Setting'!$H$69)&lt;1,0,OFFSET($A$77,0,2+13*INT(((58-'Assumption Setting'!$H$69)-1)/12)+MOD((58-'Assumption Setting'!$H$69)-1,12)))</f>
        <v>0.871585964730182</v>
      </c>
      <c r="BM78" s="86" t="n">
        <f aca="true">IF((59-'Assumption Setting'!$H$69)&lt;1,0,OFFSET($A$77,0,2+13*INT(((59-'Assumption Setting'!$H$69)-1)/12)+MOD((59-'Assumption Setting'!$H$69)-1,12)))</f>
        <v>0.871585964730182</v>
      </c>
      <c r="BN78" s="86" t="n">
        <f aca="true">IF((60-'Assumption Setting'!$H$69)&lt;1,0,OFFSET($A$77,0,2+13*INT(((60-'Assumption Setting'!$H$69)-1)/12)+MOD((60-'Assumption Setting'!$H$69)-1,12)))</f>
        <v>0.871585964730182</v>
      </c>
    </row>
    <row r="79" customFormat="false" ht="15" hidden="false" customHeight="false" outlineLevel="0" collapsed="false">
      <c r="A79" s="18" t="s">
        <v>276</v>
      </c>
      <c r="B79" s="80" t="n">
        <f aca="false">SUM(C79:N79)</f>
        <v>54.8014839263776</v>
      </c>
      <c r="C79" s="83" t="n">
        <f aca="false">C68*'Assumption Setting'!$C$70</f>
        <v>4.56679032719814</v>
      </c>
      <c r="D79" s="83" t="n">
        <f aca="false">D68*'Assumption Setting'!$C$70</f>
        <v>4.56679032719814</v>
      </c>
      <c r="E79" s="83" t="n">
        <f aca="false">E68*'Assumption Setting'!$C$70</f>
        <v>4.56679032719814</v>
      </c>
      <c r="F79" s="83" t="n">
        <f aca="false">F68*'Assumption Setting'!$C$70</f>
        <v>4.56679032719814</v>
      </c>
      <c r="G79" s="83" t="n">
        <f aca="false">G68*'Assumption Setting'!$C$70</f>
        <v>4.56679032719814</v>
      </c>
      <c r="H79" s="83" t="n">
        <f aca="false">H68*'Assumption Setting'!$C$70</f>
        <v>4.56679032719814</v>
      </c>
      <c r="I79" s="83" t="n">
        <f aca="false">I68*'Assumption Setting'!$C$70</f>
        <v>4.56679032719814</v>
      </c>
      <c r="J79" s="83" t="n">
        <f aca="false">J68*'Assumption Setting'!$C$70</f>
        <v>4.56679032719814</v>
      </c>
      <c r="K79" s="83" t="n">
        <f aca="false">K68*'Assumption Setting'!$C$70</f>
        <v>4.56679032719814</v>
      </c>
      <c r="L79" s="83" t="n">
        <f aca="false">L68*'Assumption Setting'!$C$70</f>
        <v>4.56679032719814</v>
      </c>
      <c r="M79" s="83" t="n">
        <f aca="false">M68*'Assumption Setting'!$C$70</f>
        <v>4.56679032719814</v>
      </c>
      <c r="N79" s="83" t="n">
        <f aca="false">N68*'Assumption Setting'!$C$70</f>
        <v>4.56679032719814</v>
      </c>
      <c r="O79" s="80" t="n">
        <f aca="false">SUM(P79:AA79)</f>
        <v>84.1736773755524</v>
      </c>
      <c r="P79" s="83" t="n">
        <f aca="false">P68*'Assumption Setting'!$C$70</f>
        <v>7.01447311462937</v>
      </c>
      <c r="Q79" s="83" t="n">
        <f aca="false">Q68*'Assumption Setting'!$C$70</f>
        <v>7.01447311462937</v>
      </c>
      <c r="R79" s="83" t="n">
        <f aca="false">R68*'Assumption Setting'!$C$70</f>
        <v>7.01447311462937</v>
      </c>
      <c r="S79" s="83" t="n">
        <f aca="false">S68*'Assumption Setting'!$C$70</f>
        <v>7.01447311462937</v>
      </c>
      <c r="T79" s="83" t="n">
        <f aca="false">T68*'Assumption Setting'!$C$70</f>
        <v>7.01447311462937</v>
      </c>
      <c r="U79" s="83" t="n">
        <f aca="false">U68*'Assumption Setting'!$C$70</f>
        <v>7.01447311462937</v>
      </c>
      <c r="V79" s="83" t="n">
        <f aca="false">V68*'Assumption Setting'!$C$70</f>
        <v>7.01447311462937</v>
      </c>
      <c r="W79" s="83" t="n">
        <f aca="false">W68*'Assumption Setting'!$C$70</f>
        <v>7.01447311462937</v>
      </c>
      <c r="X79" s="83" t="n">
        <f aca="false">X68*'Assumption Setting'!$C$70</f>
        <v>7.01447311462937</v>
      </c>
      <c r="Y79" s="83" t="n">
        <f aca="false">Y68*'Assumption Setting'!$C$70</f>
        <v>7.01447311462937</v>
      </c>
      <c r="Z79" s="83" t="n">
        <f aca="false">Z68*'Assumption Setting'!$C$70</f>
        <v>7.01447311462937</v>
      </c>
      <c r="AA79" s="83" t="n">
        <f aca="false">AA68*'Assumption Setting'!$C$70</f>
        <v>7.01447311462937</v>
      </c>
      <c r="AB79" s="80" t="n">
        <f aca="false">SUM(AC79:AN79)</f>
        <v>126.244068869371</v>
      </c>
      <c r="AC79" s="83" t="n">
        <f aca="false">AC68*'Assumption Setting'!$C$70</f>
        <v>10.5203390724476</v>
      </c>
      <c r="AD79" s="83" t="n">
        <f aca="false">AD68*'Assumption Setting'!$C$70</f>
        <v>10.5203390724476</v>
      </c>
      <c r="AE79" s="83" t="n">
        <f aca="false">AE68*'Assumption Setting'!$C$70</f>
        <v>10.5203390724476</v>
      </c>
      <c r="AF79" s="83" t="n">
        <f aca="false">AF68*'Assumption Setting'!$C$70</f>
        <v>10.5203390724476</v>
      </c>
      <c r="AG79" s="83" t="n">
        <f aca="false">AG68*'Assumption Setting'!$C$70</f>
        <v>10.5203390724476</v>
      </c>
      <c r="AH79" s="83" t="n">
        <f aca="false">AH68*'Assumption Setting'!$C$70</f>
        <v>10.5203390724476</v>
      </c>
      <c r="AI79" s="83" t="n">
        <f aca="false">AI68*'Assumption Setting'!$C$70</f>
        <v>10.5203390724476</v>
      </c>
      <c r="AJ79" s="83" t="n">
        <f aca="false">AJ68*'Assumption Setting'!$C$70</f>
        <v>10.5203390724476</v>
      </c>
      <c r="AK79" s="83" t="n">
        <f aca="false">AK68*'Assumption Setting'!$C$70</f>
        <v>10.5203390724476</v>
      </c>
      <c r="AL79" s="83" t="n">
        <f aca="false">AL68*'Assumption Setting'!$C$70</f>
        <v>10.5203390724476</v>
      </c>
      <c r="AM79" s="83" t="n">
        <f aca="false">AM68*'Assumption Setting'!$C$70</f>
        <v>10.5203390724476</v>
      </c>
      <c r="AN79" s="83" t="n">
        <f aca="false">AN68*'Assumption Setting'!$C$70</f>
        <v>10.5203390724476</v>
      </c>
      <c r="AO79" s="80" t="n">
        <f aca="false">SUM(AP79:BA79)</f>
        <v>163.724171066629</v>
      </c>
      <c r="AP79" s="83" t="n">
        <f aca="false">AP68*'Assumption Setting'!$C$70</f>
        <v>13.6436809222191</v>
      </c>
      <c r="AQ79" s="83" t="n">
        <f aca="false">AQ68*'Assumption Setting'!$C$70</f>
        <v>13.6436809222191</v>
      </c>
      <c r="AR79" s="83" t="n">
        <f aca="false">AR68*'Assumption Setting'!$C$70</f>
        <v>13.6436809222191</v>
      </c>
      <c r="AS79" s="83" t="n">
        <f aca="false">AS68*'Assumption Setting'!$C$70</f>
        <v>13.6436809222191</v>
      </c>
      <c r="AT79" s="83" t="n">
        <f aca="false">AT68*'Assumption Setting'!$C$70</f>
        <v>13.6436809222191</v>
      </c>
      <c r="AU79" s="83" t="n">
        <f aca="false">AU68*'Assumption Setting'!$C$70</f>
        <v>13.6436809222191</v>
      </c>
      <c r="AV79" s="83" t="n">
        <f aca="false">AV68*'Assumption Setting'!$C$70</f>
        <v>13.6436809222191</v>
      </c>
      <c r="AW79" s="83" t="n">
        <f aca="false">AW68*'Assumption Setting'!$C$70</f>
        <v>13.6436809222191</v>
      </c>
      <c r="AX79" s="83" t="n">
        <f aca="false">AX68*'Assumption Setting'!$C$70</f>
        <v>13.6436809222191</v>
      </c>
      <c r="AY79" s="83" t="n">
        <f aca="false">AY68*'Assumption Setting'!$C$70</f>
        <v>13.6436809222191</v>
      </c>
      <c r="AZ79" s="83" t="n">
        <f aca="false">AZ68*'Assumption Setting'!$C$70</f>
        <v>13.6436809222191</v>
      </c>
      <c r="BA79" s="83" t="n">
        <f aca="false">BA68*'Assumption Setting'!$C$70</f>
        <v>13.6436809222191</v>
      </c>
      <c r="BB79" s="80" t="n">
        <f aca="false">SUM(BC79:BN79)</f>
        <v>201.135222630042</v>
      </c>
      <c r="BC79" s="83" t="n">
        <f aca="false">BC68*'Assumption Setting'!$C$70</f>
        <v>16.7612685525035</v>
      </c>
      <c r="BD79" s="83" t="n">
        <f aca="false">BD68*'Assumption Setting'!$C$70</f>
        <v>16.7612685525035</v>
      </c>
      <c r="BE79" s="83" t="n">
        <f aca="false">BE68*'Assumption Setting'!$C$70</f>
        <v>16.7612685525035</v>
      </c>
      <c r="BF79" s="83" t="n">
        <f aca="false">BF68*'Assumption Setting'!$C$70</f>
        <v>16.7612685525035</v>
      </c>
      <c r="BG79" s="83" t="n">
        <f aca="false">BG68*'Assumption Setting'!$C$70</f>
        <v>16.7612685525035</v>
      </c>
      <c r="BH79" s="83" t="n">
        <f aca="false">BH68*'Assumption Setting'!$C$70</f>
        <v>16.7612685525035</v>
      </c>
      <c r="BI79" s="83" t="n">
        <f aca="false">BI68*'Assumption Setting'!$C$70</f>
        <v>16.7612685525035</v>
      </c>
      <c r="BJ79" s="83" t="n">
        <f aca="false">BJ68*'Assumption Setting'!$C$70</f>
        <v>16.7612685525035</v>
      </c>
      <c r="BK79" s="83" t="n">
        <f aca="false">BK68*'Assumption Setting'!$C$70</f>
        <v>16.7612685525035</v>
      </c>
      <c r="BL79" s="83" t="n">
        <f aca="false">BL68*'Assumption Setting'!$C$70</f>
        <v>16.7612685525035</v>
      </c>
      <c r="BM79" s="83" t="n">
        <f aca="false">BM68*'Assumption Setting'!$C$70</f>
        <v>16.7612685525035</v>
      </c>
      <c r="BN79" s="83" t="n">
        <f aca="false">BN68*'Assumption Setting'!$C$70</f>
        <v>16.7612685525035</v>
      </c>
    </row>
    <row r="80" customFormat="false" ht="15" hidden="false" customHeight="false" outlineLevel="0" collapsed="false">
      <c r="A80" s="12" t="s">
        <v>616</v>
      </c>
      <c r="B80" s="80" t="n">
        <f aca="false">SUM(C80:N80)</f>
        <v>16.4404451779133</v>
      </c>
      <c r="C80" s="81" t="n">
        <f aca="false">C79*'Assumption Setting'!$D$70</f>
        <v>1.37003709815944</v>
      </c>
      <c r="D80" s="81" t="n">
        <f aca="false">D79*'Assumption Setting'!$D$70</f>
        <v>1.37003709815944</v>
      </c>
      <c r="E80" s="81" t="n">
        <f aca="false">E79*'Assumption Setting'!$D$70</f>
        <v>1.37003709815944</v>
      </c>
      <c r="F80" s="81" t="n">
        <f aca="false">F79*'Assumption Setting'!$D$70</f>
        <v>1.37003709815944</v>
      </c>
      <c r="G80" s="81" t="n">
        <f aca="false">G79*'Assumption Setting'!$D$70</f>
        <v>1.37003709815944</v>
      </c>
      <c r="H80" s="81" t="n">
        <f aca="false">H79*'Assumption Setting'!$D$70</f>
        <v>1.37003709815944</v>
      </c>
      <c r="I80" s="81" t="n">
        <f aca="false">I79*'Assumption Setting'!$D$70</f>
        <v>1.37003709815944</v>
      </c>
      <c r="J80" s="81" t="n">
        <f aca="false">J79*'Assumption Setting'!$D$70</f>
        <v>1.37003709815944</v>
      </c>
      <c r="K80" s="81" t="n">
        <f aca="false">K79*'Assumption Setting'!$D$70</f>
        <v>1.37003709815944</v>
      </c>
      <c r="L80" s="81" t="n">
        <f aca="false">L79*'Assumption Setting'!$D$70</f>
        <v>1.37003709815944</v>
      </c>
      <c r="M80" s="81" t="n">
        <f aca="false">M79*'Assumption Setting'!$D$70</f>
        <v>1.37003709815944</v>
      </c>
      <c r="N80" s="81" t="n">
        <f aca="false">N79*'Assumption Setting'!$D$70</f>
        <v>1.37003709815944</v>
      </c>
      <c r="O80" s="80" t="n">
        <f aca="false">SUM(P80:AA80)</f>
        <v>25.2521032126657</v>
      </c>
      <c r="P80" s="81" t="n">
        <f aca="false">P79*'Assumption Setting'!$D$70</f>
        <v>2.10434193438881</v>
      </c>
      <c r="Q80" s="81" t="n">
        <f aca="false">Q79*'Assumption Setting'!$D$70</f>
        <v>2.10434193438881</v>
      </c>
      <c r="R80" s="81" t="n">
        <f aca="false">R79*'Assumption Setting'!$D$70</f>
        <v>2.10434193438881</v>
      </c>
      <c r="S80" s="81" t="n">
        <f aca="false">S79*'Assumption Setting'!$D$70</f>
        <v>2.10434193438881</v>
      </c>
      <c r="T80" s="81" t="n">
        <f aca="false">T79*'Assumption Setting'!$D$70</f>
        <v>2.10434193438881</v>
      </c>
      <c r="U80" s="81" t="n">
        <f aca="false">U79*'Assumption Setting'!$D$70</f>
        <v>2.10434193438881</v>
      </c>
      <c r="V80" s="81" t="n">
        <f aca="false">V79*'Assumption Setting'!$D$70</f>
        <v>2.10434193438881</v>
      </c>
      <c r="W80" s="81" t="n">
        <f aca="false">W79*'Assumption Setting'!$D$70</f>
        <v>2.10434193438881</v>
      </c>
      <c r="X80" s="81" t="n">
        <f aca="false">X79*'Assumption Setting'!$D$70</f>
        <v>2.10434193438881</v>
      </c>
      <c r="Y80" s="81" t="n">
        <f aca="false">Y79*'Assumption Setting'!$D$70</f>
        <v>2.10434193438881</v>
      </c>
      <c r="Z80" s="81" t="n">
        <f aca="false">Z79*'Assumption Setting'!$D$70</f>
        <v>2.10434193438881</v>
      </c>
      <c r="AA80" s="81" t="n">
        <f aca="false">AA79*'Assumption Setting'!$D$70</f>
        <v>2.10434193438881</v>
      </c>
      <c r="AB80" s="80" t="n">
        <f aca="false">SUM(AC80:AN80)</f>
        <v>37.8732206608112</v>
      </c>
      <c r="AC80" s="81" t="n">
        <f aca="false">AC79*'Assumption Setting'!$D$70</f>
        <v>3.15610172173427</v>
      </c>
      <c r="AD80" s="81" t="n">
        <f aca="false">AD79*'Assumption Setting'!$D$70</f>
        <v>3.15610172173427</v>
      </c>
      <c r="AE80" s="81" t="n">
        <f aca="false">AE79*'Assumption Setting'!$D$70</f>
        <v>3.15610172173427</v>
      </c>
      <c r="AF80" s="81" t="n">
        <f aca="false">AF79*'Assumption Setting'!$D$70</f>
        <v>3.15610172173427</v>
      </c>
      <c r="AG80" s="81" t="n">
        <f aca="false">AG79*'Assumption Setting'!$D$70</f>
        <v>3.15610172173427</v>
      </c>
      <c r="AH80" s="81" t="n">
        <f aca="false">AH79*'Assumption Setting'!$D$70</f>
        <v>3.15610172173427</v>
      </c>
      <c r="AI80" s="81" t="n">
        <f aca="false">AI79*'Assumption Setting'!$D$70</f>
        <v>3.15610172173427</v>
      </c>
      <c r="AJ80" s="81" t="n">
        <f aca="false">AJ79*'Assumption Setting'!$D$70</f>
        <v>3.15610172173427</v>
      </c>
      <c r="AK80" s="81" t="n">
        <f aca="false">AK79*'Assumption Setting'!$D$70</f>
        <v>3.15610172173427</v>
      </c>
      <c r="AL80" s="81" t="n">
        <f aca="false">AL79*'Assumption Setting'!$D$70</f>
        <v>3.15610172173427</v>
      </c>
      <c r="AM80" s="81" t="n">
        <f aca="false">AM79*'Assumption Setting'!$D$70</f>
        <v>3.15610172173427</v>
      </c>
      <c r="AN80" s="81" t="n">
        <f aca="false">AN79*'Assumption Setting'!$D$70</f>
        <v>3.15610172173427</v>
      </c>
      <c r="AO80" s="80" t="n">
        <f aca="false">SUM(AP80:BA80)</f>
        <v>49.1172513199888</v>
      </c>
      <c r="AP80" s="81" t="n">
        <f aca="false">AP79*'Assumption Setting'!$D$70</f>
        <v>4.09310427666574</v>
      </c>
      <c r="AQ80" s="81" t="n">
        <f aca="false">AQ79*'Assumption Setting'!$D$70</f>
        <v>4.09310427666574</v>
      </c>
      <c r="AR80" s="81" t="n">
        <f aca="false">AR79*'Assumption Setting'!$D$70</f>
        <v>4.09310427666574</v>
      </c>
      <c r="AS80" s="81" t="n">
        <f aca="false">AS79*'Assumption Setting'!$D$70</f>
        <v>4.09310427666574</v>
      </c>
      <c r="AT80" s="81" t="n">
        <f aca="false">AT79*'Assumption Setting'!$D$70</f>
        <v>4.09310427666574</v>
      </c>
      <c r="AU80" s="81" t="n">
        <f aca="false">AU79*'Assumption Setting'!$D$70</f>
        <v>4.09310427666574</v>
      </c>
      <c r="AV80" s="81" t="n">
        <f aca="false">AV79*'Assumption Setting'!$D$70</f>
        <v>4.09310427666574</v>
      </c>
      <c r="AW80" s="81" t="n">
        <f aca="false">AW79*'Assumption Setting'!$D$70</f>
        <v>4.09310427666574</v>
      </c>
      <c r="AX80" s="81" t="n">
        <f aca="false">AX79*'Assumption Setting'!$D$70</f>
        <v>4.09310427666574</v>
      </c>
      <c r="AY80" s="81" t="n">
        <f aca="false">AY79*'Assumption Setting'!$D$70</f>
        <v>4.09310427666574</v>
      </c>
      <c r="AZ80" s="81" t="n">
        <f aca="false">AZ79*'Assumption Setting'!$D$70</f>
        <v>4.09310427666574</v>
      </c>
      <c r="BA80" s="81" t="n">
        <f aca="false">BA79*'Assumption Setting'!$D$70</f>
        <v>4.09310427666574</v>
      </c>
      <c r="BB80" s="80" t="n">
        <f aca="false">SUM(BC80:BN80)</f>
        <v>60.3405667890126</v>
      </c>
      <c r="BC80" s="81" t="n">
        <f aca="false">BC79*'Assumption Setting'!$D$70</f>
        <v>5.02838056575105</v>
      </c>
      <c r="BD80" s="81" t="n">
        <f aca="false">BD79*'Assumption Setting'!$D$70</f>
        <v>5.02838056575105</v>
      </c>
      <c r="BE80" s="81" t="n">
        <f aca="false">BE79*'Assumption Setting'!$D$70</f>
        <v>5.02838056575105</v>
      </c>
      <c r="BF80" s="81" t="n">
        <f aca="false">BF79*'Assumption Setting'!$D$70</f>
        <v>5.02838056575105</v>
      </c>
      <c r="BG80" s="81" t="n">
        <f aca="false">BG79*'Assumption Setting'!$D$70</f>
        <v>5.02838056575105</v>
      </c>
      <c r="BH80" s="81" t="n">
        <f aca="false">BH79*'Assumption Setting'!$D$70</f>
        <v>5.02838056575105</v>
      </c>
      <c r="BI80" s="81" t="n">
        <f aca="false">BI79*'Assumption Setting'!$D$70</f>
        <v>5.02838056575105</v>
      </c>
      <c r="BJ80" s="81" t="n">
        <f aca="false">BJ79*'Assumption Setting'!$D$70</f>
        <v>5.02838056575105</v>
      </c>
      <c r="BK80" s="81" t="n">
        <f aca="false">BK79*'Assumption Setting'!$D$70</f>
        <v>5.02838056575105</v>
      </c>
      <c r="BL80" s="81" t="n">
        <f aca="false">BL79*'Assumption Setting'!$D$70</f>
        <v>5.02838056575105</v>
      </c>
      <c r="BM80" s="81" t="n">
        <f aca="false">BM79*'Assumption Setting'!$D$70</f>
        <v>5.02838056575105</v>
      </c>
      <c r="BN80" s="81" t="n">
        <f aca="false">BN79*'Assumption Setting'!$D$70</f>
        <v>5.02838056575105</v>
      </c>
    </row>
    <row r="81" customFormat="false" ht="15" hidden="false" customHeight="false" outlineLevel="0" collapsed="false">
      <c r="A81" s="12" t="s">
        <v>617</v>
      </c>
      <c r="B81" s="80" t="n">
        <f aca="false">SUM(C81:N81)</f>
        <v>5.75415581226965</v>
      </c>
      <c r="C81" s="81" t="n">
        <f aca="false">C80*'Assumption Setting'!$E$70</f>
        <v>0.479512984355804</v>
      </c>
      <c r="D81" s="81" t="n">
        <f aca="false">D80*'Assumption Setting'!$E$70</f>
        <v>0.479512984355804</v>
      </c>
      <c r="E81" s="81" t="n">
        <f aca="false">E80*'Assumption Setting'!$E$70</f>
        <v>0.479512984355804</v>
      </c>
      <c r="F81" s="81" t="n">
        <f aca="false">F80*'Assumption Setting'!$E$70</f>
        <v>0.479512984355804</v>
      </c>
      <c r="G81" s="81" t="n">
        <f aca="false">G80*'Assumption Setting'!$E$70</f>
        <v>0.479512984355804</v>
      </c>
      <c r="H81" s="81" t="n">
        <f aca="false">H80*'Assumption Setting'!$E$70</f>
        <v>0.479512984355804</v>
      </c>
      <c r="I81" s="81" t="n">
        <f aca="false">I80*'Assumption Setting'!$E$70</f>
        <v>0.479512984355804</v>
      </c>
      <c r="J81" s="81" t="n">
        <f aca="false">J80*'Assumption Setting'!$E$70</f>
        <v>0.479512984355804</v>
      </c>
      <c r="K81" s="81" t="n">
        <f aca="false">K80*'Assumption Setting'!$E$70</f>
        <v>0.479512984355804</v>
      </c>
      <c r="L81" s="81" t="n">
        <f aca="false">L80*'Assumption Setting'!$E$70</f>
        <v>0.479512984355804</v>
      </c>
      <c r="M81" s="81" t="n">
        <f aca="false">M80*'Assumption Setting'!$E$70</f>
        <v>0.479512984355804</v>
      </c>
      <c r="N81" s="81" t="n">
        <f aca="false">N80*'Assumption Setting'!$E$70</f>
        <v>0.479512984355804</v>
      </c>
      <c r="O81" s="80" t="n">
        <f aca="false">SUM(P81:AA81)</f>
        <v>8.83823612443301</v>
      </c>
      <c r="P81" s="81" t="n">
        <f aca="false">P80*'Assumption Setting'!$E$70</f>
        <v>0.736519677036084</v>
      </c>
      <c r="Q81" s="81" t="n">
        <f aca="false">Q80*'Assumption Setting'!$E$70</f>
        <v>0.736519677036084</v>
      </c>
      <c r="R81" s="81" t="n">
        <f aca="false">R80*'Assumption Setting'!$E$70</f>
        <v>0.736519677036084</v>
      </c>
      <c r="S81" s="81" t="n">
        <f aca="false">S80*'Assumption Setting'!$E$70</f>
        <v>0.736519677036084</v>
      </c>
      <c r="T81" s="81" t="n">
        <f aca="false">T80*'Assumption Setting'!$E$70</f>
        <v>0.736519677036084</v>
      </c>
      <c r="U81" s="81" t="n">
        <f aca="false">U80*'Assumption Setting'!$E$70</f>
        <v>0.736519677036084</v>
      </c>
      <c r="V81" s="81" t="n">
        <f aca="false">V80*'Assumption Setting'!$E$70</f>
        <v>0.736519677036084</v>
      </c>
      <c r="W81" s="81" t="n">
        <f aca="false">W80*'Assumption Setting'!$E$70</f>
        <v>0.736519677036084</v>
      </c>
      <c r="X81" s="81" t="n">
        <f aca="false">X80*'Assumption Setting'!$E$70</f>
        <v>0.736519677036084</v>
      </c>
      <c r="Y81" s="81" t="n">
        <f aca="false">Y80*'Assumption Setting'!$E$70</f>
        <v>0.736519677036084</v>
      </c>
      <c r="Z81" s="81" t="n">
        <f aca="false">Z80*'Assumption Setting'!$E$70</f>
        <v>0.736519677036084</v>
      </c>
      <c r="AA81" s="81" t="n">
        <f aca="false">AA80*'Assumption Setting'!$E$70</f>
        <v>0.736519677036084</v>
      </c>
      <c r="AB81" s="80" t="n">
        <f aca="false">SUM(AC81:AN81)</f>
        <v>13.2556272312839</v>
      </c>
      <c r="AC81" s="81" t="n">
        <f aca="false">AC80*'Assumption Setting'!$E$70</f>
        <v>1.10463560260699</v>
      </c>
      <c r="AD81" s="81" t="n">
        <f aca="false">AD80*'Assumption Setting'!$E$70</f>
        <v>1.10463560260699</v>
      </c>
      <c r="AE81" s="81" t="n">
        <f aca="false">AE80*'Assumption Setting'!$E$70</f>
        <v>1.10463560260699</v>
      </c>
      <c r="AF81" s="81" t="n">
        <f aca="false">AF80*'Assumption Setting'!$E$70</f>
        <v>1.10463560260699</v>
      </c>
      <c r="AG81" s="81" t="n">
        <f aca="false">AG80*'Assumption Setting'!$E$70</f>
        <v>1.10463560260699</v>
      </c>
      <c r="AH81" s="81" t="n">
        <f aca="false">AH80*'Assumption Setting'!$E$70</f>
        <v>1.10463560260699</v>
      </c>
      <c r="AI81" s="81" t="n">
        <f aca="false">AI80*'Assumption Setting'!$E$70</f>
        <v>1.10463560260699</v>
      </c>
      <c r="AJ81" s="81" t="n">
        <f aca="false">AJ80*'Assumption Setting'!$E$70</f>
        <v>1.10463560260699</v>
      </c>
      <c r="AK81" s="81" t="n">
        <f aca="false">AK80*'Assumption Setting'!$E$70</f>
        <v>1.10463560260699</v>
      </c>
      <c r="AL81" s="81" t="n">
        <f aca="false">AL80*'Assumption Setting'!$E$70</f>
        <v>1.10463560260699</v>
      </c>
      <c r="AM81" s="81" t="n">
        <f aca="false">AM80*'Assumption Setting'!$E$70</f>
        <v>1.10463560260699</v>
      </c>
      <c r="AN81" s="81" t="n">
        <f aca="false">AN80*'Assumption Setting'!$E$70</f>
        <v>1.10463560260699</v>
      </c>
      <c r="AO81" s="80" t="n">
        <f aca="false">SUM(AP81:BA81)</f>
        <v>17.1910379619961</v>
      </c>
      <c r="AP81" s="81" t="n">
        <f aca="false">AP80*'Assumption Setting'!$E$70</f>
        <v>1.43258649683301</v>
      </c>
      <c r="AQ81" s="81" t="n">
        <f aca="false">AQ80*'Assumption Setting'!$E$70</f>
        <v>1.43258649683301</v>
      </c>
      <c r="AR81" s="81" t="n">
        <f aca="false">AR80*'Assumption Setting'!$E$70</f>
        <v>1.43258649683301</v>
      </c>
      <c r="AS81" s="81" t="n">
        <f aca="false">AS80*'Assumption Setting'!$E$70</f>
        <v>1.43258649683301</v>
      </c>
      <c r="AT81" s="81" t="n">
        <f aca="false">AT80*'Assumption Setting'!$E$70</f>
        <v>1.43258649683301</v>
      </c>
      <c r="AU81" s="81" t="n">
        <f aca="false">AU80*'Assumption Setting'!$E$70</f>
        <v>1.43258649683301</v>
      </c>
      <c r="AV81" s="81" t="n">
        <f aca="false">AV80*'Assumption Setting'!$E$70</f>
        <v>1.43258649683301</v>
      </c>
      <c r="AW81" s="81" t="n">
        <f aca="false">AW80*'Assumption Setting'!$E$70</f>
        <v>1.43258649683301</v>
      </c>
      <c r="AX81" s="81" t="n">
        <f aca="false">AX80*'Assumption Setting'!$E$70</f>
        <v>1.43258649683301</v>
      </c>
      <c r="AY81" s="81" t="n">
        <f aca="false">AY80*'Assumption Setting'!$E$70</f>
        <v>1.43258649683301</v>
      </c>
      <c r="AZ81" s="81" t="n">
        <f aca="false">AZ80*'Assumption Setting'!$E$70</f>
        <v>1.43258649683301</v>
      </c>
      <c r="BA81" s="81" t="n">
        <f aca="false">BA80*'Assumption Setting'!$E$70</f>
        <v>1.43258649683301</v>
      </c>
      <c r="BB81" s="80" t="n">
        <f aca="false">SUM(BC81:BN81)</f>
        <v>21.1191983761544</v>
      </c>
      <c r="BC81" s="81" t="n">
        <f aca="false">BC80*'Assumption Setting'!$E$70</f>
        <v>1.75993319801287</v>
      </c>
      <c r="BD81" s="81" t="n">
        <f aca="false">BD80*'Assumption Setting'!$E$70</f>
        <v>1.75993319801287</v>
      </c>
      <c r="BE81" s="81" t="n">
        <f aca="false">BE80*'Assumption Setting'!$E$70</f>
        <v>1.75993319801287</v>
      </c>
      <c r="BF81" s="81" t="n">
        <f aca="false">BF80*'Assumption Setting'!$E$70</f>
        <v>1.75993319801287</v>
      </c>
      <c r="BG81" s="81" t="n">
        <f aca="false">BG80*'Assumption Setting'!$E$70</f>
        <v>1.75993319801287</v>
      </c>
      <c r="BH81" s="81" t="n">
        <f aca="false">BH80*'Assumption Setting'!$E$70</f>
        <v>1.75993319801287</v>
      </c>
      <c r="BI81" s="81" t="n">
        <f aca="false">BI80*'Assumption Setting'!$E$70</f>
        <v>1.75993319801287</v>
      </c>
      <c r="BJ81" s="81" t="n">
        <f aca="false">BJ80*'Assumption Setting'!$E$70</f>
        <v>1.75993319801287</v>
      </c>
      <c r="BK81" s="81" t="n">
        <f aca="false">BK80*'Assumption Setting'!$E$70</f>
        <v>1.75993319801287</v>
      </c>
      <c r="BL81" s="81" t="n">
        <f aca="false">BL80*'Assumption Setting'!$E$70</f>
        <v>1.75993319801287</v>
      </c>
      <c r="BM81" s="81" t="n">
        <f aca="false">BM80*'Assumption Setting'!$E$70</f>
        <v>1.75993319801287</v>
      </c>
      <c r="BN81" s="81" t="n">
        <f aca="false">BN80*'Assumption Setting'!$E$70</f>
        <v>1.75993319801287</v>
      </c>
    </row>
    <row r="82" customFormat="false" ht="15" hidden="false" customHeight="false" outlineLevel="0" collapsed="false">
      <c r="A82" s="18" t="s">
        <v>618</v>
      </c>
      <c r="B82" s="80" t="n">
        <f aca="false">SUM(C82:N82)</f>
        <v>0</v>
      </c>
      <c r="C82" s="83" t="n">
        <f aca="true">IF((1-'Assumption Setting'!$G$70)&lt;1,0,OFFSET($A$81,0,2+13*INT(((1-'Assumption Setting'!$G$70)-1)/12)+MOD((1-'Assumption Setting'!$G$70)-1,12)))*'Assumption Setting'!$F$70*'Assumption Setting'!$C$77</f>
        <v>0</v>
      </c>
      <c r="D82" s="83" t="n">
        <f aca="true">IF((2-'Assumption Setting'!$G$70)&lt;1,0,OFFSET($A$81,0,2+13*INT(((2-'Assumption Setting'!$G$70)-1)/12)+MOD((2-'Assumption Setting'!$G$70)-1,12)))*'Assumption Setting'!$F$70*'Assumption Setting'!$C$77</f>
        <v>0</v>
      </c>
      <c r="E82" s="83" t="n">
        <f aca="true">IF((3-'Assumption Setting'!$G$70)&lt;1,0,OFFSET($A$81,0,2+13*INT(((3-'Assumption Setting'!$G$70)-1)/12)+MOD((3-'Assumption Setting'!$G$70)-1,12)))*'Assumption Setting'!$F$70*'Assumption Setting'!$C$77</f>
        <v>0</v>
      </c>
      <c r="F82" s="83" t="n">
        <f aca="true">IF((4-'Assumption Setting'!$G$70)&lt;1,0,OFFSET($A$81,0,2+13*INT(((4-'Assumption Setting'!$G$70)-1)/12)+MOD((4-'Assumption Setting'!$G$70)-1,12)))*'Assumption Setting'!$F$70*'Assumption Setting'!$C$77</f>
        <v>0</v>
      </c>
      <c r="G82" s="83" t="n">
        <f aca="true">IF((5-'Assumption Setting'!$G$70)&lt;1,0,OFFSET($A$81,0,2+13*INT(((5-'Assumption Setting'!$G$70)-1)/12)+MOD((5-'Assumption Setting'!$G$70)-1,12)))*'Assumption Setting'!$F$70*'Assumption Setting'!$C$77</f>
        <v>0</v>
      </c>
      <c r="H82" s="83" t="n">
        <f aca="true">IF((6-'Assumption Setting'!$G$70)&lt;1,0,OFFSET($A$81,0,2+13*INT(((6-'Assumption Setting'!$G$70)-1)/12)+MOD((6-'Assumption Setting'!$G$70)-1,12)))*'Assumption Setting'!$F$70*'Assumption Setting'!$C$77</f>
        <v>0</v>
      </c>
      <c r="I82" s="83" t="n">
        <f aca="true">IF((7-'Assumption Setting'!$G$70)&lt;1,0,OFFSET($A$81,0,2+13*INT(((7-'Assumption Setting'!$G$70)-1)/12)+MOD((7-'Assumption Setting'!$G$70)-1,12)))*'Assumption Setting'!$F$70*'Assumption Setting'!$C$77</f>
        <v>0</v>
      </c>
      <c r="J82" s="83" t="n">
        <f aca="true">IF((8-'Assumption Setting'!$G$70)&lt;1,0,OFFSET($A$81,0,2+13*INT(((8-'Assumption Setting'!$G$70)-1)/12)+MOD((8-'Assumption Setting'!$G$70)-1,12)))*'Assumption Setting'!$F$70*'Assumption Setting'!$C$77</f>
        <v>0</v>
      </c>
      <c r="K82" s="83" t="n">
        <f aca="true">IF((9-'Assumption Setting'!$G$70)&lt;1,0,OFFSET($A$81,0,2+13*INT(((9-'Assumption Setting'!$G$70)-1)/12)+MOD((9-'Assumption Setting'!$G$70)-1,12)))*'Assumption Setting'!$F$70*'Assumption Setting'!$C$77</f>
        <v>0</v>
      </c>
      <c r="L82" s="83" t="n">
        <f aca="true">IF((10-'Assumption Setting'!$G$70)&lt;1,0,OFFSET($A$81,0,2+13*INT(((10-'Assumption Setting'!$G$70)-1)/12)+MOD((10-'Assumption Setting'!$G$70)-1,12)))*'Assumption Setting'!$F$70*'Assumption Setting'!$C$77</f>
        <v>0</v>
      </c>
      <c r="M82" s="83" t="n">
        <f aca="true">IF((11-'Assumption Setting'!$G$70)&lt;1,0,OFFSET($A$81,0,2+13*INT(((11-'Assumption Setting'!$G$70)-1)/12)+MOD((11-'Assumption Setting'!$G$70)-1,12)))*'Assumption Setting'!$F$70*'Assumption Setting'!$C$77</f>
        <v>0</v>
      </c>
      <c r="N82" s="83" t="n">
        <f aca="true">IF((12-'Assumption Setting'!$G$70)&lt;1,0,OFFSET($A$81,0,2+13*INT(((12-'Assumption Setting'!$G$70)-1)/12)+MOD((12-'Assumption Setting'!$G$70)-1,12)))*'Assumption Setting'!$F$70*'Assumption Setting'!$C$77</f>
        <v>0</v>
      </c>
      <c r="O82" s="80" t="n">
        <f aca="false">SUM(P82:AA82)</f>
        <v>1.26591427869932</v>
      </c>
      <c r="P82" s="83" t="n">
        <f aca="true">IF((13-'Assumption Setting'!$G$70)&lt;1,0,OFFSET($A$81,0,2+13*INT(((13-'Assumption Setting'!$G$70)-1)/12)+MOD((13-'Assumption Setting'!$G$70)-1,12)))*'Assumption Setting'!$F$70*'Assumption Setting'!$D$77</f>
        <v>0.105492856558277</v>
      </c>
      <c r="Q82" s="83" t="n">
        <f aca="true">IF((14-'Assumption Setting'!$G$70)&lt;1,0,OFFSET($A$81,0,2+13*INT(((14-'Assumption Setting'!$G$70)-1)/12)+MOD((14-'Assumption Setting'!$G$70)-1,12)))*'Assumption Setting'!$F$70*'Assumption Setting'!$D$77</f>
        <v>0.105492856558277</v>
      </c>
      <c r="R82" s="83" t="n">
        <f aca="true">IF((15-'Assumption Setting'!$G$70)&lt;1,0,OFFSET($A$81,0,2+13*INT(((15-'Assumption Setting'!$G$70)-1)/12)+MOD((15-'Assumption Setting'!$G$70)-1,12)))*'Assumption Setting'!$F$70*'Assumption Setting'!$D$77</f>
        <v>0.105492856558277</v>
      </c>
      <c r="S82" s="83" t="n">
        <f aca="true">IF((16-'Assumption Setting'!$G$70)&lt;1,0,OFFSET($A$81,0,2+13*INT(((16-'Assumption Setting'!$G$70)-1)/12)+MOD((16-'Assumption Setting'!$G$70)-1,12)))*'Assumption Setting'!$F$70*'Assumption Setting'!$D$77</f>
        <v>0.105492856558277</v>
      </c>
      <c r="T82" s="83" t="n">
        <f aca="true">IF((17-'Assumption Setting'!$G$70)&lt;1,0,OFFSET($A$81,0,2+13*INT(((17-'Assumption Setting'!$G$70)-1)/12)+MOD((17-'Assumption Setting'!$G$70)-1,12)))*'Assumption Setting'!$F$70*'Assumption Setting'!$D$77</f>
        <v>0.105492856558277</v>
      </c>
      <c r="U82" s="83" t="n">
        <f aca="true">IF((18-'Assumption Setting'!$G$70)&lt;1,0,OFFSET($A$81,0,2+13*INT(((18-'Assumption Setting'!$G$70)-1)/12)+MOD((18-'Assumption Setting'!$G$70)-1,12)))*'Assumption Setting'!$F$70*'Assumption Setting'!$D$77</f>
        <v>0.105492856558277</v>
      </c>
      <c r="V82" s="83" t="n">
        <f aca="true">IF((19-'Assumption Setting'!$G$70)&lt;1,0,OFFSET($A$81,0,2+13*INT(((19-'Assumption Setting'!$G$70)-1)/12)+MOD((19-'Assumption Setting'!$G$70)-1,12)))*'Assumption Setting'!$F$70*'Assumption Setting'!$D$77</f>
        <v>0.105492856558277</v>
      </c>
      <c r="W82" s="83" t="n">
        <f aca="true">IF((20-'Assumption Setting'!$G$70)&lt;1,0,OFFSET($A$81,0,2+13*INT(((20-'Assumption Setting'!$G$70)-1)/12)+MOD((20-'Assumption Setting'!$G$70)-1,12)))*'Assumption Setting'!$F$70*'Assumption Setting'!$D$77</f>
        <v>0.105492856558277</v>
      </c>
      <c r="X82" s="83" t="n">
        <f aca="true">IF((21-'Assumption Setting'!$G$70)&lt;1,0,OFFSET($A$81,0,2+13*INT(((21-'Assumption Setting'!$G$70)-1)/12)+MOD((21-'Assumption Setting'!$G$70)-1,12)))*'Assumption Setting'!$F$70*'Assumption Setting'!$D$77</f>
        <v>0.105492856558277</v>
      </c>
      <c r="Y82" s="83" t="n">
        <f aca="true">IF((22-'Assumption Setting'!$G$70)&lt;1,0,OFFSET($A$81,0,2+13*INT(((22-'Assumption Setting'!$G$70)-1)/12)+MOD((22-'Assumption Setting'!$G$70)-1,12)))*'Assumption Setting'!$F$70*'Assumption Setting'!$D$77</f>
        <v>0.105492856558277</v>
      </c>
      <c r="Z82" s="83" t="n">
        <f aca="true">IF((23-'Assumption Setting'!$G$70)&lt;1,0,OFFSET($A$81,0,2+13*INT(((23-'Assumption Setting'!$G$70)-1)/12)+MOD((23-'Assumption Setting'!$G$70)-1,12)))*'Assumption Setting'!$F$70*'Assumption Setting'!$D$77</f>
        <v>0.105492856558277</v>
      </c>
      <c r="AA82" s="83" t="n">
        <f aca="true">IF((24-'Assumption Setting'!$G$70)&lt;1,0,OFFSET($A$81,0,2+13*INT(((24-'Assumption Setting'!$G$70)-1)/12)+MOD((24-'Assumption Setting'!$G$70)-1,12)))*'Assumption Setting'!$F$70*'Assumption Setting'!$D$77</f>
        <v>0.105492856558277</v>
      </c>
      <c r="AB82" s="80" t="n">
        <f aca="false">SUM(AC82:AN82)</f>
        <v>2.12117666986392</v>
      </c>
      <c r="AC82" s="83" t="n">
        <f aca="true">IF((25-'Assumption Setting'!$G$70)&lt;1,0,OFFSET($A$81,0,2+13*INT(((25-'Assumption Setting'!$G$70)-1)/12)+MOD((25-'Assumption Setting'!$G$70)-1,12)))*'Assumption Setting'!$F$70*'Assumption Setting'!$E$77</f>
        <v>0.17676472248866</v>
      </c>
      <c r="AD82" s="83" t="n">
        <f aca="true">IF((26-'Assumption Setting'!$G$70)&lt;1,0,OFFSET($A$81,0,2+13*INT(((26-'Assumption Setting'!$G$70)-1)/12)+MOD((26-'Assumption Setting'!$G$70)-1,12)))*'Assumption Setting'!$F$70*'Assumption Setting'!$E$77</f>
        <v>0.17676472248866</v>
      </c>
      <c r="AE82" s="83" t="n">
        <f aca="true">IF((27-'Assumption Setting'!$G$70)&lt;1,0,OFFSET($A$81,0,2+13*INT(((27-'Assumption Setting'!$G$70)-1)/12)+MOD((27-'Assumption Setting'!$G$70)-1,12)))*'Assumption Setting'!$F$70*'Assumption Setting'!$E$77</f>
        <v>0.17676472248866</v>
      </c>
      <c r="AF82" s="83" t="n">
        <f aca="true">IF((28-'Assumption Setting'!$G$70)&lt;1,0,OFFSET($A$81,0,2+13*INT(((28-'Assumption Setting'!$G$70)-1)/12)+MOD((28-'Assumption Setting'!$G$70)-1,12)))*'Assumption Setting'!$F$70*'Assumption Setting'!$E$77</f>
        <v>0.17676472248866</v>
      </c>
      <c r="AG82" s="83" t="n">
        <f aca="true">IF((29-'Assumption Setting'!$G$70)&lt;1,0,OFFSET($A$81,0,2+13*INT(((29-'Assumption Setting'!$G$70)-1)/12)+MOD((29-'Assumption Setting'!$G$70)-1,12)))*'Assumption Setting'!$F$70*'Assumption Setting'!$E$77</f>
        <v>0.17676472248866</v>
      </c>
      <c r="AH82" s="83" t="n">
        <f aca="true">IF((30-'Assumption Setting'!$G$70)&lt;1,0,OFFSET($A$81,0,2+13*INT(((30-'Assumption Setting'!$G$70)-1)/12)+MOD((30-'Assumption Setting'!$G$70)-1,12)))*'Assumption Setting'!$F$70*'Assumption Setting'!$E$77</f>
        <v>0.17676472248866</v>
      </c>
      <c r="AI82" s="83" t="n">
        <f aca="true">IF((31-'Assumption Setting'!$G$70)&lt;1,0,OFFSET($A$81,0,2+13*INT(((31-'Assumption Setting'!$G$70)-1)/12)+MOD((31-'Assumption Setting'!$G$70)-1,12)))*'Assumption Setting'!$F$70*'Assumption Setting'!$E$77</f>
        <v>0.17676472248866</v>
      </c>
      <c r="AJ82" s="83" t="n">
        <f aca="true">IF((32-'Assumption Setting'!$G$70)&lt;1,0,OFFSET($A$81,0,2+13*INT(((32-'Assumption Setting'!$G$70)-1)/12)+MOD((32-'Assumption Setting'!$G$70)-1,12)))*'Assumption Setting'!$F$70*'Assumption Setting'!$E$77</f>
        <v>0.17676472248866</v>
      </c>
      <c r="AK82" s="83" t="n">
        <f aca="true">IF((33-'Assumption Setting'!$G$70)&lt;1,0,OFFSET($A$81,0,2+13*INT(((33-'Assumption Setting'!$G$70)-1)/12)+MOD((33-'Assumption Setting'!$G$70)-1,12)))*'Assumption Setting'!$F$70*'Assumption Setting'!$E$77</f>
        <v>0.17676472248866</v>
      </c>
      <c r="AL82" s="83" t="n">
        <f aca="true">IF((34-'Assumption Setting'!$G$70)&lt;1,0,OFFSET($A$81,0,2+13*INT(((34-'Assumption Setting'!$G$70)-1)/12)+MOD((34-'Assumption Setting'!$G$70)-1,12)))*'Assumption Setting'!$F$70*'Assumption Setting'!$E$77</f>
        <v>0.17676472248866</v>
      </c>
      <c r="AM82" s="83" t="n">
        <f aca="true">IF((35-'Assumption Setting'!$G$70)&lt;1,0,OFFSET($A$81,0,2+13*INT(((35-'Assumption Setting'!$G$70)-1)/12)+MOD((35-'Assumption Setting'!$G$70)-1,12)))*'Assumption Setting'!$F$70*'Assumption Setting'!$E$77</f>
        <v>0.17676472248866</v>
      </c>
      <c r="AN82" s="83" t="n">
        <f aca="true">IF((36-'Assumption Setting'!$G$70)&lt;1,0,OFFSET($A$81,0,2+13*INT(((36-'Assumption Setting'!$G$70)-1)/12)+MOD((36-'Assumption Setting'!$G$70)-1,12)))*'Assumption Setting'!$F$70*'Assumption Setting'!$E$77</f>
        <v>0.17676472248866</v>
      </c>
      <c r="AO82" s="80" t="n">
        <f aca="false">SUM(AP82:BA82)</f>
        <v>3.31390680782098</v>
      </c>
      <c r="AP82" s="83" t="n">
        <f aca="true">IF((37-'Assumption Setting'!$G$70)&lt;1,0,OFFSET($A$81,0,2+13*INT(((37-'Assumption Setting'!$G$70)-1)/12)+MOD((37-'Assumption Setting'!$G$70)-1,12)))*'Assumption Setting'!$F$70*'Assumption Setting'!$F$77</f>
        <v>0.276158900651748</v>
      </c>
      <c r="AQ82" s="83" t="n">
        <f aca="true">IF((38-'Assumption Setting'!$G$70)&lt;1,0,OFFSET($A$81,0,2+13*INT(((38-'Assumption Setting'!$G$70)-1)/12)+MOD((38-'Assumption Setting'!$G$70)-1,12)))*'Assumption Setting'!$F$70*'Assumption Setting'!$F$77</f>
        <v>0.276158900651748</v>
      </c>
      <c r="AR82" s="83" t="n">
        <f aca="true">IF((39-'Assumption Setting'!$G$70)&lt;1,0,OFFSET($A$81,0,2+13*INT(((39-'Assumption Setting'!$G$70)-1)/12)+MOD((39-'Assumption Setting'!$G$70)-1,12)))*'Assumption Setting'!$F$70*'Assumption Setting'!$F$77</f>
        <v>0.276158900651748</v>
      </c>
      <c r="AS82" s="83" t="n">
        <f aca="true">IF((40-'Assumption Setting'!$G$70)&lt;1,0,OFFSET($A$81,0,2+13*INT(((40-'Assumption Setting'!$G$70)-1)/12)+MOD((40-'Assumption Setting'!$G$70)-1,12)))*'Assumption Setting'!$F$70*'Assumption Setting'!$F$77</f>
        <v>0.276158900651748</v>
      </c>
      <c r="AT82" s="83" t="n">
        <f aca="true">IF((41-'Assumption Setting'!$G$70)&lt;1,0,OFFSET($A$81,0,2+13*INT(((41-'Assumption Setting'!$G$70)-1)/12)+MOD((41-'Assumption Setting'!$G$70)-1,12)))*'Assumption Setting'!$F$70*'Assumption Setting'!$F$77</f>
        <v>0.276158900651748</v>
      </c>
      <c r="AU82" s="83" t="n">
        <f aca="true">IF((42-'Assumption Setting'!$G$70)&lt;1,0,OFFSET($A$81,0,2+13*INT(((42-'Assumption Setting'!$G$70)-1)/12)+MOD((42-'Assumption Setting'!$G$70)-1,12)))*'Assumption Setting'!$F$70*'Assumption Setting'!$F$77</f>
        <v>0.276158900651748</v>
      </c>
      <c r="AV82" s="83" t="n">
        <f aca="true">IF((43-'Assumption Setting'!$G$70)&lt;1,0,OFFSET($A$81,0,2+13*INT(((43-'Assumption Setting'!$G$70)-1)/12)+MOD((43-'Assumption Setting'!$G$70)-1,12)))*'Assumption Setting'!$F$70*'Assumption Setting'!$F$77</f>
        <v>0.276158900651748</v>
      </c>
      <c r="AW82" s="83" t="n">
        <f aca="true">IF((44-'Assumption Setting'!$G$70)&lt;1,0,OFFSET($A$81,0,2+13*INT(((44-'Assumption Setting'!$G$70)-1)/12)+MOD((44-'Assumption Setting'!$G$70)-1,12)))*'Assumption Setting'!$F$70*'Assumption Setting'!$F$77</f>
        <v>0.276158900651748</v>
      </c>
      <c r="AX82" s="83" t="n">
        <f aca="true">IF((45-'Assumption Setting'!$G$70)&lt;1,0,OFFSET($A$81,0,2+13*INT(((45-'Assumption Setting'!$G$70)-1)/12)+MOD((45-'Assumption Setting'!$G$70)-1,12)))*'Assumption Setting'!$F$70*'Assumption Setting'!$F$77</f>
        <v>0.276158900651748</v>
      </c>
      <c r="AY82" s="83" t="n">
        <f aca="true">IF((46-'Assumption Setting'!$G$70)&lt;1,0,OFFSET($A$81,0,2+13*INT(((46-'Assumption Setting'!$G$70)-1)/12)+MOD((46-'Assumption Setting'!$G$70)-1,12)))*'Assumption Setting'!$F$70*'Assumption Setting'!$F$77</f>
        <v>0.276158900651748</v>
      </c>
      <c r="AZ82" s="83" t="n">
        <f aca="true">IF((47-'Assumption Setting'!$G$70)&lt;1,0,OFFSET($A$81,0,2+13*INT(((47-'Assumption Setting'!$G$70)-1)/12)+MOD((47-'Assumption Setting'!$G$70)-1,12)))*'Assumption Setting'!$F$70*'Assumption Setting'!$F$77</f>
        <v>0.276158900651748</v>
      </c>
      <c r="BA82" s="83" t="n">
        <f aca="true">IF((48-'Assumption Setting'!$G$70)&lt;1,0,OFFSET($A$81,0,2+13*INT(((48-'Assumption Setting'!$G$70)-1)/12)+MOD((48-'Assumption Setting'!$G$70)-1,12)))*'Assumption Setting'!$F$70*'Assumption Setting'!$F$77</f>
        <v>0.276158900651748</v>
      </c>
      <c r="BB82" s="80" t="n">
        <f aca="false">SUM(BC82:BN82)</f>
        <v>4.46966987011898</v>
      </c>
      <c r="BC82" s="83" t="n">
        <f aca="true">IF((49-'Assumption Setting'!$G$70)&lt;1,0,OFFSET($A$81,0,2+13*INT(((49-'Assumption Setting'!$G$70)-1)/12)+MOD((49-'Assumption Setting'!$G$70)-1,12)))*'Assumption Setting'!$F$70*'Assumption Setting'!$G$77</f>
        <v>0.372472489176582</v>
      </c>
      <c r="BD82" s="83" t="n">
        <f aca="true">IF((50-'Assumption Setting'!$G$70)&lt;1,0,OFFSET($A$81,0,2+13*INT(((50-'Assumption Setting'!$G$70)-1)/12)+MOD((50-'Assumption Setting'!$G$70)-1,12)))*'Assumption Setting'!$F$70*'Assumption Setting'!$G$77</f>
        <v>0.372472489176582</v>
      </c>
      <c r="BE82" s="83" t="n">
        <f aca="true">IF((51-'Assumption Setting'!$G$70)&lt;1,0,OFFSET($A$81,0,2+13*INT(((51-'Assumption Setting'!$G$70)-1)/12)+MOD((51-'Assumption Setting'!$G$70)-1,12)))*'Assumption Setting'!$F$70*'Assumption Setting'!$G$77</f>
        <v>0.372472489176582</v>
      </c>
      <c r="BF82" s="83" t="n">
        <f aca="true">IF((52-'Assumption Setting'!$G$70)&lt;1,0,OFFSET($A$81,0,2+13*INT(((52-'Assumption Setting'!$G$70)-1)/12)+MOD((52-'Assumption Setting'!$G$70)-1,12)))*'Assumption Setting'!$F$70*'Assumption Setting'!$G$77</f>
        <v>0.372472489176582</v>
      </c>
      <c r="BG82" s="83" t="n">
        <f aca="true">IF((53-'Assumption Setting'!$G$70)&lt;1,0,OFFSET($A$81,0,2+13*INT(((53-'Assumption Setting'!$G$70)-1)/12)+MOD((53-'Assumption Setting'!$G$70)-1,12)))*'Assumption Setting'!$F$70*'Assumption Setting'!$G$77</f>
        <v>0.372472489176582</v>
      </c>
      <c r="BH82" s="83" t="n">
        <f aca="true">IF((54-'Assumption Setting'!$G$70)&lt;1,0,OFFSET($A$81,0,2+13*INT(((54-'Assumption Setting'!$G$70)-1)/12)+MOD((54-'Assumption Setting'!$G$70)-1,12)))*'Assumption Setting'!$F$70*'Assumption Setting'!$G$77</f>
        <v>0.372472489176582</v>
      </c>
      <c r="BI82" s="83" t="n">
        <f aca="true">IF((55-'Assumption Setting'!$G$70)&lt;1,0,OFFSET($A$81,0,2+13*INT(((55-'Assumption Setting'!$G$70)-1)/12)+MOD((55-'Assumption Setting'!$G$70)-1,12)))*'Assumption Setting'!$F$70*'Assumption Setting'!$G$77</f>
        <v>0.372472489176582</v>
      </c>
      <c r="BJ82" s="83" t="n">
        <f aca="true">IF((56-'Assumption Setting'!$G$70)&lt;1,0,OFFSET($A$81,0,2+13*INT(((56-'Assumption Setting'!$G$70)-1)/12)+MOD((56-'Assumption Setting'!$G$70)-1,12)))*'Assumption Setting'!$F$70*'Assumption Setting'!$G$77</f>
        <v>0.372472489176582</v>
      </c>
      <c r="BK82" s="83" t="n">
        <f aca="true">IF((57-'Assumption Setting'!$G$70)&lt;1,0,OFFSET($A$81,0,2+13*INT(((57-'Assumption Setting'!$G$70)-1)/12)+MOD((57-'Assumption Setting'!$G$70)-1,12)))*'Assumption Setting'!$F$70*'Assumption Setting'!$G$77</f>
        <v>0.372472489176582</v>
      </c>
      <c r="BL82" s="83" t="n">
        <f aca="true">IF((58-'Assumption Setting'!$G$70)&lt;1,0,OFFSET($A$81,0,2+13*INT(((58-'Assumption Setting'!$G$70)-1)/12)+MOD((58-'Assumption Setting'!$G$70)-1,12)))*'Assumption Setting'!$F$70*'Assumption Setting'!$G$77</f>
        <v>0.372472489176582</v>
      </c>
      <c r="BM82" s="83" t="n">
        <f aca="true">IF((59-'Assumption Setting'!$G$70)&lt;1,0,OFFSET($A$81,0,2+13*INT(((59-'Assumption Setting'!$G$70)-1)/12)+MOD((59-'Assumption Setting'!$G$70)-1,12)))*'Assumption Setting'!$F$70*'Assumption Setting'!$G$77</f>
        <v>0.372472489176582</v>
      </c>
      <c r="BN82" s="83" t="n">
        <f aca="true">IF((60-'Assumption Setting'!$G$70)&lt;1,0,OFFSET($A$81,0,2+13*INT(((60-'Assumption Setting'!$G$70)-1)/12)+MOD((60-'Assumption Setting'!$G$70)-1,12)))*'Assumption Setting'!$F$70*'Assumption Setting'!$G$77</f>
        <v>0.372472489176582</v>
      </c>
    </row>
    <row r="83" customFormat="false" ht="15" hidden="false" customHeight="false" outlineLevel="0" collapsed="false">
      <c r="A83" s="69" t="s">
        <v>619</v>
      </c>
      <c r="B83" s="80" t="n">
        <f aca="false">SUM(C83:N83)</f>
        <v>0</v>
      </c>
      <c r="C83" s="86" t="n">
        <f aca="true">IF((1-'Assumption Setting'!$H$70)&lt;1,0,OFFSET($A$82,0,2+13*INT(((1-'Assumption Setting'!$H$70)-1)/12)+MOD((1-'Assumption Setting'!$H$70)-1,12)))</f>
        <v>0</v>
      </c>
      <c r="D83" s="86" t="n">
        <f aca="true">IF((2-'Assumption Setting'!$H$70)&lt;1,0,OFFSET($A$82,0,2+13*INT(((2-'Assumption Setting'!$H$70)-1)/12)+MOD((2-'Assumption Setting'!$H$70)-1,12)))</f>
        <v>0</v>
      </c>
      <c r="E83" s="86" t="n">
        <f aca="true">IF((3-'Assumption Setting'!$H$70)&lt;1,0,OFFSET($A$82,0,2+13*INT(((3-'Assumption Setting'!$H$70)-1)/12)+MOD((3-'Assumption Setting'!$H$70)-1,12)))</f>
        <v>0</v>
      </c>
      <c r="F83" s="86" t="n">
        <f aca="true">IF((4-'Assumption Setting'!$H$70)&lt;1,0,OFFSET($A$82,0,2+13*INT(((4-'Assumption Setting'!$H$70)-1)/12)+MOD((4-'Assumption Setting'!$H$70)-1,12)))</f>
        <v>0</v>
      </c>
      <c r="G83" s="86" t="n">
        <f aca="true">IF((5-'Assumption Setting'!$H$70)&lt;1,0,OFFSET($A$82,0,2+13*INT(((5-'Assumption Setting'!$H$70)-1)/12)+MOD((5-'Assumption Setting'!$H$70)-1,12)))</f>
        <v>0</v>
      </c>
      <c r="H83" s="86" t="n">
        <f aca="true">IF((6-'Assumption Setting'!$H$70)&lt;1,0,OFFSET($A$82,0,2+13*INT(((6-'Assumption Setting'!$H$70)-1)/12)+MOD((6-'Assumption Setting'!$H$70)-1,12)))</f>
        <v>0</v>
      </c>
      <c r="I83" s="86" t="n">
        <f aca="true">IF((7-'Assumption Setting'!$H$70)&lt;1,0,OFFSET($A$82,0,2+13*INT(((7-'Assumption Setting'!$H$70)-1)/12)+MOD((7-'Assumption Setting'!$H$70)-1,12)))</f>
        <v>0</v>
      </c>
      <c r="J83" s="86" t="n">
        <f aca="true">IF((8-'Assumption Setting'!$H$70)&lt;1,0,OFFSET($A$82,0,2+13*INT(((8-'Assumption Setting'!$H$70)-1)/12)+MOD((8-'Assumption Setting'!$H$70)-1,12)))</f>
        <v>0</v>
      </c>
      <c r="K83" s="86" t="n">
        <f aca="true">IF((9-'Assumption Setting'!$H$70)&lt;1,0,OFFSET($A$82,0,2+13*INT(((9-'Assumption Setting'!$H$70)-1)/12)+MOD((9-'Assumption Setting'!$H$70)-1,12)))</f>
        <v>0</v>
      </c>
      <c r="L83" s="86" t="n">
        <f aca="true">IF((10-'Assumption Setting'!$H$70)&lt;1,0,OFFSET($A$82,0,2+13*INT(((10-'Assumption Setting'!$H$70)-1)/12)+MOD((10-'Assumption Setting'!$H$70)-1,12)))</f>
        <v>0</v>
      </c>
      <c r="M83" s="86" t="n">
        <f aca="true">IF((11-'Assumption Setting'!$H$70)&lt;1,0,OFFSET($A$82,0,2+13*INT(((11-'Assumption Setting'!$H$70)-1)/12)+MOD((11-'Assumption Setting'!$H$70)-1,12)))</f>
        <v>0</v>
      </c>
      <c r="N83" s="86" t="n">
        <f aca="true">IF((12-'Assumption Setting'!$H$70)&lt;1,0,OFFSET($A$82,0,2+13*INT(((12-'Assumption Setting'!$H$70)-1)/12)+MOD((12-'Assumption Setting'!$H$70)-1,12)))</f>
        <v>0</v>
      </c>
      <c r="O83" s="80" t="n">
        <f aca="false">SUM(P83:AA83)</f>
        <v>0.949435709024493</v>
      </c>
      <c r="P83" s="86" t="n">
        <f aca="true">IF((13-'Assumption Setting'!$H$70)&lt;1,0,OFFSET($A$82,0,2+13*INT(((13-'Assumption Setting'!$H$70)-1)/12)+MOD((13-'Assumption Setting'!$H$70)-1,12)))</f>
        <v>0</v>
      </c>
      <c r="Q83" s="86" t="n">
        <f aca="true">IF((14-'Assumption Setting'!$H$70)&lt;1,0,OFFSET($A$82,0,2+13*INT(((14-'Assumption Setting'!$H$70)-1)/12)+MOD((14-'Assumption Setting'!$H$70)-1,12)))</f>
        <v>0</v>
      </c>
      <c r="R83" s="86" t="n">
        <f aca="true">IF((15-'Assumption Setting'!$H$70)&lt;1,0,OFFSET($A$82,0,2+13*INT(((15-'Assumption Setting'!$H$70)-1)/12)+MOD((15-'Assumption Setting'!$H$70)-1,12)))</f>
        <v>0</v>
      </c>
      <c r="S83" s="86" t="n">
        <f aca="true">IF((16-'Assumption Setting'!$H$70)&lt;1,0,OFFSET($A$82,0,2+13*INT(((16-'Assumption Setting'!$H$70)-1)/12)+MOD((16-'Assumption Setting'!$H$70)-1,12)))</f>
        <v>0.105492856558277</v>
      </c>
      <c r="T83" s="86" t="n">
        <f aca="true">IF((17-'Assumption Setting'!$H$70)&lt;1,0,OFFSET($A$82,0,2+13*INT(((17-'Assumption Setting'!$H$70)-1)/12)+MOD((17-'Assumption Setting'!$H$70)-1,12)))</f>
        <v>0.105492856558277</v>
      </c>
      <c r="U83" s="86" t="n">
        <f aca="true">IF((18-'Assumption Setting'!$H$70)&lt;1,0,OFFSET($A$82,0,2+13*INT(((18-'Assumption Setting'!$H$70)-1)/12)+MOD((18-'Assumption Setting'!$H$70)-1,12)))</f>
        <v>0.105492856558277</v>
      </c>
      <c r="V83" s="86" t="n">
        <f aca="true">IF((19-'Assumption Setting'!$H$70)&lt;1,0,OFFSET($A$82,0,2+13*INT(((19-'Assumption Setting'!$H$70)-1)/12)+MOD((19-'Assumption Setting'!$H$70)-1,12)))</f>
        <v>0.105492856558277</v>
      </c>
      <c r="W83" s="86" t="n">
        <f aca="true">IF((20-'Assumption Setting'!$H$70)&lt;1,0,OFFSET($A$82,0,2+13*INT(((20-'Assumption Setting'!$H$70)-1)/12)+MOD((20-'Assumption Setting'!$H$70)-1,12)))</f>
        <v>0.105492856558277</v>
      </c>
      <c r="X83" s="86" t="n">
        <f aca="true">IF((21-'Assumption Setting'!$H$70)&lt;1,0,OFFSET($A$82,0,2+13*INT(((21-'Assumption Setting'!$H$70)-1)/12)+MOD((21-'Assumption Setting'!$H$70)-1,12)))</f>
        <v>0.105492856558277</v>
      </c>
      <c r="Y83" s="86" t="n">
        <f aca="true">IF((22-'Assumption Setting'!$H$70)&lt;1,0,OFFSET($A$82,0,2+13*INT(((22-'Assumption Setting'!$H$70)-1)/12)+MOD((22-'Assumption Setting'!$H$70)-1,12)))</f>
        <v>0.105492856558277</v>
      </c>
      <c r="Z83" s="86" t="n">
        <f aca="true">IF((23-'Assumption Setting'!$H$70)&lt;1,0,OFFSET($A$82,0,2+13*INT(((23-'Assumption Setting'!$H$70)-1)/12)+MOD((23-'Assumption Setting'!$H$70)-1,12)))</f>
        <v>0.105492856558277</v>
      </c>
      <c r="AA83" s="86" t="n">
        <f aca="true">IF((24-'Assumption Setting'!$H$70)&lt;1,0,OFFSET($A$82,0,2+13*INT(((24-'Assumption Setting'!$H$70)-1)/12)+MOD((24-'Assumption Setting'!$H$70)-1,12)))</f>
        <v>0.105492856558277</v>
      </c>
      <c r="AB83" s="80" t="n">
        <f aca="false">SUM(AC83:AN83)</f>
        <v>1.90736107207277</v>
      </c>
      <c r="AC83" s="86" t="n">
        <f aca="true">IF((25-'Assumption Setting'!$H$70)&lt;1,0,OFFSET($A$82,0,2+13*INT(((25-'Assumption Setting'!$H$70)-1)/12)+MOD((25-'Assumption Setting'!$H$70)-1,12)))</f>
        <v>0.105492856558277</v>
      </c>
      <c r="AD83" s="86" t="n">
        <f aca="true">IF((26-'Assumption Setting'!$H$70)&lt;1,0,OFFSET($A$82,0,2+13*INT(((26-'Assumption Setting'!$H$70)-1)/12)+MOD((26-'Assumption Setting'!$H$70)-1,12)))</f>
        <v>0.105492856558277</v>
      </c>
      <c r="AE83" s="86" t="n">
        <f aca="true">IF((27-'Assumption Setting'!$H$70)&lt;1,0,OFFSET($A$82,0,2+13*INT(((27-'Assumption Setting'!$H$70)-1)/12)+MOD((27-'Assumption Setting'!$H$70)-1,12)))</f>
        <v>0.105492856558277</v>
      </c>
      <c r="AF83" s="86" t="n">
        <f aca="true">IF((28-'Assumption Setting'!$H$70)&lt;1,0,OFFSET($A$82,0,2+13*INT(((28-'Assumption Setting'!$H$70)-1)/12)+MOD((28-'Assumption Setting'!$H$70)-1,12)))</f>
        <v>0.17676472248866</v>
      </c>
      <c r="AG83" s="86" t="n">
        <f aca="true">IF((29-'Assumption Setting'!$H$70)&lt;1,0,OFFSET($A$82,0,2+13*INT(((29-'Assumption Setting'!$H$70)-1)/12)+MOD((29-'Assumption Setting'!$H$70)-1,12)))</f>
        <v>0.17676472248866</v>
      </c>
      <c r="AH83" s="86" t="n">
        <f aca="true">IF((30-'Assumption Setting'!$H$70)&lt;1,0,OFFSET($A$82,0,2+13*INT(((30-'Assumption Setting'!$H$70)-1)/12)+MOD((30-'Assumption Setting'!$H$70)-1,12)))</f>
        <v>0.17676472248866</v>
      </c>
      <c r="AI83" s="86" t="n">
        <f aca="true">IF((31-'Assumption Setting'!$H$70)&lt;1,0,OFFSET($A$82,0,2+13*INT(((31-'Assumption Setting'!$H$70)-1)/12)+MOD((31-'Assumption Setting'!$H$70)-1,12)))</f>
        <v>0.17676472248866</v>
      </c>
      <c r="AJ83" s="86" t="n">
        <f aca="true">IF((32-'Assumption Setting'!$H$70)&lt;1,0,OFFSET($A$82,0,2+13*INT(((32-'Assumption Setting'!$H$70)-1)/12)+MOD((32-'Assumption Setting'!$H$70)-1,12)))</f>
        <v>0.17676472248866</v>
      </c>
      <c r="AK83" s="86" t="n">
        <f aca="true">IF((33-'Assumption Setting'!$H$70)&lt;1,0,OFFSET($A$82,0,2+13*INT(((33-'Assumption Setting'!$H$70)-1)/12)+MOD((33-'Assumption Setting'!$H$70)-1,12)))</f>
        <v>0.17676472248866</v>
      </c>
      <c r="AL83" s="86" t="n">
        <f aca="true">IF((34-'Assumption Setting'!$H$70)&lt;1,0,OFFSET($A$82,0,2+13*INT(((34-'Assumption Setting'!$H$70)-1)/12)+MOD((34-'Assumption Setting'!$H$70)-1,12)))</f>
        <v>0.17676472248866</v>
      </c>
      <c r="AM83" s="86" t="n">
        <f aca="true">IF((35-'Assumption Setting'!$H$70)&lt;1,0,OFFSET($A$82,0,2+13*INT(((35-'Assumption Setting'!$H$70)-1)/12)+MOD((35-'Assumption Setting'!$H$70)-1,12)))</f>
        <v>0.17676472248866</v>
      </c>
      <c r="AN83" s="86" t="n">
        <f aca="true">IF((36-'Assumption Setting'!$H$70)&lt;1,0,OFFSET($A$82,0,2+13*INT(((36-'Assumption Setting'!$H$70)-1)/12)+MOD((36-'Assumption Setting'!$H$70)-1,12)))</f>
        <v>0.17676472248866</v>
      </c>
      <c r="AO83" s="80" t="n">
        <f aca="false">SUM(AP83:BA83)</f>
        <v>3.01572427333172</v>
      </c>
      <c r="AP83" s="86" t="n">
        <f aca="true">IF((37-'Assumption Setting'!$H$70)&lt;1,0,OFFSET($A$82,0,2+13*INT(((37-'Assumption Setting'!$H$70)-1)/12)+MOD((37-'Assumption Setting'!$H$70)-1,12)))</f>
        <v>0.17676472248866</v>
      </c>
      <c r="AQ83" s="86" t="n">
        <f aca="true">IF((38-'Assumption Setting'!$H$70)&lt;1,0,OFFSET($A$82,0,2+13*INT(((38-'Assumption Setting'!$H$70)-1)/12)+MOD((38-'Assumption Setting'!$H$70)-1,12)))</f>
        <v>0.17676472248866</v>
      </c>
      <c r="AR83" s="86" t="n">
        <f aca="true">IF((39-'Assumption Setting'!$H$70)&lt;1,0,OFFSET($A$82,0,2+13*INT(((39-'Assumption Setting'!$H$70)-1)/12)+MOD((39-'Assumption Setting'!$H$70)-1,12)))</f>
        <v>0.17676472248866</v>
      </c>
      <c r="AS83" s="86" t="n">
        <f aca="true">IF((40-'Assumption Setting'!$H$70)&lt;1,0,OFFSET($A$82,0,2+13*INT(((40-'Assumption Setting'!$H$70)-1)/12)+MOD((40-'Assumption Setting'!$H$70)-1,12)))</f>
        <v>0.276158900651748</v>
      </c>
      <c r="AT83" s="86" t="n">
        <f aca="true">IF((41-'Assumption Setting'!$H$70)&lt;1,0,OFFSET($A$82,0,2+13*INT(((41-'Assumption Setting'!$H$70)-1)/12)+MOD((41-'Assumption Setting'!$H$70)-1,12)))</f>
        <v>0.276158900651748</v>
      </c>
      <c r="AU83" s="86" t="n">
        <f aca="true">IF((42-'Assumption Setting'!$H$70)&lt;1,0,OFFSET($A$82,0,2+13*INT(((42-'Assumption Setting'!$H$70)-1)/12)+MOD((42-'Assumption Setting'!$H$70)-1,12)))</f>
        <v>0.276158900651748</v>
      </c>
      <c r="AV83" s="86" t="n">
        <f aca="true">IF((43-'Assumption Setting'!$H$70)&lt;1,0,OFFSET($A$82,0,2+13*INT(((43-'Assumption Setting'!$H$70)-1)/12)+MOD((43-'Assumption Setting'!$H$70)-1,12)))</f>
        <v>0.276158900651748</v>
      </c>
      <c r="AW83" s="86" t="n">
        <f aca="true">IF((44-'Assumption Setting'!$H$70)&lt;1,0,OFFSET($A$82,0,2+13*INT(((44-'Assumption Setting'!$H$70)-1)/12)+MOD((44-'Assumption Setting'!$H$70)-1,12)))</f>
        <v>0.276158900651748</v>
      </c>
      <c r="AX83" s="86" t="n">
        <f aca="true">IF((45-'Assumption Setting'!$H$70)&lt;1,0,OFFSET($A$82,0,2+13*INT(((45-'Assumption Setting'!$H$70)-1)/12)+MOD((45-'Assumption Setting'!$H$70)-1,12)))</f>
        <v>0.276158900651748</v>
      </c>
      <c r="AY83" s="86" t="n">
        <f aca="true">IF((46-'Assumption Setting'!$H$70)&lt;1,0,OFFSET($A$82,0,2+13*INT(((46-'Assumption Setting'!$H$70)-1)/12)+MOD((46-'Assumption Setting'!$H$70)-1,12)))</f>
        <v>0.276158900651748</v>
      </c>
      <c r="AZ83" s="86" t="n">
        <f aca="true">IF((47-'Assumption Setting'!$H$70)&lt;1,0,OFFSET($A$82,0,2+13*INT(((47-'Assumption Setting'!$H$70)-1)/12)+MOD((47-'Assumption Setting'!$H$70)-1,12)))</f>
        <v>0.276158900651748</v>
      </c>
      <c r="BA83" s="86" t="n">
        <f aca="true">IF((48-'Assumption Setting'!$H$70)&lt;1,0,OFFSET($A$82,0,2+13*INT(((48-'Assumption Setting'!$H$70)-1)/12)+MOD((48-'Assumption Setting'!$H$70)-1,12)))</f>
        <v>0.276158900651748</v>
      </c>
      <c r="BB83" s="80" t="n">
        <f aca="false">SUM(BC83:BN83)</f>
        <v>4.18072910454448</v>
      </c>
      <c r="BC83" s="86" t="n">
        <f aca="true">IF((49-'Assumption Setting'!$H$70)&lt;1,0,OFFSET($A$82,0,2+13*INT(((49-'Assumption Setting'!$H$70)-1)/12)+MOD((49-'Assumption Setting'!$H$70)-1,12)))</f>
        <v>0.276158900651748</v>
      </c>
      <c r="BD83" s="86" t="n">
        <f aca="true">IF((50-'Assumption Setting'!$H$70)&lt;1,0,OFFSET($A$82,0,2+13*INT(((50-'Assumption Setting'!$H$70)-1)/12)+MOD((50-'Assumption Setting'!$H$70)-1,12)))</f>
        <v>0.276158900651748</v>
      </c>
      <c r="BE83" s="86" t="n">
        <f aca="true">IF((51-'Assumption Setting'!$H$70)&lt;1,0,OFFSET($A$82,0,2+13*INT(((51-'Assumption Setting'!$H$70)-1)/12)+MOD((51-'Assumption Setting'!$H$70)-1,12)))</f>
        <v>0.276158900651748</v>
      </c>
      <c r="BF83" s="86" t="n">
        <f aca="true">IF((52-'Assumption Setting'!$H$70)&lt;1,0,OFFSET($A$82,0,2+13*INT(((52-'Assumption Setting'!$H$70)-1)/12)+MOD((52-'Assumption Setting'!$H$70)-1,12)))</f>
        <v>0.372472489176582</v>
      </c>
      <c r="BG83" s="86" t="n">
        <f aca="true">IF((53-'Assumption Setting'!$H$70)&lt;1,0,OFFSET($A$82,0,2+13*INT(((53-'Assumption Setting'!$H$70)-1)/12)+MOD((53-'Assumption Setting'!$H$70)-1,12)))</f>
        <v>0.372472489176582</v>
      </c>
      <c r="BH83" s="86" t="n">
        <f aca="true">IF((54-'Assumption Setting'!$H$70)&lt;1,0,OFFSET($A$82,0,2+13*INT(((54-'Assumption Setting'!$H$70)-1)/12)+MOD((54-'Assumption Setting'!$H$70)-1,12)))</f>
        <v>0.372472489176582</v>
      </c>
      <c r="BI83" s="86" t="n">
        <f aca="true">IF((55-'Assumption Setting'!$H$70)&lt;1,0,OFFSET($A$82,0,2+13*INT(((55-'Assumption Setting'!$H$70)-1)/12)+MOD((55-'Assumption Setting'!$H$70)-1,12)))</f>
        <v>0.372472489176582</v>
      </c>
      <c r="BJ83" s="86" t="n">
        <f aca="true">IF((56-'Assumption Setting'!$H$70)&lt;1,0,OFFSET($A$82,0,2+13*INT(((56-'Assumption Setting'!$H$70)-1)/12)+MOD((56-'Assumption Setting'!$H$70)-1,12)))</f>
        <v>0.372472489176582</v>
      </c>
      <c r="BK83" s="86" t="n">
        <f aca="true">IF((57-'Assumption Setting'!$H$70)&lt;1,0,OFFSET($A$82,0,2+13*INT(((57-'Assumption Setting'!$H$70)-1)/12)+MOD((57-'Assumption Setting'!$H$70)-1,12)))</f>
        <v>0.372472489176582</v>
      </c>
      <c r="BL83" s="86" t="n">
        <f aca="true">IF((58-'Assumption Setting'!$H$70)&lt;1,0,OFFSET($A$82,0,2+13*INT(((58-'Assumption Setting'!$H$70)-1)/12)+MOD((58-'Assumption Setting'!$H$70)-1,12)))</f>
        <v>0.372472489176582</v>
      </c>
      <c r="BM83" s="86" t="n">
        <f aca="true">IF((59-'Assumption Setting'!$H$70)&lt;1,0,OFFSET($A$82,0,2+13*INT(((59-'Assumption Setting'!$H$70)-1)/12)+MOD((59-'Assumption Setting'!$H$70)-1,12)))</f>
        <v>0.372472489176582</v>
      </c>
      <c r="BN83" s="86" t="n">
        <f aca="true">IF((60-'Assumption Setting'!$H$70)&lt;1,0,OFFSET($A$82,0,2+13*INT(((60-'Assumption Setting'!$H$70)-1)/12)+MOD((60-'Assumption Setting'!$H$70)-1,12)))</f>
        <v>0.372472489176582</v>
      </c>
    </row>
    <row r="84" customFormat="false" ht="15" hidden="false" customHeight="false" outlineLevel="0" collapsed="false">
      <c r="A84" s="18" t="s">
        <v>278</v>
      </c>
      <c r="B84" s="80" t="n">
        <f aca="false">SUM(C84:N84)</f>
        <v>46.9727005083237</v>
      </c>
      <c r="C84" s="83" t="n">
        <f aca="false">C68*'Assumption Setting'!$C$71</f>
        <v>3.91439170902697</v>
      </c>
      <c r="D84" s="83" t="n">
        <f aca="false">D68*'Assumption Setting'!$C$71</f>
        <v>3.91439170902697</v>
      </c>
      <c r="E84" s="83" t="n">
        <f aca="false">E68*'Assumption Setting'!$C$71</f>
        <v>3.91439170902697</v>
      </c>
      <c r="F84" s="83" t="n">
        <f aca="false">F68*'Assumption Setting'!$C$71</f>
        <v>3.91439170902697</v>
      </c>
      <c r="G84" s="83" t="n">
        <f aca="false">G68*'Assumption Setting'!$C$71</f>
        <v>3.91439170902697</v>
      </c>
      <c r="H84" s="83" t="n">
        <f aca="false">H68*'Assumption Setting'!$C$71</f>
        <v>3.91439170902697</v>
      </c>
      <c r="I84" s="83" t="n">
        <f aca="false">I68*'Assumption Setting'!$C$71</f>
        <v>3.91439170902697</v>
      </c>
      <c r="J84" s="83" t="n">
        <f aca="false">J68*'Assumption Setting'!$C$71</f>
        <v>3.91439170902697</v>
      </c>
      <c r="K84" s="83" t="n">
        <f aca="false">K68*'Assumption Setting'!$C$71</f>
        <v>3.91439170902697</v>
      </c>
      <c r="L84" s="83" t="n">
        <f aca="false">L68*'Assumption Setting'!$C$71</f>
        <v>3.91439170902697</v>
      </c>
      <c r="M84" s="83" t="n">
        <f aca="false">M68*'Assumption Setting'!$C$71</f>
        <v>3.91439170902697</v>
      </c>
      <c r="N84" s="83" t="n">
        <f aca="false">N68*'Assumption Setting'!$C$71</f>
        <v>3.91439170902697</v>
      </c>
      <c r="O84" s="80" t="n">
        <f aca="false">SUM(P84:AA84)</f>
        <v>72.1488663219021</v>
      </c>
      <c r="P84" s="83" t="n">
        <f aca="false">P68*'Assumption Setting'!$C$71</f>
        <v>6.01240552682518</v>
      </c>
      <c r="Q84" s="83" t="n">
        <f aca="false">Q68*'Assumption Setting'!$C$71</f>
        <v>6.01240552682518</v>
      </c>
      <c r="R84" s="83" t="n">
        <f aca="false">R68*'Assumption Setting'!$C$71</f>
        <v>6.01240552682518</v>
      </c>
      <c r="S84" s="83" t="n">
        <f aca="false">S68*'Assumption Setting'!$C$71</f>
        <v>6.01240552682518</v>
      </c>
      <c r="T84" s="83" t="n">
        <f aca="false">T68*'Assumption Setting'!$C$71</f>
        <v>6.01240552682518</v>
      </c>
      <c r="U84" s="83" t="n">
        <f aca="false">U68*'Assumption Setting'!$C$71</f>
        <v>6.01240552682518</v>
      </c>
      <c r="V84" s="83" t="n">
        <f aca="false">V68*'Assumption Setting'!$C$71</f>
        <v>6.01240552682518</v>
      </c>
      <c r="W84" s="83" t="n">
        <f aca="false">W68*'Assumption Setting'!$C$71</f>
        <v>6.01240552682518</v>
      </c>
      <c r="X84" s="83" t="n">
        <f aca="false">X68*'Assumption Setting'!$C$71</f>
        <v>6.01240552682518</v>
      </c>
      <c r="Y84" s="83" t="n">
        <f aca="false">Y68*'Assumption Setting'!$C$71</f>
        <v>6.01240552682518</v>
      </c>
      <c r="Z84" s="83" t="n">
        <f aca="false">Z68*'Assumption Setting'!$C$71</f>
        <v>6.01240552682518</v>
      </c>
      <c r="AA84" s="83" t="n">
        <f aca="false">AA68*'Assumption Setting'!$C$71</f>
        <v>6.01240552682518</v>
      </c>
      <c r="AB84" s="80" t="n">
        <f aca="false">SUM(AC84:AN84)</f>
        <v>108.209201888032</v>
      </c>
      <c r="AC84" s="83" t="n">
        <f aca="false">AC68*'Assumption Setting'!$C$71</f>
        <v>9.01743349066933</v>
      </c>
      <c r="AD84" s="83" t="n">
        <f aca="false">AD68*'Assumption Setting'!$C$71</f>
        <v>9.01743349066933</v>
      </c>
      <c r="AE84" s="83" t="n">
        <f aca="false">AE68*'Assumption Setting'!$C$71</f>
        <v>9.01743349066933</v>
      </c>
      <c r="AF84" s="83" t="n">
        <f aca="false">AF68*'Assumption Setting'!$C$71</f>
        <v>9.01743349066933</v>
      </c>
      <c r="AG84" s="83" t="n">
        <f aca="false">AG68*'Assumption Setting'!$C$71</f>
        <v>9.01743349066933</v>
      </c>
      <c r="AH84" s="83" t="n">
        <f aca="false">AH68*'Assumption Setting'!$C$71</f>
        <v>9.01743349066933</v>
      </c>
      <c r="AI84" s="83" t="n">
        <f aca="false">AI68*'Assumption Setting'!$C$71</f>
        <v>9.01743349066933</v>
      </c>
      <c r="AJ84" s="83" t="n">
        <f aca="false">AJ68*'Assumption Setting'!$C$71</f>
        <v>9.01743349066933</v>
      </c>
      <c r="AK84" s="83" t="n">
        <f aca="false">AK68*'Assumption Setting'!$C$71</f>
        <v>9.01743349066933</v>
      </c>
      <c r="AL84" s="83" t="n">
        <f aca="false">AL68*'Assumption Setting'!$C$71</f>
        <v>9.01743349066933</v>
      </c>
      <c r="AM84" s="83" t="n">
        <f aca="false">AM68*'Assumption Setting'!$C$71</f>
        <v>9.01743349066933</v>
      </c>
      <c r="AN84" s="83" t="n">
        <f aca="false">AN68*'Assumption Setting'!$C$71</f>
        <v>9.01743349066933</v>
      </c>
      <c r="AO84" s="80" t="n">
        <f aca="false">SUM(AP84:BA84)</f>
        <v>140.335003771397</v>
      </c>
      <c r="AP84" s="83" t="n">
        <f aca="false">AP68*'Assumption Setting'!$C$71</f>
        <v>11.6945836476164</v>
      </c>
      <c r="AQ84" s="83" t="n">
        <f aca="false">AQ68*'Assumption Setting'!$C$71</f>
        <v>11.6945836476164</v>
      </c>
      <c r="AR84" s="83" t="n">
        <f aca="false">AR68*'Assumption Setting'!$C$71</f>
        <v>11.6945836476164</v>
      </c>
      <c r="AS84" s="83" t="n">
        <f aca="false">AS68*'Assumption Setting'!$C$71</f>
        <v>11.6945836476164</v>
      </c>
      <c r="AT84" s="83" t="n">
        <f aca="false">AT68*'Assumption Setting'!$C$71</f>
        <v>11.6945836476164</v>
      </c>
      <c r="AU84" s="83" t="n">
        <f aca="false">AU68*'Assumption Setting'!$C$71</f>
        <v>11.6945836476164</v>
      </c>
      <c r="AV84" s="83" t="n">
        <f aca="false">AV68*'Assumption Setting'!$C$71</f>
        <v>11.6945836476164</v>
      </c>
      <c r="AW84" s="83" t="n">
        <f aca="false">AW68*'Assumption Setting'!$C$71</f>
        <v>11.6945836476164</v>
      </c>
      <c r="AX84" s="83" t="n">
        <f aca="false">AX68*'Assumption Setting'!$C$71</f>
        <v>11.6945836476164</v>
      </c>
      <c r="AY84" s="83" t="n">
        <f aca="false">AY68*'Assumption Setting'!$C$71</f>
        <v>11.6945836476164</v>
      </c>
      <c r="AZ84" s="83" t="n">
        <f aca="false">AZ68*'Assumption Setting'!$C$71</f>
        <v>11.6945836476164</v>
      </c>
      <c r="BA84" s="83" t="n">
        <f aca="false">BA68*'Assumption Setting'!$C$71</f>
        <v>11.6945836476164</v>
      </c>
      <c r="BB84" s="80" t="n">
        <f aca="false">SUM(BC84:BN84)</f>
        <v>172.401619397179</v>
      </c>
      <c r="BC84" s="83" t="n">
        <f aca="false">BC68*'Assumption Setting'!$C$71</f>
        <v>14.3668016164316</v>
      </c>
      <c r="BD84" s="83" t="n">
        <f aca="false">BD68*'Assumption Setting'!$C$71</f>
        <v>14.3668016164316</v>
      </c>
      <c r="BE84" s="83" t="n">
        <f aca="false">BE68*'Assumption Setting'!$C$71</f>
        <v>14.3668016164316</v>
      </c>
      <c r="BF84" s="83" t="n">
        <f aca="false">BF68*'Assumption Setting'!$C$71</f>
        <v>14.3668016164316</v>
      </c>
      <c r="BG84" s="83" t="n">
        <f aca="false">BG68*'Assumption Setting'!$C$71</f>
        <v>14.3668016164316</v>
      </c>
      <c r="BH84" s="83" t="n">
        <f aca="false">BH68*'Assumption Setting'!$C$71</f>
        <v>14.3668016164316</v>
      </c>
      <c r="BI84" s="83" t="n">
        <f aca="false">BI68*'Assumption Setting'!$C$71</f>
        <v>14.3668016164316</v>
      </c>
      <c r="BJ84" s="83" t="n">
        <f aca="false">BJ68*'Assumption Setting'!$C$71</f>
        <v>14.3668016164316</v>
      </c>
      <c r="BK84" s="83" t="n">
        <f aca="false">BK68*'Assumption Setting'!$C$71</f>
        <v>14.3668016164316</v>
      </c>
      <c r="BL84" s="83" t="n">
        <f aca="false">BL68*'Assumption Setting'!$C$71</f>
        <v>14.3668016164316</v>
      </c>
      <c r="BM84" s="83" t="n">
        <f aca="false">BM68*'Assumption Setting'!$C$71</f>
        <v>14.3668016164316</v>
      </c>
      <c r="BN84" s="83" t="n">
        <f aca="false">BN68*'Assumption Setting'!$C$71</f>
        <v>14.3668016164316</v>
      </c>
    </row>
    <row r="85" customFormat="false" ht="15" hidden="false" customHeight="false" outlineLevel="0" collapsed="false">
      <c r="A85" s="12" t="s">
        <v>616</v>
      </c>
      <c r="B85" s="80" t="n">
        <f aca="false">SUM(C85:N85)</f>
        <v>11.7431751270809</v>
      </c>
      <c r="C85" s="81" t="n">
        <f aca="false">C84*'Assumption Setting'!$D$71</f>
        <v>0.978597927256743</v>
      </c>
      <c r="D85" s="81" t="n">
        <f aca="false">D84*'Assumption Setting'!$D$71</f>
        <v>0.978597927256743</v>
      </c>
      <c r="E85" s="81" t="n">
        <f aca="false">E84*'Assumption Setting'!$D$71</f>
        <v>0.978597927256743</v>
      </c>
      <c r="F85" s="81" t="n">
        <f aca="false">F84*'Assumption Setting'!$D$71</f>
        <v>0.978597927256743</v>
      </c>
      <c r="G85" s="81" t="n">
        <f aca="false">G84*'Assumption Setting'!$D$71</f>
        <v>0.978597927256743</v>
      </c>
      <c r="H85" s="81" t="n">
        <f aca="false">H84*'Assumption Setting'!$D$71</f>
        <v>0.978597927256743</v>
      </c>
      <c r="I85" s="81" t="n">
        <f aca="false">I84*'Assumption Setting'!$D$71</f>
        <v>0.978597927256743</v>
      </c>
      <c r="J85" s="81" t="n">
        <f aca="false">J84*'Assumption Setting'!$D$71</f>
        <v>0.978597927256743</v>
      </c>
      <c r="K85" s="81" t="n">
        <f aca="false">K84*'Assumption Setting'!$D$71</f>
        <v>0.978597927256743</v>
      </c>
      <c r="L85" s="81" t="n">
        <f aca="false">L84*'Assumption Setting'!$D$71</f>
        <v>0.978597927256743</v>
      </c>
      <c r="M85" s="81" t="n">
        <f aca="false">M84*'Assumption Setting'!$D$71</f>
        <v>0.978597927256743</v>
      </c>
      <c r="N85" s="81" t="n">
        <f aca="false">N84*'Assumption Setting'!$D$71</f>
        <v>0.978597927256743</v>
      </c>
      <c r="O85" s="80" t="n">
        <f aca="false">SUM(P85:AA85)</f>
        <v>18.0372165804755</v>
      </c>
      <c r="P85" s="81" t="n">
        <f aca="false">P84*'Assumption Setting'!$D$71</f>
        <v>1.50310138170629</v>
      </c>
      <c r="Q85" s="81" t="n">
        <f aca="false">Q84*'Assumption Setting'!$D$71</f>
        <v>1.50310138170629</v>
      </c>
      <c r="R85" s="81" t="n">
        <f aca="false">R84*'Assumption Setting'!$D$71</f>
        <v>1.50310138170629</v>
      </c>
      <c r="S85" s="81" t="n">
        <f aca="false">S84*'Assumption Setting'!$D$71</f>
        <v>1.50310138170629</v>
      </c>
      <c r="T85" s="81" t="n">
        <f aca="false">T84*'Assumption Setting'!$D$71</f>
        <v>1.50310138170629</v>
      </c>
      <c r="U85" s="81" t="n">
        <f aca="false">U84*'Assumption Setting'!$D$71</f>
        <v>1.50310138170629</v>
      </c>
      <c r="V85" s="81" t="n">
        <f aca="false">V84*'Assumption Setting'!$D$71</f>
        <v>1.50310138170629</v>
      </c>
      <c r="W85" s="81" t="n">
        <f aca="false">W84*'Assumption Setting'!$D$71</f>
        <v>1.50310138170629</v>
      </c>
      <c r="X85" s="81" t="n">
        <f aca="false">X84*'Assumption Setting'!$D$71</f>
        <v>1.50310138170629</v>
      </c>
      <c r="Y85" s="81" t="n">
        <f aca="false">Y84*'Assumption Setting'!$D$71</f>
        <v>1.50310138170629</v>
      </c>
      <c r="Z85" s="81" t="n">
        <f aca="false">Z84*'Assumption Setting'!$D$71</f>
        <v>1.50310138170629</v>
      </c>
      <c r="AA85" s="81" t="n">
        <f aca="false">AA84*'Assumption Setting'!$D$71</f>
        <v>1.50310138170629</v>
      </c>
      <c r="AB85" s="80" t="n">
        <f aca="false">SUM(AC85:AN85)</f>
        <v>27.052300472008</v>
      </c>
      <c r="AC85" s="81" t="n">
        <f aca="false">AC84*'Assumption Setting'!$D$71</f>
        <v>2.25435837266733</v>
      </c>
      <c r="AD85" s="81" t="n">
        <f aca="false">AD84*'Assumption Setting'!$D$71</f>
        <v>2.25435837266733</v>
      </c>
      <c r="AE85" s="81" t="n">
        <f aca="false">AE84*'Assumption Setting'!$D$71</f>
        <v>2.25435837266733</v>
      </c>
      <c r="AF85" s="81" t="n">
        <f aca="false">AF84*'Assumption Setting'!$D$71</f>
        <v>2.25435837266733</v>
      </c>
      <c r="AG85" s="81" t="n">
        <f aca="false">AG84*'Assumption Setting'!$D$71</f>
        <v>2.25435837266733</v>
      </c>
      <c r="AH85" s="81" t="n">
        <f aca="false">AH84*'Assumption Setting'!$D$71</f>
        <v>2.25435837266733</v>
      </c>
      <c r="AI85" s="81" t="n">
        <f aca="false">AI84*'Assumption Setting'!$D$71</f>
        <v>2.25435837266733</v>
      </c>
      <c r="AJ85" s="81" t="n">
        <f aca="false">AJ84*'Assumption Setting'!$D$71</f>
        <v>2.25435837266733</v>
      </c>
      <c r="AK85" s="81" t="n">
        <f aca="false">AK84*'Assumption Setting'!$D$71</f>
        <v>2.25435837266733</v>
      </c>
      <c r="AL85" s="81" t="n">
        <f aca="false">AL84*'Assumption Setting'!$D$71</f>
        <v>2.25435837266733</v>
      </c>
      <c r="AM85" s="81" t="n">
        <f aca="false">AM84*'Assumption Setting'!$D$71</f>
        <v>2.25435837266733</v>
      </c>
      <c r="AN85" s="81" t="n">
        <f aca="false">AN84*'Assumption Setting'!$D$71</f>
        <v>2.25435837266733</v>
      </c>
      <c r="AO85" s="80" t="n">
        <f aca="false">SUM(AP85:BA85)</f>
        <v>35.0837509428492</v>
      </c>
      <c r="AP85" s="81" t="n">
        <f aca="false">AP84*'Assumption Setting'!$D$71</f>
        <v>2.9236459119041</v>
      </c>
      <c r="AQ85" s="81" t="n">
        <f aca="false">AQ84*'Assumption Setting'!$D$71</f>
        <v>2.9236459119041</v>
      </c>
      <c r="AR85" s="81" t="n">
        <f aca="false">AR84*'Assumption Setting'!$D$71</f>
        <v>2.9236459119041</v>
      </c>
      <c r="AS85" s="81" t="n">
        <f aca="false">AS84*'Assumption Setting'!$D$71</f>
        <v>2.9236459119041</v>
      </c>
      <c r="AT85" s="81" t="n">
        <f aca="false">AT84*'Assumption Setting'!$D$71</f>
        <v>2.9236459119041</v>
      </c>
      <c r="AU85" s="81" t="n">
        <f aca="false">AU84*'Assumption Setting'!$D$71</f>
        <v>2.9236459119041</v>
      </c>
      <c r="AV85" s="81" t="n">
        <f aca="false">AV84*'Assumption Setting'!$D$71</f>
        <v>2.9236459119041</v>
      </c>
      <c r="AW85" s="81" t="n">
        <f aca="false">AW84*'Assumption Setting'!$D$71</f>
        <v>2.9236459119041</v>
      </c>
      <c r="AX85" s="81" t="n">
        <f aca="false">AX84*'Assumption Setting'!$D$71</f>
        <v>2.9236459119041</v>
      </c>
      <c r="AY85" s="81" t="n">
        <f aca="false">AY84*'Assumption Setting'!$D$71</f>
        <v>2.9236459119041</v>
      </c>
      <c r="AZ85" s="81" t="n">
        <f aca="false">AZ84*'Assumption Setting'!$D$71</f>
        <v>2.9236459119041</v>
      </c>
      <c r="BA85" s="81" t="n">
        <f aca="false">BA84*'Assumption Setting'!$D$71</f>
        <v>2.9236459119041</v>
      </c>
      <c r="BB85" s="80" t="n">
        <f aca="false">SUM(BC85:BN85)</f>
        <v>43.1004048492947</v>
      </c>
      <c r="BC85" s="81" t="n">
        <f aca="false">BC84*'Assumption Setting'!$D$71</f>
        <v>3.59170040410789</v>
      </c>
      <c r="BD85" s="81" t="n">
        <f aca="false">BD84*'Assumption Setting'!$D$71</f>
        <v>3.59170040410789</v>
      </c>
      <c r="BE85" s="81" t="n">
        <f aca="false">BE84*'Assumption Setting'!$D$71</f>
        <v>3.59170040410789</v>
      </c>
      <c r="BF85" s="81" t="n">
        <f aca="false">BF84*'Assumption Setting'!$D$71</f>
        <v>3.59170040410789</v>
      </c>
      <c r="BG85" s="81" t="n">
        <f aca="false">BG84*'Assumption Setting'!$D$71</f>
        <v>3.59170040410789</v>
      </c>
      <c r="BH85" s="81" t="n">
        <f aca="false">BH84*'Assumption Setting'!$D$71</f>
        <v>3.59170040410789</v>
      </c>
      <c r="BI85" s="81" t="n">
        <f aca="false">BI84*'Assumption Setting'!$D$71</f>
        <v>3.59170040410789</v>
      </c>
      <c r="BJ85" s="81" t="n">
        <f aca="false">BJ84*'Assumption Setting'!$D$71</f>
        <v>3.59170040410789</v>
      </c>
      <c r="BK85" s="81" t="n">
        <f aca="false">BK84*'Assumption Setting'!$D$71</f>
        <v>3.59170040410789</v>
      </c>
      <c r="BL85" s="81" t="n">
        <f aca="false">BL84*'Assumption Setting'!$D$71</f>
        <v>3.59170040410789</v>
      </c>
      <c r="BM85" s="81" t="n">
        <f aca="false">BM84*'Assumption Setting'!$D$71</f>
        <v>3.59170040410789</v>
      </c>
      <c r="BN85" s="81" t="n">
        <f aca="false">BN84*'Assumption Setting'!$D$71</f>
        <v>3.59170040410789</v>
      </c>
    </row>
    <row r="86" customFormat="false" ht="15" hidden="false" customHeight="false" outlineLevel="0" collapsed="false">
      <c r="A86" s="12" t="s">
        <v>617</v>
      </c>
      <c r="B86" s="80" t="n">
        <f aca="false">SUM(C86:N86)</f>
        <v>3.52295253812428</v>
      </c>
      <c r="C86" s="81" t="n">
        <f aca="false">C85*'Assumption Setting'!$E$71</f>
        <v>0.293579378177023</v>
      </c>
      <c r="D86" s="81" t="n">
        <f aca="false">D85*'Assumption Setting'!$E$71</f>
        <v>0.293579378177023</v>
      </c>
      <c r="E86" s="81" t="n">
        <f aca="false">E85*'Assumption Setting'!$E$71</f>
        <v>0.293579378177023</v>
      </c>
      <c r="F86" s="81" t="n">
        <f aca="false">F85*'Assumption Setting'!$E$71</f>
        <v>0.293579378177023</v>
      </c>
      <c r="G86" s="81" t="n">
        <f aca="false">G85*'Assumption Setting'!$E$71</f>
        <v>0.293579378177023</v>
      </c>
      <c r="H86" s="81" t="n">
        <f aca="false">H85*'Assumption Setting'!$E$71</f>
        <v>0.293579378177023</v>
      </c>
      <c r="I86" s="81" t="n">
        <f aca="false">I85*'Assumption Setting'!$E$71</f>
        <v>0.293579378177023</v>
      </c>
      <c r="J86" s="81" t="n">
        <f aca="false">J85*'Assumption Setting'!$E$71</f>
        <v>0.293579378177023</v>
      </c>
      <c r="K86" s="81" t="n">
        <f aca="false">K85*'Assumption Setting'!$E$71</f>
        <v>0.293579378177023</v>
      </c>
      <c r="L86" s="81" t="n">
        <f aca="false">L85*'Assumption Setting'!$E$71</f>
        <v>0.293579378177023</v>
      </c>
      <c r="M86" s="81" t="n">
        <f aca="false">M85*'Assumption Setting'!$E$71</f>
        <v>0.293579378177023</v>
      </c>
      <c r="N86" s="81" t="n">
        <f aca="false">N85*'Assumption Setting'!$E$71</f>
        <v>0.293579378177023</v>
      </c>
      <c r="O86" s="80" t="n">
        <f aca="false">SUM(P86:AA86)</f>
        <v>5.41116497414266</v>
      </c>
      <c r="P86" s="81" t="n">
        <f aca="false">P85*'Assumption Setting'!$E$71</f>
        <v>0.450930414511888</v>
      </c>
      <c r="Q86" s="81" t="n">
        <f aca="false">Q85*'Assumption Setting'!$E$71</f>
        <v>0.450930414511888</v>
      </c>
      <c r="R86" s="81" t="n">
        <f aca="false">R85*'Assumption Setting'!$E$71</f>
        <v>0.450930414511888</v>
      </c>
      <c r="S86" s="81" t="n">
        <f aca="false">S85*'Assumption Setting'!$E$71</f>
        <v>0.450930414511888</v>
      </c>
      <c r="T86" s="81" t="n">
        <f aca="false">T85*'Assumption Setting'!$E$71</f>
        <v>0.450930414511888</v>
      </c>
      <c r="U86" s="81" t="n">
        <f aca="false">U85*'Assumption Setting'!$E$71</f>
        <v>0.450930414511888</v>
      </c>
      <c r="V86" s="81" t="n">
        <f aca="false">V85*'Assumption Setting'!$E$71</f>
        <v>0.450930414511888</v>
      </c>
      <c r="W86" s="81" t="n">
        <f aca="false">W85*'Assumption Setting'!$E$71</f>
        <v>0.450930414511888</v>
      </c>
      <c r="X86" s="81" t="n">
        <f aca="false">X85*'Assumption Setting'!$E$71</f>
        <v>0.450930414511888</v>
      </c>
      <c r="Y86" s="81" t="n">
        <f aca="false">Y85*'Assumption Setting'!$E$71</f>
        <v>0.450930414511888</v>
      </c>
      <c r="Z86" s="81" t="n">
        <f aca="false">Z85*'Assumption Setting'!$E$71</f>
        <v>0.450930414511888</v>
      </c>
      <c r="AA86" s="81" t="n">
        <f aca="false">AA85*'Assumption Setting'!$E$71</f>
        <v>0.450930414511888</v>
      </c>
      <c r="AB86" s="80" t="n">
        <f aca="false">SUM(AC86:AN86)</f>
        <v>8.1156901416024</v>
      </c>
      <c r="AC86" s="81" t="n">
        <f aca="false">AC85*'Assumption Setting'!$E$71</f>
        <v>0.6763075118002</v>
      </c>
      <c r="AD86" s="81" t="n">
        <f aca="false">AD85*'Assumption Setting'!$E$71</f>
        <v>0.6763075118002</v>
      </c>
      <c r="AE86" s="81" t="n">
        <f aca="false">AE85*'Assumption Setting'!$E$71</f>
        <v>0.6763075118002</v>
      </c>
      <c r="AF86" s="81" t="n">
        <f aca="false">AF85*'Assumption Setting'!$E$71</f>
        <v>0.6763075118002</v>
      </c>
      <c r="AG86" s="81" t="n">
        <f aca="false">AG85*'Assumption Setting'!$E$71</f>
        <v>0.6763075118002</v>
      </c>
      <c r="AH86" s="81" t="n">
        <f aca="false">AH85*'Assumption Setting'!$E$71</f>
        <v>0.6763075118002</v>
      </c>
      <c r="AI86" s="81" t="n">
        <f aca="false">AI85*'Assumption Setting'!$E$71</f>
        <v>0.6763075118002</v>
      </c>
      <c r="AJ86" s="81" t="n">
        <f aca="false">AJ85*'Assumption Setting'!$E$71</f>
        <v>0.6763075118002</v>
      </c>
      <c r="AK86" s="81" t="n">
        <f aca="false">AK85*'Assumption Setting'!$E$71</f>
        <v>0.6763075118002</v>
      </c>
      <c r="AL86" s="81" t="n">
        <f aca="false">AL85*'Assumption Setting'!$E$71</f>
        <v>0.6763075118002</v>
      </c>
      <c r="AM86" s="81" t="n">
        <f aca="false">AM85*'Assumption Setting'!$E$71</f>
        <v>0.6763075118002</v>
      </c>
      <c r="AN86" s="81" t="n">
        <f aca="false">AN85*'Assumption Setting'!$E$71</f>
        <v>0.6763075118002</v>
      </c>
      <c r="AO86" s="80" t="n">
        <f aca="false">SUM(AP86:BA86)</f>
        <v>10.5251252828547</v>
      </c>
      <c r="AP86" s="81" t="n">
        <f aca="false">AP85*'Assumption Setting'!$E$71</f>
        <v>0.877093773571229</v>
      </c>
      <c r="AQ86" s="81" t="n">
        <f aca="false">AQ85*'Assumption Setting'!$E$71</f>
        <v>0.877093773571229</v>
      </c>
      <c r="AR86" s="81" t="n">
        <f aca="false">AR85*'Assumption Setting'!$E$71</f>
        <v>0.877093773571229</v>
      </c>
      <c r="AS86" s="81" t="n">
        <f aca="false">AS85*'Assumption Setting'!$E$71</f>
        <v>0.877093773571229</v>
      </c>
      <c r="AT86" s="81" t="n">
        <f aca="false">AT85*'Assumption Setting'!$E$71</f>
        <v>0.877093773571229</v>
      </c>
      <c r="AU86" s="81" t="n">
        <f aca="false">AU85*'Assumption Setting'!$E$71</f>
        <v>0.877093773571229</v>
      </c>
      <c r="AV86" s="81" t="n">
        <f aca="false">AV85*'Assumption Setting'!$E$71</f>
        <v>0.877093773571229</v>
      </c>
      <c r="AW86" s="81" t="n">
        <f aca="false">AW85*'Assumption Setting'!$E$71</f>
        <v>0.877093773571229</v>
      </c>
      <c r="AX86" s="81" t="n">
        <f aca="false">AX85*'Assumption Setting'!$E$71</f>
        <v>0.877093773571229</v>
      </c>
      <c r="AY86" s="81" t="n">
        <f aca="false">AY85*'Assumption Setting'!$E$71</f>
        <v>0.877093773571229</v>
      </c>
      <c r="AZ86" s="81" t="n">
        <f aca="false">AZ85*'Assumption Setting'!$E$71</f>
        <v>0.877093773571229</v>
      </c>
      <c r="BA86" s="81" t="n">
        <f aca="false">BA85*'Assumption Setting'!$E$71</f>
        <v>0.877093773571229</v>
      </c>
      <c r="BB86" s="80" t="n">
        <f aca="false">SUM(BC86:BN86)</f>
        <v>12.9301214547884</v>
      </c>
      <c r="BC86" s="81" t="n">
        <f aca="false">BC85*'Assumption Setting'!$E$71</f>
        <v>1.07751012123237</v>
      </c>
      <c r="BD86" s="81" t="n">
        <f aca="false">BD85*'Assumption Setting'!$E$71</f>
        <v>1.07751012123237</v>
      </c>
      <c r="BE86" s="81" t="n">
        <f aca="false">BE85*'Assumption Setting'!$E$71</f>
        <v>1.07751012123237</v>
      </c>
      <c r="BF86" s="81" t="n">
        <f aca="false">BF85*'Assumption Setting'!$E$71</f>
        <v>1.07751012123237</v>
      </c>
      <c r="BG86" s="81" t="n">
        <f aca="false">BG85*'Assumption Setting'!$E$71</f>
        <v>1.07751012123237</v>
      </c>
      <c r="BH86" s="81" t="n">
        <f aca="false">BH85*'Assumption Setting'!$E$71</f>
        <v>1.07751012123237</v>
      </c>
      <c r="BI86" s="81" t="n">
        <f aca="false">BI85*'Assumption Setting'!$E$71</f>
        <v>1.07751012123237</v>
      </c>
      <c r="BJ86" s="81" t="n">
        <f aca="false">BJ85*'Assumption Setting'!$E$71</f>
        <v>1.07751012123237</v>
      </c>
      <c r="BK86" s="81" t="n">
        <f aca="false">BK85*'Assumption Setting'!$E$71</f>
        <v>1.07751012123237</v>
      </c>
      <c r="BL86" s="81" t="n">
        <f aca="false">BL85*'Assumption Setting'!$E$71</f>
        <v>1.07751012123237</v>
      </c>
      <c r="BM86" s="81" t="n">
        <f aca="false">BM85*'Assumption Setting'!$E$71</f>
        <v>1.07751012123237</v>
      </c>
      <c r="BN86" s="81" t="n">
        <f aca="false">BN85*'Assumption Setting'!$E$71</f>
        <v>1.07751012123237</v>
      </c>
    </row>
    <row r="87" customFormat="false" ht="15" hidden="false" customHeight="false" outlineLevel="0" collapsed="false">
      <c r="A87" s="18" t="s">
        <v>618</v>
      </c>
      <c r="B87" s="80" t="n">
        <f aca="false">SUM(C87:N87)</f>
        <v>0.0440369067265535</v>
      </c>
      <c r="C87" s="83" t="n">
        <f aca="true">IF((1-'Assumption Setting'!$G$71)&lt;1,0,OFFSET($A$86,0,2+13*INT(((1-'Assumption Setting'!$G$71)-1)/12)+MOD((1-'Assumption Setting'!$G$71)-1,12)))*'Assumption Setting'!$F$71*'Assumption Setting'!$C$77</f>
        <v>0</v>
      </c>
      <c r="D87" s="83" t="n">
        <f aca="true">IF((2-'Assumption Setting'!$G$71)&lt;1,0,OFFSET($A$86,0,2+13*INT(((2-'Assumption Setting'!$G$71)-1)/12)+MOD((2-'Assumption Setting'!$G$71)-1,12)))*'Assumption Setting'!$F$71*'Assumption Setting'!$C$77</f>
        <v>0</v>
      </c>
      <c r="E87" s="83" t="n">
        <f aca="true">IF((3-'Assumption Setting'!$G$71)&lt;1,0,OFFSET($A$86,0,2+13*INT(((3-'Assumption Setting'!$G$71)-1)/12)+MOD((3-'Assumption Setting'!$G$71)-1,12)))*'Assumption Setting'!$F$71*'Assumption Setting'!$C$77</f>
        <v>0</v>
      </c>
      <c r="F87" s="83" t="n">
        <f aca="true">IF((4-'Assumption Setting'!$G$71)&lt;1,0,OFFSET($A$86,0,2+13*INT(((4-'Assumption Setting'!$G$71)-1)/12)+MOD((4-'Assumption Setting'!$G$71)-1,12)))*'Assumption Setting'!$F$71*'Assumption Setting'!$C$77</f>
        <v>0</v>
      </c>
      <c r="G87" s="83" t="n">
        <f aca="true">IF((5-'Assumption Setting'!$G$71)&lt;1,0,OFFSET($A$86,0,2+13*INT(((5-'Assumption Setting'!$G$71)-1)/12)+MOD((5-'Assumption Setting'!$G$71)-1,12)))*'Assumption Setting'!$F$71*'Assumption Setting'!$C$77</f>
        <v>0</v>
      </c>
      <c r="H87" s="83" t="n">
        <f aca="true">IF((6-'Assumption Setting'!$G$71)&lt;1,0,OFFSET($A$86,0,2+13*INT(((6-'Assumption Setting'!$G$71)-1)/12)+MOD((6-'Assumption Setting'!$G$71)-1,12)))*'Assumption Setting'!$F$71*'Assumption Setting'!$C$77</f>
        <v>0</v>
      </c>
      <c r="I87" s="83" t="n">
        <f aca="true">IF((7-'Assumption Setting'!$G$71)&lt;1,0,OFFSET($A$86,0,2+13*INT(((7-'Assumption Setting'!$G$71)-1)/12)+MOD((7-'Assumption Setting'!$G$71)-1,12)))*'Assumption Setting'!$F$71*'Assumption Setting'!$C$77</f>
        <v>0</v>
      </c>
      <c r="J87" s="83" t="n">
        <f aca="true">IF((8-'Assumption Setting'!$G$71)&lt;1,0,OFFSET($A$86,0,2+13*INT(((8-'Assumption Setting'!$G$71)-1)/12)+MOD((8-'Assumption Setting'!$G$71)-1,12)))*'Assumption Setting'!$F$71*'Assumption Setting'!$C$77</f>
        <v>0</v>
      </c>
      <c r="K87" s="83" t="n">
        <f aca="true">IF((9-'Assumption Setting'!$G$71)&lt;1,0,OFFSET($A$86,0,2+13*INT(((9-'Assumption Setting'!$G$71)-1)/12)+MOD((9-'Assumption Setting'!$G$71)-1,12)))*'Assumption Setting'!$F$71*'Assumption Setting'!$C$77</f>
        <v>0</v>
      </c>
      <c r="L87" s="83" t="n">
        <f aca="true">IF((10-'Assumption Setting'!$G$71)&lt;1,0,OFFSET($A$86,0,2+13*INT(((10-'Assumption Setting'!$G$71)-1)/12)+MOD((10-'Assumption Setting'!$G$71)-1,12)))*'Assumption Setting'!$F$71*'Assumption Setting'!$C$77</f>
        <v>0</v>
      </c>
      <c r="M87" s="83" t="n">
        <f aca="true">IF((11-'Assumption Setting'!$G$71)&lt;1,0,OFFSET($A$86,0,2+13*INT(((11-'Assumption Setting'!$G$71)-1)/12)+MOD((11-'Assumption Setting'!$G$71)-1,12)))*'Assumption Setting'!$F$71*'Assumption Setting'!$C$77</f>
        <v>0</v>
      </c>
      <c r="N87" s="83" t="n">
        <f aca="true">IF((12-'Assumption Setting'!$G$71)&lt;1,0,OFFSET($A$86,0,2+13*INT(((12-'Assumption Setting'!$G$71)-1)/12)+MOD((12-'Assumption Setting'!$G$71)-1,12)))*'Assumption Setting'!$F$71*'Assumption Setting'!$C$77</f>
        <v>0.0440369067265535</v>
      </c>
      <c r="O87" s="80" t="n">
        <f aca="false">SUM(P87:AA87)</f>
        <v>0.607250089785758</v>
      </c>
      <c r="P87" s="83" t="n">
        <f aca="true">IF((13-'Assumption Setting'!$G$71)&lt;1,0,OFFSET($A$86,0,2+13*INT(((13-'Assumption Setting'!$G$71)-1)/12)+MOD((13-'Assumption Setting'!$G$71)-1,12)))*'Assumption Setting'!$F$71*'Assumption Setting'!$D$77</f>
        <v>0.0484405973992088</v>
      </c>
      <c r="Q87" s="83" t="n">
        <f aca="true">IF((14-'Assumption Setting'!$G$71)&lt;1,0,OFFSET($A$86,0,2+13*INT(((14-'Assumption Setting'!$G$71)-1)/12)+MOD((14-'Assumption Setting'!$G$71)-1,12)))*'Assumption Setting'!$F$71*'Assumption Setting'!$D$77</f>
        <v>0.0484405973992088</v>
      </c>
      <c r="R87" s="83" t="n">
        <f aca="true">IF((15-'Assumption Setting'!$G$71)&lt;1,0,OFFSET($A$86,0,2+13*INT(((15-'Assumption Setting'!$G$71)-1)/12)+MOD((15-'Assumption Setting'!$G$71)-1,12)))*'Assumption Setting'!$F$71*'Assumption Setting'!$D$77</f>
        <v>0.0484405973992088</v>
      </c>
      <c r="S87" s="83" t="n">
        <f aca="true">IF((16-'Assumption Setting'!$G$71)&lt;1,0,OFFSET($A$86,0,2+13*INT(((16-'Assumption Setting'!$G$71)-1)/12)+MOD((16-'Assumption Setting'!$G$71)-1,12)))*'Assumption Setting'!$F$71*'Assumption Setting'!$D$77</f>
        <v>0.0484405973992088</v>
      </c>
      <c r="T87" s="83" t="n">
        <f aca="true">IF((17-'Assumption Setting'!$G$71)&lt;1,0,OFFSET($A$86,0,2+13*INT(((17-'Assumption Setting'!$G$71)-1)/12)+MOD((17-'Assumption Setting'!$G$71)-1,12)))*'Assumption Setting'!$F$71*'Assumption Setting'!$D$77</f>
        <v>0.0484405973992088</v>
      </c>
      <c r="U87" s="83" t="n">
        <f aca="true">IF((18-'Assumption Setting'!$G$71)&lt;1,0,OFFSET($A$86,0,2+13*INT(((18-'Assumption Setting'!$G$71)-1)/12)+MOD((18-'Assumption Setting'!$G$71)-1,12)))*'Assumption Setting'!$F$71*'Assumption Setting'!$D$77</f>
        <v>0.0484405973992088</v>
      </c>
      <c r="V87" s="83" t="n">
        <f aca="true">IF((19-'Assumption Setting'!$G$71)&lt;1,0,OFFSET($A$86,0,2+13*INT(((19-'Assumption Setting'!$G$71)-1)/12)+MOD((19-'Assumption Setting'!$G$71)-1,12)))*'Assumption Setting'!$F$71*'Assumption Setting'!$D$77</f>
        <v>0.0484405973992088</v>
      </c>
      <c r="W87" s="83" t="n">
        <f aca="true">IF((20-'Assumption Setting'!$G$71)&lt;1,0,OFFSET($A$86,0,2+13*INT(((20-'Assumption Setting'!$G$71)-1)/12)+MOD((20-'Assumption Setting'!$G$71)-1,12)))*'Assumption Setting'!$F$71*'Assumption Setting'!$D$77</f>
        <v>0.0484405973992088</v>
      </c>
      <c r="X87" s="83" t="n">
        <f aca="true">IF((21-'Assumption Setting'!$G$71)&lt;1,0,OFFSET($A$86,0,2+13*INT(((21-'Assumption Setting'!$G$71)-1)/12)+MOD((21-'Assumption Setting'!$G$71)-1,12)))*'Assumption Setting'!$F$71*'Assumption Setting'!$D$77</f>
        <v>0.0484405973992088</v>
      </c>
      <c r="Y87" s="83" t="n">
        <f aca="true">IF((22-'Assumption Setting'!$G$71)&lt;1,0,OFFSET($A$86,0,2+13*INT(((22-'Assumption Setting'!$G$71)-1)/12)+MOD((22-'Assumption Setting'!$G$71)-1,12)))*'Assumption Setting'!$F$71*'Assumption Setting'!$D$77</f>
        <v>0.0484405973992088</v>
      </c>
      <c r="Z87" s="83" t="n">
        <f aca="true">IF((23-'Assumption Setting'!$G$71)&lt;1,0,OFFSET($A$86,0,2+13*INT(((23-'Assumption Setting'!$G$71)-1)/12)+MOD((23-'Assumption Setting'!$G$71)-1,12)))*'Assumption Setting'!$F$71*'Assumption Setting'!$D$77</f>
        <v>0.0484405973992088</v>
      </c>
      <c r="AA87" s="83" t="n">
        <f aca="true">IF((24-'Assumption Setting'!$G$71)&lt;1,0,OFFSET($A$86,0,2+13*INT(((24-'Assumption Setting'!$G$71)-1)/12)+MOD((24-'Assumption Setting'!$G$71)-1,12)))*'Assumption Setting'!$F$71*'Assumption Setting'!$D$77</f>
        <v>0.0744035183944615</v>
      </c>
      <c r="AB87" s="80" t="n">
        <f aca="false">SUM(AC87:AN87)</f>
        <v>1.01457757285757</v>
      </c>
      <c r="AC87" s="83" t="n">
        <f aca="true">IF((25-'Assumption Setting'!$G$71)&lt;1,0,OFFSET($A$86,0,2+13*INT(((25-'Assumption Setting'!$G$71)-1)/12)+MOD((25-'Assumption Setting'!$G$71)-1,12)))*'Assumption Setting'!$F$71*'Assumption Setting'!$E$77</f>
        <v>0.0811674746121399</v>
      </c>
      <c r="AD87" s="83" t="n">
        <f aca="true">IF((26-'Assumption Setting'!$G$71)&lt;1,0,OFFSET($A$86,0,2+13*INT(((26-'Assumption Setting'!$G$71)-1)/12)+MOD((26-'Assumption Setting'!$G$71)-1,12)))*'Assumption Setting'!$F$71*'Assumption Setting'!$E$77</f>
        <v>0.0811674746121399</v>
      </c>
      <c r="AE87" s="83" t="n">
        <f aca="true">IF((27-'Assumption Setting'!$G$71)&lt;1,0,OFFSET($A$86,0,2+13*INT(((27-'Assumption Setting'!$G$71)-1)/12)+MOD((27-'Assumption Setting'!$G$71)-1,12)))*'Assumption Setting'!$F$71*'Assumption Setting'!$E$77</f>
        <v>0.0811674746121399</v>
      </c>
      <c r="AF87" s="83" t="n">
        <f aca="true">IF((28-'Assumption Setting'!$G$71)&lt;1,0,OFFSET($A$86,0,2+13*INT(((28-'Assumption Setting'!$G$71)-1)/12)+MOD((28-'Assumption Setting'!$G$71)-1,12)))*'Assumption Setting'!$F$71*'Assumption Setting'!$E$77</f>
        <v>0.0811674746121399</v>
      </c>
      <c r="AG87" s="83" t="n">
        <f aca="true">IF((29-'Assumption Setting'!$G$71)&lt;1,0,OFFSET($A$86,0,2+13*INT(((29-'Assumption Setting'!$G$71)-1)/12)+MOD((29-'Assumption Setting'!$G$71)-1,12)))*'Assumption Setting'!$F$71*'Assumption Setting'!$E$77</f>
        <v>0.0811674746121399</v>
      </c>
      <c r="AH87" s="83" t="n">
        <f aca="true">IF((30-'Assumption Setting'!$G$71)&lt;1,0,OFFSET($A$86,0,2+13*INT(((30-'Assumption Setting'!$G$71)-1)/12)+MOD((30-'Assumption Setting'!$G$71)-1,12)))*'Assumption Setting'!$F$71*'Assumption Setting'!$E$77</f>
        <v>0.0811674746121399</v>
      </c>
      <c r="AI87" s="83" t="n">
        <f aca="true">IF((31-'Assumption Setting'!$G$71)&lt;1,0,OFFSET($A$86,0,2+13*INT(((31-'Assumption Setting'!$G$71)-1)/12)+MOD((31-'Assumption Setting'!$G$71)-1,12)))*'Assumption Setting'!$F$71*'Assumption Setting'!$E$77</f>
        <v>0.0811674746121399</v>
      </c>
      <c r="AJ87" s="83" t="n">
        <f aca="true">IF((32-'Assumption Setting'!$G$71)&lt;1,0,OFFSET($A$86,0,2+13*INT(((32-'Assumption Setting'!$G$71)-1)/12)+MOD((32-'Assumption Setting'!$G$71)-1,12)))*'Assumption Setting'!$F$71*'Assumption Setting'!$E$77</f>
        <v>0.0811674746121399</v>
      </c>
      <c r="AK87" s="83" t="n">
        <f aca="true">IF((33-'Assumption Setting'!$G$71)&lt;1,0,OFFSET($A$86,0,2+13*INT(((33-'Assumption Setting'!$G$71)-1)/12)+MOD((33-'Assumption Setting'!$G$71)-1,12)))*'Assumption Setting'!$F$71*'Assumption Setting'!$E$77</f>
        <v>0.0811674746121399</v>
      </c>
      <c r="AL87" s="83" t="n">
        <f aca="true">IF((34-'Assumption Setting'!$G$71)&lt;1,0,OFFSET($A$86,0,2+13*INT(((34-'Assumption Setting'!$G$71)-1)/12)+MOD((34-'Assumption Setting'!$G$71)-1,12)))*'Assumption Setting'!$F$71*'Assumption Setting'!$E$77</f>
        <v>0.0811674746121399</v>
      </c>
      <c r="AM87" s="83" t="n">
        <f aca="true">IF((35-'Assumption Setting'!$G$71)&lt;1,0,OFFSET($A$86,0,2+13*INT(((35-'Assumption Setting'!$G$71)-1)/12)+MOD((35-'Assumption Setting'!$G$71)-1,12)))*'Assumption Setting'!$F$71*'Assumption Setting'!$E$77</f>
        <v>0.0811674746121399</v>
      </c>
      <c r="AN87" s="83" t="n">
        <f aca="true">IF((36-'Assumption Setting'!$G$71)&lt;1,0,OFFSET($A$86,0,2+13*INT(((36-'Assumption Setting'!$G$71)-1)/12)+MOD((36-'Assumption Setting'!$G$71)-1,12)))*'Assumption Setting'!$F$71*'Assumption Setting'!$E$77</f>
        <v>0.121735352124036</v>
      </c>
      <c r="AO87" s="80" t="n">
        <f aca="false">SUM(AP87:BA87)</f>
        <v>1.55933932563252</v>
      </c>
      <c r="AP87" s="83" t="n">
        <f aca="true">IF((37-'Assumption Setting'!$G$71)&lt;1,0,OFFSET($A$86,0,2+13*INT(((37-'Assumption Setting'!$G$71)-1)/12)+MOD((37-'Assumption Setting'!$G$71)-1,12)))*'Assumption Setting'!$F$71*'Assumption Setting'!$F$77</f>
        <v>0.126807658462537</v>
      </c>
      <c r="AQ87" s="83" t="n">
        <f aca="true">IF((38-'Assumption Setting'!$G$71)&lt;1,0,OFFSET($A$86,0,2+13*INT(((38-'Assumption Setting'!$G$71)-1)/12)+MOD((38-'Assumption Setting'!$G$71)-1,12)))*'Assumption Setting'!$F$71*'Assumption Setting'!$F$77</f>
        <v>0.126807658462537</v>
      </c>
      <c r="AR87" s="83" t="n">
        <f aca="true">IF((39-'Assumption Setting'!$G$71)&lt;1,0,OFFSET($A$86,0,2+13*INT(((39-'Assumption Setting'!$G$71)-1)/12)+MOD((39-'Assumption Setting'!$G$71)-1,12)))*'Assumption Setting'!$F$71*'Assumption Setting'!$F$77</f>
        <v>0.126807658462537</v>
      </c>
      <c r="AS87" s="83" t="n">
        <f aca="true">IF((40-'Assumption Setting'!$G$71)&lt;1,0,OFFSET($A$86,0,2+13*INT(((40-'Assumption Setting'!$G$71)-1)/12)+MOD((40-'Assumption Setting'!$G$71)-1,12)))*'Assumption Setting'!$F$71*'Assumption Setting'!$F$77</f>
        <v>0.126807658462537</v>
      </c>
      <c r="AT87" s="83" t="n">
        <f aca="true">IF((41-'Assumption Setting'!$G$71)&lt;1,0,OFFSET($A$86,0,2+13*INT(((41-'Assumption Setting'!$G$71)-1)/12)+MOD((41-'Assumption Setting'!$G$71)-1,12)))*'Assumption Setting'!$F$71*'Assumption Setting'!$F$77</f>
        <v>0.126807658462537</v>
      </c>
      <c r="AU87" s="83" t="n">
        <f aca="true">IF((42-'Assumption Setting'!$G$71)&lt;1,0,OFFSET($A$86,0,2+13*INT(((42-'Assumption Setting'!$G$71)-1)/12)+MOD((42-'Assumption Setting'!$G$71)-1,12)))*'Assumption Setting'!$F$71*'Assumption Setting'!$F$77</f>
        <v>0.126807658462537</v>
      </c>
      <c r="AV87" s="83" t="n">
        <f aca="true">IF((43-'Assumption Setting'!$G$71)&lt;1,0,OFFSET($A$86,0,2+13*INT(((43-'Assumption Setting'!$G$71)-1)/12)+MOD((43-'Assumption Setting'!$G$71)-1,12)))*'Assumption Setting'!$F$71*'Assumption Setting'!$F$77</f>
        <v>0.126807658462537</v>
      </c>
      <c r="AW87" s="83" t="n">
        <f aca="true">IF((44-'Assumption Setting'!$G$71)&lt;1,0,OFFSET($A$86,0,2+13*INT(((44-'Assumption Setting'!$G$71)-1)/12)+MOD((44-'Assumption Setting'!$G$71)-1,12)))*'Assumption Setting'!$F$71*'Assumption Setting'!$F$77</f>
        <v>0.126807658462537</v>
      </c>
      <c r="AX87" s="83" t="n">
        <f aca="true">IF((45-'Assumption Setting'!$G$71)&lt;1,0,OFFSET($A$86,0,2+13*INT(((45-'Assumption Setting'!$G$71)-1)/12)+MOD((45-'Assumption Setting'!$G$71)-1,12)))*'Assumption Setting'!$F$71*'Assumption Setting'!$F$77</f>
        <v>0.126807658462537</v>
      </c>
      <c r="AY87" s="83" t="n">
        <f aca="true">IF((46-'Assumption Setting'!$G$71)&lt;1,0,OFFSET($A$86,0,2+13*INT(((46-'Assumption Setting'!$G$71)-1)/12)+MOD((46-'Assumption Setting'!$G$71)-1,12)))*'Assumption Setting'!$F$71*'Assumption Setting'!$F$77</f>
        <v>0.126807658462537</v>
      </c>
      <c r="AZ87" s="83" t="n">
        <f aca="true">IF((47-'Assumption Setting'!$G$71)&lt;1,0,OFFSET($A$86,0,2+13*INT(((47-'Assumption Setting'!$G$71)-1)/12)+MOD((47-'Assumption Setting'!$G$71)-1,12)))*'Assumption Setting'!$F$71*'Assumption Setting'!$F$77</f>
        <v>0.126807658462537</v>
      </c>
      <c r="BA87" s="83" t="n">
        <f aca="true">IF((48-'Assumption Setting'!$G$71)&lt;1,0,OFFSET($A$86,0,2+13*INT(((48-'Assumption Setting'!$G$71)-1)/12)+MOD((48-'Assumption Setting'!$G$71)-1,12)))*'Assumption Setting'!$F$71*'Assumption Setting'!$F$77</f>
        <v>0.164455082544605</v>
      </c>
      <c r="BB87" s="80" t="n">
        <f aca="false">SUM(BC87:BN87)</f>
        <v>2.0914806179506</v>
      </c>
      <c r="BC87" s="83" t="n">
        <f aca="true">IF((49-'Assumption Setting'!$G$71)&lt;1,0,OFFSET($A$86,0,2+13*INT(((49-'Assumption Setting'!$G$71)-1)/12)+MOD((49-'Assumption Setting'!$G$71)-1,12)))*'Assumption Setting'!$F$71*'Assumption Setting'!$G$77</f>
        <v>0.17103328584639</v>
      </c>
      <c r="BD87" s="83" t="n">
        <f aca="true">IF((50-'Assumption Setting'!$G$71)&lt;1,0,OFFSET($A$86,0,2+13*INT(((50-'Assumption Setting'!$G$71)-1)/12)+MOD((50-'Assumption Setting'!$G$71)-1,12)))*'Assumption Setting'!$F$71*'Assumption Setting'!$G$77</f>
        <v>0.17103328584639</v>
      </c>
      <c r="BE87" s="83" t="n">
        <f aca="true">IF((51-'Assumption Setting'!$G$71)&lt;1,0,OFFSET($A$86,0,2+13*INT(((51-'Assumption Setting'!$G$71)-1)/12)+MOD((51-'Assumption Setting'!$G$71)-1,12)))*'Assumption Setting'!$F$71*'Assumption Setting'!$G$77</f>
        <v>0.17103328584639</v>
      </c>
      <c r="BF87" s="83" t="n">
        <f aca="true">IF((52-'Assumption Setting'!$G$71)&lt;1,0,OFFSET($A$86,0,2+13*INT(((52-'Assumption Setting'!$G$71)-1)/12)+MOD((52-'Assumption Setting'!$G$71)-1,12)))*'Assumption Setting'!$F$71*'Assumption Setting'!$G$77</f>
        <v>0.17103328584639</v>
      </c>
      <c r="BG87" s="83" t="n">
        <f aca="true">IF((53-'Assumption Setting'!$G$71)&lt;1,0,OFFSET($A$86,0,2+13*INT(((53-'Assumption Setting'!$G$71)-1)/12)+MOD((53-'Assumption Setting'!$G$71)-1,12)))*'Assumption Setting'!$F$71*'Assumption Setting'!$G$77</f>
        <v>0.17103328584639</v>
      </c>
      <c r="BH87" s="83" t="n">
        <f aca="true">IF((54-'Assumption Setting'!$G$71)&lt;1,0,OFFSET($A$86,0,2+13*INT(((54-'Assumption Setting'!$G$71)-1)/12)+MOD((54-'Assumption Setting'!$G$71)-1,12)))*'Assumption Setting'!$F$71*'Assumption Setting'!$G$77</f>
        <v>0.17103328584639</v>
      </c>
      <c r="BI87" s="83" t="n">
        <f aca="true">IF((55-'Assumption Setting'!$G$71)&lt;1,0,OFFSET($A$86,0,2+13*INT(((55-'Assumption Setting'!$G$71)-1)/12)+MOD((55-'Assumption Setting'!$G$71)-1,12)))*'Assumption Setting'!$F$71*'Assumption Setting'!$G$77</f>
        <v>0.17103328584639</v>
      </c>
      <c r="BJ87" s="83" t="n">
        <f aca="true">IF((56-'Assumption Setting'!$G$71)&lt;1,0,OFFSET($A$86,0,2+13*INT(((56-'Assumption Setting'!$G$71)-1)/12)+MOD((56-'Assumption Setting'!$G$71)-1,12)))*'Assumption Setting'!$F$71*'Assumption Setting'!$G$77</f>
        <v>0.17103328584639</v>
      </c>
      <c r="BK87" s="83" t="n">
        <f aca="true">IF((57-'Assumption Setting'!$G$71)&lt;1,0,OFFSET($A$86,0,2+13*INT(((57-'Assumption Setting'!$G$71)-1)/12)+MOD((57-'Assumption Setting'!$G$71)-1,12)))*'Assumption Setting'!$F$71*'Assumption Setting'!$G$77</f>
        <v>0.17103328584639</v>
      </c>
      <c r="BL87" s="83" t="n">
        <f aca="true">IF((58-'Assumption Setting'!$G$71)&lt;1,0,OFFSET($A$86,0,2+13*INT(((58-'Assumption Setting'!$G$71)-1)/12)+MOD((58-'Assumption Setting'!$G$71)-1,12)))*'Assumption Setting'!$F$71*'Assumption Setting'!$G$77</f>
        <v>0.17103328584639</v>
      </c>
      <c r="BM87" s="83" t="n">
        <f aca="true">IF((59-'Assumption Setting'!$G$71)&lt;1,0,OFFSET($A$86,0,2+13*INT(((59-'Assumption Setting'!$G$71)-1)/12)+MOD((59-'Assumption Setting'!$G$71)-1,12)))*'Assumption Setting'!$F$71*'Assumption Setting'!$G$77</f>
        <v>0.17103328584639</v>
      </c>
      <c r="BN87" s="83" t="n">
        <f aca="true">IF((60-'Assumption Setting'!$G$71)&lt;1,0,OFFSET($A$86,0,2+13*INT(((60-'Assumption Setting'!$G$71)-1)/12)+MOD((60-'Assumption Setting'!$G$71)-1,12)))*'Assumption Setting'!$F$71*'Assumption Setting'!$G$77</f>
        <v>0.210114473640312</v>
      </c>
    </row>
    <row r="88" customFormat="false" ht="15" hidden="false" customHeight="false" outlineLevel="0" collapsed="false">
      <c r="A88" s="69" t="s">
        <v>619</v>
      </c>
      <c r="B88" s="80" t="n">
        <f aca="false">SUM(C88:N88)</f>
        <v>0</v>
      </c>
      <c r="C88" s="86" t="n">
        <f aca="true">IF((1-'Assumption Setting'!$H$71)&lt;1,0,OFFSET($A$87,0,2+13*INT(((1-'Assumption Setting'!$H$71)-1)/12)+MOD((1-'Assumption Setting'!$H$71)-1,12)))</f>
        <v>0</v>
      </c>
      <c r="D88" s="86" t="n">
        <f aca="true">IF((2-'Assumption Setting'!$H$71)&lt;1,0,OFFSET($A$87,0,2+13*INT(((2-'Assumption Setting'!$H$71)-1)/12)+MOD((2-'Assumption Setting'!$H$71)-1,12)))</f>
        <v>0</v>
      </c>
      <c r="E88" s="86" t="n">
        <f aca="true">IF((3-'Assumption Setting'!$H$71)&lt;1,0,OFFSET($A$87,0,2+13*INT(((3-'Assumption Setting'!$H$71)-1)/12)+MOD((3-'Assumption Setting'!$H$71)-1,12)))</f>
        <v>0</v>
      </c>
      <c r="F88" s="86" t="n">
        <f aca="true">IF((4-'Assumption Setting'!$H$71)&lt;1,0,OFFSET($A$87,0,2+13*INT(((4-'Assumption Setting'!$H$71)-1)/12)+MOD((4-'Assumption Setting'!$H$71)-1,12)))</f>
        <v>0</v>
      </c>
      <c r="G88" s="86" t="n">
        <f aca="true">IF((5-'Assumption Setting'!$H$71)&lt;1,0,OFFSET($A$87,0,2+13*INT(((5-'Assumption Setting'!$H$71)-1)/12)+MOD((5-'Assumption Setting'!$H$71)-1,12)))</f>
        <v>0</v>
      </c>
      <c r="H88" s="86" t="n">
        <f aca="true">IF((6-'Assumption Setting'!$H$71)&lt;1,0,OFFSET($A$87,0,2+13*INT(((6-'Assumption Setting'!$H$71)-1)/12)+MOD((6-'Assumption Setting'!$H$71)-1,12)))</f>
        <v>0</v>
      </c>
      <c r="I88" s="86" t="n">
        <f aca="true">IF((7-'Assumption Setting'!$H$71)&lt;1,0,OFFSET($A$87,0,2+13*INT(((7-'Assumption Setting'!$H$71)-1)/12)+MOD((7-'Assumption Setting'!$H$71)-1,12)))</f>
        <v>0</v>
      </c>
      <c r="J88" s="86" t="n">
        <f aca="true">IF((8-'Assumption Setting'!$H$71)&lt;1,0,OFFSET($A$87,0,2+13*INT(((8-'Assumption Setting'!$H$71)-1)/12)+MOD((8-'Assumption Setting'!$H$71)-1,12)))</f>
        <v>0</v>
      </c>
      <c r="K88" s="86" t="n">
        <f aca="true">IF((9-'Assumption Setting'!$H$71)&lt;1,0,OFFSET($A$87,0,2+13*INT(((9-'Assumption Setting'!$H$71)-1)/12)+MOD((9-'Assumption Setting'!$H$71)-1,12)))</f>
        <v>0</v>
      </c>
      <c r="L88" s="86" t="n">
        <f aca="true">IF((10-'Assumption Setting'!$H$71)&lt;1,0,OFFSET($A$87,0,2+13*INT(((10-'Assumption Setting'!$H$71)-1)/12)+MOD((10-'Assumption Setting'!$H$71)-1,12)))</f>
        <v>0</v>
      </c>
      <c r="M88" s="86" t="n">
        <f aca="true">IF((11-'Assumption Setting'!$H$71)&lt;1,0,OFFSET($A$87,0,2+13*INT(((11-'Assumption Setting'!$H$71)-1)/12)+MOD((11-'Assumption Setting'!$H$71)-1,12)))</f>
        <v>0</v>
      </c>
      <c r="N88" s="86" t="n">
        <f aca="true">IF((12-'Assumption Setting'!$H$71)&lt;1,0,OFFSET($A$87,0,2+13*INT(((12-'Assumption Setting'!$H$71)-1)/12)+MOD((12-'Assumption Setting'!$H$71)-1,12)))</f>
        <v>0</v>
      </c>
      <c r="O88" s="80" t="n">
        <f aca="false">SUM(P88:AA88)</f>
        <v>0.480002283319433</v>
      </c>
      <c r="P88" s="86" t="n">
        <f aca="true">IF((13-'Assumption Setting'!$H$71)&lt;1,0,OFFSET($A$87,0,2+13*INT(((13-'Assumption Setting'!$H$71)-1)/12)+MOD((13-'Assumption Setting'!$H$71)-1,12)))</f>
        <v>0</v>
      </c>
      <c r="Q88" s="86" t="n">
        <f aca="true">IF((14-'Assumption Setting'!$H$71)&lt;1,0,OFFSET($A$87,0,2+13*INT(((14-'Assumption Setting'!$H$71)-1)/12)+MOD((14-'Assumption Setting'!$H$71)-1,12)))</f>
        <v>0</v>
      </c>
      <c r="R88" s="86" t="n">
        <f aca="true">IF((15-'Assumption Setting'!$H$71)&lt;1,0,OFFSET($A$87,0,2+13*INT(((15-'Assumption Setting'!$H$71)-1)/12)+MOD((15-'Assumption Setting'!$H$71)-1,12)))</f>
        <v>0.0440369067265535</v>
      </c>
      <c r="S88" s="86" t="n">
        <f aca="true">IF((16-'Assumption Setting'!$H$71)&lt;1,0,OFFSET($A$87,0,2+13*INT(((16-'Assumption Setting'!$H$71)-1)/12)+MOD((16-'Assumption Setting'!$H$71)-1,12)))</f>
        <v>0.0484405973992088</v>
      </c>
      <c r="T88" s="86" t="n">
        <f aca="true">IF((17-'Assumption Setting'!$H$71)&lt;1,0,OFFSET($A$87,0,2+13*INT(((17-'Assumption Setting'!$H$71)-1)/12)+MOD((17-'Assumption Setting'!$H$71)-1,12)))</f>
        <v>0.0484405973992088</v>
      </c>
      <c r="U88" s="86" t="n">
        <f aca="true">IF((18-'Assumption Setting'!$H$71)&lt;1,0,OFFSET($A$87,0,2+13*INT(((18-'Assumption Setting'!$H$71)-1)/12)+MOD((18-'Assumption Setting'!$H$71)-1,12)))</f>
        <v>0.0484405973992088</v>
      </c>
      <c r="V88" s="86" t="n">
        <f aca="true">IF((19-'Assumption Setting'!$H$71)&lt;1,0,OFFSET($A$87,0,2+13*INT(((19-'Assumption Setting'!$H$71)-1)/12)+MOD((19-'Assumption Setting'!$H$71)-1,12)))</f>
        <v>0.0484405973992088</v>
      </c>
      <c r="W88" s="86" t="n">
        <f aca="true">IF((20-'Assumption Setting'!$H$71)&lt;1,0,OFFSET($A$87,0,2+13*INT(((20-'Assumption Setting'!$H$71)-1)/12)+MOD((20-'Assumption Setting'!$H$71)-1,12)))</f>
        <v>0.0484405973992088</v>
      </c>
      <c r="X88" s="86" t="n">
        <f aca="true">IF((21-'Assumption Setting'!$H$71)&lt;1,0,OFFSET($A$87,0,2+13*INT(((21-'Assumption Setting'!$H$71)-1)/12)+MOD((21-'Assumption Setting'!$H$71)-1,12)))</f>
        <v>0.0484405973992088</v>
      </c>
      <c r="Y88" s="86" t="n">
        <f aca="true">IF((22-'Assumption Setting'!$H$71)&lt;1,0,OFFSET($A$87,0,2+13*INT(((22-'Assumption Setting'!$H$71)-1)/12)+MOD((22-'Assumption Setting'!$H$71)-1,12)))</f>
        <v>0.0484405973992088</v>
      </c>
      <c r="Z88" s="86" t="n">
        <f aca="true">IF((23-'Assumption Setting'!$H$71)&lt;1,0,OFFSET($A$87,0,2+13*INT(((23-'Assumption Setting'!$H$71)-1)/12)+MOD((23-'Assumption Setting'!$H$71)-1,12)))</f>
        <v>0.0484405973992088</v>
      </c>
      <c r="AA88" s="86" t="n">
        <f aca="true">IF((24-'Assumption Setting'!$H$71)&lt;1,0,OFFSET($A$87,0,2+13*INT(((24-'Assumption Setting'!$H$71)-1)/12)+MOD((24-'Assumption Setting'!$H$71)-1,12)))</f>
        <v>0.0484405973992088</v>
      </c>
      <c r="AB88" s="80" t="n">
        <f aca="false">SUM(AC88:AN88)</f>
        <v>0.901791984702138</v>
      </c>
      <c r="AC88" s="86" t="n">
        <f aca="true">IF((25-'Assumption Setting'!$H$71)&lt;1,0,OFFSET($A$87,0,2+13*INT(((25-'Assumption Setting'!$H$71)-1)/12)+MOD((25-'Assumption Setting'!$H$71)-1,12)))</f>
        <v>0.0484405973992088</v>
      </c>
      <c r="AD88" s="86" t="n">
        <f aca="true">IF((26-'Assumption Setting'!$H$71)&lt;1,0,OFFSET($A$87,0,2+13*INT(((26-'Assumption Setting'!$H$71)-1)/12)+MOD((26-'Assumption Setting'!$H$71)-1,12)))</f>
        <v>0.0484405973992088</v>
      </c>
      <c r="AE88" s="86" t="n">
        <f aca="true">IF((27-'Assumption Setting'!$H$71)&lt;1,0,OFFSET($A$87,0,2+13*INT(((27-'Assumption Setting'!$H$71)-1)/12)+MOD((27-'Assumption Setting'!$H$71)-1,12)))</f>
        <v>0.0744035183944615</v>
      </c>
      <c r="AF88" s="86" t="n">
        <f aca="true">IF((28-'Assumption Setting'!$H$71)&lt;1,0,OFFSET($A$87,0,2+13*INT(((28-'Assumption Setting'!$H$71)-1)/12)+MOD((28-'Assumption Setting'!$H$71)-1,12)))</f>
        <v>0.0811674746121399</v>
      </c>
      <c r="AG88" s="86" t="n">
        <f aca="true">IF((29-'Assumption Setting'!$H$71)&lt;1,0,OFFSET($A$87,0,2+13*INT(((29-'Assumption Setting'!$H$71)-1)/12)+MOD((29-'Assumption Setting'!$H$71)-1,12)))</f>
        <v>0.0811674746121399</v>
      </c>
      <c r="AH88" s="86" t="n">
        <f aca="true">IF((30-'Assumption Setting'!$H$71)&lt;1,0,OFFSET($A$87,0,2+13*INT(((30-'Assumption Setting'!$H$71)-1)/12)+MOD((30-'Assumption Setting'!$H$71)-1,12)))</f>
        <v>0.0811674746121399</v>
      </c>
      <c r="AI88" s="86" t="n">
        <f aca="true">IF((31-'Assumption Setting'!$H$71)&lt;1,0,OFFSET($A$87,0,2+13*INT(((31-'Assumption Setting'!$H$71)-1)/12)+MOD((31-'Assumption Setting'!$H$71)-1,12)))</f>
        <v>0.0811674746121399</v>
      </c>
      <c r="AJ88" s="86" t="n">
        <f aca="true">IF((32-'Assumption Setting'!$H$71)&lt;1,0,OFFSET($A$87,0,2+13*INT(((32-'Assumption Setting'!$H$71)-1)/12)+MOD((32-'Assumption Setting'!$H$71)-1,12)))</f>
        <v>0.0811674746121399</v>
      </c>
      <c r="AK88" s="86" t="n">
        <f aca="true">IF((33-'Assumption Setting'!$H$71)&lt;1,0,OFFSET($A$87,0,2+13*INT(((33-'Assumption Setting'!$H$71)-1)/12)+MOD((33-'Assumption Setting'!$H$71)-1,12)))</f>
        <v>0.0811674746121399</v>
      </c>
      <c r="AL88" s="86" t="n">
        <f aca="true">IF((34-'Assumption Setting'!$H$71)&lt;1,0,OFFSET($A$87,0,2+13*INT(((34-'Assumption Setting'!$H$71)-1)/12)+MOD((34-'Assumption Setting'!$H$71)-1,12)))</f>
        <v>0.0811674746121399</v>
      </c>
      <c r="AM88" s="86" t="n">
        <f aca="true">IF((35-'Assumption Setting'!$H$71)&lt;1,0,OFFSET($A$87,0,2+13*INT(((35-'Assumption Setting'!$H$71)-1)/12)+MOD((35-'Assumption Setting'!$H$71)-1,12)))</f>
        <v>0.0811674746121399</v>
      </c>
      <c r="AN88" s="86" t="n">
        <f aca="true">IF((36-'Assumption Setting'!$H$71)&lt;1,0,OFFSET($A$87,0,2+13*INT(((36-'Assumption Setting'!$H$71)-1)/12)+MOD((36-'Assumption Setting'!$H$71)-1,12)))</f>
        <v>0.0811674746121399</v>
      </c>
      <c r="AO88" s="80" t="n">
        <f aca="false">SUM(AP88:BA88)</f>
        <v>1.42533922751115</v>
      </c>
      <c r="AP88" s="86" t="n">
        <f aca="true">IF((37-'Assumption Setting'!$H$71)&lt;1,0,OFFSET($A$87,0,2+13*INT(((37-'Assumption Setting'!$H$71)-1)/12)+MOD((37-'Assumption Setting'!$H$71)-1,12)))</f>
        <v>0.0811674746121399</v>
      </c>
      <c r="AQ88" s="86" t="n">
        <f aca="true">IF((38-'Assumption Setting'!$H$71)&lt;1,0,OFFSET($A$87,0,2+13*INT(((38-'Assumption Setting'!$H$71)-1)/12)+MOD((38-'Assumption Setting'!$H$71)-1,12)))</f>
        <v>0.0811674746121399</v>
      </c>
      <c r="AR88" s="86" t="n">
        <f aca="true">IF((39-'Assumption Setting'!$H$71)&lt;1,0,OFFSET($A$87,0,2+13*INT(((39-'Assumption Setting'!$H$71)-1)/12)+MOD((39-'Assumption Setting'!$H$71)-1,12)))</f>
        <v>0.121735352124036</v>
      </c>
      <c r="AS88" s="86" t="n">
        <f aca="true">IF((40-'Assumption Setting'!$H$71)&lt;1,0,OFFSET($A$87,0,2+13*INT(((40-'Assumption Setting'!$H$71)-1)/12)+MOD((40-'Assumption Setting'!$H$71)-1,12)))</f>
        <v>0.126807658462537</v>
      </c>
      <c r="AT88" s="86" t="n">
        <f aca="true">IF((41-'Assumption Setting'!$H$71)&lt;1,0,OFFSET($A$87,0,2+13*INT(((41-'Assumption Setting'!$H$71)-1)/12)+MOD((41-'Assumption Setting'!$H$71)-1,12)))</f>
        <v>0.126807658462537</v>
      </c>
      <c r="AU88" s="86" t="n">
        <f aca="true">IF((42-'Assumption Setting'!$H$71)&lt;1,0,OFFSET($A$87,0,2+13*INT(((42-'Assumption Setting'!$H$71)-1)/12)+MOD((42-'Assumption Setting'!$H$71)-1,12)))</f>
        <v>0.126807658462537</v>
      </c>
      <c r="AV88" s="86" t="n">
        <f aca="true">IF((43-'Assumption Setting'!$H$71)&lt;1,0,OFFSET($A$87,0,2+13*INT(((43-'Assumption Setting'!$H$71)-1)/12)+MOD((43-'Assumption Setting'!$H$71)-1,12)))</f>
        <v>0.126807658462537</v>
      </c>
      <c r="AW88" s="86" t="n">
        <f aca="true">IF((44-'Assumption Setting'!$H$71)&lt;1,0,OFFSET($A$87,0,2+13*INT(((44-'Assumption Setting'!$H$71)-1)/12)+MOD((44-'Assumption Setting'!$H$71)-1,12)))</f>
        <v>0.126807658462537</v>
      </c>
      <c r="AX88" s="86" t="n">
        <f aca="true">IF((45-'Assumption Setting'!$H$71)&lt;1,0,OFFSET($A$87,0,2+13*INT(((45-'Assumption Setting'!$H$71)-1)/12)+MOD((45-'Assumption Setting'!$H$71)-1,12)))</f>
        <v>0.126807658462537</v>
      </c>
      <c r="AY88" s="86" t="n">
        <f aca="true">IF((46-'Assumption Setting'!$H$71)&lt;1,0,OFFSET($A$87,0,2+13*INT(((46-'Assumption Setting'!$H$71)-1)/12)+MOD((46-'Assumption Setting'!$H$71)-1,12)))</f>
        <v>0.126807658462537</v>
      </c>
      <c r="AZ88" s="86" t="n">
        <f aca="true">IF((47-'Assumption Setting'!$H$71)&lt;1,0,OFFSET($A$87,0,2+13*INT(((47-'Assumption Setting'!$H$71)-1)/12)+MOD((47-'Assumption Setting'!$H$71)-1,12)))</f>
        <v>0.126807658462537</v>
      </c>
      <c r="BA88" s="86" t="n">
        <f aca="true">IF((48-'Assumption Setting'!$H$71)&lt;1,0,OFFSET($A$87,0,2+13*INT(((48-'Assumption Setting'!$H$71)-1)/12)+MOD((48-'Assumption Setting'!$H$71)-1,12)))</f>
        <v>0.126807658462537</v>
      </c>
      <c r="BB88" s="80" t="n">
        <f aca="false">SUM(BC88:BN88)</f>
        <v>1.95736997208719</v>
      </c>
      <c r="BC88" s="86" t="n">
        <f aca="true">IF((49-'Assumption Setting'!$H$71)&lt;1,0,OFFSET($A$87,0,2+13*INT(((49-'Assumption Setting'!$H$71)-1)/12)+MOD((49-'Assumption Setting'!$H$71)-1,12)))</f>
        <v>0.126807658462537</v>
      </c>
      <c r="BD88" s="86" t="n">
        <f aca="true">IF((50-'Assumption Setting'!$H$71)&lt;1,0,OFFSET($A$87,0,2+13*INT(((50-'Assumption Setting'!$H$71)-1)/12)+MOD((50-'Assumption Setting'!$H$71)-1,12)))</f>
        <v>0.126807658462537</v>
      </c>
      <c r="BE88" s="86" t="n">
        <f aca="true">IF((51-'Assumption Setting'!$H$71)&lt;1,0,OFFSET($A$87,0,2+13*INT(((51-'Assumption Setting'!$H$71)-1)/12)+MOD((51-'Assumption Setting'!$H$71)-1,12)))</f>
        <v>0.164455082544605</v>
      </c>
      <c r="BF88" s="86" t="n">
        <f aca="true">IF((52-'Assumption Setting'!$H$71)&lt;1,0,OFFSET($A$87,0,2+13*INT(((52-'Assumption Setting'!$H$71)-1)/12)+MOD((52-'Assumption Setting'!$H$71)-1,12)))</f>
        <v>0.17103328584639</v>
      </c>
      <c r="BG88" s="86" t="n">
        <f aca="true">IF((53-'Assumption Setting'!$H$71)&lt;1,0,OFFSET($A$87,0,2+13*INT(((53-'Assumption Setting'!$H$71)-1)/12)+MOD((53-'Assumption Setting'!$H$71)-1,12)))</f>
        <v>0.17103328584639</v>
      </c>
      <c r="BH88" s="86" t="n">
        <f aca="true">IF((54-'Assumption Setting'!$H$71)&lt;1,0,OFFSET($A$87,0,2+13*INT(((54-'Assumption Setting'!$H$71)-1)/12)+MOD((54-'Assumption Setting'!$H$71)-1,12)))</f>
        <v>0.17103328584639</v>
      </c>
      <c r="BI88" s="86" t="n">
        <f aca="true">IF((55-'Assumption Setting'!$H$71)&lt;1,0,OFFSET($A$87,0,2+13*INT(((55-'Assumption Setting'!$H$71)-1)/12)+MOD((55-'Assumption Setting'!$H$71)-1,12)))</f>
        <v>0.17103328584639</v>
      </c>
      <c r="BJ88" s="86" t="n">
        <f aca="true">IF((56-'Assumption Setting'!$H$71)&lt;1,0,OFFSET($A$87,0,2+13*INT(((56-'Assumption Setting'!$H$71)-1)/12)+MOD((56-'Assumption Setting'!$H$71)-1,12)))</f>
        <v>0.17103328584639</v>
      </c>
      <c r="BK88" s="86" t="n">
        <f aca="true">IF((57-'Assumption Setting'!$H$71)&lt;1,0,OFFSET($A$87,0,2+13*INT(((57-'Assumption Setting'!$H$71)-1)/12)+MOD((57-'Assumption Setting'!$H$71)-1,12)))</f>
        <v>0.17103328584639</v>
      </c>
      <c r="BL88" s="86" t="n">
        <f aca="true">IF((58-'Assumption Setting'!$H$71)&lt;1,0,OFFSET($A$87,0,2+13*INT(((58-'Assumption Setting'!$H$71)-1)/12)+MOD((58-'Assumption Setting'!$H$71)-1,12)))</f>
        <v>0.17103328584639</v>
      </c>
      <c r="BM88" s="86" t="n">
        <f aca="true">IF((59-'Assumption Setting'!$H$71)&lt;1,0,OFFSET($A$87,0,2+13*INT(((59-'Assumption Setting'!$H$71)-1)/12)+MOD((59-'Assumption Setting'!$H$71)-1,12)))</f>
        <v>0.17103328584639</v>
      </c>
      <c r="BN88" s="86" t="n">
        <f aca="true">IF((60-'Assumption Setting'!$H$71)&lt;1,0,OFFSET($A$87,0,2+13*INT(((60-'Assumption Setting'!$H$71)-1)/12)+MOD((60-'Assumption Setting'!$H$71)-1,12)))</f>
        <v>0.17103328584639</v>
      </c>
    </row>
    <row r="89" customFormat="false" ht="15" hidden="false" customHeight="false" outlineLevel="0" collapsed="false">
      <c r="A89" s="18" t="s">
        <v>280</v>
      </c>
      <c r="B89" s="80" t="n">
        <f aca="false">SUM(C89:N89)</f>
        <v>39.1439170902697</v>
      </c>
      <c r="C89" s="83" t="n">
        <f aca="false">C68*'Assumption Setting'!$C$72</f>
        <v>3.26199309085581</v>
      </c>
      <c r="D89" s="83" t="n">
        <f aca="false">D68*'Assumption Setting'!$C$72</f>
        <v>3.26199309085581</v>
      </c>
      <c r="E89" s="83" t="n">
        <f aca="false">E68*'Assumption Setting'!$C$72</f>
        <v>3.26199309085581</v>
      </c>
      <c r="F89" s="83" t="n">
        <f aca="false">F68*'Assumption Setting'!$C$72</f>
        <v>3.26199309085581</v>
      </c>
      <c r="G89" s="83" t="n">
        <f aca="false">G68*'Assumption Setting'!$C$72</f>
        <v>3.26199309085581</v>
      </c>
      <c r="H89" s="83" t="n">
        <f aca="false">H68*'Assumption Setting'!$C$72</f>
        <v>3.26199309085581</v>
      </c>
      <c r="I89" s="83" t="n">
        <f aca="false">I68*'Assumption Setting'!$C$72</f>
        <v>3.26199309085581</v>
      </c>
      <c r="J89" s="83" t="n">
        <f aca="false">J68*'Assumption Setting'!$C$72</f>
        <v>3.26199309085581</v>
      </c>
      <c r="K89" s="83" t="n">
        <f aca="false">K68*'Assumption Setting'!$C$72</f>
        <v>3.26199309085581</v>
      </c>
      <c r="L89" s="83" t="n">
        <f aca="false">L68*'Assumption Setting'!$C$72</f>
        <v>3.26199309085581</v>
      </c>
      <c r="M89" s="83" t="n">
        <f aca="false">M68*'Assumption Setting'!$C$72</f>
        <v>3.26199309085581</v>
      </c>
      <c r="N89" s="83" t="n">
        <f aca="false">N68*'Assumption Setting'!$C$72</f>
        <v>3.26199309085581</v>
      </c>
      <c r="O89" s="80" t="n">
        <f aca="false">SUM(P89:AA89)</f>
        <v>60.1240552682517</v>
      </c>
      <c r="P89" s="83" t="n">
        <f aca="false">P68*'Assumption Setting'!$C$72</f>
        <v>5.01033793902098</v>
      </c>
      <c r="Q89" s="83" t="n">
        <f aca="false">Q68*'Assumption Setting'!$C$72</f>
        <v>5.01033793902098</v>
      </c>
      <c r="R89" s="83" t="n">
        <f aca="false">R68*'Assumption Setting'!$C$72</f>
        <v>5.01033793902098</v>
      </c>
      <c r="S89" s="83" t="n">
        <f aca="false">S68*'Assumption Setting'!$C$72</f>
        <v>5.01033793902098</v>
      </c>
      <c r="T89" s="83" t="n">
        <f aca="false">T68*'Assumption Setting'!$C$72</f>
        <v>5.01033793902098</v>
      </c>
      <c r="U89" s="83" t="n">
        <f aca="false">U68*'Assumption Setting'!$C$72</f>
        <v>5.01033793902098</v>
      </c>
      <c r="V89" s="83" t="n">
        <f aca="false">V68*'Assumption Setting'!$C$72</f>
        <v>5.01033793902098</v>
      </c>
      <c r="W89" s="83" t="n">
        <f aca="false">W68*'Assumption Setting'!$C$72</f>
        <v>5.01033793902098</v>
      </c>
      <c r="X89" s="83" t="n">
        <f aca="false">X68*'Assumption Setting'!$C$72</f>
        <v>5.01033793902098</v>
      </c>
      <c r="Y89" s="83" t="n">
        <f aca="false">Y68*'Assumption Setting'!$C$72</f>
        <v>5.01033793902098</v>
      </c>
      <c r="Z89" s="83" t="n">
        <f aca="false">Z68*'Assumption Setting'!$C$72</f>
        <v>5.01033793902098</v>
      </c>
      <c r="AA89" s="83" t="n">
        <f aca="false">AA68*'Assumption Setting'!$C$72</f>
        <v>5.01033793902098</v>
      </c>
      <c r="AB89" s="80" t="n">
        <f aca="false">SUM(AC89:AN89)</f>
        <v>90.1743349066933</v>
      </c>
      <c r="AC89" s="83" t="n">
        <f aca="false">AC68*'Assumption Setting'!$C$72</f>
        <v>7.51452790889111</v>
      </c>
      <c r="AD89" s="83" t="n">
        <f aca="false">AD68*'Assumption Setting'!$C$72</f>
        <v>7.51452790889111</v>
      </c>
      <c r="AE89" s="83" t="n">
        <f aca="false">AE68*'Assumption Setting'!$C$72</f>
        <v>7.51452790889111</v>
      </c>
      <c r="AF89" s="83" t="n">
        <f aca="false">AF68*'Assumption Setting'!$C$72</f>
        <v>7.51452790889111</v>
      </c>
      <c r="AG89" s="83" t="n">
        <f aca="false">AG68*'Assumption Setting'!$C$72</f>
        <v>7.51452790889111</v>
      </c>
      <c r="AH89" s="83" t="n">
        <f aca="false">AH68*'Assumption Setting'!$C$72</f>
        <v>7.51452790889111</v>
      </c>
      <c r="AI89" s="83" t="n">
        <f aca="false">AI68*'Assumption Setting'!$C$72</f>
        <v>7.51452790889111</v>
      </c>
      <c r="AJ89" s="83" t="n">
        <f aca="false">AJ68*'Assumption Setting'!$C$72</f>
        <v>7.51452790889111</v>
      </c>
      <c r="AK89" s="83" t="n">
        <f aca="false">AK68*'Assumption Setting'!$C$72</f>
        <v>7.51452790889111</v>
      </c>
      <c r="AL89" s="83" t="n">
        <f aca="false">AL68*'Assumption Setting'!$C$72</f>
        <v>7.51452790889111</v>
      </c>
      <c r="AM89" s="83" t="n">
        <f aca="false">AM68*'Assumption Setting'!$C$72</f>
        <v>7.51452790889111</v>
      </c>
      <c r="AN89" s="83" t="n">
        <f aca="false">AN68*'Assumption Setting'!$C$72</f>
        <v>7.51452790889111</v>
      </c>
      <c r="AO89" s="80" t="n">
        <f aca="false">SUM(AP89:BA89)</f>
        <v>116.945836476164</v>
      </c>
      <c r="AP89" s="83" t="n">
        <f aca="false">AP68*'Assumption Setting'!$C$72</f>
        <v>9.74548637301366</v>
      </c>
      <c r="AQ89" s="83" t="n">
        <f aca="false">AQ68*'Assumption Setting'!$C$72</f>
        <v>9.74548637301366</v>
      </c>
      <c r="AR89" s="83" t="n">
        <f aca="false">AR68*'Assumption Setting'!$C$72</f>
        <v>9.74548637301366</v>
      </c>
      <c r="AS89" s="83" t="n">
        <f aca="false">AS68*'Assumption Setting'!$C$72</f>
        <v>9.74548637301366</v>
      </c>
      <c r="AT89" s="83" t="n">
        <f aca="false">AT68*'Assumption Setting'!$C$72</f>
        <v>9.74548637301366</v>
      </c>
      <c r="AU89" s="83" t="n">
        <f aca="false">AU68*'Assumption Setting'!$C$72</f>
        <v>9.74548637301366</v>
      </c>
      <c r="AV89" s="83" t="n">
        <f aca="false">AV68*'Assumption Setting'!$C$72</f>
        <v>9.74548637301366</v>
      </c>
      <c r="AW89" s="83" t="n">
        <f aca="false">AW68*'Assumption Setting'!$C$72</f>
        <v>9.74548637301366</v>
      </c>
      <c r="AX89" s="83" t="n">
        <f aca="false">AX68*'Assumption Setting'!$C$72</f>
        <v>9.74548637301366</v>
      </c>
      <c r="AY89" s="83" t="n">
        <f aca="false">AY68*'Assumption Setting'!$C$72</f>
        <v>9.74548637301366</v>
      </c>
      <c r="AZ89" s="83" t="n">
        <f aca="false">AZ68*'Assumption Setting'!$C$72</f>
        <v>9.74548637301366</v>
      </c>
      <c r="BA89" s="83" t="n">
        <f aca="false">BA68*'Assumption Setting'!$C$72</f>
        <v>9.74548637301366</v>
      </c>
      <c r="BB89" s="80" t="n">
        <f aca="false">SUM(BC89:BN89)</f>
        <v>143.668016164316</v>
      </c>
      <c r="BC89" s="83" t="n">
        <f aca="false">BC68*'Assumption Setting'!$C$72</f>
        <v>11.9723346803596</v>
      </c>
      <c r="BD89" s="83" t="n">
        <f aca="false">BD68*'Assumption Setting'!$C$72</f>
        <v>11.9723346803596</v>
      </c>
      <c r="BE89" s="83" t="n">
        <f aca="false">BE68*'Assumption Setting'!$C$72</f>
        <v>11.9723346803596</v>
      </c>
      <c r="BF89" s="83" t="n">
        <f aca="false">BF68*'Assumption Setting'!$C$72</f>
        <v>11.9723346803596</v>
      </c>
      <c r="BG89" s="83" t="n">
        <f aca="false">BG68*'Assumption Setting'!$C$72</f>
        <v>11.9723346803596</v>
      </c>
      <c r="BH89" s="83" t="n">
        <f aca="false">BH68*'Assumption Setting'!$C$72</f>
        <v>11.9723346803596</v>
      </c>
      <c r="BI89" s="83" t="n">
        <f aca="false">BI68*'Assumption Setting'!$C$72</f>
        <v>11.9723346803596</v>
      </c>
      <c r="BJ89" s="83" t="n">
        <f aca="false">BJ68*'Assumption Setting'!$C$72</f>
        <v>11.9723346803596</v>
      </c>
      <c r="BK89" s="83" t="n">
        <f aca="false">BK68*'Assumption Setting'!$C$72</f>
        <v>11.9723346803596</v>
      </c>
      <c r="BL89" s="83" t="n">
        <f aca="false">BL68*'Assumption Setting'!$C$72</f>
        <v>11.9723346803596</v>
      </c>
      <c r="BM89" s="83" t="n">
        <f aca="false">BM68*'Assumption Setting'!$C$72</f>
        <v>11.9723346803596</v>
      </c>
      <c r="BN89" s="83" t="n">
        <f aca="false">BN68*'Assumption Setting'!$C$72</f>
        <v>11.9723346803596</v>
      </c>
    </row>
    <row r="90" customFormat="false" ht="15" hidden="false" customHeight="false" outlineLevel="0" collapsed="false">
      <c r="A90" s="12" t="s">
        <v>616</v>
      </c>
      <c r="B90" s="80" t="n">
        <f aca="false">SUM(C90:N90)</f>
        <v>11.7431751270809</v>
      </c>
      <c r="C90" s="81" t="n">
        <f aca="false">C89*'Assumption Setting'!$D$72</f>
        <v>0.978597927256743</v>
      </c>
      <c r="D90" s="81" t="n">
        <f aca="false">D89*'Assumption Setting'!$D$72</f>
        <v>0.978597927256743</v>
      </c>
      <c r="E90" s="81" t="n">
        <f aca="false">E89*'Assumption Setting'!$D$72</f>
        <v>0.978597927256743</v>
      </c>
      <c r="F90" s="81" t="n">
        <f aca="false">F89*'Assumption Setting'!$D$72</f>
        <v>0.978597927256743</v>
      </c>
      <c r="G90" s="81" t="n">
        <f aca="false">G89*'Assumption Setting'!$D$72</f>
        <v>0.978597927256743</v>
      </c>
      <c r="H90" s="81" t="n">
        <f aca="false">H89*'Assumption Setting'!$D$72</f>
        <v>0.978597927256743</v>
      </c>
      <c r="I90" s="81" t="n">
        <f aca="false">I89*'Assumption Setting'!$D$72</f>
        <v>0.978597927256743</v>
      </c>
      <c r="J90" s="81" t="n">
        <f aca="false">J89*'Assumption Setting'!$D$72</f>
        <v>0.978597927256743</v>
      </c>
      <c r="K90" s="81" t="n">
        <f aca="false">K89*'Assumption Setting'!$D$72</f>
        <v>0.978597927256743</v>
      </c>
      <c r="L90" s="81" t="n">
        <f aca="false">L89*'Assumption Setting'!$D$72</f>
        <v>0.978597927256743</v>
      </c>
      <c r="M90" s="81" t="n">
        <f aca="false">M89*'Assumption Setting'!$D$72</f>
        <v>0.978597927256743</v>
      </c>
      <c r="N90" s="81" t="n">
        <f aca="false">N89*'Assumption Setting'!$D$72</f>
        <v>0.978597927256743</v>
      </c>
      <c r="O90" s="80" t="n">
        <f aca="false">SUM(P90:AA90)</f>
        <v>18.0372165804755</v>
      </c>
      <c r="P90" s="81" t="n">
        <f aca="false">P89*'Assumption Setting'!$D$72</f>
        <v>1.50310138170629</v>
      </c>
      <c r="Q90" s="81" t="n">
        <f aca="false">Q89*'Assumption Setting'!$D$72</f>
        <v>1.50310138170629</v>
      </c>
      <c r="R90" s="81" t="n">
        <f aca="false">R89*'Assumption Setting'!$D$72</f>
        <v>1.50310138170629</v>
      </c>
      <c r="S90" s="81" t="n">
        <f aca="false">S89*'Assumption Setting'!$D$72</f>
        <v>1.50310138170629</v>
      </c>
      <c r="T90" s="81" t="n">
        <f aca="false">T89*'Assumption Setting'!$D$72</f>
        <v>1.50310138170629</v>
      </c>
      <c r="U90" s="81" t="n">
        <f aca="false">U89*'Assumption Setting'!$D$72</f>
        <v>1.50310138170629</v>
      </c>
      <c r="V90" s="81" t="n">
        <f aca="false">V89*'Assumption Setting'!$D$72</f>
        <v>1.50310138170629</v>
      </c>
      <c r="W90" s="81" t="n">
        <f aca="false">W89*'Assumption Setting'!$D$72</f>
        <v>1.50310138170629</v>
      </c>
      <c r="X90" s="81" t="n">
        <f aca="false">X89*'Assumption Setting'!$D$72</f>
        <v>1.50310138170629</v>
      </c>
      <c r="Y90" s="81" t="n">
        <f aca="false">Y89*'Assumption Setting'!$D$72</f>
        <v>1.50310138170629</v>
      </c>
      <c r="Z90" s="81" t="n">
        <f aca="false">Z89*'Assumption Setting'!$D$72</f>
        <v>1.50310138170629</v>
      </c>
      <c r="AA90" s="81" t="n">
        <f aca="false">AA89*'Assumption Setting'!$D$72</f>
        <v>1.50310138170629</v>
      </c>
      <c r="AB90" s="80" t="n">
        <f aca="false">SUM(AC90:AN90)</f>
        <v>27.052300472008</v>
      </c>
      <c r="AC90" s="81" t="n">
        <f aca="false">AC89*'Assumption Setting'!$D$72</f>
        <v>2.25435837266733</v>
      </c>
      <c r="AD90" s="81" t="n">
        <f aca="false">AD89*'Assumption Setting'!$D$72</f>
        <v>2.25435837266733</v>
      </c>
      <c r="AE90" s="81" t="n">
        <f aca="false">AE89*'Assumption Setting'!$D$72</f>
        <v>2.25435837266733</v>
      </c>
      <c r="AF90" s="81" t="n">
        <f aca="false">AF89*'Assumption Setting'!$D$72</f>
        <v>2.25435837266733</v>
      </c>
      <c r="AG90" s="81" t="n">
        <f aca="false">AG89*'Assumption Setting'!$D$72</f>
        <v>2.25435837266733</v>
      </c>
      <c r="AH90" s="81" t="n">
        <f aca="false">AH89*'Assumption Setting'!$D$72</f>
        <v>2.25435837266733</v>
      </c>
      <c r="AI90" s="81" t="n">
        <f aca="false">AI89*'Assumption Setting'!$D$72</f>
        <v>2.25435837266733</v>
      </c>
      <c r="AJ90" s="81" t="n">
        <f aca="false">AJ89*'Assumption Setting'!$D$72</f>
        <v>2.25435837266733</v>
      </c>
      <c r="AK90" s="81" t="n">
        <f aca="false">AK89*'Assumption Setting'!$D$72</f>
        <v>2.25435837266733</v>
      </c>
      <c r="AL90" s="81" t="n">
        <f aca="false">AL89*'Assumption Setting'!$D$72</f>
        <v>2.25435837266733</v>
      </c>
      <c r="AM90" s="81" t="n">
        <f aca="false">AM89*'Assumption Setting'!$D$72</f>
        <v>2.25435837266733</v>
      </c>
      <c r="AN90" s="81" t="n">
        <f aca="false">AN89*'Assumption Setting'!$D$72</f>
        <v>2.25435837266733</v>
      </c>
      <c r="AO90" s="80" t="n">
        <f aca="false">SUM(AP90:BA90)</f>
        <v>35.0837509428492</v>
      </c>
      <c r="AP90" s="81" t="n">
        <f aca="false">AP89*'Assumption Setting'!$D$72</f>
        <v>2.9236459119041</v>
      </c>
      <c r="AQ90" s="81" t="n">
        <f aca="false">AQ89*'Assumption Setting'!$D$72</f>
        <v>2.9236459119041</v>
      </c>
      <c r="AR90" s="81" t="n">
        <f aca="false">AR89*'Assumption Setting'!$D$72</f>
        <v>2.9236459119041</v>
      </c>
      <c r="AS90" s="81" t="n">
        <f aca="false">AS89*'Assumption Setting'!$D$72</f>
        <v>2.9236459119041</v>
      </c>
      <c r="AT90" s="81" t="n">
        <f aca="false">AT89*'Assumption Setting'!$D$72</f>
        <v>2.9236459119041</v>
      </c>
      <c r="AU90" s="81" t="n">
        <f aca="false">AU89*'Assumption Setting'!$D$72</f>
        <v>2.9236459119041</v>
      </c>
      <c r="AV90" s="81" t="n">
        <f aca="false">AV89*'Assumption Setting'!$D$72</f>
        <v>2.9236459119041</v>
      </c>
      <c r="AW90" s="81" t="n">
        <f aca="false">AW89*'Assumption Setting'!$D$72</f>
        <v>2.9236459119041</v>
      </c>
      <c r="AX90" s="81" t="n">
        <f aca="false">AX89*'Assumption Setting'!$D$72</f>
        <v>2.9236459119041</v>
      </c>
      <c r="AY90" s="81" t="n">
        <f aca="false">AY89*'Assumption Setting'!$D$72</f>
        <v>2.9236459119041</v>
      </c>
      <c r="AZ90" s="81" t="n">
        <f aca="false">AZ89*'Assumption Setting'!$D$72</f>
        <v>2.9236459119041</v>
      </c>
      <c r="BA90" s="81" t="n">
        <f aca="false">BA89*'Assumption Setting'!$D$72</f>
        <v>2.9236459119041</v>
      </c>
      <c r="BB90" s="80" t="n">
        <f aca="false">SUM(BC90:BN90)</f>
        <v>43.1004048492947</v>
      </c>
      <c r="BC90" s="81" t="n">
        <f aca="false">BC89*'Assumption Setting'!$D$72</f>
        <v>3.59170040410789</v>
      </c>
      <c r="BD90" s="81" t="n">
        <f aca="false">BD89*'Assumption Setting'!$D$72</f>
        <v>3.59170040410789</v>
      </c>
      <c r="BE90" s="81" t="n">
        <f aca="false">BE89*'Assumption Setting'!$D$72</f>
        <v>3.59170040410789</v>
      </c>
      <c r="BF90" s="81" t="n">
        <f aca="false">BF89*'Assumption Setting'!$D$72</f>
        <v>3.59170040410789</v>
      </c>
      <c r="BG90" s="81" t="n">
        <f aca="false">BG89*'Assumption Setting'!$D$72</f>
        <v>3.59170040410789</v>
      </c>
      <c r="BH90" s="81" t="n">
        <f aca="false">BH89*'Assumption Setting'!$D$72</f>
        <v>3.59170040410789</v>
      </c>
      <c r="BI90" s="81" t="n">
        <f aca="false">BI89*'Assumption Setting'!$D$72</f>
        <v>3.59170040410789</v>
      </c>
      <c r="BJ90" s="81" t="n">
        <f aca="false">BJ89*'Assumption Setting'!$D$72</f>
        <v>3.59170040410789</v>
      </c>
      <c r="BK90" s="81" t="n">
        <f aca="false">BK89*'Assumption Setting'!$D$72</f>
        <v>3.59170040410789</v>
      </c>
      <c r="BL90" s="81" t="n">
        <f aca="false">BL89*'Assumption Setting'!$D$72</f>
        <v>3.59170040410789</v>
      </c>
      <c r="BM90" s="81" t="n">
        <f aca="false">BM89*'Assumption Setting'!$D$72</f>
        <v>3.59170040410789</v>
      </c>
      <c r="BN90" s="81" t="n">
        <f aca="false">BN89*'Assumption Setting'!$D$72</f>
        <v>3.59170040410789</v>
      </c>
    </row>
    <row r="91" customFormat="false" ht="15" hidden="false" customHeight="false" outlineLevel="0" collapsed="false">
      <c r="A91" s="12" t="s">
        <v>617</v>
      </c>
      <c r="B91" s="80" t="n">
        <f aca="false">SUM(C91:N91)</f>
        <v>4.11011129447832</v>
      </c>
      <c r="C91" s="81" t="n">
        <f aca="false">C90*'Assumption Setting'!$E$72</f>
        <v>0.34250927453986</v>
      </c>
      <c r="D91" s="81" t="n">
        <f aca="false">D90*'Assumption Setting'!$E$72</f>
        <v>0.34250927453986</v>
      </c>
      <c r="E91" s="81" t="n">
        <f aca="false">E90*'Assumption Setting'!$E$72</f>
        <v>0.34250927453986</v>
      </c>
      <c r="F91" s="81" t="n">
        <f aca="false">F90*'Assumption Setting'!$E$72</f>
        <v>0.34250927453986</v>
      </c>
      <c r="G91" s="81" t="n">
        <f aca="false">G90*'Assumption Setting'!$E$72</f>
        <v>0.34250927453986</v>
      </c>
      <c r="H91" s="81" t="n">
        <f aca="false">H90*'Assumption Setting'!$E$72</f>
        <v>0.34250927453986</v>
      </c>
      <c r="I91" s="81" t="n">
        <f aca="false">I90*'Assumption Setting'!$E$72</f>
        <v>0.34250927453986</v>
      </c>
      <c r="J91" s="81" t="n">
        <f aca="false">J90*'Assumption Setting'!$E$72</f>
        <v>0.34250927453986</v>
      </c>
      <c r="K91" s="81" t="n">
        <f aca="false">K90*'Assumption Setting'!$E$72</f>
        <v>0.34250927453986</v>
      </c>
      <c r="L91" s="81" t="n">
        <f aca="false">L90*'Assumption Setting'!$E$72</f>
        <v>0.34250927453986</v>
      </c>
      <c r="M91" s="81" t="n">
        <f aca="false">M90*'Assumption Setting'!$E$72</f>
        <v>0.34250927453986</v>
      </c>
      <c r="N91" s="81" t="n">
        <f aca="false">N90*'Assumption Setting'!$E$72</f>
        <v>0.34250927453986</v>
      </c>
      <c r="O91" s="80" t="n">
        <f aca="false">SUM(P91:AA91)</f>
        <v>6.31302580316643</v>
      </c>
      <c r="P91" s="81" t="n">
        <f aca="false">P90*'Assumption Setting'!$E$72</f>
        <v>0.526085483597203</v>
      </c>
      <c r="Q91" s="81" t="n">
        <f aca="false">Q90*'Assumption Setting'!$E$72</f>
        <v>0.526085483597203</v>
      </c>
      <c r="R91" s="81" t="n">
        <f aca="false">R90*'Assumption Setting'!$E$72</f>
        <v>0.526085483597203</v>
      </c>
      <c r="S91" s="81" t="n">
        <f aca="false">S90*'Assumption Setting'!$E$72</f>
        <v>0.526085483597203</v>
      </c>
      <c r="T91" s="81" t="n">
        <f aca="false">T90*'Assumption Setting'!$E$72</f>
        <v>0.526085483597203</v>
      </c>
      <c r="U91" s="81" t="n">
        <f aca="false">U90*'Assumption Setting'!$E$72</f>
        <v>0.526085483597203</v>
      </c>
      <c r="V91" s="81" t="n">
        <f aca="false">V90*'Assumption Setting'!$E$72</f>
        <v>0.526085483597203</v>
      </c>
      <c r="W91" s="81" t="n">
        <f aca="false">W90*'Assumption Setting'!$E$72</f>
        <v>0.526085483597203</v>
      </c>
      <c r="X91" s="81" t="n">
        <f aca="false">X90*'Assumption Setting'!$E$72</f>
        <v>0.526085483597203</v>
      </c>
      <c r="Y91" s="81" t="n">
        <f aca="false">Y90*'Assumption Setting'!$E$72</f>
        <v>0.526085483597203</v>
      </c>
      <c r="Z91" s="81" t="n">
        <f aca="false">Z90*'Assumption Setting'!$E$72</f>
        <v>0.526085483597203</v>
      </c>
      <c r="AA91" s="81" t="n">
        <f aca="false">AA90*'Assumption Setting'!$E$72</f>
        <v>0.526085483597203</v>
      </c>
      <c r="AB91" s="80" t="n">
        <f aca="false">SUM(AC91:AN91)</f>
        <v>9.4683051652028</v>
      </c>
      <c r="AC91" s="81" t="n">
        <f aca="false">AC90*'Assumption Setting'!$E$72</f>
        <v>0.789025430433566</v>
      </c>
      <c r="AD91" s="81" t="n">
        <f aca="false">AD90*'Assumption Setting'!$E$72</f>
        <v>0.789025430433566</v>
      </c>
      <c r="AE91" s="81" t="n">
        <f aca="false">AE90*'Assumption Setting'!$E$72</f>
        <v>0.789025430433566</v>
      </c>
      <c r="AF91" s="81" t="n">
        <f aca="false">AF90*'Assumption Setting'!$E$72</f>
        <v>0.789025430433566</v>
      </c>
      <c r="AG91" s="81" t="n">
        <f aca="false">AG90*'Assumption Setting'!$E$72</f>
        <v>0.789025430433566</v>
      </c>
      <c r="AH91" s="81" t="n">
        <f aca="false">AH90*'Assumption Setting'!$E$72</f>
        <v>0.789025430433566</v>
      </c>
      <c r="AI91" s="81" t="n">
        <f aca="false">AI90*'Assumption Setting'!$E$72</f>
        <v>0.789025430433566</v>
      </c>
      <c r="AJ91" s="81" t="n">
        <f aca="false">AJ90*'Assumption Setting'!$E$72</f>
        <v>0.789025430433566</v>
      </c>
      <c r="AK91" s="81" t="n">
        <f aca="false">AK90*'Assumption Setting'!$E$72</f>
        <v>0.789025430433566</v>
      </c>
      <c r="AL91" s="81" t="n">
        <f aca="false">AL90*'Assumption Setting'!$E$72</f>
        <v>0.789025430433566</v>
      </c>
      <c r="AM91" s="81" t="n">
        <f aca="false">AM90*'Assumption Setting'!$E$72</f>
        <v>0.789025430433566</v>
      </c>
      <c r="AN91" s="81" t="n">
        <f aca="false">AN90*'Assumption Setting'!$E$72</f>
        <v>0.789025430433566</v>
      </c>
      <c r="AO91" s="80" t="n">
        <f aca="false">SUM(AP91:BA91)</f>
        <v>12.2793128299972</v>
      </c>
      <c r="AP91" s="81" t="n">
        <f aca="false">AP90*'Assumption Setting'!$E$72</f>
        <v>1.02327606916643</v>
      </c>
      <c r="AQ91" s="81" t="n">
        <f aca="false">AQ90*'Assumption Setting'!$E$72</f>
        <v>1.02327606916643</v>
      </c>
      <c r="AR91" s="81" t="n">
        <f aca="false">AR90*'Assumption Setting'!$E$72</f>
        <v>1.02327606916643</v>
      </c>
      <c r="AS91" s="81" t="n">
        <f aca="false">AS90*'Assumption Setting'!$E$72</f>
        <v>1.02327606916643</v>
      </c>
      <c r="AT91" s="81" t="n">
        <f aca="false">AT90*'Assumption Setting'!$E$72</f>
        <v>1.02327606916643</v>
      </c>
      <c r="AU91" s="81" t="n">
        <f aca="false">AU90*'Assumption Setting'!$E$72</f>
        <v>1.02327606916643</v>
      </c>
      <c r="AV91" s="81" t="n">
        <f aca="false">AV90*'Assumption Setting'!$E$72</f>
        <v>1.02327606916643</v>
      </c>
      <c r="AW91" s="81" t="n">
        <f aca="false">AW90*'Assumption Setting'!$E$72</f>
        <v>1.02327606916643</v>
      </c>
      <c r="AX91" s="81" t="n">
        <f aca="false">AX90*'Assumption Setting'!$E$72</f>
        <v>1.02327606916643</v>
      </c>
      <c r="AY91" s="81" t="n">
        <f aca="false">AY90*'Assumption Setting'!$E$72</f>
        <v>1.02327606916643</v>
      </c>
      <c r="AZ91" s="81" t="n">
        <f aca="false">AZ90*'Assumption Setting'!$E$72</f>
        <v>1.02327606916643</v>
      </c>
      <c r="BA91" s="81" t="n">
        <f aca="false">BA90*'Assumption Setting'!$E$72</f>
        <v>1.02327606916643</v>
      </c>
      <c r="BB91" s="80" t="n">
        <f aca="false">SUM(BC91:BN91)</f>
        <v>15.0851416972531</v>
      </c>
      <c r="BC91" s="81" t="n">
        <f aca="false">BC90*'Assumption Setting'!$E$72</f>
        <v>1.25709514143776</v>
      </c>
      <c r="BD91" s="81" t="n">
        <f aca="false">BD90*'Assumption Setting'!$E$72</f>
        <v>1.25709514143776</v>
      </c>
      <c r="BE91" s="81" t="n">
        <f aca="false">BE90*'Assumption Setting'!$E$72</f>
        <v>1.25709514143776</v>
      </c>
      <c r="BF91" s="81" t="n">
        <f aca="false">BF90*'Assumption Setting'!$E$72</f>
        <v>1.25709514143776</v>
      </c>
      <c r="BG91" s="81" t="n">
        <f aca="false">BG90*'Assumption Setting'!$E$72</f>
        <v>1.25709514143776</v>
      </c>
      <c r="BH91" s="81" t="n">
        <f aca="false">BH90*'Assumption Setting'!$E$72</f>
        <v>1.25709514143776</v>
      </c>
      <c r="BI91" s="81" t="n">
        <f aca="false">BI90*'Assumption Setting'!$E$72</f>
        <v>1.25709514143776</v>
      </c>
      <c r="BJ91" s="81" t="n">
        <f aca="false">BJ90*'Assumption Setting'!$E$72</f>
        <v>1.25709514143776</v>
      </c>
      <c r="BK91" s="81" t="n">
        <f aca="false">BK90*'Assumption Setting'!$E$72</f>
        <v>1.25709514143776</v>
      </c>
      <c r="BL91" s="81" t="n">
        <f aca="false">BL90*'Assumption Setting'!$E$72</f>
        <v>1.25709514143776</v>
      </c>
      <c r="BM91" s="81" t="n">
        <f aca="false">BM90*'Assumption Setting'!$E$72</f>
        <v>1.25709514143776</v>
      </c>
      <c r="BN91" s="81" t="n">
        <f aca="false">BN90*'Assumption Setting'!$E$72</f>
        <v>1.25709514143776</v>
      </c>
    </row>
    <row r="92" customFormat="false" ht="15" hidden="false" customHeight="false" outlineLevel="0" collapsed="false">
      <c r="A92" s="18" t="s">
        <v>618</v>
      </c>
      <c r="B92" s="80" t="n">
        <f aca="false">SUM(C92:N92)</f>
        <v>0.376760201993846</v>
      </c>
      <c r="C92" s="83" t="n">
        <f aca="true">IF((1-'Assumption Setting'!$G$72)&lt;1,0,OFFSET($A$91,0,2+13*INT(((1-'Assumption Setting'!$G$72)-1)/12)+MOD((1-'Assumption Setting'!$G$72)-1,12)))*'Assumption Setting'!$F$72*'Assumption Setting'!$C$77</f>
        <v>0</v>
      </c>
      <c r="D92" s="83" t="n">
        <f aca="true">IF((2-'Assumption Setting'!$G$72)&lt;1,0,OFFSET($A$91,0,2+13*INT(((2-'Assumption Setting'!$G$72)-1)/12)+MOD((2-'Assumption Setting'!$G$72)-1,12)))*'Assumption Setting'!$F$72*'Assumption Setting'!$C$77</f>
        <v>0</v>
      </c>
      <c r="E92" s="83" t="n">
        <f aca="true">IF((3-'Assumption Setting'!$G$72)&lt;1,0,OFFSET($A$91,0,2+13*INT(((3-'Assumption Setting'!$G$72)-1)/12)+MOD((3-'Assumption Setting'!$G$72)-1,12)))*'Assumption Setting'!$F$72*'Assumption Setting'!$C$77</f>
        <v>0</v>
      </c>
      <c r="F92" s="83" t="n">
        <f aca="true">IF((4-'Assumption Setting'!$G$72)&lt;1,0,OFFSET($A$91,0,2+13*INT(((4-'Assumption Setting'!$G$72)-1)/12)+MOD((4-'Assumption Setting'!$G$72)-1,12)))*'Assumption Setting'!$F$72*'Assumption Setting'!$C$77</f>
        <v>0</v>
      </c>
      <c r="G92" s="83" t="n">
        <f aca="true">IF((5-'Assumption Setting'!$G$72)&lt;1,0,OFFSET($A$91,0,2+13*INT(((5-'Assumption Setting'!$G$72)-1)/12)+MOD((5-'Assumption Setting'!$G$72)-1,12)))*'Assumption Setting'!$F$72*'Assumption Setting'!$C$77</f>
        <v>0</v>
      </c>
      <c r="H92" s="83" t="n">
        <f aca="true">IF((6-'Assumption Setting'!$G$72)&lt;1,0,OFFSET($A$91,0,2+13*INT(((6-'Assumption Setting'!$G$72)-1)/12)+MOD((6-'Assumption Setting'!$G$72)-1,12)))*'Assumption Setting'!$F$72*'Assumption Setting'!$C$77</f>
        <v>0</v>
      </c>
      <c r="I92" s="83" t="n">
        <f aca="true">IF((7-'Assumption Setting'!$G$72)&lt;1,0,OFFSET($A$91,0,2+13*INT(((7-'Assumption Setting'!$G$72)-1)/12)+MOD((7-'Assumption Setting'!$G$72)-1,12)))*'Assumption Setting'!$F$72*'Assumption Setting'!$C$77</f>
        <v>0</v>
      </c>
      <c r="J92" s="83" t="n">
        <f aca="true">IF((8-'Assumption Setting'!$G$72)&lt;1,0,OFFSET($A$91,0,2+13*INT(((8-'Assumption Setting'!$G$72)-1)/12)+MOD((8-'Assumption Setting'!$G$72)-1,12)))*'Assumption Setting'!$F$72*'Assumption Setting'!$C$77</f>
        <v>0.0753520403987692</v>
      </c>
      <c r="K92" s="83" t="n">
        <f aca="true">IF((9-'Assumption Setting'!$G$72)&lt;1,0,OFFSET($A$91,0,2+13*INT(((9-'Assumption Setting'!$G$72)-1)/12)+MOD((9-'Assumption Setting'!$G$72)-1,12)))*'Assumption Setting'!$F$72*'Assumption Setting'!$C$77</f>
        <v>0.0753520403987692</v>
      </c>
      <c r="L92" s="83" t="n">
        <f aca="true">IF((10-'Assumption Setting'!$G$72)&lt;1,0,OFFSET($A$91,0,2+13*INT(((10-'Assumption Setting'!$G$72)-1)/12)+MOD((10-'Assumption Setting'!$G$72)-1,12)))*'Assumption Setting'!$F$72*'Assumption Setting'!$C$77</f>
        <v>0.0753520403987692</v>
      </c>
      <c r="M92" s="83" t="n">
        <f aca="true">IF((11-'Assumption Setting'!$G$72)&lt;1,0,OFFSET($A$91,0,2+13*INT(((11-'Assumption Setting'!$G$72)-1)/12)+MOD((11-'Assumption Setting'!$G$72)-1,12)))*'Assumption Setting'!$F$72*'Assumption Setting'!$C$77</f>
        <v>0.0753520403987692</v>
      </c>
      <c r="N92" s="83" t="n">
        <f aca="true">IF((12-'Assumption Setting'!$G$72)&lt;1,0,OFFSET($A$91,0,2+13*INT(((12-'Assumption Setting'!$G$72)-1)/12)+MOD((12-'Assumption Setting'!$G$72)-1,12)))*'Assumption Setting'!$F$72*'Assumption Setting'!$C$77</f>
        <v>0.0753520403987692</v>
      </c>
      <c r="O92" s="80" t="n">
        <f aca="false">SUM(P92:AA92)</f>
        <v>1.21677414622314</v>
      </c>
      <c r="P92" s="83" t="n">
        <f aca="true">IF((13-'Assumption Setting'!$G$72)&lt;1,0,OFFSET($A$91,0,2+13*INT(((13-'Assumption Setting'!$G$72)-1)/12)+MOD((13-'Assumption Setting'!$G$72)-1,12)))*'Assumption Setting'!$F$72*'Assumption Setting'!$D$77</f>
        <v>0.0828872444386462</v>
      </c>
      <c r="Q92" s="83" t="n">
        <f aca="true">IF((14-'Assumption Setting'!$G$72)&lt;1,0,OFFSET($A$91,0,2+13*INT(((14-'Assumption Setting'!$G$72)-1)/12)+MOD((14-'Assumption Setting'!$G$72)-1,12)))*'Assumption Setting'!$F$72*'Assumption Setting'!$D$77</f>
        <v>0.0828872444386462</v>
      </c>
      <c r="R92" s="83" t="n">
        <f aca="true">IF((15-'Assumption Setting'!$G$72)&lt;1,0,OFFSET($A$91,0,2+13*INT(((15-'Assumption Setting'!$G$72)-1)/12)+MOD((15-'Assumption Setting'!$G$72)-1,12)))*'Assumption Setting'!$F$72*'Assumption Setting'!$D$77</f>
        <v>0.0828872444386462</v>
      </c>
      <c r="S92" s="83" t="n">
        <f aca="true">IF((16-'Assumption Setting'!$G$72)&lt;1,0,OFFSET($A$91,0,2+13*INT(((16-'Assumption Setting'!$G$72)-1)/12)+MOD((16-'Assumption Setting'!$G$72)-1,12)))*'Assumption Setting'!$F$72*'Assumption Setting'!$D$77</f>
        <v>0.0828872444386462</v>
      </c>
      <c r="T92" s="83" t="n">
        <f aca="true">IF((17-'Assumption Setting'!$G$72)&lt;1,0,OFFSET($A$91,0,2+13*INT(((17-'Assumption Setting'!$G$72)-1)/12)+MOD((17-'Assumption Setting'!$G$72)-1,12)))*'Assumption Setting'!$F$72*'Assumption Setting'!$D$77</f>
        <v>0.0828872444386462</v>
      </c>
      <c r="U92" s="83" t="n">
        <f aca="true">IF((18-'Assumption Setting'!$G$72)&lt;1,0,OFFSET($A$91,0,2+13*INT(((18-'Assumption Setting'!$G$72)-1)/12)+MOD((18-'Assumption Setting'!$G$72)-1,12)))*'Assumption Setting'!$F$72*'Assumption Setting'!$D$77</f>
        <v>0.0828872444386462</v>
      </c>
      <c r="V92" s="83" t="n">
        <f aca="true">IF((19-'Assumption Setting'!$G$72)&lt;1,0,OFFSET($A$91,0,2+13*INT(((19-'Assumption Setting'!$G$72)-1)/12)+MOD((19-'Assumption Setting'!$G$72)-1,12)))*'Assumption Setting'!$F$72*'Assumption Setting'!$D$77</f>
        <v>0.0828872444386462</v>
      </c>
      <c r="W92" s="83" t="n">
        <f aca="true">IF((20-'Assumption Setting'!$G$72)&lt;1,0,OFFSET($A$91,0,2+13*INT(((20-'Assumption Setting'!$G$72)-1)/12)+MOD((20-'Assumption Setting'!$G$72)-1,12)))*'Assumption Setting'!$F$72*'Assumption Setting'!$D$77</f>
        <v>0.127312687030523</v>
      </c>
      <c r="X92" s="83" t="n">
        <f aca="true">IF((21-'Assumption Setting'!$G$72)&lt;1,0,OFFSET($A$91,0,2+13*INT(((21-'Assumption Setting'!$G$72)-1)/12)+MOD((21-'Assumption Setting'!$G$72)-1,12)))*'Assumption Setting'!$F$72*'Assumption Setting'!$D$77</f>
        <v>0.127312687030523</v>
      </c>
      <c r="Y92" s="83" t="n">
        <f aca="true">IF((22-'Assumption Setting'!$G$72)&lt;1,0,OFFSET($A$91,0,2+13*INT(((22-'Assumption Setting'!$G$72)-1)/12)+MOD((22-'Assumption Setting'!$G$72)-1,12)))*'Assumption Setting'!$F$72*'Assumption Setting'!$D$77</f>
        <v>0.127312687030523</v>
      </c>
      <c r="Z92" s="83" t="n">
        <f aca="true">IF((23-'Assumption Setting'!$G$72)&lt;1,0,OFFSET($A$91,0,2+13*INT(((23-'Assumption Setting'!$G$72)-1)/12)+MOD((23-'Assumption Setting'!$G$72)-1,12)))*'Assumption Setting'!$F$72*'Assumption Setting'!$D$77</f>
        <v>0.127312687030523</v>
      </c>
      <c r="AA92" s="83" t="n">
        <f aca="true">IF((24-'Assumption Setting'!$G$72)&lt;1,0,OFFSET($A$91,0,2+13*INT(((24-'Assumption Setting'!$G$72)-1)/12)+MOD((24-'Assumption Setting'!$G$72)-1,12)))*'Assumption Setting'!$F$72*'Assumption Setting'!$D$77</f>
        <v>0.127312687030523</v>
      </c>
      <c r="AB92" s="80" t="n">
        <f aca="false">SUM(AC92:AN92)</f>
        <v>2.01371954185994</v>
      </c>
      <c r="AC92" s="83" t="n">
        <f aca="true">IF((25-'Assumption Setting'!$G$72)&lt;1,0,OFFSET($A$91,0,2+13*INT(((25-'Assumption Setting'!$G$72)-1)/12)+MOD((25-'Assumption Setting'!$G$72)-1,12)))*'Assumption Setting'!$F$72*'Assumption Setting'!$E$77</f>
        <v>0.138886567669662</v>
      </c>
      <c r="AD92" s="83" t="n">
        <f aca="true">IF((26-'Assumption Setting'!$G$72)&lt;1,0,OFFSET($A$91,0,2+13*INT(((26-'Assumption Setting'!$G$72)-1)/12)+MOD((26-'Assumption Setting'!$G$72)-1,12)))*'Assumption Setting'!$F$72*'Assumption Setting'!$E$77</f>
        <v>0.138886567669662</v>
      </c>
      <c r="AE92" s="83" t="n">
        <f aca="true">IF((27-'Assumption Setting'!$G$72)&lt;1,0,OFFSET($A$91,0,2+13*INT(((27-'Assumption Setting'!$G$72)-1)/12)+MOD((27-'Assumption Setting'!$G$72)-1,12)))*'Assumption Setting'!$F$72*'Assumption Setting'!$E$77</f>
        <v>0.138886567669662</v>
      </c>
      <c r="AF92" s="83" t="n">
        <f aca="true">IF((28-'Assumption Setting'!$G$72)&lt;1,0,OFFSET($A$91,0,2+13*INT(((28-'Assumption Setting'!$G$72)-1)/12)+MOD((28-'Assumption Setting'!$G$72)-1,12)))*'Assumption Setting'!$F$72*'Assumption Setting'!$E$77</f>
        <v>0.138886567669662</v>
      </c>
      <c r="AG92" s="83" t="n">
        <f aca="true">IF((29-'Assumption Setting'!$G$72)&lt;1,0,OFFSET($A$91,0,2+13*INT(((29-'Assumption Setting'!$G$72)-1)/12)+MOD((29-'Assumption Setting'!$G$72)-1,12)))*'Assumption Setting'!$F$72*'Assumption Setting'!$E$77</f>
        <v>0.138886567669662</v>
      </c>
      <c r="AH92" s="83" t="n">
        <f aca="true">IF((30-'Assumption Setting'!$G$72)&lt;1,0,OFFSET($A$91,0,2+13*INT(((30-'Assumption Setting'!$G$72)-1)/12)+MOD((30-'Assumption Setting'!$G$72)-1,12)))*'Assumption Setting'!$F$72*'Assumption Setting'!$E$77</f>
        <v>0.138886567669662</v>
      </c>
      <c r="AI92" s="83" t="n">
        <f aca="true">IF((31-'Assumption Setting'!$G$72)&lt;1,0,OFFSET($A$91,0,2+13*INT(((31-'Assumption Setting'!$G$72)-1)/12)+MOD((31-'Assumption Setting'!$G$72)-1,12)))*'Assumption Setting'!$F$72*'Assumption Setting'!$E$77</f>
        <v>0.138886567669662</v>
      </c>
      <c r="AJ92" s="83" t="n">
        <f aca="true">IF((32-'Assumption Setting'!$G$72)&lt;1,0,OFFSET($A$91,0,2+13*INT(((32-'Assumption Setting'!$G$72)-1)/12)+MOD((32-'Assumption Setting'!$G$72)-1,12)))*'Assumption Setting'!$F$72*'Assumption Setting'!$E$77</f>
        <v>0.208302713634462</v>
      </c>
      <c r="AK92" s="83" t="n">
        <f aca="true">IF((33-'Assumption Setting'!$G$72)&lt;1,0,OFFSET($A$91,0,2+13*INT(((33-'Assumption Setting'!$G$72)-1)/12)+MOD((33-'Assumption Setting'!$G$72)-1,12)))*'Assumption Setting'!$F$72*'Assumption Setting'!$E$77</f>
        <v>0.208302713634462</v>
      </c>
      <c r="AL92" s="83" t="n">
        <f aca="true">IF((34-'Assumption Setting'!$G$72)&lt;1,0,OFFSET($A$91,0,2+13*INT(((34-'Assumption Setting'!$G$72)-1)/12)+MOD((34-'Assumption Setting'!$G$72)-1,12)))*'Assumption Setting'!$F$72*'Assumption Setting'!$E$77</f>
        <v>0.208302713634462</v>
      </c>
      <c r="AM92" s="83" t="n">
        <f aca="true">IF((35-'Assumption Setting'!$G$72)&lt;1,0,OFFSET($A$91,0,2+13*INT(((35-'Assumption Setting'!$G$72)-1)/12)+MOD((35-'Assumption Setting'!$G$72)-1,12)))*'Assumption Setting'!$F$72*'Assumption Setting'!$E$77</f>
        <v>0.208302713634462</v>
      </c>
      <c r="AN92" s="83" t="n">
        <f aca="true">IF((36-'Assumption Setting'!$G$72)&lt;1,0,OFFSET($A$91,0,2+13*INT(((36-'Assumption Setting'!$G$72)-1)/12)+MOD((36-'Assumption Setting'!$G$72)-1,12)))*'Assumption Setting'!$F$72*'Assumption Setting'!$E$77</f>
        <v>0.208302713634462</v>
      </c>
      <c r="AO92" s="80" t="n">
        <f aca="false">SUM(AP92:BA92)</f>
        <v>2.92587854868846</v>
      </c>
      <c r="AP92" s="83" t="n">
        <f aca="true">IF((37-'Assumption Setting'!$G$72)&lt;1,0,OFFSET($A$91,0,2+13*INT(((37-'Assumption Setting'!$G$72)-1)/12)+MOD((37-'Assumption Setting'!$G$72)-1,12)))*'Assumption Setting'!$F$72*'Assumption Setting'!$F$77</f>
        <v>0.216981993369231</v>
      </c>
      <c r="AQ92" s="83" t="n">
        <f aca="true">IF((38-'Assumption Setting'!$G$72)&lt;1,0,OFFSET($A$91,0,2+13*INT(((38-'Assumption Setting'!$G$72)-1)/12)+MOD((38-'Assumption Setting'!$G$72)-1,12)))*'Assumption Setting'!$F$72*'Assumption Setting'!$F$77</f>
        <v>0.216981993369231</v>
      </c>
      <c r="AR92" s="83" t="n">
        <f aca="true">IF((39-'Assumption Setting'!$G$72)&lt;1,0,OFFSET($A$91,0,2+13*INT(((39-'Assumption Setting'!$G$72)-1)/12)+MOD((39-'Assumption Setting'!$G$72)-1,12)))*'Assumption Setting'!$F$72*'Assumption Setting'!$F$77</f>
        <v>0.216981993369231</v>
      </c>
      <c r="AS92" s="83" t="n">
        <f aca="true">IF((40-'Assumption Setting'!$G$72)&lt;1,0,OFFSET($A$91,0,2+13*INT(((40-'Assumption Setting'!$G$72)-1)/12)+MOD((40-'Assumption Setting'!$G$72)-1,12)))*'Assumption Setting'!$F$72*'Assumption Setting'!$F$77</f>
        <v>0.216981993369231</v>
      </c>
      <c r="AT92" s="83" t="n">
        <f aca="true">IF((41-'Assumption Setting'!$G$72)&lt;1,0,OFFSET($A$91,0,2+13*INT(((41-'Assumption Setting'!$G$72)-1)/12)+MOD((41-'Assumption Setting'!$G$72)-1,12)))*'Assumption Setting'!$F$72*'Assumption Setting'!$F$77</f>
        <v>0.216981993369231</v>
      </c>
      <c r="AU92" s="83" t="n">
        <f aca="true">IF((42-'Assumption Setting'!$G$72)&lt;1,0,OFFSET($A$91,0,2+13*INT(((42-'Assumption Setting'!$G$72)-1)/12)+MOD((42-'Assumption Setting'!$G$72)-1,12)))*'Assumption Setting'!$F$72*'Assumption Setting'!$F$77</f>
        <v>0.216981993369231</v>
      </c>
      <c r="AV92" s="83" t="n">
        <f aca="true">IF((43-'Assumption Setting'!$G$72)&lt;1,0,OFFSET($A$91,0,2+13*INT(((43-'Assumption Setting'!$G$72)-1)/12)+MOD((43-'Assumption Setting'!$G$72)-1,12)))*'Assumption Setting'!$F$72*'Assumption Setting'!$F$77</f>
        <v>0.216981993369231</v>
      </c>
      <c r="AW92" s="83" t="n">
        <f aca="true">IF((44-'Assumption Setting'!$G$72)&lt;1,0,OFFSET($A$91,0,2+13*INT(((44-'Assumption Setting'!$G$72)-1)/12)+MOD((44-'Assumption Setting'!$G$72)-1,12)))*'Assumption Setting'!$F$72*'Assumption Setting'!$F$77</f>
        <v>0.281400919020769</v>
      </c>
      <c r="AX92" s="83" t="n">
        <f aca="true">IF((45-'Assumption Setting'!$G$72)&lt;1,0,OFFSET($A$91,0,2+13*INT(((45-'Assumption Setting'!$G$72)-1)/12)+MOD((45-'Assumption Setting'!$G$72)-1,12)))*'Assumption Setting'!$F$72*'Assumption Setting'!$F$77</f>
        <v>0.281400919020769</v>
      </c>
      <c r="AY92" s="83" t="n">
        <f aca="true">IF((46-'Assumption Setting'!$G$72)&lt;1,0,OFFSET($A$91,0,2+13*INT(((46-'Assumption Setting'!$G$72)-1)/12)+MOD((46-'Assumption Setting'!$G$72)-1,12)))*'Assumption Setting'!$F$72*'Assumption Setting'!$F$77</f>
        <v>0.281400919020769</v>
      </c>
      <c r="AZ92" s="83" t="n">
        <f aca="true">IF((47-'Assumption Setting'!$G$72)&lt;1,0,OFFSET($A$91,0,2+13*INT(((47-'Assumption Setting'!$G$72)-1)/12)+MOD((47-'Assumption Setting'!$G$72)-1,12)))*'Assumption Setting'!$F$72*'Assumption Setting'!$F$77</f>
        <v>0.281400919020769</v>
      </c>
      <c r="BA92" s="83" t="n">
        <f aca="true">IF((48-'Assumption Setting'!$G$72)&lt;1,0,OFFSET($A$91,0,2+13*INT(((48-'Assumption Setting'!$G$72)-1)/12)+MOD((48-'Assumption Setting'!$G$72)-1,12)))*'Assumption Setting'!$F$72*'Assumption Setting'!$F$77</f>
        <v>0.281400919020769</v>
      </c>
      <c r="BB92" s="80" t="n">
        <f aca="false">SUM(BC92:BN92)</f>
        <v>3.8462447427272</v>
      </c>
      <c r="BC92" s="83" t="n">
        <f aca="true">IF((49-'Assumption Setting'!$G$72)&lt;1,0,OFFSET($A$91,0,2+13*INT(((49-'Assumption Setting'!$G$72)-1)/12)+MOD((49-'Assumption Setting'!$G$72)-1,12)))*'Assumption Setting'!$F$72*'Assumption Setting'!$G$77</f>
        <v>0.2926569557816</v>
      </c>
      <c r="BD92" s="83" t="n">
        <f aca="true">IF((50-'Assumption Setting'!$G$72)&lt;1,0,OFFSET($A$91,0,2+13*INT(((50-'Assumption Setting'!$G$72)-1)/12)+MOD((50-'Assumption Setting'!$G$72)-1,12)))*'Assumption Setting'!$F$72*'Assumption Setting'!$G$77</f>
        <v>0.2926569557816</v>
      </c>
      <c r="BE92" s="83" t="n">
        <f aca="true">IF((51-'Assumption Setting'!$G$72)&lt;1,0,OFFSET($A$91,0,2+13*INT(((51-'Assumption Setting'!$G$72)-1)/12)+MOD((51-'Assumption Setting'!$G$72)-1,12)))*'Assumption Setting'!$F$72*'Assumption Setting'!$G$77</f>
        <v>0.2926569557816</v>
      </c>
      <c r="BF92" s="83" t="n">
        <f aca="true">IF((52-'Assumption Setting'!$G$72)&lt;1,0,OFFSET($A$91,0,2+13*INT(((52-'Assumption Setting'!$G$72)-1)/12)+MOD((52-'Assumption Setting'!$G$72)-1,12)))*'Assumption Setting'!$F$72*'Assumption Setting'!$G$77</f>
        <v>0.2926569557816</v>
      </c>
      <c r="BG92" s="83" t="n">
        <f aca="true">IF((53-'Assumption Setting'!$G$72)&lt;1,0,OFFSET($A$91,0,2+13*INT(((53-'Assumption Setting'!$G$72)-1)/12)+MOD((53-'Assumption Setting'!$G$72)-1,12)))*'Assumption Setting'!$F$72*'Assumption Setting'!$G$77</f>
        <v>0.2926569557816</v>
      </c>
      <c r="BH92" s="83" t="n">
        <f aca="true">IF((54-'Assumption Setting'!$G$72)&lt;1,0,OFFSET($A$91,0,2+13*INT(((54-'Assumption Setting'!$G$72)-1)/12)+MOD((54-'Assumption Setting'!$G$72)-1,12)))*'Assumption Setting'!$F$72*'Assumption Setting'!$G$77</f>
        <v>0.2926569557816</v>
      </c>
      <c r="BI92" s="83" t="n">
        <f aca="true">IF((55-'Assumption Setting'!$G$72)&lt;1,0,OFFSET($A$91,0,2+13*INT(((55-'Assumption Setting'!$G$72)-1)/12)+MOD((55-'Assumption Setting'!$G$72)-1,12)))*'Assumption Setting'!$F$72*'Assumption Setting'!$G$77</f>
        <v>0.2926569557816</v>
      </c>
      <c r="BJ92" s="83" t="n">
        <f aca="true">IF((56-'Assumption Setting'!$G$72)&lt;1,0,OFFSET($A$91,0,2+13*INT(((56-'Assumption Setting'!$G$72)-1)/12)+MOD((56-'Assumption Setting'!$G$72)-1,12)))*'Assumption Setting'!$F$72*'Assumption Setting'!$G$77</f>
        <v>0.3595292104512</v>
      </c>
      <c r="BK92" s="83" t="n">
        <f aca="true">IF((57-'Assumption Setting'!$G$72)&lt;1,0,OFFSET($A$91,0,2+13*INT(((57-'Assumption Setting'!$G$72)-1)/12)+MOD((57-'Assumption Setting'!$G$72)-1,12)))*'Assumption Setting'!$F$72*'Assumption Setting'!$G$77</f>
        <v>0.3595292104512</v>
      </c>
      <c r="BL92" s="83" t="n">
        <f aca="true">IF((58-'Assumption Setting'!$G$72)&lt;1,0,OFFSET($A$91,0,2+13*INT(((58-'Assumption Setting'!$G$72)-1)/12)+MOD((58-'Assumption Setting'!$G$72)-1,12)))*'Assumption Setting'!$F$72*'Assumption Setting'!$G$77</f>
        <v>0.3595292104512</v>
      </c>
      <c r="BM92" s="83" t="n">
        <f aca="true">IF((59-'Assumption Setting'!$G$72)&lt;1,0,OFFSET($A$91,0,2+13*INT(((59-'Assumption Setting'!$G$72)-1)/12)+MOD((59-'Assumption Setting'!$G$72)-1,12)))*'Assumption Setting'!$F$72*'Assumption Setting'!$G$77</f>
        <v>0.3595292104512</v>
      </c>
      <c r="BN92" s="83" t="n">
        <f aca="true">IF((60-'Assumption Setting'!$G$72)&lt;1,0,OFFSET($A$91,0,2+13*INT(((60-'Assumption Setting'!$G$72)-1)/12)+MOD((60-'Assumption Setting'!$G$72)-1,12)))*'Assumption Setting'!$F$72*'Assumption Setting'!$G$77</f>
        <v>0.3595292104512</v>
      </c>
    </row>
    <row r="93" customFormat="false" ht="15" hidden="false" customHeight="false" outlineLevel="0" collapsed="false">
      <c r="A93" s="69" t="s">
        <v>619</v>
      </c>
      <c r="B93" s="80" t="n">
        <f aca="false">SUM(C93:N93)</f>
        <v>0.226056121196308</v>
      </c>
      <c r="C93" s="86" t="n">
        <f aca="true">IF((1-'Assumption Setting'!$H$72)&lt;1,0,OFFSET($A$92,0,2+13*INT(((1-'Assumption Setting'!$H$72)-1)/12)+MOD((1-'Assumption Setting'!$H$72)-1,12)))</f>
        <v>0</v>
      </c>
      <c r="D93" s="86" t="n">
        <f aca="true">IF((2-'Assumption Setting'!$H$72)&lt;1,0,OFFSET($A$92,0,2+13*INT(((2-'Assumption Setting'!$H$72)-1)/12)+MOD((2-'Assumption Setting'!$H$72)-1,12)))</f>
        <v>0</v>
      </c>
      <c r="E93" s="86" t="n">
        <f aca="true">IF((3-'Assumption Setting'!$H$72)&lt;1,0,OFFSET($A$92,0,2+13*INT(((3-'Assumption Setting'!$H$72)-1)/12)+MOD((3-'Assumption Setting'!$H$72)-1,12)))</f>
        <v>0</v>
      </c>
      <c r="F93" s="86" t="n">
        <f aca="true">IF((4-'Assumption Setting'!$H$72)&lt;1,0,OFFSET($A$92,0,2+13*INT(((4-'Assumption Setting'!$H$72)-1)/12)+MOD((4-'Assumption Setting'!$H$72)-1,12)))</f>
        <v>0</v>
      </c>
      <c r="G93" s="86" t="n">
        <f aca="true">IF((5-'Assumption Setting'!$H$72)&lt;1,0,OFFSET($A$92,0,2+13*INT(((5-'Assumption Setting'!$H$72)-1)/12)+MOD((5-'Assumption Setting'!$H$72)-1,12)))</f>
        <v>0</v>
      </c>
      <c r="H93" s="86" t="n">
        <f aca="true">IF((6-'Assumption Setting'!$H$72)&lt;1,0,OFFSET($A$92,0,2+13*INT(((6-'Assumption Setting'!$H$72)-1)/12)+MOD((6-'Assumption Setting'!$H$72)-1,12)))</f>
        <v>0</v>
      </c>
      <c r="I93" s="86" t="n">
        <f aca="true">IF((7-'Assumption Setting'!$H$72)&lt;1,0,OFFSET($A$92,0,2+13*INT(((7-'Assumption Setting'!$H$72)-1)/12)+MOD((7-'Assumption Setting'!$H$72)-1,12)))</f>
        <v>0</v>
      </c>
      <c r="J93" s="86" t="n">
        <f aca="true">IF((8-'Assumption Setting'!$H$72)&lt;1,0,OFFSET($A$92,0,2+13*INT(((8-'Assumption Setting'!$H$72)-1)/12)+MOD((8-'Assumption Setting'!$H$72)-1,12)))</f>
        <v>0</v>
      </c>
      <c r="K93" s="86" t="n">
        <f aca="true">IF((9-'Assumption Setting'!$H$72)&lt;1,0,OFFSET($A$92,0,2+13*INT(((9-'Assumption Setting'!$H$72)-1)/12)+MOD((9-'Assumption Setting'!$H$72)-1,12)))</f>
        <v>0</v>
      </c>
      <c r="L93" s="86" t="n">
        <f aca="true">IF((10-'Assumption Setting'!$H$72)&lt;1,0,OFFSET($A$92,0,2+13*INT(((10-'Assumption Setting'!$H$72)-1)/12)+MOD((10-'Assumption Setting'!$H$72)-1,12)))</f>
        <v>0.0753520403987692</v>
      </c>
      <c r="M93" s="86" t="n">
        <f aca="true">IF((11-'Assumption Setting'!$H$72)&lt;1,0,OFFSET($A$92,0,2+13*INT(((11-'Assumption Setting'!$H$72)-1)/12)+MOD((11-'Assumption Setting'!$H$72)-1,12)))</f>
        <v>0.0753520403987692</v>
      </c>
      <c r="N93" s="86" t="n">
        <f aca="true">IF((12-'Assumption Setting'!$H$72)&lt;1,0,OFFSET($A$92,0,2+13*INT(((12-'Assumption Setting'!$H$72)-1)/12)+MOD((12-'Assumption Setting'!$H$72)-1,12)))</f>
        <v>0.0753520403987692</v>
      </c>
      <c r="O93" s="80" t="n">
        <f aca="false">SUM(P93:AA93)</f>
        <v>1.11285285295963</v>
      </c>
      <c r="P93" s="86" t="n">
        <f aca="true">IF((13-'Assumption Setting'!$H$72)&lt;1,0,OFFSET($A$92,0,2+13*INT(((13-'Assumption Setting'!$H$72)-1)/12)+MOD((13-'Assumption Setting'!$H$72)-1,12)))</f>
        <v>0.0753520403987692</v>
      </c>
      <c r="Q93" s="86" t="n">
        <f aca="true">IF((14-'Assumption Setting'!$H$72)&lt;1,0,OFFSET($A$92,0,2+13*INT(((14-'Assumption Setting'!$H$72)-1)/12)+MOD((14-'Assumption Setting'!$H$72)-1,12)))</f>
        <v>0.0753520403987692</v>
      </c>
      <c r="R93" s="86" t="n">
        <f aca="true">IF((15-'Assumption Setting'!$H$72)&lt;1,0,OFFSET($A$92,0,2+13*INT(((15-'Assumption Setting'!$H$72)-1)/12)+MOD((15-'Assumption Setting'!$H$72)-1,12)))</f>
        <v>0.0828872444386462</v>
      </c>
      <c r="S93" s="86" t="n">
        <f aca="true">IF((16-'Assumption Setting'!$H$72)&lt;1,0,OFFSET($A$92,0,2+13*INT(((16-'Assumption Setting'!$H$72)-1)/12)+MOD((16-'Assumption Setting'!$H$72)-1,12)))</f>
        <v>0.0828872444386462</v>
      </c>
      <c r="T93" s="86" t="n">
        <f aca="true">IF((17-'Assumption Setting'!$H$72)&lt;1,0,OFFSET($A$92,0,2+13*INT(((17-'Assumption Setting'!$H$72)-1)/12)+MOD((17-'Assumption Setting'!$H$72)-1,12)))</f>
        <v>0.0828872444386462</v>
      </c>
      <c r="U93" s="86" t="n">
        <f aca="true">IF((18-'Assumption Setting'!$H$72)&lt;1,0,OFFSET($A$92,0,2+13*INT(((18-'Assumption Setting'!$H$72)-1)/12)+MOD((18-'Assumption Setting'!$H$72)-1,12)))</f>
        <v>0.0828872444386462</v>
      </c>
      <c r="V93" s="86" t="n">
        <f aca="true">IF((19-'Assumption Setting'!$H$72)&lt;1,0,OFFSET($A$92,0,2+13*INT(((19-'Assumption Setting'!$H$72)-1)/12)+MOD((19-'Assumption Setting'!$H$72)-1,12)))</f>
        <v>0.0828872444386462</v>
      </c>
      <c r="W93" s="86" t="n">
        <f aca="true">IF((20-'Assumption Setting'!$H$72)&lt;1,0,OFFSET($A$92,0,2+13*INT(((20-'Assumption Setting'!$H$72)-1)/12)+MOD((20-'Assumption Setting'!$H$72)-1,12)))</f>
        <v>0.0828872444386462</v>
      </c>
      <c r="X93" s="86" t="n">
        <f aca="true">IF((21-'Assumption Setting'!$H$72)&lt;1,0,OFFSET($A$92,0,2+13*INT(((21-'Assumption Setting'!$H$72)-1)/12)+MOD((21-'Assumption Setting'!$H$72)-1,12)))</f>
        <v>0.0828872444386462</v>
      </c>
      <c r="Y93" s="86" t="n">
        <f aca="true">IF((22-'Assumption Setting'!$H$72)&lt;1,0,OFFSET($A$92,0,2+13*INT(((22-'Assumption Setting'!$H$72)-1)/12)+MOD((22-'Assumption Setting'!$H$72)-1,12)))</f>
        <v>0.127312687030523</v>
      </c>
      <c r="Z93" s="86" t="n">
        <f aca="true">IF((23-'Assumption Setting'!$H$72)&lt;1,0,OFFSET($A$92,0,2+13*INT(((23-'Assumption Setting'!$H$72)-1)/12)+MOD((23-'Assumption Setting'!$H$72)-1,12)))</f>
        <v>0.127312687030523</v>
      </c>
      <c r="AA93" s="86" t="n">
        <f aca="true">IF((24-'Assumption Setting'!$H$72)&lt;1,0,OFFSET($A$92,0,2+13*INT(((24-'Assumption Setting'!$H$72)-1)/12)+MOD((24-'Assumption Setting'!$H$72)-1,12)))</f>
        <v>0.127312687030523</v>
      </c>
      <c r="AB93" s="80" t="n">
        <f aca="false">SUM(AC93:AN93)</f>
        <v>1.85173948865206</v>
      </c>
      <c r="AC93" s="86" t="n">
        <f aca="true">IF((25-'Assumption Setting'!$H$72)&lt;1,0,OFFSET($A$92,0,2+13*INT(((25-'Assumption Setting'!$H$72)-1)/12)+MOD((25-'Assumption Setting'!$H$72)-1,12)))</f>
        <v>0.127312687030523</v>
      </c>
      <c r="AD93" s="86" t="n">
        <f aca="true">IF((26-'Assumption Setting'!$H$72)&lt;1,0,OFFSET($A$92,0,2+13*INT(((26-'Assumption Setting'!$H$72)-1)/12)+MOD((26-'Assumption Setting'!$H$72)-1,12)))</f>
        <v>0.127312687030523</v>
      </c>
      <c r="AE93" s="86" t="n">
        <f aca="true">IF((27-'Assumption Setting'!$H$72)&lt;1,0,OFFSET($A$92,0,2+13*INT(((27-'Assumption Setting'!$H$72)-1)/12)+MOD((27-'Assumption Setting'!$H$72)-1,12)))</f>
        <v>0.138886567669662</v>
      </c>
      <c r="AF93" s="86" t="n">
        <f aca="true">IF((28-'Assumption Setting'!$H$72)&lt;1,0,OFFSET($A$92,0,2+13*INT(((28-'Assumption Setting'!$H$72)-1)/12)+MOD((28-'Assumption Setting'!$H$72)-1,12)))</f>
        <v>0.138886567669662</v>
      </c>
      <c r="AG93" s="86" t="n">
        <f aca="true">IF((29-'Assumption Setting'!$H$72)&lt;1,0,OFFSET($A$92,0,2+13*INT(((29-'Assumption Setting'!$H$72)-1)/12)+MOD((29-'Assumption Setting'!$H$72)-1,12)))</f>
        <v>0.138886567669662</v>
      </c>
      <c r="AH93" s="86" t="n">
        <f aca="true">IF((30-'Assumption Setting'!$H$72)&lt;1,0,OFFSET($A$92,0,2+13*INT(((30-'Assumption Setting'!$H$72)-1)/12)+MOD((30-'Assumption Setting'!$H$72)-1,12)))</f>
        <v>0.138886567669662</v>
      </c>
      <c r="AI93" s="86" t="n">
        <f aca="true">IF((31-'Assumption Setting'!$H$72)&lt;1,0,OFFSET($A$92,0,2+13*INT(((31-'Assumption Setting'!$H$72)-1)/12)+MOD((31-'Assumption Setting'!$H$72)-1,12)))</f>
        <v>0.138886567669662</v>
      </c>
      <c r="AJ93" s="86" t="n">
        <f aca="true">IF((32-'Assumption Setting'!$H$72)&lt;1,0,OFFSET($A$92,0,2+13*INT(((32-'Assumption Setting'!$H$72)-1)/12)+MOD((32-'Assumption Setting'!$H$72)-1,12)))</f>
        <v>0.138886567669662</v>
      </c>
      <c r="AK93" s="86" t="n">
        <f aca="true">IF((33-'Assumption Setting'!$H$72)&lt;1,0,OFFSET($A$92,0,2+13*INT(((33-'Assumption Setting'!$H$72)-1)/12)+MOD((33-'Assumption Setting'!$H$72)-1,12)))</f>
        <v>0.138886567669662</v>
      </c>
      <c r="AL93" s="86" t="n">
        <f aca="true">IF((34-'Assumption Setting'!$H$72)&lt;1,0,OFFSET($A$92,0,2+13*INT(((34-'Assumption Setting'!$H$72)-1)/12)+MOD((34-'Assumption Setting'!$H$72)-1,12)))</f>
        <v>0.208302713634462</v>
      </c>
      <c r="AM93" s="86" t="n">
        <f aca="true">IF((35-'Assumption Setting'!$H$72)&lt;1,0,OFFSET($A$92,0,2+13*INT(((35-'Assumption Setting'!$H$72)-1)/12)+MOD((35-'Assumption Setting'!$H$72)-1,12)))</f>
        <v>0.208302713634462</v>
      </c>
      <c r="AN93" s="86" t="n">
        <f aca="true">IF((36-'Assumption Setting'!$H$72)&lt;1,0,OFFSET($A$92,0,2+13*INT(((36-'Assumption Setting'!$H$72)-1)/12)+MOD((36-'Assumption Setting'!$H$72)-1,12)))</f>
        <v>0.208302713634462</v>
      </c>
      <c r="AO93" s="80" t="n">
        <f aca="false">SUM(AP93:BA93)</f>
        <v>2.77968213791585</v>
      </c>
      <c r="AP93" s="86" t="n">
        <f aca="true">IF((37-'Assumption Setting'!$H$72)&lt;1,0,OFFSET($A$92,0,2+13*INT(((37-'Assumption Setting'!$H$72)-1)/12)+MOD((37-'Assumption Setting'!$H$72)-1,12)))</f>
        <v>0.208302713634462</v>
      </c>
      <c r="AQ93" s="86" t="n">
        <f aca="true">IF((38-'Assumption Setting'!$H$72)&lt;1,0,OFFSET($A$92,0,2+13*INT(((38-'Assumption Setting'!$H$72)-1)/12)+MOD((38-'Assumption Setting'!$H$72)-1,12)))</f>
        <v>0.208302713634462</v>
      </c>
      <c r="AR93" s="86" t="n">
        <f aca="true">IF((39-'Assumption Setting'!$H$72)&lt;1,0,OFFSET($A$92,0,2+13*INT(((39-'Assumption Setting'!$H$72)-1)/12)+MOD((39-'Assumption Setting'!$H$72)-1,12)))</f>
        <v>0.216981993369231</v>
      </c>
      <c r="AS93" s="86" t="n">
        <f aca="true">IF((40-'Assumption Setting'!$H$72)&lt;1,0,OFFSET($A$92,0,2+13*INT(((40-'Assumption Setting'!$H$72)-1)/12)+MOD((40-'Assumption Setting'!$H$72)-1,12)))</f>
        <v>0.216981993369231</v>
      </c>
      <c r="AT93" s="86" t="n">
        <f aca="true">IF((41-'Assumption Setting'!$H$72)&lt;1,0,OFFSET($A$92,0,2+13*INT(((41-'Assumption Setting'!$H$72)-1)/12)+MOD((41-'Assumption Setting'!$H$72)-1,12)))</f>
        <v>0.216981993369231</v>
      </c>
      <c r="AU93" s="86" t="n">
        <f aca="true">IF((42-'Assumption Setting'!$H$72)&lt;1,0,OFFSET($A$92,0,2+13*INT(((42-'Assumption Setting'!$H$72)-1)/12)+MOD((42-'Assumption Setting'!$H$72)-1,12)))</f>
        <v>0.216981993369231</v>
      </c>
      <c r="AV93" s="86" t="n">
        <f aca="true">IF((43-'Assumption Setting'!$H$72)&lt;1,0,OFFSET($A$92,0,2+13*INT(((43-'Assumption Setting'!$H$72)-1)/12)+MOD((43-'Assumption Setting'!$H$72)-1,12)))</f>
        <v>0.216981993369231</v>
      </c>
      <c r="AW93" s="86" t="n">
        <f aca="true">IF((44-'Assumption Setting'!$H$72)&lt;1,0,OFFSET($A$92,0,2+13*INT(((44-'Assumption Setting'!$H$72)-1)/12)+MOD((44-'Assumption Setting'!$H$72)-1,12)))</f>
        <v>0.216981993369231</v>
      </c>
      <c r="AX93" s="86" t="n">
        <f aca="true">IF((45-'Assumption Setting'!$H$72)&lt;1,0,OFFSET($A$92,0,2+13*INT(((45-'Assumption Setting'!$H$72)-1)/12)+MOD((45-'Assumption Setting'!$H$72)-1,12)))</f>
        <v>0.216981993369231</v>
      </c>
      <c r="AY93" s="86" t="n">
        <f aca="true">IF((46-'Assumption Setting'!$H$72)&lt;1,0,OFFSET($A$92,0,2+13*INT(((46-'Assumption Setting'!$H$72)-1)/12)+MOD((46-'Assumption Setting'!$H$72)-1,12)))</f>
        <v>0.281400919020769</v>
      </c>
      <c r="AZ93" s="86" t="n">
        <f aca="true">IF((47-'Assumption Setting'!$H$72)&lt;1,0,OFFSET($A$92,0,2+13*INT(((47-'Assumption Setting'!$H$72)-1)/12)+MOD((47-'Assumption Setting'!$H$72)-1,12)))</f>
        <v>0.281400919020769</v>
      </c>
      <c r="BA93" s="86" t="n">
        <f aca="true">IF((48-'Assumption Setting'!$H$72)&lt;1,0,OFFSET($A$92,0,2+13*INT(((48-'Assumption Setting'!$H$72)-1)/12)+MOD((48-'Assumption Setting'!$H$72)-1,12)))</f>
        <v>0.281400919020769</v>
      </c>
      <c r="BB93" s="80" t="n">
        <f aca="false">SUM(BC93:BN93)</f>
        <v>3.68998815986634</v>
      </c>
      <c r="BC93" s="86" t="n">
        <f aca="true">IF((49-'Assumption Setting'!$H$72)&lt;1,0,OFFSET($A$92,0,2+13*INT(((49-'Assumption Setting'!$H$72)-1)/12)+MOD((49-'Assumption Setting'!$H$72)-1,12)))</f>
        <v>0.281400919020769</v>
      </c>
      <c r="BD93" s="86" t="n">
        <f aca="true">IF((50-'Assumption Setting'!$H$72)&lt;1,0,OFFSET($A$92,0,2+13*INT(((50-'Assumption Setting'!$H$72)-1)/12)+MOD((50-'Assumption Setting'!$H$72)-1,12)))</f>
        <v>0.281400919020769</v>
      </c>
      <c r="BE93" s="86" t="n">
        <f aca="true">IF((51-'Assumption Setting'!$H$72)&lt;1,0,OFFSET($A$92,0,2+13*INT(((51-'Assumption Setting'!$H$72)-1)/12)+MOD((51-'Assumption Setting'!$H$72)-1,12)))</f>
        <v>0.2926569557816</v>
      </c>
      <c r="BF93" s="86" t="n">
        <f aca="true">IF((52-'Assumption Setting'!$H$72)&lt;1,0,OFFSET($A$92,0,2+13*INT(((52-'Assumption Setting'!$H$72)-1)/12)+MOD((52-'Assumption Setting'!$H$72)-1,12)))</f>
        <v>0.2926569557816</v>
      </c>
      <c r="BG93" s="86" t="n">
        <f aca="true">IF((53-'Assumption Setting'!$H$72)&lt;1,0,OFFSET($A$92,0,2+13*INT(((53-'Assumption Setting'!$H$72)-1)/12)+MOD((53-'Assumption Setting'!$H$72)-1,12)))</f>
        <v>0.2926569557816</v>
      </c>
      <c r="BH93" s="86" t="n">
        <f aca="true">IF((54-'Assumption Setting'!$H$72)&lt;1,0,OFFSET($A$92,0,2+13*INT(((54-'Assumption Setting'!$H$72)-1)/12)+MOD((54-'Assumption Setting'!$H$72)-1,12)))</f>
        <v>0.2926569557816</v>
      </c>
      <c r="BI93" s="86" t="n">
        <f aca="true">IF((55-'Assumption Setting'!$H$72)&lt;1,0,OFFSET($A$92,0,2+13*INT(((55-'Assumption Setting'!$H$72)-1)/12)+MOD((55-'Assumption Setting'!$H$72)-1,12)))</f>
        <v>0.2926569557816</v>
      </c>
      <c r="BJ93" s="86" t="n">
        <f aca="true">IF((56-'Assumption Setting'!$H$72)&lt;1,0,OFFSET($A$92,0,2+13*INT(((56-'Assumption Setting'!$H$72)-1)/12)+MOD((56-'Assumption Setting'!$H$72)-1,12)))</f>
        <v>0.2926569557816</v>
      </c>
      <c r="BK93" s="86" t="n">
        <f aca="true">IF((57-'Assumption Setting'!$H$72)&lt;1,0,OFFSET($A$92,0,2+13*INT(((57-'Assumption Setting'!$H$72)-1)/12)+MOD((57-'Assumption Setting'!$H$72)-1,12)))</f>
        <v>0.2926569557816</v>
      </c>
      <c r="BL93" s="86" t="n">
        <f aca="true">IF((58-'Assumption Setting'!$H$72)&lt;1,0,OFFSET($A$92,0,2+13*INT(((58-'Assumption Setting'!$H$72)-1)/12)+MOD((58-'Assumption Setting'!$H$72)-1,12)))</f>
        <v>0.3595292104512</v>
      </c>
      <c r="BM93" s="86" t="n">
        <f aca="true">IF((59-'Assumption Setting'!$H$72)&lt;1,0,OFFSET($A$92,0,2+13*INT(((59-'Assumption Setting'!$H$72)-1)/12)+MOD((59-'Assumption Setting'!$H$72)-1,12)))</f>
        <v>0.3595292104512</v>
      </c>
      <c r="BN93" s="86" t="n">
        <f aca="true">IF((60-'Assumption Setting'!$H$72)&lt;1,0,OFFSET($A$92,0,2+13*INT(((60-'Assumption Setting'!$H$72)-1)/12)+MOD((60-'Assumption Setting'!$H$72)-1,12)))</f>
        <v>0.3595292104512</v>
      </c>
    </row>
    <row r="94" customFormat="false" ht="15" hidden="false" customHeight="false" outlineLevel="0" collapsed="false">
      <c r="A94" s="18" t="s">
        <v>282</v>
      </c>
      <c r="B94" s="80" t="n">
        <f aca="false">SUM(C94:N94)</f>
        <v>31.3151336722158</v>
      </c>
      <c r="C94" s="83" t="n">
        <f aca="false">C68*'Assumption Setting'!$C$73</f>
        <v>2.60959447268465</v>
      </c>
      <c r="D94" s="83" t="n">
        <f aca="false">D68*'Assumption Setting'!$C$73</f>
        <v>2.60959447268465</v>
      </c>
      <c r="E94" s="83" t="n">
        <f aca="false">E68*'Assumption Setting'!$C$73</f>
        <v>2.60959447268465</v>
      </c>
      <c r="F94" s="83" t="n">
        <f aca="false">F68*'Assumption Setting'!$C$73</f>
        <v>2.60959447268465</v>
      </c>
      <c r="G94" s="83" t="n">
        <f aca="false">G68*'Assumption Setting'!$C$73</f>
        <v>2.60959447268465</v>
      </c>
      <c r="H94" s="83" t="n">
        <f aca="false">H68*'Assumption Setting'!$C$73</f>
        <v>2.60959447268465</v>
      </c>
      <c r="I94" s="83" t="n">
        <f aca="false">I68*'Assumption Setting'!$C$73</f>
        <v>2.60959447268465</v>
      </c>
      <c r="J94" s="83" t="n">
        <f aca="false">J68*'Assumption Setting'!$C$73</f>
        <v>2.60959447268465</v>
      </c>
      <c r="K94" s="83" t="n">
        <f aca="false">K68*'Assumption Setting'!$C$73</f>
        <v>2.60959447268465</v>
      </c>
      <c r="L94" s="83" t="n">
        <f aca="false">L68*'Assumption Setting'!$C$73</f>
        <v>2.60959447268465</v>
      </c>
      <c r="M94" s="83" t="n">
        <f aca="false">M68*'Assumption Setting'!$C$73</f>
        <v>2.60959447268465</v>
      </c>
      <c r="N94" s="83" t="n">
        <f aca="false">N68*'Assumption Setting'!$C$73</f>
        <v>2.60959447268465</v>
      </c>
      <c r="O94" s="80" t="n">
        <f aca="false">SUM(P94:AA94)</f>
        <v>48.0992442146014</v>
      </c>
      <c r="P94" s="83" t="n">
        <f aca="false">P68*'Assumption Setting'!$C$73</f>
        <v>4.00827035121678</v>
      </c>
      <c r="Q94" s="83" t="n">
        <f aca="false">Q68*'Assumption Setting'!$C$73</f>
        <v>4.00827035121678</v>
      </c>
      <c r="R94" s="83" t="n">
        <f aca="false">R68*'Assumption Setting'!$C$73</f>
        <v>4.00827035121678</v>
      </c>
      <c r="S94" s="83" t="n">
        <f aca="false">S68*'Assumption Setting'!$C$73</f>
        <v>4.00827035121678</v>
      </c>
      <c r="T94" s="83" t="n">
        <f aca="false">T68*'Assumption Setting'!$C$73</f>
        <v>4.00827035121678</v>
      </c>
      <c r="U94" s="83" t="n">
        <f aca="false">U68*'Assumption Setting'!$C$73</f>
        <v>4.00827035121678</v>
      </c>
      <c r="V94" s="83" t="n">
        <f aca="false">V68*'Assumption Setting'!$C$73</f>
        <v>4.00827035121678</v>
      </c>
      <c r="W94" s="83" t="n">
        <f aca="false">W68*'Assumption Setting'!$C$73</f>
        <v>4.00827035121678</v>
      </c>
      <c r="X94" s="83" t="n">
        <f aca="false">X68*'Assumption Setting'!$C$73</f>
        <v>4.00827035121678</v>
      </c>
      <c r="Y94" s="83" t="n">
        <f aca="false">Y68*'Assumption Setting'!$C$73</f>
        <v>4.00827035121678</v>
      </c>
      <c r="Z94" s="83" t="n">
        <f aca="false">Z68*'Assumption Setting'!$C$73</f>
        <v>4.00827035121678</v>
      </c>
      <c r="AA94" s="83" t="n">
        <f aca="false">AA68*'Assumption Setting'!$C$73</f>
        <v>4.00827035121678</v>
      </c>
      <c r="AB94" s="80" t="n">
        <f aca="false">SUM(AC94:AN94)</f>
        <v>72.1394679253547</v>
      </c>
      <c r="AC94" s="83" t="n">
        <f aca="false">AC68*'Assumption Setting'!$C$73</f>
        <v>6.01162232711289</v>
      </c>
      <c r="AD94" s="83" t="n">
        <f aca="false">AD68*'Assumption Setting'!$C$73</f>
        <v>6.01162232711289</v>
      </c>
      <c r="AE94" s="83" t="n">
        <f aca="false">AE68*'Assumption Setting'!$C$73</f>
        <v>6.01162232711289</v>
      </c>
      <c r="AF94" s="83" t="n">
        <f aca="false">AF68*'Assumption Setting'!$C$73</f>
        <v>6.01162232711289</v>
      </c>
      <c r="AG94" s="83" t="n">
        <f aca="false">AG68*'Assumption Setting'!$C$73</f>
        <v>6.01162232711289</v>
      </c>
      <c r="AH94" s="83" t="n">
        <f aca="false">AH68*'Assumption Setting'!$C$73</f>
        <v>6.01162232711289</v>
      </c>
      <c r="AI94" s="83" t="n">
        <f aca="false">AI68*'Assumption Setting'!$C$73</f>
        <v>6.01162232711289</v>
      </c>
      <c r="AJ94" s="83" t="n">
        <f aca="false">AJ68*'Assumption Setting'!$C$73</f>
        <v>6.01162232711289</v>
      </c>
      <c r="AK94" s="83" t="n">
        <f aca="false">AK68*'Assumption Setting'!$C$73</f>
        <v>6.01162232711289</v>
      </c>
      <c r="AL94" s="83" t="n">
        <f aca="false">AL68*'Assumption Setting'!$C$73</f>
        <v>6.01162232711289</v>
      </c>
      <c r="AM94" s="83" t="n">
        <f aca="false">AM68*'Assumption Setting'!$C$73</f>
        <v>6.01162232711289</v>
      </c>
      <c r="AN94" s="83" t="n">
        <f aca="false">AN68*'Assumption Setting'!$C$73</f>
        <v>6.01162232711289</v>
      </c>
      <c r="AO94" s="80" t="n">
        <f aca="false">SUM(AP94:BA94)</f>
        <v>93.5566691809311</v>
      </c>
      <c r="AP94" s="83" t="n">
        <f aca="false">AP68*'Assumption Setting'!$C$73</f>
        <v>7.79638909841092</v>
      </c>
      <c r="AQ94" s="83" t="n">
        <f aca="false">AQ68*'Assumption Setting'!$C$73</f>
        <v>7.79638909841092</v>
      </c>
      <c r="AR94" s="83" t="n">
        <f aca="false">AR68*'Assumption Setting'!$C$73</f>
        <v>7.79638909841092</v>
      </c>
      <c r="AS94" s="83" t="n">
        <f aca="false">AS68*'Assumption Setting'!$C$73</f>
        <v>7.79638909841092</v>
      </c>
      <c r="AT94" s="83" t="n">
        <f aca="false">AT68*'Assumption Setting'!$C$73</f>
        <v>7.79638909841092</v>
      </c>
      <c r="AU94" s="83" t="n">
        <f aca="false">AU68*'Assumption Setting'!$C$73</f>
        <v>7.79638909841092</v>
      </c>
      <c r="AV94" s="83" t="n">
        <f aca="false">AV68*'Assumption Setting'!$C$73</f>
        <v>7.79638909841092</v>
      </c>
      <c r="AW94" s="83" t="n">
        <f aca="false">AW68*'Assumption Setting'!$C$73</f>
        <v>7.79638909841092</v>
      </c>
      <c r="AX94" s="83" t="n">
        <f aca="false">AX68*'Assumption Setting'!$C$73</f>
        <v>7.79638909841092</v>
      </c>
      <c r="AY94" s="83" t="n">
        <f aca="false">AY68*'Assumption Setting'!$C$73</f>
        <v>7.79638909841092</v>
      </c>
      <c r="AZ94" s="83" t="n">
        <f aca="false">AZ68*'Assumption Setting'!$C$73</f>
        <v>7.79638909841092</v>
      </c>
      <c r="BA94" s="83" t="n">
        <f aca="false">BA68*'Assumption Setting'!$C$73</f>
        <v>7.79638909841092</v>
      </c>
      <c r="BB94" s="80" t="n">
        <f aca="false">SUM(BC94:BN94)</f>
        <v>114.934412931453</v>
      </c>
      <c r="BC94" s="83" t="n">
        <f aca="false">BC68*'Assumption Setting'!$C$73</f>
        <v>9.57786774428771</v>
      </c>
      <c r="BD94" s="83" t="n">
        <f aca="false">BD68*'Assumption Setting'!$C$73</f>
        <v>9.57786774428771</v>
      </c>
      <c r="BE94" s="83" t="n">
        <f aca="false">BE68*'Assumption Setting'!$C$73</f>
        <v>9.57786774428771</v>
      </c>
      <c r="BF94" s="83" t="n">
        <f aca="false">BF68*'Assumption Setting'!$C$73</f>
        <v>9.57786774428771</v>
      </c>
      <c r="BG94" s="83" t="n">
        <f aca="false">BG68*'Assumption Setting'!$C$73</f>
        <v>9.57786774428771</v>
      </c>
      <c r="BH94" s="83" t="n">
        <f aca="false">BH68*'Assumption Setting'!$C$73</f>
        <v>9.57786774428771</v>
      </c>
      <c r="BI94" s="83" t="n">
        <f aca="false">BI68*'Assumption Setting'!$C$73</f>
        <v>9.57786774428771</v>
      </c>
      <c r="BJ94" s="83" t="n">
        <f aca="false">BJ68*'Assumption Setting'!$C$73</f>
        <v>9.57786774428771</v>
      </c>
      <c r="BK94" s="83" t="n">
        <f aca="false">BK68*'Assumption Setting'!$C$73</f>
        <v>9.57786774428771</v>
      </c>
      <c r="BL94" s="83" t="n">
        <f aca="false">BL68*'Assumption Setting'!$C$73</f>
        <v>9.57786774428771</v>
      </c>
      <c r="BM94" s="83" t="n">
        <f aca="false">BM68*'Assumption Setting'!$C$73</f>
        <v>9.57786774428771</v>
      </c>
      <c r="BN94" s="83" t="n">
        <f aca="false">BN68*'Assumption Setting'!$C$73</f>
        <v>9.57786774428771</v>
      </c>
    </row>
    <row r="95" customFormat="false" ht="15" hidden="false" customHeight="false" outlineLevel="0" collapsed="false">
      <c r="A95" s="12" t="s">
        <v>616</v>
      </c>
      <c r="B95" s="80" t="n">
        <f aca="false">SUM(C95:N95)</f>
        <v>14.0918101524971</v>
      </c>
      <c r="C95" s="81" t="n">
        <f aca="false">C94*'Assumption Setting'!$D$73</f>
        <v>1.17431751270809</v>
      </c>
      <c r="D95" s="81" t="n">
        <f aca="false">D94*'Assumption Setting'!$D$73</f>
        <v>1.17431751270809</v>
      </c>
      <c r="E95" s="81" t="n">
        <f aca="false">E94*'Assumption Setting'!$D$73</f>
        <v>1.17431751270809</v>
      </c>
      <c r="F95" s="81" t="n">
        <f aca="false">F94*'Assumption Setting'!$D$73</f>
        <v>1.17431751270809</v>
      </c>
      <c r="G95" s="81" t="n">
        <f aca="false">G94*'Assumption Setting'!$D$73</f>
        <v>1.17431751270809</v>
      </c>
      <c r="H95" s="81" t="n">
        <f aca="false">H94*'Assumption Setting'!$D$73</f>
        <v>1.17431751270809</v>
      </c>
      <c r="I95" s="81" t="n">
        <f aca="false">I94*'Assumption Setting'!$D$73</f>
        <v>1.17431751270809</v>
      </c>
      <c r="J95" s="81" t="n">
        <f aca="false">J94*'Assumption Setting'!$D$73</f>
        <v>1.17431751270809</v>
      </c>
      <c r="K95" s="81" t="n">
        <f aca="false">K94*'Assumption Setting'!$D$73</f>
        <v>1.17431751270809</v>
      </c>
      <c r="L95" s="81" t="n">
        <f aca="false">L94*'Assumption Setting'!$D$73</f>
        <v>1.17431751270809</v>
      </c>
      <c r="M95" s="81" t="n">
        <f aca="false">M94*'Assumption Setting'!$D$73</f>
        <v>1.17431751270809</v>
      </c>
      <c r="N95" s="81" t="n">
        <f aca="false">N94*'Assumption Setting'!$D$73</f>
        <v>1.17431751270809</v>
      </c>
      <c r="O95" s="80" t="n">
        <f aca="false">SUM(P95:AA95)</f>
        <v>21.6446598965706</v>
      </c>
      <c r="P95" s="81" t="n">
        <f aca="false">P94*'Assumption Setting'!$D$73</f>
        <v>1.80372165804755</v>
      </c>
      <c r="Q95" s="81" t="n">
        <f aca="false">Q94*'Assumption Setting'!$D$73</f>
        <v>1.80372165804755</v>
      </c>
      <c r="R95" s="81" t="n">
        <f aca="false">R94*'Assumption Setting'!$D$73</f>
        <v>1.80372165804755</v>
      </c>
      <c r="S95" s="81" t="n">
        <f aca="false">S94*'Assumption Setting'!$D$73</f>
        <v>1.80372165804755</v>
      </c>
      <c r="T95" s="81" t="n">
        <f aca="false">T94*'Assumption Setting'!$D$73</f>
        <v>1.80372165804755</v>
      </c>
      <c r="U95" s="81" t="n">
        <f aca="false">U94*'Assumption Setting'!$D$73</f>
        <v>1.80372165804755</v>
      </c>
      <c r="V95" s="81" t="n">
        <f aca="false">V94*'Assumption Setting'!$D$73</f>
        <v>1.80372165804755</v>
      </c>
      <c r="W95" s="81" t="n">
        <f aca="false">W94*'Assumption Setting'!$D$73</f>
        <v>1.80372165804755</v>
      </c>
      <c r="X95" s="81" t="n">
        <f aca="false">X94*'Assumption Setting'!$D$73</f>
        <v>1.80372165804755</v>
      </c>
      <c r="Y95" s="81" t="n">
        <f aca="false">Y94*'Assumption Setting'!$D$73</f>
        <v>1.80372165804755</v>
      </c>
      <c r="Z95" s="81" t="n">
        <f aca="false">Z94*'Assumption Setting'!$D$73</f>
        <v>1.80372165804755</v>
      </c>
      <c r="AA95" s="81" t="n">
        <f aca="false">AA94*'Assumption Setting'!$D$73</f>
        <v>1.80372165804755</v>
      </c>
      <c r="AB95" s="80" t="n">
        <f aca="false">SUM(AC95:AN95)</f>
        <v>32.4627605664096</v>
      </c>
      <c r="AC95" s="81" t="n">
        <f aca="false">AC94*'Assumption Setting'!$D$73</f>
        <v>2.7052300472008</v>
      </c>
      <c r="AD95" s="81" t="n">
        <f aca="false">AD94*'Assumption Setting'!$D$73</f>
        <v>2.7052300472008</v>
      </c>
      <c r="AE95" s="81" t="n">
        <f aca="false">AE94*'Assumption Setting'!$D$73</f>
        <v>2.7052300472008</v>
      </c>
      <c r="AF95" s="81" t="n">
        <f aca="false">AF94*'Assumption Setting'!$D$73</f>
        <v>2.7052300472008</v>
      </c>
      <c r="AG95" s="81" t="n">
        <f aca="false">AG94*'Assumption Setting'!$D$73</f>
        <v>2.7052300472008</v>
      </c>
      <c r="AH95" s="81" t="n">
        <f aca="false">AH94*'Assumption Setting'!$D$73</f>
        <v>2.7052300472008</v>
      </c>
      <c r="AI95" s="81" t="n">
        <f aca="false">AI94*'Assumption Setting'!$D$73</f>
        <v>2.7052300472008</v>
      </c>
      <c r="AJ95" s="81" t="n">
        <f aca="false">AJ94*'Assumption Setting'!$D$73</f>
        <v>2.7052300472008</v>
      </c>
      <c r="AK95" s="81" t="n">
        <f aca="false">AK94*'Assumption Setting'!$D$73</f>
        <v>2.7052300472008</v>
      </c>
      <c r="AL95" s="81" t="n">
        <f aca="false">AL94*'Assumption Setting'!$D$73</f>
        <v>2.7052300472008</v>
      </c>
      <c r="AM95" s="81" t="n">
        <f aca="false">AM94*'Assumption Setting'!$D$73</f>
        <v>2.7052300472008</v>
      </c>
      <c r="AN95" s="81" t="n">
        <f aca="false">AN94*'Assumption Setting'!$D$73</f>
        <v>2.7052300472008</v>
      </c>
      <c r="AO95" s="80" t="n">
        <f aca="false">SUM(AP95:BA95)</f>
        <v>42.100501131419</v>
      </c>
      <c r="AP95" s="81" t="n">
        <f aca="false">AP94*'Assumption Setting'!$D$73</f>
        <v>3.50837509428492</v>
      </c>
      <c r="AQ95" s="81" t="n">
        <f aca="false">AQ94*'Assumption Setting'!$D$73</f>
        <v>3.50837509428492</v>
      </c>
      <c r="AR95" s="81" t="n">
        <f aca="false">AR94*'Assumption Setting'!$D$73</f>
        <v>3.50837509428492</v>
      </c>
      <c r="AS95" s="81" t="n">
        <f aca="false">AS94*'Assumption Setting'!$D$73</f>
        <v>3.50837509428492</v>
      </c>
      <c r="AT95" s="81" t="n">
        <f aca="false">AT94*'Assumption Setting'!$D$73</f>
        <v>3.50837509428492</v>
      </c>
      <c r="AU95" s="81" t="n">
        <f aca="false">AU94*'Assumption Setting'!$D$73</f>
        <v>3.50837509428492</v>
      </c>
      <c r="AV95" s="81" t="n">
        <f aca="false">AV94*'Assumption Setting'!$D$73</f>
        <v>3.50837509428492</v>
      </c>
      <c r="AW95" s="81" t="n">
        <f aca="false">AW94*'Assumption Setting'!$D$73</f>
        <v>3.50837509428492</v>
      </c>
      <c r="AX95" s="81" t="n">
        <f aca="false">AX94*'Assumption Setting'!$D$73</f>
        <v>3.50837509428492</v>
      </c>
      <c r="AY95" s="81" t="n">
        <f aca="false">AY94*'Assumption Setting'!$D$73</f>
        <v>3.50837509428492</v>
      </c>
      <c r="AZ95" s="81" t="n">
        <f aca="false">AZ94*'Assumption Setting'!$D$73</f>
        <v>3.50837509428492</v>
      </c>
      <c r="BA95" s="81" t="n">
        <f aca="false">BA94*'Assumption Setting'!$D$73</f>
        <v>3.50837509428492</v>
      </c>
      <c r="BB95" s="80" t="n">
        <f aca="false">SUM(BC95:BN95)</f>
        <v>51.7204858191537</v>
      </c>
      <c r="BC95" s="81" t="n">
        <f aca="false">BC94*'Assumption Setting'!$D$73</f>
        <v>4.31004048492947</v>
      </c>
      <c r="BD95" s="81" t="n">
        <f aca="false">BD94*'Assumption Setting'!$D$73</f>
        <v>4.31004048492947</v>
      </c>
      <c r="BE95" s="81" t="n">
        <f aca="false">BE94*'Assumption Setting'!$D$73</f>
        <v>4.31004048492947</v>
      </c>
      <c r="BF95" s="81" t="n">
        <f aca="false">BF94*'Assumption Setting'!$D$73</f>
        <v>4.31004048492947</v>
      </c>
      <c r="BG95" s="81" t="n">
        <f aca="false">BG94*'Assumption Setting'!$D$73</f>
        <v>4.31004048492947</v>
      </c>
      <c r="BH95" s="81" t="n">
        <f aca="false">BH94*'Assumption Setting'!$D$73</f>
        <v>4.31004048492947</v>
      </c>
      <c r="BI95" s="81" t="n">
        <f aca="false">BI94*'Assumption Setting'!$D$73</f>
        <v>4.31004048492947</v>
      </c>
      <c r="BJ95" s="81" t="n">
        <f aca="false">BJ94*'Assumption Setting'!$D$73</f>
        <v>4.31004048492947</v>
      </c>
      <c r="BK95" s="81" t="n">
        <f aca="false">BK94*'Assumption Setting'!$D$73</f>
        <v>4.31004048492947</v>
      </c>
      <c r="BL95" s="81" t="n">
        <f aca="false">BL94*'Assumption Setting'!$D$73</f>
        <v>4.31004048492947</v>
      </c>
      <c r="BM95" s="81" t="n">
        <f aca="false">BM94*'Assumption Setting'!$D$73</f>
        <v>4.31004048492947</v>
      </c>
      <c r="BN95" s="81" t="n">
        <f aca="false">BN94*'Assumption Setting'!$D$73</f>
        <v>4.31004048492947</v>
      </c>
    </row>
    <row r="96" customFormat="false" ht="15" hidden="false" customHeight="false" outlineLevel="0" collapsed="false">
      <c r="A96" s="12" t="s">
        <v>617</v>
      </c>
      <c r="B96" s="80" t="n">
        <f aca="false">SUM(C96:N96)</f>
        <v>7.04590507624855</v>
      </c>
      <c r="C96" s="81" t="n">
        <f aca="false">C95*'Assumption Setting'!$E$73</f>
        <v>0.587158756354046</v>
      </c>
      <c r="D96" s="81" t="n">
        <f aca="false">D95*'Assumption Setting'!$E$73</f>
        <v>0.587158756354046</v>
      </c>
      <c r="E96" s="81" t="n">
        <f aca="false">E95*'Assumption Setting'!$E$73</f>
        <v>0.587158756354046</v>
      </c>
      <c r="F96" s="81" t="n">
        <f aca="false">F95*'Assumption Setting'!$E$73</f>
        <v>0.587158756354046</v>
      </c>
      <c r="G96" s="81" t="n">
        <f aca="false">G95*'Assumption Setting'!$E$73</f>
        <v>0.587158756354046</v>
      </c>
      <c r="H96" s="81" t="n">
        <f aca="false">H95*'Assumption Setting'!$E$73</f>
        <v>0.587158756354046</v>
      </c>
      <c r="I96" s="81" t="n">
        <f aca="false">I95*'Assumption Setting'!$E$73</f>
        <v>0.587158756354046</v>
      </c>
      <c r="J96" s="81" t="n">
        <f aca="false">J95*'Assumption Setting'!$E$73</f>
        <v>0.587158756354046</v>
      </c>
      <c r="K96" s="81" t="n">
        <f aca="false">K95*'Assumption Setting'!$E$73</f>
        <v>0.587158756354046</v>
      </c>
      <c r="L96" s="81" t="n">
        <f aca="false">L95*'Assumption Setting'!$E$73</f>
        <v>0.587158756354046</v>
      </c>
      <c r="M96" s="81" t="n">
        <f aca="false">M95*'Assumption Setting'!$E$73</f>
        <v>0.587158756354046</v>
      </c>
      <c r="N96" s="81" t="n">
        <f aca="false">N95*'Assumption Setting'!$E$73</f>
        <v>0.587158756354046</v>
      </c>
      <c r="O96" s="80" t="n">
        <f aca="false">SUM(P96:AA96)</f>
        <v>10.8223299482853</v>
      </c>
      <c r="P96" s="81" t="n">
        <f aca="false">P95*'Assumption Setting'!$E$73</f>
        <v>0.901860829023776</v>
      </c>
      <c r="Q96" s="81" t="n">
        <f aca="false">Q95*'Assumption Setting'!$E$73</f>
        <v>0.901860829023776</v>
      </c>
      <c r="R96" s="81" t="n">
        <f aca="false">R95*'Assumption Setting'!$E$73</f>
        <v>0.901860829023776</v>
      </c>
      <c r="S96" s="81" t="n">
        <f aca="false">S95*'Assumption Setting'!$E$73</f>
        <v>0.901860829023776</v>
      </c>
      <c r="T96" s="81" t="n">
        <f aca="false">T95*'Assumption Setting'!$E$73</f>
        <v>0.901860829023776</v>
      </c>
      <c r="U96" s="81" t="n">
        <f aca="false">U95*'Assumption Setting'!$E$73</f>
        <v>0.901860829023776</v>
      </c>
      <c r="V96" s="81" t="n">
        <f aca="false">V95*'Assumption Setting'!$E$73</f>
        <v>0.901860829023776</v>
      </c>
      <c r="W96" s="81" t="n">
        <f aca="false">W95*'Assumption Setting'!$E$73</f>
        <v>0.901860829023776</v>
      </c>
      <c r="X96" s="81" t="n">
        <f aca="false">X95*'Assumption Setting'!$E$73</f>
        <v>0.901860829023776</v>
      </c>
      <c r="Y96" s="81" t="n">
        <f aca="false">Y95*'Assumption Setting'!$E$73</f>
        <v>0.901860829023776</v>
      </c>
      <c r="Z96" s="81" t="n">
        <f aca="false">Z95*'Assumption Setting'!$E$73</f>
        <v>0.901860829023776</v>
      </c>
      <c r="AA96" s="81" t="n">
        <f aca="false">AA95*'Assumption Setting'!$E$73</f>
        <v>0.901860829023776</v>
      </c>
      <c r="AB96" s="80" t="n">
        <f aca="false">SUM(AC96:AN96)</f>
        <v>16.2313802832048</v>
      </c>
      <c r="AC96" s="81" t="n">
        <f aca="false">AC95*'Assumption Setting'!$E$73</f>
        <v>1.3526150236004</v>
      </c>
      <c r="AD96" s="81" t="n">
        <f aca="false">AD95*'Assumption Setting'!$E$73</f>
        <v>1.3526150236004</v>
      </c>
      <c r="AE96" s="81" t="n">
        <f aca="false">AE95*'Assumption Setting'!$E$73</f>
        <v>1.3526150236004</v>
      </c>
      <c r="AF96" s="81" t="n">
        <f aca="false">AF95*'Assumption Setting'!$E$73</f>
        <v>1.3526150236004</v>
      </c>
      <c r="AG96" s="81" t="n">
        <f aca="false">AG95*'Assumption Setting'!$E$73</f>
        <v>1.3526150236004</v>
      </c>
      <c r="AH96" s="81" t="n">
        <f aca="false">AH95*'Assumption Setting'!$E$73</f>
        <v>1.3526150236004</v>
      </c>
      <c r="AI96" s="81" t="n">
        <f aca="false">AI95*'Assumption Setting'!$E$73</f>
        <v>1.3526150236004</v>
      </c>
      <c r="AJ96" s="81" t="n">
        <f aca="false">AJ95*'Assumption Setting'!$E$73</f>
        <v>1.3526150236004</v>
      </c>
      <c r="AK96" s="81" t="n">
        <f aca="false">AK95*'Assumption Setting'!$E$73</f>
        <v>1.3526150236004</v>
      </c>
      <c r="AL96" s="81" t="n">
        <f aca="false">AL95*'Assumption Setting'!$E$73</f>
        <v>1.3526150236004</v>
      </c>
      <c r="AM96" s="81" t="n">
        <f aca="false">AM95*'Assumption Setting'!$E$73</f>
        <v>1.3526150236004</v>
      </c>
      <c r="AN96" s="81" t="n">
        <f aca="false">AN95*'Assumption Setting'!$E$73</f>
        <v>1.3526150236004</v>
      </c>
      <c r="AO96" s="80" t="n">
        <f aca="false">SUM(AP96:BA96)</f>
        <v>21.0502505657095</v>
      </c>
      <c r="AP96" s="81" t="n">
        <f aca="false">AP95*'Assumption Setting'!$E$73</f>
        <v>1.75418754714246</v>
      </c>
      <c r="AQ96" s="81" t="n">
        <f aca="false">AQ95*'Assumption Setting'!$E$73</f>
        <v>1.75418754714246</v>
      </c>
      <c r="AR96" s="81" t="n">
        <f aca="false">AR95*'Assumption Setting'!$E$73</f>
        <v>1.75418754714246</v>
      </c>
      <c r="AS96" s="81" t="n">
        <f aca="false">AS95*'Assumption Setting'!$E$73</f>
        <v>1.75418754714246</v>
      </c>
      <c r="AT96" s="81" t="n">
        <f aca="false">AT95*'Assumption Setting'!$E$73</f>
        <v>1.75418754714246</v>
      </c>
      <c r="AU96" s="81" t="n">
        <f aca="false">AU95*'Assumption Setting'!$E$73</f>
        <v>1.75418754714246</v>
      </c>
      <c r="AV96" s="81" t="n">
        <f aca="false">AV95*'Assumption Setting'!$E$73</f>
        <v>1.75418754714246</v>
      </c>
      <c r="AW96" s="81" t="n">
        <f aca="false">AW95*'Assumption Setting'!$E$73</f>
        <v>1.75418754714246</v>
      </c>
      <c r="AX96" s="81" t="n">
        <f aca="false">AX95*'Assumption Setting'!$E$73</f>
        <v>1.75418754714246</v>
      </c>
      <c r="AY96" s="81" t="n">
        <f aca="false">AY95*'Assumption Setting'!$E$73</f>
        <v>1.75418754714246</v>
      </c>
      <c r="AZ96" s="81" t="n">
        <f aca="false">AZ95*'Assumption Setting'!$E$73</f>
        <v>1.75418754714246</v>
      </c>
      <c r="BA96" s="81" t="n">
        <f aca="false">BA95*'Assumption Setting'!$E$73</f>
        <v>1.75418754714246</v>
      </c>
      <c r="BB96" s="80" t="n">
        <f aca="false">SUM(BC96:BN96)</f>
        <v>25.8602429095768</v>
      </c>
      <c r="BC96" s="81" t="n">
        <f aca="false">BC95*'Assumption Setting'!$E$73</f>
        <v>2.15502024246474</v>
      </c>
      <c r="BD96" s="81" t="n">
        <f aca="false">BD95*'Assumption Setting'!$E$73</f>
        <v>2.15502024246474</v>
      </c>
      <c r="BE96" s="81" t="n">
        <f aca="false">BE95*'Assumption Setting'!$E$73</f>
        <v>2.15502024246474</v>
      </c>
      <c r="BF96" s="81" t="n">
        <f aca="false">BF95*'Assumption Setting'!$E$73</f>
        <v>2.15502024246474</v>
      </c>
      <c r="BG96" s="81" t="n">
        <f aca="false">BG95*'Assumption Setting'!$E$73</f>
        <v>2.15502024246474</v>
      </c>
      <c r="BH96" s="81" t="n">
        <f aca="false">BH95*'Assumption Setting'!$E$73</f>
        <v>2.15502024246474</v>
      </c>
      <c r="BI96" s="81" t="n">
        <f aca="false">BI95*'Assumption Setting'!$E$73</f>
        <v>2.15502024246474</v>
      </c>
      <c r="BJ96" s="81" t="n">
        <f aca="false">BJ95*'Assumption Setting'!$E$73</f>
        <v>2.15502024246474</v>
      </c>
      <c r="BK96" s="81" t="n">
        <f aca="false">BK95*'Assumption Setting'!$E$73</f>
        <v>2.15502024246474</v>
      </c>
      <c r="BL96" s="81" t="n">
        <f aca="false">BL95*'Assumption Setting'!$E$73</f>
        <v>2.15502024246474</v>
      </c>
      <c r="BM96" s="81" t="n">
        <f aca="false">BM95*'Assumption Setting'!$E$73</f>
        <v>2.15502024246474</v>
      </c>
      <c r="BN96" s="81" t="n">
        <f aca="false">BN95*'Assumption Setting'!$E$73</f>
        <v>2.15502024246474</v>
      </c>
    </row>
    <row r="97" customFormat="false" ht="15" hidden="false" customHeight="false" outlineLevel="0" collapsed="false">
      <c r="A97" s="18" t="s">
        <v>618</v>
      </c>
      <c r="B97" s="80" t="n">
        <f aca="false">SUM(C97:N97)</f>
        <v>1.84955008251524</v>
      </c>
      <c r="C97" s="83" t="n">
        <f aca="true">IF((1-'Assumption Setting'!$G$73)&lt;1,0,OFFSET($A$96,0,2+13*INT(((1-'Assumption Setting'!$G$73)-1)/12)+MOD((1-'Assumption Setting'!$G$73)-1,12)))*'Assumption Setting'!$F$73*'Assumption Setting'!$C$77</f>
        <v>0</v>
      </c>
      <c r="D97" s="83" t="n">
        <f aca="true">IF((2-'Assumption Setting'!$G$73)&lt;1,0,OFFSET($A$96,0,2+13*INT(((2-'Assumption Setting'!$G$73)-1)/12)+MOD((2-'Assumption Setting'!$G$73)-1,12)))*'Assumption Setting'!$F$73*'Assumption Setting'!$C$77</f>
        <v>0</v>
      </c>
      <c r="E97" s="83" t="n">
        <f aca="true">IF((3-'Assumption Setting'!$G$73)&lt;1,0,OFFSET($A$96,0,2+13*INT(((3-'Assumption Setting'!$G$73)-1)/12)+MOD((3-'Assumption Setting'!$G$73)-1,12)))*'Assumption Setting'!$F$73*'Assumption Setting'!$C$77</f>
        <v>0</v>
      </c>
      <c r="F97" s="83" t="n">
        <f aca="true">IF((4-'Assumption Setting'!$G$73)&lt;1,0,OFFSET($A$96,0,2+13*INT(((4-'Assumption Setting'!$G$73)-1)/12)+MOD((4-'Assumption Setting'!$G$73)-1,12)))*'Assumption Setting'!$F$73*'Assumption Setting'!$C$77</f>
        <v>0.205505564723916</v>
      </c>
      <c r="G97" s="83" t="n">
        <f aca="true">IF((5-'Assumption Setting'!$G$73)&lt;1,0,OFFSET($A$96,0,2+13*INT(((5-'Assumption Setting'!$G$73)-1)/12)+MOD((5-'Assumption Setting'!$G$73)-1,12)))*'Assumption Setting'!$F$73*'Assumption Setting'!$C$77</f>
        <v>0.205505564723916</v>
      </c>
      <c r="H97" s="83" t="n">
        <f aca="true">IF((6-'Assumption Setting'!$G$73)&lt;1,0,OFFSET($A$96,0,2+13*INT(((6-'Assumption Setting'!$G$73)-1)/12)+MOD((6-'Assumption Setting'!$G$73)-1,12)))*'Assumption Setting'!$F$73*'Assumption Setting'!$C$77</f>
        <v>0.205505564723916</v>
      </c>
      <c r="I97" s="83" t="n">
        <f aca="true">IF((7-'Assumption Setting'!$G$73)&lt;1,0,OFFSET($A$96,0,2+13*INT(((7-'Assumption Setting'!$G$73)-1)/12)+MOD((7-'Assumption Setting'!$G$73)-1,12)))*'Assumption Setting'!$F$73*'Assumption Setting'!$C$77</f>
        <v>0.205505564723916</v>
      </c>
      <c r="J97" s="83" t="n">
        <f aca="true">IF((8-'Assumption Setting'!$G$73)&lt;1,0,OFFSET($A$96,0,2+13*INT(((8-'Assumption Setting'!$G$73)-1)/12)+MOD((8-'Assumption Setting'!$G$73)-1,12)))*'Assumption Setting'!$F$73*'Assumption Setting'!$C$77</f>
        <v>0.205505564723916</v>
      </c>
      <c r="K97" s="83" t="n">
        <f aca="true">IF((9-'Assumption Setting'!$G$73)&lt;1,0,OFFSET($A$96,0,2+13*INT(((9-'Assumption Setting'!$G$73)-1)/12)+MOD((9-'Assumption Setting'!$G$73)-1,12)))*'Assumption Setting'!$F$73*'Assumption Setting'!$C$77</f>
        <v>0.205505564723916</v>
      </c>
      <c r="L97" s="83" t="n">
        <f aca="true">IF((10-'Assumption Setting'!$G$73)&lt;1,0,OFFSET($A$96,0,2+13*INT(((10-'Assumption Setting'!$G$73)-1)/12)+MOD((10-'Assumption Setting'!$G$73)-1,12)))*'Assumption Setting'!$F$73*'Assumption Setting'!$C$77</f>
        <v>0.205505564723916</v>
      </c>
      <c r="M97" s="83" t="n">
        <f aca="true">IF((11-'Assumption Setting'!$G$73)&lt;1,0,OFFSET($A$96,0,2+13*INT(((11-'Assumption Setting'!$G$73)-1)/12)+MOD((11-'Assumption Setting'!$G$73)-1,12)))*'Assumption Setting'!$F$73*'Assumption Setting'!$C$77</f>
        <v>0.205505564723916</v>
      </c>
      <c r="N97" s="83" t="n">
        <f aca="true">IF((12-'Assumption Setting'!$G$73)&lt;1,0,OFFSET($A$96,0,2+13*INT(((12-'Assumption Setting'!$G$73)-1)/12)+MOD((12-'Assumption Setting'!$G$73)-1,12)))*'Assumption Setting'!$F$73*'Assumption Setting'!$C$77</f>
        <v>0.205505564723916</v>
      </c>
      <c r="O97" s="80" t="n">
        <f aca="false">SUM(P97:AA97)</f>
        <v>3.80311613615631</v>
      </c>
      <c r="P97" s="83" t="n">
        <f aca="true">IF((13-'Assumption Setting'!$G$73)&lt;1,0,OFFSET($A$96,0,2+13*INT(((13-'Assumption Setting'!$G$73)-1)/12)+MOD((13-'Assumption Setting'!$G$73)-1,12)))*'Assumption Setting'!$F$73*'Assumption Setting'!$D$77</f>
        <v>0.226056121196308</v>
      </c>
      <c r="Q97" s="83" t="n">
        <f aca="true">IF((14-'Assumption Setting'!$G$73)&lt;1,0,OFFSET($A$96,0,2+13*INT(((14-'Assumption Setting'!$G$73)-1)/12)+MOD((14-'Assumption Setting'!$G$73)-1,12)))*'Assumption Setting'!$F$73*'Assumption Setting'!$D$77</f>
        <v>0.226056121196308</v>
      </c>
      <c r="R97" s="83" t="n">
        <f aca="true">IF((15-'Assumption Setting'!$G$73)&lt;1,0,OFFSET($A$96,0,2+13*INT(((15-'Assumption Setting'!$G$73)-1)/12)+MOD((15-'Assumption Setting'!$G$73)-1,12)))*'Assumption Setting'!$F$73*'Assumption Setting'!$D$77</f>
        <v>0.226056121196308</v>
      </c>
      <c r="S97" s="83" t="n">
        <f aca="true">IF((16-'Assumption Setting'!$G$73)&lt;1,0,OFFSET($A$96,0,2+13*INT(((16-'Assumption Setting'!$G$73)-1)/12)+MOD((16-'Assumption Setting'!$G$73)-1,12)))*'Assumption Setting'!$F$73*'Assumption Setting'!$D$77</f>
        <v>0.347216419174154</v>
      </c>
      <c r="T97" s="83" t="n">
        <f aca="true">IF((17-'Assumption Setting'!$G$73)&lt;1,0,OFFSET($A$96,0,2+13*INT(((17-'Assumption Setting'!$G$73)-1)/12)+MOD((17-'Assumption Setting'!$G$73)-1,12)))*'Assumption Setting'!$F$73*'Assumption Setting'!$D$77</f>
        <v>0.347216419174154</v>
      </c>
      <c r="U97" s="83" t="n">
        <f aca="true">IF((18-'Assumption Setting'!$G$73)&lt;1,0,OFFSET($A$96,0,2+13*INT(((18-'Assumption Setting'!$G$73)-1)/12)+MOD((18-'Assumption Setting'!$G$73)-1,12)))*'Assumption Setting'!$F$73*'Assumption Setting'!$D$77</f>
        <v>0.347216419174154</v>
      </c>
      <c r="V97" s="83" t="n">
        <f aca="true">IF((19-'Assumption Setting'!$G$73)&lt;1,0,OFFSET($A$96,0,2+13*INT(((19-'Assumption Setting'!$G$73)-1)/12)+MOD((19-'Assumption Setting'!$G$73)-1,12)))*'Assumption Setting'!$F$73*'Assumption Setting'!$D$77</f>
        <v>0.347216419174154</v>
      </c>
      <c r="W97" s="83" t="n">
        <f aca="true">IF((20-'Assumption Setting'!$G$73)&lt;1,0,OFFSET($A$96,0,2+13*INT(((20-'Assumption Setting'!$G$73)-1)/12)+MOD((20-'Assumption Setting'!$G$73)-1,12)))*'Assumption Setting'!$F$73*'Assumption Setting'!$D$77</f>
        <v>0.347216419174154</v>
      </c>
      <c r="X97" s="83" t="n">
        <f aca="true">IF((21-'Assumption Setting'!$G$73)&lt;1,0,OFFSET($A$96,0,2+13*INT(((21-'Assumption Setting'!$G$73)-1)/12)+MOD((21-'Assumption Setting'!$G$73)-1,12)))*'Assumption Setting'!$F$73*'Assumption Setting'!$D$77</f>
        <v>0.347216419174154</v>
      </c>
      <c r="Y97" s="83" t="n">
        <f aca="true">IF((22-'Assumption Setting'!$G$73)&lt;1,0,OFFSET($A$96,0,2+13*INT(((22-'Assumption Setting'!$G$73)-1)/12)+MOD((22-'Assumption Setting'!$G$73)-1,12)))*'Assumption Setting'!$F$73*'Assumption Setting'!$D$77</f>
        <v>0.347216419174154</v>
      </c>
      <c r="Z97" s="83" t="n">
        <f aca="true">IF((23-'Assumption Setting'!$G$73)&lt;1,0,OFFSET($A$96,0,2+13*INT(((23-'Assumption Setting'!$G$73)-1)/12)+MOD((23-'Assumption Setting'!$G$73)-1,12)))*'Assumption Setting'!$F$73*'Assumption Setting'!$D$77</f>
        <v>0.347216419174154</v>
      </c>
      <c r="AA97" s="83" t="n">
        <f aca="true">IF((24-'Assumption Setting'!$G$73)&lt;1,0,OFFSET($A$96,0,2+13*INT(((24-'Assumption Setting'!$G$73)-1)/12)+MOD((24-'Assumption Setting'!$G$73)-1,12)))*'Assumption Setting'!$F$73*'Assumption Setting'!$D$77</f>
        <v>0.347216419174154</v>
      </c>
      <c r="AB97" s="80" t="n">
        <f aca="false">SUM(AC97:AN97)</f>
        <v>6.24922943377947</v>
      </c>
      <c r="AC97" s="83" t="n">
        <f aca="true">IF((25-'Assumption Setting'!$G$73)&lt;1,0,OFFSET($A$96,0,2+13*INT(((25-'Assumption Setting'!$G$73)-1)/12)+MOD((25-'Assumption Setting'!$G$73)-1,12)))*'Assumption Setting'!$F$73*'Assumption Setting'!$E$77</f>
        <v>0.378781548189986</v>
      </c>
      <c r="AD97" s="83" t="n">
        <f aca="true">IF((26-'Assumption Setting'!$G$73)&lt;1,0,OFFSET($A$96,0,2+13*INT(((26-'Assumption Setting'!$G$73)-1)/12)+MOD((26-'Assumption Setting'!$G$73)-1,12)))*'Assumption Setting'!$F$73*'Assumption Setting'!$E$77</f>
        <v>0.378781548189986</v>
      </c>
      <c r="AE97" s="83" t="n">
        <f aca="true">IF((27-'Assumption Setting'!$G$73)&lt;1,0,OFFSET($A$96,0,2+13*INT(((27-'Assumption Setting'!$G$73)-1)/12)+MOD((27-'Assumption Setting'!$G$73)-1,12)))*'Assumption Setting'!$F$73*'Assumption Setting'!$E$77</f>
        <v>0.378781548189986</v>
      </c>
      <c r="AF97" s="83" t="n">
        <f aca="true">IF((28-'Assumption Setting'!$G$73)&lt;1,0,OFFSET($A$96,0,2+13*INT(((28-'Assumption Setting'!$G$73)-1)/12)+MOD((28-'Assumption Setting'!$G$73)-1,12)))*'Assumption Setting'!$F$73*'Assumption Setting'!$E$77</f>
        <v>0.568098309912168</v>
      </c>
      <c r="AG97" s="83" t="n">
        <f aca="true">IF((29-'Assumption Setting'!$G$73)&lt;1,0,OFFSET($A$96,0,2+13*INT(((29-'Assumption Setting'!$G$73)-1)/12)+MOD((29-'Assumption Setting'!$G$73)-1,12)))*'Assumption Setting'!$F$73*'Assumption Setting'!$E$77</f>
        <v>0.568098309912168</v>
      </c>
      <c r="AH97" s="83" t="n">
        <f aca="true">IF((30-'Assumption Setting'!$G$73)&lt;1,0,OFFSET($A$96,0,2+13*INT(((30-'Assumption Setting'!$G$73)-1)/12)+MOD((30-'Assumption Setting'!$G$73)-1,12)))*'Assumption Setting'!$F$73*'Assumption Setting'!$E$77</f>
        <v>0.568098309912168</v>
      </c>
      <c r="AI97" s="83" t="n">
        <f aca="true">IF((31-'Assumption Setting'!$G$73)&lt;1,0,OFFSET($A$96,0,2+13*INT(((31-'Assumption Setting'!$G$73)-1)/12)+MOD((31-'Assumption Setting'!$G$73)-1,12)))*'Assumption Setting'!$F$73*'Assumption Setting'!$E$77</f>
        <v>0.568098309912168</v>
      </c>
      <c r="AJ97" s="83" t="n">
        <f aca="true">IF((32-'Assumption Setting'!$G$73)&lt;1,0,OFFSET($A$96,0,2+13*INT(((32-'Assumption Setting'!$G$73)-1)/12)+MOD((32-'Assumption Setting'!$G$73)-1,12)))*'Assumption Setting'!$F$73*'Assumption Setting'!$E$77</f>
        <v>0.568098309912168</v>
      </c>
      <c r="AK97" s="83" t="n">
        <f aca="true">IF((33-'Assumption Setting'!$G$73)&lt;1,0,OFFSET($A$96,0,2+13*INT(((33-'Assumption Setting'!$G$73)-1)/12)+MOD((33-'Assumption Setting'!$G$73)-1,12)))*'Assumption Setting'!$F$73*'Assumption Setting'!$E$77</f>
        <v>0.568098309912168</v>
      </c>
      <c r="AL97" s="83" t="n">
        <f aca="true">IF((34-'Assumption Setting'!$G$73)&lt;1,0,OFFSET($A$96,0,2+13*INT(((34-'Assumption Setting'!$G$73)-1)/12)+MOD((34-'Assumption Setting'!$G$73)-1,12)))*'Assumption Setting'!$F$73*'Assumption Setting'!$E$77</f>
        <v>0.568098309912168</v>
      </c>
      <c r="AM97" s="83" t="n">
        <f aca="true">IF((35-'Assumption Setting'!$G$73)&lt;1,0,OFFSET($A$96,0,2+13*INT(((35-'Assumption Setting'!$G$73)-1)/12)+MOD((35-'Assumption Setting'!$G$73)-1,12)))*'Assumption Setting'!$F$73*'Assumption Setting'!$E$77</f>
        <v>0.568098309912168</v>
      </c>
      <c r="AN97" s="83" t="n">
        <f aca="true">IF((36-'Assumption Setting'!$G$73)&lt;1,0,OFFSET($A$96,0,2+13*INT(((36-'Assumption Setting'!$G$73)-1)/12)+MOD((36-'Assumption Setting'!$G$73)-1,12)))*'Assumption Setting'!$F$73*'Assumption Setting'!$E$77</f>
        <v>0.568098309912168</v>
      </c>
      <c r="AO97" s="80" t="n">
        <f aca="false">SUM(AP97:BA97)</f>
        <v>8.68242068534895</v>
      </c>
      <c r="AP97" s="83" t="n">
        <f aca="true">IF((37-'Assumption Setting'!$G$73)&lt;1,0,OFFSET($A$96,0,2+13*INT(((37-'Assumption Setting'!$G$73)-1)/12)+MOD((37-'Assumption Setting'!$G$73)-1,12)))*'Assumption Setting'!$F$73*'Assumption Setting'!$F$77</f>
        <v>0.591769072825175</v>
      </c>
      <c r="AQ97" s="83" t="n">
        <f aca="true">IF((38-'Assumption Setting'!$G$73)&lt;1,0,OFFSET($A$96,0,2+13*INT(((38-'Assumption Setting'!$G$73)-1)/12)+MOD((38-'Assumption Setting'!$G$73)-1,12)))*'Assumption Setting'!$F$73*'Assumption Setting'!$F$77</f>
        <v>0.591769072825175</v>
      </c>
      <c r="AR97" s="83" t="n">
        <f aca="true">IF((39-'Assumption Setting'!$G$73)&lt;1,0,OFFSET($A$96,0,2+13*INT(((39-'Assumption Setting'!$G$73)-1)/12)+MOD((39-'Assumption Setting'!$G$73)-1,12)))*'Assumption Setting'!$F$73*'Assumption Setting'!$F$77</f>
        <v>0.591769072825175</v>
      </c>
      <c r="AS97" s="83" t="n">
        <f aca="true">IF((40-'Assumption Setting'!$G$73)&lt;1,0,OFFSET($A$96,0,2+13*INT(((40-'Assumption Setting'!$G$73)-1)/12)+MOD((40-'Assumption Setting'!$G$73)-1,12)))*'Assumption Setting'!$F$73*'Assumption Setting'!$F$77</f>
        <v>0.767457051874825</v>
      </c>
      <c r="AT97" s="83" t="n">
        <f aca="true">IF((41-'Assumption Setting'!$G$73)&lt;1,0,OFFSET($A$96,0,2+13*INT(((41-'Assumption Setting'!$G$73)-1)/12)+MOD((41-'Assumption Setting'!$G$73)-1,12)))*'Assumption Setting'!$F$73*'Assumption Setting'!$F$77</f>
        <v>0.767457051874825</v>
      </c>
      <c r="AU97" s="83" t="n">
        <f aca="true">IF((42-'Assumption Setting'!$G$73)&lt;1,0,OFFSET($A$96,0,2+13*INT(((42-'Assumption Setting'!$G$73)-1)/12)+MOD((42-'Assumption Setting'!$G$73)-1,12)))*'Assumption Setting'!$F$73*'Assumption Setting'!$F$77</f>
        <v>0.767457051874825</v>
      </c>
      <c r="AV97" s="83" t="n">
        <f aca="true">IF((43-'Assumption Setting'!$G$73)&lt;1,0,OFFSET($A$96,0,2+13*INT(((43-'Assumption Setting'!$G$73)-1)/12)+MOD((43-'Assumption Setting'!$G$73)-1,12)))*'Assumption Setting'!$F$73*'Assumption Setting'!$F$77</f>
        <v>0.767457051874825</v>
      </c>
      <c r="AW97" s="83" t="n">
        <f aca="true">IF((44-'Assumption Setting'!$G$73)&lt;1,0,OFFSET($A$96,0,2+13*INT(((44-'Assumption Setting'!$G$73)-1)/12)+MOD((44-'Assumption Setting'!$G$73)-1,12)))*'Assumption Setting'!$F$73*'Assumption Setting'!$F$77</f>
        <v>0.767457051874825</v>
      </c>
      <c r="AX97" s="83" t="n">
        <f aca="true">IF((45-'Assumption Setting'!$G$73)&lt;1,0,OFFSET($A$96,0,2+13*INT(((45-'Assumption Setting'!$G$73)-1)/12)+MOD((45-'Assumption Setting'!$G$73)-1,12)))*'Assumption Setting'!$F$73*'Assumption Setting'!$F$77</f>
        <v>0.767457051874825</v>
      </c>
      <c r="AY97" s="83" t="n">
        <f aca="true">IF((46-'Assumption Setting'!$G$73)&lt;1,0,OFFSET($A$96,0,2+13*INT(((46-'Assumption Setting'!$G$73)-1)/12)+MOD((46-'Assumption Setting'!$G$73)-1,12)))*'Assumption Setting'!$F$73*'Assumption Setting'!$F$77</f>
        <v>0.767457051874825</v>
      </c>
      <c r="AZ97" s="83" t="n">
        <f aca="true">IF((47-'Assumption Setting'!$G$73)&lt;1,0,OFFSET($A$96,0,2+13*INT(((47-'Assumption Setting'!$G$73)-1)/12)+MOD((47-'Assumption Setting'!$G$73)-1,12)))*'Assumption Setting'!$F$73*'Assumption Setting'!$F$77</f>
        <v>0.767457051874825</v>
      </c>
      <c r="BA97" s="83" t="n">
        <f aca="true">IF((48-'Assumption Setting'!$G$73)&lt;1,0,OFFSET($A$96,0,2+13*INT(((48-'Assumption Setting'!$G$73)-1)/12)+MOD((48-'Assumption Setting'!$G$73)-1,12)))*'Assumption Setting'!$F$73*'Assumption Setting'!$F$77</f>
        <v>0.767457051874825</v>
      </c>
      <c r="BB97" s="80" t="n">
        <f aca="false">SUM(BC97:BN97)</f>
        <v>11.2192738947425</v>
      </c>
      <c r="BC97" s="83" t="n">
        <f aca="true">IF((49-'Assumption Setting'!$G$73)&lt;1,0,OFFSET($A$96,0,2+13*INT(((49-'Assumption Setting'!$G$73)-1)/12)+MOD((49-'Assumption Setting'!$G$73)-1,12)))*'Assumption Setting'!$F$73*'Assumption Setting'!$G$77</f>
        <v>0.798155333949818</v>
      </c>
      <c r="BD97" s="83" t="n">
        <f aca="true">IF((50-'Assumption Setting'!$G$73)&lt;1,0,OFFSET($A$96,0,2+13*INT(((50-'Assumption Setting'!$G$73)-1)/12)+MOD((50-'Assumption Setting'!$G$73)-1,12)))*'Assumption Setting'!$F$73*'Assumption Setting'!$G$77</f>
        <v>0.798155333949818</v>
      </c>
      <c r="BE97" s="83" t="n">
        <f aca="true">IF((51-'Assumption Setting'!$G$73)&lt;1,0,OFFSET($A$96,0,2+13*INT(((51-'Assumption Setting'!$G$73)-1)/12)+MOD((51-'Assumption Setting'!$G$73)-1,12)))*'Assumption Setting'!$F$73*'Assumption Setting'!$G$77</f>
        <v>0.798155333949818</v>
      </c>
      <c r="BF97" s="83" t="n">
        <f aca="true">IF((52-'Assumption Setting'!$G$73)&lt;1,0,OFFSET($A$96,0,2+13*INT(((52-'Assumption Setting'!$G$73)-1)/12)+MOD((52-'Assumption Setting'!$G$73)-1,12)))*'Assumption Setting'!$F$73*'Assumption Setting'!$G$77</f>
        <v>0.980534210321455</v>
      </c>
      <c r="BG97" s="83" t="n">
        <f aca="true">IF((53-'Assumption Setting'!$G$73)&lt;1,0,OFFSET($A$96,0,2+13*INT(((53-'Assumption Setting'!$G$73)-1)/12)+MOD((53-'Assumption Setting'!$G$73)-1,12)))*'Assumption Setting'!$F$73*'Assumption Setting'!$G$77</f>
        <v>0.980534210321455</v>
      </c>
      <c r="BH97" s="83" t="n">
        <f aca="true">IF((54-'Assumption Setting'!$G$73)&lt;1,0,OFFSET($A$96,0,2+13*INT(((54-'Assumption Setting'!$G$73)-1)/12)+MOD((54-'Assumption Setting'!$G$73)-1,12)))*'Assumption Setting'!$F$73*'Assumption Setting'!$G$77</f>
        <v>0.980534210321455</v>
      </c>
      <c r="BI97" s="83" t="n">
        <f aca="true">IF((55-'Assumption Setting'!$G$73)&lt;1,0,OFFSET($A$96,0,2+13*INT(((55-'Assumption Setting'!$G$73)-1)/12)+MOD((55-'Assumption Setting'!$G$73)-1,12)))*'Assumption Setting'!$F$73*'Assumption Setting'!$G$77</f>
        <v>0.980534210321455</v>
      </c>
      <c r="BJ97" s="83" t="n">
        <f aca="true">IF((56-'Assumption Setting'!$G$73)&lt;1,0,OFFSET($A$96,0,2+13*INT(((56-'Assumption Setting'!$G$73)-1)/12)+MOD((56-'Assumption Setting'!$G$73)-1,12)))*'Assumption Setting'!$F$73*'Assumption Setting'!$G$77</f>
        <v>0.980534210321455</v>
      </c>
      <c r="BK97" s="83" t="n">
        <f aca="true">IF((57-'Assumption Setting'!$G$73)&lt;1,0,OFFSET($A$96,0,2+13*INT(((57-'Assumption Setting'!$G$73)-1)/12)+MOD((57-'Assumption Setting'!$G$73)-1,12)))*'Assumption Setting'!$F$73*'Assumption Setting'!$G$77</f>
        <v>0.980534210321455</v>
      </c>
      <c r="BL97" s="83" t="n">
        <f aca="true">IF((58-'Assumption Setting'!$G$73)&lt;1,0,OFFSET($A$96,0,2+13*INT(((58-'Assumption Setting'!$G$73)-1)/12)+MOD((58-'Assumption Setting'!$G$73)-1,12)))*'Assumption Setting'!$F$73*'Assumption Setting'!$G$77</f>
        <v>0.980534210321455</v>
      </c>
      <c r="BM97" s="83" t="n">
        <f aca="true">IF((59-'Assumption Setting'!$G$73)&lt;1,0,OFFSET($A$96,0,2+13*INT(((59-'Assumption Setting'!$G$73)-1)/12)+MOD((59-'Assumption Setting'!$G$73)-1,12)))*'Assumption Setting'!$F$73*'Assumption Setting'!$G$77</f>
        <v>0.980534210321455</v>
      </c>
      <c r="BN97" s="83" t="n">
        <f aca="true">IF((60-'Assumption Setting'!$G$73)&lt;1,0,OFFSET($A$96,0,2+13*INT(((60-'Assumption Setting'!$G$73)-1)/12)+MOD((60-'Assumption Setting'!$G$73)-1,12)))*'Assumption Setting'!$F$73*'Assumption Setting'!$G$77</f>
        <v>0.980534210321455</v>
      </c>
    </row>
    <row r="98" customFormat="false" ht="15" hidden="false" customHeight="false" outlineLevel="0" collapsed="false">
      <c r="A98" s="69" t="s">
        <v>619</v>
      </c>
      <c r="B98" s="80" t="n">
        <f aca="false">SUM(C98:N98)</f>
        <v>1.64404451779133</v>
      </c>
      <c r="C98" s="86" t="n">
        <f aca="true">IF((1-'Assumption Setting'!$H$73)&lt;1,0,OFFSET($A$97,0,2+13*INT(((1-'Assumption Setting'!$H$73)-1)/12)+MOD((1-'Assumption Setting'!$H$73)-1,12)))</f>
        <v>0</v>
      </c>
      <c r="D98" s="86" t="n">
        <f aca="true">IF((2-'Assumption Setting'!$H$73)&lt;1,0,OFFSET($A$97,0,2+13*INT(((2-'Assumption Setting'!$H$73)-1)/12)+MOD((2-'Assumption Setting'!$H$73)-1,12)))</f>
        <v>0</v>
      </c>
      <c r="E98" s="86" t="n">
        <f aca="true">IF((3-'Assumption Setting'!$H$73)&lt;1,0,OFFSET($A$97,0,2+13*INT(((3-'Assumption Setting'!$H$73)-1)/12)+MOD((3-'Assumption Setting'!$H$73)-1,12)))</f>
        <v>0</v>
      </c>
      <c r="F98" s="86" t="n">
        <f aca="true">IF((4-'Assumption Setting'!$H$73)&lt;1,0,OFFSET($A$97,0,2+13*INT(((4-'Assumption Setting'!$H$73)-1)/12)+MOD((4-'Assumption Setting'!$H$73)-1,12)))</f>
        <v>0</v>
      </c>
      <c r="G98" s="86" t="n">
        <f aca="true">IF((5-'Assumption Setting'!$H$73)&lt;1,0,OFFSET($A$97,0,2+13*INT(((5-'Assumption Setting'!$H$73)-1)/12)+MOD((5-'Assumption Setting'!$H$73)-1,12)))</f>
        <v>0.205505564723916</v>
      </c>
      <c r="H98" s="86" t="n">
        <f aca="true">IF((6-'Assumption Setting'!$H$73)&lt;1,0,OFFSET($A$97,0,2+13*INT(((6-'Assumption Setting'!$H$73)-1)/12)+MOD((6-'Assumption Setting'!$H$73)-1,12)))</f>
        <v>0.205505564723916</v>
      </c>
      <c r="I98" s="86" t="n">
        <f aca="true">IF((7-'Assumption Setting'!$H$73)&lt;1,0,OFFSET($A$97,0,2+13*INT(((7-'Assumption Setting'!$H$73)-1)/12)+MOD((7-'Assumption Setting'!$H$73)-1,12)))</f>
        <v>0.205505564723916</v>
      </c>
      <c r="J98" s="86" t="n">
        <f aca="true">IF((8-'Assumption Setting'!$H$73)&lt;1,0,OFFSET($A$97,0,2+13*INT(((8-'Assumption Setting'!$H$73)-1)/12)+MOD((8-'Assumption Setting'!$H$73)-1,12)))</f>
        <v>0.205505564723916</v>
      </c>
      <c r="K98" s="86" t="n">
        <f aca="true">IF((9-'Assumption Setting'!$H$73)&lt;1,0,OFFSET($A$97,0,2+13*INT(((9-'Assumption Setting'!$H$73)-1)/12)+MOD((9-'Assumption Setting'!$H$73)-1,12)))</f>
        <v>0.205505564723916</v>
      </c>
      <c r="L98" s="86" t="n">
        <f aca="true">IF((10-'Assumption Setting'!$H$73)&lt;1,0,OFFSET($A$97,0,2+13*INT(((10-'Assumption Setting'!$H$73)-1)/12)+MOD((10-'Assumption Setting'!$H$73)-1,12)))</f>
        <v>0.205505564723916</v>
      </c>
      <c r="M98" s="86" t="n">
        <f aca="true">IF((11-'Assumption Setting'!$H$73)&lt;1,0,OFFSET($A$97,0,2+13*INT(((11-'Assumption Setting'!$H$73)-1)/12)+MOD((11-'Assumption Setting'!$H$73)-1,12)))</f>
        <v>0.205505564723916</v>
      </c>
      <c r="N98" s="86" t="n">
        <f aca="true">IF((12-'Assumption Setting'!$H$73)&lt;1,0,OFFSET($A$97,0,2+13*INT(((12-'Assumption Setting'!$H$73)-1)/12)+MOD((12-'Assumption Setting'!$H$73)-1,12)))</f>
        <v>0.205505564723916</v>
      </c>
      <c r="O98" s="80" t="n">
        <f aca="false">SUM(P98:AA98)</f>
        <v>3.66140528170607</v>
      </c>
      <c r="P98" s="86" t="n">
        <f aca="true">IF((13-'Assumption Setting'!$H$73)&lt;1,0,OFFSET($A$97,0,2+13*INT(((13-'Assumption Setting'!$H$73)-1)/12)+MOD((13-'Assumption Setting'!$H$73)-1,12)))</f>
        <v>0.205505564723916</v>
      </c>
      <c r="Q98" s="86" t="n">
        <f aca="true">IF((14-'Assumption Setting'!$H$73)&lt;1,0,OFFSET($A$97,0,2+13*INT(((14-'Assumption Setting'!$H$73)-1)/12)+MOD((14-'Assumption Setting'!$H$73)-1,12)))</f>
        <v>0.226056121196308</v>
      </c>
      <c r="R98" s="86" t="n">
        <f aca="true">IF((15-'Assumption Setting'!$H$73)&lt;1,0,OFFSET($A$97,0,2+13*INT(((15-'Assumption Setting'!$H$73)-1)/12)+MOD((15-'Assumption Setting'!$H$73)-1,12)))</f>
        <v>0.226056121196308</v>
      </c>
      <c r="S98" s="86" t="n">
        <f aca="true">IF((16-'Assumption Setting'!$H$73)&lt;1,0,OFFSET($A$97,0,2+13*INT(((16-'Assumption Setting'!$H$73)-1)/12)+MOD((16-'Assumption Setting'!$H$73)-1,12)))</f>
        <v>0.226056121196308</v>
      </c>
      <c r="T98" s="86" t="n">
        <f aca="true">IF((17-'Assumption Setting'!$H$73)&lt;1,0,OFFSET($A$97,0,2+13*INT(((17-'Assumption Setting'!$H$73)-1)/12)+MOD((17-'Assumption Setting'!$H$73)-1,12)))</f>
        <v>0.347216419174154</v>
      </c>
      <c r="U98" s="86" t="n">
        <f aca="true">IF((18-'Assumption Setting'!$H$73)&lt;1,0,OFFSET($A$97,0,2+13*INT(((18-'Assumption Setting'!$H$73)-1)/12)+MOD((18-'Assumption Setting'!$H$73)-1,12)))</f>
        <v>0.347216419174154</v>
      </c>
      <c r="V98" s="86" t="n">
        <f aca="true">IF((19-'Assumption Setting'!$H$73)&lt;1,0,OFFSET($A$97,0,2+13*INT(((19-'Assumption Setting'!$H$73)-1)/12)+MOD((19-'Assumption Setting'!$H$73)-1,12)))</f>
        <v>0.347216419174154</v>
      </c>
      <c r="W98" s="86" t="n">
        <f aca="true">IF((20-'Assumption Setting'!$H$73)&lt;1,0,OFFSET($A$97,0,2+13*INT(((20-'Assumption Setting'!$H$73)-1)/12)+MOD((20-'Assumption Setting'!$H$73)-1,12)))</f>
        <v>0.347216419174154</v>
      </c>
      <c r="X98" s="86" t="n">
        <f aca="true">IF((21-'Assumption Setting'!$H$73)&lt;1,0,OFFSET($A$97,0,2+13*INT(((21-'Assumption Setting'!$H$73)-1)/12)+MOD((21-'Assumption Setting'!$H$73)-1,12)))</f>
        <v>0.347216419174154</v>
      </c>
      <c r="Y98" s="86" t="n">
        <f aca="true">IF((22-'Assumption Setting'!$H$73)&lt;1,0,OFFSET($A$97,0,2+13*INT(((22-'Assumption Setting'!$H$73)-1)/12)+MOD((22-'Assumption Setting'!$H$73)-1,12)))</f>
        <v>0.347216419174154</v>
      </c>
      <c r="Z98" s="86" t="n">
        <f aca="true">IF((23-'Assumption Setting'!$H$73)&lt;1,0,OFFSET($A$97,0,2+13*INT(((23-'Assumption Setting'!$H$73)-1)/12)+MOD((23-'Assumption Setting'!$H$73)-1,12)))</f>
        <v>0.347216419174154</v>
      </c>
      <c r="AA98" s="86" t="n">
        <f aca="true">IF((24-'Assumption Setting'!$H$73)&lt;1,0,OFFSET($A$97,0,2+13*INT(((24-'Assumption Setting'!$H$73)-1)/12)+MOD((24-'Assumption Setting'!$H$73)-1,12)))</f>
        <v>0.347216419174154</v>
      </c>
      <c r="AB98" s="80" t="n">
        <f aca="false">SUM(AC98:AN98)</f>
        <v>6.02834754304146</v>
      </c>
      <c r="AC98" s="86" t="n">
        <f aca="true">IF((25-'Assumption Setting'!$H$73)&lt;1,0,OFFSET($A$97,0,2+13*INT(((25-'Assumption Setting'!$H$73)-1)/12)+MOD((25-'Assumption Setting'!$H$73)-1,12)))</f>
        <v>0.347216419174154</v>
      </c>
      <c r="AD98" s="86" t="n">
        <f aca="true">IF((26-'Assumption Setting'!$H$73)&lt;1,0,OFFSET($A$97,0,2+13*INT(((26-'Assumption Setting'!$H$73)-1)/12)+MOD((26-'Assumption Setting'!$H$73)-1,12)))</f>
        <v>0.378781548189986</v>
      </c>
      <c r="AE98" s="86" t="n">
        <f aca="true">IF((27-'Assumption Setting'!$H$73)&lt;1,0,OFFSET($A$97,0,2+13*INT(((27-'Assumption Setting'!$H$73)-1)/12)+MOD((27-'Assumption Setting'!$H$73)-1,12)))</f>
        <v>0.378781548189986</v>
      </c>
      <c r="AF98" s="86" t="n">
        <f aca="true">IF((28-'Assumption Setting'!$H$73)&lt;1,0,OFFSET($A$97,0,2+13*INT(((28-'Assumption Setting'!$H$73)-1)/12)+MOD((28-'Assumption Setting'!$H$73)-1,12)))</f>
        <v>0.378781548189986</v>
      </c>
      <c r="AG98" s="86" t="n">
        <f aca="true">IF((29-'Assumption Setting'!$H$73)&lt;1,0,OFFSET($A$97,0,2+13*INT(((29-'Assumption Setting'!$H$73)-1)/12)+MOD((29-'Assumption Setting'!$H$73)-1,12)))</f>
        <v>0.568098309912168</v>
      </c>
      <c r="AH98" s="86" t="n">
        <f aca="true">IF((30-'Assumption Setting'!$H$73)&lt;1,0,OFFSET($A$97,0,2+13*INT(((30-'Assumption Setting'!$H$73)-1)/12)+MOD((30-'Assumption Setting'!$H$73)-1,12)))</f>
        <v>0.568098309912168</v>
      </c>
      <c r="AI98" s="86" t="n">
        <f aca="true">IF((31-'Assumption Setting'!$H$73)&lt;1,0,OFFSET($A$97,0,2+13*INT(((31-'Assumption Setting'!$H$73)-1)/12)+MOD((31-'Assumption Setting'!$H$73)-1,12)))</f>
        <v>0.568098309912168</v>
      </c>
      <c r="AJ98" s="86" t="n">
        <f aca="true">IF((32-'Assumption Setting'!$H$73)&lt;1,0,OFFSET($A$97,0,2+13*INT(((32-'Assumption Setting'!$H$73)-1)/12)+MOD((32-'Assumption Setting'!$H$73)-1,12)))</f>
        <v>0.568098309912168</v>
      </c>
      <c r="AK98" s="86" t="n">
        <f aca="true">IF((33-'Assumption Setting'!$H$73)&lt;1,0,OFFSET($A$97,0,2+13*INT(((33-'Assumption Setting'!$H$73)-1)/12)+MOD((33-'Assumption Setting'!$H$73)-1,12)))</f>
        <v>0.568098309912168</v>
      </c>
      <c r="AL98" s="86" t="n">
        <f aca="true">IF((34-'Assumption Setting'!$H$73)&lt;1,0,OFFSET($A$97,0,2+13*INT(((34-'Assumption Setting'!$H$73)-1)/12)+MOD((34-'Assumption Setting'!$H$73)-1,12)))</f>
        <v>0.568098309912168</v>
      </c>
      <c r="AM98" s="86" t="n">
        <f aca="true">IF((35-'Assumption Setting'!$H$73)&lt;1,0,OFFSET($A$97,0,2+13*INT(((35-'Assumption Setting'!$H$73)-1)/12)+MOD((35-'Assumption Setting'!$H$73)-1,12)))</f>
        <v>0.568098309912168</v>
      </c>
      <c r="AN98" s="86" t="n">
        <f aca="true">IF((36-'Assumption Setting'!$H$73)&lt;1,0,OFFSET($A$97,0,2+13*INT(((36-'Assumption Setting'!$H$73)-1)/12)+MOD((36-'Assumption Setting'!$H$73)-1,12)))</f>
        <v>0.568098309912168</v>
      </c>
      <c r="AO98" s="80" t="n">
        <f aca="false">SUM(AP98:BA98)</f>
        <v>8.4830619433863</v>
      </c>
      <c r="AP98" s="86" t="n">
        <f aca="true">IF((37-'Assumption Setting'!$H$73)&lt;1,0,OFFSET($A$97,0,2+13*INT(((37-'Assumption Setting'!$H$73)-1)/12)+MOD((37-'Assumption Setting'!$H$73)-1,12)))</f>
        <v>0.568098309912168</v>
      </c>
      <c r="AQ98" s="86" t="n">
        <f aca="true">IF((38-'Assumption Setting'!$H$73)&lt;1,0,OFFSET($A$97,0,2+13*INT(((38-'Assumption Setting'!$H$73)-1)/12)+MOD((38-'Assumption Setting'!$H$73)-1,12)))</f>
        <v>0.591769072825175</v>
      </c>
      <c r="AR98" s="86" t="n">
        <f aca="true">IF((39-'Assumption Setting'!$H$73)&lt;1,0,OFFSET($A$97,0,2+13*INT(((39-'Assumption Setting'!$H$73)-1)/12)+MOD((39-'Assumption Setting'!$H$73)-1,12)))</f>
        <v>0.591769072825175</v>
      </c>
      <c r="AS98" s="86" t="n">
        <f aca="true">IF((40-'Assumption Setting'!$H$73)&lt;1,0,OFFSET($A$97,0,2+13*INT(((40-'Assumption Setting'!$H$73)-1)/12)+MOD((40-'Assumption Setting'!$H$73)-1,12)))</f>
        <v>0.591769072825175</v>
      </c>
      <c r="AT98" s="86" t="n">
        <f aca="true">IF((41-'Assumption Setting'!$H$73)&lt;1,0,OFFSET($A$97,0,2+13*INT(((41-'Assumption Setting'!$H$73)-1)/12)+MOD((41-'Assumption Setting'!$H$73)-1,12)))</f>
        <v>0.767457051874825</v>
      </c>
      <c r="AU98" s="86" t="n">
        <f aca="true">IF((42-'Assumption Setting'!$H$73)&lt;1,0,OFFSET($A$97,0,2+13*INT(((42-'Assumption Setting'!$H$73)-1)/12)+MOD((42-'Assumption Setting'!$H$73)-1,12)))</f>
        <v>0.767457051874825</v>
      </c>
      <c r="AV98" s="86" t="n">
        <f aca="true">IF((43-'Assumption Setting'!$H$73)&lt;1,0,OFFSET($A$97,0,2+13*INT(((43-'Assumption Setting'!$H$73)-1)/12)+MOD((43-'Assumption Setting'!$H$73)-1,12)))</f>
        <v>0.767457051874825</v>
      </c>
      <c r="AW98" s="86" t="n">
        <f aca="true">IF((44-'Assumption Setting'!$H$73)&lt;1,0,OFFSET($A$97,0,2+13*INT(((44-'Assumption Setting'!$H$73)-1)/12)+MOD((44-'Assumption Setting'!$H$73)-1,12)))</f>
        <v>0.767457051874825</v>
      </c>
      <c r="AX98" s="86" t="n">
        <f aca="true">IF((45-'Assumption Setting'!$H$73)&lt;1,0,OFFSET($A$97,0,2+13*INT(((45-'Assumption Setting'!$H$73)-1)/12)+MOD((45-'Assumption Setting'!$H$73)-1,12)))</f>
        <v>0.767457051874825</v>
      </c>
      <c r="AY98" s="86" t="n">
        <f aca="true">IF((46-'Assumption Setting'!$H$73)&lt;1,0,OFFSET($A$97,0,2+13*INT(((46-'Assumption Setting'!$H$73)-1)/12)+MOD((46-'Assumption Setting'!$H$73)-1,12)))</f>
        <v>0.767457051874825</v>
      </c>
      <c r="AZ98" s="86" t="n">
        <f aca="true">IF((47-'Assumption Setting'!$H$73)&lt;1,0,OFFSET($A$97,0,2+13*INT(((47-'Assumption Setting'!$H$73)-1)/12)+MOD((47-'Assumption Setting'!$H$73)-1,12)))</f>
        <v>0.767457051874825</v>
      </c>
      <c r="BA98" s="86" t="n">
        <f aca="true">IF((48-'Assumption Setting'!$H$73)&lt;1,0,OFFSET($A$97,0,2+13*INT(((48-'Assumption Setting'!$H$73)-1)/12)+MOD((48-'Assumption Setting'!$H$73)-1,12)))</f>
        <v>0.767457051874825</v>
      </c>
      <c r="BB98" s="80" t="n">
        <f aca="false">SUM(BC98:BN98)</f>
        <v>11.0061967362959</v>
      </c>
      <c r="BC98" s="86" t="n">
        <f aca="true">IF((49-'Assumption Setting'!$H$73)&lt;1,0,OFFSET($A$97,0,2+13*INT(((49-'Assumption Setting'!$H$73)-1)/12)+MOD((49-'Assumption Setting'!$H$73)-1,12)))</f>
        <v>0.767457051874825</v>
      </c>
      <c r="BD98" s="86" t="n">
        <f aca="true">IF((50-'Assumption Setting'!$H$73)&lt;1,0,OFFSET($A$97,0,2+13*INT(((50-'Assumption Setting'!$H$73)-1)/12)+MOD((50-'Assumption Setting'!$H$73)-1,12)))</f>
        <v>0.798155333949818</v>
      </c>
      <c r="BE98" s="86" t="n">
        <f aca="true">IF((51-'Assumption Setting'!$H$73)&lt;1,0,OFFSET($A$97,0,2+13*INT(((51-'Assumption Setting'!$H$73)-1)/12)+MOD((51-'Assumption Setting'!$H$73)-1,12)))</f>
        <v>0.798155333949818</v>
      </c>
      <c r="BF98" s="86" t="n">
        <f aca="true">IF((52-'Assumption Setting'!$H$73)&lt;1,0,OFFSET($A$97,0,2+13*INT(((52-'Assumption Setting'!$H$73)-1)/12)+MOD((52-'Assumption Setting'!$H$73)-1,12)))</f>
        <v>0.798155333949818</v>
      </c>
      <c r="BG98" s="86" t="n">
        <f aca="true">IF((53-'Assumption Setting'!$H$73)&lt;1,0,OFFSET($A$97,0,2+13*INT(((53-'Assumption Setting'!$H$73)-1)/12)+MOD((53-'Assumption Setting'!$H$73)-1,12)))</f>
        <v>0.980534210321455</v>
      </c>
      <c r="BH98" s="86" t="n">
        <f aca="true">IF((54-'Assumption Setting'!$H$73)&lt;1,0,OFFSET($A$97,0,2+13*INT(((54-'Assumption Setting'!$H$73)-1)/12)+MOD((54-'Assumption Setting'!$H$73)-1,12)))</f>
        <v>0.980534210321455</v>
      </c>
      <c r="BI98" s="86" t="n">
        <f aca="true">IF((55-'Assumption Setting'!$H$73)&lt;1,0,OFFSET($A$97,0,2+13*INT(((55-'Assumption Setting'!$H$73)-1)/12)+MOD((55-'Assumption Setting'!$H$73)-1,12)))</f>
        <v>0.980534210321455</v>
      </c>
      <c r="BJ98" s="86" t="n">
        <f aca="true">IF((56-'Assumption Setting'!$H$73)&lt;1,0,OFFSET($A$97,0,2+13*INT(((56-'Assumption Setting'!$H$73)-1)/12)+MOD((56-'Assumption Setting'!$H$73)-1,12)))</f>
        <v>0.980534210321455</v>
      </c>
      <c r="BK98" s="86" t="n">
        <f aca="true">IF((57-'Assumption Setting'!$H$73)&lt;1,0,OFFSET($A$97,0,2+13*INT(((57-'Assumption Setting'!$H$73)-1)/12)+MOD((57-'Assumption Setting'!$H$73)-1,12)))</f>
        <v>0.980534210321455</v>
      </c>
      <c r="BL98" s="86" t="n">
        <f aca="true">IF((58-'Assumption Setting'!$H$73)&lt;1,0,OFFSET($A$97,0,2+13*INT(((58-'Assumption Setting'!$H$73)-1)/12)+MOD((58-'Assumption Setting'!$H$73)-1,12)))</f>
        <v>0.980534210321455</v>
      </c>
      <c r="BM98" s="86" t="n">
        <f aca="true">IF((59-'Assumption Setting'!$H$73)&lt;1,0,OFFSET($A$97,0,2+13*INT(((59-'Assumption Setting'!$H$73)-1)/12)+MOD((59-'Assumption Setting'!$H$73)-1,12)))</f>
        <v>0.980534210321455</v>
      </c>
      <c r="BN98" s="86" t="n">
        <f aca="true">IF((60-'Assumption Setting'!$H$73)&lt;1,0,OFFSET($A$97,0,2+13*INT(((60-'Assumption Setting'!$H$73)-1)/12)+MOD((60-'Assumption Setting'!$H$73)-1,12)))</f>
        <v>0.980534210321455</v>
      </c>
    </row>
    <row r="99" customFormat="false" ht="15" hidden="false" customHeight="false" outlineLevel="0" collapsed="false">
      <c r="A99" s="66" t="s">
        <v>620</v>
      </c>
      <c r="B99" s="87" t="n">
        <f aca="false">SUM(C99:N99)</f>
        <v>8.80999093978338</v>
      </c>
      <c r="C99" s="88" t="n">
        <f aca="false">C72+C77+C82+C87+C92+C97</f>
        <v>0</v>
      </c>
      <c r="D99" s="88" t="n">
        <f aca="false">D72+D77+D82+D87+D92+D97</f>
        <v>0</v>
      </c>
      <c r="E99" s="88" t="n">
        <f aca="false">E72+E77+E82+E87+E92+E97</f>
        <v>0</v>
      </c>
      <c r="F99" s="88" t="n">
        <f aca="false">F72+F77+F82+F87+F92+F97</f>
        <v>0.205505564723916</v>
      </c>
      <c r="G99" s="88" t="n">
        <f aca="false">G72+G77+G82+G87+G92+G97</f>
        <v>0.863123371840448</v>
      </c>
      <c r="H99" s="88" t="n">
        <f aca="false">H72+H77+H82+H87+H92+H97</f>
        <v>1.04579498492837</v>
      </c>
      <c r="I99" s="88" t="n">
        <f aca="false">I72+I77+I82+I87+I92+I97</f>
        <v>1.04579498492837</v>
      </c>
      <c r="J99" s="88" t="n">
        <f aca="false">J72+J77+J82+J87+J92+J97</f>
        <v>1.12114702532714</v>
      </c>
      <c r="K99" s="88" t="n">
        <f aca="false">K72+K77+K82+K87+K92+K97</f>
        <v>1.12114702532714</v>
      </c>
      <c r="L99" s="88" t="n">
        <f aca="false">L72+L77+L82+L87+L92+L97</f>
        <v>1.12114702532714</v>
      </c>
      <c r="M99" s="88" t="n">
        <f aca="false">M72+M77+M82+M87+M92+M97</f>
        <v>1.12114702532714</v>
      </c>
      <c r="N99" s="88" t="n">
        <f aca="false">N72+N77+N82+N87+N92+N97</f>
        <v>1.1651839320537</v>
      </c>
      <c r="O99" s="87" t="n">
        <f aca="false">SUM(P99:AA99)</f>
        <v>21.840464924325</v>
      </c>
      <c r="P99" s="88" t="n">
        <f aca="false">P72+P77+P82+P87+P92+P97</f>
        <v>1.38719518181734</v>
      </c>
      <c r="Q99" s="88" t="n">
        <f aca="false">Q72+Q77+Q82+Q87+Q92+Q97</f>
        <v>1.38719518181734</v>
      </c>
      <c r="R99" s="88" t="n">
        <f aca="false">R72+R77+R82+R87+R92+R97</f>
        <v>1.38719518181734</v>
      </c>
      <c r="S99" s="88" t="n">
        <f aca="false">S72+S77+S82+S87+S92+S97</f>
        <v>1.50835547979519</v>
      </c>
      <c r="T99" s="88" t="n">
        <f aca="false">T72+T77+T82+T87+T92+T97</f>
        <v>1.8960684333243</v>
      </c>
      <c r="U99" s="88" t="n">
        <f aca="false">U72+U77+U82+U87+U92+U97</f>
        <v>2.00376647597127</v>
      </c>
      <c r="V99" s="88" t="n">
        <f aca="false">V72+V77+V82+V87+V92+V97</f>
        <v>2.00376647597127</v>
      </c>
      <c r="W99" s="88" t="n">
        <f aca="false">W72+W77+W82+W87+W92+W97</f>
        <v>2.04819191856315</v>
      </c>
      <c r="X99" s="88" t="n">
        <f aca="false">X72+X77+X82+X87+X92+X97</f>
        <v>2.04819191856315</v>
      </c>
      <c r="Y99" s="88" t="n">
        <f aca="false">Y72+Y77+Y82+Y87+Y92+Y97</f>
        <v>2.04819191856315</v>
      </c>
      <c r="Z99" s="88" t="n">
        <f aca="false">Z72+Z77+Z82+Z87+Z92+Z97</f>
        <v>2.04819191856315</v>
      </c>
      <c r="AA99" s="88" t="n">
        <f aca="false">AA72+AA77+AA82+AA87+AA92+AA97</f>
        <v>2.0741548395584</v>
      </c>
      <c r="AB99" s="87" t="n">
        <f aca="false">SUM(AC99:AN99)</f>
        <v>36.0087312447977</v>
      </c>
      <c r="AC99" s="88" t="n">
        <f aca="false">AC72+AC77+AC82+AC87+AC92+AC97</f>
        <v>2.32439597667061</v>
      </c>
      <c r="AD99" s="88" t="n">
        <f aca="false">AD72+AD77+AD82+AD87+AD92+AD97</f>
        <v>2.32439597667061</v>
      </c>
      <c r="AE99" s="88" t="n">
        <f aca="false">AE72+AE77+AE82+AE87+AE92+AE97</f>
        <v>2.32439597667061</v>
      </c>
      <c r="AF99" s="88" t="n">
        <f aca="false">AF72+AF77+AF82+AF87+AF92+AF97</f>
        <v>2.51371273839279</v>
      </c>
      <c r="AG99" s="88" t="n">
        <f aca="false">AG72+AG77+AG82+AG87+AG92+AG97</f>
        <v>3.11952637590378</v>
      </c>
      <c r="AH99" s="88" t="n">
        <f aca="false">AH72+AH77+AH82+AH87+AH92+AH97</f>
        <v>3.28780794187905</v>
      </c>
      <c r="AI99" s="88" t="n">
        <f aca="false">AI72+AI77+AI82+AI87+AI92+AI97</f>
        <v>3.28780794187905</v>
      </c>
      <c r="AJ99" s="88" t="n">
        <f aca="false">AJ72+AJ77+AJ82+AJ87+AJ92+AJ97</f>
        <v>3.35722408784385</v>
      </c>
      <c r="AK99" s="88" t="n">
        <f aca="false">AK72+AK77+AK82+AK87+AK92+AK97</f>
        <v>3.35722408784385</v>
      </c>
      <c r="AL99" s="88" t="n">
        <f aca="false">AL72+AL77+AL82+AL87+AL92+AL97</f>
        <v>3.35722408784385</v>
      </c>
      <c r="AM99" s="88" t="n">
        <f aca="false">AM72+AM77+AM82+AM87+AM92+AM97</f>
        <v>3.35722408784385</v>
      </c>
      <c r="AN99" s="88" t="n">
        <f aca="false">AN72+AN77+AN82+AN87+AN92+AN97</f>
        <v>3.39779196535575</v>
      </c>
      <c r="AO99" s="87" t="n">
        <f aca="false">SUM(AP99:BA99)</f>
        <v>51.1084631185373</v>
      </c>
      <c r="AP99" s="88" t="n">
        <f aca="false">AP72+AP77+AP82+AP87+AP92+AP97</f>
        <v>3.63139561197163</v>
      </c>
      <c r="AQ99" s="88" t="n">
        <f aca="false">AQ72+AQ77+AQ82+AQ87+AQ92+AQ97</f>
        <v>3.63139561197163</v>
      </c>
      <c r="AR99" s="88" t="n">
        <f aca="false">AR72+AR77+AR82+AR87+AR92+AR97</f>
        <v>3.63139561197163</v>
      </c>
      <c r="AS99" s="88" t="n">
        <f aca="false">AS72+AS77+AS82+AS87+AS92+AS97</f>
        <v>3.80708359102128</v>
      </c>
      <c r="AT99" s="88" t="n">
        <f aca="false">AT72+AT77+AT82+AT87+AT92+AT97</f>
        <v>4.36928512398016</v>
      </c>
      <c r="AU99" s="88" t="n">
        <f aca="false">AU72+AU77+AU82+AU87+AU92+AU97</f>
        <v>4.52545221646874</v>
      </c>
      <c r="AV99" s="88" t="n">
        <f aca="false">AV72+AV77+AV82+AV87+AV92+AV97</f>
        <v>4.52545221646874</v>
      </c>
      <c r="AW99" s="88" t="n">
        <f aca="false">AW72+AW77+AW82+AW87+AW92+AW97</f>
        <v>4.58987114212028</v>
      </c>
      <c r="AX99" s="88" t="n">
        <f aca="false">AX72+AX77+AX82+AX87+AX92+AX97</f>
        <v>4.58987114212028</v>
      </c>
      <c r="AY99" s="88" t="n">
        <f aca="false">AY72+AY77+AY82+AY87+AY92+AY97</f>
        <v>4.58987114212028</v>
      </c>
      <c r="AZ99" s="88" t="n">
        <f aca="false">AZ72+AZ77+AZ82+AZ87+AZ92+AZ97</f>
        <v>4.58987114212028</v>
      </c>
      <c r="BA99" s="88" t="n">
        <f aca="false">BA72+BA77+BA82+BA87+BA92+BA97</f>
        <v>4.62751856620235</v>
      </c>
      <c r="BB99" s="87" t="n">
        <f aca="false">SUM(BC99:BN99)</f>
        <v>66.5931919772145</v>
      </c>
      <c r="BC99" s="88" t="n">
        <f aca="false">BC72+BC77+BC82+BC87+BC92+BC97</f>
        <v>4.8978865413492</v>
      </c>
      <c r="BD99" s="88" t="n">
        <f aca="false">BD72+BD77+BD82+BD87+BD92+BD97</f>
        <v>4.8978865413492</v>
      </c>
      <c r="BE99" s="88" t="n">
        <f aca="false">BE72+BE77+BE82+BE87+BE92+BE97</f>
        <v>4.8978865413492</v>
      </c>
      <c r="BF99" s="88" t="n">
        <f aca="false">BF72+BF77+BF82+BF87+BF92+BF97</f>
        <v>5.08026541772084</v>
      </c>
      <c r="BG99" s="88" t="n">
        <f aca="false">BG72+BG77+BG82+BG87+BG92+BG97</f>
        <v>5.66387782211008</v>
      </c>
      <c r="BH99" s="88" t="n">
        <f aca="false">BH72+BH77+BH82+BH87+BH92+BH97</f>
        <v>5.82599237888486</v>
      </c>
      <c r="BI99" s="88" t="n">
        <f aca="false">BI72+BI77+BI82+BI87+BI92+BI97</f>
        <v>5.82599237888486</v>
      </c>
      <c r="BJ99" s="88" t="n">
        <f aca="false">BJ72+BJ77+BJ82+BJ87+BJ92+BJ97</f>
        <v>5.89286463355446</v>
      </c>
      <c r="BK99" s="88" t="n">
        <f aca="false">BK72+BK77+BK82+BK87+BK92+BK97</f>
        <v>5.89286463355446</v>
      </c>
      <c r="BL99" s="88" t="n">
        <f aca="false">BL72+BL77+BL82+BL87+BL92+BL97</f>
        <v>5.89286463355446</v>
      </c>
      <c r="BM99" s="88" t="n">
        <f aca="false">BM72+BM77+BM82+BM87+BM92+BM97</f>
        <v>5.89286463355446</v>
      </c>
      <c r="BN99" s="88" t="n">
        <f aca="false">BN72+BN77+BN82+BN87+BN92+BN97</f>
        <v>5.93194582134839</v>
      </c>
    </row>
    <row r="100" customFormat="false" ht="15" hidden="false" customHeight="false" outlineLevel="0" collapsed="false">
      <c r="A100" s="66" t="s">
        <v>621</v>
      </c>
      <c r="B100" s="87" t="n">
        <f aca="false">SUM(C100:N100)</f>
        <v>6.91183716021438</v>
      </c>
      <c r="C100" s="88" t="n">
        <f aca="false">C73+C78+C83+C88+C93+C98</f>
        <v>0</v>
      </c>
      <c r="D100" s="88" t="n">
        <f aca="false">D73+D78+D83+D88+D93+D98</f>
        <v>0</v>
      </c>
      <c r="E100" s="88" t="n">
        <f aca="false">E73+E78+E83+E88+E93+E98</f>
        <v>0</v>
      </c>
      <c r="F100" s="88" t="n">
        <f aca="false">F73+F78+F83+F88+F93+F98</f>
        <v>0</v>
      </c>
      <c r="G100" s="88" t="n">
        <f aca="false">G73+G78+G83+G88+G93+G98</f>
        <v>0.205505564723916</v>
      </c>
      <c r="H100" s="88" t="n">
        <f aca="false">H73+H78+H83+H88+H93+H98</f>
        <v>0.205505564723916</v>
      </c>
      <c r="I100" s="88" t="n">
        <f aca="false">I73+I78+I83+I88+I93+I98</f>
        <v>1.04579498492837</v>
      </c>
      <c r="J100" s="88" t="n">
        <f aca="false">J73+J78+J83+J88+J93+J98</f>
        <v>1.04579498492837</v>
      </c>
      <c r="K100" s="88" t="n">
        <f aca="false">K73+K78+K83+K88+K93+K98</f>
        <v>1.04579498492837</v>
      </c>
      <c r="L100" s="88" t="n">
        <f aca="false">L73+L78+L83+L88+L93+L98</f>
        <v>1.12114702532714</v>
      </c>
      <c r="M100" s="88" t="n">
        <f aca="false">M73+M78+M83+M88+M93+M98</f>
        <v>1.12114702532714</v>
      </c>
      <c r="N100" s="88" t="n">
        <f aca="false">N73+N78+N83+N88+N93+N98</f>
        <v>1.12114702532714</v>
      </c>
      <c r="O100" s="87" t="n">
        <f aca="false">SUM(P100:AA100)</f>
        <v>20.1181917280329</v>
      </c>
      <c r="P100" s="88" t="n">
        <f aca="false">P73+P78+P83+P88+P93+P98</f>
        <v>1.12114702532714</v>
      </c>
      <c r="Q100" s="88" t="n">
        <f aca="false">Q73+Q78+Q83+Q88+Q93+Q98</f>
        <v>1.15996474310833</v>
      </c>
      <c r="R100" s="88" t="n">
        <f aca="false">R73+R78+R83+R88+R93+R98</f>
        <v>1.27729863458641</v>
      </c>
      <c r="S100" s="88" t="n">
        <f aca="false">S73+S78+S83+S88+S93+S98</f>
        <v>1.38719518181734</v>
      </c>
      <c r="T100" s="88" t="n">
        <f aca="false">T73+T78+T83+T88+T93+T98</f>
        <v>1.50835547979519</v>
      </c>
      <c r="U100" s="88" t="n">
        <f aca="false">U73+U78+U83+U88+U93+U98</f>
        <v>1.50835547979519</v>
      </c>
      <c r="V100" s="88" t="n">
        <f aca="false">V73+V78+V83+V88+V93+V98</f>
        <v>2.00376647597127</v>
      </c>
      <c r="W100" s="88" t="n">
        <f aca="false">W73+W78+W83+W88+W93+W98</f>
        <v>2.00376647597127</v>
      </c>
      <c r="X100" s="88" t="n">
        <f aca="false">X73+X78+X83+X88+X93+X98</f>
        <v>2.00376647597127</v>
      </c>
      <c r="Y100" s="88" t="n">
        <f aca="false">Y73+Y78+Y83+Y88+Y93+Y98</f>
        <v>2.04819191856315</v>
      </c>
      <c r="Z100" s="88" t="n">
        <f aca="false">Z73+Z78+Z83+Z88+Z93+Z98</f>
        <v>2.04819191856315</v>
      </c>
      <c r="AA100" s="88" t="n">
        <f aca="false">AA73+AA78+AA83+AA88+AA93+AA98</f>
        <v>2.04819191856315</v>
      </c>
      <c r="AB100" s="87" t="n">
        <f aca="false">SUM(AC100:AN100)</f>
        <v>33.6892845557481</v>
      </c>
      <c r="AC100" s="88" t="n">
        <f aca="false">AC73+AC78+AC83+AC88+AC93+AC98</f>
        <v>2.04819191856315</v>
      </c>
      <c r="AD100" s="88" t="n">
        <f aca="false">AD73+AD78+AD83+AD88+AD93+AD98</f>
        <v>2.1078149400375</v>
      </c>
      <c r="AE100" s="88" t="n">
        <f aca="false">AE73+AE78+AE83+AE88+AE93+AE98</f>
        <v>2.24636015452255</v>
      </c>
      <c r="AF100" s="88" t="n">
        <f aca="false">AF73+AF78+AF83+AF88+AF93+AF98</f>
        <v>2.32439597667061</v>
      </c>
      <c r="AG100" s="88" t="n">
        <f aca="false">AG73+AG78+AG83+AG88+AG93+AG98</f>
        <v>2.51371273839279</v>
      </c>
      <c r="AH100" s="88" t="n">
        <f aca="false">AH73+AH78+AH83+AH88+AH93+AH98</f>
        <v>2.51371273839279</v>
      </c>
      <c r="AI100" s="88" t="n">
        <f aca="false">AI73+AI78+AI83+AI88+AI93+AI98</f>
        <v>3.28780794187905</v>
      </c>
      <c r="AJ100" s="88" t="n">
        <f aca="false">AJ73+AJ78+AJ83+AJ88+AJ93+AJ98</f>
        <v>3.28780794187905</v>
      </c>
      <c r="AK100" s="88" t="n">
        <f aca="false">AK73+AK78+AK83+AK88+AK93+AK98</f>
        <v>3.28780794187905</v>
      </c>
      <c r="AL100" s="88" t="n">
        <f aca="false">AL73+AL78+AL83+AL88+AL93+AL98</f>
        <v>3.35722408784385</v>
      </c>
      <c r="AM100" s="88" t="n">
        <f aca="false">AM73+AM78+AM83+AM88+AM93+AM98</f>
        <v>3.35722408784385</v>
      </c>
      <c r="AN100" s="88" t="n">
        <f aca="false">AN73+AN78+AN83+AN88+AN93+AN98</f>
        <v>3.35722408784385</v>
      </c>
      <c r="AO100" s="87" t="n">
        <f aca="false">SUM(AP100:BA100)</f>
        <v>48.8776216139969</v>
      </c>
      <c r="AP100" s="88" t="n">
        <f aca="false">AP73+AP78+AP83+AP88+AP93+AP98</f>
        <v>3.35722408784385</v>
      </c>
      <c r="AQ100" s="88" t="n">
        <f aca="false">AQ73+AQ78+AQ83+AQ88+AQ93+AQ98</f>
        <v>3.40193552890175</v>
      </c>
      <c r="AR100" s="88" t="n">
        <f aca="false">AR73+AR78+AR83+AR88+AR93+AR98</f>
        <v>3.52692912747004</v>
      </c>
      <c r="AS100" s="88" t="n">
        <f aca="false">AS73+AS78+AS83+AS88+AS93+AS98</f>
        <v>3.63139561197163</v>
      </c>
      <c r="AT100" s="88" t="n">
        <f aca="false">AT73+AT78+AT83+AT88+AT93+AT98</f>
        <v>3.80708359102128</v>
      </c>
      <c r="AU100" s="88" t="n">
        <f aca="false">AU73+AU78+AU83+AU88+AU93+AU98</f>
        <v>3.80708359102128</v>
      </c>
      <c r="AV100" s="88" t="n">
        <f aca="false">AV73+AV78+AV83+AV88+AV93+AV98</f>
        <v>4.52545221646874</v>
      </c>
      <c r="AW100" s="88" t="n">
        <f aca="false">AW73+AW78+AW83+AW88+AW93+AW98</f>
        <v>4.52545221646874</v>
      </c>
      <c r="AX100" s="88" t="n">
        <f aca="false">AX73+AX78+AX83+AX88+AX93+AX98</f>
        <v>4.52545221646874</v>
      </c>
      <c r="AY100" s="88" t="n">
        <f aca="false">AY73+AY78+AY83+AY88+AY93+AY98</f>
        <v>4.58987114212028</v>
      </c>
      <c r="AZ100" s="88" t="n">
        <f aca="false">AZ73+AZ78+AZ83+AZ88+AZ93+AZ98</f>
        <v>4.58987114212028</v>
      </c>
      <c r="BA100" s="88" t="n">
        <f aca="false">BA73+BA78+BA83+BA88+BA93+BA98</f>
        <v>4.58987114212028</v>
      </c>
      <c r="BB100" s="87" t="n">
        <f aca="false">SUM(BC100:BN100)</f>
        <v>64.2477110917914</v>
      </c>
      <c r="BC100" s="88" t="n">
        <f aca="false">BC73+BC78+BC83+BC88+BC93+BC98</f>
        <v>4.58987114212028</v>
      </c>
      <c r="BD100" s="88" t="n">
        <f aca="false">BD73+BD78+BD83+BD88+BD93+BD98</f>
        <v>4.64785678603971</v>
      </c>
      <c r="BE100" s="88" t="n">
        <f aca="false">BE73+BE78+BE83+BE88+BE93+BE98</f>
        <v>4.79499474952259</v>
      </c>
      <c r="BF100" s="88" t="n">
        <f aca="false">BF73+BF78+BF83+BF88+BF93+BF98</f>
        <v>4.8978865413492</v>
      </c>
      <c r="BG100" s="88" t="n">
        <f aca="false">BG73+BG78+BG83+BG88+BG93+BG98</f>
        <v>5.08026541772084</v>
      </c>
      <c r="BH100" s="88" t="n">
        <f aca="false">BH73+BH78+BH83+BH88+BH93+BH98</f>
        <v>5.08026541772084</v>
      </c>
      <c r="BI100" s="88" t="n">
        <f aca="false">BI73+BI78+BI83+BI88+BI93+BI98</f>
        <v>5.82599237888486</v>
      </c>
      <c r="BJ100" s="88" t="n">
        <f aca="false">BJ73+BJ78+BJ83+BJ88+BJ93+BJ98</f>
        <v>5.82599237888486</v>
      </c>
      <c r="BK100" s="88" t="n">
        <f aca="false">BK73+BK78+BK83+BK88+BK93+BK98</f>
        <v>5.82599237888486</v>
      </c>
      <c r="BL100" s="88" t="n">
        <f aca="false">BL73+BL78+BL83+BL88+BL93+BL98</f>
        <v>5.89286463355446</v>
      </c>
      <c r="BM100" s="88" t="n">
        <f aca="false">BM73+BM78+BM83+BM88+BM93+BM98</f>
        <v>5.89286463355446</v>
      </c>
      <c r="BN100" s="88" t="n">
        <f aca="false">BN73+BN78+BN83+BN88+BN93+BN98</f>
        <v>5.89286463355446</v>
      </c>
    </row>
    <row r="102" customFormat="false" ht="16.5" hidden="false" customHeight="true" outlineLevel="0" collapsed="false">
      <c r="A102" s="15" t="s">
        <v>622</v>
      </c>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row>
    <row r="103" customFormat="false" ht="15" hidden="false" customHeight="true" outlineLevel="0" collapsed="false">
      <c r="A103" s="26" t="s">
        <v>481</v>
      </c>
      <c r="B103" s="61" t="s">
        <v>81</v>
      </c>
      <c r="C103" s="62" t="s">
        <v>482</v>
      </c>
      <c r="D103" s="62" t="s">
        <v>483</v>
      </c>
      <c r="E103" s="62" t="s">
        <v>484</v>
      </c>
      <c r="F103" s="62" t="s">
        <v>485</v>
      </c>
      <c r="G103" s="62" t="s">
        <v>486</v>
      </c>
      <c r="H103" s="62" t="s">
        <v>487</v>
      </c>
      <c r="I103" s="62" t="s">
        <v>488</v>
      </c>
      <c r="J103" s="62" t="s">
        <v>489</v>
      </c>
      <c r="K103" s="62" t="s">
        <v>490</v>
      </c>
      <c r="L103" s="62" t="s">
        <v>491</v>
      </c>
      <c r="M103" s="62" t="s">
        <v>492</v>
      </c>
      <c r="N103" s="62" t="s">
        <v>493</v>
      </c>
      <c r="O103" s="61" t="s">
        <v>82</v>
      </c>
      <c r="P103" s="63" t="s">
        <v>494</v>
      </c>
      <c r="Q103" s="63" t="s">
        <v>495</v>
      </c>
      <c r="R103" s="63" t="s">
        <v>496</v>
      </c>
      <c r="S103" s="63" t="s">
        <v>497</v>
      </c>
      <c r="T103" s="63" t="s">
        <v>498</v>
      </c>
      <c r="U103" s="63" t="s">
        <v>499</v>
      </c>
      <c r="V103" s="63" t="s">
        <v>500</v>
      </c>
      <c r="W103" s="63" t="s">
        <v>501</v>
      </c>
      <c r="X103" s="63" t="s">
        <v>502</v>
      </c>
      <c r="Y103" s="63" t="s">
        <v>503</v>
      </c>
      <c r="Z103" s="63" t="s">
        <v>504</v>
      </c>
      <c r="AA103" s="63" t="s">
        <v>505</v>
      </c>
      <c r="AB103" s="61" t="s">
        <v>83</v>
      </c>
      <c r="AC103" s="62" t="s">
        <v>506</v>
      </c>
      <c r="AD103" s="62" t="s">
        <v>507</v>
      </c>
      <c r="AE103" s="62" t="s">
        <v>508</v>
      </c>
      <c r="AF103" s="62" t="s">
        <v>509</v>
      </c>
      <c r="AG103" s="62" t="s">
        <v>510</v>
      </c>
      <c r="AH103" s="62" t="s">
        <v>511</v>
      </c>
      <c r="AI103" s="62" t="s">
        <v>512</v>
      </c>
      <c r="AJ103" s="62" t="s">
        <v>513</v>
      </c>
      <c r="AK103" s="62" t="s">
        <v>514</v>
      </c>
      <c r="AL103" s="62" t="s">
        <v>515</v>
      </c>
      <c r="AM103" s="62" t="s">
        <v>516</v>
      </c>
      <c r="AN103" s="62" t="s">
        <v>517</v>
      </c>
      <c r="AO103" s="61" t="s">
        <v>84</v>
      </c>
      <c r="AP103" s="63" t="s">
        <v>518</v>
      </c>
      <c r="AQ103" s="63" t="s">
        <v>519</v>
      </c>
      <c r="AR103" s="63" t="s">
        <v>520</v>
      </c>
      <c r="AS103" s="63" t="s">
        <v>521</v>
      </c>
      <c r="AT103" s="63" t="s">
        <v>522</v>
      </c>
      <c r="AU103" s="63" t="s">
        <v>523</v>
      </c>
      <c r="AV103" s="63" t="s">
        <v>524</v>
      </c>
      <c r="AW103" s="63" t="s">
        <v>525</v>
      </c>
      <c r="AX103" s="63" t="s">
        <v>526</v>
      </c>
      <c r="AY103" s="63" t="s">
        <v>527</v>
      </c>
      <c r="AZ103" s="63" t="s">
        <v>528</v>
      </c>
      <c r="BA103" s="63" t="s">
        <v>529</v>
      </c>
      <c r="BB103" s="61" t="s">
        <v>85</v>
      </c>
      <c r="BC103" s="62" t="s">
        <v>530</v>
      </c>
      <c r="BD103" s="62" t="s">
        <v>531</v>
      </c>
      <c r="BE103" s="62" t="s">
        <v>532</v>
      </c>
      <c r="BF103" s="62" t="s">
        <v>533</v>
      </c>
      <c r="BG103" s="62" t="s">
        <v>534</v>
      </c>
      <c r="BH103" s="62" t="s">
        <v>535</v>
      </c>
      <c r="BI103" s="62" t="s">
        <v>536</v>
      </c>
      <c r="BJ103" s="62" t="s">
        <v>537</v>
      </c>
      <c r="BK103" s="62" t="s">
        <v>538</v>
      </c>
      <c r="BL103" s="62" t="s">
        <v>539</v>
      </c>
      <c r="BM103" s="62" t="s">
        <v>540</v>
      </c>
      <c r="BN103" s="62" t="s">
        <v>541</v>
      </c>
    </row>
    <row r="104" customFormat="false" ht="15" hidden="false" customHeight="false" outlineLevel="0" collapsed="false">
      <c r="A104" s="12" t="s">
        <v>623</v>
      </c>
      <c r="B104" s="89" t="n">
        <f aca="false">N104</f>
        <v>0.5</v>
      </c>
      <c r="C104" s="90" t="n">
        <f aca="false">IF(1&gt;='Assumption Setting'!$F$95,'Assumption Setting'!$C$95,0)+IF(1&gt;='Assumption Setting'!$F$96,'Assumption Setting'!$C$96,0)+IF(1&gt;='Assumption Setting'!$F$97,'Assumption Setting'!$C$97,0)+IF(1&gt;='Assumption Setting'!$F$98,'Assumption Setting'!$C$98,0)+IF(1&gt;='Assumption Setting'!$F$99,'Assumption Setting'!$C$99,0)+IF(1&gt;='Assumption Setting'!$F$100,'Assumption Setting'!$C$100,0)</f>
        <v>0.5</v>
      </c>
      <c r="D104" s="90" t="n">
        <f aca="false">IF(2&gt;='Assumption Setting'!$F$95,'Assumption Setting'!$C$95,0)+IF(2&gt;='Assumption Setting'!$F$96,'Assumption Setting'!$C$96,0)+IF(2&gt;='Assumption Setting'!$F$97,'Assumption Setting'!$C$97,0)+IF(2&gt;='Assumption Setting'!$F$98,'Assumption Setting'!$C$98,0)+IF(2&gt;='Assumption Setting'!$F$99,'Assumption Setting'!$C$99,0)+IF(2&gt;='Assumption Setting'!$F$100,'Assumption Setting'!$C$100,0)</f>
        <v>0.5</v>
      </c>
      <c r="E104" s="90" t="n">
        <f aca="false">IF(3&gt;='Assumption Setting'!$F$95,'Assumption Setting'!$C$95,0)+IF(3&gt;='Assumption Setting'!$F$96,'Assumption Setting'!$C$96,0)+IF(3&gt;='Assumption Setting'!$F$97,'Assumption Setting'!$C$97,0)+IF(3&gt;='Assumption Setting'!$F$98,'Assumption Setting'!$C$98,0)+IF(3&gt;='Assumption Setting'!$F$99,'Assumption Setting'!$C$99,0)+IF(3&gt;='Assumption Setting'!$F$100,'Assumption Setting'!$C$100,0)</f>
        <v>0.5</v>
      </c>
      <c r="F104" s="90" t="n">
        <f aca="false">IF(4&gt;='Assumption Setting'!$F$95,'Assumption Setting'!$C$95,0)+IF(4&gt;='Assumption Setting'!$F$96,'Assumption Setting'!$C$96,0)+IF(4&gt;='Assumption Setting'!$F$97,'Assumption Setting'!$C$97,0)+IF(4&gt;='Assumption Setting'!$F$98,'Assumption Setting'!$C$98,0)+IF(4&gt;='Assumption Setting'!$F$99,'Assumption Setting'!$C$99,0)+IF(4&gt;='Assumption Setting'!$F$100,'Assumption Setting'!$C$100,0)</f>
        <v>0.5</v>
      </c>
      <c r="G104" s="90" t="n">
        <f aca="false">IF(5&gt;='Assumption Setting'!$F$95,'Assumption Setting'!$C$95,0)+IF(5&gt;='Assumption Setting'!$F$96,'Assumption Setting'!$C$96,0)+IF(5&gt;='Assumption Setting'!$F$97,'Assumption Setting'!$C$97,0)+IF(5&gt;='Assumption Setting'!$F$98,'Assumption Setting'!$C$98,0)+IF(5&gt;='Assumption Setting'!$F$99,'Assumption Setting'!$C$99,0)+IF(5&gt;='Assumption Setting'!$F$100,'Assumption Setting'!$C$100,0)</f>
        <v>0.5</v>
      </c>
      <c r="H104" s="90" t="n">
        <f aca="false">IF(6&gt;='Assumption Setting'!$F$95,'Assumption Setting'!$C$95,0)+IF(6&gt;='Assumption Setting'!$F$96,'Assumption Setting'!$C$96,0)+IF(6&gt;='Assumption Setting'!$F$97,'Assumption Setting'!$C$97,0)+IF(6&gt;='Assumption Setting'!$F$98,'Assumption Setting'!$C$98,0)+IF(6&gt;='Assumption Setting'!$F$99,'Assumption Setting'!$C$99,0)+IF(6&gt;='Assumption Setting'!$F$100,'Assumption Setting'!$C$100,0)</f>
        <v>0.5</v>
      </c>
      <c r="I104" s="90" t="n">
        <f aca="false">IF(7&gt;='Assumption Setting'!$F$95,'Assumption Setting'!$C$95,0)+IF(7&gt;='Assumption Setting'!$F$96,'Assumption Setting'!$C$96,0)+IF(7&gt;='Assumption Setting'!$F$97,'Assumption Setting'!$C$97,0)+IF(7&gt;='Assumption Setting'!$F$98,'Assumption Setting'!$C$98,0)+IF(7&gt;='Assumption Setting'!$F$99,'Assumption Setting'!$C$99,0)+IF(7&gt;='Assumption Setting'!$F$100,'Assumption Setting'!$C$100,0)</f>
        <v>0.5</v>
      </c>
      <c r="J104" s="90" t="n">
        <f aca="false">IF(8&gt;='Assumption Setting'!$F$95,'Assumption Setting'!$C$95,0)+IF(8&gt;='Assumption Setting'!$F$96,'Assumption Setting'!$C$96,0)+IF(8&gt;='Assumption Setting'!$F$97,'Assumption Setting'!$C$97,0)+IF(8&gt;='Assumption Setting'!$F$98,'Assumption Setting'!$C$98,0)+IF(8&gt;='Assumption Setting'!$F$99,'Assumption Setting'!$C$99,0)+IF(8&gt;='Assumption Setting'!$F$100,'Assumption Setting'!$C$100,0)</f>
        <v>0.5</v>
      </c>
      <c r="K104" s="90" t="n">
        <f aca="false">IF(9&gt;='Assumption Setting'!$F$95,'Assumption Setting'!$C$95,0)+IF(9&gt;='Assumption Setting'!$F$96,'Assumption Setting'!$C$96,0)+IF(9&gt;='Assumption Setting'!$F$97,'Assumption Setting'!$C$97,0)+IF(9&gt;='Assumption Setting'!$F$98,'Assumption Setting'!$C$98,0)+IF(9&gt;='Assumption Setting'!$F$99,'Assumption Setting'!$C$99,0)+IF(9&gt;='Assumption Setting'!$F$100,'Assumption Setting'!$C$100,0)</f>
        <v>0.5</v>
      </c>
      <c r="L104" s="90" t="n">
        <f aca="false">IF(10&gt;='Assumption Setting'!$F$95,'Assumption Setting'!$C$95,0)+IF(10&gt;='Assumption Setting'!$F$96,'Assumption Setting'!$C$96,0)+IF(10&gt;='Assumption Setting'!$F$97,'Assumption Setting'!$C$97,0)+IF(10&gt;='Assumption Setting'!$F$98,'Assumption Setting'!$C$98,0)+IF(10&gt;='Assumption Setting'!$F$99,'Assumption Setting'!$C$99,0)+IF(10&gt;='Assumption Setting'!$F$100,'Assumption Setting'!$C$100,0)</f>
        <v>0.5</v>
      </c>
      <c r="M104" s="90" t="n">
        <f aca="false">IF(11&gt;='Assumption Setting'!$F$95,'Assumption Setting'!$C$95,0)+IF(11&gt;='Assumption Setting'!$F$96,'Assumption Setting'!$C$96,0)+IF(11&gt;='Assumption Setting'!$F$97,'Assumption Setting'!$C$97,0)+IF(11&gt;='Assumption Setting'!$F$98,'Assumption Setting'!$C$98,0)+IF(11&gt;='Assumption Setting'!$F$99,'Assumption Setting'!$C$99,0)+IF(11&gt;='Assumption Setting'!$F$100,'Assumption Setting'!$C$100,0)</f>
        <v>0.5</v>
      </c>
      <c r="N104" s="90" t="n">
        <f aca="false">IF(12&gt;='Assumption Setting'!$F$95,'Assumption Setting'!$C$95,0)+IF(12&gt;='Assumption Setting'!$F$96,'Assumption Setting'!$C$96,0)+IF(12&gt;='Assumption Setting'!$F$97,'Assumption Setting'!$C$97,0)+IF(12&gt;='Assumption Setting'!$F$98,'Assumption Setting'!$C$98,0)+IF(12&gt;='Assumption Setting'!$F$99,'Assumption Setting'!$C$99,0)+IF(12&gt;='Assumption Setting'!$F$100,'Assumption Setting'!$C$100,0)</f>
        <v>0.5</v>
      </c>
      <c r="O104" s="89" t="n">
        <f aca="false">AA104</f>
        <v>0.84</v>
      </c>
      <c r="P104" s="90" t="n">
        <f aca="false">IF(13&gt;='Assumption Setting'!$F$95,'Assumption Setting'!$C$95,0)+IF(13&gt;='Assumption Setting'!$F$96,'Assumption Setting'!$C$96,0)+IF(13&gt;='Assumption Setting'!$F$97,'Assumption Setting'!$C$97,0)+IF(13&gt;='Assumption Setting'!$F$98,'Assumption Setting'!$C$98,0)+IF(13&gt;='Assumption Setting'!$F$99,'Assumption Setting'!$C$99,0)+IF(13&gt;='Assumption Setting'!$F$100,'Assumption Setting'!$C$100,0)</f>
        <v>0.84</v>
      </c>
      <c r="Q104" s="90" t="n">
        <f aca="false">IF(14&gt;='Assumption Setting'!$F$95,'Assumption Setting'!$C$95,0)+IF(14&gt;='Assumption Setting'!$F$96,'Assumption Setting'!$C$96,0)+IF(14&gt;='Assumption Setting'!$F$97,'Assumption Setting'!$C$97,0)+IF(14&gt;='Assumption Setting'!$F$98,'Assumption Setting'!$C$98,0)+IF(14&gt;='Assumption Setting'!$F$99,'Assumption Setting'!$C$99,0)+IF(14&gt;='Assumption Setting'!$F$100,'Assumption Setting'!$C$100,0)</f>
        <v>0.84</v>
      </c>
      <c r="R104" s="90" t="n">
        <f aca="false">IF(15&gt;='Assumption Setting'!$F$95,'Assumption Setting'!$C$95,0)+IF(15&gt;='Assumption Setting'!$F$96,'Assumption Setting'!$C$96,0)+IF(15&gt;='Assumption Setting'!$F$97,'Assumption Setting'!$C$97,0)+IF(15&gt;='Assumption Setting'!$F$98,'Assumption Setting'!$C$98,0)+IF(15&gt;='Assumption Setting'!$F$99,'Assumption Setting'!$C$99,0)+IF(15&gt;='Assumption Setting'!$F$100,'Assumption Setting'!$C$100,0)</f>
        <v>0.84</v>
      </c>
      <c r="S104" s="90" t="n">
        <f aca="false">IF(16&gt;='Assumption Setting'!$F$95,'Assumption Setting'!$C$95,0)+IF(16&gt;='Assumption Setting'!$F$96,'Assumption Setting'!$C$96,0)+IF(16&gt;='Assumption Setting'!$F$97,'Assumption Setting'!$C$97,0)+IF(16&gt;='Assumption Setting'!$F$98,'Assumption Setting'!$C$98,0)+IF(16&gt;='Assumption Setting'!$F$99,'Assumption Setting'!$C$99,0)+IF(16&gt;='Assumption Setting'!$F$100,'Assumption Setting'!$C$100,0)</f>
        <v>0.84</v>
      </c>
      <c r="T104" s="90" t="n">
        <f aca="false">IF(17&gt;='Assumption Setting'!$F$95,'Assumption Setting'!$C$95,0)+IF(17&gt;='Assumption Setting'!$F$96,'Assumption Setting'!$C$96,0)+IF(17&gt;='Assumption Setting'!$F$97,'Assumption Setting'!$C$97,0)+IF(17&gt;='Assumption Setting'!$F$98,'Assumption Setting'!$C$98,0)+IF(17&gt;='Assumption Setting'!$F$99,'Assumption Setting'!$C$99,0)+IF(17&gt;='Assumption Setting'!$F$100,'Assumption Setting'!$C$100,0)</f>
        <v>0.84</v>
      </c>
      <c r="U104" s="90" t="n">
        <f aca="false">IF(18&gt;='Assumption Setting'!$F$95,'Assumption Setting'!$C$95,0)+IF(18&gt;='Assumption Setting'!$F$96,'Assumption Setting'!$C$96,0)+IF(18&gt;='Assumption Setting'!$F$97,'Assumption Setting'!$C$97,0)+IF(18&gt;='Assumption Setting'!$F$98,'Assumption Setting'!$C$98,0)+IF(18&gt;='Assumption Setting'!$F$99,'Assumption Setting'!$C$99,0)+IF(18&gt;='Assumption Setting'!$F$100,'Assumption Setting'!$C$100,0)</f>
        <v>0.84</v>
      </c>
      <c r="V104" s="90" t="n">
        <f aca="false">IF(19&gt;='Assumption Setting'!$F$95,'Assumption Setting'!$C$95,0)+IF(19&gt;='Assumption Setting'!$F$96,'Assumption Setting'!$C$96,0)+IF(19&gt;='Assumption Setting'!$F$97,'Assumption Setting'!$C$97,0)+IF(19&gt;='Assumption Setting'!$F$98,'Assumption Setting'!$C$98,0)+IF(19&gt;='Assumption Setting'!$F$99,'Assumption Setting'!$C$99,0)+IF(19&gt;='Assumption Setting'!$F$100,'Assumption Setting'!$C$100,0)</f>
        <v>0.84</v>
      </c>
      <c r="W104" s="90" t="n">
        <f aca="false">IF(20&gt;='Assumption Setting'!$F$95,'Assumption Setting'!$C$95,0)+IF(20&gt;='Assumption Setting'!$F$96,'Assumption Setting'!$C$96,0)+IF(20&gt;='Assumption Setting'!$F$97,'Assumption Setting'!$C$97,0)+IF(20&gt;='Assumption Setting'!$F$98,'Assumption Setting'!$C$98,0)+IF(20&gt;='Assumption Setting'!$F$99,'Assumption Setting'!$C$99,0)+IF(20&gt;='Assumption Setting'!$F$100,'Assumption Setting'!$C$100,0)</f>
        <v>0.84</v>
      </c>
      <c r="X104" s="90" t="n">
        <f aca="false">IF(21&gt;='Assumption Setting'!$F$95,'Assumption Setting'!$C$95,0)+IF(21&gt;='Assumption Setting'!$F$96,'Assumption Setting'!$C$96,0)+IF(21&gt;='Assumption Setting'!$F$97,'Assumption Setting'!$C$97,0)+IF(21&gt;='Assumption Setting'!$F$98,'Assumption Setting'!$C$98,0)+IF(21&gt;='Assumption Setting'!$F$99,'Assumption Setting'!$C$99,0)+IF(21&gt;='Assumption Setting'!$F$100,'Assumption Setting'!$C$100,0)</f>
        <v>0.84</v>
      </c>
      <c r="Y104" s="90" t="n">
        <f aca="false">IF(22&gt;='Assumption Setting'!$F$95,'Assumption Setting'!$C$95,0)+IF(22&gt;='Assumption Setting'!$F$96,'Assumption Setting'!$C$96,0)+IF(22&gt;='Assumption Setting'!$F$97,'Assumption Setting'!$C$97,0)+IF(22&gt;='Assumption Setting'!$F$98,'Assumption Setting'!$C$98,0)+IF(22&gt;='Assumption Setting'!$F$99,'Assumption Setting'!$C$99,0)+IF(22&gt;='Assumption Setting'!$F$100,'Assumption Setting'!$C$100,0)</f>
        <v>0.84</v>
      </c>
      <c r="Z104" s="90" t="n">
        <f aca="false">IF(23&gt;='Assumption Setting'!$F$95,'Assumption Setting'!$C$95,0)+IF(23&gt;='Assumption Setting'!$F$96,'Assumption Setting'!$C$96,0)+IF(23&gt;='Assumption Setting'!$F$97,'Assumption Setting'!$C$97,0)+IF(23&gt;='Assumption Setting'!$F$98,'Assumption Setting'!$C$98,0)+IF(23&gt;='Assumption Setting'!$F$99,'Assumption Setting'!$C$99,0)+IF(23&gt;='Assumption Setting'!$F$100,'Assumption Setting'!$C$100,0)</f>
        <v>0.84</v>
      </c>
      <c r="AA104" s="90" t="n">
        <f aca="false">IF(24&gt;='Assumption Setting'!$F$95,'Assumption Setting'!$C$95,0)+IF(24&gt;='Assumption Setting'!$F$96,'Assumption Setting'!$C$96,0)+IF(24&gt;='Assumption Setting'!$F$97,'Assumption Setting'!$C$97,0)+IF(24&gt;='Assumption Setting'!$F$98,'Assumption Setting'!$C$98,0)+IF(24&gt;='Assumption Setting'!$F$99,'Assumption Setting'!$C$99,0)+IF(24&gt;='Assumption Setting'!$F$100,'Assumption Setting'!$C$100,0)</f>
        <v>0.84</v>
      </c>
      <c r="AB104" s="89" t="n">
        <f aca="false">AN104</f>
        <v>1</v>
      </c>
      <c r="AC104" s="90" t="n">
        <f aca="false">IF(25&gt;='Assumption Setting'!$F$95,'Assumption Setting'!$C$95,0)+IF(25&gt;='Assumption Setting'!$F$96,'Assumption Setting'!$C$96,0)+IF(25&gt;='Assumption Setting'!$F$97,'Assumption Setting'!$C$97,0)+IF(25&gt;='Assumption Setting'!$F$98,'Assumption Setting'!$C$98,0)+IF(25&gt;='Assumption Setting'!$F$99,'Assumption Setting'!$C$99,0)+IF(25&gt;='Assumption Setting'!$F$100,'Assumption Setting'!$C$100,0)</f>
        <v>1</v>
      </c>
      <c r="AD104" s="90" t="n">
        <f aca="false">IF(26&gt;='Assumption Setting'!$F$95,'Assumption Setting'!$C$95,0)+IF(26&gt;='Assumption Setting'!$F$96,'Assumption Setting'!$C$96,0)+IF(26&gt;='Assumption Setting'!$F$97,'Assumption Setting'!$C$97,0)+IF(26&gt;='Assumption Setting'!$F$98,'Assumption Setting'!$C$98,0)+IF(26&gt;='Assumption Setting'!$F$99,'Assumption Setting'!$C$99,0)+IF(26&gt;='Assumption Setting'!$F$100,'Assumption Setting'!$C$100,0)</f>
        <v>1</v>
      </c>
      <c r="AE104" s="90" t="n">
        <f aca="false">IF(27&gt;='Assumption Setting'!$F$95,'Assumption Setting'!$C$95,0)+IF(27&gt;='Assumption Setting'!$F$96,'Assumption Setting'!$C$96,0)+IF(27&gt;='Assumption Setting'!$F$97,'Assumption Setting'!$C$97,0)+IF(27&gt;='Assumption Setting'!$F$98,'Assumption Setting'!$C$98,0)+IF(27&gt;='Assumption Setting'!$F$99,'Assumption Setting'!$C$99,0)+IF(27&gt;='Assumption Setting'!$F$100,'Assumption Setting'!$C$100,0)</f>
        <v>1</v>
      </c>
      <c r="AF104" s="90" t="n">
        <f aca="false">IF(28&gt;='Assumption Setting'!$F$95,'Assumption Setting'!$C$95,0)+IF(28&gt;='Assumption Setting'!$F$96,'Assumption Setting'!$C$96,0)+IF(28&gt;='Assumption Setting'!$F$97,'Assumption Setting'!$C$97,0)+IF(28&gt;='Assumption Setting'!$F$98,'Assumption Setting'!$C$98,0)+IF(28&gt;='Assumption Setting'!$F$99,'Assumption Setting'!$C$99,0)+IF(28&gt;='Assumption Setting'!$F$100,'Assumption Setting'!$C$100,0)</f>
        <v>1</v>
      </c>
      <c r="AG104" s="90" t="n">
        <f aca="false">IF(29&gt;='Assumption Setting'!$F$95,'Assumption Setting'!$C$95,0)+IF(29&gt;='Assumption Setting'!$F$96,'Assumption Setting'!$C$96,0)+IF(29&gt;='Assumption Setting'!$F$97,'Assumption Setting'!$C$97,0)+IF(29&gt;='Assumption Setting'!$F$98,'Assumption Setting'!$C$98,0)+IF(29&gt;='Assumption Setting'!$F$99,'Assumption Setting'!$C$99,0)+IF(29&gt;='Assumption Setting'!$F$100,'Assumption Setting'!$C$100,0)</f>
        <v>1</v>
      </c>
      <c r="AH104" s="90" t="n">
        <f aca="false">IF(30&gt;='Assumption Setting'!$F$95,'Assumption Setting'!$C$95,0)+IF(30&gt;='Assumption Setting'!$F$96,'Assumption Setting'!$C$96,0)+IF(30&gt;='Assumption Setting'!$F$97,'Assumption Setting'!$C$97,0)+IF(30&gt;='Assumption Setting'!$F$98,'Assumption Setting'!$C$98,0)+IF(30&gt;='Assumption Setting'!$F$99,'Assumption Setting'!$C$99,0)+IF(30&gt;='Assumption Setting'!$F$100,'Assumption Setting'!$C$100,0)</f>
        <v>1</v>
      </c>
      <c r="AI104" s="90" t="n">
        <f aca="false">IF(31&gt;='Assumption Setting'!$F$95,'Assumption Setting'!$C$95,0)+IF(31&gt;='Assumption Setting'!$F$96,'Assumption Setting'!$C$96,0)+IF(31&gt;='Assumption Setting'!$F$97,'Assumption Setting'!$C$97,0)+IF(31&gt;='Assumption Setting'!$F$98,'Assumption Setting'!$C$98,0)+IF(31&gt;='Assumption Setting'!$F$99,'Assumption Setting'!$C$99,0)+IF(31&gt;='Assumption Setting'!$F$100,'Assumption Setting'!$C$100,0)</f>
        <v>1</v>
      </c>
      <c r="AJ104" s="90" t="n">
        <f aca="false">IF(32&gt;='Assumption Setting'!$F$95,'Assumption Setting'!$C$95,0)+IF(32&gt;='Assumption Setting'!$F$96,'Assumption Setting'!$C$96,0)+IF(32&gt;='Assumption Setting'!$F$97,'Assumption Setting'!$C$97,0)+IF(32&gt;='Assumption Setting'!$F$98,'Assumption Setting'!$C$98,0)+IF(32&gt;='Assumption Setting'!$F$99,'Assumption Setting'!$C$99,0)+IF(32&gt;='Assumption Setting'!$F$100,'Assumption Setting'!$C$100,0)</f>
        <v>1</v>
      </c>
      <c r="AK104" s="90" t="n">
        <f aca="false">IF(33&gt;='Assumption Setting'!$F$95,'Assumption Setting'!$C$95,0)+IF(33&gt;='Assumption Setting'!$F$96,'Assumption Setting'!$C$96,0)+IF(33&gt;='Assumption Setting'!$F$97,'Assumption Setting'!$C$97,0)+IF(33&gt;='Assumption Setting'!$F$98,'Assumption Setting'!$C$98,0)+IF(33&gt;='Assumption Setting'!$F$99,'Assumption Setting'!$C$99,0)+IF(33&gt;='Assumption Setting'!$F$100,'Assumption Setting'!$C$100,0)</f>
        <v>1</v>
      </c>
      <c r="AL104" s="90" t="n">
        <f aca="false">IF(34&gt;='Assumption Setting'!$F$95,'Assumption Setting'!$C$95,0)+IF(34&gt;='Assumption Setting'!$F$96,'Assumption Setting'!$C$96,0)+IF(34&gt;='Assumption Setting'!$F$97,'Assumption Setting'!$C$97,0)+IF(34&gt;='Assumption Setting'!$F$98,'Assumption Setting'!$C$98,0)+IF(34&gt;='Assumption Setting'!$F$99,'Assumption Setting'!$C$99,0)+IF(34&gt;='Assumption Setting'!$F$100,'Assumption Setting'!$C$100,0)</f>
        <v>1</v>
      </c>
      <c r="AM104" s="90" t="n">
        <f aca="false">IF(35&gt;='Assumption Setting'!$F$95,'Assumption Setting'!$C$95,0)+IF(35&gt;='Assumption Setting'!$F$96,'Assumption Setting'!$C$96,0)+IF(35&gt;='Assumption Setting'!$F$97,'Assumption Setting'!$C$97,0)+IF(35&gt;='Assumption Setting'!$F$98,'Assumption Setting'!$C$98,0)+IF(35&gt;='Assumption Setting'!$F$99,'Assumption Setting'!$C$99,0)+IF(35&gt;='Assumption Setting'!$F$100,'Assumption Setting'!$C$100,0)</f>
        <v>1</v>
      </c>
      <c r="AN104" s="90" t="n">
        <f aca="false">IF(36&gt;='Assumption Setting'!$F$95,'Assumption Setting'!$C$95,0)+IF(36&gt;='Assumption Setting'!$F$96,'Assumption Setting'!$C$96,0)+IF(36&gt;='Assumption Setting'!$F$97,'Assumption Setting'!$C$97,0)+IF(36&gt;='Assumption Setting'!$F$98,'Assumption Setting'!$C$98,0)+IF(36&gt;='Assumption Setting'!$F$99,'Assumption Setting'!$C$99,0)+IF(36&gt;='Assumption Setting'!$F$100,'Assumption Setting'!$C$100,0)</f>
        <v>1</v>
      </c>
      <c r="AO104" s="89" t="n">
        <f aca="false">BA104</f>
        <v>1</v>
      </c>
      <c r="AP104" s="90" t="n">
        <f aca="false">IF(37&gt;='Assumption Setting'!$F$95,'Assumption Setting'!$C$95,0)+IF(37&gt;='Assumption Setting'!$F$96,'Assumption Setting'!$C$96,0)+IF(37&gt;='Assumption Setting'!$F$97,'Assumption Setting'!$C$97,0)+IF(37&gt;='Assumption Setting'!$F$98,'Assumption Setting'!$C$98,0)+IF(37&gt;='Assumption Setting'!$F$99,'Assumption Setting'!$C$99,0)+IF(37&gt;='Assumption Setting'!$F$100,'Assumption Setting'!$C$100,0)</f>
        <v>1</v>
      </c>
      <c r="AQ104" s="90" t="n">
        <f aca="false">IF(38&gt;='Assumption Setting'!$F$95,'Assumption Setting'!$C$95,0)+IF(38&gt;='Assumption Setting'!$F$96,'Assumption Setting'!$C$96,0)+IF(38&gt;='Assumption Setting'!$F$97,'Assumption Setting'!$C$97,0)+IF(38&gt;='Assumption Setting'!$F$98,'Assumption Setting'!$C$98,0)+IF(38&gt;='Assumption Setting'!$F$99,'Assumption Setting'!$C$99,0)+IF(38&gt;='Assumption Setting'!$F$100,'Assumption Setting'!$C$100,0)</f>
        <v>1</v>
      </c>
      <c r="AR104" s="90" t="n">
        <f aca="false">IF(39&gt;='Assumption Setting'!$F$95,'Assumption Setting'!$C$95,0)+IF(39&gt;='Assumption Setting'!$F$96,'Assumption Setting'!$C$96,0)+IF(39&gt;='Assumption Setting'!$F$97,'Assumption Setting'!$C$97,0)+IF(39&gt;='Assumption Setting'!$F$98,'Assumption Setting'!$C$98,0)+IF(39&gt;='Assumption Setting'!$F$99,'Assumption Setting'!$C$99,0)+IF(39&gt;='Assumption Setting'!$F$100,'Assumption Setting'!$C$100,0)</f>
        <v>1</v>
      </c>
      <c r="AS104" s="90" t="n">
        <f aca="false">IF(40&gt;='Assumption Setting'!$F$95,'Assumption Setting'!$C$95,0)+IF(40&gt;='Assumption Setting'!$F$96,'Assumption Setting'!$C$96,0)+IF(40&gt;='Assumption Setting'!$F$97,'Assumption Setting'!$C$97,0)+IF(40&gt;='Assumption Setting'!$F$98,'Assumption Setting'!$C$98,0)+IF(40&gt;='Assumption Setting'!$F$99,'Assumption Setting'!$C$99,0)+IF(40&gt;='Assumption Setting'!$F$100,'Assumption Setting'!$C$100,0)</f>
        <v>1</v>
      </c>
      <c r="AT104" s="90" t="n">
        <f aca="false">IF(41&gt;='Assumption Setting'!$F$95,'Assumption Setting'!$C$95,0)+IF(41&gt;='Assumption Setting'!$F$96,'Assumption Setting'!$C$96,0)+IF(41&gt;='Assumption Setting'!$F$97,'Assumption Setting'!$C$97,0)+IF(41&gt;='Assumption Setting'!$F$98,'Assumption Setting'!$C$98,0)+IF(41&gt;='Assumption Setting'!$F$99,'Assumption Setting'!$C$99,0)+IF(41&gt;='Assumption Setting'!$F$100,'Assumption Setting'!$C$100,0)</f>
        <v>1</v>
      </c>
      <c r="AU104" s="90" t="n">
        <f aca="false">IF(42&gt;='Assumption Setting'!$F$95,'Assumption Setting'!$C$95,0)+IF(42&gt;='Assumption Setting'!$F$96,'Assumption Setting'!$C$96,0)+IF(42&gt;='Assumption Setting'!$F$97,'Assumption Setting'!$C$97,0)+IF(42&gt;='Assumption Setting'!$F$98,'Assumption Setting'!$C$98,0)+IF(42&gt;='Assumption Setting'!$F$99,'Assumption Setting'!$C$99,0)+IF(42&gt;='Assumption Setting'!$F$100,'Assumption Setting'!$C$100,0)</f>
        <v>1</v>
      </c>
      <c r="AV104" s="90" t="n">
        <f aca="false">IF(43&gt;='Assumption Setting'!$F$95,'Assumption Setting'!$C$95,0)+IF(43&gt;='Assumption Setting'!$F$96,'Assumption Setting'!$C$96,0)+IF(43&gt;='Assumption Setting'!$F$97,'Assumption Setting'!$C$97,0)+IF(43&gt;='Assumption Setting'!$F$98,'Assumption Setting'!$C$98,0)+IF(43&gt;='Assumption Setting'!$F$99,'Assumption Setting'!$C$99,0)+IF(43&gt;='Assumption Setting'!$F$100,'Assumption Setting'!$C$100,0)</f>
        <v>1</v>
      </c>
      <c r="AW104" s="90" t="n">
        <f aca="false">IF(44&gt;='Assumption Setting'!$F$95,'Assumption Setting'!$C$95,0)+IF(44&gt;='Assumption Setting'!$F$96,'Assumption Setting'!$C$96,0)+IF(44&gt;='Assumption Setting'!$F$97,'Assumption Setting'!$C$97,0)+IF(44&gt;='Assumption Setting'!$F$98,'Assumption Setting'!$C$98,0)+IF(44&gt;='Assumption Setting'!$F$99,'Assumption Setting'!$C$99,0)+IF(44&gt;='Assumption Setting'!$F$100,'Assumption Setting'!$C$100,0)</f>
        <v>1</v>
      </c>
      <c r="AX104" s="90" t="n">
        <f aca="false">IF(45&gt;='Assumption Setting'!$F$95,'Assumption Setting'!$C$95,0)+IF(45&gt;='Assumption Setting'!$F$96,'Assumption Setting'!$C$96,0)+IF(45&gt;='Assumption Setting'!$F$97,'Assumption Setting'!$C$97,0)+IF(45&gt;='Assumption Setting'!$F$98,'Assumption Setting'!$C$98,0)+IF(45&gt;='Assumption Setting'!$F$99,'Assumption Setting'!$C$99,0)+IF(45&gt;='Assumption Setting'!$F$100,'Assumption Setting'!$C$100,0)</f>
        <v>1</v>
      </c>
      <c r="AY104" s="90" t="n">
        <f aca="false">IF(46&gt;='Assumption Setting'!$F$95,'Assumption Setting'!$C$95,0)+IF(46&gt;='Assumption Setting'!$F$96,'Assumption Setting'!$C$96,0)+IF(46&gt;='Assumption Setting'!$F$97,'Assumption Setting'!$C$97,0)+IF(46&gt;='Assumption Setting'!$F$98,'Assumption Setting'!$C$98,0)+IF(46&gt;='Assumption Setting'!$F$99,'Assumption Setting'!$C$99,0)+IF(46&gt;='Assumption Setting'!$F$100,'Assumption Setting'!$C$100,0)</f>
        <v>1</v>
      </c>
      <c r="AZ104" s="90" t="n">
        <f aca="false">IF(47&gt;='Assumption Setting'!$F$95,'Assumption Setting'!$C$95,0)+IF(47&gt;='Assumption Setting'!$F$96,'Assumption Setting'!$C$96,0)+IF(47&gt;='Assumption Setting'!$F$97,'Assumption Setting'!$C$97,0)+IF(47&gt;='Assumption Setting'!$F$98,'Assumption Setting'!$C$98,0)+IF(47&gt;='Assumption Setting'!$F$99,'Assumption Setting'!$C$99,0)+IF(47&gt;='Assumption Setting'!$F$100,'Assumption Setting'!$C$100,0)</f>
        <v>1</v>
      </c>
      <c r="BA104" s="90" t="n">
        <f aca="false">IF(48&gt;='Assumption Setting'!$F$95,'Assumption Setting'!$C$95,0)+IF(48&gt;='Assumption Setting'!$F$96,'Assumption Setting'!$C$96,0)+IF(48&gt;='Assumption Setting'!$F$97,'Assumption Setting'!$C$97,0)+IF(48&gt;='Assumption Setting'!$F$98,'Assumption Setting'!$C$98,0)+IF(48&gt;='Assumption Setting'!$F$99,'Assumption Setting'!$C$99,0)+IF(48&gt;='Assumption Setting'!$F$100,'Assumption Setting'!$C$100,0)</f>
        <v>1</v>
      </c>
      <c r="BB104" s="89" t="n">
        <f aca="false">BN104</f>
        <v>1</v>
      </c>
      <c r="BC104" s="90" t="n">
        <f aca="false">IF(49&gt;='Assumption Setting'!$F$95,'Assumption Setting'!$C$95,0)+IF(49&gt;='Assumption Setting'!$F$96,'Assumption Setting'!$C$96,0)+IF(49&gt;='Assumption Setting'!$F$97,'Assumption Setting'!$C$97,0)+IF(49&gt;='Assumption Setting'!$F$98,'Assumption Setting'!$C$98,0)+IF(49&gt;='Assumption Setting'!$F$99,'Assumption Setting'!$C$99,0)+IF(49&gt;='Assumption Setting'!$F$100,'Assumption Setting'!$C$100,0)</f>
        <v>1</v>
      </c>
      <c r="BD104" s="90" t="n">
        <f aca="false">IF(50&gt;='Assumption Setting'!$F$95,'Assumption Setting'!$C$95,0)+IF(50&gt;='Assumption Setting'!$F$96,'Assumption Setting'!$C$96,0)+IF(50&gt;='Assumption Setting'!$F$97,'Assumption Setting'!$C$97,0)+IF(50&gt;='Assumption Setting'!$F$98,'Assumption Setting'!$C$98,0)+IF(50&gt;='Assumption Setting'!$F$99,'Assumption Setting'!$C$99,0)+IF(50&gt;='Assumption Setting'!$F$100,'Assumption Setting'!$C$100,0)</f>
        <v>1</v>
      </c>
      <c r="BE104" s="90" t="n">
        <f aca="false">IF(51&gt;='Assumption Setting'!$F$95,'Assumption Setting'!$C$95,0)+IF(51&gt;='Assumption Setting'!$F$96,'Assumption Setting'!$C$96,0)+IF(51&gt;='Assumption Setting'!$F$97,'Assumption Setting'!$C$97,0)+IF(51&gt;='Assumption Setting'!$F$98,'Assumption Setting'!$C$98,0)+IF(51&gt;='Assumption Setting'!$F$99,'Assumption Setting'!$C$99,0)+IF(51&gt;='Assumption Setting'!$F$100,'Assumption Setting'!$C$100,0)</f>
        <v>1</v>
      </c>
      <c r="BF104" s="90" t="n">
        <f aca="false">IF(52&gt;='Assumption Setting'!$F$95,'Assumption Setting'!$C$95,0)+IF(52&gt;='Assumption Setting'!$F$96,'Assumption Setting'!$C$96,0)+IF(52&gt;='Assumption Setting'!$F$97,'Assumption Setting'!$C$97,0)+IF(52&gt;='Assumption Setting'!$F$98,'Assumption Setting'!$C$98,0)+IF(52&gt;='Assumption Setting'!$F$99,'Assumption Setting'!$C$99,0)+IF(52&gt;='Assumption Setting'!$F$100,'Assumption Setting'!$C$100,0)</f>
        <v>1</v>
      </c>
      <c r="BG104" s="90" t="n">
        <f aca="false">IF(53&gt;='Assumption Setting'!$F$95,'Assumption Setting'!$C$95,0)+IF(53&gt;='Assumption Setting'!$F$96,'Assumption Setting'!$C$96,0)+IF(53&gt;='Assumption Setting'!$F$97,'Assumption Setting'!$C$97,0)+IF(53&gt;='Assumption Setting'!$F$98,'Assumption Setting'!$C$98,0)+IF(53&gt;='Assumption Setting'!$F$99,'Assumption Setting'!$C$99,0)+IF(53&gt;='Assumption Setting'!$F$100,'Assumption Setting'!$C$100,0)</f>
        <v>1</v>
      </c>
      <c r="BH104" s="90" t="n">
        <f aca="false">IF(54&gt;='Assumption Setting'!$F$95,'Assumption Setting'!$C$95,0)+IF(54&gt;='Assumption Setting'!$F$96,'Assumption Setting'!$C$96,0)+IF(54&gt;='Assumption Setting'!$F$97,'Assumption Setting'!$C$97,0)+IF(54&gt;='Assumption Setting'!$F$98,'Assumption Setting'!$C$98,0)+IF(54&gt;='Assumption Setting'!$F$99,'Assumption Setting'!$C$99,0)+IF(54&gt;='Assumption Setting'!$F$100,'Assumption Setting'!$C$100,0)</f>
        <v>1</v>
      </c>
      <c r="BI104" s="90" t="n">
        <f aca="false">IF(55&gt;='Assumption Setting'!$F$95,'Assumption Setting'!$C$95,0)+IF(55&gt;='Assumption Setting'!$F$96,'Assumption Setting'!$C$96,0)+IF(55&gt;='Assumption Setting'!$F$97,'Assumption Setting'!$C$97,0)+IF(55&gt;='Assumption Setting'!$F$98,'Assumption Setting'!$C$98,0)+IF(55&gt;='Assumption Setting'!$F$99,'Assumption Setting'!$C$99,0)+IF(55&gt;='Assumption Setting'!$F$100,'Assumption Setting'!$C$100,0)</f>
        <v>1</v>
      </c>
      <c r="BJ104" s="90" t="n">
        <f aca="false">IF(56&gt;='Assumption Setting'!$F$95,'Assumption Setting'!$C$95,0)+IF(56&gt;='Assumption Setting'!$F$96,'Assumption Setting'!$C$96,0)+IF(56&gt;='Assumption Setting'!$F$97,'Assumption Setting'!$C$97,0)+IF(56&gt;='Assumption Setting'!$F$98,'Assumption Setting'!$C$98,0)+IF(56&gt;='Assumption Setting'!$F$99,'Assumption Setting'!$C$99,0)+IF(56&gt;='Assumption Setting'!$F$100,'Assumption Setting'!$C$100,0)</f>
        <v>1</v>
      </c>
      <c r="BK104" s="90" t="n">
        <f aca="false">IF(57&gt;='Assumption Setting'!$F$95,'Assumption Setting'!$C$95,0)+IF(57&gt;='Assumption Setting'!$F$96,'Assumption Setting'!$C$96,0)+IF(57&gt;='Assumption Setting'!$F$97,'Assumption Setting'!$C$97,0)+IF(57&gt;='Assumption Setting'!$F$98,'Assumption Setting'!$C$98,0)+IF(57&gt;='Assumption Setting'!$F$99,'Assumption Setting'!$C$99,0)+IF(57&gt;='Assumption Setting'!$F$100,'Assumption Setting'!$C$100,0)</f>
        <v>1</v>
      </c>
      <c r="BL104" s="90" t="n">
        <f aca="false">IF(58&gt;='Assumption Setting'!$F$95,'Assumption Setting'!$C$95,0)+IF(58&gt;='Assumption Setting'!$F$96,'Assumption Setting'!$C$96,0)+IF(58&gt;='Assumption Setting'!$F$97,'Assumption Setting'!$C$97,0)+IF(58&gt;='Assumption Setting'!$F$98,'Assumption Setting'!$C$98,0)+IF(58&gt;='Assumption Setting'!$F$99,'Assumption Setting'!$C$99,0)+IF(58&gt;='Assumption Setting'!$F$100,'Assumption Setting'!$C$100,0)</f>
        <v>1</v>
      </c>
      <c r="BM104" s="90" t="n">
        <f aca="false">IF(59&gt;='Assumption Setting'!$F$95,'Assumption Setting'!$C$95,0)+IF(59&gt;='Assumption Setting'!$F$96,'Assumption Setting'!$C$96,0)+IF(59&gt;='Assumption Setting'!$F$97,'Assumption Setting'!$C$97,0)+IF(59&gt;='Assumption Setting'!$F$98,'Assumption Setting'!$C$98,0)+IF(59&gt;='Assumption Setting'!$F$99,'Assumption Setting'!$C$99,0)+IF(59&gt;='Assumption Setting'!$F$100,'Assumption Setting'!$C$100,0)</f>
        <v>1</v>
      </c>
      <c r="BN104" s="90" t="n">
        <f aca="false">IF(60&gt;='Assumption Setting'!$F$95,'Assumption Setting'!$C$95,0)+IF(60&gt;='Assumption Setting'!$F$96,'Assumption Setting'!$C$96,0)+IF(60&gt;='Assumption Setting'!$F$97,'Assumption Setting'!$C$97,0)+IF(60&gt;='Assumption Setting'!$F$98,'Assumption Setting'!$C$98,0)+IF(60&gt;='Assumption Setting'!$F$99,'Assumption Setting'!$C$99,0)+IF(60&gt;='Assumption Setting'!$F$100,'Assumption Setting'!$C$100,0)</f>
        <v>1</v>
      </c>
    </row>
    <row r="105" customFormat="false" ht="15" hidden="false" customHeight="false" outlineLevel="0" collapsed="false">
      <c r="A105" s="12" t="s">
        <v>624</v>
      </c>
      <c r="B105" s="89" t="n">
        <f aca="false">N105</f>
        <v>1</v>
      </c>
      <c r="C105" s="90" t="n">
        <f aca="false">IF(1&gt;='Assumption Setting'!$F$104,'Assumption Setting'!$C$104,0)+IF(1&gt;='Assumption Setting'!$F$105,'Assumption Setting'!$C$105,0)</f>
        <v>1</v>
      </c>
      <c r="D105" s="90" t="n">
        <f aca="false">IF(2&gt;='Assumption Setting'!$F$104,'Assumption Setting'!$C$104,0)+IF(2&gt;='Assumption Setting'!$F$105,'Assumption Setting'!$C$105,0)</f>
        <v>1</v>
      </c>
      <c r="E105" s="90" t="n">
        <f aca="false">IF(3&gt;='Assumption Setting'!$F$104,'Assumption Setting'!$C$104,0)+IF(3&gt;='Assumption Setting'!$F$105,'Assumption Setting'!$C$105,0)</f>
        <v>1</v>
      </c>
      <c r="F105" s="90" t="n">
        <f aca="false">IF(4&gt;='Assumption Setting'!$F$104,'Assumption Setting'!$C$104,0)+IF(4&gt;='Assumption Setting'!$F$105,'Assumption Setting'!$C$105,0)</f>
        <v>1</v>
      </c>
      <c r="G105" s="90" t="n">
        <f aca="false">IF(5&gt;='Assumption Setting'!$F$104,'Assumption Setting'!$C$104,0)+IF(5&gt;='Assumption Setting'!$F$105,'Assumption Setting'!$C$105,0)</f>
        <v>1</v>
      </c>
      <c r="H105" s="90" t="n">
        <f aca="false">IF(6&gt;='Assumption Setting'!$F$104,'Assumption Setting'!$C$104,0)+IF(6&gt;='Assumption Setting'!$F$105,'Assumption Setting'!$C$105,0)</f>
        <v>1</v>
      </c>
      <c r="I105" s="90" t="n">
        <f aca="false">IF(7&gt;='Assumption Setting'!$F$104,'Assumption Setting'!$C$104,0)+IF(7&gt;='Assumption Setting'!$F$105,'Assumption Setting'!$C$105,0)</f>
        <v>1</v>
      </c>
      <c r="J105" s="90" t="n">
        <f aca="false">IF(8&gt;='Assumption Setting'!$F$104,'Assumption Setting'!$C$104,0)+IF(8&gt;='Assumption Setting'!$F$105,'Assumption Setting'!$C$105,0)</f>
        <v>1</v>
      </c>
      <c r="K105" s="90" t="n">
        <f aca="false">IF(9&gt;='Assumption Setting'!$F$104,'Assumption Setting'!$C$104,0)+IF(9&gt;='Assumption Setting'!$F$105,'Assumption Setting'!$C$105,0)</f>
        <v>1</v>
      </c>
      <c r="L105" s="90" t="n">
        <f aca="false">IF(10&gt;='Assumption Setting'!$F$104,'Assumption Setting'!$C$104,0)+IF(10&gt;='Assumption Setting'!$F$105,'Assumption Setting'!$C$105,0)</f>
        <v>1</v>
      </c>
      <c r="M105" s="90" t="n">
        <f aca="false">IF(11&gt;='Assumption Setting'!$F$104,'Assumption Setting'!$C$104,0)+IF(11&gt;='Assumption Setting'!$F$105,'Assumption Setting'!$C$105,0)</f>
        <v>1</v>
      </c>
      <c r="N105" s="90" t="n">
        <f aca="false">IF(12&gt;='Assumption Setting'!$F$104,'Assumption Setting'!$C$104,0)+IF(12&gt;='Assumption Setting'!$F$105,'Assumption Setting'!$C$105,0)</f>
        <v>1</v>
      </c>
      <c r="O105" s="89" t="n">
        <f aca="false">AA105</f>
        <v>1</v>
      </c>
      <c r="P105" s="90" t="n">
        <f aca="false">IF(13&gt;='Assumption Setting'!$F$104,'Assumption Setting'!$C$104,0)+IF(13&gt;='Assumption Setting'!$F$105,'Assumption Setting'!$C$105,0)</f>
        <v>1</v>
      </c>
      <c r="Q105" s="90" t="n">
        <f aca="false">IF(14&gt;='Assumption Setting'!$F$104,'Assumption Setting'!$C$104,0)+IF(14&gt;='Assumption Setting'!$F$105,'Assumption Setting'!$C$105,0)</f>
        <v>1</v>
      </c>
      <c r="R105" s="90" t="n">
        <f aca="false">IF(15&gt;='Assumption Setting'!$F$104,'Assumption Setting'!$C$104,0)+IF(15&gt;='Assumption Setting'!$F$105,'Assumption Setting'!$C$105,0)</f>
        <v>1</v>
      </c>
      <c r="S105" s="90" t="n">
        <f aca="false">IF(16&gt;='Assumption Setting'!$F$104,'Assumption Setting'!$C$104,0)+IF(16&gt;='Assumption Setting'!$F$105,'Assumption Setting'!$C$105,0)</f>
        <v>1</v>
      </c>
      <c r="T105" s="90" t="n">
        <f aca="false">IF(17&gt;='Assumption Setting'!$F$104,'Assumption Setting'!$C$104,0)+IF(17&gt;='Assumption Setting'!$F$105,'Assumption Setting'!$C$105,0)</f>
        <v>1</v>
      </c>
      <c r="U105" s="90" t="n">
        <f aca="false">IF(18&gt;='Assumption Setting'!$F$104,'Assumption Setting'!$C$104,0)+IF(18&gt;='Assumption Setting'!$F$105,'Assumption Setting'!$C$105,0)</f>
        <v>1</v>
      </c>
      <c r="V105" s="90" t="n">
        <f aca="false">IF(19&gt;='Assumption Setting'!$F$104,'Assumption Setting'!$C$104,0)+IF(19&gt;='Assumption Setting'!$F$105,'Assumption Setting'!$C$105,0)</f>
        <v>1</v>
      </c>
      <c r="W105" s="90" t="n">
        <f aca="false">IF(20&gt;='Assumption Setting'!$F$104,'Assumption Setting'!$C$104,0)+IF(20&gt;='Assumption Setting'!$F$105,'Assumption Setting'!$C$105,0)</f>
        <v>1</v>
      </c>
      <c r="X105" s="90" t="n">
        <f aca="false">IF(21&gt;='Assumption Setting'!$F$104,'Assumption Setting'!$C$104,0)+IF(21&gt;='Assumption Setting'!$F$105,'Assumption Setting'!$C$105,0)</f>
        <v>1</v>
      </c>
      <c r="Y105" s="90" t="n">
        <f aca="false">IF(22&gt;='Assumption Setting'!$F$104,'Assumption Setting'!$C$104,0)+IF(22&gt;='Assumption Setting'!$F$105,'Assumption Setting'!$C$105,0)</f>
        <v>1</v>
      </c>
      <c r="Z105" s="90" t="n">
        <f aca="false">IF(23&gt;='Assumption Setting'!$F$104,'Assumption Setting'!$C$104,0)+IF(23&gt;='Assumption Setting'!$F$105,'Assumption Setting'!$C$105,0)</f>
        <v>1</v>
      </c>
      <c r="AA105" s="90" t="n">
        <f aca="false">IF(24&gt;='Assumption Setting'!$F$104,'Assumption Setting'!$C$104,0)+IF(24&gt;='Assumption Setting'!$F$105,'Assumption Setting'!$C$105,0)</f>
        <v>1</v>
      </c>
      <c r="AB105" s="89" t="n">
        <f aca="false">AN105</f>
        <v>1</v>
      </c>
      <c r="AC105" s="90" t="n">
        <f aca="false">IF(25&gt;='Assumption Setting'!$F$104,'Assumption Setting'!$C$104,0)+IF(25&gt;='Assumption Setting'!$F$105,'Assumption Setting'!$C$105,0)</f>
        <v>1</v>
      </c>
      <c r="AD105" s="90" t="n">
        <f aca="false">IF(26&gt;='Assumption Setting'!$F$104,'Assumption Setting'!$C$104,0)+IF(26&gt;='Assumption Setting'!$F$105,'Assumption Setting'!$C$105,0)</f>
        <v>1</v>
      </c>
      <c r="AE105" s="90" t="n">
        <f aca="false">IF(27&gt;='Assumption Setting'!$F$104,'Assumption Setting'!$C$104,0)+IF(27&gt;='Assumption Setting'!$F$105,'Assumption Setting'!$C$105,0)</f>
        <v>1</v>
      </c>
      <c r="AF105" s="90" t="n">
        <f aca="false">IF(28&gt;='Assumption Setting'!$F$104,'Assumption Setting'!$C$104,0)+IF(28&gt;='Assumption Setting'!$F$105,'Assumption Setting'!$C$105,0)</f>
        <v>1</v>
      </c>
      <c r="AG105" s="90" t="n">
        <f aca="false">IF(29&gt;='Assumption Setting'!$F$104,'Assumption Setting'!$C$104,0)+IF(29&gt;='Assumption Setting'!$F$105,'Assumption Setting'!$C$105,0)</f>
        <v>1</v>
      </c>
      <c r="AH105" s="90" t="n">
        <f aca="false">IF(30&gt;='Assumption Setting'!$F$104,'Assumption Setting'!$C$104,0)+IF(30&gt;='Assumption Setting'!$F$105,'Assumption Setting'!$C$105,0)</f>
        <v>1</v>
      </c>
      <c r="AI105" s="90" t="n">
        <f aca="false">IF(31&gt;='Assumption Setting'!$F$104,'Assumption Setting'!$C$104,0)+IF(31&gt;='Assumption Setting'!$F$105,'Assumption Setting'!$C$105,0)</f>
        <v>1</v>
      </c>
      <c r="AJ105" s="90" t="n">
        <f aca="false">IF(32&gt;='Assumption Setting'!$F$104,'Assumption Setting'!$C$104,0)+IF(32&gt;='Assumption Setting'!$F$105,'Assumption Setting'!$C$105,0)</f>
        <v>1</v>
      </c>
      <c r="AK105" s="90" t="n">
        <f aca="false">IF(33&gt;='Assumption Setting'!$F$104,'Assumption Setting'!$C$104,0)+IF(33&gt;='Assumption Setting'!$F$105,'Assumption Setting'!$C$105,0)</f>
        <v>1</v>
      </c>
      <c r="AL105" s="90" t="n">
        <f aca="false">IF(34&gt;='Assumption Setting'!$F$104,'Assumption Setting'!$C$104,0)+IF(34&gt;='Assumption Setting'!$F$105,'Assumption Setting'!$C$105,0)</f>
        <v>1</v>
      </c>
      <c r="AM105" s="90" t="n">
        <f aca="false">IF(35&gt;='Assumption Setting'!$F$104,'Assumption Setting'!$C$104,0)+IF(35&gt;='Assumption Setting'!$F$105,'Assumption Setting'!$C$105,0)</f>
        <v>1</v>
      </c>
      <c r="AN105" s="90" t="n">
        <f aca="false">IF(36&gt;='Assumption Setting'!$F$104,'Assumption Setting'!$C$104,0)+IF(36&gt;='Assumption Setting'!$F$105,'Assumption Setting'!$C$105,0)</f>
        <v>1</v>
      </c>
      <c r="AO105" s="89" t="n">
        <f aca="false">BA105</f>
        <v>1</v>
      </c>
      <c r="AP105" s="90" t="n">
        <f aca="false">IF(37&gt;='Assumption Setting'!$F$104,'Assumption Setting'!$C$104,0)+IF(37&gt;='Assumption Setting'!$F$105,'Assumption Setting'!$C$105,0)</f>
        <v>1</v>
      </c>
      <c r="AQ105" s="90" t="n">
        <f aca="false">IF(38&gt;='Assumption Setting'!$F$104,'Assumption Setting'!$C$104,0)+IF(38&gt;='Assumption Setting'!$F$105,'Assumption Setting'!$C$105,0)</f>
        <v>1</v>
      </c>
      <c r="AR105" s="90" t="n">
        <f aca="false">IF(39&gt;='Assumption Setting'!$F$104,'Assumption Setting'!$C$104,0)+IF(39&gt;='Assumption Setting'!$F$105,'Assumption Setting'!$C$105,0)</f>
        <v>1</v>
      </c>
      <c r="AS105" s="90" t="n">
        <f aca="false">IF(40&gt;='Assumption Setting'!$F$104,'Assumption Setting'!$C$104,0)+IF(40&gt;='Assumption Setting'!$F$105,'Assumption Setting'!$C$105,0)</f>
        <v>1</v>
      </c>
      <c r="AT105" s="90" t="n">
        <f aca="false">IF(41&gt;='Assumption Setting'!$F$104,'Assumption Setting'!$C$104,0)+IF(41&gt;='Assumption Setting'!$F$105,'Assumption Setting'!$C$105,0)</f>
        <v>1</v>
      </c>
      <c r="AU105" s="90" t="n">
        <f aca="false">IF(42&gt;='Assumption Setting'!$F$104,'Assumption Setting'!$C$104,0)+IF(42&gt;='Assumption Setting'!$F$105,'Assumption Setting'!$C$105,0)</f>
        <v>1</v>
      </c>
      <c r="AV105" s="90" t="n">
        <f aca="false">IF(43&gt;='Assumption Setting'!$F$104,'Assumption Setting'!$C$104,0)+IF(43&gt;='Assumption Setting'!$F$105,'Assumption Setting'!$C$105,0)</f>
        <v>1</v>
      </c>
      <c r="AW105" s="90" t="n">
        <f aca="false">IF(44&gt;='Assumption Setting'!$F$104,'Assumption Setting'!$C$104,0)+IF(44&gt;='Assumption Setting'!$F$105,'Assumption Setting'!$C$105,0)</f>
        <v>1</v>
      </c>
      <c r="AX105" s="90" t="n">
        <f aca="false">IF(45&gt;='Assumption Setting'!$F$104,'Assumption Setting'!$C$104,0)+IF(45&gt;='Assumption Setting'!$F$105,'Assumption Setting'!$C$105,0)</f>
        <v>1</v>
      </c>
      <c r="AY105" s="90" t="n">
        <f aca="false">IF(46&gt;='Assumption Setting'!$F$104,'Assumption Setting'!$C$104,0)+IF(46&gt;='Assumption Setting'!$F$105,'Assumption Setting'!$C$105,0)</f>
        <v>1</v>
      </c>
      <c r="AZ105" s="90" t="n">
        <f aca="false">IF(47&gt;='Assumption Setting'!$F$104,'Assumption Setting'!$C$104,0)+IF(47&gt;='Assumption Setting'!$F$105,'Assumption Setting'!$C$105,0)</f>
        <v>1</v>
      </c>
      <c r="BA105" s="90" t="n">
        <f aca="false">IF(48&gt;='Assumption Setting'!$F$104,'Assumption Setting'!$C$104,0)+IF(48&gt;='Assumption Setting'!$F$105,'Assumption Setting'!$C$105,0)</f>
        <v>1</v>
      </c>
      <c r="BB105" s="89" t="n">
        <f aca="false">BN105</f>
        <v>1</v>
      </c>
      <c r="BC105" s="90" t="n">
        <f aca="false">IF(49&gt;='Assumption Setting'!$F$104,'Assumption Setting'!$C$104,0)+IF(49&gt;='Assumption Setting'!$F$105,'Assumption Setting'!$C$105,0)</f>
        <v>1</v>
      </c>
      <c r="BD105" s="90" t="n">
        <f aca="false">IF(50&gt;='Assumption Setting'!$F$104,'Assumption Setting'!$C$104,0)+IF(50&gt;='Assumption Setting'!$F$105,'Assumption Setting'!$C$105,0)</f>
        <v>1</v>
      </c>
      <c r="BE105" s="90" t="n">
        <f aca="false">IF(51&gt;='Assumption Setting'!$F$104,'Assumption Setting'!$C$104,0)+IF(51&gt;='Assumption Setting'!$F$105,'Assumption Setting'!$C$105,0)</f>
        <v>1</v>
      </c>
      <c r="BF105" s="90" t="n">
        <f aca="false">IF(52&gt;='Assumption Setting'!$F$104,'Assumption Setting'!$C$104,0)+IF(52&gt;='Assumption Setting'!$F$105,'Assumption Setting'!$C$105,0)</f>
        <v>1</v>
      </c>
      <c r="BG105" s="90" t="n">
        <f aca="false">IF(53&gt;='Assumption Setting'!$F$104,'Assumption Setting'!$C$104,0)+IF(53&gt;='Assumption Setting'!$F$105,'Assumption Setting'!$C$105,0)</f>
        <v>1</v>
      </c>
      <c r="BH105" s="90" t="n">
        <f aca="false">IF(54&gt;='Assumption Setting'!$F$104,'Assumption Setting'!$C$104,0)+IF(54&gt;='Assumption Setting'!$F$105,'Assumption Setting'!$C$105,0)</f>
        <v>1</v>
      </c>
      <c r="BI105" s="90" t="n">
        <f aca="false">IF(55&gt;='Assumption Setting'!$F$104,'Assumption Setting'!$C$104,0)+IF(55&gt;='Assumption Setting'!$F$105,'Assumption Setting'!$C$105,0)</f>
        <v>1</v>
      </c>
      <c r="BJ105" s="90" t="n">
        <f aca="false">IF(56&gt;='Assumption Setting'!$F$104,'Assumption Setting'!$C$104,0)+IF(56&gt;='Assumption Setting'!$F$105,'Assumption Setting'!$C$105,0)</f>
        <v>1</v>
      </c>
      <c r="BK105" s="90" t="n">
        <f aca="false">IF(57&gt;='Assumption Setting'!$F$104,'Assumption Setting'!$C$104,0)+IF(57&gt;='Assumption Setting'!$F$105,'Assumption Setting'!$C$105,0)</f>
        <v>1</v>
      </c>
      <c r="BL105" s="90" t="n">
        <f aca="false">IF(58&gt;='Assumption Setting'!$F$104,'Assumption Setting'!$C$104,0)+IF(58&gt;='Assumption Setting'!$F$105,'Assumption Setting'!$C$105,0)</f>
        <v>1</v>
      </c>
      <c r="BM105" s="90" t="n">
        <f aca="false">IF(59&gt;='Assumption Setting'!$F$104,'Assumption Setting'!$C$104,0)+IF(59&gt;='Assumption Setting'!$F$105,'Assumption Setting'!$C$105,0)</f>
        <v>1</v>
      </c>
      <c r="BN105" s="90" t="n">
        <f aca="false">IF(60&gt;='Assumption Setting'!$F$104,'Assumption Setting'!$C$104,0)+IF(60&gt;='Assumption Setting'!$F$105,'Assumption Setting'!$C$105,0)</f>
        <v>1</v>
      </c>
    </row>
    <row r="106" customFormat="false" ht="15" hidden="false" customHeight="false" outlineLevel="0" collapsed="false">
      <c r="A106" s="12" t="s">
        <v>625</v>
      </c>
      <c r="B106" s="89" t="n">
        <f aca="false">N106</f>
        <v>0</v>
      </c>
      <c r="C106" s="90" t="n">
        <f aca="false">IF(1&gt;='Assumption Setting'!$F$103,'Assumption Setting'!$C$103,0)</f>
        <v>0</v>
      </c>
      <c r="D106" s="90" t="n">
        <f aca="false">IF(2&gt;='Assumption Setting'!$F$103,'Assumption Setting'!$C$103,0)</f>
        <v>0</v>
      </c>
      <c r="E106" s="90" t="n">
        <f aca="false">IF(3&gt;='Assumption Setting'!$F$103,'Assumption Setting'!$C$103,0)</f>
        <v>0</v>
      </c>
      <c r="F106" s="90" t="n">
        <f aca="false">IF(4&gt;='Assumption Setting'!$F$103,'Assumption Setting'!$C$103,0)</f>
        <v>0</v>
      </c>
      <c r="G106" s="90" t="n">
        <f aca="false">IF(5&gt;='Assumption Setting'!$F$103,'Assumption Setting'!$C$103,0)</f>
        <v>0</v>
      </c>
      <c r="H106" s="90" t="n">
        <f aca="false">IF(6&gt;='Assumption Setting'!$F$103,'Assumption Setting'!$C$103,0)</f>
        <v>0</v>
      </c>
      <c r="I106" s="90" t="n">
        <f aca="false">IF(7&gt;='Assumption Setting'!$F$103,'Assumption Setting'!$C$103,0)</f>
        <v>0</v>
      </c>
      <c r="J106" s="90" t="n">
        <f aca="false">IF(8&gt;='Assumption Setting'!$F$103,'Assumption Setting'!$C$103,0)</f>
        <v>0</v>
      </c>
      <c r="K106" s="90" t="n">
        <f aca="false">IF(9&gt;='Assumption Setting'!$F$103,'Assumption Setting'!$C$103,0)</f>
        <v>0</v>
      </c>
      <c r="L106" s="90" t="n">
        <f aca="false">IF(10&gt;='Assumption Setting'!$F$103,'Assumption Setting'!$C$103,0)</f>
        <v>0</v>
      </c>
      <c r="M106" s="90" t="n">
        <f aca="false">IF(11&gt;='Assumption Setting'!$F$103,'Assumption Setting'!$C$103,0)</f>
        <v>0</v>
      </c>
      <c r="N106" s="90" t="n">
        <f aca="false">IF(12&gt;='Assumption Setting'!$F$103,'Assumption Setting'!$C$103,0)</f>
        <v>0</v>
      </c>
      <c r="O106" s="89" t="n">
        <f aca="false">AA106</f>
        <v>1</v>
      </c>
      <c r="P106" s="90" t="n">
        <f aca="false">IF(13&gt;='Assumption Setting'!$F$103,'Assumption Setting'!$C$103,0)</f>
        <v>1</v>
      </c>
      <c r="Q106" s="90" t="n">
        <f aca="false">IF(14&gt;='Assumption Setting'!$F$103,'Assumption Setting'!$C$103,0)</f>
        <v>1</v>
      </c>
      <c r="R106" s="90" t="n">
        <f aca="false">IF(15&gt;='Assumption Setting'!$F$103,'Assumption Setting'!$C$103,0)</f>
        <v>1</v>
      </c>
      <c r="S106" s="90" t="n">
        <f aca="false">IF(16&gt;='Assumption Setting'!$F$103,'Assumption Setting'!$C$103,0)</f>
        <v>1</v>
      </c>
      <c r="T106" s="90" t="n">
        <f aca="false">IF(17&gt;='Assumption Setting'!$F$103,'Assumption Setting'!$C$103,0)</f>
        <v>1</v>
      </c>
      <c r="U106" s="90" t="n">
        <f aca="false">IF(18&gt;='Assumption Setting'!$F$103,'Assumption Setting'!$C$103,0)</f>
        <v>1</v>
      </c>
      <c r="V106" s="90" t="n">
        <f aca="false">IF(19&gt;='Assumption Setting'!$F$103,'Assumption Setting'!$C$103,0)</f>
        <v>1</v>
      </c>
      <c r="W106" s="90" t="n">
        <f aca="false">IF(20&gt;='Assumption Setting'!$F$103,'Assumption Setting'!$C$103,0)</f>
        <v>1</v>
      </c>
      <c r="X106" s="90" t="n">
        <f aca="false">IF(21&gt;='Assumption Setting'!$F$103,'Assumption Setting'!$C$103,0)</f>
        <v>1</v>
      </c>
      <c r="Y106" s="90" t="n">
        <f aca="false">IF(22&gt;='Assumption Setting'!$F$103,'Assumption Setting'!$C$103,0)</f>
        <v>1</v>
      </c>
      <c r="Z106" s="90" t="n">
        <f aca="false">IF(23&gt;='Assumption Setting'!$F$103,'Assumption Setting'!$C$103,0)</f>
        <v>1</v>
      </c>
      <c r="AA106" s="90" t="n">
        <f aca="false">IF(24&gt;='Assumption Setting'!$F$103,'Assumption Setting'!$C$103,0)</f>
        <v>1</v>
      </c>
      <c r="AB106" s="89" t="n">
        <f aca="false">AN106</f>
        <v>1</v>
      </c>
      <c r="AC106" s="90" t="n">
        <f aca="false">IF(25&gt;='Assumption Setting'!$F$103,'Assumption Setting'!$C$103,0)</f>
        <v>1</v>
      </c>
      <c r="AD106" s="90" t="n">
        <f aca="false">IF(26&gt;='Assumption Setting'!$F$103,'Assumption Setting'!$C$103,0)</f>
        <v>1</v>
      </c>
      <c r="AE106" s="90" t="n">
        <f aca="false">IF(27&gt;='Assumption Setting'!$F$103,'Assumption Setting'!$C$103,0)</f>
        <v>1</v>
      </c>
      <c r="AF106" s="90" t="n">
        <f aca="false">IF(28&gt;='Assumption Setting'!$F$103,'Assumption Setting'!$C$103,0)</f>
        <v>1</v>
      </c>
      <c r="AG106" s="90" t="n">
        <f aca="false">IF(29&gt;='Assumption Setting'!$F$103,'Assumption Setting'!$C$103,0)</f>
        <v>1</v>
      </c>
      <c r="AH106" s="90" t="n">
        <f aca="false">IF(30&gt;='Assumption Setting'!$F$103,'Assumption Setting'!$C$103,0)</f>
        <v>1</v>
      </c>
      <c r="AI106" s="90" t="n">
        <f aca="false">IF(31&gt;='Assumption Setting'!$F$103,'Assumption Setting'!$C$103,0)</f>
        <v>1</v>
      </c>
      <c r="AJ106" s="90" t="n">
        <f aca="false">IF(32&gt;='Assumption Setting'!$F$103,'Assumption Setting'!$C$103,0)</f>
        <v>1</v>
      </c>
      <c r="AK106" s="90" t="n">
        <f aca="false">IF(33&gt;='Assumption Setting'!$F$103,'Assumption Setting'!$C$103,0)</f>
        <v>1</v>
      </c>
      <c r="AL106" s="90" t="n">
        <f aca="false">IF(34&gt;='Assumption Setting'!$F$103,'Assumption Setting'!$C$103,0)</f>
        <v>1</v>
      </c>
      <c r="AM106" s="90" t="n">
        <f aca="false">IF(35&gt;='Assumption Setting'!$F$103,'Assumption Setting'!$C$103,0)</f>
        <v>1</v>
      </c>
      <c r="AN106" s="90" t="n">
        <f aca="false">IF(36&gt;='Assumption Setting'!$F$103,'Assumption Setting'!$C$103,0)</f>
        <v>1</v>
      </c>
      <c r="AO106" s="89" t="n">
        <f aca="false">BA106</f>
        <v>1</v>
      </c>
      <c r="AP106" s="90" t="n">
        <f aca="false">IF(37&gt;='Assumption Setting'!$F$103,'Assumption Setting'!$C$103,0)</f>
        <v>1</v>
      </c>
      <c r="AQ106" s="90" t="n">
        <f aca="false">IF(38&gt;='Assumption Setting'!$F$103,'Assumption Setting'!$C$103,0)</f>
        <v>1</v>
      </c>
      <c r="AR106" s="90" t="n">
        <f aca="false">IF(39&gt;='Assumption Setting'!$F$103,'Assumption Setting'!$C$103,0)</f>
        <v>1</v>
      </c>
      <c r="AS106" s="90" t="n">
        <f aca="false">IF(40&gt;='Assumption Setting'!$F$103,'Assumption Setting'!$C$103,0)</f>
        <v>1</v>
      </c>
      <c r="AT106" s="90" t="n">
        <f aca="false">IF(41&gt;='Assumption Setting'!$F$103,'Assumption Setting'!$C$103,0)</f>
        <v>1</v>
      </c>
      <c r="AU106" s="90" t="n">
        <f aca="false">IF(42&gt;='Assumption Setting'!$F$103,'Assumption Setting'!$C$103,0)</f>
        <v>1</v>
      </c>
      <c r="AV106" s="90" t="n">
        <f aca="false">IF(43&gt;='Assumption Setting'!$F$103,'Assumption Setting'!$C$103,0)</f>
        <v>1</v>
      </c>
      <c r="AW106" s="90" t="n">
        <f aca="false">IF(44&gt;='Assumption Setting'!$F$103,'Assumption Setting'!$C$103,0)</f>
        <v>1</v>
      </c>
      <c r="AX106" s="90" t="n">
        <f aca="false">IF(45&gt;='Assumption Setting'!$F$103,'Assumption Setting'!$C$103,0)</f>
        <v>1</v>
      </c>
      <c r="AY106" s="90" t="n">
        <f aca="false">IF(46&gt;='Assumption Setting'!$F$103,'Assumption Setting'!$C$103,0)</f>
        <v>1</v>
      </c>
      <c r="AZ106" s="90" t="n">
        <f aca="false">IF(47&gt;='Assumption Setting'!$F$103,'Assumption Setting'!$C$103,0)</f>
        <v>1</v>
      </c>
      <c r="BA106" s="90" t="n">
        <f aca="false">IF(48&gt;='Assumption Setting'!$F$103,'Assumption Setting'!$C$103,0)</f>
        <v>1</v>
      </c>
      <c r="BB106" s="89" t="n">
        <f aca="false">BN106</f>
        <v>1</v>
      </c>
      <c r="BC106" s="90" t="n">
        <f aca="false">IF(49&gt;='Assumption Setting'!$F$103,'Assumption Setting'!$C$103,0)</f>
        <v>1</v>
      </c>
      <c r="BD106" s="90" t="n">
        <f aca="false">IF(50&gt;='Assumption Setting'!$F$103,'Assumption Setting'!$C$103,0)</f>
        <v>1</v>
      </c>
      <c r="BE106" s="90" t="n">
        <f aca="false">IF(51&gt;='Assumption Setting'!$F$103,'Assumption Setting'!$C$103,0)</f>
        <v>1</v>
      </c>
      <c r="BF106" s="90" t="n">
        <f aca="false">IF(52&gt;='Assumption Setting'!$F$103,'Assumption Setting'!$C$103,0)</f>
        <v>1</v>
      </c>
      <c r="BG106" s="90" t="n">
        <f aca="false">IF(53&gt;='Assumption Setting'!$F$103,'Assumption Setting'!$C$103,0)</f>
        <v>1</v>
      </c>
      <c r="BH106" s="90" t="n">
        <f aca="false">IF(54&gt;='Assumption Setting'!$F$103,'Assumption Setting'!$C$103,0)</f>
        <v>1</v>
      </c>
      <c r="BI106" s="90" t="n">
        <f aca="false">IF(55&gt;='Assumption Setting'!$F$103,'Assumption Setting'!$C$103,0)</f>
        <v>1</v>
      </c>
      <c r="BJ106" s="90" t="n">
        <f aca="false">IF(56&gt;='Assumption Setting'!$F$103,'Assumption Setting'!$C$103,0)</f>
        <v>1</v>
      </c>
      <c r="BK106" s="90" t="n">
        <f aca="false">IF(57&gt;='Assumption Setting'!$F$103,'Assumption Setting'!$C$103,0)</f>
        <v>1</v>
      </c>
      <c r="BL106" s="90" t="n">
        <f aca="false">IF(58&gt;='Assumption Setting'!$F$103,'Assumption Setting'!$C$103,0)</f>
        <v>1</v>
      </c>
      <c r="BM106" s="90" t="n">
        <f aca="false">IF(59&gt;='Assumption Setting'!$F$103,'Assumption Setting'!$C$103,0)</f>
        <v>1</v>
      </c>
      <c r="BN106" s="90" t="n">
        <f aca="false">IF(60&gt;='Assumption Setting'!$F$103,'Assumption Setting'!$C$103,0)</f>
        <v>1</v>
      </c>
    </row>
    <row r="107" customFormat="false" ht="15" hidden="false" customHeight="false" outlineLevel="0" collapsed="false">
      <c r="A107" s="12" t="s">
        <v>626</v>
      </c>
      <c r="B107" s="89" t="n">
        <f aca="false">N107</f>
        <v>0</v>
      </c>
      <c r="C107" s="90" t="n">
        <f aca="false">IF(1&gt;='Assumption Setting'!$F$101,'Assumption Setting'!$C$101,0)+IF(1&gt;='Assumption Setting'!$F$102,'Assumption Setting'!$C$102,0)</f>
        <v>0</v>
      </c>
      <c r="D107" s="90" t="n">
        <f aca="false">IF(2&gt;='Assumption Setting'!$F$101,'Assumption Setting'!$C$101,0)+IF(2&gt;='Assumption Setting'!$F$102,'Assumption Setting'!$C$102,0)</f>
        <v>0</v>
      </c>
      <c r="E107" s="90" t="n">
        <f aca="false">IF(3&gt;='Assumption Setting'!$F$101,'Assumption Setting'!$C$101,0)+IF(3&gt;='Assumption Setting'!$F$102,'Assumption Setting'!$C$102,0)</f>
        <v>0</v>
      </c>
      <c r="F107" s="90" t="n">
        <f aca="false">IF(4&gt;='Assumption Setting'!$F$101,'Assumption Setting'!$C$101,0)+IF(4&gt;='Assumption Setting'!$F$102,'Assumption Setting'!$C$102,0)</f>
        <v>0</v>
      </c>
      <c r="G107" s="90" t="n">
        <f aca="false">IF(5&gt;='Assumption Setting'!$F$101,'Assumption Setting'!$C$101,0)+IF(5&gt;='Assumption Setting'!$F$102,'Assumption Setting'!$C$102,0)</f>
        <v>0</v>
      </c>
      <c r="H107" s="90" t="n">
        <f aca="false">IF(6&gt;='Assumption Setting'!$F$101,'Assumption Setting'!$C$101,0)+IF(6&gt;='Assumption Setting'!$F$102,'Assumption Setting'!$C$102,0)</f>
        <v>0</v>
      </c>
      <c r="I107" s="90" t="n">
        <f aca="false">IF(7&gt;='Assumption Setting'!$F$101,'Assumption Setting'!$C$101,0)+IF(7&gt;='Assumption Setting'!$F$102,'Assumption Setting'!$C$102,0)</f>
        <v>0</v>
      </c>
      <c r="J107" s="90" t="n">
        <f aca="false">IF(8&gt;='Assumption Setting'!$F$101,'Assumption Setting'!$C$101,0)+IF(8&gt;='Assumption Setting'!$F$102,'Assumption Setting'!$C$102,0)</f>
        <v>0</v>
      </c>
      <c r="K107" s="90" t="n">
        <f aca="false">IF(9&gt;='Assumption Setting'!$F$101,'Assumption Setting'!$C$101,0)+IF(9&gt;='Assumption Setting'!$F$102,'Assumption Setting'!$C$102,0)</f>
        <v>0</v>
      </c>
      <c r="L107" s="90" t="n">
        <f aca="false">IF(10&gt;='Assumption Setting'!$F$101,'Assumption Setting'!$C$101,0)+IF(10&gt;='Assumption Setting'!$F$102,'Assumption Setting'!$C$102,0)</f>
        <v>0</v>
      </c>
      <c r="M107" s="90" t="n">
        <f aca="false">IF(11&gt;='Assumption Setting'!$F$101,'Assumption Setting'!$C$101,0)+IF(11&gt;='Assumption Setting'!$F$102,'Assumption Setting'!$C$102,0)</f>
        <v>0</v>
      </c>
      <c r="N107" s="90" t="n">
        <f aca="false">IF(12&gt;='Assumption Setting'!$F$101,'Assumption Setting'!$C$101,0)+IF(12&gt;='Assumption Setting'!$F$102,'Assumption Setting'!$C$102,0)</f>
        <v>0</v>
      </c>
      <c r="O107" s="89" t="n">
        <f aca="false">AA107</f>
        <v>1</v>
      </c>
      <c r="P107" s="90" t="n">
        <f aca="false">IF(13&gt;='Assumption Setting'!$F$101,'Assumption Setting'!$C$101,0)+IF(13&gt;='Assumption Setting'!$F$102,'Assumption Setting'!$C$102,0)</f>
        <v>1</v>
      </c>
      <c r="Q107" s="90" t="n">
        <f aca="false">IF(14&gt;='Assumption Setting'!$F$101,'Assumption Setting'!$C$101,0)+IF(14&gt;='Assumption Setting'!$F$102,'Assumption Setting'!$C$102,0)</f>
        <v>1</v>
      </c>
      <c r="R107" s="90" t="n">
        <f aca="false">IF(15&gt;='Assumption Setting'!$F$101,'Assumption Setting'!$C$101,0)+IF(15&gt;='Assumption Setting'!$F$102,'Assumption Setting'!$C$102,0)</f>
        <v>1</v>
      </c>
      <c r="S107" s="90" t="n">
        <f aca="false">IF(16&gt;='Assumption Setting'!$F$101,'Assumption Setting'!$C$101,0)+IF(16&gt;='Assumption Setting'!$F$102,'Assumption Setting'!$C$102,0)</f>
        <v>1</v>
      </c>
      <c r="T107" s="90" t="n">
        <f aca="false">IF(17&gt;='Assumption Setting'!$F$101,'Assumption Setting'!$C$101,0)+IF(17&gt;='Assumption Setting'!$F$102,'Assumption Setting'!$C$102,0)</f>
        <v>1</v>
      </c>
      <c r="U107" s="90" t="n">
        <f aca="false">IF(18&gt;='Assumption Setting'!$F$101,'Assumption Setting'!$C$101,0)+IF(18&gt;='Assumption Setting'!$F$102,'Assumption Setting'!$C$102,0)</f>
        <v>1</v>
      </c>
      <c r="V107" s="90" t="n">
        <f aca="false">IF(19&gt;='Assumption Setting'!$F$101,'Assumption Setting'!$C$101,0)+IF(19&gt;='Assumption Setting'!$F$102,'Assumption Setting'!$C$102,0)</f>
        <v>1</v>
      </c>
      <c r="W107" s="90" t="n">
        <f aca="false">IF(20&gt;='Assumption Setting'!$F$101,'Assumption Setting'!$C$101,0)+IF(20&gt;='Assumption Setting'!$F$102,'Assumption Setting'!$C$102,0)</f>
        <v>1</v>
      </c>
      <c r="X107" s="90" t="n">
        <f aca="false">IF(21&gt;='Assumption Setting'!$F$101,'Assumption Setting'!$C$101,0)+IF(21&gt;='Assumption Setting'!$F$102,'Assumption Setting'!$C$102,0)</f>
        <v>1</v>
      </c>
      <c r="Y107" s="90" t="n">
        <f aca="false">IF(22&gt;='Assumption Setting'!$F$101,'Assumption Setting'!$C$101,0)+IF(22&gt;='Assumption Setting'!$F$102,'Assumption Setting'!$C$102,0)</f>
        <v>1</v>
      </c>
      <c r="Z107" s="90" t="n">
        <f aca="false">IF(23&gt;='Assumption Setting'!$F$101,'Assumption Setting'!$C$101,0)+IF(23&gt;='Assumption Setting'!$F$102,'Assumption Setting'!$C$102,0)</f>
        <v>1</v>
      </c>
      <c r="AA107" s="90" t="n">
        <f aca="false">IF(24&gt;='Assumption Setting'!$F$101,'Assumption Setting'!$C$101,0)+IF(24&gt;='Assumption Setting'!$F$102,'Assumption Setting'!$C$102,0)</f>
        <v>1</v>
      </c>
      <c r="AB107" s="89" t="n">
        <f aca="false">AN107</f>
        <v>1</v>
      </c>
      <c r="AC107" s="90" t="n">
        <f aca="false">IF(25&gt;='Assumption Setting'!$F$101,'Assumption Setting'!$C$101,0)+IF(25&gt;='Assumption Setting'!$F$102,'Assumption Setting'!$C$102,0)</f>
        <v>1</v>
      </c>
      <c r="AD107" s="90" t="n">
        <f aca="false">IF(26&gt;='Assumption Setting'!$F$101,'Assumption Setting'!$C$101,0)+IF(26&gt;='Assumption Setting'!$F$102,'Assumption Setting'!$C$102,0)</f>
        <v>1</v>
      </c>
      <c r="AE107" s="90" t="n">
        <f aca="false">IF(27&gt;='Assumption Setting'!$F$101,'Assumption Setting'!$C$101,0)+IF(27&gt;='Assumption Setting'!$F$102,'Assumption Setting'!$C$102,0)</f>
        <v>1</v>
      </c>
      <c r="AF107" s="90" t="n">
        <f aca="false">IF(28&gt;='Assumption Setting'!$F$101,'Assumption Setting'!$C$101,0)+IF(28&gt;='Assumption Setting'!$F$102,'Assumption Setting'!$C$102,0)</f>
        <v>1</v>
      </c>
      <c r="AG107" s="90" t="n">
        <f aca="false">IF(29&gt;='Assumption Setting'!$F$101,'Assumption Setting'!$C$101,0)+IF(29&gt;='Assumption Setting'!$F$102,'Assumption Setting'!$C$102,0)</f>
        <v>1</v>
      </c>
      <c r="AH107" s="90" t="n">
        <f aca="false">IF(30&gt;='Assumption Setting'!$F$101,'Assumption Setting'!$C$101,0)+IF(30&gt;='Assumption Setting'!$F$102,'Assumption Setting'!$C$102,0)</f>
        <v>1</v>
      </c>
      <c r="AI107" s="90" t="n">
        <f aca="false">IF(31&gt;='Assumption Setting'!$F$101,'Assumption Setting'!$C$101,0)+IF(31&gt;='Assumption Setting'!$F$102,'Assumption Setting'!$C$102,0)</f>
        <v>1</v>
      </c>
      <c r="AJ107" s="90" t="n">
        <f aca="false">IF(32&gt;='Assumption Setting'!$F$101,'Assumption Setting'!$C$101,0)+IF(32&gt;='Assumption Setting'!$F$102,'Assumption Setting'!$C$102,0)</f>
        <v>1</v>
      </c>
      <c r="AK107" s="90" t="n">
        <f aca="false">IF(33&gt;='Assumption Setting'!$F$101,'Assumption Setting'!$C$101,0)+IF(33&gt;='Assumption Setting'!$F$102,'Assumption Setting'!$C$102,0)</f>
        <v>1</v>
      </c>
      <c r="AL107" s="90" t="n">
        <f aca="false">IF(34&gt;='Assumption Setting'!$F$101,'Assumption Setting'!$C$101,0)+IF(34&gt;='Assumption Setting'!$F$102,'Assumption Setting'!$C$102,0)</f>
        <v>1</v>
      </c>
      <c r="AM107" s="90" t="n">
        <f aca="false">IF(35&gt;='Assumption Setting'!$F$101,'Assumption Setting'!$C$101,0)+IF(35&gt;='Assumption Setting'!$F$102,'Assumption Setting'!$C$102,0)</f>
        <v>1</v>
      </c>
      <c r="AN107" s="90" t="n">
        <f aca="false">IF(36&gt;='Assumption Setting'!$F$101,'Assumption Setting'!$C$101,0)+IF(36&gt;='Assumption Setting'!$F$102,'Assumption Setting'!$C$102,0)</f>
        <v>1</v>
      </c>
      <c r="AO107" s="89" t="n">
        <f aca="false">BA107</f>
        <v>1</v>
      </c>
      <c r="AP107" s="90" t="n">
        <f aca="false">IF(37&gt;='Assumption Setting'!$F$101,'Assumption Setting'!$C$101,0)+IF(37&gt;='Assumption Setting'!$F$102,'Assumption Setting'!$C$102,0)</f>
        <v>1</v>
      </c>
      <c r="AQ107" s="90" t="n">
        <f aca="false">IF(38&gt;='Assumption Setting'!$F$101,'Assumption Setting'!$C$101,0)+IF(38&gt;='Assumption Setting'!$F$102,'Assumption Setting'!$C$102,0)</f>
        <v>1</v>
      </c>
      <c r="AR107" s="90" t="n">
        <f aca="false">IF(39&gt;='Assumption Setting'!$F$101,'Assumption Setting'!$C$101,0)+IF(39&gt;='Assumption Setting'!$F$102,'Assumption Setting'!$C$102,0)</f>
        <v>1</v>
      </c>
      <c r="AS107" s="90" t="n">
        <f aca="false">IF(40&gt;='Assumption Setting'!$F$101,'Assumption Setting'!$C$101,0)+IF(40&gt;='Assumption Setting'!$F$102,'Assumption Setting'!$C$102,0)</f>
        <v>1</v>
      </c>
      <c r="AT107" s="90" t="n">
        <f aca="false">IF(41&gt;='Assumption Setting'!$F$101,'Assumption Setting'!$C$101,0)+IF(41&gt;='Assumption Setting'!$F$102,'Assumption Setting'!$C$102,0)</f>
        <v>1</v>
      </c>
      <c r="AU107" s="90" t="n">
        <f aca="false">IF(42&gt;='Assumption Setting'!$F$101,'Assumption Setting'!$C$101,0)+IF(42&gt;='Assumption Setting'!$F$102,'Assumption Setting'!$C$102,0)</f>
        <v>1</v>
      </c>
      <c r="AV107" s="90" t="n">
        <f aca="false">IF(43&gt;='Assumption Setting'!$F$101,'Assumption Setting'!$C$101,0)+IF(43&gt;='Assumption Setting'!$F$102,'Assumption Setting'!$C$102,0)</f>
        <v>1</v>
      </c>
      <c r="AW107" s="90" t="n">
        <f aca="false">IF(44&gt;='Assumption Setting'!$F$101,'Assumption Setting'!$C$101,0)+IF(44&gt;='Assumption Setting'!$F$102,'Assumption Setting'!$C$102,0)</f>
        <v>1</v>
      </c>
      <c r="AX107" s="90" t="n">
        <f aca="false">IF(45&gt;='Assumption Setting'!$F$101,'Assumption Setting'!$C$101,0)+IF(45&gt;='Assumption Setting'!$F$102,'Assumption Setting'!$C$102,0)</f>
        <v>1</v>
      </c>
      <c r="AY107" s="90" t="n">
        <f aca="false">IF(46&gt;='Assumption Setting'!$F$101,'Assumption Setting'!$C$101,0)+IF(46&gt;='Assumption Setting'!$F$102,'Assumption Setting'!$C$102,0)</f>
        <v>1</v>
      </c>
      <c r="AZ107" s="90" t="n">
        <f aca="false">IF(47&gt;='Assumption Setting'!$F$101,'Assumption Setting'!$C$101,0)+IF(47&gt;='Assumption Setting'!$F$102,'Assumption Setting'!$C$102,0)</f>
        <v>1</v>
      </c>
      <c r="BA107" s="90" t="n">
        <f aca="false">IF(48&gt;='Assumption Setting'!$F$101,'Assumption Setting'!$C$101,0)+IF(48&gt;='Assumption Setting'!$F$102,'Assumption Setting'!$C$102,0)</f>
        <v>1</v>
      </c>
      <c r="BB107" s="89" t="n">
        <f aca="false">BN107</f>
        <v>1</v>
      </c>
      <c r="BC107" s="90" t="n">
        <f aca="false">IF(49&gt;='Assumption Setting'!$F$101,'Assumption Setting'!$C$101,0)+IF(49&gt;='Assumption Setting'!$F$102,'Assumption Setting'!$C$102,0)</f>
        <v>1</v>
      </c>
      <c r="BD107" s="90" t="n">
        <f aca="false">IF(50&gt;='Assumption Setting'!$F$101,'Assumption Setting'!$C$101,0)+IF(50&gt;='Assumption Setting'!$F$102,'Assumption Setting'!$C$102,0)</f>
        <v>1</v>
      </c>
      <c r="BE107" s="90" t="n">
        <f aca="false">IF(51&gt;='Assumption Setting'!$F$101,'Assumption Setting'!$C$101,0)+IF(51&gt;='Assumption Setting'!$F$102,'Assumption Setting'!$C$102,0)</f>
        <v>1</v>
      </c>
      <c r="BF107" s="90" t="n">
        <f aca="false">IF(52&gt;='Assumption Setting'!$F$101,'Assumption Setting'!$C$101,0)+IF(52&gt;='Assumption Setting'!$F$102,'Assumption Setting'!$C$102,0)</f>
        <v>1</v>
      </c>
      <c r="BG107" s="90" t="n">
        <f aca="false">IF(53&gt;='Assumption Setting'!$F$101,'Assumption Setting'!$C$101,0)+IF(53&gt;='Assumption Setting'!$F$102,'Assumption Setting'!$C$102,0)</f>
        <v>1</v>
      </c>
      <c r="BH107" s="90" t="n">
        <f aca="false">IF(54&gt;='Assumption Setting'!$F$101,'Assumption Setting'!$C$101,0)+IF(54&gt;='Assumption Setting'!$F$102,'Assumption Setting'!$C$102,0)</f>
        <v>1</v>
      </c>
      <c r="BI107" s="90" t="n">
        <f aca="false">IF(55&gt;='Assumption Setting'!$F$101,'Assumption Setting'!$C$101,0)+IF(55&gt;='Assumption Setting'!$F$102,'Assumption Setting'!$C$102,0)</f>
        <v>1</v>
      </c>
      <c r="BJ107" s="90" t="n">
        <f aca="false">IF(56&gt;='Assumption Setting'!$F$101,'Assumption Setting'!$C$101,0)+IF(56&gt;='Assumption Setting'!$F$102,'Assumption Setting'!$C$102,0)</f>
        <v>1</v>
      </c>
      <c r="BK107" s="90" t="n">
        <f aca="false">IF(57&gt;='Assumption Setting'!$F$101,'Assumption Setting'!$C$101,0)+IF(57&gt;='Assumption Setting'!$F$102,'Assumption Setting'!$C$102,0)</f>
        <v>1</v>
      </c>
      <c r="BL107" s="90" t="n">
        <f aca="false">IF(58&gt;='Assumption Setting'!$F$101,'Assumption Setting'!$C$101,0)+IF(58&gt;='Assumption Setting'!$F$102,'Assumption Setting'!$C$102,0)</f>
        <v>1</v>
      </c>
      <c r="BM107" s="90" t="n">
        <f aca="false">IF(59&gt;='Assumption Setting'!$F$101,'Assumption Setting'!$C$101,0)+IF(59&gt;='Assumption Setting'!$F$102,'Assumption Setting'!$C$102,0)</f>
        <v>1</v>
      </c>
      <c r="BN107" s="90" t="n">
        <f aca="false">IF(60&gt;='Assumption Setting'!$F$101,'Assumption Setting'!$C$101,0)+IF(60&gt;='Assumption Setting'!$F$102,'Assumption Setting'!$C$102,0)</f>
        <v>1</v>
      </c>
    </row>
    <row r="108" customFormat="false" ht="15" hidden="false" customHeight="false" outlineLevel="0" collapsed="false">
      <c r="A108" s="12" t="s">
        <v>627</v>
      </c>
      <c r="B108" s="89" t="n">
        <f aca="false">N108</f>
        <v>0</v>
      </c>
      <c r="C108" s="90" t="n">
        <f aca="false">IF(1&gt;='Assumption Setting'!$F$106,'Assumption Setting'!$C$106,0)</f>
        <v>0</v>
      </c>
      <c r="D108" s="90" t="n">
        <f aca="false">IF(2&gt;='Assumption Setting'!$F$106,'Assumption Setting'!$C$106,0)</f>
        <v>0</v>
      </c>
      <c r="E108" s="90" t="n">
        <f aca="false">IF(3&gt;='Assumption Setting'!$F$106,'Assumption Setting'!$C$106,0)</f>
        <v>0</v>
      </c>
      <c r="F108" s="90" t="n">
        <f aca="false">IF(4&gt;='Assumption Setting'!$F$106,'Assumption Setting'!$C$106,0)</f>
        <v>0</v>
      </c>
      <c r="G108" s="90" t="n">
        <f aca="false">IF(5&gt;='Assumption Setting'!$F$106,'Assumption Setting'!$C$106,0)</f>
        <v>0</v>
      </c>
      <c r="H108" s="90" t="n">
        <f aca="false">IF(6&gt;='Assumption Setting'!$F$106,'Assumption Setting'!$C$106,0)</f>
        <v>0</v>
      </c>
      <c r="I108" s="90" t="n">
        <f aca="false">IF(7&gt;='Assumption Setting'!$F$106,'Assumption Setting'!$C$106,0)</f>
        <v>0</v>
      </c>
      <c r="J108" s="90" t="n">
        <f aca="false">IF(8&gt;='Assumption Setting'!$F$106,'Assumption Setting'!$C$106,0)</f>
        <v>0</v>
      </c>
      <c r="K108" s="90" t="n">
        <f aca="false">IF(9&gt;='Assumption Setting'!$F$106,'Assumption Setting'!$C$106,0)</f>
        <v>0</v>
      </c>
      <c r="L108" s="90" t="n">
        <f aca="false">IF(10&gt;='Assumption Setting'!$F$106,'Assumption Setting'!$C$106,0)</f>
        <v>0</v>
      </c>
      <c r="M108" s="90" t="n">
        <f aca="false">IF(11&gt;='Assumption Setting'!$F$106,'Assumption Setting'!$C$106,0)</f>
        <v>0</v>
      </c>
      <c r="N108" s="90" t="n">
        <f aca="false">IF(12&gt;='Assumption Setting'!$F$106,'Assumption Setting'!$C$106,0)</f>
        <v>0</v>
      </c>
      <c r="O108" s="89" t="n">
        <f aca="false">AA108</f>
        <v>1</v>
      </c>
      <c r="P108" s="90" t="n">
        <f aca="false">IF(13&gt;='Assumption Setting'!$F$106,'Assumption Setting'!$C$106,0)</f>
        <v>1</v>
      </c>
      <c r="Q108" s="90" t="n">
        <f aca="false">IF(14&gt;='Assumption Setting'!$F$106,'Assumption Setting'!$C$106,0)</f>
        <v>1</v>
      </c>
      <c r="R108" s="90" t="n">
        <f aca="false">IF(15&gt;='Assumption Setting'!$F$106,'Assumption Setting'!$C$106,0)</f>
        <v>1</v>
      </c>
      <c r="S108" s="90" t="n">
        <f aca="false">IF(16&gt;='Assumption Setting'!$F$106,'Assumption Setting'!$C$106,0)</f>
        <v>1</v>
      </c>
      <c r="T108" s="90" t="n">
        <f aca="false">IF(17&gt;='Assumption Setting'!$F$106,'Assumption Setting'!$C$106,0)</f>
        <v>1</v>
      </c>
      <c r="U108" s="90" t="n">
        <f aca="false">IF(18&gt;='Assumption Setting'!$F$106,'Assumption Setting'!$C$106,0)</f>
        <v>1</v>
      </c>
      <c r="V108" s="90" t="n">
        <f aca="false">IF(19&gt;='Assumption Setting'!$F$106,'Assumption Setting'!$C$106,0)</f>
        <v>1</v>
      </c>
      <c r="W108" s="90" t="n">
        <f aca="false">IF(20&gt;='Assumption Setting'!$F$106,'Assumption Setting'!$C$106,0)</f>
        <v>1</v>
      </c>
      <c r="X108" s="90" t="n">
        <f aca="false">IF(21&gt;='Assumption Setting'!$F$106,'Assumption Setting'!$C$106,0)</f>
        <v>1</v>
      </c>
      <c r="Y108" s="90" t="n">
        <f aca="false">IF(22&gt;='Assumption Setting'!$F$106,'Assumption Setting'!$C$106,0)</f>
        <v>1</v>
      </c>
      <c r="Z108" s="90" t="n">
        <f aca="false">IF(23&gt;='Assumption Setting'!$F$106,'Assumption Setting'!$C$106,0)</f>
        <v>1</v>
      </c>
      <c r="AA108" s="90" t="n">
        <f aca="false">IF(24&gt;='Assumption Setting'!$F$106,'Assumption Setting'!$C$106,0)</f>
        <v>1</v>
      </c>
      <c r="AB108" s="89" t="n">
        <f aca="false">AN108</f>
        <v>1</v>
      </c>
      <c r="AC108" s="90" t="n">
        <f aca="false">IF(25&gt;='Assumption Setting'!$F$106,'Assumption Setting'!$C$106,0)</f>
        <v>1</v>
      </c>
      <c r="AD108" s="90" t="n">
        <f aca="false">IF(26&gt;='Assumption Setting'!$F$106,'Assumption Setting'!$C$106,0)</f>
        <v>1</v>
      </c>
      <c r="AE108" s="90" t="n">
        <f aca="false">IF(27&gt;='Assumption Setting'!$F$106,'Assumption Setting'!$C$106,0)</f>
        <v>1</v>
      </c>
      <c r="AF108" s="90" t="n">
        <f aca="false">IF(28&gt;='Assumption Setting'!$F$106,'Assumption Setting'!$C$106,0)</f>
        <v>1</v>
      </c>
      <c r="AG108" s="90" t="n">
        <f aca="false">IF(29&gt;='Assumption Setting'!$F$106,'Assumption Setting'!$C$106,0)</f>
        <v>1</v>
      </c>
      <c r="AH108" s="90" t="n">
        <f aca="false">IF(30&gt;='Assumption Setting'!$F$106,'Assumption Setting'!$C$106,0)</f>
        <v>1</v>
      </c>
      <c r="AI108" s="90" t="n">
        <f aca="false">IF(31&gt;='Assumption Setting'!$F$106,'Assumption Setting'!$C$106,0)</f>
        <v>1</v>
      </c>
      <c r="AJ108" s="90" t="n">
        <f aca="false">IF(32&gt;='Assumption Setting'!$F$106,'Assumption Setting'!$C$106,0)</f>
        <v>1</v>
      </c>
      <c r="AK108" s="90" t="n">
        <f aca="false">IF(33&gt;='Assumption Setting'!$F$106,'Assumption Setting'!$C$106,0)</f>
        <v>1</v>
      </c>
      <c r="AL108" s="90" t="n">
        <f aca="false">IF(34&gt;='Assumption Setting'!$F$106,'Assumption Setting'!$C$106,0)</f>
        <v>1</v>
      </c>
      <c r="AM108" s="90" t="n">
        <f aca="false">IF(35&gt;='Assumption Setting'!$F$106,'Assumption Setting'!$C$106,0)</f>
        <v>1</v>
      </c>
      <c r="AN108" s="90" t="n">
        <f aca="false">IF(36&gt;='Assumption Setting'!$F$106,'Assumption Setting'!$C$106,0)</f>
        <v>1</v>
      </c>
      <c r="AO108" s="89" t="n">
        <f aca="false">BA108</f>
        <v>1</v>
      </c>
      <c r="AP108" s="90" t="n">
        <f aca="false">IF(37&gt;='Assumption Setting'!$F$106,'Assumption Setting'!$C$106,0)</f>
        <v>1</v>
      </c>
      <c r="AQ108" s="90" t="n">
        <f aca="false">IF(38&gt;='Assumption Setting'!$F$106,'Assumption Setting'!$C$106,0)</f>
        <v>1</v>
      </c>
      <c r="AR108" s="90" t="n">
        <f aca="false">IF(39&gt;='Assumption Setting'!$F$106,'Assumption Setting'!$C$106,0)</f>
        <v>1</v>
      </c>
      <c r="AS108" s="90" t="n">
        <f aca="false">IF(40&gt;='Assumption Setting'!$F$106,'Assumption Setting'!$C$106,0)</f>
        <v>1</v>
      </c>
      <c r="AT108" s="90" t="n">
        <f aca="false">IF(41&gt;='Assumption Setting'!$F$106,'Assumption Setting'!$C$106,0)</f>
        <v>1</v>
      </c>
      <c r="AU108" s="90" t="n">
        <f aca="false">IF(42&gt;='Assumption Setting'!$F$106,'Assumption Setting'!$C$106,0)</f>
        <v>1</v>
      </c>
      <c r="AV108" s="90" t="n">
        <f aca="false">IF(43&gt;='Assumption Setting'!$F$106,'Assumption Setting'!$C$106,0)</f>
        <v>1</v>
      </c>
      <c r="AW108" s="90" t="n">
        <f aca="false">IF(44&gt;='Assumption Setting'!$F$106,'Assumption Setting'!$C$106,0)</f>
        <v>1</v>
      </c>
      <c r="AX108" s="90" t="n">
        <f aca="false">IF(45&gt;='Assumption Setting'!$F$106,'Assumption Setting'!$C$106,0)</f>
        <v>1</v>
      </c>
      <c r="AY108" s="90" t="n">
        <f aca="false">IF(46&gt;='Assumption Setting'!$F$106,'Assumption Setting'!$C$106,0)</f>
        <v>1</v>
      </c>
      <c r="AZ108" s="90" t="n">
        <f aca="false">IF(47&gt;='Assumption Setting'!$F$106,'Assumption Setting'!$C$106,0)</f>
        <v>1</v>
      </c>
      <c r="BA108" s="90" t="n">
        <f aca="false">IF(48&gt;='Assumption Setting'!$F$106,'Assumption Setting'!$C$106,0)</f>
        <v>1</v>
      </c>
      <c r="BB108" s="89" t="n">
        <f aca="false">BN108</f>
        <v>1</v>
      </c>
      <c r="BC108" s="90" t="n">
        <f aca="false">IF(49&gt;='Assumption Setting'!$F$106,'Assumption Setting'!$C$106,0)</f>
        <v>1</v>
      </c>
      <c r="BD108" s="90" t="n">
        <f aca="false">IF(50&gt;='Assumption Setting'!$F$106,'Assumption Setting'!$C$106,0)</f>
        <v>1</v>
      </c>
      <c r="BE108" s="90" t="n">
        <f aca="false">IF(51&gt;='Assumption Setting'!$F$106,'Assumption Setting'!$C$106,0)</f>
        <v>1</v>
      </c>
      <c r="BF108" s="90" t="n">
        <f aca="false">IF(52&gt;='Assumption Setting'!$F$106,'Assumption Setting'!$C$106,0)</f>
        <v>1</v>
      </c>
      <c r="BG108" s="90" t="n">
        <f aca="false">IF(53&gt;='Assumption Setting'!$F$106,'Assumption Setting'!$C$106,0)</f>
        <v>1</v>
      </c>
      <c r="BH108" s="90" t="n">
        <f aca="false">IF(54&gt;='Assumption Setting'!$F$106,'Assumption Setting'!$C$106,0)</f>
        <v>1</v>
      </c>
      <c r="BI108" s="90" t="n">
        <f aca="false">IF(55&gt;='Assumption Setting'!$F$106,'Assumption Setting'!$C$106,0)</f>
        <v>1</v>
      </c>
      <c r="BJ108" s="90" t="n">
        <f aca="false">IF(56&gt;='Assumption Setting'!$F$106,'Assumption Setting'!$C$106,0)</f>
        <v>1</v>
      </c>
      <c r="BK108" s="90" t="n">
        <f aca="false">IF(57&gt;='Assumption Setting'!$F$106,'Assumption Setting'!$C$106,0)</f>
        <v>1</v>
      </c>
      <c r="BL108" s="90" t="n">
        <f aca="false">IF(58&gt;='Assumption Setting'!$F$106,'Assumption Setting'!$C$106,0)</f>
        <v>1</v>
      </c>
      <c r="BM108" s="90" t="n">
        <f aca="false">IF(59&gt;='Assumption Setting'!$F$106,'Assumption Setting'!$C$106,0)</f>
        <v>1</v>
      </c>
      <c r="BN108" s="90" t="n">
        <f aca="false">IF(60&gt;='Assumption Setting'!$F$106,'Assumption Setting'!$C$106,0)</f>
        <v>1</v>
      </c>
    </row>
    <row r="109" customFormat="false" ht="15" hidden="false" customHeight="false" outlineLevel="0" collapsed="false">
      <c r="A109" s="12" t="s">
        <v>628</v>
      </c>
      <c r="B109" s="89" t="n">
        <f aca="false">N109</f>
        <v>1</v>
      </c>
      <c r="C109" s="90" t="n">
        <f aca="false">IF(1&gt;='Assumption Setting'!$F$107,'Assumption Setting'!$C$107,0)</f>
        <v>1</v>
      </c>
      <c r="D109" s="90" t="n">
        <f aca="false">IF(2&gt;='Assumption Setting'!$F$107,'Assumption Setting'!$C$107,0)</f>
        <v>1</v>
      </c>
      <c r="E109" s="90" t="n">
        <f aca="false">IF(3&gt;='Assumption Setting'!$F$107,'Assumption Setting'!$C$107,0)</f>
        <v>1</v>
      </c>
      <c r="F109" s="90" t="n">
        <f aca="false">IF(4&gt;='Assumption Setting'!$F$107,'Assumption Setting'!$C$107,0)</f>
        <v>1</v>
      </c>
      <c r="G109" s="90" t="n">
        <f aca="false">IF(5&gt;='Assumption Setting'!$F$107,'Assumption Setting'!$C$107,0)</f>
        <v>1</v>
      </c>
      <c r="H109" s="90" t="n">
        <f aca="false">IF(6&gt;='Assumption Setting'!$F$107,'Assumption Setting'!$C$107,0)</f>
        <v>1</v>
      </c>
      <c r="I109" s="90" t="n">
        <f aca="false">IF(7&gt;='Assumption Setting'!$F$107,'Assumption Setting'!$C$107,0)</f>
        <v>1</v>
      </c>
      <c r="J109" s="90" t="n">
        <f aca="false">IF(8&gt;='Assumption Setting'!$F$107,'Assumption Setting'!$C$107,0)</f>
        <v>1</v>
      </c>
      <c r="K109" s="90" t="n">
        <f aca="false">IF(9&gt;='Assumption Setting'!$F$107,'Assumption Setting'!$C$107,0)</f>
        <v>1</v>
      </c>
      <c r="L109" s="90" t="n">
        <f aca="false">IF(10&gt;='Assumption Setting'!$F$107,'Assumption Setting'!$C$107,0)</f>
        <v>1</v>
      </c>
      <c r="M109" s="90" t="n">
        <f aca="false">IF(11&gt;='Assumption Setting'!$F$107,'Assumption Setting'!$C$107,0)</f>
        <v>1</v>
      </c>
      <c r="N109" s="90" t="n">
        <f aca="false">IF(12&gt;='Assumption Setting'!$F$107,'Assumption Setting'!$C$107,0)</f>
        <v>1</v>
      </c>
      <c r="O109" s="89" t="n">
        <f aca="false">AA109</f>
        <v>1</v>
      </c>
      <c r="P109" s="90" t="n">
        <f aca="false">IF(13&gt;='Assumption Setting'!$F$107,'Assumption Setting'!$C$107,0)</f>
        <v>1</v>
      </c>
      <c r="Q109" s="90" t="n">
        <f aca="false">IF(14&gt;='Assumption Setting'!$F$107,'Assumption Setting'!$C$107,0)</f>
        <v>1</v>
      </c>
      <c r="R109" s="90" t="n">
        <f aca="false">IF(15&gt;='Assumption Setting'!$F$107,'Assumption Setting'!$C$107,0)</f>
        <v>1</v>
      </c>
      <c r="S109" s="90" t="n">
        <f aca="false">IF(16&gt;='Assumption Setting'!$F$107,'Assumption Setting'!$C$107,0)</f>
        <v>1</v>
      </c>
      <c r="T109" s="90" t="n">
        <f aca="false">IF(17&gt;='Assumption Setting'!$F$107,'Assumption Setting'!$C$107,0)</f>
        <v>1</v>
      </c>
      <c r="U109" s="90" t="n">
        <f aca="false">IF(18&gt;='Assumption Setting'!$F$107,'Assumption Setting'!$C$107,0)</f>
        <v>1</v>
      </c>
      <c r="V109" s="90" t="n">
        <f aca="false">IF(19&gt;='Assumption Setting'!$F$107,'Assumption Setting'!$C$107,0)</f>
        <v>1</v>
      </c>
      <c r="W109" s="90" t="n">
        <f aca="false">IF(20&gt;='Assumption Setting'!$F$107,'Assumption Setting'!$C$107,0)</f>
        <v>1</v>
      </c>
      <c r="X109" s="90" t="n">
        <f aca="false">IF(21&gt;='Assumption Setting'!$F$107,'Assumption Setting'!$C$107,0)</f>
        <v>1</v>
      </c>
      <c r="Y109" s="90" t="n">
        <f aca="false">IF(22&gt;='Assumption Setting'!$F$107,'Assumption Setting'!$C$107,0)</f>
        <v>1</v>
      </c>
      <c r="Z109" s="90" t="n">
        <f aca="false">IF(23&gt;='Assumption Setting'!$F$107,'Assumption Setting'!$C$107,0)</f>
        <v>1</v>
      </c>
      <c r="AA109" s="90" t="n">
        <f aca="false">IF(24&gt;='Assumption Setting'!$F$107,'Assumption Setting'!$C$107,0)</f>
        <v>1</v>
      </c>
      <c r="AB109" s="89" t="n">
        <f aca="false">AN109</f>
        <v>1</v>
      </c>
      <c r="AC109" s="90" t="n">
        <f aca="false">IF(25&gt;='Assumption Setting'!$F$107,'Assumption Setting'!$C$107,0)</f>
        <v>1</v>
      </c>
      <c r="AD109" s="90" t="n">
        <f aca="false">IF(26&gt;='Assumption Setting'!$F$107,'Assumption Setting'!$C$107,0)</f>
        <v>1</v>
      </c>
      <c r="AE109" s="90" t="n">
        <f aca="false">IF(27&gt;='Assumption Setting'!$F$107,'Assumption Setting'!$C$107,0)</f>
        <v>1</v>
      </c>
      <c r="AF109" s="90" t="n">
        <f aca="false">IF(28&gt;='Assumption Setting'!$F$107,'Assumption Setting'!$C$107,0)</f>
        <v>1</v>
      </c>
      <c r="AG109" s="90" t="n">
        <f aca="false">IF(29&gt;='Assumption Setting'!$F$107,'Assumption Setting'!$C$107,0)</f>
        <v>1</v>
      </c>
      <c r="AH109" s="90" t="n">
        <f aca="false">IF(30&gt;='Assumption Setting'!$F$107,'Assumption Setting'!$C$107,0)</f>
        <v>1</v>
      </c>
      <c r="AI109" s="90" t="n">
        <f aca="false">IF(31&gt;='Assumption Setting'!$F$107,'Assumption Setting'!$C$107,0)</f>
        <v>1</v>
      </c>
      <c r="AJ109" s="90" t="n">
        <f aca="false">IF(32&gt;='Assumption Setting'!$F$107,'Assumption Setting'!$C$107,0)</f>
        <v>1</v>
      </c>
      <c r="AK109" s="90" t="n">
        <f aca="false">IF(33&gt;='Assumption Setting'!$F$107,'Assumption Setting'!$C$107,0)</f>
        <v>1</v>
      </c>
      <c r="AL109" s="90" t="n">
        <f aca="false">IF(34&gt;='Assumption Setting'!$F$107,'Assumption Setting'!$C$107,0)</f>
        <v>1</v>
      </c>
      <c r="AM109" s="90" t="n">
        <f aca="false">IF(35&gt;='Assumption Setting'!$F$107,'Assumption Setting'!$C$107,0)</f>
        <v>1</v>
      </c>
      <c r="AN109" s="90" t="n">
        <f aca="false">IF(36&gt;='Assumption Setting'!$F$107,'Assumption Setting'!$C$107,0)</f>
        <v>1</v>
      </c>
      <c r="AO109" s="89" t="n">
        <f aca="false">BA109</f>
        <v>1</v>
      </c>
      <c r="AP109" s="90" t="n">
        <f aca="false">IF(37&gt;='Assumption Setting'!$F$107,'Assumption Setting'!$C$107,0)</f>
        <v>1</v>
      </c>
      <c r="AQ109" s="90" t="n">
        <f aca="false">IF(38&gt;='Assumption Setting'!$F$107,'Assumption Setting'!$C$107,0)</f>
        <v>1</v>
      </c>
      <c r="AR109" s="90" t="n">
        <f aca="false">IF(39&gt;='Assumption Setting'!$F$107,'Assumption Setting'!$C$107,0)</f>
        <v>1</v>
      </c>
      <c r="AS109" s="90" t="n">
        <f aca="false">IF(40&gt;='Assumption Setting'!$F$107,'Assumption Setting'!$C$107,0)</f>
        <v>1</v>
      </c>
      <c r="AT109" s="90" t="n">
        <f aca="false">IF(41&gt;='Assumption Setting'!$F$107,'Assumption Setting'!$C$107,0)</f>
        <v>1</v>
      </c>
      <c r="AU109" s="90" t="n">
        <f aca="false">IF(42&gt;='Assumption Setting'!$F$107,'Assumption Setting'!$C$107,0)</f>
        <v>1</v>
      </c>
      <c r="AV109" s="90" t="n">
        <f aca="false">IF(43&gt;='Assumption Setting'!$F$107,'Assumption Setting'!$C$107,0)</f>
        <v>1</v>
      </c>
      <c r="AW109" s="90" t="n">
        <f aca="false">IF(44&gt;='Assumption Setting'!$F$107,'Assumption Setting'!$C$107,0)</f>
        <v>1</v>
      </c>
      <c r="AX109" s="90" t="n">
        <f aca="false">IF(45&gt;='Assumption Setting'!$F$107,'Assumption Setting'!$C$107,0)</f>
        <v>1</v>
      </c>
      <c r="AY109" s="90" t="n">
        <f aca="false">IF(46&gt;='Assumption Setting'!$F$107,'Assumption Setting'!$C$107,0)</f>
        <v>1</v>
      </c>
      <c r="AZ109" s="90" t="n">
        <f aca="false">IF(47&gt;='Assumption Setting'!$F$107,'Assumption Setting'!$C$107,0)</f>
        <v>1</v>
      </c>
      <c r="BA109" s="90" t="n">
        <f aca="false">IF(48&gt;='Assumption Setting'!$F$107,'Assumption Setting'!$C$107,0)</f>
        <v>1</v>
      </c>
      <c r="BB109" s="89" t="n">
        <f aca="false">BN109</f>
        <v>1</v>
      </c>
      <c r="BC109" s="90" t="n">
        <f aca="false">IF(49&gt;='Assumption Setting'!$F$107,'Assumption Setting'!$C$107,0)</f>
        <v>1</v>
      </c>
      <c r="BD109" s="90" t="n">
        <f aca="false">IF(50&gt;='Assumption Setting'!$F$107,'Assumption Setting'!$C$107,0)</f>
        <v>1</v>
      </c>
      <c r="BE109" s="90" t="n">
        <f aca="false">IF(51&gt;='Assumption Setting'!$F$107,'Assumption Setting'!$C$107,0)</f>
        <v>1</v>
      </c>
      <c r="BF109" s="90" t="n">
        <f aca="false">IF(52&gt;='Assumption Setting'!$F$107,'Assumption Setting'!$C$107,0)</f>
        <v>1</v>
      </c>
      <c r="BG109" s="90" t="n">
        <f aca="false">IF(53&gt;='Assumption Setting'!$F$107,'Assumption Setting'!$C$107,0)</f>
        <v>1</v>
      </c>
      <c r="BH109" s="90" t="n">
        <f aca="false">IF(54&gt;='Assumption Setting'!$F$107,'Assumption Setting'!$C$107,0)</f>
        <v>1</v>
      </c>
      <c r="BI109" s="90" t="n">
        <f aca="false">IF(55&gt;='Assumption Setting'!$F$107,'Assumption Setting'!$C$107,0)</f>
        <v>1</v>
      </c>
      <c r="BJ109" s="90" t="n">
        <f aca="false">IF(56&gt;='Assumption Setting'!$F$107,'Assumption Setting'!$C$107,0)</f>
        <v>1</v>
      </c>
      <c r="BK109" s="90" t="n">
        <f aca="false">IF(57&gt;='Assumption Setting'!$F$107,'Assumption Setting'!$C$107,0)</f>
        <v>1</v>
      </c>
      <c r="BL109" s="90" t="n">
        <f aca="false">IF(58&gt;='Assumption Setting'!$F$107,'Assumption Setting'!$C$107,0)</f>
        <v>1</v>
      </c>
      <c r="BM109" s="90" t="n">
        <f aca="false">IF(59&gt;='Assumption Setting'!$F$107,'Assumption Setting'!$C$107,0)</f>
        <v>1</v>
      </c>
      <c r="BN109" s="90" t="n">
        <f aca="false">IF(60&gt;='Assumption Setting'!$F$107,'Assumption Setting'!$C$107,0)</f>
        <v>1</v>
      </c>
    </row>
    <row r="110" customFormat="false" ht="15" hidden="false" customHeight="false" outlineLevel="0" collapsed="false">
      <c r="A110" s="71" t="s">
        <v>629</v>
      </c>
    </row>
    <row r="112" customFormat="false" ht="15" hidden="false" customHeight="false" outlineLevel="0" collapsed="false">
      <c r="A112" s="12" t="s">
        <v>630</v>
      </c>
      <c r="B112" s="91" t="n">
        <f aca="false">SUM(C112:N112)</f>
        <v>8.94570684269919</v>
      </c>
      <c r="C112" s="92" t="n">
        <f aca="false">IF(1&lt;'Assumption Setting'!$F$95,0,IFERROR(C73*'Assumption Setting'!$C$95/C104,0))+'Assumption Setting'!$C$32*'Assumption Setting'!$C$34</f>
        <v>2.5</v>
      </c>
      <c r="D112" s="92" t="n">
        <f aca="false">IF(2&lt;'Assumption Setting'!$F$95,0,IFERROR(D73*'Assumption Setting'!$C$95/D104,0))+'Assumption Setting'!$C$32*'Assumption Setting'!$C$35</f>
        <v>1.5</v>
      </c>
      <c r="E112" s="92" t="n">
        <f aca="false">IF(3&lt;'Assumption Setting'!$F$95,0,IFERROR(E73*'Assumption Setting'!$C$95/E104,0))+'Assumption Setting'!$C$32*'Assumption Setting'!$C$36</f>
        <v>1</v>
      </c>
      <c r="F112" s="92" t="n">
        <f aca="false">IF(4&lt;'Assumption Setting'!$F$95,0,IFERROR(F73*'Assumption Setting'!$C$95/F104,0))</f>
        <v>0</v>
      </c>
      <c r="G112" s="92" t="n">
        <f aca="false">IF(5&lt;'Assumption Setting'!$F$95,0,IFERROR(G73*'Assumption Setting'!$C$95/G104,0))</f>
        <v>0</v>
      </c>
      <c r="H112" s="92" t="n">
        <f aca="false">IF(6&lt;'Assumption Setting'!$F$95,0,IFERROR(H73*'Assumption Setting'!$C$95/H104,0))</f>
        <v>0</v>
      </c>
      <c r="I112" s="92" t="n">
        <f aca="false">IF(7&lt;'Assumption Setting'!$F$95,0,IFERROR(I73*'Assumption Setting'!$C$95/I104,0))</f>
        <v>0.657617807116532</v>
      </c>
      <c r="J112" s="92" t="n">
        <f aca="false">IF(8&lt;'Assumption Setting'!$F$95,0,IFERROR(J73*'Assumption Setting'!$C$95/J104,0))</f>
        <v>0.657617807116532</v>
      </c>
      <c r="K112" s="92" t="n">
        <f aca="false">IF(9&lt;'Assumption Setting'!$F$95,0,IFERROR(K73*'Assumption Setting'!$C$95/K104,0))</f>
        <v>0.657617807116532</v>
      </c>
      <c r="L112" s="92" t="n">
        <f aca="false">IF(10&lt;'Assumption Setting'!$F$95,0,IFERROR(L73*'Assumption Setting'!$C$95/L104,0))</f>
        <v>0.657617807116532</v>
      </c>
      <c r="M112" s="92" t="n">
        <f aca="false">IF(11&lt;'Assumption Setting'!$F$95,0,IFERROR(M73*'Assumption Setting'!$C$95/M104,0))</f>
        <v>0.657617807116532</v>
      </c>
      <c r="N112" s="92" t="n">
        <f aca="false">IF(12&lt;'Assumption Setting'!$F$95,0,IFERROR(N73*'Assumption Setting'!$C$95/N104,0))</f>
        <v>0.657617807116532</v>
      </c>
      <c r="O112" s="91" t="n">
        <f aca="false">SUM(P112:AA112)</f>
        <v>6.47339834148188</v>
      </c>
      <c r="P112" s="92" t="n">
        <f aca="false">IF(13&lt;'Assumption Setting'!$F$95,0,IFERROR(P73*'Assumption Setting'!$C$95/P104,0))</f>
        <v>0.391439170902697</v>
      </c>
      <c r="Q112" s="92" t="n">
        <f aca="false">IF(14&lt;'Assumption Setting'!$F$95,0,IFERROR(Q73*'Assumption Setting'!$C$95/Q104,0))</f>
        <v>0.391439170902697</v>
      </c>
      <c r="R112" s="92" t="n">
        <f aca="false">IF(15&lt;'Assumption Setting'!$F$95,0,IFERROR(R73*'Assumption Setting'!$C$95/R104,0))</f>
        <v>0.430583087992967</v>
      </c>
      <c r="S112" s="92" t="n">
        <f aca="false">IF(16&lt;'Assumption Setting'!$F$95,0,IFERROR(S73*'Assumption Setting'!$C$95/S104,0))</f>
        <v>0.430583087992967</v>
      </c>
      <c r="T112" s="92" t="n">
        <f aca="false">IF(17&lt;'Assumption Setting'!$F$95,0,IFERROR(T73*'Assumption Setting'!$C$95/T104,0))</f>
        <v>0.430583087992967</v>
      </c>
      <c r="U112" s="92" t="n">
        <f aca="false">IF(18&lt;'Assumption Setting'!$F$95,0,IFERROR(U73*'Assumption Setting'!$C$95/U104,0))</f>
        <v>0.430583087992967</v>
      </c>
      <c r="V112" s="92" t="n">
        <f aca="false">IF(19&lt;'Assumption Setting'!$F$95,0,IFERROR(V73*'Assumption Setting'!$C$95/V104,0))</f>
        <v>0.661364607950769</v>
      </c>
      <c r="W112" s="92" t="n">
        <f aca="false">IF(20&lt;'Assumption Setting'!$F$95,0,IFERROR(W73*'Assumption Setting'!$C$95/W104,0))</f>
        <v>0.661364607950769</v>
      </c>
      <c r="X112" s="92" t="n">
        <f aca="false">IF(21&lt;'Assumption Setting'!$F$95,0,IFERROR(X73*'Assumption Setting'!$C$95/X104,0))</f>
        <v>0.661364607950769</v>
      </c>
      <c r="Y112" s="92" t="n">
        <f aca="false">IF(22&lt;'Assumption Setting'!$F$95,0,IFERROR(Y73*'Assumption Setting'!$C$95/Y104,0))</f>
        <v>0.661364607950769</v>
      </c>
      <c r="Z112" s="92" t="n">
        <f aca="false">IF(23&lt;'Assumption Setting'!$F$95,0,IFERROR(Z73*'Assumption Setting'!$C$95/Z104,0))</f>
        <v>0.661364607950769</v>
      </c>
      <c r="AA112" s="92" t="n">
        <f aca="false">IF(24&lt;'Assumption Setting'!$F$95,0,IFERROR(AA73*'Assumption Setting'!$C$95/AA104,0))</f>
        <v>0.661364607950769</v>
      </c>
      <c r="AB112" s="91" t="n">
        <f aca="false">SUM(AC112:AN112)</f>
        <v>8.98903822493002</v>
      </c>
      <c r="AC112" s="92" t="n">
        <f aca="false">IF(25&lt;'Assumption Setting'!$F$95,0,IFERROR(AC73*'Assumption Setting'!$C$95/AC104,0))</f>
        <v>0.555546270678646</v>
      </c>
      <c r="AD112" s="92" t="n">
        <f aca="false">IF(26&lt;'Assumption Setting'!$F$95,0,IFERROR(AD73*'Assumption Setting'!$C$95/AD104,0))</f>
        <v>0.555546270678646</v>
      </c>
      <c r="AE112" s="92" t="n">
        <f aca="false">IF(27&lt;'Assumption Setting'!$F$95,0,IFERROR(AE73*'Assumption Setting'!$C$95/AE104,0))</f>
        <v>0.606050477103978</v>
      </c>
      <c r="AF112" s="92" t="n">
        <f aca="false">IF(28&lt;'Assumption Setting'!$F$95,0,IFERROR(AF73*'Assumption Setting'!$C$95/AF104,0))</f>
        <v>0.606050477103978</v>
      </c>
      <c r="AG112" s="92" t="n">
        <f aca="false">IF(29&lt;'Assumption Setting'!$F$95,0,IFERROR(AG73*'Assumption Setting'!$C$95/AG104,0))</f>
        <v>0.606050477103978</v>
      </c>
      <c r="AH112" s="92" t="n">
        <f aca="false">IF(30&lt;'Assumption Setting'!$F$95,0,IFERROR(AH73*'Assumption Setting'!$C$95/AH104,0))</f>
        <v>0.606050477103978</v>
      </c>
      <c r="AI112" s="92" t="n">
        <f aca="false">IF(31&lt;'Assumption Setting'!$F$95,0,IFERROR(AI73*'Assumption Setting'!$C$95/AI104,0))</f>
        <v>0.908957295859469</v>
      </c>
      <c r="AJ112" s="92" t="n">
        <f aca="false">IF(32&lt;'Assumption Setting'!$F$95,0,IFERROR(AJ73*'Assumption Setting'!$C$95/AJ104,0))</f>
        <v>0.908957295859469</v>
      </c>
      <c r="AK112" s="92" t="n">
        <f aca="false">IF(33&lt;'Assumption Setting'!$F$95,0,IFERROR(AK73*'Assumption Setting'!$C$95/AK104,0))</f>
        <v>0.908957295859469</v>
      </c>
      <c r="AL112" s="92" t="n">
        <f aca="false">IF(34&lt;'Assumption Setting'!$F$95,0,IFERROR(AL73*'Assumption Setting'!$C$95/AL104,0))</f>
        <v>0.908957295859469</v>
      </c>
      <c r="AM112" s="92" t="n">
        <f aca="false">IF(35&lt;'Assumption Setting'!$F$95,0,IFERROR(AM73*'Assumption Setting'!$C$95/AM104,0))</f>
        <v>0.908957295859469</v>
      </c>
      <c r="AN112" s="92" t="n">
        <f aca="false">IF(36&lt;'Assumption Setting'!$F$95,0,IFERROR(AN73*'Assumption Setting'!$C$95/AN104,0))</f>
        <v>0.908957295859469</v>
      </c>
      <c r="AO112" s="91" t="n">
        <f aca="false">SUM(AP112:BA112)</f>
        <v>12.9728243557984</v>
      </c>
      <c r="AP112" s="92" t="n">
        <f aca="false">IF(37&lt;'Assumption Setting'!$F$95,0,IFERROR(AP73*'Assumption Setting'!$C$95/AP104,0))</f>
        <v>0.908957295859469</v>
      </c>
      <c r="AQ112" s="92" t="n">
        <f aca="false">IF(38&lt;'Assumption Setting'!$F$95,0,IFERROR(AQ73*'Assumption Setting'!$C$95/AQ104,0))</f>
        <v>0.908957295859469</v>
      </c>
      <c r="AR112" s="92" t="n">
        <f aca="false">IF(39&lt;'Assumption Setting'!$F$95,0,IFERROR(AR73*'Assumption Setting'!$C$95/AR104,0))</f>
        <v>0.94683051652028</v>
      </c>
      <c r="AS112" s="92" t="n">
        <f aca="false">IF(40&lt;'Assumption Setting'!$F$95,0,IFERROR(AS73*'Assumption Setting'!$C$95/AS104,0))</f>
        <v>0.94683051652028</v>
      </c>
      <c r="AT112" s="92" t="n">
        <f aca="false">IF(41&lt;'Assumption Setting'!$F$95,0,IFERROR(AT73*'Assumption Setting'!$C$95/AT104,0))</f>
        <v>0.94683051652028</v>
      </c>
      <c r="AU112" s="92" t="n">
        <f aca="false">IF(42&lt;'Assumption Setting'!$F$95,0,IFERROR(AU73*'Assumption Setting'!$C$95/AU104,0))</f>
        <v>0.94683051652028</v>
      </c>
      <c r="AV112" s="92" t="n">
        <f aca="false">IF(43&lt;'Assumption Setting'!$F$95,0,IFERROR(AV73*'Assumption Setting'!$C$95/AV104,0))</f>
        <v>1.22793128299972</v>
      </c>
      <c r="AW112" s="92" t="n">
        <f aca="false">IF(44&lt;'Assumption Setting'!$F$95,0,IFERROR(AW73*'Assumption Setting'!$C$95/AW104,0))</f>
        <v>1.22793128299972</v>
      </c>
      <c r="AX112" s="92" t="n">
        <f aca="false">IF(45&lt;'Assumption Setting'!$F$95,0,IFERROR(AX73*'Assumption Setting'!$C$95/AX104,0))</f>
        <v>1.22793128299972</v>
      </c>
      <c r="AY112" s="92" t="n">
        <f aca="false">IF(46&lt;'Assumption Setting'!$F$95,0,IFERROR(AY73*'Assumption Setting'!$C$95/AY104,0))</f>
        <v>1.22793128299972</v>
      </c>
      <c r="AZ112" s="92" t="n">
        <f aca="false">IF(47&lt;'Assumption Setting'!$F$95,0,IFERROR(AZ73*'Assumption Setting'!$C$95/AZ104,0))</f>
        <v>1.22793128299972</v>
      </c>
      <c r="BA112" s="92" t="n">
        <f aca="false">IF(48&lt;'Assumption Setting'!$F$95,0,IFERROR(BA73*'Assumption Setting'!$C$95/BA104,0))</f>
        <v>1.22793128299972</v>
      </c>
      <c r="BB112" s="91" t="n">
        <f aca="false">SUM(BC112:BN112)</f>
        <v>16.9771851223642</v>
      </c>
      <c r="BC112" s="92" t="n">
        <f aca="false">IF(49&lt;'Assumption Setting'!$F$95,0,IFERROR(BC73*'Assumption Setting'!$C$95/BC104,0))</f>
        <v>1.22793128299972</v>
      </c>
      <c r="BD112" s="92" t="n">
        <f aca="false">IF(50&lt;'Assumption Setting'!$F$95,0,IFERROR(BD73*'Assumption Setting'!$C$95/BD104,0))</f>
        <v>1.22793128299972</v>
      </c>
      <c r="BE112" s="92" t="n">
        <f aca="false">IF(51&lt;'Assumption Setting'!$F$95,0,IFERROR(BE73*'Assumption Setting'!$C$95/BE104,0))</f>
        <v>1.27704853431971</v>
      </c>
      <c r="BF112" s="92" t="n">
        <f aca="false">IF(52&lt;'Assumption Setting'!$F$95,0,IFERROR(BF73*'Assumption Setting'!$C$95/BF104,0))</f>
        <v>1.27704853431971</v>
      </c>
      <c r="BG112" s="92" t="n">
        <f aca="false">IF(53&lt;'Assumption Setting'!$F$95,0,IFERROR(BG73*'Assumption Setting'!$C$95/BG104,0))</f>
        <v>1.27704853431971</v>
      </c>
      <c r="BH112" s="92" t="n">
        <f aca="false">IF(54&lt;'Assumption Setting'!$F$95,0,IFERROR(BH73*'Assumption Setting'!$C$95/BH104,0))</f>
        <v>1.27704853431971</v>
      </c>
      <c r="BI112" s="92" t="n">
        <f aca="false">IF(55&lt;'Assumption Setting'!$F$95,0,IFERROR(BI73*'Assumption Setting'!$C$95/BI104,0))</f>
        <v>1.56885473651433</v>
      </c>
      <c r="BJ112" s="92" t="n">
        <f aca="false">IF(56&lt;'Assumption Setting'!$F$95,0,IFERROR(BJ73*'Assumption Setting'!$C$95/BJ104,0))</f>
        <v>1.56885473651433</v>
      </c>
      <c r="BK112" s="92" t="n">
        <f aca="false">IF(57&lt;'Assumption Setting'!$F$95,0,IFERROR(BK73*'Assumption Setting'!$C$95/BK104,0))</f>
        <v>1.56885473651433</v>
      </c>
      <c r="BL112" s="92" t="n">
        <f aca="false">IF(58&lt;'Assumption Setting'!$F$95,0,IFERROR(BL73*'Assumption Setting'!$C$95/BL104,0))</f>
        <v>1.56885473651433</v>
      </c>
      <c r="BM112" s="92" t="n">
        <f aca="false">IF(59&lt;'Assumption Setting'!$F$95,0,IFERROR(BM73*'Assumption Setting'!$C$95/BM104,0))</f>
        <v>1.56885473651433</v>
      </c>
      <c r="BN112" s="92" t="n">
        <f aca="false">IF(60&lt;'Assumption Setting'!$F$95,0,IFERROR(BN73*'Assumption Setting'!$C$95/BN104,0))</f>
        <v>1.56885473651433</v>
      </c>
    </row>
    <row r="113" customFormat="false" ht="15" hidden="false" customHeight="false" outlineLevel="0" collapsed="false">
      <c r="A113" s="69" t="s">
        <v>631</v>
      </c>
      <c r="B113" s="91" t="n">
        <f aca="false">N113</f>
        <v>8.94570684269919</v>
      </c>
      <c r="C113" s="93" t="n">
        <f aca="false">C112</f>
        <v>2.5</v>
      </c>
      <c r="D113" s="93" t="n">
        <f aca="true">C113+D112-IF((2-'Assumption Setting'!$E$95)&lt;1,0,OFFSET($A$112,0,2+13*INT(((2-'Assumption Setting'!$E$95)-1)/12)+MOD((2-'Assumption Setting'!$E$95)-1,12)))</f>
        <v>4</v>
      </c>
      <c r="E113" s="93" t="n">
        <f aca="true">D113+E112-IF((3-'Assumption Setting'!$E$95)&lt;1,0,OFFSET($A$112,0,2+13*INT(((3-'Assumption Setting'!$E$95)-1)/12)+MOD((3-'Assumption Setting'!$E$95)-1,12)))</f>
        <v>5</v>
      </c>
      <c r="F113" s="93" t="n">
        <f aca="true">E113+F112-IF((4-'Assumption Setting'!$E$95)&lt;1,0,OFFSET($A$112,0,2+13*INT(((4-'Assumption Setting'!$E$95)-1)/12)+MOD((4-'Assumption Setting'!$E$95)-1,12)))</f>
        <v>5</v>
      </c>
      <c r="G113" s="93" t="n">
        <f aca="true">F113+G112-IF((5-'Assumption Setting'!$E$95)&lt;1,0,OFFSET($A$112,0,2+13*INT(((5-'Assumption Setting'!$E$95)-1)/12)+MOD((5-'Assumption Setting'!$E$95)-1,12)))</f>
        <v>5</v>
      </c>
      <c r="H113" s="93" t="n">
        <f aca="true">G113+H112-IF((6-'Assumption Setting'!$E$95)&lt;1,0,OFFSET($A$112,0,2+13*INT(((6-'Assumption Setting'!$E$95)-1)/12)+MOD((6-'Assumption Setting'!$E$95)-1,12)))</f>
        <v>5</v>
      </c>
      <c r="I113" s="93" t="n">
        <f aca="true">H113+I112-IF((7-'Assumption Setting'!$E$95)&lt;1,0,OFFSET($A$112,0,2+13*INT(((7-'Assumption Setting'!$E$95)-1)/12)+MOD((7-'Assumption Setting'!$E$95)-1,12)))</f>
        <v>5.65761780711653</v>
      </c>
      <c r="J113" s="93" t="n">
        <f aca="true">I113+J112-IF((8-'Assumption Setting'!$E$95)&lt;1,0,OFFSET($A$112,0,2+13*INT(((8-'Assumption Setting'!$E$95)-1)/12)+MOD((8-'Assumption Setting'!$E$95)-1,12)))</f>
        <v>6.31523561423306</v>
      </c>
      <c r="K113" s="93" t="n">
        <f aca="true">J113+K112-IF((9-'Assumption Setting'!$E$95)&lt;1,0,OFFSET($A$112,0,2+13*INT(((9-'Assumption Setting'!$E$95)-1)/12)+MOD((9-'Assumption Setting'!$E$95)-1,12)))</f>
        <v>6.9728534213496</v>
      </c>
      <c r="L113" s="93" t="n">
        <f aca="true">K113+L112-IF((10-'Assumption Setting'!$E$95)&lt;1,0,OFFSET($A$112,0,2+13*INT(((10-'Assumption Setting'!$E$95)-1)/12)+MOD((10-'Assumption Setting'!$E$95)-1,12)))</f>
        <v>7.63047122846613</v>
      </c>
      <c r="M113" s="93" t="n">
        <f aca="true">L113+M112-IF((11-'Assumption Setting'!$E$95)&lt;1,0,OFFSET($A$112,0,2+13*INT(((11-'Assumption Setting'!$E$95)-1)/12)+MOD((11-'Assumption Setting'!$E$95)-1,12)))</f>
        <v>8.28808903558266</v>
      </c>
      <c r="N113" s="93" t="n">
        <f aca="true">M113+N112-IF((12-'Assumption Setting'!$E$95)&lt;1,0,OFFSET($A$112,0,2+13*INT(((12-'Assumption Setting'!$E$95)-1)/12)+MOD((12-'Assumption Setting'!$E$95)-1,12)))</f>
        <v>8.94570684269919</v>
      </c>
      <c r="O113" s="91" t="n">
        <f aca="false">AA113</f>
        <v>15.4191051841811</v>
      </c>
      <c r="P113" s="93" t="n">
        <f aca="true">N113+P112-IF((13-'Assumption Setting'!$E$95)&lt;1,0,OFFSET($A$112,0,2+13*INT(((13-'Assumption Setting'!$E$95)-1)/12)+MOD((13-'Assumption Setting'!$E$95)-1,12)))</f>
        <v>9.33714601360189</v>
      </c>
      <c r="Q113" s="93" t="n">
        <f aca="true">P113+Q112-IF((14-'Assumption Setting'!$E$95)&lt;1,0,OFFSET($A$112,0,2+13*INT(((14-'Assumption Setting'!$E$95)-1)/12)+MOD((14-'Assumption Setting'!$E$95)-1,12)))</f>
        <v>9.72858518450459</v>
      </c>
      <c r="R113" s="93" t="n">
        <f aca="true">Q113+R112-IF((15-'Assumption Setting'!$E$95)&lt;1,0,OFFSET($A$112,0,2+13*INT(((15-'Assumption Setting'!$E$95)-1)/12)+MOD((15-'Assumption Setting'!$E$95)-1,12)))</f>
        <v>10.1591682724976</v>
      </c>
      <c r="S113" s="93" t="n">
        <f aca="true">R113+S112-IF((16-'Assumption Setting'!$E$95)&lt;1,0,OFFSET($A$112,0,2+13*INT(((16-'Assumption Setting'!$E$95)-1)/12)+MOD((16-'Assumption Setting'!$E$95)-1,12)))</f>
        <v>10.5897513604905</v>
      </c>
      <c r="T113" s="93" t="n">
        <f aca="true">S113+T112-IF((17-'Assumption Setting'!$E$95)&lt;1,0,OFFSET($A$112,0,2+13*INT(((17-'Assumption Setting'!$E$95)-1)/12)+MOD((17-'Assumption Setting'!$E$95)-1,12)))</f>
        <v>11.0203344484835</v>
      </c>
      <c r="U113" s="93" t="n">
        <f aca="true">T113+U112-IF((18-'Assumption Setting'!$E$95)&lt;1,0,OFFSET($A$112,0,2+13*INT(((18-'Assumption Setting'!$E$95)-1)/12)+MOD((18-'Assumption Setting'!$E$95)-1,12)))</f>
        <v>11.4509175364765</v>
      </c>
      <c r="V113" s="93" t="n">
        <f aca="true">U113+V112-IF((19-'Assumption Setting'!$E$95)&lt;1,0,OFFSET($A$112,0,2+13*INT(((19-'Assumption Setting'!$E$95)-1)/12)+MOD((19-'Assumption Setting'!$E$95)-1,12)))</f>
        <v>12.1122821444272</v>
      </c>
      <c r="W113" s="93" t="n">
        <f aca="true">V113+W112-IF((20-'Assumption Setting'!$E$95)&lt;1,0,OFFSET($A$112,0,2+13*INT(((20-'Assumption Setting'!$E$95)-1)/12)+MOD((20-'Assumption Setting'!$E$95)-1,12)))</f>
        <v>12.773646752378</v>
      </c>
      <c r="X113" s="93" t="n">
        <f aca="true">W113+X112-IF((21-'Assumption Setting'!$E$95)&lt;1,0,OFFSET($A$112,0,2+13*INT(((21-'Assumption Setting'!$E$95)-1)/12)+MOD((21-'Assumption Setting'!$E$95)-1,12)))</f>
        <v>13.4350113603288</v>
      </c>
      <c r="Y113" s="93" t="n">
        <f aca="true">X113+Y112-IF((22-'Assumption Setting'!$E$95)&lt;1,0,OFFSET($A$112,0,2+13*INT(((22-'Assumption Setting'!$E$95)-1)/12)+MOD((22-'Assumption Setting'!$E$95)-1,12)))</f>
        <v>14.0963759682795</v>
      </c>
      <c r="Z113" s="93" t="n">
        <f aca="true">Y113+Z112-IF((23-'Assumption Setting'!$E$95)&lt;1,0,OFFSET($A$112,0,2+13*INT(((23-'Assumption Setting'!$E$95)-1)/12)+MOD((23-'Assumption Setting'!$E$95)-1,12)))</f>
        <v>14.7577405762303</v>
      </c>
      <c r="AA113" s="93" t="n">
        <f aca="true">Z113+AA112-IF((24-'Assumption Setting'!$E$95)&lt;1,0,OFFSET($A$112,0,2+13*INT(((24-'Assumption Setting'!$E$95)-1)/12)+MOD((24-'Assumption Setting'!$E$95)-1,12)))</f>
        <v>15.4191051841811</v>
      </c>
      <c r="AB113" s="91" t="n">
        <f aca="false">AN113</f>
        <v>15.4624365664119</v>
      </c>
      <c r="AC113" s="93" t="n">
        <f aca="true">AA113+AC112-IF((25-'Assumption Setting'!$E$95)&lt;1,0,OFFSET($A$112,0,2+13*INT(((25-'Assumption Setting'!$E$95)-1)/12)+MOD((25-'Assumption Setting'!$E$95)-1,12)))</f>
        <v>13.4746514548597</v>
      </c>
      <c r="AD113" s="93" t="n">
        <f aca="true">AC113+AD112-IF((26-'Assumption Setting'!$E$95)&lt;1,0,OFFSET($A$112,0,2+13*INT(((26-'Assumption Setting'!$E$95)-1)/12)+MOD((26-'Assumption Setting'!$E$95)-1,12)))</f>
        <v>12.5301977255384</v>
      </c>
      <c r="AE113" s="93" t="n">
        <f aca="true">AD113+AE112-IF((27-'Assumption Setting'!$E$95)&lt;1,0,OFFSET($A$112,0,2+13*INT(((27-'Assumption Setting'!$E$95)-1)/12)+MOD((27-'Assumption Setting'!$E$95)-1,12)))</f>
        <v>12.1362482026423</v>
      </c>
      <c r="AF113" s="93" t="n">
        <f aca="true">AE113+AF112-IF((28-'Assumption Setting'!$E$95)&lt;1,0,OFFSET($A$112,0,2+13*INT(((28-'Assumption Setting'!$E$95)-1)/12)+MOD((28-'Assumption Setting'!$E$95)-1,12)))</f>
        <v>12.7422986797463</v>
      </c>
      <c r="AG113" s="93" t="n">
        <f aca="true">AF113+AG112-IF((29-'Assumption Setting'!$E$95)&lt;1,0,OFFSET($A$112,0,2+13*INT(((29-'Assumption Setting'!$E$95)-1)/12)+MOD((29-'Assumption Setting'!$E$95)-1,12)))</f>
        <v>13.3483491568503</v>
      </c>
      <c r="AH113" s="93" t="n">
        <f aca="true">AG113+AH112-IF((30-'Assumption Setting'!$E$95)&lt;1,0,OFFSET($A$112,0,2+13*INT(((30-'Assumption Setting'!$E$95)-1)/12)+MOD((30-'Assumption Setting'!$E$95)-1,12)))</f>
        <v>13.9543996339543</v>
      </c>
      <c r="AI113" s="93" t="n">
        <f aca="true">AH113+AI112-IF((31-'Assumption Setting'!$E$95)&lt;1,0,OFFSET($A$112,0,2+13*INT(((31-'Assumption Setting'!$E$95)-1)/12)+MOD((31-'Assumption Setting'!$E$95)-1,12)))</f>
        <v>14.2057391226972</v>
      </c>
      <c r="AJ113" s="93" t="n">
        <f aca="true">AI113+AJ112-IF((32-'Assumption Setting'!$E$95)&lt;1,0,OFFSET($A$112,0,2+13*INT(((32-'Assumption Setting'!$E$95)-1)/12)+MOD((32-'Assumption Setting'!$E$95)-1,12)))</f>
        <v>14.4570786114402</v>
      </c>
      <c r="AK113" s="93" t="n">
        <f aca="true">AJ113+AK112-IF((33-'Assumption Setting'!$E$95)&lt;1,0,OFFSET($A$112,0,2+13*INT(((33-'Assumption Setting'!$E$95)-1)/12)+MOD((33-'Assumption Setting'!$E$95)-1,12)))</f>
        <v>14.7084181001831</v>
      </c>
      <c r="AL113" s="93" t="n">
        <f aca="true">AK113+AL112-IF((34-'Assumption Setting'!$E$95)&lt;1,0,OFFSET($A$112,0,2+13*INT(((34-'Assumption Setting'!$E$95)-1)/12)+MOD((34-'Assumption Setting'!$E$95)-1,12)))</f>
        <v>14.959757588926</v>
      </c>
      <c r="AM113" s="93" t="n">
        <f aca="true">AL113+AM112-IF((35-'Assumption Setting'!$E$95)&lt;1,0,OFFSET($A$112,0,2+13*INT(((35-'Assumption Setting'!$E$95)-1)/12)+MOD((35-'Assumption Setting'!$E$95)-1,12)))</f>
        <v>15.211097077669</v>
      </c>
      <c r="AN113" s="93" t="n">
        <f aca="true">AM113+AN112-IF((36-'Assumption Setting'!$E$95)&lt;1,0,OFFSET($A$112,0,2+13*INT(((36-'Assumption Setting'!$E$95)-1)/12)+MOD((36-'Assumption Setting'!$E$95)-1,12)))</f>
        <v>15.4624365664119</v>
      </c>
      <c r="AO113" s="91" t="n">
        <f aca="false">BA113</f>
        <v>21.9618625807284</v>
      </c>
      <c r="AP113" s="93" t="n">
        <f aca="true">AN113+AP112-IF((37-'Assumption Setting'!$E$95)&lt;1,0,OFFSET($A$112,0,2+13*INT(((37-'Assumption Setting'!$E$95)-1)/12)+MOD((37-'Assumption Setting'!$E$95)-1,12)))</f>
        <v>15.9799546913687</v>
      </c>
      <c r="AQ113" s="93" t="n">
        <f aca="true">AP113+AQ112-IF((38-'Assumption Setting'!$E$95)&lt;1,0,OFFSET($A$112,0,2+13*INT(((38-'Assumption Setting'!$E$95)-1)/12)+MOD((38-'Assumption Setting'!$E$95)-1,12)))</f>
        <v>16.4974728163254</v>
      </c>
      <c r="AR113" s="93" t="n">
        <f aca="true">AQ113+AR112-IF((39-'Assumption Setting'!$E$95)&lt;1,0,OFFSET($A$112,0,2+13*INT(((39-'Assumption Setting'!$E$95)-1)/12)+MOD((39-'Assumption Setting'!$E$95)-1,12)))</f>
        <v>17.0137202448528</v>
      </c>
      <c r="AS113" s="93" t="n">
        <f aca="true">AR113+AS112-IF((40-'Assumption Setting'!$E$95)&lt;1,0,OFFSET($A$112,0,2+13*INT(((40-'Assumption Setting'!$E$95)-1)/12)+MOD((40-'Assumption Setting'!$E$95)-1,12)))</f>
        <v>17.5299676733801</v>
      </c>
      <c r="AT113" s="93" t="n">
        <f aca="true">AS113+AT112-IF((41-'Assumption Setting'!$E$95)&lt;1,0,OFFSET($A$112,0,2+13*INT(((41-'Assumption Setting'!$E$95)-1)/12)+MOD((41-'Assumption Setting'!$E$95)-1,12)))</f>
        <v>18.0462151019074</v>
      </c>
      <c r="AU113" s="93" t="n">
        <f aca="true">AT113+AU112-IF((42-'Assumption Setting'!$E$95)&lt;1,0,OFFSET($A$112,0,2+13*INT(((42-'Assumption Setting'!$E$95)-1)/12)+MOD((42-'Assumption Setting'!$E$95)-1,12)))</f>
        <v>18.5624625304347</v>
      </c>
      <c r="AV113" s="93" t="n">
        <f aca="true">AU113+AV112-IF((43-'Assumption Setting'!$E$95)&lt;1,0,OFFSET($A$112,0,2+13*INT(((43-'Assumption Setting'!$E$95)-1)/12)+MOD((43-'Assumption Setting'!$E$95)-1,12)))</f>
        <v>19.1290292054836</v>
      </c>
      <c r="AW113" s="93" t="n">
        <f aca="true">AV113+AW112-IF((44-'Assumption Setting'!$E$95)&lt;1,0,OFFSET($A$112,0,2+13*INT(((44-'Assumption Setting'!$E$95)-1)/12)+MOD((44-'Assumption Setting'!$E$95)-1,12)))</f>
        <v>19.6955958805326</v>
      </c>
      <c r="AX113" s="93" t="n">
        <f aca="true">AW113+AX112-IF((45-'Assumption Setting'!$E$95)&lt;1,0,OFFSET($A$112,0,2+13*INT(((45-'Assumption Setting'!$E$95)-1)/12)+MOD((45-'Assumption Setting'!$E$95)-1,12)))</f>
        <v>20.2621625555815</v>
      </c>
      <c r="AY113" s="93" t="n">
        <f aca="true">AX113+AY112-IF((46-'Assumption Setting'!$E$95)&lt;1,0,OFFSET($A$112,0,2+13*INT(((46-'Assumption Setting'!$E$95)-1)/12)+MOD((46-'Assumption Setting'!$E$95)-1,12)))</f>
        <v>20.8287292306305</v>
      </c>
      <c r="AZ113" s="93" t="n">
        <f aca="true">AY113+AZ112-IF((47-'Assumption Setting'!$E$95)&lt;1,0,OFFSET($A$112,0,2+13*INT(((47-'Assumption Setting'!$E$95)-1)/12)+MOD((47-'Assumption Setting'!$E$95)-1,12)))</f>
        <v>21.3952959056794</v>
      </c>
      <c r="BA113" s="93" t="n">
        <f aca="true">AZ113+BA112-IF((48-'Assumption Setting'!$E$95)&lt;1,0,OFFSET($A$112,0,2+13*INT(((48-'Assumption Setting'!$E$95)-1)/12)+MOD((48-'Assumption Setting'!$E$95)-1,12)))</f>
        <v>21.9618625807284</v>
      </c>
      <c r="BB113" s="91" t="n">
        <f aca="false">BN113</f>
        <v>29.9500094781626</v>
      </c>
      <c r="BC113" s="93" t="n">
        <f aca="true">BA113+BC112-IF((49-'Assumption Setting'!$E$95)&lt;1,0,OFFSET($A$112,0,2+13*INT(((49-'Assumption Setting'!$E$95)-1)/12)+MOD((49-'Assumption Setting'!$E$95)-1,12)))</f>
        <v>22.6342475930495</v>
      </c>
      <c r="BD113" s="93" t="n">
        <f aca="true">BC113+BD112-IF((50-'Assumption Setting'!$E$95)&lt;1,0,OFFSET($A$112,0,2+13*INT(((50-'Assumption Setting'!$E$95)-1)/12)+MOD((50-'Assumption Setting'!$E$95)-1,12)))</f>
        <v>23.3066326053705</v>
      </c>
      <c r="BE113" s="93" t="n">
        <f aca="true">BD113+BE112-IF((51-'Assumption Setting'!$E$95)&lt;1,0,OFFSET($A$112,0,2+13*INT(((51-'Assumption Setting'!$E$95)-1)/12)+MOD((51-'Assumption Setting'!$E$95)-1,12)))</f>
        <v>23.9776306625863</v>
      </c>
      <c r="BF113" s="93" t="n">
        <f aca="true">BE113+BF112-IF((52-'Assumption Setting'!$E$95)&lt;1,0,OFFSET($A$112,0,2+13*INT(((52-'Assumption Setting'!$E$95)-1)/12)+MOD((52-'Assumption Setting'!$E$95)-1,12)))</f>
        <v>24.648628719802</v>
      </c>
      <c r="BG113" s="93" t="n">
        <f aca="true">BF113+BG112-IF((53-'Assumption Setting'!$E$95)&lt;1,0,OFFSET($A$112,0,2+13*INT(((53-'Assumption Setting'!$E$95)-1)/12)+MOD((53-'Assumption Setting'!$E$95)-1,12)))</f>
        <v>25.3196267770177</v>
      </c>
      <c r="BH113" s="93" t="n">
        <f aca="true">BG113+BH112-IF((54-'Assumption Setting'!$E$95)&lt;1,0,OFFSET($A$112,0,2+13*INT(((54-'Assumption Setting'!$E$95)-1)/12)+MOD((54-'Assumption Setting'!$E$95)-1,12)))</f>
        <v>25.9906248342335</v>
      </c>
      <c r="BI113" s="93" t="n">
        <f aca="true">BH113+BI112-IF((55-'Assumption Setting'!$E$95)&lt;1,0,OFFSET($A$112,0,2+13*INT(((55-'Assumption Setting'!$E$95)-1)/12)+MOD((55-'Assumption Setting'!$E$95)-1,12)))</f>
        <v>26.6505222748883</v>
      </c>
      <c r="BJ113" s="93" t="n">
        <f aca="true">BI113+BJ112-IF((56-'Assumption Setting'!$E$95)&lt;1,0,OFFSET($A$112,0,2+13*INT(((56-'Assumption Setting'!$E$95)-1)/12)+MOD((56-'Assumption Setting'!$E$95)-1,12)))</f>
        <v>27.3104197155432</v>
      </c>
      <c r="BK113" s="93" t="n">
        <f aca="true">BJ113+BK112-IF((57-'Assumption Setting'!$E$95)&lt;1,0,OFFSET($A$112,0,2+13*INT(((57-'Assumption Setting'!$E$95)-1)/12)+MOD((57-'Assumption Setting'!$E$95)-1,12)))</f>
        <v>27.970317156198</v>
      </c>
      <c r="BL113" s="93" t="n">
        <f aca="true">BK113+BL112-IF((58-'Assumption Setting'!$E$95)&lt;1,0,OFFSET($A$112,0,2+13*INT(((58-'Assumption Setting'!$E$95)-1)/12)+MOD((58-'Assumption Setting'!$E$95)-1,12)))</f>
        <v>28.6302145968529</v>
      </c>
      <c r="BM113" s="93" t="n">
        <f aca="true">BL113+BM112-IF((59-'Assumption Setting'!$E$95)&lt;1,0,OFFSET($A$112,0,2+13*INT(((59-'Assumption Setting'!$E$95)-1)/12)+MOD((59-'Assumption Setting'!$E$95)-1,12)))</f>
        <v>29.2901120375078</v>
      </c>
      <c r="BN113" s="93" t="n">
        <f aca="true">BM113+BN112-IF((60-'Assumption Setting'!$E$95)&lt;1,0,OFFSET($A$112,0,2+13*INT(((60-'Assumption Setting'!$E$95)-1)/12)+MOD((60-'Assumption Setting'!$E$95)-1,12)))</f>
        <v>29.9500094781626</v>
      </c>
    </row>
    <row r="114" customFormat="false" ht="15" hidden="false" customHeight="false" outlineLevel="0" collapsed="false">
      <c r="A114" s="12" t="s">
        <v>632</v>
      </c>
      <c r="B114" s="91" t="n">
        <f aca="false">SUM(C114:N114)</f>
        <v>0</v>
      </c>
      <c r="C114" s="92" t="n">
        <f aca="false">IF(1&lt;'Assumption Setting'!$F$96,0,IFERROR(C73*'Assumption Setting'!$C$96/C104,0))</f>
        <v>0</v>
      </c>
      <c r="D114" s="92" t="n">
        <f aca="false">IF(2&lt;'Assumption Setting'!$F$96,0,IFERROR(D73*'Assumption Setting'!$C$96/D104,0))</f>
        <v>0</v>
      </c>
      <c r="E114" s="92" t="n">
        <f aca="false">IF(3&lt;'Assumption Setting'!$F$96,0,IFERROR(E73*'Assumption Setting'!$C$96/E104,0))</f>
        <v>0</v>
      </c>
      <c r="F114" s="92" t="n">
        <f aca="false">IF(4&lt;'Assumption Setting'!$F$96,0,IFERROR(F73*'Assumption Setting'!$C$96/F104,0))</f>
        <v>0</v>
      </c>
      <c r="G114" s="92" t="n">
        <f aca="false">IF(5&lt;'Assumption Setting'!$F$96,0,IFERROR(G73*'Assumption Setting'!$C$96/G104,0))</f>
        <v>0</v>
      </c>
      <c r="H114" s="92" t="n">
        <f aca="false">IF(6&lt;'Assumption Setting'!$F$96,0,IFERROR(H73*'Assumption Setting'!$C$96/H104,0))</f>
        <v>0</v>
      </c>
      <c r="I114" s="92" t="n">
        <f aca="false">IF(7&lt;'Assumption Setting'!$F$96,0,IFERROR(I73*'Assumption Setting'!$C$96/I104,0))</f>
        <v>0</v>
      </c>
      <c r="J114" s="92" t="n">
        <f aca="false">IF(8&lt;'Assumption Setting'!$F$96,0,IFERROR(J73*'Assumption Setting'!$C$96/J104,0))</f>
        <v>0</v>
      </c>
      <c r="K114" s="92" t="n">
        <f aca="false">IF(9&lt;'Assumption Setting'!$F$96,0,IFERROR(K73*'Assumption Setting'!$C$96/K104,0))</f>
        <v>0</v>
      </c>
      <c r="L114" s="92" t="n">
        <f aca="false">IF(10&lt;'Assumption Setting'!$F$96,0,IFERROR(L73*'Assumption Setting'!$C$96/L104,0))</f>
        <v>0</v>
      </c>
      <c r="M114" s="92" t="n">
        <f aca="false">IF(11&lt;'Assumption Setting'!$F$96,0,IFERROR(M73*'Assumption Setting'!$C$96/M104,0))</f>
        <v>0</v>
      </c>
      <c r="N114" s="92" t="n">
        <f aca="false">IF(12&lt;'Assumption Setting'!$F$96,0,IFERROR(N73*'Assumption Setting'!$C$96/N104,0))</f>
        <v>0</v>
      </c>
      <c r="O114" s="91" t="n">
        <f aca="false">SUM(P114:AA114)</f>
        <v>0</v>
      </c>
      <c r="P114" s="92" t="n">
        <f aca="false">IF(13&lt;'Assumption Setting'!$F$96,0,IFERROR(P73*'Assumption Setting'!$C$96/P104,0))</f>
        <v>0</v>
      </c>
      <c r="Q114" s="92" t="n">
        <f aca="false">IF(14&lt;'Assumption Setting'!$F$96,0,IFERROR(Q73*'Assumption Setting'!$C$96/Q104,0))</f>
        <v>0</v>
      </c>
      <c r="R114" s="92" t="n">
        <f aca="false">IF(15&lt;'Assumption Setting'!$F$96,0,IFERROR(R73*'Assumption Setting'!$C$96/R104,0))</f>
        <v>0</v>
      </c>
      <c r="S114" s="92" t="n">
        <f aca="false">IF(16&lt;'Assumption Setting'!$F$96,0,IFERROR(S73*'Assumption Setting'!$C$96/S104,0))</f>
        <v>0</v>
      </c>
      <c r="T114" s="92" t="n">
        <f aca="false">IF(17&lt;'Assumption Setting'!$F$96,0,IFERROR(T73*'Assumption Setting'!$C$96/T104,0))</f>
        <v>0</v>
      </c>
      <c r="U114" s="92" t="n">
        <f aca="false">IF(18&lt;'Assumption Setting'!$F$96,0,IFERROR(U73*'Assumption Setting'!$C$96/U104,0))</f>
        <v>0</v>
      </c>
      <c r="V114" s="92" t="n">
        <f aca="false">IF(19&lt;'Assumption Setting'!$F$96,0,IFERROR(V73*'Assumption Setting'!$C$96/V104,0))</f>
        <v>0</v>
      </c>
      <c r="W114" s="92" t="n">
        <f aca="false">IF(20&lt;'Assumption Setting'!$F$96,0,IFERROR(W73*'Assumption Setting'!$C$96/W104,0))</f>
        <v>0</v>
      </c>
      <c r="X114" s="92" t="n">
        <f aca="false">IF(21&lt;'Assumption Setting'!$F$96,0,IFERROR(X73*'Assumption Setting'!$C$96/X104,0))</f>
        <v>0</v>
      </c>
      <c r="Y114" s="92" t="n">
        <f aca="false">IF(22&lt;'Assumption Setting'!$F$96,0,IFERROR(Y73*'Assumption Setting'!$C$96/Y104,0))</f>
        <v>0</v>
      </c>
      <c r="Z114" s="92" t="n">
        <f aca="false">IF(23&lt;'Assumption Setting'!$F$96,0,IFERROR(Z73*'Assumption Setting'!$C$96/Z104,0))</f>
        <v>0</v>
      </c>
      <c r="AA114" s="92" t="n">
        <f aca="false">IF(24&lt;'Assumption Setting'!$F$96,0,IFERROR(AA73*'Assumption Setting'!$C$96/AA104,0))</f>
        <v>0</v>
      </c>
      <c r="AB114" s="91" t="n">
        <f aca="false">SUM(AC114:AN114)</f>
        <v>2.1573691739832</v>
      </c>
      <c r="AC114" s="92" t="n">
        <f aca="false">IF(25&lt;'Assumption Setting'!$F$96,0,IFERROR(AC73*'Assumption Setting'!$C$96/AC104,0))</f>
        <v>0.133331104962875</v>
      </c>
      <c r="AD114" s="92" t="n">
        <f aca="false">IF(26&lt;'Assumption Setting'!$F$96,0,IFERROR(AD73*'Assumption Setting'!$C$96/AD104,0))</f>
        <v>0.133331104962875</v>
      </c>
      <c r="AE114" s="92" t="n">
        <f aca="false">IF(27&lt;'Assumption Setting'!$F$96,0,IFERROR(AE73*'Assumption Setting'!$C$96/AE104,0))</f>
        <v>0.145452114504955</v>
      </c>
      <c r="AF114" s="92" t="n">
        <f aca="false">IF(28&lt;'Assumption Setting'!$F$96,0,IFERROR(AF73*'Assumption Setting'!$C$96/AF104,0))</f>
        <v>0.145452114504955</v>
      </c>
      <c r="AG114" s="92" t="n">
        <f aca="false">IF(29&lt;'Assumption Setting'!$F$96,0,IFERROR(AG73*'Assumption Setting'!$C$96/AG104,0))</f>
        <v>0.145452114504955</v>
      </c>
      <c r="AH114" s="92" t="n">
        <f aca="false">IF(30&lt;'Assumption Setting'!$F$96,0,IFERROR(AH73*'Assumption Setting'!$C$96/AH104,0))</f>
        <v>0.145452114504955</v>
      </c>
      <c r="AI114" s="92" t="n">
        <f aca="false">IF(31&lt;'Assumption Setting'!$F$96,0,IFERROR(AI73*'Assumption Setting'!$C$96/AI104,0))</f>
        <v>0.218149751006273</v>
      </c>
      <c r="AJ114" s="92" t="n">
        <f aca="false">IF(32&lt;'Assumption Setting'!$F$96,0,IFERROR(AJ73*'Assumption Setting'!$C$96/AJ104,0))</f>
        <v>0.218149751006273</v>
      </c>
      <c r="AK114" s="92" t="n">
        <f aca="false">IF(33&lt;'Assumption Setting'!$F$96,0,IFERROR(AK73*'Assumption Setting'!$C$96/AK104,0))</f>
        <v>0.218149751006273</v>
      </c>
      <c r="AL114" s="92" t="n">
        <f aca="false">IF(34&lt;'Assumption Setting'!$F$96,0,IFERROR(AL73*'Assumption Setting'!$C$96/AL104,0))</f>
        <v>0.218149751006273</v>
      </c>
      <c r="AM114" s="92" t="n">
        <f aca="false">IF(35&lt;'Assumption Setting'!$F$96,0,IFERROR(AM73*'Assumption Setting'!$C$96/AM104,0))</f>
        <v>0.218149751006273</v>
      </c>
      <c r="AN114" s="92" t="n">
        <f aca="false">IF(36&lt;'Assumption Setting'!$F$96,0,IFERROR(AN73*'Assumption Setting'!$C$96/AN104,0))</f>
        <v>0.218149751006273</v>
      </c>
      <c r="AO114" s="91" t="n">
        <f aca="false">SUM(AP114:BA114)</f>
        <v>3.11347784539161</v>
      </c>
      <c r="AP114" s="92" t="n">
        <f aca="false">IF(37&lt;'Assumption Setting'!$F$96,0,IFERROR(AP73*'Assumption Setting'!$C$96/AP104,0))</f>
        <v>0.218149751006273</v>
      </c>
      <c r="AQ114" s="92" t="n">
        <f aca="false">IF(38&lt;'Assumption Setting'!$F$96,0,IFERROR(AQ73*'Assumption Setting'!$C$96/AQ104,0))</f>
        <v>0.218149751006273</v>
      </c>
      <c r="AR114" s="92" t="n">
        <f aca="false">IF(39&lt;'Assumption Setting'!$F$96,0,IFERROR(AR73*'Assumption Setting'!$C$96/AR104,0))</f>
        <v>0.227239323964867</v>
      </c>
      <c r="AS114" s="92" t="n">
        <f aca="false">IF(40&lt;'Assumption Setting'!$F$96,0,IFERROR(AS73*'Assumption Setting'!$C$96/AS104,0))</f>
        <v>0.227239323964867</v>
      </c>
      <c r="AT114" s="92" t="n">
        <f aca="false">IF(41&lt;'Assumption Setting'!$F$96,0,IFERROR(AT73*'Assumption Setting'!$C$96/AT104,0))</f>
        <v>0.227239323964867</v>
      </c>
      <c r="AU114" s="92" t="n">
        <f aca="false">IF(42&lt;'Assumption Setting'!$F$96,0,IFERROR(AU73*'Assumption Setting'!$C$96/AU104,0))</f>
        <v>0.227239323964867</v>
      </c>
      <c r="AV114" s="92" t="n">
        <f aca="false">IF(43&lt;'Assumption Setting'!$F$96,0,IFERROR(AV73*'Assumption Setting'!$C$96/AV104,0))</f>
        <v>0.294703507919933</v>
      </c>
      <c r="AW114" s="92" t="n">
        <f aca="false">IF(44&lt;'Assumption Setting'!$F$96,0,IFERROR(AW73*'Assumption Setting'!$C$96/AW104,0))</f>
        <v>0.294703507919933</v>
      </c>
      <c r="AX114" s="92" t="n">
        <f aca="false">IF(45&lt;'Assumption Setting'!$F$96,0,IFERROR(AX73*'Assumption Setting'!$C$96/AX104,0))</f>
        <v>0.294703507919933</v>
      </c>
      <c r="AY114" s="92" t="n">
        <f aca="false">IF(46&lt;'Assumption Setting'!$F$96,0,IFERROR(AY73*'Assumption Setting'!$C$96/AY104,0))</f>
        <v>0.294703507919933</v>
      </c>
      <c r="AZ114" s="92" t="n">
        <f aca="false">IF(47&lt;'Assumption Setting'!$F$96,0,IFERROR(AZ73*'Assumption Setting'!$C$96/AZ104,0))</f>
        <v>0.294703507919933</v>
      </c>
      <c r="BA114" s="92" t="n">
        <f aca="false">IF(48&lt;'Assumption Setting'!$F$96,0,IFERROR(BA73*'Assumption Setting'!$C$96/BA104,0))</f>
        <v>0.294703507919933</v>
      </c>
      <c r="BB114" s="91" t="n">
        <f aca="false">SUM(BC114:BN114)</f>
        <v>4.07452442936742</v>
      </c>
      <c r="BC114" s="92" t="n">
        <f aca="false">IF(49&lt;'Assumption Setting'!$F$96,0,IFERROR(BC73*'Assumption Setting'!$C$96/BC104,0))</f>
        <v>0.294703507919933</v>
      </c>
      <c r="BD114" s="92" t="n">
        <f aca="false">IF(50&lt;'Assumption Setting'!$F$96,0,IFERROR(BD73*'Assumption Setting'!$C$96/BD104,0))</f>
        <v>0.294703507919933</v>
      </c>
      <c r="BE114" s="92" t="n">
        <f aca="false">IF(51&lt;'Assumption Setting'!$F$96,0,IFERROR(BE73*'Assumption Setting'!$C$96/BE104,0))</f>
        <v>0.30649164823673</v>
      </c>
      <c r="BF114" s="92" t="n">
        <f aca="false">IF(52&lt;'Assumption Setting'!$F$96,0,IFERROR(BF73*'Assumption Setting'!$C$96/BF104,0))</f>
        <v>0.30649164823673</v>
      </c>
      <c r="BG114" s="92" t="n">
        <f aca="false">IF(53&lt;'Assumption Setting'!$F$96,0,IFERROR(BG73*'Assumption Setting'!$C$96/BG104,0))</f>
        <v>0.30649164823673</v>
      </c>
      <c r="BH114" s="92" t="n">
        <f aca="false">IF(54&lt;'Assumption Setting'!$F$96,0,IFERROR(BH73*'Assumption Setting'!$C$96/BH104,0))</f>
        <v>0.30649164823673</v>
      </c>
      <c r="BI114" s="92" t="n">
        <f aca="false">IF(55&lt;'Assumption Setting'!$F$96,0,IFERROR(BI73*'Assumption Setting'!$C$96/BI104,0))</f>
        <v>0.376525136763439</v>
      </c>
      <c r="BJ114" s="92" t="n">
        <f aca="false">IF(56&lt;'Assumption Setting'!$F$96,0,IFERROR(BJ73*'Assumption Setting'!$C$96/BJ104,0))</f>
        <v>0.376525136763439</v>
      </c>
      <c r="BK114" s="92" t="n">
        <f aca="false">IF(57&lt;'Assumption Setting'!$F$96,0,IFERROR(BK73*'Assumption Setting'!$C$96/BK104,0))</f>
        <v>0.376525136763439</v>
      </c>
      <c r="BL114" s="92" t="n">
        <f aca="false">IF(58&lt;'Assumption Setting'!$F$96,0,IFERROR(BL73*'Assumption Setting'!$C$96/BL104,0))</f>
        <v>0.376525136763439</v>
      </c>
      <c r="BM114" s="92" t="n">
        <f aca="false">IF(59&lt;'Assumption Setting'!$F$96,0,IFERROR(BM73*'Assumption Setting'!$C$96/BM104,0))</f>
        <v>0.376525136763439</v>
      </c>
      <c r="BN114" s="92" t="n">
        <f aca="false">IF(60&lt;'Assumption Setting'!$F$96,0,IFERROR(BN73*'Assumption Setting'!$C$96/BN104,0))</f>
        <v>0.376525136763439</v>
      </c>
    </row>
    <row r="115" customFormat="false" ht="15" hidden="false" customHeight="false" outlineLevel="0" collapsed="false">
      <c r="A115" s="69" t="s">
        <v>633</v>
      </c>
      <c r="B115" s="91" t="n">
        <f aca="false">N115</f>
        <v>0</v>
      </c>
      <c r="C115" s="93" t="n">
        <f aca="false">C114</f>
        <v>0</v>
      </c>
      <c r="D115" s="93" t="n">
        <f aca="true">C115+D114-IF((2-'Assumption Setting'!$E$96)&lt;1,0,OFFSET($A$114,0,2+13*INT(((2-'Assumption Setting'!$E$96)-1)/12)+MOD((2-'Assumption Setting'!$E$96)-1,12)))</f>
        <v>0</v>
      </c>
      <c r="E115" s="93" t="n">
        <f aca="true">D115+E114-IF((3-'Assumption Setting'!$E$96)&lt;1,0,OFFSET($A$114,0,2+13*INT(((3-'Assumption Setting'!$E$96)-1)/12)+MOD((3-'Assumption Setting'!$E$96)-1,12)))</f>
        <v>0</v>
      </c>
      <c r="F115" s="93" t="n">
        <f aca="true">E115+F114-IF((4-'Assumption Setting'!$E$96)&lt;1,0,OFFSET($A$114,0,2+13*INT(((4-'Assumption Setting'!$E$96)-1)/12)+MOD((4-'Assumption Setting'!$E$96)-1,12)))</f>
        <v>0</v>
      </c>
      <c r="G115" s="93" t="n">
        <f aca="true">F115+G114-IF((5-'Assumption Setting'!$E$96)&lt;1,0,OFFSET($A$114,0,2+13*INT(((5-'Assumption Setting'!$E$96)-1)/12)+MOD((5-'Assumption Setting'!$E$96)-1,12)))</f>
        <v>0</v>
      </c>
      <c r="H115" s="93" t="n">
        <f aca="true">G115+H114-IF((6-'Assumption Setting'!$E$96)&lt;1,0,OFFSET($A$114,0,2+13*INT(((6-'Assumption Setting'!$E$96)-1)/12)+MOD((6-'Assumption Setting'!$E$96)-1,12)))</f>
        <v>0</v>
      </c>
      <c r="I115" s="93" t="n">
        <f aca="true">H115+I114-IF((7-'Assumption Setting'!$E$96)&lt;1,0,OFFSET($A$114,0,2+13*INT(((7-'Assumption Setting'!$E$96)-1)/12)+MOD((7-'Assumption Setting'!$E$96)-1,12)))</f>
        <v>0</v>
      </c>
      <c r="J115" s="93" t="n">
        <f aca="true">I115+J114-IF((8-'Assumption Setting'!$E$96)&lt;1,0,OFFSET($A$114,0,2+13*INT(((8-'Assumption Setting'!$E$96)-1)/12)+MOD((8-'Assumption Setting'!$E$96)-1,12)))</f>
        <v>0</v>
      </c>
      <c r="K115" s="93" t="n">
        <f aca="true">J115+K114-IF((9-'Assumption Setting'!$E$96)&lt;1,0,OFFSET($A$114,0,2+13*INT(((9-'Assumption Setting'!$E$96)-1)/12)+MOD((9-'Assumption Setting'!$E$96)-1,12)))</f>
        <v>0</v>
      </c>
      <c r="L115" s="93" t="n">
        <f aca="true">K115+L114-IF((10-'Assumption Setting'!$E$96)&lt;1,0,OFFSET($A$114,0,2+13*INT(((10-'Assumption Setting'!$E$96)-1)/12)+MOD((10-'Assumption Setting'!$E$96)-1,12)))</f>
        <v>0</v>
      </c>
      <c r="M115" s="93" t="n">
        <f aca="true">L115+M114-IF((11-'Assumption Setting'!$E$96)&lt;1,0,OFFSET($A$114,0,2+13*INT(((11-'Assumption Setting'!$E$96)-1)/12)+MOD((11-'Assumption Setting'!$E$96)-1,12)))</f>
        <v>0</v>
      </c>
      <c r="N115" s="93" t="n">
        <f aca="true">M115+N114-IF((12-'Assumption Setting'!$E$96)&lt;1,0,OFFSET($A$114,0,2+13*INT(((12-'Assumption Setting'!$E$96)-1)/12)+MOD((12-'Assumption Setting'!$E$96)-1,12)))</f>
        <v>0</v>
      </c>
      <c r="O115" s="91" t="n">
        <f aca="false">AA115</f>
        <v>0</v>
      </c>
      <c r="P115" s="93" t="n">
        <f aca="true">N115+P114-IF((13-'Assumption Setting'!$E$96)&lt;1,0,OFFSET($A$114,0,2+13*INT(((13-'Assumption Setting'!$E$96)-1)/12)+MOD((13-'Assumption Setting'!$E$96)-1,12)))</f>
        <v>0</v>
      </c>
      <c r="Q115" s="93" t="n">
        <f aca="true">P115+Q114-IF((14-'Assumption Setting'!$E$96)&lt;1,0,OFFSET($A$114,0,2+13*INT(((14-'Assumption Setting'!$E$96)-1)/12)+MOD((14-'Assumption Setting'!$E$96)-1,12)))</f>
        <v>0</v>
      </c>
      <c r="R115" s="93" t="n">
        <f aca="true">Q115+R114-IF((15-'Assumption Setting'!$E$96)&lt;1,0,OFFSET($A$114,0,2+13*INT(((15-'Assumption Setting'!$E$96)-1)/12)+MOD((15-'Assumption Setting'!$E$96)-1,12)))</f>
        <v>0</v>
      </c>
      <c r="S115" s="93" t="n">
        <f aca="true">R115+S114-IF((16-'Assumption Setting'!$E$96)&lt;1,0,OFFSET($A$114,0,2+13*INT(((16-'Assumption Setting'!$E$96)-1)/12)+MOD((16-'Assumption Setting'!$E$96)-1,12)))</f>
        <v>0</v>
      </c>
      <c r="T115" s="93" t="n">
        <f aca="true">S115+T114-IF((17-'Assumption Setting'!$E$96)&lt;1,0,OFFSET($A$114,0,2+13*INT(((17-'Assumption Setting'!$E$96)-1)/12)+MOD((17-'Assumption Setting'!$E$96)-1,12)))</f>
        <v>0</v>
      </c>
      <c r="U115" s="93" t="n">
        <f aca="true">T115+U114-IF((18-'Assumption Setting'!$E$96)&lt;1,0,OFFSET($A$114,0,2+13*INT(((18-'Assumption Setting'!$E$96)-1)/12)+MOD((18-'Assumption Setting'!$E$96)-1,12)))</f>
        <v>0</v>
      </c>
      <c r="V115" s="93" t="n">
        <f aca="true">U115+V114-IF((19-'Assumption Setting'!$E$96)&lt;1,0,OFFSET($A$114,0,2+13*INT(((19-'Assumption Setting'!$E$96)-1)/12)+MOD((19-'Assumption Setting'!$E$96)-1,12)))</f>
        <v>0</v>
      </c>
      <c r="W115" s="93" t="n">
        <f aca="true">V115+W114-IF((20-'Assumption Setting'!$E$96)&lt;1,0,OFFSET($A$114,0,2+13*INT(((20-'Assumption Setting'!$E$96)-1)/12)+MOD((20-'Assumption Setting'!$E$96)-1,12)))</f>
        <v>0</v>
      </c>
      <c r="X115" s="93" t="n">
        <f aca="true">W115+X114-IF((21-'Assumption Setting'!$E$96)&lt;1,0,OFFSET($A$114,0,2+13*INT(((21-'Assumption Setting'!$E$96)-1)/12)+MOD((21-'Assumption Setting'!$E$96)-1,12)))</f>
        <v>0</v>
      </c>
      <c r="Y115" s="93" t="n">
        <f aca="true">X115+Y114-IF((22-'Assumption Setting'!$E$96)&lt;1,0,OFFSET($A$114,0,2+13*INT(((22-'Assumption Setting'!$E$96)-1)/12)+MOD((22-'Assumption Setting'!$E$96)-1,12)))</f>
        <v>0</v>
      </c>
      <c r="Z115" s="93" t="n">
        <f aca="true">Y115+Z114-IF((23-'Assumption Setting'!$E$96)&lt;1,0,OFFSET($A$114,0,2+13*INT(((23-'Assumption Setting'!$E$96)-1)/12)+MOD((23-'Assumption Setting'!$E$96)-1,12)))</f>
        <v>0</v>
      </c>
      <c r="AA115" s="93" t="n">
        <f aca="true">Z115+AA114-IF((24-'Assumption Setting'!$E$96)&lt;1,0,OFFSET($A$114,0,2+13*INT(((24-'Assumption Setting'!$E$96)-1)/12)+MOD((24-'Assumption Setting'!$E$96)-1,12)))</f>
        <v>0</v>
      </c>
      <c r="AB115" s="91" t="n">
        <f aca="false">AN115</f>
        <v>2.1573691739832</v>
      </c>
      <c r="AC115" s="93" t="n">
        <f aca="true">AA115+AC114-IF((25-'Assumption Setting'!$E$96)&lt;1,0,OFFSET($A$114,0,2+13*INT(((25-'Assumption Setting'!$E$96)-1)/12)+MOD((25-'Assumption Setting'!$E$96)-1,12)))</f>
        <v>0.133331104962875</v>
      </c>
      <c r="AD115" s="93" t="n">
        <f aca="true">AC115+AD114-IF((26-'Assumption Setting'!$E$96)&lt;1,0,OFFSET($A$114,0,2+13*INT(((26-'Assumption Setting'!$E$96)-1)/12)+MOD((26-'Assumption Setting'!$E$96)-1,12)))</f>
        <v>0.26666220992575</v>
      </c>
      <c r="AE115" s="93" t="n">
        <f aca="true">AD115+AE114-IF((27-'Assumption Setting'!$E$96)&lt;1,0,OFFSET($A$114,0,2+13*INT(((27-'Assumption Setting'!$E$96)-1)/12)+MOD((27-'Assumption Setting'!$E$96)-1,12)))</f>
        <v>0.412114324430705</v>
      </c>
      <c r="AF115" s="93" t="n">
        <f aca="true">AE115+AF114-IF((28-'Assumption Setting'!$E$96)&lt;1,0,OFFSET($A$114,0,2+13*INT(((28-'Assumption Setting'!$E$96)-1)/12)+MOD((28-'Assumption Setting'!$E$96)-1,12)))</f>
        <v>0.55756643893566</v>
      </c>
      <c r="AG115" s="93" t="n">
        <f aca="true">AF115+AG114-IF((29-'Assumption Setting'!$E$96)&lt;1,0,OFFSET($A$114,0,2+13*INT(((29-'Assumption Setting'!$E$96)-1)/12)+MOD((29-'Assumption Setting'!$E$96)-1,12)))</f>
        <v>0.703018553440614</v>
      </c>
      <c r="AH115" s="93" t="n">
        <f aca="true">AG115+AH114-IF((30-'Assumption Setting'!$E$96)&lt;1,0,OFFSET($A$114,0,2+13*INT(((30-'Assumption Setting'!$E$96)-1)/12)+MOD((30-'Assumption Setting'!$E$96)-1,12)))</f>
        <v>0.848470667945569</v>
      </c>
      <c r="AI115" s="93" t="n">
        <f aca="true">AH115+AI114-IF((31-'Assumption Setting'!$E$96)&lt;1,0,OFFSET($A$114,0,2+13*INT(((31-'Assumption Setting'!$E$96)-1)/12)+MOD((31-'Assumption Setting'!$E$96)-1,12)))</f>
        <v>1.06662041895184</v>
      </c>
      <c r="AJ115" s="93" t="n">
        <f aca="true">AI115+AJ114-IF((32-'Assumption Setting'!$E$96)&lt;1,0,OFFSET($A$114,0,2+13*INT(((32-'Assumption Setting'!$E$96)-1)/12)+MOD((32-'Assumption Setting'!$E$96)-1,12)))</f>
        <v>1.28477016995811</v>
      </c>
      <c r="AK115" s="93" t="n">
        <f aca="true">AJ115+AK114-IF((33-'Assumption Setting'!$E$96)&lt;1,0,OFFSET($A$114,0,2+13*INT(((33-'Assumption Setting'!$E$96)-1)/12)+MOD((33-'Assumption Setting'!$E$96)-1,12)))</f>
        <v>1.50291992096439</v>
      </c>
      <c r="AL115" s="93" t="n">
        <f aca="true">AK115+AL114-IF((34-'Assumption Setting'!$E$96)&lt;1,0,OFFSET($A$114,0,2+13*INT(((34-'Assumption Setting'!$E$96)-1)/12)+MOD((34-'Assumption Setting'!$E$96)-1,12)))</f>
        <v>1.72106967197066</v>
      </c>
      <c r="AM115" s="93" t="n">
        <f aca="true">AL115+AM114-IF((35-'Assumption Setting'!$E$96)&lt;1,0,OFFSET($A$114,0,2+13*INT(((35-'Assumption Setting'!$E$96)-1)/12)+MOD((35-'Assumption Setting'!$E$96)-1,12)))</f>
        <v>1.93921942297693</v>
      </c>
      <c r="AN115" s="93" t="n">
        <f aca="true">AM115+AN114-IF((36-'Assumption Setting'!$E$96)&lt;1,0,OFFSET($A$114,0,2+13*INT(((36-'Assumption Setting'!$E$96)-1)/12)+MOD((36-'Assumption Setting'!$E$96)-1,12)))</f>
        <v>2.1573691739832</v>
      </c>
      <c r="AO115" s="91" t="n">
        <f aca="false">BA115</f>
        <v>5.27084701937482</v>
      </c>
      <c r="AP115" s="93" t="n">
        <f aca="true">AN115+AP114-IF((37-'Assumption Setting'!$E$96)&lt;1,0,OFFSET($A$114,0,2+13*INT(((37-'Assumption Setting'!$E$96)-1)/12)+MOD((37-'Assumption Setting'!$E$96)-1,12)))</f>
        <v>2.37551892498948</v>
      </c>
      <c r="AQ115" s="93" t="n">
        <f aca="true">AP115+AQ114-IF((38-'Assumption Setting'!$E$96)&lt;1,0,OFFSET($A$114,0,2+13*INT(((38-'Assumption Setting'!$E$96)-1)/12)+MOD((38-'Assumption Setting'!$E$96)-1,12)))</f>
        <v>2.59366867599575</v>
      </c>
      <c r="AR115" s="93" t="n">
        <f aca="true">AQ115+AR114-IF((39-'Assumption Setting'!$E$96)&lt;1,0,OFFSET($A$114,0,2+13*INT(((39-'Assumption Setting'!$E$96)-1)/12)+MOD((39-'Assumption Setting'!$E$96)-1,12)))</f>
        <v>2.82090799996062</v>
      </c>
      <c r="AS115" s="93" t="n">
        <f aca="true">AR115+AS114-IF((40-'Assumption Setting'!$E$96)&lt;1,0,OFFSET($A$114,0,2+13*INT(((40-'Assumption Setting'!$E$96)-1)/12)+MOD((40-'Assumption Setting'!$E$96)-1,12)))</f>
        <v>3.04814732392548</v>
      </c>
      <c r="AT115" s="93" t="n">
        <f aca="true">AS115+AT114-IF((41-'Assumption Setting'!$E$96)&lt;1,0,OFFSET($A$114,0,2+13*INT(((41-'Assumption Setting'!$E$96)-1)/12)+MOD((41-'Assumption Setting'!$E$96)-1,12)))</f>
        <v>3.27538664789035</v>
      </c>
      <c r="AU115" s="93" t="n">
        <f aca="true">AT115+AU114-IF((42-'Assumption Setting'!$E$96)&lt;1,0,OFFSET($A$114,0,2+13*INT(((42-'Assumption Setting'!$E$96)-1)/12)+MOD((42-'Assumption Setting'!$E$96)-1,12)))</f>
        <v>3.50262597185522</v>
      </c>
      <c r="AV115" s="93" t="n">
        <f aca="true">AU115+AV114-IF((43-'Assumption Setting'!$E$96)&lt;1,0,OFFSET($A$114,0,2+13*INT(((43-'Assumption Setting'!$E$96)-1)/12)+MOD((43-'Assumption Setting'!$E$96)-1,12)))</f>
        <v>3.79732947977515</v>
      </c>
      <c r="AW115" s="93" t="n">
        <f aca="true">AV115+AW114-IF((44-'Assumption Setting'!$E$96)&lt;1,0,OFFSET($A$114,0,2+13*INT(((44-'Assumption Setting'!$E$96)-1)/12)+MOD((44-'Assumption Setting'!$E$96)-1,12)))</f>
        <v>4.09203298769508</v>
      </c>
      <c r="AX115" s="93" t="n">
        <f aca="true">AW115+AX114-IF((45-'Assumption Setting'!$E$96)&lt;1,0,OFFSET($A$114,0,2+13*INT(((45-'Assumption Setting'!$E$96)-1)/12)+MOD((45-'Assumption Setting'!$E$96)-1,12)))</f>
        <v>4.38673649561502</v>
      </c>
      <c r="AY115" s="93" t="n">
        <f aca="true">AX115+AY114-IF((46-'Assumption Setting'!$E$96)&lt;1,0,OFFSET($A$114,0,2+13*INT(((46-'Assumption Setting'!$E$96)-1)/12)+MOD((46-'Assumption Setting'!$E$96)-1,12)))</f>
        <v>4.68144000353495</v>
      </c>
      <c r="AZ115" s="93" t="n">
        <f aca="true">AY115+AZ114-IF((47-'Assumption Setting'!$E$96)&lt;1,0,OFFSET($A$114,0,2+13*INT(((47-'Assumption Setting'!$E$96)-1)/12)+MOD((47-'Assumption Setting'!$E$96)-1,12)))</f>
        <v>4.97614351145488</v>
      </c>
      <c r="BA115" s="93" t="n">
        <f aca="true">AZ115+BA114-IF((48-'Assumption Setting'!$E$96)&lt;1,0,OFFSET($A$114,0,2+13*INT(((48-'Assumption Setting'!$E$96)-1)/12)+MOD((48-'Assumption Setting'!$E$96)-1,12)))</f>
        <v>5.27084701937482</v>
      </c>
      <c r="BB115" s="91" t="n">
        <f aca="false">BN115</f>
        <v>7.18800227475903</v>
      </c>
      <c r="BC115" s="93" t="n">
        <f aca="true">BA115+BC114-IF((49-'Assumption Setting'!$E$96)&lt;1,0,OFFSET($A$114,0,2+13*INT(((49-'Assumption Setting'!$E$96)-1)/12)+MOD((49-'Assumption Setting'!$E$96)-1,12)))</f>
        <v>5.43221942233187</v>
      </c>
      <c r="BD115" s="93" t="n">
        <f aca="true">BC115+BD114-IF((50-'Assumption Setting'!$E$96)&lt;1,0,OFFSET($A$114,0,2+13*INT(((50-'Assumption Setting'!$E$96)-1)/12)+MOD((50-'Assumption Setting'!$E$96)-1,12)))</f>
        <v>5.59359182528893</v>
      </c>
      <c r="BE115" s="93" t="n">
        <f aca="true">BD115+BE114-IF((51-'Assumption Setting'!$E$96)&lt;1,0,OFFSET($A$114,0,2+13*INT(((51-'Assumption Setting'!$E$96)-1)/12)+MOD((51-'Assumption Setting'!$E$96)-1,12)))</f>
        <v>5.75463135902071</v>
      </c>
      <c r="BF115" s="93" t="n">
        <f aca="true">BE115+BF114-IF((52-'Assumption Setting'!$E$96)&lt;1,0,OFFSET($A$114,0,2+13*INT(((52-'Assumption Setting'!$E$96)-1)/12)+MOD((52-'Assumption Setting'!$E$96)-1,12)))</f>
        <v>5.91567089275248</v>
      </c>
      <c r="BG115" s="93" t="n">
        <f aca="true">BF115+BG114-IF((53-'Assumption Setting'!$E$96)&lt;1,0,OFFSET($A$114,0,2+13*INT(((53-'Assumption Setting'!$E$96)-1)/12)+MOD((53-'Assumption Setting'!$E$96)-1,12)))</f>
        <v>6.07671042648426</v>
      </c>
      <c r="BH115" s="93" t="n">
        <f aca="true">BG115+BH114-IF((54-'Assumption Setting'!$E$96)&lt;1,0,OFFSET($A$114,0,2+13*INT(((54-'Assumption Setting'!$E$96)-1)/12)+MOD((54-'Assumption Setting'!$E$96)-1,12)))</f>
        <v>6.23774996021604</v>
      </c>
      <c r="BI115" s="93" t="n">
        <f aca="true">BH115+BI114-IF((55-'Assumption Setting'!$E$96)&lt;1,0,OFFSET($A$114,0,2+13*INT(((55-'Assumption Setting'!$E$96)-1)/12)+MOD((55-'Assumption Setting'!$E$96)-1,12)))</f>
        <v>6.3961253459732</v>
      </c>
      <c r="BJ115" s="93" t="n">
        <f aca="true">BI115+BJ114-IF((56-'Assumption Setting'!$E$96)&lt;1,0,OFFSET($A$114,0,2+13*INT(((56-'Assumption Setting'!$E$96)-1)/12)+MOD((56-'Assumption Setting'!$E$96)-1,12)))</f>
        <v>6.55450073173037</v>
      </c>
      <c r="BK115" s="93" t="n">
        <f aca="true">BJ115+BK114-IF((57-'Assumption Setting'!$E$96)&lt;1,0,OFFSET($A$114,0,2+13*INT(((57-'Assumption Setting'!$E$96)-1)/12)+MOD((57-'Assumption Setting'!$E$96)-1,12)))</f>
        <v>6.71287611748753</v>
      </c>
      <c r="BL115" s="93" t="n">
        <f aca="true">BK115+BL114-IF((58-'Assumption Setting'!$E$96)&lt;1,0,OFFSET($A$114,0,2+13*INT(((58-'Assumption Setting'!$E$96)-1)/12)+MOD((58-'Assumption Setting'!$E$96)-1,12)))</f>
        <v>6.8712515032447</v>
      </c>
      <c r="BM115" s="93" t="n">
        <f aca="true">BL115+BM114-IF((59-'Assumption Setting'!$E$96)&lt;1,0,OFFSET($A$114,0,2+13*INT(((59-'Assumption Setting'!$E$96)-1)/12)+MOD((59-'Assumption Setting'!$E$96)-1,12)))</f>
        <v>7.02962688900187</v>
      </c>
      <c r="BN115" s="93" t="n">
        <f aca="true">BM115+BN114-IF((60-'Assumption Setting'!$E$96)&lt;1,0,OFFSET($A$114,0,2+13*INT(((60-'Assumption Setting'!$E$96)-1)/12)+MOD((60-'Assumption Setting'!$E$96)-1,12)))</f>
        <v>7.18800227475903</v>
      </c>
    </row>
    <row r="116" customFormat="false" ht="15" hidden="false" customHeight="false" outlineLevel="0" collapsed="false">
      <c r="A116" s="12" t="s">
        <v>634</v>
      </c>
      <c r="B116" s="91" t="n">
        <f aca="false">SUM(C116:N116)</f>
        <v>0</v>
      </c>
      <c r="C116" s="92" t="n">
        <f aca="false">IF(1&lt;'Assumption Setting'!$F$97,0,IFERROR(C73*'Assumption Setting'!$C$97/C104,0))</f>
        <v>0</v>
      </c>
      <c r="D116" s="92" t="n">
        <f aca="false">IF(2&lt;'Assumption Setting'!$F$97,0,IFERROR(D73*'Assumption Setting'!$C$97/D104,0))</f>
        <v>0</v>
      </c>
      <c r="E116" s="92" t="n">
        <f aca="false">IF(3&lt;'Assumption Setting'!$F$97,0,IFERROR(E73*'Assumption Setting'!$C$97/E104,0))</f>
        <v>0</v>
      </c>
      <c r="F116" s="92" t="n">
        <f aca="false">IF(4&lt;'Assumption Setting'!$F$97,0,IFERROR(F73*'Assumption Setting'!$C$97/F104,0))</f>
        <v>0</v>
      </c>
      <c r="G116" s="92" t="n">
        <f aca="false">IF(5&lt;'Assumption Setting'!$F$97,0,IFERROR(G73*'Assumption Setting'!$C$97/G104,0))</f>
        <v>0</v>
      </c>
      <c r="H116" s="92" t="n">
        <f aca="false">IF(6&lt;'Assumption Setting'!$F$97,0,IFERROR(H73*'Assumption Setting'!$C$97/H104,0))</f>
        <v>0</v>
      </c>
      <c r="I116" s="92" t="n">
        <f aca="false">IF(7&lt;'Assumption Setting'!$F$97,0,IFERROR(I73*'Assumption Setting'!$C$97/I104,0))</f>
        <v>0</v>
      </c>
      <c r="J116" s="92" t="n">
        <f aca="false">IF(8&lt;'Assumption Setting'!$F$97,0,IFERROR(J73*'Assumption Setting'!$C$97/J104,0))</f>
        <v>0</v>
      </c>
      <c r="K116" s="92" t="n">
        <f aca="false">IF(9&lt;'Assumption Setting'!$F$97,0,IFERROR(K73*'Assumption Setting'!$C$97/K104,0))</f>
        <v>0</v>
      </c>
      <c r="L116" s="92" t="n">
        <f aca="false">IF(10&lt;'Assumption Setting'!$F$97,0,IFERROR(L73*'Assumption Setting'!$C$97/L104,0))</f>
        <v>0</v>
      </c>
      <c r="M116" s="92" t="n">
        <f aca="false">IF(11&lt;'Assumption Setting'!$F$97,0,IFERROR(M73*'Assumption Setting'!$C$97/M104,0))</f>
        <v>0</v>
      </c>
      <c r="N116" s="92" t="n">
        <f aca="false">IF(12&lt;'Assumption Setting'!$F$97,0,IFERROR(N73*'Assumption Setting'!$C$97/N104,0))</f>
        <v>0</v>
      </c>
      <c r="O116" s="91" t="n">
        <f aca="false">SUM(P116:AA116)</f>
        <v>1.0357437346371</v>
      </c>
      <c r="P116" s="92" t="n">
        <f aca="false">IF(13&lt;'Assumption Setting'!$F$97,0,IFERROR(P73*'Assumption Setting'!$C$97/P104,0))</f>
        <v>0.0626302673444316</v>
      </c>
      <c r="Q116" s="92" t="n">
        <f aca="false">IF(14&lt;'Assumption Setting'!$F$97,0,IFERROR(Q73*'Assumption Setting'!$C$97/Q104,0))</f>
        <v>0.0626302673444316</v>
      </c>
      <c r="R116" s="92" t="n">
        <f aca="false">IF(15&lt;'Assumption Setting'!$F$97,0,IFERROR(R73*'Assumption Setting'!$C$97/R104,0))</f>
        <v>0.0688932940788748</v>
      </c>
      <c r="S116" s="92" t="n">
        <f aca="false">IF(16&lt;'Assumption Setting'!$F$97,0,IFERROR(S73*'Assumption Setting'!$C$97/S104,0))</f>
        <v>0.0688932940788748</v>
      </c>
      <c r="T116" s="92" t="n">
        <f aca="false">IF(17&lt;'Assumption Setting'!$F$97,0,IFERROR(T73*'Assumption Setting'!$C$97/T104,0))</f>
        <v>0.0688932940788748</v>
      </c>
      <c r="U116" s="92" t="n">
        <f aca="false">IF(18&lt;'Assumption Setting'!$F$97,0,IFERROR(U73*'Assumption Setting'!$C$97/U104,0))</f>
        <v>0.0688932940788748</v>
      </c>
      <c r="V116" s="92" t="n">
        <f aca="false">IF(19&lt;'Assumption Setting'!$F$97,0,IFERROR(V73*'Assumption Setting'!$C$97/V104,0))</f>
        <v>0.105818337272123</v>
      </c>
      <c r="W116" s="92" t="n">
        <f aca="false">IF(20&lt;'Assumption Setting'!$F$97,0,IFERROR(W73*'Assumption Setting'!$C$97/W104,0))</f>
        <v>0.105818337272123</v>
      </c>
      <c r="X116" s="92" t="n">
        <f aca="false">IF(21&lt;'Assumption Setting'!$F$97,0,IFERROR(X73*'Assumption Setting'!$C$97/X104,0))</f>
        <v>0.105818337272123</v>
      </c>
      <c r="Y116" s="92" t="n">
        <f aca="false">IF(22&lt;'Assumption Setting'!$F$97,0,IFERROR(Y73*'Assumption Setting'!$C$97/Y104,0))</f>
        <v>0.105818337272123</v>
      </c>
      <c r="Z116" s="92" t="n">
        <f aca="false">IF(23&lt;'Assumption Setting'!$F$97,0,IFERROR(Z73*'Assumption Setting'!$C$97/Z104,0))</f>
        <v>0.105818337272123</v>
      </c>
      <c r="AA116" s="92" t="n">
        <f aca="false">IF(24&lt;'Assumption Setting'!$F$97,0,IFERROR(AA73*'Assumption Setting'!$C$97/AA104,0))</f>
        <v>0.105818337272123</v>
      </c>
      <c r="AB116" s="91" t="n">
        <f aca="false">SUM(AC116:AN116)</f>
        <v>1.4382461159888</v>
      </c>
      <c r="AC116" s="92" t="n">
        <f aca="false">IF(25&lt;'Assumption Setting'!$F$97,0,IFERROR(AC73*'Assumption Setting'!$C$97/AC104,0))</f>
        <v>0.0888874033085834</v>
      </c>
      <c r="AD116" s="92" t="n">
        <f aca="false">IF(26&lt;'Assumption Setting'!$F$97,0,IFERROR(AD73*'Assumption Setting'!$C$97/AD104,0))</f>
        <v>0.0888874033085834</v>
      </c>
      <c r="AE116" s="92" t="n">
        <f aca="false">IF(27&lt;'Assumption Setting'!$F$97,0,IFERROR(AE73*'Assumption Setting'!$C$97/AE104,0))</f>
        <v>0.0969680763366364</v>
      </c>
      <c r="AF116" s="92" t="n">
        <f aca="false">IF(28&lt;'Assumption Setting'!$F$97,0,IFERROR(AF73*'Assumption Setting'!$C$97/AF104,0))</f>
        <v>0.0969680763366364</v>
      </c>
      <c r="AG116" s="92" t="n">
        <f aca="false">IF(29&lt;'Assumption Setting'!$F$97,0,IFERROR(AG73*'Assumption Setting'!$C$97/AG104,0))</f>
        <v>0.0969680763366364</v>
      </c>
      <c r="AH116" s="92" t="n">
        <f aca="false">IF(30&lt;'Assumption Setting'!$F$97,0,IFERROR(AH73*'Assumption Setting'!$C$97/AH104,0))</f>
        <v>0.0969680763366364</v>
      </c>
      <c r="AI116" s="92" t="n">
        <f aca="false">IF(31&lt;'Assumption Setting'!$F$97,0,IFERROR(AI73*'Assumption Setting'!$C$97/AI104,0))</f>
        <v>0.145433167337515</v>
      </c>
      <c r="AJ116" s="92" t="n">
        <f aca="false">IF(32&lt;'Assumption Setting'!$F$97,0,IFERROR(AJ73*'Assumption Setting'!$C$97/AJ104,0))</f>
        <v>0.145433167337515</v>
      </c>
      <c r="AK116" s="92" t="n">
        <f aca="false">IF(33&lt;'Assumption Setting'!$F$97,0,IFERROR(AK73*'Assumption Setting'!$C$97/AK104,0))</f>
        <v>0.145433167337515</v>
      </c>
      <c r="AL116" s="92" t="n">
        <f aca="false">IF(34&lt;'Assumption Setting'!$F$97,0,IFERROR(AL73*'Assumption Setting'!$C$97/AL104,0))</f>
        <v>0.145433167337515</v>
      </c>
      <c r="AM116" s="92" t="n">
        <f aca="false">IF(35&lt;'Assumption Setting'!$F$97,0,IFERROR(AM73*'Assumption Setting'!$C$97/AM104,0))</f>
        <v>0.145433167337515</v>
      </c>
      <c r="AN116" s="92" t="n">
        <f aca="false">IF(36&lt;'Assumption Setting'!$F$97,0,IFERROR(AN73*'Assumption Setting'!$C$97/AN104,0))</f>
        <v>0.145433167337515</v>
      </c>
      <c r="AO116" s="91" t="n">
        <f aca="false">SUM(AP116:BA116)</f>
        <v>2.07565189692774</v>
      </c>
      <c r="AP116" s="92" t="n">
        <f aca="false">IF(37&lt;'Assumption Setting'!$F$97,0,IFERROR(AP73*'Assumption Setting'!$C$97/AP104,0))</f>
        <v>0.145433167337515</v>
      </c>
      <c r="AQ116" s="92" t="n">
        <f aca="false">IF(38&lt;'Assumption Setting'!$F$97,0,IFERROR(AQ73*'Assumption Setting'!$C$97/AQ104,0))</f>
        <v>0.145433167337515</v>
      </c>
      <c r="AR116" s="92" t="n">
        <f aca="false">IF(39&lt;'Assumption Setting'!$F$97,0,IFERROR(AR73*'Assumption Setting'!$C$97/AR104,0))</f>
        <v>0.151492882643245</v>
      </c>
      <c r="AS116" s="92" t="n">
        <f aca="false">IF(40&lt;'Assumption Setting'!$F$97,0,IFERROR(AS73*'Assumption Setting'!$C$97/AS104,0))</f>
        <v>0.151492882643245</v>
      </c>
      <c r="AT116" s="92" t="n">
        <f aca="false">IF(41&lt;'Assumption Setting'!$F$97,0,IFERROR(AT73*'Assumption Setting'!$C$97/AT104,0))</f>
        <v>0.151492882643245</v>
      </c>
      <c r="AU116" s="92" t="n">
        <f aca="false">IF(42&lt;'Assumption Setting'!$F$97,0,IFERROR(AU73*'Assumption Setting'!$C$97/AU104,0))</f>
        <v>0.151492882643245</v>
      </c>
      <c r="AV116" s="92" t="n">
        <f aca="false">IF(43&lt;'Assumption Setting'!$F$97,0,IFERROR(AV73*'Assumption Setting'!$C$97/AV104,0))</f>
        <v>0.196469005279955</v>
      </c>
      <c r="AW116" s="92" t="n">
        <f aca="false">IF(44&lt;'Assumption Setting'!$F$97,0,IFERROR(AW73*'Assumption Setting'!$C$97/AW104,0))</f>
        <v>0.196469005279955</v>
      </c>
      <c r="AX116" s="92" t="n">
        <f aca="false">IF(45&lt;'Assumption Setting'!$F$97,0,IFERROR(AX73*'Assumption Setting'!$C$97/AX104,0))</f>
        <v>0.196469005279955</v>
      </c>
      <c r="AY116" s="92" t="n">
        <f aca="false">IF(46&lt;'Assumption Setting'!$F$97,0,IFERROR(AY73*'Assumption Setting'!$C$97/AY104,0))</f>
        <v>0.196469005279955</v>
      </c>
      <c r="AZ116" s="92" t="n">
        <f aca="false">IF(47&lt;'Assumption Setting'!$F$97,0,IFERROR(AZ73*'Assumption Setting'!$C$97/AZ104,0))</f>
        <v>0.196469005279955</v>
      </c>
      <c r="BA116" s="92" t="n">
        <f aca="false">IF(48&lt;'Assumption Setting'!$F$97,0,IFERROR(BA73*'Assumption Setting'!$C$97/BA104,0))</f>
        <v>0.196469005279955</v>
      </c>
      <c r="BB116" s="91" t="n">
        <f aca="false">SUM(BC116:BN116)</f>
        <v>2.71634961957828</v>
      </c>
      <c r="BC116" s="92" t="n">
        <f aca="false">IF(49&lt;'Assumption Setting'!$F$97,0,IFERROR(BC73*'Assumption Setting'!$C$97/BC104,0))</f>
        <v>0.196469005279955</v>
      </c>
      <c r="BD116" s="92" t="n">
        <f aca="false">IF(50&lt;'Assumption Setting'!$F$97,0,IFERROR(BD73*'Assumption Setting'!$C$97/BD104,0))</f>
        <v>0.196469005279955</v>
      </c>
      <c r="BE116" s="92" t="n">
        <f aca="false">IF(51&lt;'Assumption Setting'!$F$97,0,IFERROR(BE73*'Assumption Setting'!$C$97/BE104,0))</f>
        <v>0.204327765491154</v>
      </c>
      <c r="BF116" s="92" t="n">
        <f aca="false">IF(52&lt;'Assumption Setting'!$F$97,0,IFERROR(BF73*'Assumption Setting'!$C$97/BF104,0))</f>
        <v>0.204327765491154</v>
      </c>
      <c r="BG116" s="92" t="n">
        <f aca="false">IF(53&lt;'Assumption Setting'!$F$97,0,IFERROR(BG73*'Assumption Setting'!$C$97/BG104,0))</f>
        <v>0.204327765491154</v>
      </c>
      <c r="BH116" s="92" t="n">
        <f aca="false">IF(54&lt;'Assumption Setting'!$F$97,0,IFERROR(BH73*'Assumption Setting'!$C$97/BH104,0))</f>
        <v>0.204327765491154</v>
      </c>
      <c r="BI116" s="92" t="n">
        <f aca="false">IF(55&lt;'Assumption Setting'!$F$97,0,IFERROR(BI73*'Assumption Setting'!$C$97/BI104,0))</f>
        <v>0.251016757842292</v>
      </c>
      <c r="BJ116" s="92" t="n">
        <f aca="false">IF(56&lt;'Assumption Setting'!$F$97,0,IFERROR(BJ73*'Assumption Setting'!$C$97/BJ104,0))</f>
        <v>0.251016757842292</v>
      </c>
      <c r="BK116" s="92" t="n">
        <f aca="false">IF(57&lt;'Assumption Setting'!$F$97,0,IFERROR(BK73*'Assumption Setting'!$C$97/BK104,0))</f>
        <v>0.251016757842292</v>
      </c>
      <c r="BL116" s="92" t="n">
        <f aca="false">IF(58&lt;'Assumption Setting'!$F$97,0,IFERROR(BL73*'Assumption Setting'!$C$97/BL104,0))</f>
        <v>0.251016757842292</v>
      </c>
      <c r="BM116" s="92" t="n">
        <f aca="false">IF(59&lt;'Assumption Setting'!$F$97,0,IFERROR(BM73*'Assumption Setting'!$C$97/BM104,0))</f>
        <v>0.251016757842292</v>
      </c>
      <c r="BN116" s="92" t="n">
        <f aca="false">IF(60&lt;'Assumption Setting'!$F$97,0,IFERROR(BN73*'Assumption Setting'!$C$97/BN104,0))</f>
        <v>0.251016757842292</v>
      </c>
    </row>
    <row r="117" customFormat="false" ht="15" hidden="false" customHeight="false" outlineLevel="0" collapsed="false">
      <c r="A117" s="69" t="s">
        <v>635</v>
      </c>
      <c r="B117" s="91" t="n">
        <f aca="false">N117</f>
        <v>0</v>
      </c>
      <c r="C117" s="93" t="n">
        <f aca="false">C116</f>
        <v>0</v>
      </c>
      <c r="D117" s="93" t="n">
        <f aca="true">C117+D116-IF((2-'Assumption Setting'!$E$97)&lt;1,0,OFFSET($A$116,0,2+13*INT(((2-'Assumption Setting'!$E$97)-1)/12)+MOD((2-'Assumption Setting'!$E$97)-1,12)))</f>
        <v>0</v>
      </c>
      <c r="E117" s="93" t="n">
        <f aca="true">D117+E116-IF((3-'Assumption Setting'!$E$97)&lt;1,0,OFFSET($A$116,0,2+13*INT(((3-'Assumption Setting'!$E$97)-1)/12)+MOD((3-'Assumption Setting'!$E$97)-1,12)))</f>
        <v>0</v>
      </c>
      <c r="F117" s="93" t="n">
        <f aca="true">E117+F116-IF((4-'Assumption Setting'!$E$97)&lt;1,0,OFFSET($A$116,0,2+13*INT(((4-'Assumption Setting'!$E$97)-1)/12)+MOD((4-'Assumption Setting'!$E$97)-1,12)))</f>
        <v>0</v>
      </c>
      <c r="G117" s="93" t="n">
        <f aca="true">F117+G116-IF((5-'Assumption Setting'!$E$97)&lt;1,0,OFFSET($A$116,0,2+13*INT(((5-'Assumption Setting'!$E$97)-1)/12)+MOD((5-'Assumption Setting'!$E$97)-1,12)))</f>
        <v>0</v>
      </c>
      <c r="H117" s="93" t="n">
        <f aca="true">G117+H116-IF((6-'Assumption Setting'!$E$97)&lt;1,0,OFFSET($A$116,0,2+13*INT(((6-'Assumption Setting'!$E$97)-1)/12)+MOD((6-'Assumption Setting'!$E$97)-1,12)))</f>
        <v>0</v>
      </c>
      <c r="I117" s="93" t="n">
        <f aca="true">H117+I116-IF((7-'Assumption Setting'!$E$97)&lt;1,0,OFFSET($A$116,0,2+13*INT(((7-'Assumption Setting'!$E$97)-1)/12)+MOD((7-'Assumption Setting'!$E$97)-1,12)))</f>
        <v>0</v>
      </c>
      <c r="J117" s="93" t="n">
        <f aca="true">I117+J116-IF((8-'Assumption Setting'!$E$97)&lt;1,0,OFFSET($A$116,0,2+13*INT(((8-'Assumption Setting'!$E$97)-1)/12)+MOD((8-'Assumption Setting'!$E$97)-1,12)))</f>
        <v>0</v>
      </c>
      <c r="K117" s="93" t="n">
        <f aca="true">J117+K116-IF((9-'Assumption Setting'!$E$97)&lt;1,0,OFFSET($A$116,0,2+13*INT(((9-'Assumption Setting'!$E$97)-1)/12)+MOD((9-'Assumption Setting'!$E$97)-1,12)))</f>
        <v>0</v>
      </c>
      <c r="L117" s="93" t="n">
        <f aca="true">K117+L116-IF((10-'Assumption Setting'!$E$97)&lt;1,0,OFFSET($A$116,0,2+13*INT(((10-'Assumption Setting'!$E$97)-1)/12)+MOD((10-'Assumption Setting'!$E$97)-1,12)))</f>
        <v>0</v>
      </c>
      <c r="M117" s="93" t="n">
        <f aca="true">L117+M116-IF((11-'Assumption Setting'!$E$97)&lt;1,0,OFFSET($A$116,0,2+13*INT(((11-'Assumption Setting'!$E$97)-1)/12)+MOD((11-'Assumption Setting'!$E$97)-1,12)))</f>
        <v>0</v>
      </c>
      <c r="N117" s="93" t="n">
        <f aca="true">M117+N116-IF((12-'Assumption Setting'!$E$97)&lt;1,0,OFFSET($A$116,0,2+13*INT(((12-'Assumption Setting'!$E$97)-1)/12)+MOD((12-'Assumption Setting'!$E$97)-1,12)))</f>
        <v>0</v>
      </c>
      <c r="O117" s="91" t="n">
        <f aca="false">AA117</f>
        <v>1.0357437346371</v>
      </c>
      <c r="P117" s="93" t="n">
        <f aca="true">N117+P116-IF((13-'Assumption Setting'!$E$97)&lt;1,0,OFFSET($A$116,0,2+13*INT(((13-'Assumption Setting'!$E$97)-1)/12)+MOD((13-'Assumption Setting'!$E$97)-1,12)))</f>
        <v>0.0626302673444316</v>
      </c>
      <c r="Q117" s="93" t="n">
        <f aca="true">P117+Q116-IF((14-'Assumption Setting'!$E$97)&lt;1,0,OFFSET($A$116,0,2+13*INT(((14-'Assumption Setting'!$E$97)-1)/12)+MOD((14-'Assumption Setting'!$E$97)-1,12)))</f>
        <v>0.125260534688863</v>
      </c>
      <c r="R117" s="93" t="n">
        <f aca="true">Q117+R116-IF((15-'Assumption Setting'!$E$97)&lt;1,0,OFFSET($A$116,0,2+13*INT(((15-'Assumption Setting'!$E$97)-1)/12)+MOD((15-'Assumption Setting'!$E$97)-1,12)))</f>
        <v>0.194153828767738</v>
      </c>
      <c r="S117" s="93" t="n">
        <f aca="true">R117+S116-IF((16-'Assumption Setting'!$E$97)&lt;1,0,OFFSET($A$116,0,2+13*INT(((16-'Assumption Setting'!$E$97)-1)/12)+MOD((16-'Assumption Setting'!$E$97)-1,12)))</f>
        <v>0.263047122846613</v>
      </c>
      <c r="T117" s="93" t="n">
        <f aca="true">S117+T116-IF((17-'Assumption Setting'!$E$97)&lt;1,0,OFFSET($A$116,0,2+13*INT(((17-'Assumption Setting'!$E$97)-1)/12)+MOD((17-'Assumption Setting'!$E$97)-1,12)))</f>
        <v>0.331940416925488</v>
      </c>
      <c r="U117" s="93" t="n">
        <f aca="true">T117+U116-IF((18-'Assumption Setting'!$E$97)&lt;1,0,OFFSET($A$116,0,2+13*INT(((18-'Assumption Setting'!$E$97)-1)/12)+MOD((18-'Assumption Setting'!$E$97)-1,12)))</f>
        <v>0.400833711004362</v>
      </c>
      <c r="V117" s="93" t="n">
        <f aca="true">U117+V116-IF((19-'Assumption Setting'!$E$97)&lt;1,0,OFFSET($A$116,0,2+13*INT(((19-'Assumption Setting'!$E$97)-1)/12)+MOD((19-'Assumption Setting'!$E$97)-1,12)))</f>
        <v>0.506652048276485</v>
      </c>
      <c r="W117" s="93" t="n">
        <f aca="true">V117+W116-IF((20-'Assumption Setting'!$E$97)&lt;1,0,OFFSET($A$116,0,2+13*INT(((20-'Assumption Setting'!$E$97)-1)/12)+MOD((20-'Assumption Setting'!$E$97)-1,12)))</f>
        <v>0.612470385548608</v>
      </c>
      <c r="X117" s="93" t="n">
        <f aca="true">W117+X116-IF((21-'Assumption Setting'!$E$97)&lt;1,0,OFFSET($A$116,0,2+13*INT(((21-'Assumption Setting'!$E$97)-1)/12)+MOD((21-'Assumption Setting'!$E$97)-1,12)))</f>
        <v>0.718288722820732</v>
      </c>
      <c r="Y117" s="93" t="n">
        <f aca="true">X117+Y116-IF((22-'Assumption Setting'!$E$97)&lt;1,0,OFFSET($A$116,0,2+13*INT(((22-'Assumption Setting'!$E$97)-1)/12)+MOD((22-'Assumption Setting'!$E$97)-1,12)))</f>
        <v>0.824107060092855</v>
      </c>
      <c r="Z117" s="93" t="n">
        <f aca="true">Y117+Z116-IF((23-'Assumption Setting'!$E$97)&lt;1,0,OFFSET($A$116,0,2+13*INT(((23-'Assumption Setting'!$E$97)-1)/12)+MOD((23-'Assumption Setting'!$E$97)-1,12)))</f>
        <v>0.929925397364978</v>
      </c>
      <c r="AA117" s="93" t="n">
        <f aca="true">Z117+AA116-IF((24-'Assumption Setting'!$E$97)&lt;1,0,OFFSET($A$116,0,2+13*INT(((24-'Assumption Setting'!$E$97)-1)/12)+MOD((24-'Assumption Setting'!$E$97)-1,12)))</f>
        <v>1.0357437346371</v>
      </c>
      <c r="AB117" s="91" t="n">
        <f aca="false">AN117</f>
        <v>1.4382461159888</v>
      </c>
      <c r="AC117" s="93" t="n">
        <f aca="true">AA117+AC116-IF((25-'Assumption Setting'!$E$97)&lt;1,0,OFFSET($A$116,0,2+13*INT(((25-'Assumption Setting'!$E$97)-1)/12)+MOD((25-'Assumption Setting'!$E$97)-1,12)))</f>
        <v>1.06200087060125</v>
      </c>
      <c r="AD117" s="93" t="n">
        <f aca="true">AC117+AD116-IF((26-'Assumption Setting'!$E$97)&lt;1,0,OFFSET($A$116,0,2+13*INT(((26-'Assumption Setting'!$E$97)-1)/12)+MOD((26-'Assumption Setting'!$E$97)-1,12)))</f>
        <v>1.0882580065654</v>
      </c>
      <c r="AE117" s="93" t="n">
        <f aca="true">AD117+AE116-IF((27-'Assumption Setting'!$E$97)&lt;1,0,OFFSET($A$116,0,2+13*INT(((27-'Assumption Setting'!$E$97)-1)/12)+MOD((27-'Assumption Setting'!$E$97)-1,12)))</f>
        <v>1.11633278882317</v>
      </c>
      <c r="AF117" s="93" t="n">
        <f aca="true">AE117+AF116-IF((28-'Assumption Setting'!$E$97)&lt;1,0,OFFSET($A$116,0,2+13*INT(((28-'Assumption Setting'!$E$97)-1)/12)+MOD((28-'Assumption Setting'!$E$97)-1,12)))</f>
        <v>1.14440757108093</v>
      </c>
      <c r="AG117" s="93" t="n">
        <f aca="true">AF117+AG116-IF((29-'Assumption Setting'!$E$97)&lt;1,0,OFFSET($A$116,0,2+13*INT(((29-'Assumption Setting'!$E$97)-1)/12)+MOD((29-'Assumption Setting'!$E$97)-1,12)))</f>
        <v>1.17248235333869</v>
      </c>
      <c r="AH117" s="93" t="n">
        <f aca="true">AG117+AH116-IF((30-'Assumption Setting'!$E$97)&lt;1,0,OFFSET($A$116,0,2+13*INT(((30-'Assumption Setting'!$E$97)-1)/12)+MOD((30-'Assumption Setting'!$E$97)-1,12)))</f>
        <v>1.20055713559645</v>
      </c>
      <c r="AI117" s="93" t="n">
        <f aca="true">AH117+AI116-IF((31-'Assumption Setting'!$E$97)&lt;1,0,OFFSET($A$116,0,2+13*INT(((31-'Assumption Setting'!$E$97)-1)/12)+MOD((31-'Assumption Setting'!$E$97)-1,12)))</f>
        <v>1.24017196566184</v>
      </c>
      <c r="AJ117" s="93" t="n">
        <f aca="true">AI117+AJ116-IF((32-'Assumption Setting'!$E$97)&lt;1,0,OFFSET($A$116,0,2+13*INT(((32-'Assumption Setting'!$E$97)-1)/12)+MOD((32-'Assumption Setting'!$E$97)-1,12)))</f>
        <v>1.27978679572724</v>
      </c>
      <c r="AK117" s="93" t="n">
        <f aca="true">AJ117+AK116-IF((33-'Assumption Setting'!$E$97)&lt;1,0,OFFSET($A$116,0,2+13*INT(((33-'Assumption Setting'!$E$97)-1)/12)+MOD((33-'Assumption Setting'!$E$97)-1,12)))</f>
        <v>1.31940162579263</v>
      </c>
      <c r="AL117" s="93" t="n">
        <f aca="true">AK117+AL116-IF((34-'Assumption Setting'!$E$97)&lt;1,0,OFFSET($A$116,0,2+13*INT(((34-'Assumption Setting'!$E$97)-1)/12)+MOD((34-'Assumption Setting'!$E$97)-1,12)))</f>
        <v>1.35901645585802</v>
      </c>
      <c r="AM117" s="93" t="n">
        <f aca="true">AL117+AM116-IF((35-'Assumption Setting'!$E$97)&lt;1,0,OFFSET($A$116,0,2+13*INT(((35-'Assumption Setting'!$E$97)-1)/12)+MOD((35-'Assumption Setting'!$E$97)-1,12)))</f>
        <v>1.39863128592341</v>
      </c>
      <c r="AN117" s="93" t="n">
        <f aca="true">AM117+AN116-IF((36-'Assumption Setting'!$E$97)&lt;1,0,OFFSET($A$116,0,2+13*INT(((36-'Assumption Setting'!$E$97)-1)/12)+MOD((36-'Assumption Setting'!$E$97)-1,12)))</f>
        <v>1.4382461159888</v>
      </c>
      <c r="AO117" s="91" t="n">
        <f aca="false">BA117</f>
        <v>2.07565189692774</v>
      </c>
      <c r="AP117" s="93" t="n">
        <f aca="true">AN117+AP116-IF((37-'Assumption Setting'!$E$97)&lt;1,0,OFFSET($A$116,0,2+13*INT(((37-'Assumption Setting'!$E$97)-1)/12)+MOD((37-'Assumption Setting'!$E$97)-1,12)))</f>
        <v>1.49479188001774</v>
      </c>
      <c r="AQ117" s="93" t="n">
        <f aca="true">AP117+AQ116-IF((38-'Assumption Setting'!$E$97)&lt;1,0,OFFSET($A$116,0,2+13*INT(((38-'Assumption Setting'!$E$97)-1)/12)+MOD((38-'Assumption Setting'!$E$97)-1,12)))</f>
        <v>1.55133764404667</v>
      </c>
      <c r="AR117" s="93" t="n">
        <f aca="true">AQ117+AR116-IF((39-'Assumption Setting'!$E$97)&lt;1,0,OFFSET($A$116,0,2+13*INT(((39-'Assumption Setting'!$E$97)-1)/12)+MOD((39-'Assumption Setting'!$E$97)-1,12)))</f>
        <v>1.60586245035328</v>
      </c>
      <c r="AS117" s="93" t="n">
        <f aca="true">AR117+AS116-IF((40-'Assumption Setting'!$E$97)&lt;1,0,OFFSET($A$116,0,2+13*INT(((40-'Assumption Setting'!$E$97)-1)/12)+MOD((40-'Assumption Setting'!$E$97)-1,12)))</f>
        <v>1.66038725665988</v>
      </c>
      <c r="AT117" s="93" t="n">
        <f aca="true">AS117+AT116-IF((41-'Assumption Setting'!$E$97)&lt;1,0,OFFSET($A$116,0,2+13*INT(((41-'Assumption Setting'!$E$97)-1)/12)+MOD((41-'Assumption Setting'!$E$97)-1,12)))</f>
        <v>1.71491206296649</v>
      </c>
      <c r="AU117" s="93" t="n">
        <f aca="true">AT117+AU116-IF((42-'Assumption Setting'!$E$97)&lt;1,0,OFFSET($A$116,0,2+13*INT(((42-'Assumption Setting'!$E$97)-1)/12)+MOD((42-'Assumption Setting'!$E$97)-1,12)))</f>
        <v>1.7694368692731</v>
      </c>
      <c r="AV117" s="93" t="n">
        <f aca="true">AU117+AV116-IF((43-'Assumption Setting'!$E$97)&lt;1,0,OFFSET($A$116,0,2+13*INT(((43-'Assumption Setting'!$E$97)-1)/12)+MOD((43-'Assumption Setting'!$E$97)-1,12)))</f>
        <v>1.82047270721554</v>
      </c>
      <c r="AW117" s="93" t="n">
        <f aca="true">AV117+AW116-IF((44-'Assumption Setting'!$E$97)&lt;1,0,OFFSET($A$116,0,2+13*INT(((44-'Assumption Setting'!$E$97)-1)/12)+MOD((44-'Assumption Setting'!$E$97)-1,12)))</f>
        <v>1.87150854515798</v>
      </c>
      <c r="AX117" s="93" t="n">
        <f aca="true">AW117+AX116-IF((45-'Assumption Setting'!$E$97)&lt;1,0,OFFSET($A$116,0,2+13*INT(((45-'Assumption Setting'!$E$97)-1)/12)+MOD((45-'Assumption Setting'!$E$97)-1,12)))</f>
        <v>1.92254438310042</v>
      </c>
      <c r="AY117" s="93" t="n">
        <f aca="true">AX117+AY116-IF((46-'Assumption Setting'!$E$97)&lt;1,0,OFFSET($A$116,0,2+13*INT(((46-'Assumption Setting'!$E$97)-1)/12)+MOD((46-'Assumption Setting'!$E$97)-1,12)))</f>
        <v>1.97358022104286</v>
      </c>
      <c r="AZ117" s="93" t="n">
        <f aca="true">AY117+AZ116-IF((47-'Assumption Setting'!$E$97)&lt;1,0,OFFSET($A$116,0,2+13*INT(((47-'Assumption Setting'!$E$97)-1)/12)+MOD((47-'Assumption Setting'!$E$97)-1,12)))</f>
        <v>2.0246160589853</v>
      </c>
      <c r="BA117" s="93" t="n">
        <f aca="true">AZ117+BA116-IF((48-'Assumption Setting'!$E$97)&lt;1,0,OFFSET($A$116,0,2+13*INT(((48-'Assumption Setting'!$E$97)-1)/12)+MOD((48-'Assumption Setting'!$E$97)-1,12)))</f>
        <v>2.07565189692774</v>
      </c>
      <c r="BB117" s="91" t="n">
        <f aca="false">BN117</f>
        <v>2.71634961957828</v>
      </c>
      <c r="BC117" s="93" t="n">
        <f aca="true">BA117+BC116-IF((49-'Assumption Setting'!$E$97)&lt;1,0,OFFSET($A$116,0,2+13*INT(((49-'Assumption Setting'!$E$97)-1)/12)+MOD((49-'Assumption Setting'!$E$97)-1,12)))</f>
        <v>2.12668773487018</v>
      </c>
      <c r="BD117" s="93" t="n">
        <f aca="true">BC117+BD116-IF((50-'Assumption Setting'!$E$97)&lt;1,0,OFFSET($A$116,0,2+13*INT(((50-'Assumption Setting'!$E$97)-1)/12)+MOD((50-'Assumption Setting'!$E$97)-1,12)))</f>
        <v>2.17772357281262</v>
      </c>
      <c r="BE117" s="93" t="n">
        <f aca="true">BD117+BE116-IF((51-'Assumption Setting'!$E$97)&lt;1,0,OFFSET($A$116,0,2+13*INT(((51-'Assumption Setting'!$E$97)-1)/12)+MOD((51-'Assumption Setting'!$E$97)-1,12)))</f>
        <v>2.23055845566053</v>
      </c>
      <c r="BF117" s="93" t="n">
        <f aca="true">BE117+BF116-IF((52-'Assumption Setting'!$E$97)&lt;1,0,OFFSET($A$116,0,2+13*INT(((52-'Assumption Setting'!$E$97)-1)/12)+MOD((52-'Assumption Setting'!$E$97)-1,12)))</f>
        <v>2.28339333850844</v>
      </c>
      <c r="BG117" s="93" t="n">
        <f aca="true">BF117+BG116-IF((53-'Assumption Setting'!$E$97)&lt;1,0,OFFSET($A$116,0,2+13*INT(((53-'Assumption Setting'!$E$97)-1)/12)+MOD((53-'Assumption Setting'!$E$97)-1,12)))</f>
        <v>2.33622822135635</v>
      </c>
      <c r="BH117" s="93" t="n">
        <f aca="true">BG117+BH116-IF((54-'Assumption Setting'!$E$97)&lt;1,0,OFFSET($A$116,0,2+13*INT(((54-'Assumption Setting'!$E$97)-1)/12)+MOD((54-'Assumption Setting'!$E$97)-1,12)))</f>
        <v>2.38906310420426</v>
      </c>
      <c r="BI117" s="93" t="n">
        <f aca="true">BH117+BI116-IF((55-'Assumption Setting'!$E$97)&lt;1,0,OFFSET($A$116,0,2+13*INT(((55-'Assumption Setting'!$E$97)-1)/12)+MOD((55-'Assumption Setting'!$E$97)-1,12)))</f>
        <v>2.44361085676659</v>
      </c>
      <c r="BJ117" s="93" t="n">
        <f aca="true">BI117+BJ116-IF((56-'Assumption Setting'!$E$97)&lt;1,0,OFFSET($A$116,0,2+13*INT(((56-'Assumption Setting'!$E$97)-1)/12)+MOD((56-'Assumption Setting'!$E$97)-1,12)))</f>
        <v>2.49815860932893</v>
      </c>
      <c r="BK117" s="93" t="n">
        <f aca="true">BJ117+BK116-IF((57-'Assumption Setting'!$E$97)&lt;1,0,OFFSET($A$116,0,2+13*INT(((57-'Assumption Setting'!$E$97)-1)/12)+MOD((57-'Assumption Setting'!$E$97)-1,12)))</f>
        <v>2.55270636189127</v>
      </c>
      <c r="BL117" s="93" t="n">
        <f aca="true">BK117+BL116-IF((58-'Assumption Setting'!$E$97)&lt;1,0,OFFSET($A$116,0,2+13*INT(((58-'Assumption Setting'!$E$97)-1)/12)+MOD((58-'Assumption Setting'!$E$97)-1,12)))</f>
        <v>2.60725411445361</v>
      </c>
      <c r="BM117" s="93" t="n">
        <f aca="true">BL117+BM116-IF((59-'Assumption Setting'!$E$97)&lt;1,0,OFFSET($A$116,0,2+13*INT(((59-'Assumption Setting'!$E$97)-1)/12)+MOD((59-'Assumption Setting'!$E$97)-1,12)))</f>
        <v>2.66180186701594</v>
      </c>
      <c r="BN117" s="93" t="n">
        <f aca="true">BM117+BN116-IF((60-'Assumption Setting'!$E$97)&lt;1,0,OFFSET($A$116,0,2+13*INT(((60-'Assumption Setting'!$E$97)-1)/12)+MOD((60-'Assumption Setting'!$E$97)-1,12)))</f>
        <v>2.71634961957828</v>
      </c>
    </row>
    <row r="118" customFormat="false" ht="15" hidden="false" customHeight="false" outlineLevel="0" collapsed="false">
      <c r="A118" s="12" t="s">
        <v>636</v>
      </c>
      <c r="B118" s="91" t="n">
        <f aca="false">SUM(C118:N118)</f>
        <v>0</v>
      </c>
      <c r="C118" s="92" t="n">
        <f aca="false">IF(1&lt;'Assumption Setting'!$F$98,0,IFERROR(C73*'Assumption Setting'!$C$98/C104,0))</f>
        <v>0</v>
      </c>
      <c r="D118" s="92" t="n">
        <f aca="false">IF(2&lt;'Assumption Setting'!$F$98,0,IFERROR(D73*'Assumption Setting'!$C$98/D104,0))</f>
        <v>0</v>
      </c>
      <c r="E118" s="92" t="n">
        <f aca="false">IF(3&lt;'Assumption Setting'!$F$98,0,IFERROR(E73*'Assumption Setting'!$C$98/E104,0))</f>
        <v>0</v>
      </c>
      <c r="F118" s="92" t="n">
        <f aca="false">IF(4&lt;'Assumption Setting'!$F$98,0,IFERROR(F73*'Assumption Setting'!$C$98/F104,0))</f>
        <v>0</v>
      </c>
      <c r="G118" s="92" t="n">
        <f aca="false">IF(5&lt;'Assumption Setting'!$F$98,0,IFERROR(G73*'Assumption Setting'!$C$98/G104,0))</f>
        <v>0</v>
      </c>
      <c r="H118" s="92" t="n">
        <f aca="false">IF(6&lt;'Assumption Setting'!$F$98,0,IFERROR(H73*'Assumption Setting'!$C$98/H104,0))</f>
        <v>0</v>
      </c>
      <c r="I118" s="92" t="n">
        <f aca="false">IF(7&lt;'Assumption Setting'!$F$98,0,IFERROR(I73*'Assumption Setting'!$C$98/I104,0))</f>
        <v>0</v>
      </c>
      <c r="J118" s="92" t="n">
        <f aca="false">IF(8&lt;'Assumption Setting'!$F$98,0,IFERROR(J73*'Assumption Setting'!$C$98/J104,0))</f>
        <v>0</v>
      </c>
      <c r="K118" s="92" t="n">
        <f aca="false">IF(9&lt;'Assumption Setting'!$F$98,0,IFERROR(K73*'Assumption Setting'!$C$98/K104,0))</f>
        <v>0</v>
      </c>
      <c r="L118" s="92" t="n">
        <f aca="false">IF(10&lt;'Assumption Setting'!$F$98,0,IFERROR(L73*'Assumption Setting'!$C$98/L104,0))</f>
        <v>0</v>
      </c>
      <c r="M118" s="92" t="n">
        <f aca="false">IF(11&lt;'Assumption Setting'!$F$98,0,IFERROR(M73*'Assumption Setting'!$C$98/M104,0))</f>
        <v>0</v>
      </c>
      <c r="N118" s="92" t="n">
        <f aca="false">IF(12&lt;'Assumption Setting'!$F$98,0,IFERROR(N73*'Assumption Setting'!$C$98/N104,0))</f>
        <v>0</v>
      </c>
      <c r="O118" s="91" t="n">
        <f aca="false">SUM(P118:AA118)</f>
        <v>2.58935933659275</v>
      </c>
      <c r="P118" s="92" t="n">
        <f aca="false">IF(13&lt;'Assumption Setting'!$F$98,0,IFERROR(P73*'Assumption Setting'!$C$98/P104,0))</f>
        <v>0.156575668361079</v>
      </c>
      <c r="Q118" s="92" t="n">
        <f aca="false">IF(14&lt;'Assumption Setting'!$F$98,0,IFERROR(Q73*'Assumption Setting'!$C$98/Q104,0))</f>
        <v>0.156575668361079</v>
      </c>
      <c r="R118" s="92" t="n">
        <f aca="false">IF(15&lt;'Assumption Setting'!$F$98,0,IFERROR(R73*'Assumption Setting'!$C$98/R104,0))</f>
        <v>0.172233235197187</v>
      </c>
      <c r="S118" s="92" t="n">
        <f aca="false">IF(16&lt;'Assumption Setting'!$F$98,0,IFERROR(S73*'Assumption Setting'!$C$98/S104,0))</f>
        <v>0.172233235197187</v>
      </c>
      <c r="T118" s="92" t="n">
        <f aca="false">IF(17&lt;'Assumption Setting'!$F$98,0,IFERROR(T73*'Assumption Setting'!$C$98/T104,0))</f>
        <v>0.172233235197187</v>
      </c>
      <c r="U118" s="92" t="n">
        <f aca="false">IF(18&lt;'Assumption Setting'!$F$98,0,IFERROR(U73*'Assumption Setting'!$C$98/U104,0))</f>
        <v>0.172233235197187</v>
      </c>
      <c r="V118" s="92" t="n">
        <f aca="false">IF(19&lt;'Assumption Setting'!$F$98,0,IFERROR(V73*'Assumption Setting'!$C$98/V104,0))</f>
        <v>0.264545843180308</v>
      </c>
      <c r="W118" s="92" t="n">
        <f aca="false">IF(20&lt;'Assumption Setting'!$F$98,0,IFERROR(W73*'Assumption Setting'!$C$98/W104,0))</f>
        <v>0.264545843180308</v>
      </c>
      <c r="X118" s="92" t="n">
        <f aca="false">IF(21&lt;'Assumption Setting'!$F$98,0,IFERROR(X73*'Assumption Setting'!$C$98/X104,0))</f>
        <v>0.264545843180308</v>
      </c>
      <c r="Y118" s="92" t="n">
        <f aca="false">IF(22&lt;'Assumption Setting'!$F$98,0,IFERROR(Y73*'Assumption Setting'!$C$98/Y104,0))</f>
        <v>0.264545843180308</v>
      </c>
      <c r="Z118" s="92" t="n">
        <f aca="false">IF(23&lt;'Assumption Setting'!$F$98,0,IFERROR(Z73*'Assumption Setting'!$C$98/Z104,0))</f>
        <v>0.264545843180308</v>
      </c>
      <c r="AA118" s="92" t="n">
        <f aca="false">IF(24&lt;'Assumption Setting'!$F$98,0,IFERROR(AA73*'Assumption Setting'!$C$98/AA104,0))</f>
        <v>0.264545843180308</v>
      </c>
      <c r="AB118" s="91" t="n">
        <f aca="false">SUM(AC118:AN118)</f>
        <v>3.59561528997201</v>
      </c>
      <c r="AC118" s="92" t="n">
        <f aca="false">IF(25&lt;'Assumption Setting'!$F$98,0,IFERROR(AC73*'Assumption Setting'!$C$98/AC104,0))</f>
        <v>0.222218508271459</v>
      </c>
      <c r="AD118" s="92" t="n">
        <f aca="false">IF(26&lt;'Assumption Setting'!$F$98,0,IFERROR(AD73*'Assumption Setting'!$C$98/AD104,0))</f>
        <v>0.222218508271459</v>
      </c>
      <c r="AE118" s="92" t="n">
        <f aca="false">IF(27&lt;'Assumption Setting'!$F$98,0,IFERROR(AE73*'Assumption Setting'!$C$98/AE104,0))</f>
        <v>0.242420190841591</v>
      </c>
      <c r="AF118" s="92" t="n">
        <f aca="false">IF(28&lt;'Assumption Setting'!$F$98,0,IFERROR(AF73*'Assumption Setting'!$C$98/AF104,0))</f>
        <v>0.242420190841591</v>
      </c>
      <c r="AG118" s="92" t="n">
        <f aca="false">IF(29&lt;'Assumption Setting'!$F$98,0,IFERROR(AG73*'Assumption Setting'!$C$98/AG104,0))</f>
        <v>0.242420190841591</v>
      </c>
      <c r="AH118" s="92" t="n">
        <f aca="false">IF(30&lt;'Assumption Setting'!$F$98,0,IFERROR(AH73*'Assumption Setting'!$C$98/AH104,0))</f>
        <v>0.242420190841591</v>
      </c>
      <c r="AI118" s="92" t="n">
        <f aca="false">IF(31&lt;'Assumption Setting'!$F$98,0,IFERROR(AI73*'Assumption Setting'!$C$98/AI104,0))</f>
        <v>0.363582918343788</v>
      </c>
      <c r="AJ118" s="92" t="n">
        <f aca="false">IF(32&lt;'Assumption Setting'!$F$98,0,IFERROR(AJ73*'Assumption Setting'!$C$98/AJ104,0))</f>
        <v>0.363582918343788</v>
      </c>
      <c r="AK118" s="92" t="n">
        <f aca="false">IF(33&lt;'Assumption Setting'!$F$98,0,IFERROR(AK73*'Assumption Setting'!$C$98/AK104,0))</f>
        <v>0.363582918343788</v>
      </c>
      <c r="AL118" s="92" t="n">
        <f aca="false">IF(34&lt;'Assumption Setting'!$F$98,0,IFERROR(AL73*'Assumption Setting'!$C$98/AL104,0))</f>
        <v>0.363582918343788</v>
      </c>
      <c r="AM118" s="92" t="n">
        <f aca="false">IF(35&lt;'Assumption Setting'!$F$98,0,IFERROR(AM73*'Assumption Setting'!$C$98/AM104,0))</f>
        <v>0.363582918343788</v>
      </c>
      <c r="AN118" s="92" t="n">
        <f aca="false">IF(36&lt;'Assumption Setting'!$F$98,0,IFERROR(AN73*'Assumption Setting'!$C$98/AN104,0))</f>
        <v>0.363582918343788</v>
      </c>
      <c r="AO118" s="91" t="n">
        <f aca="false">SUM(AP118:BA118)</f>
        <v>5.18912974231935</v>
      </c>
      <c r="AP118" s="92" t="n">
        <f aca="false">IF(37&lt;'Assumption Setting'!$F$98,0,IFERROR(AP73*'Assumption Setting'!$C$98/AP104,0))</f>
        <v>0.363582918343788</v>
      </c>
      <c r="AQ118" s="92" t="n">
        <f aca="false">IF(38&lt;'Assumption Setting'!$F$98,0,IFERROR(AQ73*'Assumption Setting'!$C$98/AQ104,0))</f>
        <v>0.363582918343788</v>
      </c>
      <c r="AR118" s="92" t="n">
        <f aca="false">IF(39&lt;'Assumption Setting'!$F$98,0,IFERROR(AR73*'Assumption Setting'!$C$98/AR104,0))</f>
        <v>0.378732206608112</v>
      </c>
      <c r="AS118" s="92" t="n">
        <f aca="false">IF(40&lt;'Assumption Setting'!$F$98,0,IFERROR(AS73*'Assumption Setting'!$C$98/AS104,0))</f>
        <v>0.378732206608112</v>
      </c>
      <c r="AT118" s="92" t="n">
        <f aca="false">IF(41&lt;'Assumption Setting'!$F$98,0,IFERROR(AT73*'Assumption Setting'!$C$98/AT104,0))</f>
        <v>0.378732206608112</v>
      </c>
      <c r="AU118" s="92" t="n">
        <f aca="false">IF(42&lt;'Assumption Setting'!$F$98,0,IFERROR(AU73*'Assumption Setting'!$C$98/AU104,0))</f>
        <v>0.378732206608112</v>
      </c>
      <c r="AV118" s="92" t="n">
        <f aca="false">IF(43&lt;'Assumption Setting'!$F$98,0,IFERROR(AV73*'Assumption Setting'!$C$98/AV104,0))</f>
        <v>0.491172513199888</v>
      </c>
      <c r="AW118" s="92" t="n">
        <f aca="false">IF(44&lt;'Assumption Setting'!$F$98,0,IFERROR(AW73*'Assumption Setting'!$C$98/AW104,0))</f>
        <v>0.491172513199888</v>
      </c>
      <c r="AX118" s="92" t="n">
        <f aca="false">IF(45&lt;'Assumption Setting'!$F$98,0,IFERROR(AX73*'Assumption Setting'!$C$98/AX104,0))</f>
        <v>0.491172513199888</v>
      </c>
      <c r="AY118" s="92" t="n">
        <f aca="false">IF(46&lt;'Assumption Setting'!$F$98,0,IFERROR(AY73*'Assumption Setting'!$C$98/AY104,0))</f>
        <v>0.491172513199888</v>
      </c>
      <c r="AZ118" s="92" t="n">
        <f aca="false">IF(47&lt;'Assumption Setting'!$F$98,0,IFERROR(AZ73*'Assumption Setting'!$C$98/AZ104,0))</f>
        <v>0.491172513199888</v>
      </c>
      <c r="BA118" s="92" t="n">
        <f aca="false">IF(48&lt;'Assumption Setting'!$F$98,0,IFERROR(BA73*'Assumption Setting'!$C$98/BA104,0))</f>
        <v>0.491172513199888</v>
      </c>
      <c r="BB118" s="91" t="n">
        <f aca="false">SUM(BC118:BN118)</f>
        <v>6.7908740489457</v>
      </c>
      <c r="BC118" s="92" t="n">
        <f aca="false">IF(49&lt;'Assumption Setting'!$F$98,0,IFERROR(BC73*'Assumption Setting'!$C$98/BC104,0))</f>
        <v>0.491172513199888</v>
      </c>
      <c r="BD118" s="92" t="n">
        <f aca="false">IF(50&lt;'Assumption Setting'!$F$98,0,IFERROR(BD73*'Assumption Setting'!$C$98/BD104,0))</f>
        <v>0.491172513199888</v>
      </c>
      <c r="BE118" s="92" t="n">
        <f aca="false">IF(51&lt;'Assumption Setting'!$F$98,0,IFERROR(BE73*'Assumption Setting'!$C$98/BE104,0))</f>
        <v>0.510819413727884</v>
      </c>
      <c r="BF118" s="92" t="n">
        <f aca="false">IF(52&lt;'Assumption Setting'!$F$98,0,IFERROR(BF73*'Assumption Setting'!$C$98/BF104,0))</f>
        <v>0.510819413727884</v>
      </c>
      <c r="BG118" s="92" t="n">
        <f aca="false">IF(53&lt;'Assumption Setting'!$F$98,0,IFERROR(BG73*'Assumption Setting'!$C$98/BG104,0))</f>
        <v>0.510819413727884</v>
      </c>
      <c r="BH118" s="92" t="n">
        <f aca="false">IF(54&lt;'Assumption Setting'!$F$98,0,IFERROR(BH73*'Assumption Setting'!$C$98/BH104,0))</f>
        <v>0.510819413727884</v>
      </c>
      <c r="BI118" s="92" t="n">
        <f aca="false">IF(55&lt;'Assumption Setting'!$F$98,0,IFERROR(BI73*'Assumption Setting'!$C$98/BI104,0))</f>
        <v>0.627541894605731</v>
      </c>
      <c r="BJ118" s="92" t="n">
        <f aca="false">IF(56&lt;'Assumption Setting'!$F$98,0,IFERROR(BJ73*'Assumption Setting'!$C$98/BJ104,0))</f>
        <v>0.627541894605731</v>
      </c>
      <c r="BK118" s="92" t="n">
        <f aca="false">IF(57&lt;'Assumption Setting'!$F$98,0,IFERROR(BK73*'Assumption Setting'!$C$98/BK104,0))</f>
        <v>0.627541894605731</v>
      </c>
      <c r="BL118" s="92" t="n">
        <f aca="false">IF(58&lt;'Assumption Setting'!$F$98,0,IFERROR(BL73*'Assumption Setting'!$C$98/BL104,0))</f>
        <v>0.627541894605731</v>
      </c>
      <c r="BM118" s="92" t="n">
        <f aca="false">IF(59&lt;'Assumption Setting'!$F$98,0,IFERROR(BM73*'Assumption Setting'!$C$98/BM104,0))</f>
        <v>0.627541894605731</v>
      </c>
      <c r="BN118" s="92" t="n">
        <f aca="false">IF(60&lt;'Assumption Setting'!$F$98,0,IFERROR(BN73*'Assumption Setting'!$C$98/BN104,0))</f>
        <v>0.627541894605731</v>
      </c>
    </row>
    <row r="119" customFormat="false" ht="15" hidden="false" customHeight="false" outlineLevel="0" collapsed="false">
      <c r="A119" s="69" t="s">
        <v>637</v>
      </c>
      <c r="B119" s="91" t="n">
        <f aca="false">N119</f>
        <v>0</v>
      </c>
      <c r="C119" s="93" t="n">
        <f aca="false">C118</f>
        <v>0</v>
      </c>
      <c r="D119" s="93" t="n">
        <f aca="true">C119+D118-IF((2-'Assumption Setting'!$E$98)&lt;1,0,OFFSET($A$118,0,2+13*INT(((2-'Assumption Setting'!$E$98)-1)/12)+MOD((2-'Assumption Setting'!$E$98)-1,12)))</f>
        <v>0</v>
      </c>
      <c r="E119" s="93" t="n">
        <f aca="true">D119+E118-IF((3-'Assumption Setting'!$E$98)&lt;1,0,OFFSET($A$118,0,2+13*INT(((3-'Assumption Setting'!$E$98)-1)/12)+MOD((3-'Assumption Setting'!$E$98)-1,12)))</f>
        <v>0</v>
      </c>
      <c r="F119" s="93" t="n">
        <f aca="true">E119+F118-IF((4-'Assumption Setting'!$E$98)&lt;1,0,OFFSET($A$118,0,2+13*INT(((4-'Assumption Setting'!$E$98)-1)/12)+MOD((4-'Assumption Setting'!$E$98)-1,12)))</f>
        <v>0</v>
      </c>
      <c r="G119" s="93" t="n">
        <f aca="true">F119+G118-IF((5-'Assumption Setting'!$E$98)&lt;1,0,OFFSET($A$118,0,2+13*INT(((5-'Assumption Setting'!$E$98)-1)/12)+MOD((5-'Assumption Setting'!$E$98)-1,12)))</f>
        <v>0</v>
      </c>
      <c r="H119" s="93" t="n">
        <f aca="true">G119+H118-IF((6-'Assumption Setting'!$E$98)&lt;1,0,OFFSET($A$118,0,2+13*INT(((6-'Assumption Setting'!$E$98)-1)/12)+MOD((6-'Assumption Setting'!$E$98)-1,12)))</f>
        <v>0</v>
      </c>
      <c r="I119" s="93" t="n">
        <f aca="true">H119+I118-IF((7-'Assumption Setting'!$E$98)&lt;1,0,OFFSET($A$118,0,2+13*INT(((7-'Assumption Setting'!$E$98)-1)/12)+MOD((7-'Assumption Setting'!$E$98)-1,12)))</f>
        <v>0</v>
      </c>
      <c r="J119" s="93" t="n">
        <f aca="true">I119+J118-IF((8-'Assumption Setting'!$E$98)&lt;1,0,OFFSET($A$118,0,2+13*INT(((8-'Assumption Setting'!$E$98)-1)/12)+MOD((8-'Assumption Setting'!$E$98)-1,12)))</f>
        <v>0</v>
      </c>
      <c r="K119" s="93" t="n">
        <f aca="true">J119+K118-IF((9-'Assumption Setting'!$E$98)&lt;1,0,OFFSET($A$118,0,2+13*INT(((9-'Assumption Setting'!$E$98)-1)/12)+MOD((9-'Assumption Setting'!$E$98)-1,12)))</f>
        <v>0</v>
      </c>
      <c r="L119" s="93" t="n">
        <f aca="true">K119+L118-IF((10-'Assumption Setting'!$E$98)&lt;1,0,OFFSET($A$118,0,2+13*INT(((10-'Assumption Setting'!$E$98)-1)/12)+MOD((10-'Assumption Setting'!$E$98)-1,12)))</f>
        <v>0</v>
      </c>
      <c r="M119" s="93" t="n">
        <f aca="true">L119+M118-IF((11-'Assumption Setting'!$E$98)&lt;1,0,OFFSET($A$118,0,2+13*INT(((11-'Assumption Setting'!$E$98)-1)/12)+MOD((11-'Assumption Setting'!$E$98)-1,12)))</f>
        <v>0</v>
      </c>
      <c r="N119" s="93" t="n">
        <f aca="true">M119+N118-IF((12-'Assumption Setting'!$E$98)&lt;1,0,OFFSET($A$118,0,2+13*INT(((12-'Assumption Setting'!$E$98)-1)/12)+MOD((12-'Assumption Setting'!$E$98)-1,12)))</f>
        <v>0</v>
      </c>
      <c r="O119" s="91" t="n">
        <f aca="false">AA119</f>
        <v>2.58935933659275</v>
      </c>
      <c r="P119" s="93" t="n">
        <f aca="true">N119+P118-IF((13-'Assumption Setting'!$E$98)&lt;1,0,OFFSET($A$118,0,2+13*INT(((13-'Assumption Setting'!$E$98)-1)/12)+MOD((13-'Assumption Setting'!$E$98)-1,12)))</f>
        <v>0.156575668361079</v>
      </c>
      <c r="Q119" s="93" t="n">
        <f aca="true">P119+Q118-IF((14-'Assumption Setting'!$E$98)&lt;1,0,OFFSET($A$118,0,2+13*INT(((14-'Assumption Setting'!$E$98)-1)/12)+MOD((14-'Assumption Setting'!$E$98)-1,12)))</f>
        <v>0.313151336722158</v>
      </c>
      <c r="R119" s="93" t="n">
        <f aca="true">Q119+R118-IF((15-'Assumption Setting'!$E$98)&lt;1,0,OFFSET($A$118,0,2+13*INT(((15-'Assumption Setting'!$E$98)-1)/12)+MOD((15-'Assumption Setting'!$E$98)-1,12)))</f>
        <v>0.485384571919345</v>
      </c>
      <c r="S119" s="93" t="n">
        <f aca="true">R119+S118-IF((16-'Assumption Setting'!$E$98)&lt;1,0,OFFSET($A$118,0,2+13*INT(((16-'Assumption Setting'!$E$98)-1)/12)+MOD((16-'Assumption Setting'!$E$98)-1,12)))</f>
        <v>0.657617807116532</v>
      </c>
      <c r="T119" s="93" t="n">
        <f aca="true">S119+T118-IF((17-'Assumption Setting'!$E$98)&lt;1,0,OFFSET($A$118,0,2+13*INT(((17-'Assumption Setting'!$E$98)-1)/12)+MOD((17-'Assumption Setting'!$E$98)-1,12)))</f>
        <v>0.829851042313719</v>
      </c>
      <c r="U119" s="93" t="n">
        <f aca="true">T119+U118-IF((18-'Assumption Setting'!$E$98)&lt;1,0,OFFSET($A$118,0,2+13*INT(((18-'Assumption Setting'!$E$98)-1)/12)+MOD((18-'Assumption Setting'!$E$98)-1,12)))</f>
        <v>1.00208427751091</v>
      </c>
      <c r="V119" s="93" t="n">
        <f aca="true">U119+V118-IF((19-'Assumption Setting'!$E$98)&lt;1,0,OFFSET($A$118,0,2+13*INT(((19-'Assumption Setting'!$E$98)-1)/12)+MOD((19-'Assumption Setting'!$E$98)-1,12)))</f>
        <v>1.26663012069121</v>
      </c>
      <c r="W119" s="93" t="n">
        <f aca="true">V119+W118-IF((20-'Assumption Setting'!$E$98)&lt;1,0,OFFSET($A$118,0,2+13*INT(((20-'Assumption Setting'!$E$98)-1)/12)+MOD((20-'Assumption Setting'!$E$98)-1,12)))</f>
        <v>1.53117596387152</v>
      </c>
      <c r="X119" s="93" t="n">
        <f aca="true">W119+X118-IF((21-'Assumption Setting'!$E$98)&lt;1,0,OFFSET($A$118,0,2+13*INT(((21-'Assumption Setting'!$E$98)-1)/12)+MOD((21-'Assumption Setting'!$E$98)-1,12)))</f>
        <v>1.79572180705183</v>
      </c>
      <c r="Y119" s="93" t="n">
        <f aca="true">X119+Y118-IF((22-'Assumption Setting'!$E$98)&lt;1,0,OFFSET($A$118,0,2+13*INT(((22-'Assumption Setting'!$E$98)-1)/12)+MOD((22-'Assumption Setting'!$E$98)-1,12)))</f>
        <v>2.06026765023214</v>
      </c>
      <c r="Z119" s="93" t="n">
        <f aca="true">Y119+Z118-IF((23-'Assumption Setting'!$E$98)&lt;1,0,OFFSET($A$118,0,2+13*INT(((23-'Assumption Setting'!$E$98)-1)/12)+MOD((23-'Assumption Setting'!$E$98)-1,12)))</f>
        <v>2.32481349341244</v>
      </c>
      <c r="AA119" s="93" t="n">
        <f aca="true">Z119+AA118-IF((24-'Assumption Setting'!$E$98)&lt;1,0,OFFSET($A$118,0,2+13*INT(((24-'Assumption Setting'!$E$98)-1)/12)+MOD((24-'Assumption Setting'!$E$98)-1,12)))</f>
        <v>2.58935933659275</v>
      </c>
      <c r="AB119" s="91" t="n">
        <f aca="false">AN119</f>
        <v>6.18497462656476</v>
      </c>
      <c r="AC119" s="93" t="n">
        <f aca="true">AA119+AC118-IF((25-'Assumption Setting'!$E$98)&lt;1,0,OFFSET($A$118,0,2+13*INT(((25-'Assumption Setting'!$E$98)-1)/12)+MOD((25-'Assumption Setting'!$E$98)-1,12)))</f>
        <v>2.81157784486421</v>
      </c>
      <c r="AD119" s="93" t="n">
        <f aca="true">AC119+AD118-IF((26-'Assumption Setting'!$E$98)&lt;1,0,OFFSET($A$118,0,2+13*INT(((26-'Assumption Setting'!$E$98)-1)/12)+MOD((26-'Assumption Setting'!$E$98)-1,12)))</f>
        <v>3.03379635313567</v>
      </c>
      <c r="AE119" s="93" t="n">
        <f aca="true">AD119+AE118-IF((27-'Assumption Setting'!$E$98)&lt;1,0,OFFSET($A$118,0,2+13*INT(((27-'Assumption Setting'!$E$98)-1)/12)+MOD((27-'Assumption Setting'!$E$98)-1,12)))</f>
        <v>3.27621654397726</v>
      </c>
      <c r="AF119" s="93" t="n">
        <f aca="true">AE119+AF118-IF((28-'Assumption Setting'!$E$98)&lt;1,0,OFFSET($A$118,0,2+13*INT(((28-'Assumption Setting'!$E$98)-1)/12)+MOD((28-'Assumption Setting'!$E$98)-1,12)))</f>
        <v>3.51863673481885</v>
      </c>
      <c r="AG119" s="93" t="n">
        <f aca="true">AF119+AG118-IF((29-'Assumption Setting'!$E$98)&lt;1,0,OFFSET($A$118,0,2+13*INT(((29-'Assumption Setting'!$E$98)-1)/12)+MOD((29-'Assumption Setting'!$E$98)-1,12)))</f>
        <v>3.76105692566044</v>
      </c>
      <c r="AH119" s="93" t="n">
        <f aca="true">AG119+AH118-IF((30-'Assumption Setting'!$E$98)&lt;1,0,OFFSET($A$118,0,2+13*INT(((30-'Assumption Setting'!$E$98)-1)/12)+MOD((30-'Assumption Setting'!$E$98)-1,12)))</f>
        <v>4.00347711650203</v>
      </c>
      <c r="AI119" s="93" t="n">
        <f aca="true">AH119+AI118-IF((31-'Assumption Setting'!$E$98)&lt;1,0,OFFSET($A$118,0,2+13*INT(((31-'Assumption Setting'!$E$98)-1)/12)+MOD((31-'Assumption Setting'!$E$98)-1,12)))</f>
        <v>4.36706003484582</v>
      </c>
      <c r="AJ119" s="93" t="n">
        <f aca="true">AI119+AJ118-IF((32-'Assumption Setting'!$E$98)&lt;1,0,OFFSET($A$118,0,2+13*INT(((32-'Assumption Setting'!$E$98)-1)/12)+MOD((32-'Assumption Setting'!$E$98)-1,12)))</f>
        <v>4.73064295318961</v>
      </c>
      <c r="AK119" s="93" t="n">
        <f aca="true">AJ119+AK118-IF((33-'Assumption Setting'!$E$98)&lt;1,0,OFFSET($A$118,0,2+13*INT(((33-'Assumption Setting'!$E$98)-1)/12)+MOD((33-'Assumption Setting'!$E$98)-1,12)))</f>
        <v>5.0942258715334</v>
      </c>
      <c r="AL119" s="93" t="n">
        <f aca="true">AK119+AL118-IF((34-'Assumption Setting'!$E$98)&lt;1,0,OFFSET($A$118,0,2+13*INT(((34-'Assumption Setting'!$E$98)-1)/12)+MOD((34-'Assumption Setting'!$E$98)-1,12)))</f>
        <v>5.45780878987719</v>
      </c>
      <c r="AM119" s="93" t="n">
        <f aca="true">AL119+AM118-IF((35-'Assumption Setting'!$E$98)&lt;1,0,OFFSET($A$118,0,2+13*INT(((35-'Assumption Setting'!$E$98)-1)/12)+MOD((35-'Assumption Setting'!$E$98)-1,12)))</f>
        <v>5.82139170822097</v>
      </c>
      <c r="AN119" s="93" t="n">
        <f aca="true">AM119+AN118-IF((36-'Assumption Setting'!$E$98)&lt;1,0,OFFSET($A$118,0,2+13*INT(((36-'Assumption Setting'!$E$98)-1)/12)+MOD((36-'Assumption Setting'!$E$98)-1,12)))</f>
        <v>6.18497462656476</v>
      </c>
      <c r="AO119" s="91" t="n">
        <f aca="false">BA119</f>
        <v>8.78474503229137</v>
      </c>
      <c r="AP119" s="93" t="n">
        <f aca="true">AN119+AP118-IF((37-'Assumption Setting'!$E$98)&lt;1,0,OFFSET($A$118,0,2+13*INT(((37-'Assumption Setting'!$E$98)-1)/12)+MOD((37-'Assumption Setting'!$E$98)-1,12)))</f>
        <v>6.39198187654747</v>
      </c>
      <c r="AQ119" s="93" t="n">
        <f aca="true">AP119+AQ118-IF((38-'Assumption Setting'!$E$98)&lt;1,0,OFFSET($A$118,0,2+13*INT(((38-'Assumption Setting'!$E$98)-1)/12)+MOD((38-'Assumption Setting'!$E$98)-1,12)))</f>
        <v>6.59898912653018</v>
      </c>
      <c r="AR119" s="93" t="n">
        <f aca="true">AQ119+AR118-IF((39-'Assumption Setting'!$E$98)&lt;1,0,OFFSET($A$118,0,2+13*INT(((39-'Assumption Setting'!$E$98)-1)/12)+MOD((39-'Assumption Setting'!$E$98)-1,12)))</f>
        <v>6.8054880979411</v>
      </c>
      <c r="AS119" s="93" t="n">
        <f aca="true">AR119+AS118-IF((40-'Assumption Setting'!$E$98)&lt;1,0,OFFSET($A$118,0,2+13*INT(((40-'Assumption Setting'!$E$98)-1)/12)+MOD((40-'Assumption Setting'!$E$98)-1,12)))</f>
        <v>7.01198706935203</v>
      </c>
      <c r="AT119" s="93" t="n">
        <f aca="true">AS119+AT118-IF((41-'Assumption Setting'!$E$98)&lt;1,0,OFFSET($A$118,0,2+13*INT(((41-'Assumption Setting'!$E$98)-1)/12)+MOD((41-'Assumption Setting'!$E$98)-1,12)))</f>
        <v>7.21848604076296</v>
      </c>
      <c r="AU119" s="93" t="n">
        <f aca="true">AT119+AU118-IF((42-'Assumption Setting'!$E$98)&lt;1,0,OFFSET($A$118,0,2+13*INT(((42-'Assumption Setting'!$E$98)-1)/12)+MOD((42-'Assumption Setting'!$E$98)-1,12)))</f>
        <v>7.42498501217388</v>
      </c>
      <c r="AV119" s="93" t="n">
        <f aca="true">AU119+AV118-IF((43-'Assumption Setting'!$E$98)&lt;1,0,OFFSET($A$118,0,2+13*INT(((43-'Assumption Setting'!$E$98)-1)/12)+MOD((43-'Assumption Setting'!$E$98)-1,12)))</f>
        <v>7.65161168219346</v>
      </c>
      <c r="AW119" s="93" t="n">
        <f aca="true">AV119+AW118-IF((44-'Assumption Setting'!$E$98)&lt;1,0,OFFSET($A$118,0,2+13*INT(((44-'Assumption Setting'!$E$98)-1)/12)+MOD((44-'Assumption Setting'!$E$98)-1,12)))</f>
        <v>7.87823835221304</v>
      </c>
      <c r="AX119" s="93" t="n">
        <f aca="true">AW119+AX118-IF((45-'Assumption Setting'!$E$98)&lt;1,0,OFFSET($A$118,0,2+13*INT(((45-'Assumption Setting'!$E$98)-1)/12)+MOD((45-'Assumption Setting'!$E$98)-1,12)))</f>
        <v>8.10486502223262</v>
      </c>
      <c r="AY119" s="93" t="n">
        <f aca="true">AX119+AY118-IF((46-'Assumption Setting'!$E$98)&lt;1,0,OFFSET($A$118,0,2+13*INT(((46-'Assumption Setting'!$E$98)-1)/12)+MOD((46-'Assumption Setting'!$E$98)-1,12)))</f>
        <v>8.3314916922522</v>
      </c>
      <c r="AZ119" s="93" t="n">
        <f aca="true">AY119+AZ118-IF((47-'Assumption Setting'!$E$98)&lt;1,0,OFFSET($A$118,0,2+13*INT(((47-'Assumption Setting'!$E$98)-1)/12)+MOD((47-'Assumption Setting'!$E$98)-1,12)))</f>
        <v>8.55811836227178</v>
      </c>
      <c r="BA119" s="93" t="n">
        <f aca="true">AZ119+BA118-IF((48-'Assumption Setting'!$E$98)&lt;1,0,OFFSET($A$118,0,2+13*INT(((48-'Assumption Setting'!$E$98)-1)/12)+MOD((48-'Assumption Setting'!$E$98)-1,12)))</f>
        <v>8.78474503229137</v>
      </c>
      <c r="BB119" s="91" t="n">
        <f aca="false">BN119</f>
        <v>11.9800037912651</v>
      </c>
      <c r="BC119" s="93" t="n">
        <f aca="true">BA119+BC118-IF((49-'Assumption Setting'!$E$98)&lt;1,0,OFFSET($A$118,0,2+13*INT(((49-'Assumption Setting'!$E$98)-1)/12)+MOD((49-'Assumption Setting'!$E$98)-1,12)))</f>
        <v>9.0536990372198</v>
      </c>
      <c r="BD119" s="93" t="n">
        <f aca="true">BC119+BD118-IF((50-'Assumption Setting'!$E$98)&lt;1,0,OFFSET($A$118,0,2+13*INT(((50-'Assumption Setting'!$E$98)-1)/12)+MOD((50-'Assumption Setting'!$E$98)-1,12)))</f>
        <v>9.32265304214823</v>
      </c>
      <c r="BE119" s="93" t="n">
        <f aca="true">BD119+BE118-IF((51-'Assumption Setting'!$E$98)&lt;1,0,OFFSET($A$118,0,2+13*INT(((51-'Assumption Setting'!$E$98)-1)/12)+MOD((51-'Assumption Setting'!$E$98)-1,12)))</f>
        <v>9.59105226503452</v>
      </c>
      <c r="BF119" s="93" t="n">
        <f aca="true">BE119+BF118-IF((52-'Assumption Setting'!$E$98)&lt;1,0,OFFSET($A$118,0,2+13*INT(((52-'Assumption Setting'!$E$98)-1)/12)+MOD((52-'Assumption Setting'!$E$98)-1,12)))</f>
        <v>9.85945148792081</v>
      </c>
      <c r="BG119" s="93" t="n">
        <f aca="true">BF119+BG118-IF((53-'Assumption Setting'!$E$98)&lt;1,0,OFFSET($A$118,0,2+13*INT(((53-'Assumption Setting'!$E$98)-1)/12)+MOD((53-'Assumption Setting'!$E$98)-1,12)))</f>
        <v>10.1278507108071</v>
      </c>
      <c r="BH119" s="93" t="n">
        <f aca="true">BG119+BH118-IF((54-'Assumption Setting'!$E$98)&lt;1,0,OFFSET($A$118,0,2+13*INT(((54-'Assumption Setting'!$E$98)-1)/12)+MOD((54-'Assumption Setting'!$E$98)-1,12)))</f>
        <v>10.3962499336934</v>
      </c>
      <c r="BI119" s="93" t="n">
        <f aca="true">BH119+BI118-IF((55-'Assumption Setting'!$E$98)&lt;1,0,OFFSET($A$118,0,2+13*INT(((55-'Assumption Setting'!$E$98)-1)/12)+MOD((55-'Assumption Setting'!$E$98)-1,12)))</f>
        <v>10.6602089099553</v>
      </c>
      <c r="BJ119" s="93" t="n">
        <f aca="true">BI119+BJ118-IF((56-'Assumption Setting'!$E$98)&lt;1,0,OFFSET($A$118,0,2+13*INT(((56-'Assumption Setting'!$E$98)-1)/12)+MOD((56-'Assumption Setting'!$E$98)-1,12)))</f>
        <v>10.9241678862173</v>
      </c>
      <c r="BK119" s="93" t="n">
        <f aca="true">BJ119+BK118-IF((57-'Assumption Setting'!$E$98)&lt;1,0,OFFSET($A$118,0,2+13*INT(((57-'Assumption Setting'!$E$98)-1)/12)+MOD((57-'Assumption Setting'!$E$98)-1,12)))</f>
        <v>11.1881268624792</v>
      </c>
      <c r="BL119" s="93" t="n">
        <f aca="true">BK119+BL118-IF((58-'Assumption Setting'!$E$98)&lt;1,0,OFFSET($A$118,0,2+13*INT(((58-'Assumption Setting'!$E$98)-1)/12)+MOD((58-'Assumption Setting'!$E$98)-1,12)))</f>
        <v>11.4520858387412</v>
      </c>
      <c r="BM119" s="93" t="n">
        <f aca="true">BL119+BM118-IF((59-'Assumption Setting'!$E$98)&lt;1,0,OFFSET($A$118,0,2+13*INT(((59-'Assumption Setting'!$E$98)-1)/12)+MOD((59-'Assumption Setting'!$E$98)-1,12)))</f>
        <v>11.7160448150031</v>
      </c>
      <c r="BN119" s="93" t="n">
        <f aca="true">BM119+BN118-IF((60-'Assumption Setting'!$E$98)&lt;1,0,OFFSET($A$118,0,2+13*INT(((60-'Assumption Setting'!$E$98)-1)/12)+MOD((60-'Assumption Setting'!$E$98)-1,12)))</f>
        <v>11.9800037912651</v>
      </c>
    </row>
    <row r="120" customFormat="false" ht="15" hidden="false" customHeight="false" outlineLevel="0" collapsed="false">
      <c r="A120" s="12" t="s">
        <v>638</v>
      </c>
      <c r="B120" s="91" t="n">
        <f aca="false">SUM(C120:N120)</f>
        <v>0</v>
      </c>
      <c r="C120" s="92" t="n">
        <f aca="false">IF(1&lt;'Assumption Setting'!$F$99,0,IFERROR(C73*'Assumption Setting'!$C$99/C104,0))</f>
        <v>0</v>
      </c>
      <c r="D120" s="92" t="n">
        <f aca="false">IF(2&lt;'Assumption Setting'!$F$99,0,IFERROR(D73*'Assumption Setting'!$C$99/D104,0))</f>
        <v>0</v>
      </c>
      <c r="E120" s="92" t="n">
        <f aca="false">IF(3&lt;'Assumption Setting'!$F$99,0,IFERROR(E73*'Assumption Setting'!$C$99/E104,0))</f>
        <v>0</v>
      </c>
      <c r="F120" s="92" t="n">
        <f aca="false">IF(4&lt;'Assumption Setting'!$F$99,0,IFERROR(F73*'Assumption Setting'!$C$99/F104,0))</f>
        <v>0</v>
      </c>
      <c r="G120" s="92" t="n">
        <f aca="false">IF(5&lt;'Assumption Setting'!$F$99,0,IFERROR(G73*'Assumption Setting'!$C$99/G104,0))</f>
        <v>0</v>
      </c>
      <c r="H120" s="92" t="n">
        <f aca="false">IF(6&lt;'Assumption Setting'!$F$99,0,IFERROR(H73*'Assumption Setting'!$C$99/H104,0))</f>
        <v>0</v>
      </c>
      <c r="I120" s="92" t="n">
        <f aca="false">IF(7&lt;'Assumption Setting'!$F$99,0,IFERROR(I73*'Assumption Setting'!$C$99/I104,0))</f>
        <v>0</v>
      </c>
      <c r="J120" s="92" t="n">
        <f aca="false">IF(8&lt;'Assumption Setting'!$F$99,0,IFERROR(J73*'Assumption Setting'!$C$99/J104,0))</f>
        <v>0</v>
      </c>
      <c r="K120" s="92" t="n">
        <f aca="false">IF(9&lt;'Assumption Setting'!$F$99,0,IFERROR(K73*'Assumption Setting'!$C$99/K104,0))</f>
        <v>0</v>
      </c>
      <c r="L120" s="92" t="n">
        <f aca="false">IF(10&lt;'Assumption Setting'!$F$99,0,IFERROR(L73*'Assumption Setting'!$C$99/L104,0))</f>
        <v>0</v>
      </c>
      <c r="M120" s="92" t="n">
        <f aca="false">IF(11&lt;'Assumption Setting'!$F$99,0,IFERROR(M73*'Assumption Setting'!$C$99/M104,0))</f>
        <v>0</v>
      </c>
      <c r="N120" s="92" t="n">
        <f aca="false">IF(12&lt;'Assumption Setting'!$F$99,0,IFERROR(N73*'Assumption Setting'!$C$99/N104,0))</f>
        <v>0</v>
      </c>
      <c r="O120" s="91" t="n">
        <f aca="false">SUM(P120:AA120)</f>
        <v>0</v>
      </c>
      <c r="P120" s="92" t="n">
        <f aca="false">IF(13&lt;'Assumption Setting'!$F$99,0,IFERROR(P73*'Assumption Setting'!$C$99/P104,0))</f>
        <v>0</v>
      </c>
      <c r="Q120" s="92" t="n">
        <f aca="false">IF(14&lt;'Assumption Setting'!$F$99,0,IFERROR(Q73*'Assumption Setting'!$C$99/Q104,0))</f>
        <v>0</v>
      </c>
      <c r="R120" s="92" t="n">
        <f aca="false">IF(15&lt;'Assumption Setting'!$F$99,0,IFERROR(R73*'Assumption Setting'!$C$99/R104,0))</f>
        <v>0</v>
      </c>
      <c r="S120" s="92" t="n">
        <f aca="false">IF(16&lt;'Assumption Setting'!$F$99,0,IFERROR(S73*'Assumption Setting'!$C$99/S104,0))</f>
        <v>0</v>
      </c>
      <c r="T120" s="92" t="n">
        <f aca="false">IF(17&lt;'Assumption Setting'!$F$99,0,IFERROR(T73*'Assumption Setting'!$C$99/T104,0))</f>
        <v>0</v>
      </c>
      <c r="U120" s="92" t="n">
        <f aca="false">IF(18&lt;'Assumption Setting'!$F$99,0,IFERROR(U73*'Assumption Setting'!$C$99/U104,0))</f>
        <v>0</v>
      </c>
      <c r="V120" s="92" t="n">
        <f aca="false">IF(19&lt;'Assumption Setting'!$F$99,0,IFERROR(V73*'Assumption Setting'!$C$99/V104,0))</f>
        <v>0</v>
      </c>
      <c r="W120" s="92" t="n">
        <f aca="false">IF(20&lt;'Assumption Setting'!$F$99,0,IFERROR(W73*'Assumption Setting'!$C$99/W104,0))</f>
        <v>0</v>
      </c>
      <c r="X120" s="92" t="n">
        <f aca="false">IF(21&lt;'Assumption Setting'!$F$99,0,IFERROR(X73*'Assumption Setting'!$C$99/X104,0))</f>
        <v>0</v>
      </c>
      <c r="Y120" s="92" t="n">
        <f aca="false">IF(22&lt;'Assumption Setting'!$F$99,0,IFERROR(Y73*'Assumption Setting'!$C$99/Y104,0))</f>
        <v>0</v>
      </c>
      <c r="Z120" s="92" t="n">
        <f aca="false">IF(23&lt;'Assumption Setting'!$F$99,0,IFERROR(Z73*'Assumption Setting'!$C$99/Z104,0))</f>
        <v>0</v>
      </c>
      <c r="AA120" s="92" t="n">
        <f aca="false">IF(24&lt;'Assumption Setting'!$F$99,0,IFERROR(AA73*'Assumption Setting'!$C$99/AA104,0))</f>
        <v>0</v>
      </c>
      <c r="AB120" s="91" t="n">
        <f aca="false">SUM(AC120:AN120)</f>
        <v>0.719123057994401</v>
      </c>
      <c r="AC120" s="92" t="n">
        <f aca="false">IF(25&lt;'Assumption Setting'!$F$99,0,IFERROR(AC73*'Assumption Setting'!$C$99/AC104,0))</f>
        <v>0.0444437016542917</v>
      </c>
      <c r="AD120" s="92" t="n">
        <f aca="false">IF(26&lt;'Assumption Setting'!$F$99,0,IFERROR(AD73*'Assumption Setting'!$C$99/AD104,0))</f>
        <v>0.0444437016542917</v>
      </c>
      <c r="AE120" s="92" t="n">
        <f aca="false">IF(27&lt;'Assumption Setting'!$F$99,0,IFERROR(AE73*'Assumption Setting'!$C$99/AE104,0))</f>
        <v>0.0484840381683182</v>
      </c>
      <c r="AF120" s="92" t="n">
        <f aca="false">IF(28&lt;'Assumption Setting'!$F$99,0,IFERROR(AF73*'Assumption Setting'!$C$99/AF104,0))</f>
        <v>0.0484840381683182</v>
      </c>
      <c r="AG120" s="92" t="n">
        <f aca="false">IF(29&lt;'Assumption Setting'!$F$99,0,IFERROR(AG73*'Assumption Setting'!$C$99/AG104,0))</f>
        <v>0.0484840381683182</v>
      </c>
      <c r="AH120" s="92" t="n">
        <f aca="false">IF(30&lt;'Assumption Setting'!$F$99,0,IFERROR(AH73*'Assumption Setting'!$C$99/AH104,0))</f>
        <v>0.0484840381683182</v>
      </c>
      <c r="AI120" s="92" t="n">
        <f aca="false">IF(31&lt;'Assumption Setting'!$F$99,0,IFERROR(AI73*'Assumption Setting'!$C$99/AI104,0))</f>
        <v>0.0727165836687575</v>
      </c>
      <c r="AJ120" s="92" t="n">
        <f aca="false">IF(32&lt;'Assumption Setting'!$F$99,0,IFERROR(AJ73*'Assumption Setting'!$C$99/AJ104,0))</f>
        <v>0.0727165836687575</v>
      </c>
      <c r="AK120" s="92" t="n">
        <f aca="false">IF(33&lt;'Assumption Setting'!$F$99,0,IFERROR(AK73*'Assumption Setting'!$C$99/AK104,0))</f>
        <v>0.0727165836687575</v>
      </c>
      <c r="AL120" s="92" t="n">
        <f aca="false">IF(34&lt;'Assumption Setting'!$F$99,0,IFERROR(AL73*'Assumption Setting'!$C$99/AL104,0))</f>
        <v>0.0727165836687575</v>
      </c>
      <c r="AM120" s="92" t="n">
        <f aca="false">IF(35&lt;'Assumption Setting'!$F$99,0,IFERROR(AM73*'Assumption Setting'!$C$99/AM104,0))</f>
        <v>0.0727165836687575</v>
      </c>
      <c r="AN120" s="92" t="n">
        <f aca="false">IF(36&lt;'Assumption Setting'!$F$99,0,IFERROR(AN73*'Assumption Setting'!$C$99/AN104,0))</f>
        <v>0.0727165836687575</v>
      </c>
      <c r="AO120" s="91" t="n">
        <f aca="false">SUM(AP120:BA120)</f>
        <v>1.03782594846387</v>
      </c>
      <c r="AP120" s="92" t="n">
        <f aca="false">IF(37&lt;'Assumption Setting'!$F$99,0,IFERROR(AP73*'Assumption Setting'!$C$99/AP104,0))</f>
        <v>0.0727165836687575</v>
      </c>
      <c r="AQ120" s="92" t="n">
        <f aca="false">IF(38&lt;'Assumption Setting'!$F$99,0,IFERROR(AQ73*'Assumption Setting'!$C$99/AQ104,0))</f>
        <v>0.0727165836687575</v>
      </c>
      <c r="AR120" s="92" t="n">
        <f aca="false">IF(39&lt;'Assumption Setting'!$F$99,0,IFERROR(AR73*'Assumption Setting'!$C$99/AR104,0))</f>
        <v>0.0757464413216224</v>
      </c>
      <c r="AS120" s="92" t="n">
        <f aca="false">IF(40&lt;'Assumption Setting'!$F$99,0,IFERROR(AS73*'Assumption Setting'!$C$99/AS104,0))</f>
        <v>0.0757464413216224</v>
      </c>
      <c r="AT120" s="92" t="n">
        <f aca="false">IF(41&lt;'Assumption Setting'!$F$99,0,IFERROR(AT73*'Assumption Setting'!$C$99/AT104,0))</f>
        <v>0.0757464413216224</v>
      </c>
      <c r="AU120" s="92" t="n">
        <f aca="false">IF(42&lt;'Assumption Setting'!$F$99,0,IFERROR(AU73*'Assumption Setting'!$C$99/AU104,0))</f>
        <v>0.0757464413216224</v>
      </c>
      <c r="AV120" s="92" t="n">
        <f aca="false">IF(43&lt;'Assumption Setting'!$F$99,0,IFERROR(AV73*'Assumption Setting'!$C$99/AV104,0))</f>
        <v>0.0982345026399777</v>
      </c>
      <c r="AW120" s="92" t="n">
        <f aca="false">IF(44&lt;'Assumption Setting'!$F$99,0,IFERROR(AW73*'Assumption Setting'!$C$99/AW104,0))</f>
        <v>0.0982345026399777</v>
      </c>
      <c r="AX120" s="92" t="n">
        <f aca="false">IF(45&lt;'Assumption Setting'!$F$99,0,IFERROR(AX73*'Assumption Setting'!$C$99/AX104,0))</f>
        <v>0.0982345026399777</v>
      </c>
      <c r="AY120" s="92" t="n">
        <f aca="false">IF(46&lt;'Assumption Setting'!$F$99,0,IFERROR(AY73*'Assumption Setting'!$C$99/AY104,0))</f>
        <v>0.0982345026399777</v>
      </c>
      <c r="AZ120" s="92" t="n">
        <f aca="false">IF(47&lt;'Assumption Setting'!$F$99,0,IFERROR(AZ73*'Assumption Setting'!$C$99/AZ104,0))</f>
        <v>0.0982345026399777</v>
      </c>
      <c r="BA120" s="92" t="n">
        <f aca="false">IF(48&lt;'Assumption Setting'!$F$99,0,IFERROR(BA73*'Assumption Setting'!$C$99/BA104,0))</f>
        <v>0.0982345026399777</v>
      </c>
      <c r="BB120" s="91" t="n">
        <f aca="false">SUM(BC120:BN120)</f>
        <v>1.35817480978914</v>
      </c>
      <c r="BC120" s="92" t="n">
        <f aca="false">IF(49&lt;'Assumption Setting'!$F$99,0,IFERROR(BC73*'Assumption Setting'!$C$99/BC104,0))</f>
        <v>0.0982345026399777</v>
      </c>
      <c r="BD120" s="92" t="n">
        <f aca="false">IF(50&lt;'Assumption Setting'!$F$99,0,IFERROR(BD73*'Assumption Setting'!$C$99/BD104,0))</f>
        <v>0.0982345026399777</v>
      </c>
      <c r="BE120" s="92" t="n">
        <f aca="false">IF(51&lt;'Assumption Setting'!$F$99,0,IFERROR(BE73*'Assumption Setting'!$C$99/BE104,0))</f>
        <v>0.102163882745577</v>
      </c>
      <c r="BF120" s="92" t="n">
        <f aca="false">IF(52&lt;'Assumption Setting'!$F$99,0,IFERROR(BF73*'Assumption Setting'!$C$99/BF104,0))</f>
        <v>0.102163882745577</v>
      </c>
      <c r="BG120" s="92" t="n">
        <f aca="false">IF(53&lt;'Assumption Setting'!$F$99,0,IFERROR(BG73*'Assumption Setting'!$C$99/BG104,0))</f>
        <v>0.102163882745577</v>
      </c>
      <c r="BH120" s="92" t="n">
        <f aca="false">IF(54&lt;'Assumption Setting'!$F$99,0,IFERROR(BH73*'Assumption Setting'!$C$99/BH104,0))</f>
        <v>0.102163882745577</v>
      </c>
      <c r="BI120" s="92" t="n">
        <f aca="false">IF(55&lt;'Assumption Setting'!$F$99,0,IFERROR(BI73*'Assumption Setting'!$C$99/BI104,0))</f>
        <v>0.125508378921146</v>
      </c>
      <c r="BJ120" s="92" t="n">
        <f aca="false">IF(56&lt;'Assumption Setting'!$F$99,0,IFERROR(BJ73*'Assumption Setting'!$C$99/BJ104,0))</f>
        <v>0.125508378921146</v>
      </c>
      <c r="BK120" s="92" t="n">
        <f aca="false">IF(57&lt;'Assumption Setting'!$F$99,0,IFERROR(BK73*'Assumption Setting'!$C$99/BK104,0))</f>
        <v>0.125508378921146</v>
      </c>
      <c r="BL120" s="92" t="n">
        <f aca="false">IF(58&lt;'Assumption Setting'!$F$99,0,IFERROR(BL73*'Assumption Setting'!$C$99/BL104,0))</f>
        <v>0.125508378921146</v>
      </c>
      <c r="BM120" s="92" t="n">
        <f aca="false">IF(59&lt;'Assumption Setting'!$F$99,0,IFERROR(BM73*'Assumption Setting'!$C$99/BM104,0))</f>
        <v>0.125508378921146</v>
      </c>
      <c r="BN120" s="92" t="n">
        <f aca="false">IF(60&lt;'Assumption Setting'!$F$99,0,IFERROR(BN73*'Assumption Setting'!$C$99/BN104,0))</f>
        <v>0.125508378921146</v>
      </c>
    </row>
    <row r="121" customFormat="false" ht="15" hidden="false" customHeight="false" outlineLevel="0" collapsed="false">
      <c r="A121" s="69" t="s">
        <v>639</v>
      </c>
      <c r="B121" s="91" t="n">
        <f aca="false">N121</f>
        <v>0</v>
      </c>
      <c r="C121" s="93" t="n">
        <f aca="false">C120</f>
        <v>0</v>
      </c>
      <c r="D121" s="93" t="n">
        <f aca="true">C121+D120-IF((2-'Assumption Setting'!$E$99)&lt;1,0,OFFSET($A$120,0,2+13*INT(((2-'Assumption Setting'!$E$99)-1)/12)+MOD((2-'Assumption Setting'!$E$99)-1,12)))</f>
        <v>0</v>
      </c>
      <c r="E121" s="93" t="n">
        <f aca="true">D121+E120-IF((3-'Assumption Setting'!$E$99)&lt;1,0,OFFSET($A$120,0,2+13*INT(((3-'Assumption Setting'!$E$99)-1)/12)+MOD((3-'Assumption Setting'!$E$99)-1,12)))</f>
        <v>0</v>
      </c>
      <c r="F121" s="93" t="n">
        <f aca="true">E121+F120-IF((4-'Assumption Setting'!$E$99)&lt;1,0,OFFSET($A$120,0,2+13*INT(((4-'Assumption Setting'!$E$99)-1)/12)+MOD((4-'Assumption Setting'!$E$99)-1,12)))</f>
        <v>0</v>
      </c>
      <c r="G121" s="93" t="n">
        <f aca="true">F121+G120-IF((5-'Assumption Setting'!$E$99)&lt;1,0,OFFSET($A$120,0,2+13*INT(((5-'Assumption Setting'!$E$99)-1)/12)+MOD((5-'Assumption Setting'!$E$99)-1,12)))</f>
        <v>0</v>
      </c>
      <c r="H121" s="93" t="n">
        <f aca="true">G121+H120-IF((6-'Assumption Setting'!$E$99)&lt;1,0,OFFSET($A$120,0,2+13*INT(((6-'Assumption Setting'!$E$99)-1)/12)+MOD((6-'Assumption Setting'!$E$99)-1,12)))</f>
        <v>0</v>
      </c>
      <c r="I121" s="93" t="n">
        <f aca="true">H121+I120-IF((7-'Assumption Setting'!$E$99)&lt;1,0,OFFSET($A$120,0,2+13*INT(((7-'Assumption Setting'!$E$99)-1)/12)+MOD((7-'Assumption Setting'!$E$99)-1,12)))</f>
        <v>0</v>
      </c>
      <c r="J121" s="93" t="n">
        <f aca="true">I121+J120-IF((8-'Assumption Setting'!$E$99)&lt;1,0,OFFSET($A$120,0,2+13*INT(((8-'Assumption Setting'!$E$99)-1)/12)+MOD((8-'Assumption Setting'!$E$99)-1,12)))</f>
        <v>0</v>
      </c>
      <c r="K121" s="93" t="n">
        <f aca="true">J121+K120-IF((9-'Assumption Setting'!$E$99)&lt;1,0,OFFSET($A$120,0,2+13*INT(((9-'Assumption Setting'!$E$99)-1)/12)+MOD((9-'Assumption Setting'!$E$99)-1,12)))</f>
        <v>0</v>
      </c>
      <c r="L121" s="93" t="n">
        <f aca="true">K121+L120-IF((10-'Assumption Setting'!$E$99)&lt;1,0,OFFSET($A$120,0,2+13*INT(((10-'Assumption Setting'!$E$99)-1)/12)+MOD((10-'Assumption Setting'!$E$99)-1,12)))</f>
        <v>0</v>
      </c>
      <c r="M121" s="93" t="n">
        <f aca="true">L121+M120-IF((11-'Assumption Setting'!$E$99)&lt;1,0,OFFSET($A$120,0,2+13*INT(((11-'Assumption Setting'!$E$99)-1)/12)+MOD((11-'Assumption Setting'!$E$99)-1,12)))</f>
        <v>0</v>
      </c>
      <c r="N121" s="93" t="n">
        <f aca="true">M121+N120-IF((12-'Assumption Setting'!$E$99)&lt;1,0,OFFSET($A$120,0,2+13*INT(((12-'Assumption Setting'!$E$99)-1)/12)+MOD((12-'Assumption Setting'!$E$99)-1,12)))</f>
        <v>0</v>
      </c>
      <c r="O121" s="91" t="n">
        <f aca="false">AA121</f>
        <v>0</v>
      </c>
      <c r="P121" s="93" t="n">
        <f aca="true">N121+P120-IF((13-'Assumption Setting'!$E$99)&lt;1,0,OFFSET($A$120,0,2+13*INT(((13-'Assumption Setting'!$E$99)-1)/12)+MOD((13-'Assumption Setting'!$E$99)-1,12)))</f>
        <v>0</v>
      </c>
      <c r="Q121" s="93" t="n">
        <f aca="true">P121+Q120-IF((14-'Assumption Setting'!$E$99)&lt;1,0,OFFSET($A$120,0,2+13*INT(((14-'Assumption Setting'!$E$99)-1)/12)+MOD((14-'Assumption Setting'!$E$99)-1,12)))</f>
        <v>0</v>
      </c>
      <c r="R121" s="93" t="n">
        <f aca="true">Q121+R120-IF((15-'Assumption Setting'!$E$99)&lt;1,0,OFFSET($A$120,0,2+13*INT(((15-'Assumption Setting'!$E$99)-1)/12)+MOD((15-'Assumption Setting'!$E$99)-1,12)))</f>
        <v>0</v>
      </c>
      <c r="S121" s="93" t="n">
        <f aca="true">R121+S120-IF((16-'Assumption Setting'!$E$99)&lt;1,0,OFFSET($A$120,0,2+13*INT(((16-'Assumption Setting'!$E$99)-1)/12)+MOD((16-'Assumption Setting'!$E$99)-1,12)))</f>
        <v>0</v>
      </c>
      <c r="T121" s="93" t="n">
        <f aca="true">S121+T120-IF((17-'Assumption Setting'!$E$99)&lt;1,0,OFFSET($A$120,0,2+13*INT(((17-'Assumption Setting'!$E$99)-1)/12)+MOD((17-'Assumption Setting'!$E$99)-1,12)))</f>
        <v>0</v>
      </c>
      <c r="U121" s="93" t="n">
        <f aca="true">T121+U120-IF((18-'Assumption Setting'!$E$99)&lt;1,0,OFFSET($A$120,0,2+13*INT(((18-'Assumption Setting'!$E$99)-1)/12)+MOD((18-'Assumption Setting'!$E$99)-1,12)))</f>
        <v>0</v>
      </c>
      <c r="V121" s="93" t="n">
        <f aca="true">U121+V120-IF((19-'Assumption Setting'!$E$99)&lt;1,0,OFFSET($A$120,0,2+13*INT(((19-'Assumption Setting'!$E$99)-1)/12)+MOD((19-'Assumption Setting'!$E$99)-1,12)))</f>
        <v>0</v>
      </c>
      <c r="W121" s="93" t="n">
        <f aca="true">V121+W120-IF((20-'Assumption Setting'!$E$99)&lt;1,0,OFFSET($A$120,0,2+13*INT(((20-'Assumption Setting'!$E$99)-1)/12)+MOD((20-'Assumption Setting'!$E$99)-1,12)))</f>
        <v>0</v>
      </c>
      <c r="X121" s="93" t="n">
        <f aca="true">W121+X120-IF((21-'Assumption Setting'!$E$99)&lt;1,0,OFFSET($A$120,0,2+13*INT(((21-'Assumption Setting'!$E$99)-1)/12)+MOD((21-'Assumption Setting'!$E$99)-1,12)))</f>
        <v>0</v>
      </c>
      <c r="Y121" s="93" t="n">
        <f aca="true">X121+Y120-IF((22-'Assumption Setting'!$E$99)&lt;1,0,OFFSET($A$120,0,2+13*INT(((22-'Assumption Setting'!$E$99)-1)/12)+MOD((22-'Assumption Setting'!$E$99)-1,12)))</f>
        <v>0</v>
      </c>
      <c r="Z121" s="93" t="n">
        <f aca="true">Y121+Z120-IF((23-'Assumption Setting'!$E$99)&lt;1,0,OFFSET($A$120,0,2+13*INT(((23-'Assumption Setting'!$E$99)-1)/12)+MOD((23-'Assumption Setting'!$E$99)-1,12)))</f>
        <v>0</v>
      </c>
      <c r="AA121" s="93" t="n">
        <f aca="true">Z121+AA120-IF((24-'Assumption Setting'!$E$99)&lt;1,0,OFFSET($A$120,0,2+13*INT(((24-'Assumption Setting'!$E$99)-1)/12)+MOD((24-'Assumption Setting'!$E$99)-1,12)))</f>
        <v>0</v>
      </c>
      <c r="AB121" s="91" t="n">
        <f aca="false">AN121</f>
        <v>0.719123057994402</v>
      </c>
      <c r="AC121" s="93" t="n">
        <f aca="true">AA121+AC120-IF((25-'Assumption Setting'!$E$99)&lt;1,0,OFFSET($A$120,0,2+13*INT(((25-'Assumption Setting'!$E$99)-1)/12)+MOD((25-'Assumption Setting'!$E$99)-1,12)))</f>
        <v>0.0444437016542917</v>
      </c>
      <c r="AD121" s="93" t="n">
        <f aca="true">AC121+AD120-IF((26-'Assumption Setting'!$E$99)&lt;1,0,OFFSET($A$120,0,2+13*INT(((26-'Assumption Setting'!$E$99)-1)/12)+MOD((26-'Assumption Setting'!$E$99)-1,12)))</f>
        <v>0.0888874033085834</v>
      </c>
      <c r="AE121" s="93" t="n">
        <f aca="true">AD121+AE120-IF((27-'Assumption Setting'!$E$99)&lt;1,0,OFFSET($A$120,0,2+13*INT(((27-'Assumption Setting'!$E$99)-1)/12)+MOD((27-'Assumption Setting'!$E$99)-1,12)))</f>
        <v>0.137371441476902</v>
      </c>
      <c r="AF121" s="93" t="n">
        <f aca="true">AE121+AF120-IF((28-'Assumption Setting'!$E$99)&lt;1,0,OFFSET($A$120,0,2+13*INT(((28-'Assumption Setting'!$E$99)-1)/12)+MOD((28-'Assumption Setting'!$E$99)-1,12)))</f>
        <v>0.18585547964522</v>
      </c>
      <c r="AG121" s="93" t="n">
        <f aca="true">AF121+AG120-IF((29-'Assumption Setting'!$E$99)&lt;1,0,OFFSET($A$120,0,2+13*INT(((29-'Assumption Setting'!$E$99)-1)/12)+MOD((29-'Assumption Setting'!$E$99)-1,12)))</f>
        <v>0.234339517813538</v>
      </c>
      <c r="AH121" s="93" t="n">
        <f aca="true">AG121+AH120-IF((30-'Assumption Setting'!$E$99)&lt;1,0,OFFSET($A$120,0,2+13*INT(((30-'Assumption Setting'!$E$99)-1)/12)+MOD((30-'Assumption Setting'!$E$99)-1,12)))</f>
        <v>0.282823555981856</v>
      </c>
      <c r="AI121" s="93" t="n">
        <f aca="true">AH121+AI120-IF((31-'Assumption Setting'!$E$99)&lt;1,0,OFFSET($A$120,0,2+13*INT(((31-'Assumption Setting'!$E$99)-1)/12)+MOD((31-'Assumption Setting'!$E$99)-1,12)))</f>
        <v>0.355540139650614</v>
      </c>
      <c r="AJ121" s="93" t="n">
        <f aca="true">AI121+AJ120-IF((32-'Assumption Setting'!$E$99)&lt;1,0,OFFSET($A$120,0,2+13*INT(((32-'Assumption Setting'!$E$99)-1)/12)+MOD((32-'Assumption Setting'!$E$99)-1,12)))</f>
        <v>0.428256723319371</v>
      </c>
      <c r="AK121" s="93" t="n">
        <f aca="true">AJ121+AK120-IF((33-'Assumption Setting'!$E$99)&lt;1,0,OFFSET($A$120,0,2+13*INT(((33-'Assumption Setting'!$E$99)-1)/12)+MOD((33-'Assumption Setting'!$E$99)-1,12)))</f>
        <v>0.500973306988129</v>
      </c>
      <c r="AL121" s="93" t="n">
        <f aca="true">AK121+AL120-IF((34-'Assumption Setting'!$E$99)&lt;1,0,OFFSET($A$120,0,2+13*INT(((34-'Assumption Setting'!$E$99)-1)/12)+MOD((34-'Assumption Setting'!$E$99)-1,12)))</f>
        <v>0.573689890656886</v>
      </c>
      <c r="AM121" s="93" t="n">
        <f aca="true">AL121+AM120-IF((35-'Assumption Setting'!$E$99)&lt;1,0,OFFSET($A$120,0,2+13*INT(((35-'Assumption Setting'!$E$99)-1)/12)+MOD((35-'Assumption Setting'!$E$99)-1,12)))</f>
        <v>0.646406474325644</v>
      </c>
      <c r="AN121" s="93" t="n">
        <f aca="true">AM121+AN120-IF((36-'Assumption Setting'!$E$99)&lt;1,0,OFFSET($A$120,0,2+13*INT(((36-'Assumption Setting'!$E$99)-1)/12)+MOD((36-'Assumption Setting'!$E$99)-1,12)))</f>
        <v>0.719123057994402</v>
      </c>
      <c r="AO121" s="91" t="n">
        <f aca="false">BA121</f>
        <v>1.03782594846387</v>
      </c>
      <c r="AP121" s="93" t="n">
        <f aca="true">AN121+AP120-IF((37-'Assumption Setting'!$E$99)&lt;1,0,OFFSET($A$120,0,2+13*INT(((37-'Assumption Setting'!$E$99)-1)/12)+MOD((37-'Assumption Setting'!$E$99)-1,12)))</f>
        <v>0.747395940008867</v>
      </c>
      <c r="AQ121" s="93" t="n">
        <f aca="true">AP121+AQ120-IF((38-'Assumption Setting'!$E$99)&lt;1,0,OFFSET($A$120,0,2+13*INT(((38-'Assumption Setting'!$E$99)-1)/12)+MOD((38-'Assumption Setting'!$E$99)-1,12)))</f>
        <v>0.775668822023333</v>
      </c>
      <c r="AR121" s="93" t="n">
        <f aca="true">AQ121+AR120-IF((39-'Assumption Setting'!$E$99)&lt;1,0,OFFSET($A$120,0,2+13*INT(((39-'Assumption Setting'!$E$99)-1)/12)+MOD((39-'Assumption Setting'!$E$99)-1,12)))</f>
        <v>0.802931225176637</v>
      </c>
      <c r="AS121" s="93" t="n">
        <f aca="true">AR121+AS120-IF((40-'Assumption Setting'!$E$99)&lt;1,0,OFFSET($A$120,0,2+13*INT(((40-'Assumption Setting'!$E$99)-1)/12)+MOD((40-'Assumption Setting'!$E$99)-1,12)))</f>
        <v>0.830193628329942</v>
      </c>
      <c r="AT121" s="93" t="n">
        <f aca="true">AS121+AT120-IF((41-'Assumption Setting'!$E$99)&lt;1,0,OFFSET($A$120,0,2+13*INT(((41-'Assumption Setting'!$E$99)-1)/12)+MOD((41-'Assumption Setting'!$E$99)-1,12)))</f>
        <v>0.857456031483246</v>
      </c>
      <c r="AU121" s="93" t="n">
        <f aca="true">AT121+AU120-IF((42-'Assumption Setting'!$E$99)&lt;1,0,OFFSET($A$120,0,2+13*INT(((42-'Assumption Setting'!$E$99)-1)/12)+MOD((42-'Assumption Setting'!$E$99)-1,12)))</f>
        <v>0.88471843463655</v>
      </c>
      <c r="AV121" s="93" t="n">
        <f aca="true">AU121+AV120-IF((43-'Assumption Setting'!$E$99)&lt;1,0,OFFSET($A$120,0,2+13*INT(((43-'Assumption Setting'!$E$99)-1)/12)+MOD((43-'Assumption Setting'!$E$99)-1,12)))</f>
        <v>0.91023635360777</v>
      </c>
      <c r="AW121" s="93" t="n">
        <f aca="true">AV121+AW120-IF((44-'Assumption Setting'!$E$99)&lt;1,0,OFFSET($A$120,0,2+13*INT(((44-'Assumption Setting'!$E$99)-1)/12)+MOD((44-'Assumption Setting'!$E$99)-1,12)))</f>
        <v>0.93575427257899</v>
      </c>
      <c r="AX121" s="93" t="n">
        <f aca="true">AW121+AX120-IF((45-'Assumption Setting'!$E$99)&lt;1,0,OFFSET($A$120,0,2+13*INT(((45-'Assumption Setting'!$E$99)-1)/12)+MOD((45-'Assumption Setting'!$E$99)-1,12)))</f>
        <v>0.96127219155021</v>
      </c>
      <c r="AY121" s="93" t="n">
        <f aca="true">AX121+AY120-IF((46-'Assumption Setting'!$E$99)&lt;1,0,OFFSET($A$120,0,2+13*INT(((46-'Assumption Setting'!$E$99)-1)/12)+MOD((46-'Assumption Setting'!$E$99)-1,12)))</f>
        <v>0.98679011052143</v>
      </c>
      <c r="AZ121" s="93" t="n">
        <f aca="true">AY121+AZ120-IF((47-'Assumption Setting'!$E$99)&lt;1,0,OFFSET($A$120,0,2+13*INT(((47-'Assumption Setting'!$E$99)-1)/12)+MOD((47-'Assumption Setting'!$E$99)-1,12)))</f>
        <v>1.01230802949265</v>
      </c>
      <c r="BA121" s="93" t="n">
        <f aca="true">AZ121+BA120-IF((48-'Assumption Setting'!$E$99)&lt;1,0,OFFSET($A$120,0,2+13*INT(((48-'Assumption Setting'!$E$99)-1)/12)+MOD((48-'Assumption Setting'!$E$99)-1,12)))</f>
        <v>1.03782594846387</v>
      </c>
      <c r="BB121" s="91" t="n">
        <f aca="false">BN121</f>
        <v>1.35817480978914</v>
      </c>
      <c r="BC121" s="93" t="n">
        <f aca="true">BA121+BC120-IF((49-'Assumption Setting'!$E$99)&lt;1,0,OFFSET($A$120,0,2+13*INT(((49-'Assumption Setting'!$E$99)-1)/12)+MOD((49-'Assumption Setting'!$E$99)-1,12)))</f>
        <v>1.06334386743509</v>
      </c>
      <c r="BD121" s="93" t="n">
        <f aca="true">BC121+BD120-IF((50-'Assumption Setting'!$E$99)&lt;1,0,OFFSET($A$120,0,2+13*INT(((50-'Assumption Setting'!$E$99)-1)/12)+MOD((50-'Assumption Setting'!$E$99)-1,12)))</f>
        <v>1.08886178640631</v>
      </c>
      <c r="BE121" s="93" t="n">
        <f aca="true">BD121+BE120-IF((51-'Assumption Setting'!$E$99)&lt;1,0,OFFSET($A$120,0,2+13*INT(((51-'Assumption Setting'!$E$99)-1)/12)+MOD((51-'Assumption Setting'!$E$99)-1,12)))</f>
        <v>1.11527922783026</v>
      </c>
      <c r="BF121" s="93" t="n">
        <f aca="true">BE121+BF120-IF((52-'Assumption Setting'!$E$99)&lt;1,0,OFFSET($A$120,0,2+13*INT(((52-'Assumption Setting'!$E$99)-1)/12)+MOD((52-'Assumption Setting'!$E$99)-1,12)))</f>
        <v>1.14169666925422</v>
      </c>
      <c r="BG121" s="93" t="n">
        <f aca="true">BF121+BG120-IF((53-'Assumption Setting'!$E$99)&lt;1,0,OFFSET($A$120,0,2+13*INT(((53-'Assumption Setting'!$E$99)-1)/12)+MOD((53-'Assumption Setting'!$E$99)-1,12)))</f>
        <v>1.16811411067817</v>
      </c>
      <c r="BH121" s="93" t="n">
        <f aca="true">BG121+BH120-IF((54-'Assumption Setting'!$E$99)&lt;1,0,OFFSET($A$120,0,2+13*INT(((54-'Assumption Setting'!$E$99)-1)/12)+MOD((54-'Assumption Setting'!$E$99)-1,12)))</f>
        <v>1.19453155210213</v>
      </c>
      <c r="BI121" s="93" t="n">
        <f aca="true">BH121+BI120-IF((55-'Assumption Setting'!$E$99)&lt;1,0,OFFSET($A$120,0,2+13*INT(((55-'Assumption Setting'!$E$99)-1)/12)+MOD((55-'Assumption Setting'!$E$99)-1,12)))</f>
        <v>1.2218054283833</v>
      </c>
      <c r="BJ121" s="93" t="n">
        <f aca="true">BI121+BJ120-IF((56-'Assumption Setting'!$E$99)&lt;1,0,OFFSET($A$120,0,2+13*INT(((56-'Assumption Setting'!$E$99)-1)/12)+MOD((56-'Assumption Setting'!$E$99)-1,12)))</f>
        <v>1.24907930466447</v>
      </c>
      <c r="BK121" s="93" t="n">
        <f aca="true">BJ121+BK120-IF((57-'Assumption Setting'!$E$99)&lt;1,0,OFFSET($A$120,0,2+13*INT(((57-'Assumption Setting'!$E$99)-1)/12)+MOD((57-'Assumption Setting'!$E$99)-1,12)))</f>
        <v>1.27635318094563</v>
      </c>
      <c r="BL121" s="93" t="n">
        <f aca="true">BK121+BL120-IF((58-'Assumption Setting'!$E$99)&lt;1,0,OFFSET($A$120,0,2+13*INT(((58-'Assumption Setting'!$E$99)-1)/12)+MOD((58-'Assumption Setting'!$E$99)-1,12)))</f>
        <v>1.3036270572268</v>
      </c>
      <c r="BM121" s="93" t="n">
        <f aca="true">BL121+BM120-IF((59-'Assumption Setting'!$E$99)&lt;1,0,OFFSET($A$120,0,2+13*INT(((59-'Assumption Setting'!$E$99)-1)/12)+MOD((59-'Assumption Setting'!$E$99)-1,12)))</f>
        <v>1.33090093350797</v>
      </c>
      <c r="BN121" s="93" t="n">
        <f aca="true">BM121+BN120-IF((60-'Assumption Setting'!$E$99)&lt;1,0,OFFSET($A$120,0,2+13*INT(((60-'Assumption Setting'!$E$99)-1)/12)+MOD((60-'Assumption Setting'!$E$99)-1,12)))</f>
        <v>1.35817480978914</v>
      </c>
    </row>
    <row r="122" customFormat="false" ht="15" hidden="false" customHeight="false" outlineLevel="0" collapsed="false">
      <c r="A122" s="12" t="s">
        <v>640</v>
      </c>
      <c r="B122" s="91" t="n">
        <f aca="false">SUM(C122:N122)</f>
        <v>0</v>
      </c>
      <c r="C122" s="92" t="n">
        <f aca="false">IF(1&lt;'Assumption Setting'!$F$100,0,IFERROR(C73*'Assumption Setting'!$C$100/C104,0))</f>
        <v>0</v>
      </c>
      <c r="D122" s="92" t="n">
        <f aca="false">IF(2&lt;'Assumption Setting'!$F$100,0,IFERROR(D73*'Assumption Setting'!$C$100/D104,0))</f>
        <v>0</v>
      </c>
      <c r="E122" s="92" t="n">
        <f aca="false">IF(3&lt;'Assumption Setting'!$F$100,0,IFERROR(E73*'Assumption Setting'!$C$100/E104,0))</f>
        <v>0</v>
      </c>
      <c r="F122" s="92" t="n">
        <f aca="false">IF(4&lt;'Assumption Setting'!$F$100,0,IFERROR(F73*'Assumption Setting'!$C$100/F104,0))</f>
        <v>0</v>
      </c>
      <c r="G122" s="92" t="n">
        <f aca="false">IF(5&lt;'Assumption Setting'!$F$100,0,IFERROR(G73*'Assumption Setting'!$C$100/G104,0))</f>
        <v>0</v>
      </c>
      <c r="H122" s="92" t="n">
        <f aca="false">IF(6&lt;'Assumption Setting'!$F$100,0,IFERROR(H73*'Assumption Setting'!$C$100/H104,0))</f>
        <v>0</v>
      </c>
      <c r="I122" s="92" t="n">
        <f aca="false">IF(7&lt;'Assumption Setting'!$F$100,0,IFERROR(I73*'Assumption Setting'!$C$100/I104,0))</f>
        <v>0</v>
      </c>
      <c r="J122" s="92" t="n">
        <f aca="false">IF(8&lt;'Assumption Setting'!$F$100,0,IFERROR(J73*'Assumption Setting'!$C$100/J104,0))</f>
        <v>0</v>
      </c>
      <c r="K122" s="92" t="n">
        <f aca="false">IF(9&lt;'Assumption Setting'!$F$100,0,IFERROR(K73*'Assumption Setting'!$C$100/K104,0))</f>
        <v>0</v>
      </c>
      <c r="L122" s="92" t="n">
        <f aca="false">IF(10&lt;'Assumption Setting'!$F$100,0,IFERROR(L73*'Assumption Setting'!$C$100/L104,0))</f>
        <v>0</v>
      </c>
      <c r="M122" s="92" t="n">
        <f aca="false">IF(11&lt;'Assumption Setting'!$F$100,0,IFERROR(M73*'Assumption Setting'!$C$100/M104,0))</f>
        <v>0</v>
      </c>
      <c r="N122" s="92" t="n">
        <f aca="false">IF(12&lt;'Assumption Setting'!$F$100,0,IFERROR(N73*'Assumption Setting'!$C$100/N104,0))</f>
        <v>0</v>
      </c>
      <c r="O122" s="91" t="n">
        <f aca="false">SUM(P122:AA122)</f>
        <v>0.776807800977825</v>
      </c>
      <c r="P122" s="92" t="n">
        <f aca="false">IF(13&lt;'Assumption Setting'!$F$100,0,IFERROR(P73*'Assumption Setting'!$C$100/P104,0))</f>
        <v>0.0469727005083237</v>
      </c>
      <c r="Q122" s="92" t="n">
        <f aca="false">IF(14&lt;'Assumption Setting'!$F$100,0,IFERROR(Q73*'Assumption Setting'!$C$100/Q104,0))</f>
        <v>0.0469727005083237</v>
      </c>
      <c r="R122" s="92" t="n">
        <f aca="false">IF(15&lt;'Assumption Setting'!$F$100,0,IFERROR(R73*'Assumption Setting'!$C$100/R104,0))</f>
        <v>0.0516699705591561</v>
      </c>
      <c r="S122" s="92" t="n">
        <f aca="false">IF(16&lt;'Assumption Setting'!$F$100,0,IFERROR(S73*'Assumption Setting'!$C$100/S104,0))</f>
        <v>0.0516699705591561</v>
      </c>
      <c r="T122" s="92" t="n">
        <f aca="false">IF(17&lt;'Assumption Setting'!$F$100,0,IFERROR(T73*'Assumption Setting'!$C$100/T104,0))</f>
        <v>0.0516699705591561</v>
      </c>
      <c r="U122" s="92" t="n">
        <f aca="false">IF(18&lt;'Assumption Setting'!$F$100,0,IFERROR(U73*'Assumption Setting'!$C$100/U104,0))</f>
        <v>0.0516699705591561</v>
      </c>
      <c r="V122" s="92" t="n">
        <f aca="false">IF(19&lt;'Assumption Setting'!$F$100,0,IFERROR(V73*'Assumption Setting'!$C$100/V104,0))</f>
        <v>0.0793637529540923</v>
      </c>
      <c r="W122" s="92" t="n">
        <f aca="false">IF(20&lt;'Assumption Setting'!$F$100,0,IFERROR(W73*'Assumption Setting'!$C$100/W104,0))</f>
        <v>0.0793637529540923</v>
      </c>
      <c r="X122" s="92" t="n">
        <f aca="false">IF(21&lt;'Assumption Setting'!$F$100,0,IFERROR(X73*'Assumption Setting'!$C$100/X104,0))</f>
        <v>0.0793637529540923</v>
      </c>
      <c r="Y122" s="92" t="n">
        <f aca="false">IF(22&lt;'Assumption Setting'!$F$100,0,IFERROR(Y73*'Assumption Setting'!$C$100/Y104,0))</f>
        <v>0.0793637529540923</v>
      </c>
      <c r="Z122" s="92" t="n">
        <f aca="false">IF(23&lt;'Assumption Setting'!$F$100,0,IFERROR(Z73*'Assumption Setting'!$C$100/Z104,0))</f>
        <v>0.0793637529540923</v>
      </c>
      <c r="AA122" s="92" t="n">
        <f aca="false">IF(24&lt;'Assumption Setting'!$F$100,0,IFERROR(AA73*'Assumption Setting'!$C$100/AA104,0))</f>
        <v>0.0793637529540923</v>
      </c>
      <c r="AB122" s="91" t="n">
        <f aca="false">SUM(AC122:AN122)</f>
        <v>1.0786845869916</v>
      </c>
      <c r="AC122" s="92" t="n">
        <f aca="false">IF(25&lt;'Assumption Setting'!$F$100,0,IFERROR(AC73*'Assumption Setting'!$C$100/AC104,0))</f>
        <v>0.0666655524814376</v>
      </c>
      <c r="AD122" s="92" t="n">
        <f aca="false">IF(26&lt;'Assumption Setting'!$F$100,0,IFERROR(AD73*'Assumption Setting'!$C$100/AD104,0))</f>
        <v>0.0666655524814376</v>
      </c>
      <c r="AE122" s="92" t="n">
        <f aca="false">IF(27&lt;'Assumption Setting'!$F$100,0,IFERROR(AE73*'Assumption Setting'!$C$100/AE104,0))</f>
        <v>0.0727260572524773</v>
      </c>
      <c r="AF122" s="92" t="n">
        <f aca="false">IF(28&lt;'Assumption Setting'!$F$100,0,IFERROR(AF73*'Assumption Setting'!$C$100/AF104,0))</f>
        <v>0.0727260572524773</v>
      </c>
      <c r="AG122" s="92" t="n">
        <f aca="false">IF(29&lt;'Assumption Setting'!$F$100,0,IFERROR(AG73*'Assumption Setting'!$C$100/AG104,0))</f>
        <v>0.0727260572524773</v>
      </c>
      <c r="AH122" s="92" t="n">
        <f aca="false">IF(30&lt;'Assumption Setting'!$F$100,0,IFERROR(AH73*'Assumption Setting'!$C$100/AH104,0))</f>
        <v>0.0727260572524773</v>
      </c>
      <c r="AI122" s="92" t="n">
        <f aca="false">IF(31&lt;'Assumption Setting'!$F$100,0,IFERROR(AI73*'Assumption Setting'!$C$100/AI104,0))</f>
        <v>0.109074875503136</v>
      </c>
      <c r="AJ122" s="92" t="n">
        <f aca="false">IF(32&lt;'Assumption Setting'!$F$100,0,IFERROR(AJ73*'Assumption Setting'!$C$100/AJ104,0))</f>
        <v>0.109074875503136</v>
      </c>
      <c r="AK122" s="92" t="n">
        <f aca="false">IF(33&lt;'Assumption Setting'!$F$100,0,IFERROR(AK73*'Assumption Setting'!$C$100/AK104,0))</f>
        <v>0.109074875503136</v>
      </c>
      <c r="AL122" s="92" t="n">
        <f aca="false">IF(34&lt;'Assumption Setting'!$F$100,0,IFERROR(AL73*'Assumption Setting'!$C$100/AL104,0))</f>
        <v>0.109074875503136</v>
      </c>
      <c r="AM122" s="92" t="n">
        <f aca="false">IF(35&lt;'Assumption Setting'!$F$100,0,IFERROR(AM73*'Assumption Setting'!$C$100/AM104,0))</f>
        <v>0.109074875503136</v>
      </c>
      <c r="AN122" s="92" t="n">
        <f aca="false">IF(36&lt;'Assumption Setting'!$F$100,0,IFERROR(AN73*'Assumption Setting'!$C$100/AN104,0))</f>
        <v>0.109074875503136</v>
      </c>
      <c r="AO122" s="91" t="n">
        <f aca="false">SUM(AP122:BA122)</f>
        <v>1.55673892269581</v>
      </c>
      <c r="AP122" s="92" t="n">
        <f aca="false">IF(37&lt;'Assumption Setting'!$F$100,0,IFERROR(AP73*'Assumption Setting'!$C$100/AP104,0))</f>
        <v>0.109074875503136</v>
      </c>
      <c r="AQ122" s="92" t="n">
        <f aca="false">IF(38&lt;'Assumption Setting'!$F$100,0,IFERROR(AQ73*'Assumption Setting'!$C$100/AQ104,0))</f>
        <v>0.109074875503136</v>
      </c>
      <c r="AR122" s="92" t="n">
        <f aca="false">IF(39&lt;'Assumption Setting'!$F$100,0,IFERROR(AR73*'Assumption Setting'!$C$100/AR104,0))</f>
        <v>0.113619661982434</v>
      </c>
      <c r="AS122" s="92" t="n">
        <f aca="false">IF(40&lt;'Assumption Setting'!$F$100,0,IFERROR(AS73*'Assumption Setting'!$C$100/AS104,0))</f>
        <v>0.113619661982434</v>
      </c>
      <c r="AT122" s="92" t="n">
        <f aca="false">IF(41&lt;'Assumption Setting'!$F$100,0,IFERROR(AT73*'Assumption Setting'!$C$100/AT104,0))</f>
        <v>0.113619661982434</v>
      </c>
      <c r="AU122" s="92" t="n">
        <f aca="false">IF(42&lt;'Assumption Setting'!$F$100,0,IFERROR(AU73*'Assumption Setting'!$C$100/AU104,0))</f>
        <v>0.113619661982434</v>
      </c>
      <c r="AV122" s="92" t="n">
        <f aca="false">IF(43&lt;'Assumption Setting'!$F$100,0,IFERROR(AV73*'Assumption Setting'!$C$100/AV104,0))</f>
        <v>0.147351753959966</v>
      </c>
      <c r="AW122" s="92" t="n">
        <f aca="false">IF(44&lt;'Assumption Setting'!$F$100,0,IFERROR(AW73*'Assumption Setting'!$C$100/AW104,0))</f>
        <v>0.147351753959966</v>
      </c>
      <c r="AX122" s="92" t="n">
        <f aca="false">IF(45&lt;'Assumption Setting'!$F$100,0,IFERROR(AX73*'Assumption Setting'!$C$100/AX104,0))</f>
        <v>0.147351753959966</v>
      </c>
      <c r="AY122" s="92" t="n">
        <f aca="false">IF(46&lt;'Assumption Setting'!$F$100,0,IFERROR(AY73*'Assumption Setting'!$C$100/AY104,0))</f>
        <v>0.147351753959966</v>
      </c>
      <c r="AZ122" s="92" t="n">
        <f aca="false">IF(47&lt;'Assumption Setting'!$F$100,0,IFERROR(AZ73*'Assumption Setting'!$C$100/AZ104,0))</f>
        <v>0.147351753959966</v>
      </c>
      <c r="BA122" s="92" t="n">
        <f aca="false">IF(48&lt;'Assumption Setting'!$F$100,0,IFERROR(BA73*'Assumption Setting'!$C$100/BA104,0))</f>
        <v>0.147351753959966</v>
      </c>
      <c r="BB122" s="91" t="n">
        <f aca="false">SUM(BC122:BN122)</f>
        <v>2.03726221468371</v>
      </c>
      <c r="BC122" s="92" t="n">
        <f aca="false">IF(49&lt;'Assumption Setting'!$F$100,0,IFERROR(BC73*'Assumption Setting'!$C$100/BC104,0))</f>
        <v>0.147351753959966</v>
      </c>
      <c r="BD122" s="92" t="n">
        <f aca="false">IF(50&lt;'Assumption Setting'!$F$100,0,IFERROR(BD73*'Assumption Setting'!$C$100/BD104,0))</f>
        <v>0.147351753959966</v>
      </c>
      <c r="BE122" s="92" t="n">
        <f aca="false">IF(51&lt;'Assumption Setting'!$F$100,0,IFERROR(BE73*'Assumption Setting'!$C$100/BE104,0))</f>
        <v>0.153245824118365</v>
      </c>
      <c r="BF122" s="92" t="n">
        <f aca="false">IF(52&lt;'Assumption Setting'!$F$100,0,IFERROR(BF73*'Assumption Setting'!$C$100/BF104,0))</f>
        <v>0.153245824118365</v>
      </c>
      <c r="BG122" s="92" t="n">
        <f aca="false">IF(53&lt;'Assumption Setting'!$F$100,0,IFERROR(BG73*'Assumption Setting'!$C$100/BG104,0))</f>
        <v>0.153245824118365</v>
      </c>
      <c r="BH122" s="92" t="n">
        <f aca="false">IF(54&lt;'Assumption Setting'!$F$100,0,IFERROR(BH73*'Assumption Setting'!$C$100/BH104,0))</f>
        <v>0.153245824118365</v>
      </c>
      <c r="BI122" s="92" t="n">
        <f aca="false">IF(55&lt;'Assumption Setting'!$F$100,0,IFERROR(BI73*'Assumption Setting'!$C$100/BI104,0))</f>
        <v>0.188262568381719</v>
      </c>
      <c r="BJ122" s="92" t="n">
        <f aca="false">IF(56&lt;'Assumption Setting'!$F$100,0,IFERROR(BJ73*'Assumption Setting'!$C$100/BJ104,0))</f>
        <v>0.188262568381719</v>
      </c>
      <c r="BK122" s="92" t="n">
        <f aca="false">IF(57&lt;'Assumption Setting'!$F$100,0,IFERROR(BK73*'Assumption Setting'!$C$100/BK104,0))</f>
        <v>0.188262568381719</v>
      </c>
      <c r="BL122" s="92" t="n">
        <f aca="false">IF(58&lt;'Assumption Setting'!$F$100,0,IFERROR(BL73*'Assumption Setting'!$C$100/BL104,0))</f>
        <v>0.188262568381719</v>
      </c>
      <c r="BM122" s="92" t="n">
        <f aca="false">IF(59&lt;'Assumption Setting'!$F$100,0,IFERROR(BM73*'Assumption Setting'!$C$100/BM104,0))</f>
        <v>0.188262568381719</v>
      </c>
      <c r="BN122" s="92" t="n">
        <f aca="false">IF(60&lt;'Assumption Setting'!$F$100,0,IFERROR(BN73*'Assumption Setting'!$C$100/BN104,0))</f>
        <v>0.188262568381719</v>
      </c>
    </row>
    <row r="123" customFormat="false" ht="15" hidden="false" customHeight="false" outlineLevel="0" collapsed="false">
      <c r="A123" s="69" t="s">
        <v>641</v>
      </c>
      <c r="B123" s="91" t="n">
        <f aca="false">N123</f>
        <v>0</v>
      </c>
      <c r="C123" s="93" t="n">
        <f aca="false">C122</f>
        <v>0</v>
      </c>
      <c r="D123" s="93" t="n">
        <f aca="true">C123+D122-IF((2-'Assumption Setting'!$E$100)&lt;1,0,OFFSET($A$122,0,2+13*INT(((2-'Assumption Setting'!$E$100)-1)/12)+MOD((2-'Assumption Setting'!$E$100)-1,12)))</f>
        <v>0</v>
      </c>
      <c r="E123" s="93" t="n">
        <f aca="true">D123+E122-IF((3-'Assumption Setting'!$E$100)&lt;1,0,OFFSET($A$122,0,2+13*INT(((3-'Assumption Setting'!$E$100)-1)/12)+MOD((3-'Assumption Setting'!$E$100)-1,12)))</f>
        <v>0</v>
      </c>
      <c r="F123" s="93" t="n">
        <f aca="true">E123+F122-IF((4-'Assumption Setting'!$E$100)&lt;1,0,OFFSET($A$122,0,2+13*INT(((4-'Assumption Setting'!$E$100)-1)/12)+MOD((4-'Assumption Setting'!$E$100)-1,12)))</f>
        <v>0</v>
      </c>
      <c r="G123" s="93" t="n">
        <f aca="true">F123+G122-IF((5-'Assumption Setting'!$E$100)&lt;1,0,OFFSET($A$122,0,2+13*INT(((5-'Assumption Setting'!$E$100)-1)/12)+MOD((5-'Assumption Setting'!$E$100)-1,12)))</f>
        <v>0</v>
      </c>
      <c r="H123" s="93" t="n">
        <f aca="true">G123+H122-IF((6-'Assumption Setting'!$E$100)&lt;1,0,OFFSET($A$122,0,2+13*INT(((6-'Assumption Setting'!$E$100)-1)/12)+MOD((6-'Assumption Setting'!$E$100)-1,12)))</f>
        <v>0</v>
      </c>
      <c r="I123" s="93" t="n">
        <f aca="true">H123+I122-IF((7-'Assumption Setting'!$E$100)&lt;1,0,OFFSET($A$122,0,2+13*INT(((7-'Assumption Setting'!$E$100)-1)/12)+MOD((7-'Assumption Setting'!$E$100)-1,12)))</f>
        <v>0</v>
      </c>
      <c r="J123" s="93" t="n">
        <f aca="true">I123+J122-IF((8-'Assumption Setting'!$E$100)&lt;1,0,OFFSET($A$122,0,2+13*INT(((8-'Assumption Setting'!$E$100)-1)/12)+MOD((8-'Assumption Setting'!$E$100)-1,12)))</f>
        <v>0</v>
      </c>
      <c r="K123" s="93" t="n">
        <f aca="true">J123+K122-IF((9-'Assumption Setting'!$E$100)&lt;1,0,OFFSET($A$122,0,2+13*INT(((9-'Assumption Setting'!$E$100)-1)/12)+MOD((9-'Assumption Setting'!$E$100)-1,12)))</f>
        <v>0</v>
      </c>
      <c r="L123" s="93" t="n">
        <f aca="true">K123+L122-IF((10-'Assumption Setting'!$E$100)&lt;1,0,OFFSET($A$122,0,2+13*INT(((10-'Assumption Setting'!$E$100)-1)/12)+MOD((10-'Assumption Setting'!$E$100)-1,12)))</f>
        <v>0</v>
      </c>
      <c r="M123" s="93" t="n">
        <f aca="true">L123+M122-IF((11-'Assumption Setting'!$E$100)&lt;1,0,OFFSET($A$122,0,2+13*INT(((11-'Assumption Setting'!$E$100)-1)/12)+MOD((11-'Assumption Setting'!$E$100)-1,12)))</f>
        <v>0</v>
      </c>
      <c r="N123" s="93" t="n">
        <f aca="true">M123+N122-IF((12-'Assumption Setting'!$E$100)&lt;1,0,OFFSET($A$122,0,2+13*INT(((12-'Assumption Setting'!$E$100)-1)/12)+MOD((12-'Assumption Setting'!$E$100)-1,12)))</f>
        <v>0</v>
      </c>
      <c r="O123" s="91" t="n">
        <f aca="false">AA123</f>
        <v>0.776807800977825</v>
      </c>
      <c r="P123" s="93" t="n">
        <f aca="true">N123+P122-IF((13-'Assumption Setting'!$E$100)&lt;1,0,OFFSET($A$122,0,2+13*INT(((13-'Assumption Setting'!$E$100)-1)/12)+MOD((13-'Assumption Setting'!$E$100)-1,12)))</f>
        <v>0.0469727005083237</v>
      </c>
      <c r="Q123" s="93" t="n">
        <f aca="true">P123+Q122-IF((14-'Assumption Setting'!$E$100)&lt;1,0,OFFSET($A$122,0,2+13*INT(((14-'Assumption Setting'!$E$100)-1)/12)+MOD((14-'Assumption Setting'!$E$100)-1,12)))</f>
        <v>0.0939454010166474</v>
      </c>
      <c r="R123" s="93" t="n">
        <f aca="true">Q123+R122-IF((15-'Assumption Setting'!$E$100)&lt;1,0,OFFSET($A$122,0,2+13*INT(((15-'Assumption Setting'!$E$100)-1)/12)+MOD((15-'Assumption Setting'!$E$100)-1,12)))</f>
        <v>0.145615371575803</v>
      </c>
      <c r="S123" s="93" t="n">
        <f aca="true">R123+S122-IF((16-'Assumption Setting'!$E$100)&lt;1,0,OFFSET($A$122,0,2+13*INT(((16-'Assumption Setting'!$E$100)-1)/12)+MOD((16-'Assumption Setting'!$E$100)-1,12)))</f>
        <v>0.19728534213496</v>
      </c>
      <c r="T123" s="93" t="n">
        <f aca="true">S123+T122-IF((17-'Assumption Setting'!$E$100)&lt;1,0,OFFSET($A$122,0,2+13*INT(((17-'Assumption Setting'!$E$100)-1)/12)+MOD((17-'Assumption Setting'!$E$100)-1,12)))</f>
        <v>0.248955312694116</v>
      </c>
      <c r="U123" s="93" t="n">
        <f aca="true">T123+U122-IF((18-'Assumption Setting'!$E$100)&lt;1,0,OFFSET($A$122,0,2+13*INT(((18-'Assumption Setting'!$E$100)-1)/12)+MOD((18-'Assumption Setting'!$E$100)-1,12)))</f>
        <v>0.300625283253272</v>
      </c>
      <c r="V123" s="93" t="n">
        <f aca="true">U123+V122-IF((19-'Assumption Setting'!$E$100)&lt;1,0,OFFSET($A$122,0,2+13*INT(((19-'Assumption Setting'!$E$100)-1)/12)+MOD((19-'Assumption Setting'!$E$100)-1,12)))</f>
        <v>0.379989036207364</v>
      </c>
      <c r="W123" s="93" t="n">
        <f aca="true">V123+W122-IF((20-'Assumption Setting'!$E$100)&lt;1,0,OFFSET($A$122,0,2+13*INT(((20-'Assumption Setting'!$E$100)-1)/12)+MOD((20-'Assumption Setting'!$E$100)-1,12)))</f>
        <v>0.459352789161456</v>
      </c>
      <c r="X123" s="93" t="n">
        <f aca="true">W123+X122-IF((21-'Assumption Setting'!$E$100)&lt;1,0,OFFSET($A$122,0,2+13*INT(((21-'Assumption Setting'!$E$100)-1)/12)+MOD((21-'Assumption Setting'!$E$100)-1,12)))</f>
        <v>0.538716542115549</v>
      </c>
      <c r="Y123" s="93" t="n">
        <f aca="true">X123+Y122-IF((22-'Assumption Setting'!$E$100)&lt;1,0,OFFSET($A$122,0,2+13*INT(((22-'Assumption Setting'!$E$100)-1)/12)+MOD((22-'Assumption Setting'!$E$100)-1,12)))</f>
        <v>0.618080295069641</v>
      </c>
      <c r="Z123" s="93" t="n">
        <f aca="true">Y123+Z122-IF((23-'Assumption Setting'!$E$100)&lt;1,0,OFFSET($A$122,0,2+13*INT(((23-'Assumption Setting'!$E$100)-1)/12)+MOD((23-'Assumption Setting'!$E$100)-1,12)))</f>
        <v>0.697444048023733</v>
      </c>
      <c r="AA123" s="93" t="n">
        <f aca="true">Z123+AA122-IF((24-'Assumption Setting'!$E$100)&lt;1,0,OFFSET($A$122,0,2+13*INT(((24-'Assumption Setting'!$E$100)-1)/12)+MOD((24-'Assumption Setting'!$E$100)-1,12)))</f>
        <v>0.776807800977825</v>
      </c>
      <c r="AB123" s="91" t="n">
        <f aca="false">AN123</f>
        <v>1.85549238796943</v>
      </c>
      <c r="AC123" s="93" t="n">
        <f aca="true">AA123+AC122-IF((25-'Assumption Setting'!$E$100)&lt;1,0,OFFSET($A$122,0,2+13*INT(((25-'Assumption Setting'!$E$100)-1)/12)+MOD((25-'Assumption Setting'!$E$100)-1,12)))</f>
        <v>0.843473353459263</v>
      </c>
      <c r="AD123" s="93" t="n">
        <f aca="true">AC123+AD122-IF((26-'Assumption Setting'!$E$100)&lt;1,0,OFFSET($A$122,0,2+13*INT(((26-'Assumption Setting'!$E$100)-1)/12)+MOD((26-'Assumption Setting'!$E$100)-1,12)))</f>
        <v>0.910138905940701</v>
      </c>
      <c r="AE123" s="93" t="n">
        <f aca="true">AD123+AE122-IF((27-'Assumption Setting'!$E$100)&lt;1,0,OFFSET($A$122,0,2+13*INT(((27-'Assumption Setting'!$E$100)-1)/12)+MOD((27-'Assumption Setting'!$E$100)-1,12)))</f>
        <v>0.982864963193178</v>
      </c>
      <c r="AF123" s="93" t="n">
        <f aca="true">AE123+AF122-IF((28-'Assumption Setting'!$E$100)&lt;1,0,OFFSET($A$122,0,2+13*INT(((28-'Assumption Setting'!$E$100)-1)/12)+MOD((28-'Assumption Setting'!$E$100)-1,12)))</f>
        <v>1.05559102044566</v>
      </c>
      <c r="AG123" s="93" t="n">
        <f aca="true">AF123+AG122-IF((29-'Assumption Setting'!$E$100)&lt;1,0,OFFSET($A$122,0,2+13*INT(((29-'Assumption Setting'!$E$100)-1)/12)+MOD((29-'Assumption Setting'!$E$100)-1,12)))</f>
        <v>1.12831707769813</v>
      </c>
      <c r="AH123" s="93" t="n">
        <f aca="true">AG123+AH122-IF((30-'Assumption Setting'!$E$100)&lt;1,0,OFFSET($A$122,0,2+13*INT(((30-'Assumption Setting'!$E$100)-1)/12)+MOD((30-'Assumption Setting'!$E$100)-1,12)))</f>
        <v>1.20104313495061</v>
      </c>
      <c r="AI123" s="93" t="n">
        <f aca="true">AH123+AI122-IF((31-'Assumption Setting'!$E$100)&lt;1,0,OFFSET($A$122,0,2+13*INT(((31-'Assumption Setting'!$E$100)-1)/12)+MOD((31-'Assumption Setting'!$E$100)-1,12)))</f>
        <v>1.31011801045375</v>
      </c>
      <c r="AJ123" s="93" t="n">
        <f aca="true">AI123+AJ122-IF((32-'Assumption Setting'!$E$100)&lt;1,0,OFFSET($A$122,0,2+13*INT(((32-'Assumption Setting'!$E$100)-1)/12)+MOD((32-'Assumption Setting'!$E$100)-1,12)))</f>
        <v>1.41919288595688</v>
      </c>
      <c r="AK123" s="93" t="n">
        <f aca="true">AJ123+AK122-IF((33-'Assumption Setting'!$E$100)&lt;1,0,OFFSET($A$122,0,2+13*INT(((33-'Assumption Setting'!$E$100)-1)/12)+MOD((33-'Assumption Setting'!$E$100)-1,12)))</f>
        <v>1.52826776146002</v>
      </c>
      <c r="AL123" s="93" t="n">
        <f aca="true">AK123+AL122-IF((34-'Assumption Setting'!$E$100)&lt;1,0,OFFSET($A$122,0,2+13*INT(((34-'Assumption Setting'!$E$100)-1)/12)+MOD((34-'Assumption Setting'!$E$100)-1,12)))</f>
        <v>1.63734263696316</v>
      </c>
      <c r="AM123" s="93" t="n">
        <f aca="true">AL123+AM122-IF((35-'Assumption Setting'!$E$100)&lt;1,0,OFFSET($A$122,0,2+13*INT(((35-'Assumption Setting'!$E$100)-1)/12)+MOD((35-'Assumption Setting'!$E$100)-1,12)))</f>
        <v>1.74641751246629</v>
      </c>
      <c r="AN123" s="93" t="n">
        <f aca="true">AM123+AN122-IF((36-'Assumption Setting'!$E$100)&lt;1,0,OFFSET($A$122,0,2+13*INT(((36-'Assumption Setting'!$E$100)-1)/12)+MOD((36-'Assumption Setting'!$E$100)-1,12)))</f>
        <v>1.85549238796943</v>
      </c>
      <c r="AO123" s="91" t="n">
        <f aca="false">BA123</f>
        <v>2.63542350968741</v>
      </c>
      <c r="AP123" s="93" t="n">
        <f aca="true">AN123+AP122-IF((37-'Assumption Setting'!$E$100)&lt;1,0,OFFSET($A$122,0,2+13*INT(((37-'Assumption Setting'!$E$100)-1)/12)+MOD((37-'Assumption Setting'!$E$100)-1,12)))</f>
        <v>1.91759456296424</v>
      </c>
      <c r="AQ123" s="93" t="n">
        <f aca="true">AP123+AQ122-IF((38-'Assumption Setting'!$E$100)&lt;1,0,OFFSET($A$122,0,2+13*INT(((38-'Assumption Setting'!$E$100)-1)/12)+MOD((38-'Assumption Setting'!$E$100)-1,12)))</f>
        <v>1.97969673795905</v>
      </c>
      <c r="AR123" s="93" t="n">
        <f aca="true">AQ123+AR122-IF((39-'Assumption Setting'!$E$100)&lt;1,0,OFFSET($A$122,0,2+13*INT(((39-'Assumption Setting'!$E$100)-1)/12)+MOD((39-'Assumption Setting'!$E$100)-1,12)))</f>
        <v>2.04164642938233</v>
      </c>
      <c r="AS123" s="93" t="n">
        <f aca="true">AR123+AS122-IF((40-'Assumption Setting'!$E$100)&lt;1,0,OFFSET($A$122,0,2+13*INT(((40-'Assumption Setting'!$E$100)-1)/12)+MOD((40-'Assumption Setting'!$E$100)-1,12)))</f>
        <v>2.10359612080561</v>
      </c>
      <c r="AT123" s="93" t="n">
        <f aca="true">AS123+AT122-IF((41-'Assumption Setting'!$E$100)&lt;1,0,OFFSET($A$122,0,2+13*INT(((41-'Assumption Setting'!$E$100)-1)/12)+MOD((41-'Assumption Setting'!$E$100)-1,12)))</f>
        <v>2.16554581222889</v>
      </c>
      <c r="AU123" s="93" t="n">
        <f aca="true">AT123+AU122-IF((42-'Assumption Setting'!$E$100)&lt;1,0,OFFSET($A$122,0,2+13*INT(((42-'Assumption Setting'!$E$100)-1)/12)+MOD((42-'Assumption Setting'!$E$100)-1,12)))</f>
        <v>2.22749550365216</v>
      </c>
      <c r="AV123" s="93" t="n">
        <f aca="true">AU123+AV122-IF((43-'Assumption Setting'!$E$100)&lt;1,0,OFFSET($A$122,0,2+13*INT(((43-'Assumption Setting'!$E$100)-1)/12)+MOD((43-'Assumption Setting'!$E$100)-1,12)))</f>
        <v>2.29548350465804</v>
      </c>
      <c r="AW123" s="93" t="n">
        <f aca="true">AV123+AW122-IF((44-'Assumption Setting'!$E$100)&lt;1,0,OFFSET($A$122,0,2+13*INT(((44-'Assumption Setting'!$E$100)-1)/12)+MOD((44-'Assumption Setting'!$E$100)-1,12)))</f>
        <v>2.36347150566391</v>
      </c>
      <c r="AX123" s="93" t="n">
        <f aca="true">AW123+AX122-IF((45-'Assumption Setting'!$E$100)&lt;1,0,OFFSET($A$122,0,2+13*INT(((45-'Assumption Setting'!$E$100)-1)/12)+MOD((45-'Assumption Setting'!$E$100)-1,12)))</f>
        <v>2.43145950666979</v>
      </c>
      <c r="AY123" s="93" t="n">
        <f aca="true">AX123+AY122-IF((46-'Assumption Setting'!$E$100)&lt;1,0,OFFSET($A$122,0,2+13*INT(((46-'Assumption Setting'!$E$100)-1)/12)+MOD((46-'Assumption Setting'!$E$100)-1,12)))</f>
        <v>2.49944750767566</v>
      </c>
      <c r="AZ123" s="93" t="n">
        <f aca="true">AY123+AZ122-IF((47-'Assumption Setting'!$E$100)&lt;1,0,OFFSET($A$122,0,2+13*INT(((47-'Assumption Setting'!$E$100)-1)/12)+MOD((47-'Assumption Setting'!$E$100)-1,12)))</f>
        <v>2.56743550868153</v>
      </c>
      <c r="BA123" s="93" t="n">
        <f aca="true">AZ123+BA122-IF((48-'Assumption Setting'!$E$100)&lt;1,0,OFFSET($A$122,0,2+13*INT(((48-'Assumption Setting'!$E$100)-1)/12)+MOD((48-'Assumption Setting'!$E$100)-1,12)))</f>
        <v>2.63542350968741</v>
      </c>
      <c r="BB123" s="91" t="n">
        <f aca="false">BN123</f>
        <v>3.59400113737952</v>
      </c>
      <c r="BC123" s="93" t="n">
        <f aca="true">BA123+BC122-IF((49-'Assumption Setting'!$E$100)&lt;1,0,OFFSET($A$122,0,2+13*INT(((49-'Assumption Setting'!$E$100)-1)/12)+MOD((49-'Assumption Setting'!$E$100)-1,12)))</f>
        <v>2.71610971116594</v>
      </c>
      <c r="BD123" s="93" t="n">
        <f aca="true">BC123+BD122-IF((50-'Assumption Setting'!$E$100)&lt;1,0,OFFSET($A$122,0,2+13*INT(((50-'Assumption Setting'!$E$100)-1)/12)+MOD((50-'Assumption Setting'!$E$100)-1,12)))</f>
        <v>2.79679591264447</v>
      </c>
      <c r="BE123" s="93" t="n">
        <f aca="true">BD123+BE122-IF((51-'Assumption Setting'!$E$100)&lt;1,0,OFFSET($A$122,0,2+13*INT(((51-'Assumption Setting'!$E$100)-1)/12)+MOD((51-'Assumption Setting'!$E$100)-1,12)))</f>
        <v>2.87731567951035</v>
      </c>
      <c r="BF123" s="93" t="n">
        <f aca="true">BE123+BF122-IF((52-'Assumption Setting'!$E$100)&lt;1,0,OFFSET($A$122,0,2+13*INT(((52-'Assumption Setting'!$E$100)-1)/12)+MOD((52-'Assumption Setting'!$E$100)-1,12)))</f>
        <v>2.95783544637624</v>
      </c>
      <c r="BG123" s="93" t="n">
        <f aca="true">BF123+BG122-IF((53-'Assumption Setting'!$E$100)&lt;1,0,OFFSET($A$122,0,2+13*INT(((53-'Assumption Setting'!$E$100)-1)/12)+MOD((53-'Assumption Setting'!$E$100)-1,12)))</f>
        <v>3.03835521324213</v>
      </c>
      <c r="BH123" s="93" t="n">
        <f aca="true">BG123+BH122-IF((54-'Assumption Setting'!$E$100)&lt;1,0,OFFSET($A$122,0,2+13*INT(((54-'Assumption Setting'!$E$100)-1)/12)+MOD((54-'Assumption Setting'!$E$100)-1,12)))</f>
        <v>3.11887498010802</v>
      </c>
      <c r="BI123" s="93" t="n">
        <f aca="true">BH123+BI122-IF((55-'Assumption Setting'!$E$100)&lt;1,0,OFFSET($A$122,0,2+13*INT(((55-'Assumption Setting'!$E$100)-1)/12)+MOD((55-'Assumption Setting'!$E$100)-1,12)))</f>
        <v>3.1980626729866</v>
      </c>
      <c r="BJ123" s="93" t="n">
        <f aca="true">BI123+BJ122-IF((56-'Assumption Setting'!$E$100)&lt;1,0,OFFSET($A$122,0,2+13*INT(((56-'Assumption Setting'!$E$100)-1)/12)+MOD((56-'Assumption Setting'!$E$100)-1,12)))</f>
        <v>3.27725036586518</v>
      </c>
      <c r="BK123" s="93" t="n">
        <f aca="true">BJ123+BK122-IF((57-'Assumption Setting'!$E$100)&lt;1,0,OFFSET($A$122,0,2+13*INT(((57-'Assumption Setting'!$E$100)-1)/12)+MOD((57-'Assumption Setting'!$E$100)-1,12)))</f>
        <v>3.35643805874377</v>
      </c>
      <c r="BL123" s="93" t="n">
        <f aca="true">BK123+BL122-IF((58-'Assumption Setting'!$E$100)&lt;1,0,OFFSET($A$122,0,2+13*INT(((58-'Assumption Setting'!$E$100)-1)/12)+MOD((58-'Assumption Setting'!$E$100)-1,12)))</f>
        <v>3.43562575162235</v>
      </c>
      <c r="BM123" s="93" t="n">
        <f aca="true">BL123+BM122-IF((59-'Assumption Setting'!$E$100)&lt;1,0,OFFSET($A$122,0,2+13*INT(((59-'Assumption Setting'!$E$100)-1)/12)+MOD((59-'Assumption Setting'!$E$100)-1,12)))</f>
        <v>3.51481344450093</v>
      </c>
      <c r="BN123" s="93" t="n">
        <f aca="true">BM123+BN122-IF((60-'Assumption Setting'!$E$100)&lt;1,0,OFFSET($A$122,0,2+13*INT(((60-'Assumption Setting'!$E$100)-1)/12)+MOD((60-'Assumption Setting'!$E$100)-1,12)))</f>
        <v>3.59400113737952</v>
      </c>
    </row>
    <row r="124" customFormat="false" ht="15" hidden="false" customHeight="false" outlineLevel="0" collapsed="false">
      <c r="A124" s="12" t="s">
        <v>642</v>
      </c>
      <c r="B124" s="91" t="n">
        <f aca="false">SUM(C124:N124)</f>
        <v>0</v>
      </c>
      <c r="C124" s="92" t="n">
        <f aca="false">IF(1&lt;'Assumption Setting'!$F$101,0,IFERROR(C88*'Assumption Setting'!$C$101/C107,0))</f>
        <v>0</v>
      </c>
      <c r="D124" s="92" t="n">
        <f aca="false">IF(2&lt;'Assumption Setting'!$F$101,0,IFERROR(D88*'Assumption Setting'!$C$101/D107,0))</f>
        <v>0</v>
      </c>
      <c r="E124" s="92" t="n">
        <f aca="false">IF(3&lt;'Assumption Setting'!$F$101,0,IFERROR(E88*'Assumption Setting'!$C$101/E107,0))</f>
        <v>0</v>
      </c>
      <c r="F124" s="92" t="n">
        <f aca="false">IF(4&lt;'Assumption Setting'!$F$101,0,IFERROR(F88*'Assumption Setting'!$C$101/F107,0))</f>
        <v>0</v>
      </c>
      <c r="G124" s="92" t="n">
        <f aca="false">IF(5&lt;'Assumption Setting'!$F$101,0,IFERROR(G88*'Assumption Setting'!$C$101/G107,0))</f>
        <v>0</v>
      </c>
      <c r="H124" s="92" t="n">
        <f aca="false">IF(6&lt;'Assumption Setting'!$F$101,0,IFERROR(H88*'Assumption Setting'!$C$101/H107,0))</f>
        <v>0</v>
      </c>
      <c r="I124" s="92" t="n">
        <f aca="false">IF(7&lt;'Assumption Setting'!$F$101,0,IFERROR(I88*'Assumption Setting'!$C$101/I107,0))</f>
        <v>0</v>
      </c>
      <c r="J124" s="92" t="n">
        <f aca="false">IF(8&lt;'Assumption Setting'!$F$101,0,IFERROR(J88*'Assumption Setting'!$C$101/J107,0))</f>
        <v>0</v>
      </c>
      <c r="K124" s="92" t="n">
        <f aca="false">IF(9&lt;'Assumption Setting'!$F$101,0,IFERROR(K88*'Assumption Setting'!$C$101/K107,0))</f>
        <v>0</v>
      </c>
      <c r="L124" s="92" t="n">
        <f aca="false">IF(10&lt;'Assumption Setting'!$F$101,0,IFERROR(L88*'Assumption Setting'!$C$101/L107,0))</f>
        <v>0</v>
      </c>
      <c r="M124" s="92" t="n">
        <f aca="false">IF(11&lt;'Assumption Setting'!$F$101,0,IFERROR(M88*'Assumption Setting'!$C$101/M107,0))</f>
        <v>0</v>
      </c>
      <c r="N124" s="92" t="n">
        <f aca="false">IF(12&lt;'Assumption Setting'!$F$101,0,IFERROR(N88*'Assumption Setting'!$C$101/N107,0))</f>
        <v>0</v>
      </c>
      <c r="O124" s="91" t="n">
        <f aca="false">SUM(P124:AA124)</f>
        <v>0.336001598323603</v>
      </c>
      <c r="P124" s="92" t="n">
        <f aca="false">IF(13&lt;'Assumption Setting'!$F$101,0,IFERROR(P88*'Assumption Setting'!$C$101/P107,0))</f>
        <v>0</v>
      </c>
      <c r="Q124" s="92" t="n">
        <f aca="false">IF(14&lt;'Assumption Setting'!$F$101,0,IFERROR(Q88*'Assumption Setting'!$C$101/Q107,0))</f>
        <v>0</v>
      </c>
      <c r="R124" s="92" t="n">
        <f aca="false">IF(15&lt;'Assumption Setting'!$F$101,0,IFERROR(R88*'Assumption Setting'!$C$101/R107,0))</f>
        <v>0.0308258347085874</v>
      </c>
      <c r="S124" s="92" t="n">
        <f aca="false">IF(16&lt;'Assumption Setting'!$F$101,0,IFERROR(S88*'Assumption Setting'!$C$101/S107,0))</f>
        <v>0.0339084181794462</v>
      </c>
      <c r="T124" s="92" t="n">
        <f aca="false">IF(17&lt;'Assumption Setting'!$F$101,0,IFERROR(T88*'Assumption Setting'!$C$101/T107,0))</f>
        <v>0.0339084181794462</v>
      </c>
      <c r="U124" s="92" t="n">
        <f aca="false">IF(18&lt;'Assumption Setting'!$F$101,0,IFERROR(U88*'Assumption Setting'!$C$101/U107,0))</f>
        <v>0.0339084181794462</v>
      </c>
      <c r="V124" s="92" t="n">
        <f aca="false">IF(19&lt;'Assumption Setting'!$F$101,0,IFERROR(V88*'Assumption Setting'!$C$101/V107,0))</f>
        <v>0.0339084181794462</v>
      </c>
      <c r="W124" s="92" t="n">
        <f aca="false">IF(20&lt;'Assumption Setting'!$F$101,0,IFERROR(W88*'Assumption Setting'!$C$101/W107,0))</f>
        <v>0.0339084181794462</v>
      </c>
      <c r="X124" s="92" t="n">
        <f aca="false">IF(21&lt;'Assumption Setting'!$F$101,0,IFERROR(X88*'Assumption Setting'!$C$101/X107,0))</f>
        <v>0.0339084181794462</v>
      </c>
      <c r="Y124" s="92" t="n">
        <f aca="false">IF(22&lt;'Assumption Setting'!$F$101,0,IFERROR(Y88*'Assumption Setting'!$C$101/Y107,0))</f>
        <v>0.0339084181794462</v>
      </c>
      <c r="Z124" s="92" t="n">
        <f aca="false">IF(23&lt;'Assumption Setting'!$F$101,0,IFERROR(Z88*'Assumption Setting'!$C$101/Z107,0))</f>
        <v>0.0339084181794462</v>
      </c>
      <c r="AA124" s="92" t="n">
        <f aca="false">IF(24&lt;'Assumption Setting'!$F$101,0,IFERROR(AA88*'Assumption Setting'!$C$101/AA107,0))</f>
        <v>0.0339084181794462</v>
      </c>
      <c r="AB124" s="91" t="n">
        <f aca="false">SUM(AC124:AN124)</f>
        <v>0.631254389291497</v>
      </c>
      <c r="AC124" s="92" t="n">
        <f aca="false">IF(25&lt;'Assumption Setting'!$F$101,0,IFERROR(AC88*'Assumption Setting'!$C$101/AC107,0))</f>
        <v>0.0339084181794462</v>
      </c>
      <c r="AD124" s="92" t="n">
        <f aca="false">IF(26&lt;'Assumption Setting'!$F$101,0,IFERROR(AD88*'Assumption Setting'!$C$101/AD107,0))</f>
        <v>0.0339084181794462</v>
      </c>
      <c r="AE124" s="92" t="n">
        <f aca="false">IF(27&lt;'Assumption Setting'!$F$101,0,IFERROR(AE88*'Assumption Setting'!$C$101/AE107,0))</f>
        <v>0.0520824628761231</v>
      </c>
      <c r="AF124" s="92" t="n">
        <f aca="false">IF(28&lt;'Assumption Setting'!$F$101,0,IFERROR(AF88*'Assumption Setting'!$C$101/AF107,0))</f>
        <v>0.0568172322284979</v>
      </c>
      <c r="AG124" s="92" t="n">
        <f aca="false">IF(29&lt;'Assumption Setting'!$F$101,0,IFERROR(AG88*'Assumption Setting'!$C$101/AG107,0))</f>
        <v>0.0568172322284979</v>
      </c>
      <c r="AH124" s="92" t="n">
        <f aca="false">IF(30&lt;'Assumption Setting'!$F$101,0,IFERROR(AH88*'Assumption Setting'!$C$101/AH107,0))</f>
        <v>0.0568172322284979</v>
      </c>
      <c r="AI124" s="92" t="n">
        <f aca="false">IF(31&lt;'Assumption Setting'!$F$101,0,IFERROR(AI88*'Assumption Setting'!$C$101/AI107,0))</f>
        <v>0.0568172322284979</v>
      </c>
      <c r="AJ124" s="92" t="n">
        <f aca="false">IF(32&lt;'Assumption Setting'!$F$101,0,IFERROR(AJ88*'Assumption Setting'!$C$101/AJ107,0))</f>
        <v>0.0568172322284979</v>
      </c>
      <c r="AK124" s="92" t="n">
        <f aca="false">IF(33&lt;'Assumption Setting'!$F$101,0,IFERROR(AK88*'Assumption Setting'!$C$101/AK107,0))</f>
        <v>0.0568172322284979</v>
      </c>
      <c r="AL124" s="92" t="n">
        <f aca="false">IF(34&lt;'Assumption Setting'!$F$101,0,IFERROR(AL88*'Assumption Setting'!$C$101/AL107,0))</f>
        <v>0.0568172322284979</v>
      </c>
      <c r="AM124" s="92" t="n">
        <f aca="false">IF(35&lt;'Assumption Setting'!$F$101,0,IFERROR(AM88*'Assumption Setting'!$C$101/AM107,0))</f>
        <v>0.0568172322284979</v>
      </c>
      <c r="AN124" s="92" t="n">
        <f aca="false">IF(36&lt;'Assumption Setting'!$F$101,0,IFERROR(AN88*'Assumption Setting'!$C$101/AN107,0))</f>
        <v>0.0568172322284979</v>
      </c>
      <c r="AO124" s="91" t="n">
        <f aca="false">SUM(AP124:BA124)</f>
        <v>0.997737459257807</v>
      </c>
      <c r="AP124" s="92" t="n">
        <f aca="false">IF(37&lt;'Assumption Setting'!$F$101,0,IFERROR(AP88*'Assumption Setting'!$C$101/AP107,0))</f>
        <v>0.0568172322284979</v>
      </c>
      <c r="AQ124" s="92" t="n">
        <f aca="false">IF(38&lt;'Assumption Setting'!$F$101,0,IFERROR(AQ88*'Assumption Setting'!$C$101/AQ107,0))</f>
        <v>0.0568172322284979</v>
      </c>
      <c r="AR124" s="92" t="n">
        <f aca="false">IF(39&lt;'Assumption Setting'!$F$101,0,IFERROR(AR88*'Assumption Setting'!$C$101/AR107,0))</f>
        <v>0.0852147464868252</v>
      </c>
      <c r="AS124" s="92" t="n">
        <f aca="false">IF(40&lt;'Assumption Setting'!$F$101,0,IFERROR(AS88*'Assumption Setting'!$C$101/AS107,0))</f>
        <v>0.0887653609237762</v>
      </c>
      <c r="AT124" s="92" t="n">
        <f aca="false">IF(41&lt;'Assumption Setting'!$F$101,0,IFERROR(AT88*'Assumption Setting'!$C$101/AT107,0))</f>
        <v>0.0887653609237762</v>
      </c>
      <c r="AU124" s="92" t="n">
        <f aca="false">IF(42&lt;'Assumption Setting'!$F$101,0,IFERROR(AU88*'Assumption Setting'!$C$101/AU107,0))</f>
        <v>0.0887653609237762</v>
      </c>
      <c r="AV124" s="92" t="n">
        <f aca="false">IF(43&lt;'Assumption Setting'!$F$101,0,IFERROR(AV88*'Assumption Setting'!$C$101/AV107,0))</f>
        <v>0.0887653609237762</v>
      </c>
      <c r="AW124" s="92" t="n">
        <f aca="false">IF(44&lt;'Assumption Setting'!$F$101,0,IFERROR(AW88*'Assumption Setting'!$C$101/AW107,0))</f>
        <v>0.0887653609237762</v>
      </c>
      <c r="AX124" s="92" t="n">
        <f aca="false">IF(45&lt;'Assumption Setting'!$F$101,0,IFERROR(AX88*'Assumption Setting'!$C$101/AX107,0))</f>
        <v>0.0887653609237762</v>
      </c>
      <c r="AY124" s="92" t="n">
        <f aca="false">IF(46&lt;'Assumption Setting'!$F$101,0,IFERROR(AY88*'Assumption Setting'!$C$101/AY107,0))</f>
        <v>0.0887653609237762</v>
      </c>
      <c r="AZ124" s="92" t="n">
        <f aca="false">IF(47&lt;'Assumption Setting'!$F$101,0,IFERROR(AZ88*'Assumption Setting'!$C$101/AZ107,0))</f>
        <v>0.0887653609237762</v>
      </c>
      <c r="BA124" s="92" t="n">
        <f aca="false">IF(48&lt;'Assumption Setting'!$F$101,0,IFERROR(BA88*'Assumption Setting'!$C$101/BA107,0))</f>
        <v>0.0887653609237762</v>
      </c>
      <c r="BB124" s="91" t="n">
        <f aca="false">SUM(BC124:BN124)</f>
        <v>1.37015898046103</v>
      </c>
      <c r="BC124" s="92" t="n">
        <f aca="false">IF(49&lt;'Assumption Setting'!$F$101,0,IFERROR(BC88*'Assumption Setting'!$C$101/BC107,0))</f>
        <v>0.0887653609237762</v>
      </c>
      <c r="BD124" s="92" t="n">
        <f aca="false">IF(50&lt;'Assumption Setting'!$F$101,0,IFERROR(BD88*'Assumption Setting'!$C$101/BD107,0))</f>
        <v>0.0887653609237762</v>
      </c>
      <c r="BE124" s="92" t="n">
        <f aca="false">IF(51&lt;'Assumption Setting'!$F$101,0,IFERROR(BE88*'Assumption Setting'!$C$101/BE107,0))</f>
        <v>0.115118557781224</v>
      </c>
      <c r="BF124" s="92" t="n">
        <f aca="false">IF(52&lt;'Assumption Setting'!$F$101,0,IFERROR(BF88*'Assumption Setting'!$C$101/BF107,0))</f>
        <v>0.119723300092473</v>
      </c>
      <c r="BG124" s="92" t="n">
        <f aca="false">IF(53&lt;'Assumption Setting'!$F$101,0,IFERROR(BG88*'Assumption Setting'!$C$101/BG107,0))</f>
        <v>0.119723300092473</v>
      </c>
      <c r="BH124" s="92" t="n">
        <f aca="false">IF(54&lt;'Assumption Setting'!$F$101,0,IFERROR(BH88*'Assumption Setting'!$C$101/BH107,0))</f>
        <v>0.119723300092473</v>
      </c>
      <c r="BI124" s="92" t="n">
        <f aca="false">IF(55&lt;'Assumption Setting'!$F$101,0,IFERROR(BI88*'Assumption Setting'!$C$101/BI107,0))</f>
        <v>0.119723300092473</v>
      </c>
      <c r="BJ124" s="92" t="n">
        <f aca="false">IF(56&lt;'Assumption Setting'!$F$101,0,IFERROR(BJ88*'Assumption Setting'!$C$101/BJ107,0))</f>
        <v>0.119723300092473</v>
      </c>
      <c r="BK124" s="92" t="n">
        <f aca="false">IF(57&lt;'Assumption Setting'!$F$101,0,IFERROR(BK88*'Assumption Setting'!$C$101/BK107,0))</f>
        <v>0.119723300092473</v>
      </c>
      <c r="BL124" s="92" t="n">
        <f aca="false">IF(58&lt;'Assumption Setting'!$F$101,0,IFERROR(BL88*'Assumption Setting'!$C$101/BL107,0))</f>
        <v>0.119723300092473</v>
      </c>
      <c r="BM124" s="92" t="n">
        <f aca="false">IF(59&lt;'Assumption Setting'!$F$101,0,IFERROR(BM88*'Assumption Setting'!$C$101/BM107,0))</f>
        <v>0.119723300092473</v>
      </c>
      <c r="BN124" s="92" t="n">
        <f aca="false">IF(60&lt;'Assumption Setting'!$F$101,0,IFERROR(BN88*'Assumption Setting'!$C$101/BN107,0))</f>
        <v>0.119723300092473</v>
      </c>
    </row>
    <row r="125" customFormat="false" ht="15" hidden="false" customHeight="false" outlineLevel="0" collapsed="false">
      <c r="A125" s="69" t="s">
        <v>643</v>
      </c>
      <c r="B125" s="91" t="n">
        <f aca="false">N125</f>
        <v>0</v>
      </c>
      <c r="C125" s="93" t="n">
        <f aca="false">C124</f>
        <v>0</v>
      </c>
      <c r="D125" s="93" t="n">
        <f aca="true">C125+D124-IF((2-'Assumption Setting'!$E$101)&lt;1,0,OFFSET($A$124,0,2+13*INT(((2-'Assumption Setting'!$E$101)-1)/12)+MOD((2-'Assumption Setting'!$E$101)-1,12)))</f>
        <v>0</v>
      </c>
      <c r="E125" s="93" t="n">
        <f aca="true">D125+E124-IF((3-'Assumption Setting'!$E$101)&lt;1,0,OFFSET($A$124,0,2+13*INT(((3-'Assumption Setting'!$E$101)-1)/12)+MOD((3-'Assumption Setting'!$E$101)-1,12)))</f>
        <v>0</v>
      </c>
      <c r="F125" s="93" t="n">
        <f aca="true">E125+F124-IF((4-'Assumption Setting'!$E$101)&lt;1,0,OFFSET($A$124,0,2+13*INT(((4-'Assumption Setting'!$E$101)-1)/12)+MOD((4-'Assumption Setting'!$E$101)-1,12)))</f>
        <v>0</v>
      </c>
      <c r="G125" s="93" t="n">
        <f aca="true">F125+G124-IF((5-'Assumption Setting'!$E$101)&lt;1,0,OFFSET($A$124,0,2+13*INT(((5-'Assumption Setting'!$E$101)-1)/12)+MOD((5-'Assumption Setting'!$E$101)-1,12)))</f>
        <v>0</v>
      </c>
      <c r="H125" s="93" t="n">
        <f aca="true">G125+H124-IF((6-'Assumption Setting'!$E$101)&lt;1,0,OFFSET($A$124,0,2+13*INT(((6-'Assumption Setting'!$E$101)-1)/12)+MOD((6-'Assumption Setting'!$E$101)-1,12)))</f>
        <v>0</v>
      </c>
      <c r="I125" s="93" t="n">
        <f aca="true">H125+I124-IF((7-'Assumption Setting'!$E$101)&lt;1,0,OFFSET($A$124,0,2+13*INT(((7-'Assumption Setting'!$E$101)-1)/12)+MOD((7-'Assumption Setting'!$E$101)-1,12)))</f>
        <v>0</v>
      </c>
      <c r="J125" s="93" t="n">
        <f aca="true">I125+J124-IF((8-'Assumption Setting'!$E$101)&lt;1,0,OFFSET($A$124,0,2+13*INT(((8-'Assumption Setting'!$E$101)-1)/12)+MOD((8-'Assumption Setting'!$E$101)-1,12)))</f>
        <v>0</v>
      </c>
      <c r="K125" s="93" t="n">
        <f aca="true">J125+K124-IF((9-'Assumption Setting'!$E$101)&lt;1,0,OFFSET($A$124,0,2+13*INT(((9-'Assumption Setting'!$E$101)-1)/12)+MOD((9-'Assumption Setting'!$E$101)-1,12)))</f>
        <v>0</v>
      </c>
      <c r="L125" s="93" t="n">
        <f aca="true">K125+L124-IF((10-'Assumption Setting'!$E$101)&lt;1,0,OFFSET($A$124,0,2+13*INT(((10-'Assumption Setting'!$E$101)-1)/12)+MOD((10-'Assumption Setting'!$E$101)-1,12)))</f>
        <v>0</v>
      </c>
      <c r="M125" s="93" t="n">
        <f aca="true">L125+M124-IF((11-'Assumption Setting'!$E$101)&lt;1,0,OFFSET($A$124,0,2+13*INT(((11-'Assumption Setting'!$E$101)-1)/12)+MOD((11-'Assumption Setting'!$E$101)-1,12)))</f>
        <v>0</v>
      </c>
      <c r="N125" s="93" t="n">
        <f aca="true">M125+N124-IF((12-'Assumption Setting'!$E$101)&lt;1,0,OFFSET($A$124,0,2+13*INT(((12-'Assumption Setting'!$E$101)-1)/12)+MOD((12-'Assumption Setting'!$E$101)-1,12)))</f>
        <v>0</v>
      </c>
      <c r="O125" s="91" t="n">
        <f aca="false">AA125</f>
        <v>0.336001598323603</v>
      </c>
      <c r="P125" s="93" t="n">
        <f aca="true">N125+P124-IF((13-'Assumption Setting'!$E$101)&lt;1,0,OFFSET($A$124,0,2+13*INT(((13-'Assumption Setting'!$E$101)-1)/12)+MOD((13-'Assumption Setting'!$E$101)-1,12)))</f>
        <v>0</v>
      </c>
      <c r="Q125" s="93" t="n">
        <f aca="true">P125+Q124-IF((14-'Assumption Setting'!$E$101)&lt;1,0,OFFSET($A$124,0,2+13*INT(((14-'Assumption Setting'!$E$101)-1)/12)+MOD((14-'Assumption Setting'!$E$101)-1,12)))</f>
        <v>0</v>
      </c>
      <c r="R125" s="93" t="n">
        <f aca="true">Q125+R124-IF((15-'Assumption Setting'!$E$101)&lt;1,0,OFFSET($A$124,0,2+13*INT(((15-'Assumption Setting'!$E$101)-1)/12)+MOD((15-'Assumption Setting'!$E$101)-1,12)))</f>
        <v>0.0308258347085874</v>
      </c>
      <c r="S125" s="93" t="n">
        <f aca="true">R125+S124-IF((16-'Assumption Setting'!$E$101)&lt;1,0,OFFSET($A$124,0,2+13*INT(((16-'Assumption Setting'!$E$101)-1)/12)+MOD((16-'Assumption Setting'!$E$101)-1,12)))</f>
        <v>0.0647342528880336</v>
      </c>
      <c r="T125" s="93" t="n">
        <f aca="true">S125+T124-IF((17-'Assumption Setting'!$E$101)&lt;1,0,OFFSET($A$124,0,2+13*INT(((17-'Assumption Setting'!$E$101)-1)/12)+MOD((17-'Assumption Setting'!$E$101)-1,12)))</f>
        <v>0.0986426710674797</v>
      </c>
      <c r="U125" s="93" t="n">
        <f aca="true">T125+U124-IF((18-'Assumption Setting'!$E$101)&lt;1,0,OFFSET($A$124,0,2+13*INT(((18-'Assumption Setting'!$E$101)-1)/12)+MOD((18-'Assumption Setting'!$E$101)-1,12)))</f>
        <v>0.132551089246926</v>
      </c>
      <c r="V125" s="93" t="n">
        <f aca="true">U125+V124-IF((19-'Assumption Setting'!$E$101)&lt;1,0,OFFSET($A$124,0,2+13*INT(((19-'Assumption Setting'!$E$101)-1)/12)+MOD((19-'Assumption Setting'!$E$101)-1,12)))</f>
        <v>0.166459507426372</v>
      </c>
      <c r="W125" s="93" t="n">
        <f aca="true">V125+W124-IF((20-'Assumption Setting'!$E$101)&lt;1,0,OFFSET($A$124,0,2+13*INT(((20-'Assumption Setting'!$E$101)-1)/12)+MOD((20-'Assumption Setting'!$E$101)-1,12)))</f>
        <v>0.200367925605818</v>
      </c>
      <c r="X125" s="93" t="n">
        <f aca="true">W125+X124-IF((21-'Assumption Setting'!$E$101)&lt;1,0,OFFSET($A$124,0,2+13*INT(((21-'Assumption Setting'!$E$101)-1)/12)+MOD((21-'Assumption Setting'!$E$101)-1,12)))</f>
        <v>0.234276343785264</v>
      </c>
      <c r="Y125" s="93" t="n">
        <f aca="true">X125+Y124-IF((22-'Assumption Setting'!$E$101)&lt;1,0,OFFSET($A$124,0,2+13*INT(((22-'Assumption Setting'!$E$101)-1)/12)+MOD((22-'Assumption Setting'!$E$101)-1,12)))</f>
        <v>0.26818476196471</v>
      </c>
      <c r="Z125" s="93" t="n">
        <f aca="true">Y125+Z124-IF((23-'Assumption Setting'!$E$101)&lt;1,0,OFFSET($A$124,0,2+13*INT(((23-'Assumption Setting'!$E$101)-1)/12)+MOD((23-'Assumption Setting'!$E$101)-1,12)))</f>
        <v>0.302093180144157</v>
      </c>
      <c r="AA125" s="93" t="n">
        <f aca="true">Z125+AA124-IF((24-'Assumption Setting'!$E$101)&lt;1,0,OFFSET($A$124,0,2+13*INT(((24-'Assumption Setting'!$E$101)-1)/12)+MOD((24-'Assumption Setting'!$E$101)-1,12)))</f>
        <v>0.336001598323603</v>
      </c>
      <c r="AB125" s="91" t="n">
        <f aca="false">AN125</f>
        <v>0.967255987615099</v>
      </c>
      <c r="AC125" s="93" t="n">
        <f aca="true">AA125+AC124-IF((25-'Assumption Setting'!$E$101)&lt;1,0,OFFSET($A$124,0,2+13*INT(((25-'Assumption Setting'!$E$101)-1)/12)+MOD((25-'Assumption Setting'!$E$101)-1,12)))</f>
        <v>0.369910016503049</v>
      </c>
      <c r="AD125" s="93" t="n">
        <f aca="true">AC125+AD124-IF((26-'Assumption Setting'!$E$101)&lt;1,0,OFFSET($A$124,0,2+13*INT(((26-'Assumption Setting'!$E$101)-1)/12)+MOD((26-'Assumption Setting'!$E$101)-1,12)))</f>
        <v>0.403818434682495</v>
      </c>
      <c r="AE125" s="93" t="n">
        <f aca="true">AD125+AE124-IF((27-'Assumption Setting'!$E$101)&lt;1,0,OFFSET($A$124,0,2+13*INT(((27-'Assumption Setting'!$E$101)-1)/12)+MOD((27-'Assumption Setting'!$E$101)-1,12)))</f>
        <v>0.455900897558618</v>
      </c>
      <c r="AF125" s="93" t="n">
        <f aca="true">AE125+AF124-IF((28-'Assumption Setting'!$E$101)&lt;1,0,OFFSET($A$124,0,2+13*INT(((28-'Assumption Setting'!$E$101)-1)/12)+MOD((28-'Assumption Setting'!$E$101)-1,12)))</f>
        <v>0.512718129787116</v>
      </c>
      <c r="AG125" s="93" t="n">
        <f aca="true">AF125+AG124-IF((29-'Assumption Setting'!$E$101)&lt;1,0,OFFSET($A$124,0,2+13*INT(((29-'Assumption Setting'!$E$101)-1)/12)+MOD((29-'Assumption Setting'!$E$101)-1,12)))</f>
        <v>0.569535362015614</v>
      </c>
      <c r="AH125" s="93" t="n">
        <f aca="true">AG125+AH124-IF((30-'Assumption Setting'!$E$101)&lt;1,0,OFFSET($A$124,0,2+13*INT(((30-'Assumption Setting'!$E$101)-1)/12)+MOD((30-'Assumption Setting'!$E$101)-1,12)))</f>
        <v>0.626352594244112</v>
      </c>
      <c r="AI125" s="93" t="n">
        <f aca="true">AH125+AI124-IF((31-'Assumption Setting'!$E$101)&lt;1,0,OFFSET($A$124,0,2+13*INT(((31-'Assumption Setting'!$E$101)-1)/12)+MOD((31-'Assumption Setting'!$E$101)-1,12)))</f>
        <v>0.68316982647261</v>
      </c>
      <c r="AJ125" s="93" t="n">
        <f aca="true">AI125+AJ124-IF((32-'Assumption Setting'!$E$101)&lt;1,0,OFFSET($A$124,0,2+13*INT(((32-'Assumption Setting'!$E$101)-1)/12)+MOD((32-'Assumption Setting'!$E$101)-1,12)))</f>
        <v>0.739987058701108</v>
      </c>
      <c r="AK125" s="93" t="n">
        <f aca="true">AJ125+AK124-IF((33-'Assumption Setting'!$E$101)&lt;1,0,OFFSET($A$124,0,2+13*INT(((33-'Assumption Setting'!$E$101)-1)/12)+MOD((33-'Assumption Setting'!$E$101)-1,12)))</f>
        <v>0.796804290929606</v>
      </c>
      <c r="AL125" s="93" t="n">
        <f aca="true">AK125+AL124-IF((34-'Assumption Setting'!$E$101)&lt;1,0,OFFSET($A$124,0,2+13*INT(((34-'Assumption Setting'!$E$101)-1)/12)+MOD((34-'Assumption Setting'!$E$101)-1,12)))</f>
        <v>0.853621523158104</v>
      </c>
      <c r="AM125" s="93" t="n">
        <f aca="true">AL125+AM124-IF((35-'Assumption Setting'!$E$101)&lt;1,0,OFFSET($A$124,0,2+13*INT(((35-'Assumption Setting'!$E$101)-1)/12)+MOD((35-'Assumption Setting'!$E$101)-1,12)))</f>
        <v>0.910438755386601</v>
      </c>
      <c r="AN125" s="93" t="n">
        <f aca="true">AM125+AN124-IF((36-'Assumption Setting'!$E$101)&lt;1,0,OFFSET($A$124,0,2+13*INT(((36-'Assumption Setting'!$E$101)-1)/12)+MOD((36-'Assumption Setting'!$E$101)-1,12)))</f>
        <v>0.967255987615099</v>
      </c>
      <c r="AO125" s="91" t="n">
        <f aca="false">BA125</f>
        <v>1.6289918485493</v>
      </c>
      <c r="AP125" s="93" t="n">
        <f aca="true">AN125+AP124-IF((37-'Assumption Setting'!$E$101)&lt;1,0,OFFSET($A$124,0,2+13*INT(((37-'Assumption Setting'!$E$101)-1)/12)+MOD((37-'Assumption Setting'!$E$101)-1,12)))</f>
        <v>1.0240732198436</v>
      </c>
      <c r="AQ125" s="93" t="n">
        <f aca="true">AP125+AQ124-IF((38-'Assumption Setting'!$E$101)&lt;1,0,OFFSET($A$124,0,2+13*INT(((38-'Assumption Setting'!$E$101)-1)/12)+MOD((38-'Assumption Setting'!$E$101)-1,12)))</f>
        <v>1.0808904520721</v>
      </c>
      <c r="AR125" s="93" t="n">
        <f aca="true">AQ125+AR124-IF((39-'Assumption Setting'!$E$101)&lt;1,0,OFFSET($A$124,0,2+13*INT(((39-'Assumption Setting'!$E$101)-1)/12)+MOD((39-'Assumption Setting'!$E$101)-1,12)))</f>
        <v>1.13527936385033</v>
      </c>
      <c r="AS125" s="93" t="n">
        <f aca="true">AR125+AS124-IF((40-'Assumption Setting'!$E$101)&lt;1,0,OFFSET($A$124,0,2+13*INT(((40-'Assumption Setting'!$E$101)-1)/12)+MOD((40-'Assumption Setting'!$E$101)-1,12)))</f>
        <v>1.19013630659466</v>
      </c>
      <c r="AT125" s="93" t="n">
        <f aca="true">AS125+AT124-IF((41-'Assumption Setting'!$E$101)&lt;1,0,OFFSET($A$124,0,2+13*INT(((41-'Assumption Setting'!$E$101)-1)/12)+MOD((41-'Assumption Setting'!$E$101)-1,12)))</f>
        <v>1.24499324933899</v>
      </c>
      <c r="AU125" s="93" t="n">
        <f aca="true">AT125+AU124-IF((42-'Assumption Setting'!$E$101)&lt;1,0,OFFSET($A$124,0,2+13*INT(((42-'Assumption Setting'!$E$101)-1)/12)+MOD((42-'Assumption Setting'!$E$101)-1,12)))</f>
        <v>1.29985019208332</v>
      </c>
      <c r="AV125" s="93" t="n">
        <f aca="true">AU125+AV124-IF((43-'Assumption Setting'!$E$101)&lt;1,0,OFFSET($A$124,0,2+13*INT(((43-'Assumption Setting'!$E$101)-1)/12)+MOD((43-'Assumption Setting'!$E$101)-1,12)))</f>
        <v>1.35470713482765</v>
      </c>
      <c r="AW125" s="93" t="n">
        <f aca="true">AV125+AW124-IF((44-'Assumption Setting'!$E$101)&lt;1,0,OFFSET($A$124,0,2+13*INT(((44-'Assumption Setting'!$E$101)-1)/12)+MOD((44-'Assumption Setting'!$E$101)-1,12)))</f>
        <v>1.40956407757198</v>
      </c>
      <c r="AX125" s="93" t="n">
        <f aca="true">AW125+AX124-IF((45-'Assumption Setting'!$E$101)&lt;1,0,OFFSET($A$124,0,2+13*INT(((45-'Assumption Setting'!$E$101)-1)/12)+MOD((45-'Assumption Setting'!$E$101)-1,12)))</f>
        <v>1.46442102031631</v>
      </c>
      <c r="AY125" s="93" t="n">
        <f aca="true">AX125+AY124-IF((46-'Assumption Setting'!$E$101)&lt;1,0,OFFSET($A$124,0,2+13*INT(((46-'Assumption Setting'!$E$101)-1)/12)+MOD((46-'Assumption Setting'!$E$101)-1,12)))</f>
        <v>1.51927796306064</v>
      </c>
      <c r="AZ125" s="93" t="n">
        <f aca="true">AY125+AZ124-IF((47-'Assumption Setting'!$E$101)&lt;1,0,OFFSET($A$124,0,2+13*INT(((47-'Assumption Setting'!$E$101)-1)/12)+MOD((47-'Assumption Setting'!$E$101)-1,12)))</f>
        <v>1.57413490580497</v>
      </c>
      <c r="BA125" s="93" t="n">
        <f aca="true">AZ125+BA124-IF((48-'Assumption Setting'!$E$101)&lt;1,0,OFFSET($A$124,0,2+13*INT(((48-'Assumption Setting'!$E$101)-1)/12)+MOD((48-'Assumption Setting'!$E$101)-1,12)))</f>
        <v>1.6289918485493</v>
      </c>
      <c r="BB125" s="91" t="n">
        <f aca="false">BN125</f>
        <v>2.36789643971884</v>
      </c>
      <c r="BC125" s="93" t="n">
        <f aca="true">BA125+BC124-IF((49-'Assumption Setting'!$E$101)&lt;1,0,OFFSET($A$124,0,2+13*INT(((49-'Assumption Setting'!$E$101)-1)/12)+MOD((49-'Assumption Setting'!$E$101)-1,12)))</f>
        <v>1.68384879129363</v>
      </c>
      <c r="BD125" s="93" t="n">
        <f aca="true">BC125+BD124-IF((50-'Assumption Setting'!$E$101)&lt;1,0,OFFSET($A$124,0,2+13*INT(((50-'Assumption Setting'!$E$101)-1)/12)+MOD((50-'Assumption Setting'!$E$101)-1,12)))</f>
        <v>1.73870573403796</v>
      </c>
      <c r="BE125" s="93" t="n">
        <f aca="true">BD125+BE124-IF((51-'Assumption Setting'!$E$101)&lt;1,0,OFFSET($A$124,0,2+13*INT(((51-'Assumption Setting'!$E$101)-1)/12)+MOD((51-'Assumption Setting'!$E$101)-1,12)))</f>
        <v>1.80174182894306</v>
      </c>
      <c r="BF125" s="93" t="n">
        <f aca="true">BE125+BF124-IF((52-'Assumption Setting'!$E$101)&lt;1,0,OFFSET($A$124,0,2+13*INT(((52-'Assumption Setting'!$E$101)-1)/12)+MOD((52-'Assumption Setting'!$E$101)-1,12)))</f>
        <v>1.86464789680704</v>
      </c>
      <c r="BG125" s="93" t="n">
        <f aca="true">BF125+BG124-IF((53-'Assumption Setting'!$E$101)&lt;1,0,OFFSET($A$124,0,2+13*INT(((53-'Assumption Setting'!$E$101)-1)/12)+MOD((53-'Assumption Setting'!$E$101)-1,12)))</f>
        <v>1.92755396467101</v>
      </c>
      <c r="BH125" s="93" t="n">
        <f aca="true">BG125+BH124-IF((54-'Assumption Setting'!$E$101)&lt;1,0,OFFSET($A$124,0,2+13*INT(((54-'Assumption Setting'!$E$101)-1)/12)+MOD((54-'Assumption Setting'!$E$101)-1,12)))</f>
        <v>1.99046003253499</v>
      </c>
      <c r="BI125" s="93" t="n">
        <f aca="true">BH125+BI124-IF((55-'Assumption Setting'!$E$101)&lt;1,0,OFFSET($A$124,0,2+13*INT(((55-'Assumption Setting'!$E$101)-1)/12)+MOD((55-'Assumption Setting'!$E$101)-1,12)))</f>
        <v>2.05336610039896</v>
      </c>
      <c r="BJ125" s="93" t="n">
        <f aca="true">BI125+BJ124-IF((56-'Assumption Setting'!$E$101)&lt;1,0,OFFSET($A$124,0,2+13*INT(((56-'Assumption Setting'!$E$101)-1)/12)+MOD((56-'Assumption Setting'!$E$101)-1,12)))</f>
        <v>2.11627216826294</v>
      </c>
      <c r="BK125" s="93" t="n">
        <f aca="true">BJ125+BK124-IF((57-'Assumption Setting'!$E$101)&lt;1,0,OFFSET($A$124,0,2+13*INT(((57-'Assumption Setting'!$E$101)-1)/12)+MOD((57-'Assumption Setting'!$E$101)-1,12)))</f>
        <v>2.17917823612691</v>
      </c>
      <c r="BL125" s="93" t="n">
        <f aca="true">BK125+BL124-IF((58-'Assumption Setting'!$E$101)&lt;1,0,OFFSET($A$124,0,2+13*INT(((58-'Assumption Setting'!$E$101)-1)/12)+MOD((58-'Assumption Setting'!$E$101)-1,12)))</f>
        <v>2.24208430399089</v>
      </c>
      <c r="BM125" s="93" t="n">
        <f aca="true">BL125+BM124-IF((59-'Assumption Setting'!$E$101)&lt;1,0,OFFSET($A$124,0,2+13*INT(((59-'Assumption Setting'!$E$101)-1)/12)+MOD((59-'Assumption Setting'!$E$101)-1,12)))</f>
        <v>2.30499037185486</v>
      </c>
      <c r="BN125" s="93" t="n">
        <f aca="true">BM125+BN124-IF((60-'Assumption Setting'!$E$101)&lt;1,0,OFFSET($A$124,0,2+13*INT(((60-'Assumption Setting'!$E$101)-1)/12)+MOD((60-'Assumption Setting'!$E$101)-1,12)))</f>
        <v>2.36789643971884</v>
      </c>
    </row>
    <row r="126" customFormat="false" ht="15" hidden="false" customHeight="false" outlineLevel="0" collapsed="false">
      <c r="A126" s="12" t="s">
        <v>644</v>
      </c>
      <c r="B126" s="91" t="n">
        <f aca="false">SUM(C126:N126)</f>
        <v>0</v>
      </c>
      <c r="C126" s="92" t="n">
        <f aca="false">IF(1&lt;'Assumption Setting'!$F$102,0,IFERROR(C88*'Assumption Setting'!$C$102/C107,0))</f>
        <v>0</v>
      </c>
      <c r="D126" s="92" t="n">
        <f aca="false">IF(2&lt;'Assumption Setting'!$F$102,0,IFERROR(D88*'Assumption Setting'!$C$102/D107,0))</f>
        <v>0</v>
      </c>
      <c r="E126" s="92" t="n">
        <f aca="false">IF(3&lt;'Assumption Setting'!$F$102,0,IFERROR(E88*'Assumption Setting'!$C$102/E107,0))</f>
        <v>0</v>
      </c>
      <c r="F126" s="92" t="n">
        <f aca="false">IF(4&lt;'Assumption Setting'!$F$102,0,IFERROR(F88*'Assumption Setting'!$C$102/F107,0))</f>
        <v>0</v>
      </c>
      <c r="G126" s="92" t="n">
        <f aca="false">IF(5&lt;'Assumption Setting'!$F$102,0,IFERROR(G88*'Assumption Setting'!$C$102/G107,0))</f>
        <v>0</v>
      </c>
      <c r="H126" s="92" t="n">
        <f aca="false">IF(6&lt;'Assumption Setting'!$F$102,0,IFERROR(H88*'Assumption Setting'!$C$102/H107,0))</f>
        <v>0</v>
      </c>
      <c r="I126" s="92" t="n">
        <f aca="false">IF(7&lt;'Assumption Setting'!$F$102,0,IFERROR(I88*'Assumption Setting'!$C$102/I107,0))</f>
        <v>0</v>
      </c>
      <c r="J126" s="92" t="n">
        <f aca="false">IF(8&lt;'Assumption Setting'!$F$102,0,IFERROR(J88*'Assumption Setting'!$C$102/J107,0))</f>
        <v>0</v>
      </c>
      <c r="K126" s="92" t="n">
        <f aca="false">IF(9&lt;'Assumption Setting'!$F$102,0,IFERROR(K88*'Assumption Setting'!$C$102/K107,0))</f>
        <v>0</v>
      </c>
      <c r="L126" s="92" t="n">
        <f aca="false">IF(10&lt;'Assumption Setting'!$F$102,0,IFERROR(L88*'Assumption Setting'!$C$102/L107,0))</f>
        <v>0</v>
      </c>
      <c r="M126" s="92" t="n">
        <f aca="false">IF(11&lt;'Assumption Setting'!$F$102,0,IFERROR(M88*'Assumption Setting'!$C$102/M107,0))</f>
        <v>0</v>
      </c>
      <c r="N126" s="92" t="n">
        <f aca="false">IF(12&lt;'Assumption Setting'!$F$102,0,IFERROR(N88*'Assumption Setting'!$C$102/N107,0))</f>
        <v>0</v>
      </c>
      <c r="O126" s="91" t="n">
        <f aca="false">SUM(P126:AA126)</f>
        <v>0.14400068499583</v>
      </c>
      <c r="P126" s="92" t="n">
        <f aca="false">IF(13&lt;'Assumption Setting'!$F$102,0,IFERROR(P88*'Assumption Setting'!$C$102/P107,0))</f>
        <v>0</v>
      </c>
      <c r="Q126" s="92" t="n">
        <f aca="false">IF(14&lt;'Assumption Setting'!$F$102,0,IFERROR(Q88*'Assumption Setting'!$C$102/Q107,0))</f>
        <v>0</v>
      </c>
      <c r="R126" s="92" t="n">
        <f aca="false">IF(15&lt;'Assumption Setting'!$F$102,0,IFERROR(R88*'Assumption Setting'!$C$102/R107,0))</f>
        <v>0.013211072017966</v>
      </c>
      <c r="S126" s="92" t="n">
        <f aca="false">IF(16&lt;'Assumption Setting'!$F$102,0,IFERROR(S88*'Assumption Setting'!$C$102/S107,0))</f>
        <v>0.0145321792197626</v>
      </c>
      <c r="T126" s="92" t="n">
        <f aca="false">IF(17&lt;'Assumption Setting'!$F$102,0,IFERROR(T88*'Assumption Setting'!$C$102/T107,0))</f>
        <v>0.0145321792197626</v>
      </c>
      <c r="U126" s="92" t="n">
        <f aca="false">IF(18&lt;'Assumption Setting'!$F$102,0,IFERROR(U88*'Assumption Setting'!$C$102/U107,0))</f>
        <v>0.0145321792197626</v>
      </c>
      <c r="V126" s="92" t="n">
        <f aca="false">IF(19&lt;'Assumption Setting'!$F$102,0,IFERROR(V88*'Assumption Setting'!$C$102/V107,0))</f>
        <v>0.0145321792197626</v>
      </c>
      <c r="W126" s="92" t="n">
        <f aca="false">IF(20&lt;'Assumption Setting'!$F$102,0,IFERROR(W88*'Assumption Setting'!$C$102/W107,0))</f>
        <v>0.0145321792197626</v>
      </c>
      <c r="X126" s="92" t="n">
        <f aca="false">IF(21&lt;'Assumption Setting'!$F$102,0,IFERROR(X88*'Assumption Setting'!$C$102/X107,0))</f>
        <v>0.0145321792197626</v>
      </c>
      <c r="Y126" s="92" t="n">
        <f aca="false">IF(22&lt;'Assumption Setting'!$F$102,0,IFERROR(Y88*'Assumption Setting'!$C$102/Y107,0))</f>
        <v>0.0145321792197626</v>
      </c>
      <c r="Z126" s="92" t="n">
        <f aca="false">IF(23&lt;'Assumption Setting'!$F$102,0,IFERROR(Z88*'Assumption Setting'!$C$102/Z107,0))</f>
        <v>0.0145321792197626</v>
      </c>
      <c r="AA126" s="92" t="n">
        <f aca="false">IF(24&lt;'Assumption Setting'!$F$102,0,IFERROR(AA88*'Assumption Setting'!$C$102/AA107,0))</f>
        <v>0.0145321792197626</v>
      </c>
      <c r="AB126" s="91" t="n">
        <f aca="false">SUM(AC126:AN126)</f>
        <v>0.270537595410641</v>
      </c>
      <c r="AC126" s="92" t="n">
        <f aca="false">IF(25&lt;'Assumption Setting'!$F$102,0,IFERROR(AC88*'Assumption Setting'!$C$102/AC107,0))</f>
        <v>0.0145321792197626</v>
      </c>
      <c r="AD126" s="92" t="n">
        <f aca="false">IF(26&lt;'Assumption Setting'!$F$102,0,IFERROR(AD88*'Assumption Setting'!$C$102/AD107,0))</f>
        <v>0.0145321792197626</v>
      </c>
      <c r="AE126" s="92" t="n">
        <f aca="false">IF(27&lt;'Assumption Setting'!$F$102,0,IFERROR(AE88*'Assumption Setting'!$C$102/AE107,0))</f>
        <v>0.0223210555183385</v>
      </c>
      <c r="AF126" s="92" t="n">
        <f aca="false">IF(28&lt;'Assumption Setting'!$F$102,0,IFERROR(AF88*'Assumption Setting'!$C$102/AF107,0))</f>
        <v>0.024350242383642</v>
      </c>
      <c r="AG126" s="92" t="n">
        <f aca="false">IF(29&lt;'Assumption Setting'!$F$102,0,IFERROR(AG88*'Assumption Setting'!$C$102/AG107,0))</f>
        <v>0.024350242383642</v>
      </c>
      <c r="AH126" s="92" t="n">
        <f aca="false">IF(30&lt;'Assumption Setting'!$F$102,0,IFERROR(AH88*'Assumption Setting'!$C$102/AH107,0))</f>
        <v>0.024350242383642</v>
      </c>
      <c r="AI126" s="92" t="n">
        <f aca="false">IF(31&lt;'Assumption Setting'!$F$102,0,IFERROR(AI88*'Assumption Setting'!$C$102/AI107,0))</f>
        <v>0.024350242383642</v>
      </c>
      <c r="AJ126" s="92" t="n">
        <f aca="false">IF(32&lt;'Assumption Setting'!$F$102,0,IFERROR(AJ88*'Assumption Setting'!$C$102/AJ107,0))</f>
        <v>0.024350242383642</v>
      </c>
      <c r="AK126" s="92" t="n">
        <f aca="false">IF(33&lt;'Assumption Setting'!$F$102,0,IFERROR(AK88*'Assumption Setting'!$C$102/AK107,0))</f>
        <v>0.024350242383642</v>
      </c>
      <c r="AL126" s="92" t="n">
        <f aca="false">IF(34&lt;'Assumption Setting'!$F$102,0,IFERROR(AL88*'Assumption Setting'!$C$102/AL107,0))</f>
        <v>0.024350242383642</v>
      </c>
      <c r="AM126" s="92" t="n">
        <f aca="false">IF(35&lt;'Assumption Setting'!$F$102,0,IFERROR(AM88*'Assumption Setting'!$C$102/AM107,0))</f>
        <v>0.024350242383642</v>
      </c>
      <c r="AN126" s="92" t="n">
        <f aca="false">IF(36&lt;'Assumption Setting'!$F$102,0,IFERROR(AN88*'Assumption Setting'!$C$102/AN107,0))</f>
        <v>0.024350242383642</v>
      </c>
      <c r="AO126" s="91" t="n">
        <f aca="false">SUM(AP126:BA126)</f>
        <v>0.427601768253346</v>
      </c>
      <c r="AP126" s="92" t="n">
        <f aca="false">IF(37&lt;'Assumption Setting'!$F$102,0,IFERROR(AP88*'Assumption Setting'!$C$102/AP107,0))</f>
        <v>0.024350242383642</v>
      </c>
      <c r="AQ126" s="92" t="n">
        <f aca="false">IF(38&lt;'Assumption Setting'!$F$102,0,IFERROR(AQ88*'Assumption Setting'!$C$102/AQ107,0))</f>
        <v>0.024350242383642</v>
      </c>
      <c r="AR126" s="92" t="n">
        <f aca="false">IF(39&lt;'Assumption Setting'!$F$102,0,IFERROR(AR88*'Assumption Setting'!$C$102/AR107,0))</f>
        <v>0.0365206056372108</v>
      </c>
      <c r="AS126" s="92" t="n">
        <f aca="false">IF(40&lt;'Assumption Setting'!$F$102,0,IFERROR(AS88*'Assumption Setting'!$C$102/AS107,0))</f>
        <v>0.0380422975387612</v>
      </c>
      <c r="AT126" s="92" t="n">
        <f aca="false">IF(41&lt;'Assumption Setting'!$F$102,0,IFERROR(AT88*'Assumption Setting'!$C$102/AT107,0))</f>
        <v>0.0380422975387612</v>
      </c>
      <c r="AU126" s="92" t="n">
        <f aca="false">IF(42&lt;'Assumption Setting'!$F$102,0,IFERROR(AU88*'Assumption Setting'!$C$102/AU107,0))</f>
        <v>0.0380422975387612</v>
      </c>
      <c r="AV126" s="92" t="n">
        <f aca="false">IF(43&lt;'Assumption Setting'!$F$102,0,IFERROR(AV88*'Assumption Setting'!$C$102/AV107,0))</f>
        <v>0.0380422975387612</v>
      </c>
      <c r="AW126" s="92" t="n">
        <f aca="false">IF(44&lt;'Assumption Setting'!$F$102,0,IFERROR(AW88*'Assumption Setting'!$C$102/AW107,0))</f>
        <v>0.0380422975387612</v>
      </c>
      <c r="AX126" s="92" t="n">
        <f aca="false">IF(45&lt;'Assumption Setting'!$F$102,0,IFERROR(AX88*'Assumption Setting'!$C$102/AX107,0))</f>
        <v>0.0380422975387612</v>
      </c>
      <c r="AY126" s="92" t="n">
        <f aca="false">IF(46&lt;'Assumption Setting'!$F$102,0,IFERROR(AY88*'Assumption Setting'!$C$102/AY107,0))</f>
        <v>0.0380422975387612</v>
      </c>
      <c r="AZ126" s="92" t="n">
        <f aca="false">IF(47&lt;'Assumption Setting'!$F$102,0,IFERROR(AZ88*'Assumption Setting'!$C$102/AZ107,0))</f>
        <v>0.0380422975387612</v>
      </c>
      <c r="BA126" s="92" t="n">
        <f aca="false">IF(48&lt;'Assumption Setting'!$F$102,0,IFERROR(BA88*'Assumption Setting'!$C$102/BA107,0))</f>
        <v>0.0380422975387612</v>
      </c>
      <c r="BB126" s="91" t="n">
        <f aca="false">SUM(BC126:BN126)</f>
        <v>0.587210991626156</v>
      </c>
      <c r="BC126" s="92" t="n">
        <f aca="false">IF(49&lt;'Assumption Setting'!$F$102,0,IFERROR(BC88*'Assumption Setting'!$C$102/BC107,0))</f>
        <v>0.0380422975387612</v>
      </c>
      <c r="BD126" s="92" t="n">
        <f aca="false">IF(50&lt;'Assumption Setting'!$F$102,0,IFERROR(BD88*'Assumption Setting'!$C$102/BD107,0))</f>
        <v>0.0380422975387612</v>
      </c>
      <c r="BE126" s="92" t="n">
        <f aca="false">IF(51&lt;'Assumption Setting'!$F$102,0,IFERROR(BE88*'Assumption Setting'!$C$102/BE107,0))</f>
        <v>0.0493365247633816</v>
      </c>
      <c r="BF126" s="92" t="n">
        <f aca="false">IF(52&lt;'Assumption Setting'!$F$102,0,IFERROR(BF88*'Assumption Setting'!$C$102/BF107,0))</f>
        <v>0.0513099857539169</v>
      </c>
      <c r="BG126" s="92" t="n">
        <f aca="false">IF(53&lt;'Assumption Setting'!$F$102,0,IFERROR(BG88*'Assumption Setting'!$C$102/BG107,0))</f>
        <v>0.0513099857539169</v>
      </c>
      <c r="BH126" s="92" t="n">
        <f aca="false">IF(54&lt;'Assumption Setting'!$F$102,0,IFERROR(BH88*'Assumption Setting'!$C$102/BH107,0))</f>
        <v>0.0513099857539169</v>
      </c>
      <c r="BI126" s="92" t="n">
        <f aca="false">IF(55&lt;'Assumption Setting'!$F$102,0,IFERROR(BI88*'Assumption Setting'!$C$102/BI107,0))</f>
        <v>0.0513099857539169</v>
      </c>
      <c r="BJ126" s="92" t="n">
        <f aca="false">IF(56&lt;'Assumption Setting'!$F$102,0,IFERROR(BJ88*'Assumption Setting'!$C$102/BJ107,0))</f>
        <v>0.0513099857539169</v>
      </c>
      <c r="BK126" s="92" t="n">
        <f aca="false">IF(57&lt;'Assumption Setting'!$F$102,0,IFERROR(BK88*'Assumption Setting'!$C$102/BK107,0))</f>
        <v>0.0513099857539169</v>
      </c>
      <c r="BL126" s="92" t="n">
        <f aca="false">IF(58&lt;'Assumption Setting'!$F$102,0,IFERROR(BL88*'Assumption Setting'!$C$102/BL107,0))</f>
        <v>0.0513099857539169</v>
      </c>
      <c r="BM126" s="92" t="n">
        <f aca="false">IF(59&lt;'Assumption Setting'!$F$102,0,IFERROR(BM88*'Assumption Setting'!$C$102/BM107,0))</f>
        <v>0.0513099857539169</v>
      </c>
      <c r="BN126" s="92" t="n">
        <f aca="false">IF(60&lt;'Assumption Setting'!$F$102,0,IFERROR(BN88*'Assumption Setting'!$C$102/BN107,0))</f>
        <v>0.0513099857539169</v>
      </c>
    </row>
    <row r="127" customFormat="false" ht="15" hidden="false" customHeight="false" outlineLevel="0" collapsed="false">
      <c r="A127" s="69" t="s">
        <v>645</v>
      </c>
      <c r="B127" s="91" t="n">
        <f aca="false">N127</f>
        <v>0</v>
      </c>
      <c r="C127" s="93" t="n">
        <f aca="false">C126</f>
        <v>0</v>
      </c>
      <c r="D127" s="93" t="n">
        <f aca="true">C127+D126-IF((2-'Assumption Setting'!$E$102)&lt;1,0,OFFSET($A$126,0,2+13*INT(((2-'Assumption Setting'!$E$102)-1)/12)+MOD((2-'Assumption Setting'!$E$102)-1,12)))</f>
        <v>0</v>
      </c>
      <c r="E127" s="93" t="n">
        <f aca="true">D127+E126-IF((3-'Assumption Setting'!$E$102)&lt;1,0,OFFSET($A$126,0,2+13*INT(((3-'Assumption Setting'!$E$102)-1)/12)+MOD((3-'Assumption Setting'!$E$102)-1,12)))</f>
        <v>0</v>
      </c>
      <c r="F127" s="93" t="n">
        <f aca="true">E127+F126-IF((4-'Assumption Setting'!$E$102)&lt;1,0,OFFSET($A$126,0,2+13*INT(((4-'Assumption Setting'!$E$102)-1)/12)+MOD((4-'Assumption Setting'!$E$102)-1,12)))</f>
        <v>0</v>
      </c>
      <c r="G127" s="93" t="n">
        <f aca="true">F127+G126-IF((5-'Assumption Setting'!$E$102)&lt;1,0,OFFSET($A$126,0,2+13*INT(((5-'Assumption Setting'!$E$102)-1)/12)+MOD((5-'Assumption Setting'!$E$102)-1,12)))</f>
        <v>0</v>
      </c>
      <c r="H127" s="93" t="n">
        <f aca="true">G127+H126-IF((6-'Assumption Setting'!$E$102)&lt;1,0,OFFSET($A$126,0,2+13*INT(((6-'Assumption Setting'!$E$102)-1)/12)+MOD((6-'Assumption Setting'!$E$102)-1,12)))</f>
        <v>0</v>
      </c>
      <c r="I127" s="93" t="n">
        <f aca="true">H127+I126-IF((7-'Assumption Setting'!$E$102)&lt;1,0,OFFSET($A$126,0,2+13*INT(((7-'Assumption Setting'!$E$102)-1)/12)+MOD((7-'Assumption Setting'!$E$102)-1,12)))</f>
        <v>0</v>
      </c>
      <c r="J127" s="93" t="n">
        <f aca="true">I127+J126-IF((8-'Assumption Setting'!$E$102)&lt;1,0,OFFSET($A$126,0,2+13*INT(((8-'Assumption Setting'!$E$102)-1)/12)+MOD((8-'Assumption Setting'!$E$102)-1,12)))</f>
        <v>0</v>
      </c>
      <c r="K127" s="93" t="n">
        <f aca="true">J127+K126-IF((9-'Assumption Setting'!$E$102)&lt;1,0,OFFSET($A$126,0,2+13*INT(((9-'Assumption Setting'!$E$102)-1)/12)+MOD((9-'Assumption Setting'!$E$102)-1,12)))</f>
        <v>0</v>
      </c>
      <c r="L127" s="93" t="n">
        <f aca="true">K127+L126-IF((10-'Assumption Setting'!$E$102)&lt;1,0,OFFSET($A$126,0,2+13*INT(((10-'Assumption Setting'!$E$102)-1)/12)+MOD((10-'Assumption Setting'!$E$102)-1,12)))</f>
        <v>0</v>
      </c>
      <c r="M127" s="93" t="n">
        <f aca="true">L127+M126-IF((11-'Assumption Setting'!$E$102)&lt;1,0,OFFSET($A$126,0,2+13*INT(((11-'Assumption Setting'!$E$102)-1)/12)+MOD((11-'Assumption Setting'!$E$102)-1,12)))</f>
        <v>0</v>
      </c>
      <c r="N127" s="93" t="n">
        <f aca="true">M127+N126-IF((12-'Assumption Setting'!$E$102)&lt;1,0,OFFSET($A$126,0,2+13*INT(((12-'Assumption Setting'!$E$102)-1)/12)+MOD((12-'Assumption Setting'!$E$102)-1,12)))</f>
        <v>0</v>
      </c>
      <c r="O127" s="91" t="n">
        <f aca="false">AA127</f>
        <v>0.14400068499583</v>
      </c>
      <c r="P127" s="93" t="n">
        <f aca="true">N127+P126-IF((13-'Assumption Setting'!$E$102)&lt;1,0,OFFSET($A$126,0,2+13*INT(((13-'Assumption Setting'!$E$102)-1)/12)+MOD((13-'Assumption Setting'!$E$102)-1,12)))</f>
        <v>0</v>
      </c>
      <c r="Q127" s="93" t="n">
        <f aca="true">P127+Q126-IF((14-'Assumption Setting'!$E$102)&lt;1,0,OFFSET($A$126,0,2+13*INT(((14-'Assumption Setting'!$E$102)-1)/12)+MOD((14-'Assumption Setting'!$E$102)-1,12)))</f>
        <v>0</v>
      </c>
      <c r="R127" s="93" t="n">
        <f aca="true">Q127+R126-IF((15-'Assumption Setting'!$E$102)&lt;1,0,OFFSET($A$126,0,2+13*INT(((15-'Assumption Setting'!$E$102)-1)/12)+MOD((15-'Assumption Setting'!$E$102)-1,12)))</f>
        <v>0.013211072017966</v>
      </c>
      <c r="S127" s="93" t="n">
        <f aca="true">R127+S126-IF((16-'Assumption Setting'!$E$102)&lt;1,0,OFFSET($A$126,0,2+13*INT(((16-'Assumption Setting'!$E$102)-1)/12)+MOD((16-'Assumption Setting'!$E$102)-1,12)))</f>
        <v>0.0277432512377287</v>
      </c>
      <c r="T127" s="93" t="n">
        <f aca="true">S127+T126-IF((17-'Assumption Setting'!$E$102)&lt;1,0,OFFSET($A$126,0,2+13*INT(((17-'Assumption Setting'!$E$102)-1)/12)+MOD((17-'Assumption Setting'!$E$102)-1,12)))</f>
        <v>0.0422754304574913</v>
      </c>
      <c r="U127" s="93" t="n">
        <f aca="true">T127+U126-IF((18-'Assumption Setting'!$E$102)&lt;1,0,OFFSET($A$126,0,2+13*INT(((18-'Assumption Setting'!$E$102)-1)/12)+MOD((18-'Assumption Setting'!$E$102)-1,12)))</f>
        <v>0.056807609677254</v>
      </c>
      <c r="V127" s="93" t="n">
        <f aca="true">U127+V126-IF((19-'Assumption Setting'!$E$102)&lt;1,0,OFFSET($A$126,0,2+13*INT(((19-'Assumption Setting'!$E$102)-1)/12)+MOD((19-'Assumption Setting'!$E$102)-1,12)))</f>
        <v>0.0713397888970166</v>
      </c>
      <c r="W127" s="93" t="n">
        <f aca="true">V127+W126-IF((20-'Assumption Setting'!$E$102)&lt;1,0,OFFSET($A$126,0,2+13*INT(((20-'Assumption Setting'!$E$102)-1)/12)+MOD((20-'Assumption Setting'!$E$102)-1,12)))</f>
        <v>0.0858719681167792</v>
      </c>
      <c r="X127" s="93" t="n">
        <f aca="true">W127+X126-IF((21-'Assumption Setting'!$E$102)&lt;1,0,OFFSET($A$126,0,2+13*INT(((21-'Assumption Setting'!$E$102)-1)/12)+MOD((21-'Assumption Setting'!$E$102)-1,12)))</f>
        <v>0.100404147336542</v>
      </c>
      <c r="Y127" s="93" t="n">
        <f aca="true">X127+Y126-IF((22-'Assumption Setting'!$E$102)&lt;1,0,OFFSET($A$126,0,2+13*INT(((22-'Assumption Setting'!$E$102)-1)/12)+MOD((22-'Assumption Setting'!$E$102)-1,12)))</f>
        <v>0.114936326556305</v>
      </c>
      <c r="Z127" s="93" t="n">
        <f aca="true">Y127+Z126-IF((23-'Assumption Setting'!$E$102)&lt;1,0,OFFSET($A$126,0,2+13*INT(((23-'Assumption Setting'!$E$102)-1)/12)+MOD((23-'Assumption Setting'!$E$102)-1,12)))</f>
        <v>0.129468505776067</v>
      </c>
      <c r="AA127" s="93" t="n">
        <f aca="true">Z127+AA126-IF((24-'Assumption Setting'!$E$102)&lt;1,0,OFFSET($A$126,0,2+13*INT(((24-'Assumption Setting'!$E$102)-1)/12)+MOD((24-'Assumption Setting'!$E$102)-1,12)))</f>
        <v>0.14400068499583</v>
      </c>
      <c r="AB127" s="91" t="n">
        <f aca="false">AN127</f>
        <v>0.357730670729217</v>
      </c>
      <c r="AC127" s="93" t="n">
        <f aca="true">AA127+AC126-IF((25-'Assumption Setting'!$E$102)&lt;1,0,OFFSET($A$126,0,2+13*INT(((25-'Assumption Setting'!$E$102)-1)/12)+MOD((25-'Assumption Setting'!$E$102)-1,12)))</f>
        <v>0.158532864215592</v>
      </c>
      <c r="AD127" s="93" t="n">
        <f aca="true">AC127+AD126-IF((26-'Assumption Setting'!$E$102)&lt;1,0,OFFSET($A$126,0,2+13*INT(((26-'Assumption Setting'!$E$102)-1)/12)+MOD((26-'Assumption Setting'!$E$102)-1,12)))</f>
        <v>0.173065043435355</v>
      </c>
      <c r="AE127" s="93" t="n">
        <f aca="true">AD127+AE126-IF((27-'Assumption Setting'!$E$102)&lt;1,0,OFFSET($A$126,0,2+13*INT(((27-'Assumption Setting'!$E$102)-1)/12)+MOD((27-'Assumption Setting'!$E$102)-1,12)))</f>
        <v>0.195386098953694</v>
      </c>
      <c r="AF127" s="93" t="n">
        <f aca="true">AE127+AF126-IF((28-'Assumption Setting'!$E$102)&lt;1,0,OFFSET($A$126,0,2+13*INT(((28-'Assumption Setting'!$E$102)-1)/12)+MOD((28-'Assumption Setting'!$E$102)-1,12)))</f>
        <v>0.219736341337335</v>
      </c>
      <c r="AG127" s="93" t="n">
        <f aca="true">AF127+AG126-IF((29-'Assumption Setting'!$E$102)&lt;1,0,OFFSET($A$126,0,2+13*INT(((29-'Assumption Setting'!$E$102)-1)/12)+MOD((29-'Assumption Setting'!$E$102)-1,12)))</f>
        <v>0.244086583720977</v>
      </c>
      <c r="AH127" s="93" t="n">
        <f aca="true">AG127+AH126-IF((30-'Assumption Setting'!$E$102)&lt;1,0,OFFSET($A$126,0,2+13*INT(((30-'Assumption Setting'!$E$102)-1)/12)+MOD((30-'Assumption Setting'!$E$102)-1,12)))</f>
        <v>0.268436826104619</v>
      </c>
      <c r="AI127" s="93" t="n">
        <f aca="true">AH127+AI126-IF((31-'Assumption Setting'!$E$102)&lt;1,0,OFFSET($A$126,0,2+13*INT(((31-'Assumption Setting'!$E$102)-1)/12)+MOD((31-'Assumption Setting'!$E$102)-1,12)))</f>
        <v>0.292787068488261</v>
      </c>
      <c r="AJ127" s="93" t="n">
        <f aca="true">AI127+AJ126-IF((32-'Assumption Setting'!$E$102)&lt;1,0,OFFSET($A$126,0,2+13*INT(((32-'Assumption Setting'!$E$102)-1)/12)+MOD((32-'Assumption Setting'!$E$102)-1,12)))</f>
        <v>0.317137310871903</v>
      </c>
      <c r="AK127" s="93" t="n">
        <f aca="true">AJ127+AK126-IF((33-'Assumption Setting'!$E$102)&lt;1,0,OFFSET($A$126,0,2+13*INT(((33-'Assumption Setting'!$E$102)-1)/12)+MOD((33-'Assumption Setting'!$E$102)-1,12)))</f>
        <v>0.328276481237579</v>
      </c>
      <c r="AL127" s="93" t="n">
        <f aca="true">AK127+AL126-IF((34-'Assumption Setting'!$E$102)&lt;1,0,OFFSET($A$126,0,2+13*INT(((34-'Assumption Setting'!$E$102)-1)/12)+MOD((34-'Assumption Setting'!$E$102)-1,12)))</f>
        <v>0.338094544401459</v>
      </c>
      <c r="AM127" s="93" t="n">
        <f aca="true">AL127+AM126-IF((35-'Assumption Setting'!$E$102)&lt;1,0,OFFSET($A$126,0,2+13*INT(((35-'Assumption Setting'!$E$102)-1)/12)+MOD((35-'Assumption Setting'!$E$102)-1,12)))</f>
        <v>0.347912607565338</v>
      </c>
      <c r="AN127" s="93" t="n">
        <f aca="true">AM127+AN126-IF((36-'Assumption Setting'!$E$102)&lt;1,0,OFFSET($A$126,0,2+13*INT(((36-'Assumption Setting'!$E$102)-1)/12)+MOD((36-'Assumption Setting'!$E$102)-1,12)))</f>
        <v>0.357730670729217</v>
      </c>
      <c r="AO127" s="91" t="n">
        <f aca="false">BA127</f>
        <v>0.573703222555198</v>
      </c>
      <c r="AP127" s="93" t="n">
        <f aca="true">AN127+AP126-IF((37-'Assumption Setting'!$E$102)&lt;1,0,OFFSET($A$126,0,2+13*INT(((37-'Assumption Setting'!$E$102)-1)/12)+MOD((37-'Assumption Setting'!$E$102)-1,12)))</f>
        <v>0.367548733893097</v>
      </c>
      <c r="AQ127" s="93" t="n">
        <f aca="true">AP127+AQ126-IF((38-'Assumption Setting'!$E$102)&lt;1,0,OFFSET($A$126,0,2+13*INT(((38-'Assumption Setting'!$E$102)-1)/12)+MOD((38-'Assumption Setting'!$E$102)-1,12)))</f>
        <v>0.377366797056976</v>
      </c>
      <c r="AR127" s="93" t="n">
        <f aca="true">AQ127+AR126-IF((39-'Assumption Setting'!$E$102)&lt;1,0,OFFSET($A$126,0,2+13*INT(((39-'Assumption Setting'!$E$102)-1)/12)+MOD((39-'Assumption Setting'!$E$102)-1,12)))</f>
        <v>0.399355223474424</v>
      </c>
      <c r="AS127" s="93" t="n">
        <f aca="true">AR127+AS126-IF((40-'Assumption Setting'!$E$102)&lt;1,0,OFFSET($A$126,0,2+13*INT(((40-'Assumption Setting'!$E$102)-1)/12)+MOD((40-'Assumption Setting'!$E$102)-1,12)))</f>
        <v>0.422865341793423</v>
      </c>
      <c r="AT127" s="93" t="n">
        <f aca="true">AS127+AT126-IF((41-'Assumption Setting'!$E$102)&lt;1,0,OFFSET($A$126,0,2+13*INT(((41-'Assumption Setting'!$E$102)-1)/12)+MOD((41-'Assumption Setting'!$E$102)-1,12)))</f>
        <v>0.446375460112421</v>
      </c>
      <c r="AU127" s="93" t="n">
        <f aca="true">AT127+AU126-IF((42-'Assumption Setting'!$E$102)&lt;1,0,OFFSET($A$126,0,2+13*INT(((42-'Assumption Setting'!$E$102)-1)/12)+MOD((42-'Assumption Setting'!$E$102)-1,12)))</f>
        <v>0.46988557843142</v>
      </c>
      <c r="AV127" s="93" t="n">
        <f aca="true">AU127+AV126-IF((43-'Assumption Setting'!$E$102)&lt;1,0,OFFSET($A$126,0,2+13*INT(((43-'Assumption Setting'!$E$102)-1)/12)+MOD((43-'Assumption Setting'!$E$102)-1,12)))</f>
        <v>0.493395696750419</v>
      </c>
      <c r="AW127" s="93" t="n">
        <f aca="true">AV127+AW126-IF((44-'Assumption Setting'!$E$102)&lt;1,0,OFFSET($A$126,0,2+13*INT(((44-'Assumption Setting'!$E$102)-1)/12)+MOD((44-'Assumption Setting'!$E$102)-1,12)))</f>
        <v>0.516905815069417</v>
      </c>
      <c r="AX127" s="93" t="n">
        <f aca="true">AW127+AX126-IF((45-'Assumption Setting'!$E$102)&lt;1,0,OFFSET($A$126,0,2+13*INT(((45-'Assumption Setting'!$E$102)-1)/12)+MOD((45-'Assumption Setting'!$E$102)-1,12)))</f>
        <v>0.53262705708984</v>
      </c>
      <c r="AY127" s="93" t="n">
        <f aca="true">AX127+AY126-IF((46-'Assumption Setting'!$E$102)&lt;1,0,OFFSET($A$126,0,2+13*INT(((46-'Assumption Setting'!$E$102)-1)/12)+MOD((46-'Assumption Setting'!$E$102)-1,12)))</f>
        <v>0.546319112244959</v>
      </c>
      <c r="AZ127" s="93" t="n">
        <f aca="true">AY127+AZ126-IF((47-'Assumption Setting'!$E$102)&lt;1,0,OFFSET($A$126,0,2+13*INT(((47-'Assumption Setting'!$E$102)-1)/12)+MOD((47-'Assumption Setting'!$E$102)-1,12)))</f>
        <v>0.560011167400079</v>
      </c>
      <c r="BA127" s="93" t="n">
        <f aca="true">AZ127+BA126-IF((48-'Assumption Setting'!$E$102)&lt;1,0,OFFSET($A$126,0,2+13*INT(((48-'Assumption Setting'!$E$102)-1)/12)+MOD((48-'Assumption Setting'!$E$102)-1,12)))</f>
        <v>0.573703222555198</v>
      </c>
      <c r="BB127" s="91" t="n">
        <f aca="false">BN127</f>
        <v>0.815464776858724</v>
      </c>
      <c r="BC127" s="93" t="n">
        <f aca="true">BA127+BC126-IF((49-'Assumption Setting'!$E$102)&lt;1,0,OFFSET($A$126,0,2+13*INT(((49-'Assumption Setting'!$E$102)-1)/12)+MOD((49-'Assumption Setting'!$E$102)-1,12)))</f>
        <v>0.587395277710317</v>
      </c>
      <c r="BD127" s="93" t="n">
        <f aca="true">BC127+BD126-IF((50-'Assumption Setting'!$E$102)&lt;1,0,OFFSET($A$126,0,2+13*INT(((50-'Assumption Setting'!$E$102)-1)/12)+MOD((50-'Assumption Setting'!$E$102)-1,12)))</f>
        <v>0.601087332865437</v>
      </c>
      <c r="BE127" s="93" t="n">
        <f aca="true">BD127+BE126-IF((51-'Assumption Setting'!$E$102)&lt;1,0,OFFSET($A$126,0,2+13*INT(((51-'Assumption Setting'!$E$102)-1)/12)+MOD((51-'Assumption Setting'!$E$102)-1,12)))</f>
        <v>0.626073615245176</v>
      </c>
      <c r="BF127" s="93" t="n">
        <f aca="true">BE127+BF126-IF((52-'Assumption Setting'!$E$102)&lt;1,0,OFFSET($A$126,0,2+13*INT(((52-'Assumption Setting'!$E$102)-1)/12)+MOD((52-'Assumption Setting'!$E$102)-1,12)))</f>
        <v>0.653033358615451</v>
      </c>
      <c r="BG127" s="93" t="n">
        <f aca="true">BF127+BG126-IF((53-'Assumption Setting'!$E$102)&lt;1,0,OFFSET($A$126,0,2+13*INT(((53-'Assumption Setting'!$E$102)-1)/12)+MOD((53-'Assumption Setting'!$E$102)-1,12)))</f>
        <v>0.679993101985726</v>
      </c>
      <c r="BH127" s="93" t="n">
        <f aca="true">BG127+BH126-IF((54-'Assumption Setting'!$E$102)&lt;1,0,OFFSET($A$126,0,2+13*INT(((54-'Assumption Setting'!$E$102)-1)/12)+MOD((54-'Assumption Setting'!$E$102)-1,12)))</f>
        <v>0.706952845356001</v>
      </c>
      <c r="BI127" s="93" t="n">
        <f aca="true">BH127+BI126-IF((55-'Assumption Setting'!$E$102)&lt;1,0,OFFSET($A$126,0,2+13*INT(((55-'Assumption Setting'!$E$102)-1)/12)+MOD((55-'Assumption Setting'!$E$102)-1,12)))</f>
        <v>0.733912588726276</v>
      </c>
      <c r="BJ127" s="93" t="n">
        <f aca="true">BI127+BJ126-IF((56-'Assumption Setting'!$E$102)&lt;1,0,OFFSET($A$126,0,2+13*INT(((56-'Assumption Setting'!$E$102)-1)/12)+MOD((56-'Assumption Setting'!$E$102)-1,12)))</f>
        <v>0.760872332096551</v>
      </c>
      <c r="BK127" s="93" t="n">
        <f aca="true">BJ127+BK126-IF((57-'Assumption Setting'!$E$102)&lt;1,0,OFFSET($A$126,0,2+13*INT(((57-'Assumption Setting'!$E$102)-1)/12)+MOD((57-'Assumption Setting'!$E$102)-1,12)))</f>
        <v>0.775661712213257</v>
      </c>
      <c r="BL127" s="93" t="n">
        <f aca="true">BK127+BL126-IF((58-'Assumption Setting'!$E$102)&lt;1,0,OFFSET($A$126,0,2+13*INT(((58-'Assumption Setting'!$E$102)-1)/12)+MOD((58-'Assumption Setting'!$E$102)-1,12)))</f>
        <v>0.788929400428413</v>
      </c>
      <c r="BM127" s="93" t="n">
        <f aca="true">BL127+BM126-IF((59-'Assumption Setting'!$E$102)&lt;1,0,OFFSET($A$126,0,2+13*INT(((59-'Assumption Setting'!$E$102)-1)/12)+MOD((59-'Assumption Setting'!$E$102)-1,12)))</f>
        <v>0.802197088643568</v>
      </c>
      <c r="BN127" s="93" t="n">
        <f aca="true">BM127+BN126-IF((60-'Assumption Setting'!$E$102)&lt;1,0,OFFSET($A$126,0,2+13*INT(((60-'Assumption Setting'!$E$102)-1)/12)+MOD((60-'Assumption Setting'!$E$102)-1,12)))</f>
        <v>0.815464776858724</v>
      </c>
    </row>
    <row r="128" customFormat="false" ht="15" hidden="false" customHeight="false" outlineLevel="0" collapsed="false">
      <c r="A128" s="12" t="s">
        <v>646</v>
      </c>
      <c r="B128" s="91" t="n">
        <f aca="false">SUM(C128:N128)</f>
        <v>0</v>
      </c>
      <c r="C128" s="92" t="n">
        <f aca="false">IF(1&lt;'Assumption Setting'!$F$103,0,IFERROR(C83*'Assumption Setting'!$C$103/C106,0))</f>
        <v>0</v>
      </c>
      <c r="D128" s="92" t="n">
        <f aca="false">IF(2&lt;'Assumption Setting'!$F$103,0,IFERROR(D83*'Assumption Setting'!$C$103/D106,0))</f>
        <v>0</v>
      </c>
      <c r="E128" s="92" t="n">
        <f aca="false">IF(3&lt;'Assumption Setting'!$F$103,0,IFERROR(E83*'Assumption Setting'!$C$103/E106,0))</f>
        <v>0</v>
      </c>
      <c r="F128" s="92" t="n">
        <f aca="false">IF(4&lt;'Assumption Setting'!$F$103,0,IFERROR(F83*'Assumption Setting'!$C$103/F106,0))</f>
        <v>0</v>
      </c>
      <c r="G128" s="92" t="n">
        <f aca="false">IF(5&lt;'Assumption Setting'!$F$103,0,IFERROR(G83*'Assumption Setting'!$C$103/G106,0))</f>
        <v>0</v>
      </c>
      <c r="H128" s="92" t="n">
        <f aca="false">IF(6&lt;'Assumption Setting'!$F$103,0,IFERROR(H83*'Assumption Setting'!$C$103/H106,0))</f>
        <v>0</v>
      </c>
      <c r="I128" s="92" t="n">
        <f aca="false">IF(7&lt;'Assumption Setting'!$F$103,0,IFERROR(I83*'Assumption Setting'!$C$103/I106,0))</f>
        <v>0</v>
      </c>
      <c r="J128" s="92" t="n">
        <f aca="false">IF(8&lt;'Assumption Setting'!$F$103,0,IFERROR(J83*'Assumption Setting'!$C$103/J106,0))</f>
        <v>0</v>
      </c>
      <c r="K128" s="92" t="n">
        <f aca="false">IF(9&lt;'Assumption Setting'!$F$103,0,IFERROR(K83*'Assumption Setting'!$C$103/K106,0))</f>
        <v>0</v>
      </c>
      <c r="L128" s="92" t="n">
        <f aca="false">IF(10&lt;'Assumption Setting'!$F$103,0,IFERROR(L83*'Assumption Setting'!$C$103/L106,0))</f>
        <v>0</v>
      </c>
      <c r="M128" s="92" t="n">
        <f aca="false">IF(11&lt;'Assumption Setting'!$F$103,0,IFERROR(M83*'Assumption Setting'!$C$103/M106,0))</f>
        <v>0</v>
      </c>
      <c r="N128" s="92" t="n">
        <f aca="false">IF(12&lt;'Assumption Setting'!$F$103,0,IFERROR(N83*'Assumption Setting'!$C$103/N106,0))</f>
        <v>0</v>
      </c>
      <c r="O128" s="91" t="n">
        <f aca="false">SUM(P128:AA128)</f>
        <v>0.949435709024493</v>
      </c>
      <c r="P128" s="92" t="n">
        <f aca="false">IF(13&lt;'Assumption Setting'!$F$103,0,IFERROR(P83*'Assumption Setting'!$C$103/P106,0))</f>
        <v>0</v>
      </c>
      <c r="Q128" s="92" t="n">
        <f aca="false">IF(14&lt;'Assumption Setting'!$F$103,0,IFERROR(Q83*'Assumption Setting'!$C$103/Q106,0))</f>
        <v>0</v>
      </c>
      <c r="R128" s="92" t="n">
        <f aca="false">IF(15&lt;'Assumption Setting'!$F$103,0,IFERROR(R83*'Assumption Setting'!$C$103/R106,0))</f>
        <v>0</v>
      </c>
      <c r="S128" s="92" t="n">
        <f aca="false">IF(16&lt;'Assumption Setting'!$F$103,0,IFERROR(S83*'Assumption Setting'!$C$103/S106,0))</f>
        <v>0.105492856558277</v>
      </c>
      <c r="T128" s="92" t="n">
        <f aca="false">IF(17&lt;'Assumption Setting'!$F$103,0,IFERROR(T83*'Assumption Setting'!$C$103/T106,0))</f>
        <v>0.105492856558277</v>
      </c>
      <c r="U128" s="92" t="n">
        <f aca="false">IF(18&lt;'Assumption Setting'!$F$103,0,IFERROR(U83*'Assumption Setting'!$C$103/U106,0))</f>
        <v>0.105492856558277</v>
      </c>
      <c r="V128" s="92" t="n">
        <f aca="false">IF(19&lt;'Assumption Setting'!$F$103,0,IFERROR(V83*'Assumption Setting'!$C$103/V106,0))</f>
        <v>0.105492856558277</v>
      </c>
      <c r="W128" s="92" t="n">
        <f aca="false">IF(20&lt;'Assumption Setting'!$F$103,0,IFERROR(W83*'Assumption Setting'!$C$103/W106,0))</f>
        <v>0.105492856558277</v>
      </c>
      <c r="X128" s="92" t="n">
        <f aca="false">IF(21&lt;'Assumption Setting'!$F$103,0,IFERROR(X83*'Assumption Setting'!$C$103/X106,0))</f>
        <v>0.105492856558277</v>
      </c>
      <c r="Y128" s="92" t="n">
        <f aca="false">IF(22&lt;'Assumption Setting'!$F$103,0,IFERROR(Y83*'Assumption Setting'!$C$103/Y106,0))</f>
        <v>0.105492856558277</v>
      </c>
      <c r="Z128" s="92" t="n">
        <f aca="false">IF(23&lt;'Assumption Setting'!$F$103,0,IFERROR(Z83*'Assumption Setting'!$C$103/Z106,0))</f>
        <v>0.105492856558277</v>
      </c>
      <c r="AA128" s="92" t="n">
        <f aca="false">IF(24&lt;'Assumption Setting'!$F$103,0,IFERROR(AA83*'Assumption Setting'!$C$103/AA106,0))</f>
        <v>0.105492856558277</v>
      </c>
      <c r="AB128" s="91" t="n">
        <f aca="false">SUM(AC128:AN128)</f>
        <v>1.90736107207277</v>
      </c>
      <c r="AC128" s="92" t="n">
        <f aca="false">IF(25&lt;'Assumption Setting'!$F$103,0,IFERROR(AC83*'Assumption Setting'!$C$103/AC106,0))</f>
        <v>0.105492856558277</v>
      </c>
      <c r="AD128" s="92" t="n">
        <f aca="false">IF(26&lt;'Assumption Setting'!$F$103,0,IFERROR(AD83*'Assumption Setting'!$C$103/AD106,0))</f>
        <v>0.105492856558277</v>
      </c>
      <c r="AE128" s="92" t="n">
        <f aca="false">IF(27&lt;'Assumption Setting'!$F$103,0,IFERROR(AE83*'Assumption Setting'!$C$103/AE106,0))</f>
        <v>0.105492856558277</v>
      </c>
      <c r="AF128" s="92" t="n">
        <f aca="false">IF(28&lt;'Assumption Setting'!$F$103,0,IFERROR(AF83*'Assumption Setting'!$C$103/AF106,0))</f>
        <v>0.17676472248866</v>
      </c>
      <c r="AG128" s="92" t="n">
        <f aca="false">IF(29&lt;'Assumption Setting'!$F$103,0,IFERROR(AG83*'Assumption Setting'!$C$103/AG106,0))</f>
        <v>0.17676472248866</v>
      </c>
      <c r="AH128" s="92" t="n">
        <f aca="false">IF(30&lt;'Assumption Setting'!$F$103,0,IFERROR(AH83*'Assumption Setting'!$C$103/AH106,0))</f>
        <v>0.17676472248866</v>
      </c>
      <c r="AI128" s="92" t="n">
        <f aca="false">IF(31&lt;'Assumption Setting'!$F$103,0,IFERROR(AI83*'Assumption Setting'!$C$103/AI106,0))</f>
        <v>0.17676472248866</v>
      </c>
      <c r="AJ128" s="92" t="n">
        <f aca="false">IF(32&lt;'Assumption Setting'!$F$103,0,IFERROR(AJ83*'Assumption Setting'!$C$103/AJ106,0))</f>
        <v>0.17676472248866</v>
      </c>
      <c r="AK128" s="92" t="n">
        <f aca="false">IF(33&lt;'Assumption Setting'!$F$103,0,IFERROR(AK83*'Assumption Setting'!$C$103/AK106,0))</f>
        <v>0.17676472248866</v>
      </c>
      <c r="AL128" s="92" t="n">
        <f aca="false">IF(34&lt;'Assumption Setting'!$F$103,0,IFERROR(AL83*'Assumption Setting'!$C$103/AL106,0))</f>
        <v>0.17676472248866</v>
      </c>
      <c r="AM128" s="92" t="n">
        <f aca="false">IF(35&lt;'Assumption Setting'!$F$103,0,IFERROR(AM83*'Assumption Setting'!$C$103/AM106,0))</f>
        <v>0.17676472248866</v>
      </c>
      <c r="AN128" s="92" t="n">
        <f aca="false">IF(36&lt;'Assumption Setting'!$F$103,0,IFERROR(AN83*'Assumption Setting'!$C$103/AN106,0))</f>
        <v>0.17676472248866</v>
      </c>
      <c r="AO128" s="91" t="n">
        <f aca="false">SUM(AP128:BA128)</f>
        <v>3.01572427333172</v>
      </c>
      <c r="AP128" s="92" t="n">
        <f aca="false">IF(37&lt;'Assumption Setting'!$F$103,0,IFERROR(AP83*'Assumption Setting'!$C$103/AP106,0))</f>
        <v>0.17676472248866</v>
      </c>
      <c r="AQ128" s="92" t="n">
        <f aca="false">IF(38&lt;'Assumption Setting'!$F$103,0,IFERROR(AQ83*'Assumption Setting'!$C$103/AQ106,0))</f>
        <v>0.17676472248866</v>
      </c>
      <c r="AR128" s="92" t="n">
        <f aca="false">IF(39&lt;'Assumption Setting'!$F$103,0,IFERROR(AR83*'Assumption Setting'!$C$103/AR106,0))</f>
        <v>0.17676472248866</v>
      </c>
      <c r="AS128" s="92" t="n">
        <f aca="false">IF(40&lt;'Assumption Setting'!$F$103,0,IFERROR(AS83*'Assumption Setting'!$C$103/AS106,0))</f>
        <v>0.276158900651748</v>
      </c>
      <c r="AT128" s="92" t="n">
        <f aca="false">IF(41&lt;'Assumption Setting'!$F$103,0,IFERROR(AT83*'Assumption Setting'!$C$103/AT106,0))</f>
        <v>0.276158900651748</v>
      </c>
      <c r="AU128" s="92" t="n">
        <f aca="false">IF(42&lt;'Assumption Setting'!$F$103,0,IFERROR(AU83*'Assumption Setting'!$C$103/AU106,0))</f>
        <v>0.276158900651748</v>
      </c>
      <c r="AV128" s="92" t="n">
        <f aca="false">IF(43&lt;'Assumption Setting'!$F$103,0,IFERROR(AV83*'Assumption Setting'!$C$103/AV106,0))</f>
        <v>0.276158900651748</v>
      </c>
      <c r="AW128" s="92" t="n">
        <f aca="false">IF(44&lt;'Assumption Setting'!$F$103,0,IFERROR(AW83*'Assumption Setting'!$C$103/AW106,0))</f>
        <v>0.276158900651748</v>
      </c>
      <c r="AX128" s="92" t="n">
        <f aca="false">IF(45&lt;'Assumption Setting'!$F$103,0,IFERROR(AX83*'Assumption Setting'!$C$103/AX106,0))</f>
        <v>0.276158900651748</v>
      </c>
      <c r="AY128" s="92" t="n">
        <f aca="false">IF(46&lt;'Assumption Setting'!$F$103,0,IFERROR(AY83*'Assumption Setting'!$C$103/AY106,0))</f>
        <v>0.276158900651748</v>
      </c>
      <c r="AZ128" s="92" t="n">
        <f aca="false">IF(47&lt;'Assumption Setting'!$F$103,0,IFERROR(AZ83*'Assumption Setting'!$C$103/AZ106,0))</f>
        <v>0.276158900651748</v>
      </c>
      <c r="BA128" s="92" t="n">
        <f aca="false">IF(48&lt;'Assumption Setting'!$F$103,0,IFERROR(BA83*'Assumption Setting'!$C$103/BA106,0))</f>
        <v>0.276158900651748</v>
      </c>
      <c r="BB128" s="91" t="n">
        <f aca="false">SUM(BC128:BN128)</f>
        <v>4.18072910454448</v>
      </c>
      <c r="BC128" s="92" t="n">
        <f aca="false">IF(49&lt;'Assumption Setting'!$F$103,0,IFERROR(BC83*'Assumption Setting'!$C$103/BC106,0))</f>
        <v>0.276158900651748</v>
      </c>
      <c r="BD128" s="92" t="n">
        <f aca="false">IF(50&lt;'Assumption Setting'!$F$103,0,IFERROR(BD83*'Assumption Setting'!$C$103/BD106,0))</f>
        <v>0.276158900651748</v>
      </c>
      <c r="BE128" s="92" t="n">
        <f aca="false">IF(51&lt;'Assumption Setting'!$F$103,0,IFERROR(BE83*'Assumption Setting'!$C$103/BE106,0))</f>
        <v>0.276158900651748</v>
      </c>
      <c r="BF128" s="92" t="n">
        <f aca="false">IF(52&lt;'Assumption Setting'!$F$103,0,IFERROR(BF83*'Assumption Setting'!$C$103/BF106,0))</f>
        <v>0.372472489176582</v>
      </c>
      <c r="BG128" s="92" t="n">
        <f aca="false">IF(53&lt;'Assumption Setting'!$F$103,0,IFERROR(BG83*'Assumption Setting'!$C$103/BG106,0))</f>
        <v>0.372472489176582</v>
      </c>
      <c r="BH128" s="92" t="n">
        <f aca="false">IF(54&lt;'Assumption Setting'!$F$103,0,IFERROR(BH83*'Assumption Setting'!$C$103/BH106,0))</f>
        <v>0.372472489176582</v>
      </c>
      <c r="BI128" s="92" t="n">
        <f aca="false">IF(55&lt;'Assumption Setting'!$F$103,0,IFERROR(BI83*'Assumption Setting'!$C$103/BI106,0))</f>
        <v>0.372472489176582</v>
      </c>
      <c r="BJ128" s="92" t="n">
        <f aca="false">IF(56&lt;'Assumption Setting'!$F$103,0,IFERROR(BJ83*'Assumption Setting'!$C$103/BJ106,0))</f>
        <v>0.372472489176582</v>
      </c>
      <c r="BK128" s="92" t="n">
        <f aca="false">IF(57&lt;'Assumption Setting'!$F$103,0,IFERROR(BK83*'Assumption Setting'!$C$103/BK106,0))</f>
        <v>0.372472489176582</v>
      </c>
      <c r="BL128" s="92" t="n">
        <f aca="false">IF(58&lt;'Assumption Setting'!$F$103,0,IFERROR(BL83*'Assumption Setting'!$C$103/BL106,0))</f>
        <v>0.372472489176582</v>
      </c>
      <c r="BM128" s="92" t="n">
        <f aca="false">IF(59&lt;'Assumption Setting'!$F$103,0,IFERROR(BM83*'Assumption Setting'!$C$103/BM106,0))</f>
        <v>0.372472489176582</v>
      </c>
      <c r="BN128" s="92" t="n">
        <f aca="false">IF(60&lt;'Assumption Setting'!$F$103,0,IFERROR(BN83*'Assumption Setting'!$C$103/BN106,0))</f>
        <v>0.372472489176582</v>
      </c>
    </row>
    <row r="129" customFormat="false" ht="15" hidden="false" customHeight="false" outlineLevel="0" collapsed="false">
      <c r="A129" s="69" t="s">
        <v>647</v>
      </c>
      <c r="B129" s="91" t="n">
        <f aca="false">N129</f>
        <v>0</v>
      </c>
      <c r="C129" s="93" t="n">
        <f aca="false">C128</f>
        <v>0</v>
      </c>
      <c r="D129" s="93" t="n">
        <f aca="true">C129+D128-IF((2-'Assumption Setting'!$E$103)&lt;1,0,OFFSET($A$128,0,2+13*INT(((2-'Assumption Setting'!$E$103)-1)/12)+MOD((2-'Assumption Setting'!$E$103)-1,12)))</f>
        <v>0</v>
      </c>
      <c r="E129" s="93" t="n">
        <f aca="true">D129+E128-IF((3-'Assumption Setting'!$E$103)&lt;1,0,OFFSET($A$128,0,2+13*INT(((3-'Assumption Setting'!$E$103)-1)/12)+MOD((3-'Assumption Setting'!$E$103)-1,12)))</f>
        <v>0</v>
      </c>
      <c r="F129" s="93" t="n">
        <f aca="true">E129+F128-IF((4-'Assumption Setting'!$E$103)&lt;1,0,OFFSET($A$128,0,2+13*INT(((4-'Assumption Setting'!$E$103)-1)/12)+MOD((4-'Assumption Setting'!$E$103)-1,12)))</f>
        <v>0</v>
      </c>
      <c r="G129" s="93" t="n">
        <f aca="true">F129+G128-IF((5-'Assumption Setting'!$E$103)&lt;1,0,OFFSET($A$128,0,2+13*INT(((5-'Assumption Setting'!$E$103)-1)/12)+MOD((5-'Assumption Setting'!$E$103)-1,12)))</f>
        <v>0</v>
      </c>
      <c r="H129" s="93" t="n">
        <f aca="true">G129+H128-IF((6-'Assumption Setting'!$E$103)&lt;1,0,OFFSET($A$128,0,2+13*INT(((6-'Assumption Setting'!$E$103)-1)/12)+MOD((6-'Assumption Setting'!$E$103)-1,12)))</f>
        <v>0</v>
      </c>
      <c r="I129" s="93" t="n">
        <f aca="true">H129+I128-IF((7-'Assumption Setting'!$E$103)&lt;1,0,OFFSET($A$128,0,2+13*INT(((7-'Assumption Setting'!$E$103)-1)/12)+MOD((7-'Assumption Setting'!$E$103)-1,12)))</f>
        <v>0</v>
      </c>
      <c r="J129" s="93" t="n">
        <f aca="true">I129+J128-IF((8-'Assumption Setting'!$E$103)&lt;1,0,OFFSET($A$128,0,2+13*INT(((8-'Assumption Setting'!$E$103)-1)/12)+MOD((8-'Assumption Setting'!$E$103)-1,12)))</f>
        <v>0</v>
      </c>
      <c r="K129" s="93" t="n">
        <f aca="true">J129+K128-IF((9-'Assumption Setting'!$E$103)&lt;1,0,OFFSET($A$128,0,2+13*INT(((9-'Assumption Setting'!$E$103)-1)/12)+MOD((9-'Assumption Setting'!$E$103)-1,12)))</f>
        <v>0</v>
      </c>
      <c r="L129" s="93" t="n">
        <f aca="true">K129+L128-IF((10-'Assumption Setting'!$E$103)&lt;1,0,OFFSET($A$128,0,2+13*INT(((10-'Assumption Setting'!$E$103)-1)/12)+MOD((10-'Assumption Setting'!$E$103)-1,12)))</f>
        <v>0</v>
      </c>
      <c r="M129" s="93" t="n">
        <f aca="true">L129+M128-IF((11-'Assumption Setting'!$E$103)&lt;1,0,OFFSET($A$128,0,2+13*INT(((11-'Assumption Setting'!$E$103)-1)/12)+MOD((11-'Assumption Setting'!$E$103)-1,12)))</f>
        <v>0</v>
      </c>
      <c r="N129" s="93" t="n">
        <f aca="true">M129+N128-IF((12-'Assumption Setting'!$E$103)&lt;1,0,OFFSET($A$128,0,2+13*INT(((12-'Assumption Setting'!$E$103)-1)/12)+MOD((12-'Assumption Setting'!$E$103)-1,12)))</f>
        <v>0</v>
      </c>
      <c r="O129" s="91" t="n">
        <f aca="false">AA129</f>
        <v>0.949435709024492</v>
      </c>
      <c r="P129" s="93" t="n">
        <f aca="true">N129+P128-IF((13-'Assumption Setting'!$E$103)&lt;1,0,OFFSET($A$128,0,2+13*INT(((13-'Assumption Setting'!$E$103)-1)/12)+MOD((13-'Assumption Setting'!$E$103)-1,12)))</f>
        <v>0</v>
      </c>
      <c r="Q129" s="93" t="n">
        <f aca="true">P129+Q128-IF((14-'Assumption Setting'!$E$103)&lt;1,0,OFFSET($A$128,0,2+13*INT(((14-'Assumption Setting'!$E$103)-1)/12)+MOD((14-'Assumption Setting'!$E$103)-1,12)))</f>
        <v>0</v>
      </c>
      <c r="R129" s="93" t="n">
        <f aca="true">Q129+R128-IF((15-'Assumption Setting'!$E$103)&lt;1,0,OFFSET($A$128,0,2+13*INT(((15-'Assumption Setting'!$E$103)-1)/12)+MOD((15-'Assumption Setting'!$E$103)-1,12)))</f>
        <v>0</v>
      </c>
      <c r="S129" s="93" t="n">
        <f aca="true">R129+S128-IF((16-'Assumption Setting'!$E$103)&lt;1,0,OFFSET($A$128,0,2+13*INT(((16-'Assumption Setting'!$E$103)-1)/12)+MOD((16-'Assumption Setting'!$E$103)-1,12)))</f>
        <v>0.105492856558277</v>
      </c>
      <c r="T129" s="93" t="n">
        <f aca="true">S129+T128-IF((17-'Assumption Setting'!$E$103)&lt;1,0,OFFSET($A$128,0,2+13*INT(((17-'Assumption Setting'!$E$103)-1)/12)+MOD((17-'Assumption Setting'!$E$103)-1,12)))</f>
        <v>0.210985713116554</v>
      </c>
      <c r="U129" s="93" t="n">
        <f aca="true">T129+U128-IF((18-'Assumption Setting'!$E$103)&lt;1,0,OFFSET($A$128,0,2+13*INT(((18-'Assumption Setting'!$E$103)-1)/12)+MOD((18-'Assumption Setting'!$E$103)-1,12)))</f>
        <v>0.316478569674831</v>
      </c>
      <c r="V129" s="93" t="n">
        <f aca="true">U129+V128-IF((19-'Assumption Setting'!$E$103)&lt;1,0,OFFSET($A$128,0,2+13*INT(((19-'Assumption Setting'!$E$103)-1)/12)+MOD((19-'Assumption Setting'!$E$103)-1,12)))</f>
        <v>0.421971426233108</v>
      </c>
      <c r="W129" s="93" t="n">
        <f aca="true">V129+W128-IF((20-'Assumption Setting'!$E$103)&lt;1,0,OFFSET($A$128,0,2+13*INT(((20-'Assumption Setting'!$E$103)-1)/12)+MOD((20-'Assumption Setting'!$E$103)-1,12)))</f>
        <v>0.527464282791385</v>
      </c>
      <c r="X129" s="93" t="n">
        <f aca="true">W129+X128-IF((21-'Assumption Setting'!$E$103)&lt;1,0,OFFSET($A$128,0,2+13*INT(((21-'Assumption Setting'!$E$103)-1)/12)+MOD((21-'Assumption Setting'!$E$103)-1,12)))</f>
        <v>0.632957139349662</v>
      </c>
      <c r="Y129" s="93" t="n">
        <f aca="true">X129+Y128-IF((22-'Assumption Setting'!$E$103)&lt;1,0,OFFSET($A$128,0,2+13*INT(((22-'Assumption Setting'!$E$103)-1)/12)+MOD((22-'Assumption Setting'!$E$103)-1,12)))</f>
        <v>0.738449995907939</v>
      </c>
      <c r="Z129" s="93" t="n">
        <f aca="true">Y129+Z128-IF((23-'Assumption Setting'!$E$103)&lt;1,0,OFFSET($A$128,0,2+13*INT(((23-'Assumption Setting'!$E$103)-1)/12)+MOD((23-'Assumption Setting'!$E$103)-1,12)))</f>
        <v>0.843942852466215</v>
      </c>
      <c r="AA129" s="93" t="n">
        <f aca="true">Z129+AA128-IF((24-'Assumption Setting'!$E$103)&lt;1,0,OFFSET($A$128,0,2+13*INT(((24-'Assumption Setting'!$E$103)-1)/12)+MOD((24-'Assumption Setting'!$E$103)-1,12)))</f>
        <v>0.949435709024492</v>
      </c>
      <c r="AB129" s="91" t="n">
        <f aca="false">AN129</f>
        <v>2.54031821142243</v>
      </c>
      <c r="AC129" s="93" t="n">
        <f aca="true">AA129+AC128-IF((25-'Assumption Setting'!$E$103)&lt;1,0,OFFSET($A$128,0,2+13*INT(((25-'Assumption Setting'!$E$103)-1)/12)+MOD((25-'Assumption Setting'!$E$103)-1,12)))</f>
        <v>1.05492856558277</v>
      </c>
      <c r="AD129" s="93" t="n">
        <f aca="true">AC129+AD128-IF((26-'Assumption Setting'!$E$103)&lt;1,0,OFFSET($A$128,0,2+13*INT(((26-'Assumption Setting'!$E$103)-1)/12)+MOD((26-'Assumption Setting'!$E$103)-1,12)))</f>
        <v>1.16042142214105</v>
      </c>
      <c r="AE129" s="93" t="n">
        <f aca="true">AD129+AE128-IF((27-'Assumption Setting'!$E$103)&lt;1,0,OFFSET($A$128,0,2+13*INT(((27-'Assumption Setting'!$E$103)-1)/12)+MOD((27-'Assumption Setting'!$E$103)-1,12)))</f>
        <v>1.26591427869932</v>
      </c>
      <c r="AF129" s="93" t="n">
        <f aca="true">AE129+AF128-IF((28-'Assumption Setting'!$E$103)&lt;1,0,OFFSET($A$128,0,2+13*INT(((28-'Assumption Setting'!$E$103)-1)/12)+MOD((28-'Assumption Setting'!$E$103)-1,12)))</f>
        <v>1.44267900118798</v>
      </c>
      <c r="AG129" s="93" t="n">
        <f aca="true">AF129+AG128-IF((29-'Assumption Setting'!$E$103)&lt;1,0,OFFSET($A$128,0,2+13*INT(((29-'Assumption Setting'!$E$103)-1)/12)+MOD((29-'Assumption Setting'!$E$103)-1,12)))</f>
        <v>1.61944372367664</v>
      </c>
      <c r="AH129" s="93" t="n">
        <f aca="true">AG129+AH128-IF((30-'Assumption Setting'!$E$103)&lt;1,0,OFFSET($A$128,0,2+13*INT(((30-'Assumption Setting'!$E$103)-1)/12)+MOD((30-'Assumption Setting'!$E$103)-1,12)))</f>
        <v>1.7962084461653</v>
      </c>
      <c r="AI129" s="93" t="n">
        <f aca="true">AH129+AI128-IF((31-'Assumption Setting'!$E$103)&lt;1,0,OFFSET($A$128,0,2+13*INT(((31-'Assumption Setting'!$E$103)-1)/12)+MOD((31-'Assumption Setting'!$E$103)-1,12)))</f>
        <v>1.97297316865396</v>
      </c>
      <c r="AJ129" s="93" t="n">
        <f aca="true">AI129+AJ128-IF((32-'Assumption Setting'!$E$103)&lt;1,0,OFFSET($A$128,0,2+13*INT(((32-'Assumption Setting'!$E$103)-1)/12)+MOD((32-'Assumption Setting'!$E$103)-1,12)))</f>
        <v>2.14973789114262</v>
      </c>
      <c r="AK129" s="93" t="n">
        <f aca="true">AJ129+AK128-IF((33-'Assumption Setting'!$E$103)&lt;1,0,OFFSET($A$128,0,2+13*INT(((33-'Assumption Setting'!$E$103)-1)/12)+MOD((33-'Assumption Setting'!$E$103)-1,12)))</f>
        <v>2.32650261363128</v>
      </c>
      <c r="AL129" s="93" t="n">
        <f aca="true">AK129+AL128-IF((34-'Assumption Setting'!$E$103)&lt;1,0,OFFSET($A$128,0,2+13*INT(((34-'Assumption Setting'!$E$103)-1)/12)+MOD((34-'Assumption Setting'!$E$103)-1,12)))</f>
        <v>2.39777447956167</v>
      </c>
      <c r="AM129" s="93" t="n">
        <f aca="true">AL129+AM128-IF((35-'Assumption Setting'!$E$103)&lt;1,0,OFFSET($A$128,0,2+13*INT(((35-'Assumption Setting'!$E$103)-1)/12)+MOD((35-'Assumption Setting'!$E$103)-1,12)))</f>
        <v>2.46904634549205</v>
      </c>
      <c r="AN129" s="93" t="n">
        <f aca="true">AM129+AN128-IF((36-'Assumption Setting'!$E$103)&lt;1,0,OFFSET($A$128,0,2+13*INT(((36-'Assumption Setting'!$E$103)-1)/12)+MOD((36-'Assumption Setting'!$E$103)-1,12)))</f>
        <v>2.54031821142243</v>
      </c>
      <c r="AO129" s="91" t="n">
        <f aca="false">BA129</f>
        <v>4.07631260826367</v>
      </c>
      <c r="AP129" s="93" t="n">
        <f aca="true">AN129+AP128-IF((37-'Assumption Setting'!$E$103)&lt;1,0,OFFSET($A$128,0,2+13*INT(((37-'Assumption Setting'!$E$103)-1)/12)+MOD((37-'Assumption Setting'!$E$103)-1,12)))</f>
        <v>2.61159007735282</v>
      </c>
      <c r="AQ129" s="93" t="n">
        <f aca="true">AP129+AQ128-IF((38-'Assumption Setting'!$E$103)&lt;1,0,OFFSET($A$128,0,2+13*INT(((38-'Assumption Setting'!$E$103)-1)/12)+MOD((38-'Assumption Setting'!$E$103)-1,12)))</f>
        <v>2.6828619432832</v>
      </c>
      <c r="AR129" s="93" t="n">
        <f aca="true">AQ129+AR128-IF((39-'Assumption Setting'!$E$103)&lt;1,0,OFFSET($A$128,0,2+13*INT(((39-'Assumption Setting'!$E$103)-1)/12)+MOD((39-'Assumption Setting'!$E$103)-1,12)))</f>
        <v>2.75413380921358</v>
      </c>
      <c r="AS129" s="93" t="n">
        <f aca="true">AR129+AS128-IF((40-'Assumption Setting'!$E$103)&lt;1,0,OFFSET($A$128,0,2+13*INT(((40-'Assumption Setting'!$E$103)-1)/12)+MOD((40-'Assumption Setting'!$E$103)-1,12)))</f>
        <v>2.92479985330705</v>
      </c>
      <c r="AT129" s="93" t="n">
        <f aca="true">AS129+AT128-IF((41-'Assumption Setting'!$E$103)&lt;1,0,OFFSET($A$128,0,2+13*INT(((41-'Assumption Setting'!$E$103)-1)/12)+MOD((41-'Assumption Setting'!$E$103)-1,12)))</f>
        <v>3.09546589740052</v>
      </c>
      <c r="AU129" s="93" t="n">
        <f aca="true">AT129+AU128-IF((42-'Assumption Setting'!$E$103)&lt;1,0,OFFSET($A$128,0,2+13*INT(((42-'Assumption Setting'!$E$103)-1)/12)+MOD((42-'Assumption Setting'!$E$103)-1,12)))</f>
        <v>3.26613194149399</v>
      </c>
      <c r="AV129" s="93" t="n">
        <f aca="true">AU129+AV128-IF((43-'Assumption Setting'!$E$103)&lt;1,0,OFFSET($A$128,0,2+13*INT(((43-'Assumption Setting'!$E$103)-1)/12)+MOD((43-'Assumption Setting'!$E$103)-1,12)))</f>
        <v>3.43679798558747</v>
      </c>
      <c r="AW129" s="93" t="n">
        <f aca="true">AV129+AW128-IF((44-'Assumption Setting'!$E$103)&lt;1,0,OFFSET($A$128,0,2+13*INT(((44-'Assumption Setting'!$E$103)-1)/12)+MOD((44-'Assumption Setting'!$E$103)-1,12)))</f>
        <v>3.60746402968094</v>
      </c>
      <c r="AX129" s="93" t="n">
        <f aca="true">AW129+AX128-IF((45-'Assumption Setting'!$E$103)&lt;1,0,OFFSET($A$128,0,2+13*INT(((45-'Assumption Setting'!$E$103)-1)/12)+MOD((45-'Assumption Setting'!$E$103)-1,12)))</f>
        <v>3.77813007377441</v>
      </c>
      <c r="AY129" s="93" t="n">
        <f aca="true">AX129+AY128-IF((46-'Assumption Setting'!$E$103)&lt;1,0,OFFSET($A$128,0,2+13*INT(((46-'Assumption Setting'!$E$103)-1)/12)+MOD((46-'Assumption Setting'!$E$103)-1,12)))</f>
        <v>3.8775242519375</v>
      </c>
      <c r="AZ129" s="93" t="n">
        <f aca="true">AY129+AZ128-IF((47-'Assumption Setting'!$E$103)&lt;1,0,OFFSET($A$128,0,2+13*INT(((47-'Assumption Setting'!$E$103)-1)/12)+MOD((47-'Assumption Setting'!$E$103)-1,12)))</f>
        <v>3.97691843010058</v>
      </c>
      <c r="BA129" s="93" t="n">
        <f aca="true">AZ129+BA128-IF((48-'Assumption Setting'!$E$103)&lt;1,0,OFFSET($A$128,0,2+13*INT(((48-'Assumption Setting'!$E$103)-1)/12)+MOD((48-'Assumption Setting'!$E$103)-1,12)))</f>
        <v>4.07631260826367</v>
      </c>
      <c r="BB129" s="91" t="n">
        <f aca="false">BN129</f>
        <v>5.83768250845497</v>
      </c>
      <c r="BC129" s="93" t="n">
        <f aca="true">BA129+BC128-IF((49-'Assumption Setting'!$E$103)&lt;1,0,OFFSET($A$128,0,2+13*INT(((49-'Assumption Setting'!$E$103)-1)/12)+MOD((49-'Assumption Setting'!$E$103)-1,12)))</f>
        <v>4.17570678642676</v>
      </c>
      <c r="BD129" s="93" t="n">
        <f aca="true">BC129+BD128-IF((50-'Assumption Setting'!$E$103)&lt;1,0,OFFSET($A$128,0,2+13*INT(((50-'Assumption Setting'!$E$103)-1)/12)+MOD((50-'Assumption Setting'!$E$103)-1,12)))</f>
        <v>4.27510096458985</v>
      </c>
      <c r="BE129" s="93" t="n">
        <f aca="true">BD129+BE128-IF((51-'Assumption Setting'!$E$103)&lt;1,0,OFFSET($A$128,0,2+13*INT(((51-'Assumption Setting'!$E$103)-1)/12)+MOD((51-'Assumption Setting'!$E$103)-1,12)))</f>
        <v>4.37449514275294</v>
      </c>
      <c r="BF129" s="93" t="n">
        <f aca="true">BE129+BF128-IF((52-'Assumption Setting'!$E$103)&lt;1,0,OFFSET($A$128,0,2+13*INT(((52-'Assumption Setting'!$E$103)-1)/12)+MOD((52-'Assumption Setting'!$E$103)-1,12)))</f>
        <v>4.57020290944086</v>
      </c>
      <c r="BG129" s="93" t="n">
        <f aca="true">BF129+BG128-IF((53-'Assumption Setting'!$E$103)&lt;1,0,OFFSET($A$128,0,2+13*INT(((53-'Assumption Setting'!$E$103)-1)/12)+MOD((53-'Assumption Setting'!$E$103)-1,12)))</f>
        <v>4.76591067612878</v>
      </c>
      <c r="BH129" s="93" t="n">
        <f aca="true">BG129+BH128-IF((54-'Assumption Setting'!$E$103)&lt;1,0,OFFSET($A$128,0,2+13*INT(((54-'Assumption Setting'!$E$103)-1)/12)+MOD((54-'Assumption Setting'!$E$103)-1,12)))</f>
        <v>4.9616184428167</v>
      </c>
      <c r="BI129" s="93" t="n">
        <f aca="true">BH129+BI128-IF((55-'Assumption Setting'!$E$103)&lt;1,0,OFFSET($A$128,0,2+13*INT(((55-'Assumption Setting'!$E$103)-1)/12)+MOD((55-'Assumption Setting'!$E$103)-1,12)))</f>
        <v>5.15732620950462</v>
      </c>
      <c r="BJ129" s="93" t="n">
        <f aca="true">BI129+BJ128-IF((56-'Assumption Setting'!$E$103)&lt;1,0,OFFSET($A$128,0,2+13*INT(((56-'Assumption Setting'!$E$103)-1)/12)+MOD((56-'Assumption Setting'!$E$103)-1,12)))</f>
        <v>5.35303397619254</v>
      </c>
      <c r="BK129" s="93" t="n">
        <f aca="true">BJ129+BK128-IF((57-'Assumption Setting'!$E$103)&lt;1,0,OFFSET($A$128,0,2+13*INT(((57-'Assumption Setting'!$E$103)-1)/12)+MOD((57-'Assumption Setting'!$E$103)-1,12)))</f>
        <v>5.54874174288047</v>
      </c>
      <c r="BL129" s="93" t="n">
        <f aca="true">BK129+BL128-IF((58-'Assumption Setting'!$E$103)&lt;1,0,OFFSET($A$128,0,2+13*INT(((58-'Assumption Setting'!$E$103)-1)/12)+MOD((58-'Assumption Setting'!$E$103)-1,12)))</f>
        <v>5.6450553314053</v>
      </c>
      <c r="BM129" s="93" t="n">
        <f aca="true">BL129+BM128-IF((59-'Assumption Setting'!$E$103)&lt;1,0,OFFSET($A$128,0,2+13*INT(((59-'Assumption Setting'!$E$103)-1)/12)+MOD((59-'Assumption Setting'!$E$103)-1,12)))</f>
        <v>5.74136891993013</v>
      </c>
      <c r="BN129" s="93" t="n">
        <f aca="true">BM129+BN128-IF((60-'Assumption Setting'!$E$103)&lt;1,0,OFFSET($A$128,0,2+13*INT(((60-'Assumption Setting'!$E$103)-1)/12)+MOD((60-'Assumption Setting'!$E$103)-1,12)))</f>
        <v>5.83768250845497</v>
      </c>
    </row>
    <row r="130" customFormat="false" ht="15" hidden="false" customHeight="false" outlineLevel="0" collapsed="false">
      <c r="A130" s="12" t="s">
        <v>648</v>
      </c>
      <c r="B130" s="91" t="n">
        <f aca="false">SUM(C130:N130)</f>
        <v>0.712419291042909</v>
      </c>
      <c r="C130" s="92" t="n">
        <f aca="false">IF(1&lt;'Assumption Setting'!$F$104,0,IFERROR(C78*'Assumption Setting'!$C$104/C105,0))</f>
        <v>0</v>
      </c>
      <c r="D130" s="92" t="n">
        <f aca="false">IF(2&lt;'Assumption Setting'!$F$104,0,IFERROR(D78*'Assumption Setting'!$C$104/D105,0))</f>
        <v>0</v>
      </c>
      <c r="E130" s="92" t="n">
        <f aca="false">IF(3&lt;'Assumption Setting'!$F$104,0,IFERROR(E78*'Assumption Setting'!$C$104/E105,0))</f>
        <v>0</v>
      </c>
      <c r="F130" s="92" t="n">
        <f aca="false">IF(4&lt;'Assumption Setting'!$F$104,0,IFERROR(F78*'Assumption Setting'!$C$104/F105,0))</f>
        <v>0</v>
      </c>
      <c r="G130" s="92" t="n">
        <f aca="false">IF(5&lt;'Assumption Setting'!$F$104,0,IFERROR(G78*'Assumption Setting'!$C$104/G105,0))</f>
        <v>0</v>
      </c>
      <c r="H130" s="92" t="n">
        <f aca="false">IF(6&lt;'Assumption Setting'!$F$104,0,IFERROR(H78*'Assumption Setting'!$C$104/H105,0))</f>
        <v>0</v>
      </c>
      <c r="I130" s="92" t="n">
        <f aca="false">IF(7&lt;'Assumption Setting'!$F$104,0,IFERROR(I78*'Assumption Setting'!$C$104/I105,0))</f>
        <v>0.118736548507152</v>
      </c>
      <c r="J130" s="92" t="n">
        <f aca="false">IF(8&lt;'Assumption Setting'!$F$104,0,IFERROR(J78*'Assumption Setting'!$C$104/J105,0))</f>
        <v>0.118736548507152</v>
      </c>
      <c r="K130" s="92" t="n">
        <f aca="false">IF(9&lt;'Assumption Setting'!$F$104,0,IFERROR(K78*'Assumption Setting'!$C$104/K105,0))</f>
        <v>0.118736548507152</v>
      </c>
      <c r="L130" s="92" t="n">
        <f aca="false">IF(10&lt;'Assumption Setting'!$F$104,0,IFERROR(L78*'Assumption Setting'!$C$104/L105,0))</f>
        <v>0.118736548507152</v>
      </c>
      <c r="M130" s="92" t="n">
        <f aca="false">IF(11&lt;'Assumption Setting'!$F$104,0,IFERROR(M78*'Assumption Setting'!$C$104/M105,0))</f>
        <v>0.118736548507152</v>
      </c>
      <c r="N130" s="92" t="n">
        <f aca="false">IF(12&lt;'Assumption Setting'!$F$104,0,IFERROR(N78*'Assumption Setting'!$C$104/N105,0))</f>
        <v>0.118736548507152</v>
      </c>
      <c r="O130" s="91" t="n">
        <f aca="false">SUM(P130:AA130)</f>
        <v>1.97547115176689</v>
      </c>
      <c r="P130" s="92" t="n">
        <f aca="false">IF(13&lt;'Assumption Setting'!$F$104,0,IFERROR(P78*'Assumption Setting'!$C$104/P105,0))</f>
        <v>0.118736548507152</v>
      </c>
      <c r="Q130" s="92" t="n">
        <f aca="false">IF(14&lt;'Assumption Setting'!$F$104,0,IFERROR(Q78*'Assumption Setting'!$C$104/Q105,0))</f>
        <v>0.130610203357867</v>
      </c>
      <c r="R130" s="92" t="n">
        <f aca="false">IF(15&lt;'Assumption Setting'!$F$104,0,IFERROR(R78*'Assumption Setting'!$C$104/R105,0))</f>
        <v>0.130610203357867</v>
      </c>
      <c r="S130" s="92" t="n">
        <f aca="false">IF(16&lt;'Assumption Setting'!$F$104,0,IFERROR(S78*'Assumption Setting'!$C$104/S105,0))</f>
        <v>0.130610203357867</v>
      </c>
      <c r="T130" s="92" t="n">
        <f aca="false">IF(17&lt;'Assumption Setting'!$F$104,0,IFERROR(T78*'Assumption Setting'!$C$104/T105,0))</f>
        <v>0.130610203357867</v>
      </c>
      <c r="U130" s="92" t="n">
        <f aca="false">IF(18&lt;'Assumption Setting'!$F$104,0,IFERROR(U78*'Assumption Setting'!$C$104/U105,0))</f>
        <v>0.130610203357867</v>
      </c>
      <c r="V130" s="92" t="n">
        <f aca="false">IF(19&lt;'Assumption Setting'!$F$104,0,IFERROR(V78*'Assumption Setting'!$C$104/V105,0))</f>
        <v>0.2006139310784</v>
      </c>
      <c r="W130" s="92" t="n">
        <f aca="false">IF(20&lt;'Assumption Setting'!$F$104,0,IFERROR(W78*'Assumption Setting'!$C$104/W105,0))</f>
        <v>0.2006139310784</v>
      </c>
      <c r="X130" s="92" t="n">
        <f aca="false">IF(21&lt;'Assumption Setting'!$F$104,0,IFERROR(X78*'Assumption Setting'!$C$104/X105,0))</f>
        <v>0.2006139310784</v>
      </c>
      <c r="Y130" s="92" t="n">
        <f aca="false">IF(22&lt;'Assumption Setting'!$F$104,0,IFERROR(Y78*'Assumption Setting'!$C$104/Y105,0))</f>
        <v>0.2006139310784</v>
      </c>
      <c r="Z130" s="92" t="n">
        <f aca="false">IF(23&lt;'Assumption Setting'!$F$104,0,IFERROR(Z78*'Assumption Setting'!$C$104/Z105,0))</f>
        <v>0.2006139310784</v>
      </c>
      <c r="AA130" s="92" t="n">
        <f aca="false">IF(24&lt;'Assumption Setting'!$F$104,0,IFERROR(AA78*'Assumption Setting'!$C$104/AA105,0))</f>
        <v>0.2006139310784</v>
      </c>
      <c r="AB130" s="91" t="n">
        <f aca="false">SUM(AC130:AN130)</f>
        <v>3.26427921132276</v>
      </c>
      <c r="AC130" s="92" t="n">
        <f aca="false">IF(25&lt;'Assumption Setting'!$F$104,0,IFERROR(AC78*'Assumption Setting'!$C$104/AC105,0))</f>
        <v>0.2006139310784</v>
      </c>
      <c r="AD130" s="92" t="n">
        <f aca="false">IF(26&lt;'Assumption Setting'!$F$104,0,IFERROR(AD78*'Assumption Setting'!$C$104/AD105,0))</f>
        <v>0.218851561176436</v>
      </c>
      <c r="AE130" s="92" t="n">
        <f aca="false">IF(27&lt;'Assumption Setting'!$F$104,0,IFERROR(AE78*'Assumption Setting'!$C$104/AE105,0))</f>
        <v>0.218851561176436</v>
      </c>
      <c r="AF130" s="92" t="n">
        <f aca="false">IF(28&lt;'Assumption Setting'!$F$104,0,IFERROR(AF78*'Assumption Setting'!$C$104/AF105,0))</f>
        <v>0.218851561176436</v>
      </c>
      <c r="AG130" s="92" t="n">
        <f aca="false">IF(29&lt;'Assumption Setting'!$F$104,0,IFERROR(AG78*'Assumption Setting'!$C$104/AG105,0))</f>
        <v>0.218851561176436</v>
      </c>
      <c r="AH130" s="92" t="n">
        <f aca="false">IF(30&lt;'Assumption Setting'!$F$104,0,IFERROR(AH78*'Assumption Setting'!$C$104/AH105,0))</f>
        <v>0.218851561176436</v>
      </c>
      <c r="AI130" s="92" t="n">
        <f aca="false">IF(31&lt;'Assumption Setting'!$F$104,0,IFERROR(AI78*'Assumption Setting'!$C$104/AI105,0))</f>
        <v>0.328234579060364</v>
      </c>
      <c r="AJ130" s="92" t="n">
        <f aca="false">IF(32&lt;'Assumption Setting'!$F$104,0,IFERROR(AJ78*'Assumption Setting'!$C$104/AJ105,0))</f>
        <v>0.328234579060364</v>
      </c>
      <c r="AK130" s="92" t="n">
        <f aca="false">IF(33&lt;'Assumption Setting'!$F$104,0,IFERROR(AK78*'Assumption Setting'!$C$104/AK105,0))</f>
        <v>0.328234579060364</v>
      </c>
      <c r="AL130" s="92" t="n">
        <f aca="false">IF(34&lt;'Assumption Setting'!$F$104,0,IFERROR(AL78*'Assumption Setting'!$C$104/AL105,0))</f>
        <v>0.328234579060364</v>
      </c>
      <c r="AM130" s="92" t="n">
        <f aca="false">IF(35&lt;'Assumption Setting'!$F$104,0,IFERROR(AM78*'Assumption Setting'!$C$104/AM105,0))</f>
        <v>0.328234579060364</v>
      </c>
      <c r="AN130" s="92" t="n">
        <f aca="false">IF(36&lt;'Assumption Setting'!$F$104,0,IFERROR(AN78*'Assumption Setting'!$C$104/AN105,0))</f>
        <v>0.328234579060364</v>
      </c>
      <c r="AO130" s="91" t="n">
        <f aca="false">SUM(AP130:BA130)</f>
        <v>4.69830745816582</v>
      </c>
      <c r="AP130" s="92" t="n">
        <f aca="false">IF(37&lt;'Assumption Setting'!$F$104,0,IFERROR(AP78*'Assumption Setting'!$C$104/AP105,0))</f>
        <v>0.328234579060364</v>
      </c>
      <c r="AQ130" s="92" t="n">
        <f aca="false">IF(38&lt;'Assumption Setting'!$F$104,0,IFERROR(AQ78*'Assumption Setting'!$C$104/AQ105,0))</f>
        <v>0.341911019854546</v>
      </c>
      <c r="AR130" s="92" t="n">
        <f aca="false">IF(39&lt;'Assumption Setting'!$F$104,0,IFERROR(AR78*'Assumption Setting'!$C$104/AR105,0))</f>
        <v>0.341911019854546</v>
      </c>
      <c r="AS130" s="92" t="n">
        <f aca="false">IF(40&lt;'Assumption Setting'!$F$104,0,IFERROR(AS78*'Assumption Setting'!$C$104/AS105,0))</f>
        <v>0.341911019854546</v>
      </c>
      <c r="AT130" s="92" t="n">
        <f aca="false">IF(41&lt;'Assumption Setting'!$F$104,0,IFERROR(AT78*'Assumption Setting'!$C$104/AT105,0))</f>
        <v>0.341911019854546</v>
      </c>
      <c r="AU130" s="92" t="n">
        <f aca="false">IF(42&lt;'Assumption Setting'!$F$104,0,IFERROR(AU78*'Assumption Setting'!$C$104/AU105,0))</f>
        <v>0.341911019854546</v>
      </c>
      <c r="AV130" s="92" t="n">
        <f aca="false">IF(43&lt;'Assumption Setting'!$F$104,0,IFERROR(AV78*'Assumption Setting'!$C$104/AV105,0))</f>
        <v>0.443419629972121</v>
      </c>
      <c r="AW130" s="92" t="n">
        <f aca="false">IF(44&lt;'Assumption Setting'!$F$104,0,IFERROR(AW78*'Assumption Setting'!$C$104/AW105,0))</f>
        <v>0.443419629972121</v>
      </c>
      <c r="AX130" s="92" t="n">
        <f aca="false">IF(45&lt;'Assumption Setting'!$F$104,0,IFERROR(AX78*'Assumption Setting'!$C$104/AX105,0))</f>
        <v>0.443419629972121</v>
      </c>
      <c r="AY130" s="92" t="n">
        <f aca="false">IF(46&lt;'Assumption Setting'!$F$104,0,IFERROR(AY78*'Assumption Setting'!$C$104/AY105,0))</f>
        <v>0.443419629972121</v>
      </c>
      <c r="AZ130" s="92" t="n">
        <f aca="false">IF(47&lt;'Assumption Setting'!$F$104,0,IFERROR(AZ78*'Assumption Setting'!$C$104/AZ105,0))</f>
        <v>0.443419629972121</v>
      </c>
      <c r="BA130" s="92" t="n">
        <f aca="false">IF(48&lt;'Assumption Setting'!$F$104,0,IFERROR(BA78*'Assumption Setting'!$C$104/BA105,0))</f>
        <v>0.443419629972121</v>
      </c>
      <c r="BB130" s="91" t="n">
        <f aca="false">SUM(BC130:BN130)</f>
        <v>6.14838696827486</v>
      </c>
      <c r="BC130" s="92" t="n">
        <f aca="false">IF(49&lt;'Assumption Setting'!$F$104,0,IFERROR(BC78*'Assumption Setting'!$C$104/BC105,0))</f>
        <v>0.443419629972121</v>
      </c>
      <c r="BD130" s="92" t="n">
        <f aca="false">IF(50&lt;'Assumption Setting'!$F$104,0,IFERROR(BD78*'Assumption Setting'!$C$104/BD105,0))</f>
        <v>0.461156415171006</v>
      </c>
      <c r="BE130" s="92" t="n">
        <f aca="false">IF(51&lt;'Assumption Setting'!$F$104,0,IFERROR(BE78*'Assumption Setting'!$C$104/BE105,0))</f>
        <v>0.461156415171006</v>
      </c>
      <c r="BF130" s="92" t="n">
        <f aca="false">IF(52&lt;'Assumption Setting'!$F$104,0,IFERROR(BF78*'Assumption Setting'!$C$104/BF105,0))</f>
        <v>0.461156415171006</v>
      </c>
      <c r="BG130" s="92" t="n">
        <f aca="false">IF(53&lt;'Assumption Setting'!$F$104,0,IFERROR(BG78*'Assumption Setting'!$C$104/BG105,0))</f>
        <v>0.461156415171006</v>
      </c>
      <c r="BH130" s="92" t="n">
        <f aca="false">IF(54&lt;'Assumption Setting'!$F$104,0,IFERROR(BH78*'Assumption Setting'!$C$104/BH105,0))</f>
        <v>0.461156415171006</v>
      </c>
      <c r="BI130" s="92" t="n">
        <f aca="false">IF(55&lt;'Assumption Setting'!$F$104,0,IFERROR(BI78*'Assumption Setting'!$C$104/BI105,0))</f>
        <v>0.566530877074618</v>
      </c>
      <c r="BJ130" s="92" t="n">
        <f aca="false">IF(56&lt;'Assumption Setting'!$F$104,0,IFERROR(BJ78*'Assumption Setting'!$C$104/BJ105,0))</f>
        <v>0.566530877074618</v>
      </c>
      <c r="BK130" s="92" t="n">
        <f aca="false">IF(57&lt;'Assumption Setting'!$F$104,0,IFERROR(BK78*'Assumption Setting'!$C$104/BK105,0))</f>
        <v>0.566530877074618</v>
      </c>
      <c r="BL130" s="92" t="n">
        <f aca="false">IF(58&lt;'Assumption Setting'!$F$104,0,IFERROR(BL78*'Assumption Setting'!$C$104/BL105,0))</f>
        <v>0.566530877074618</v>
      </c>
      <c r="BM130" s="92" t="n">
        <f aca="false">IF(59&lt;'Assumption Setting'!$F$104,0,IFERROR(BM78*'Assumption Setting'!$C$104/BM105,0))</f>
        <v>0.566530877074618</v>
      </c>
      <c r="BN130" s="92" t="n">
        <f aca="false">IF(60&lt;'Assumption Setting'!$F$104,0,IFERROR(BN78*'Assumption Setting'!$C$104/BN105,0))</f>
        <v>0.566530877074618</v>
      </c>
    </row>
    <row r="131" customFormat="false" ht="15" hidden="false" customHeight="false" outlineLevel="0" collapsed="false">
      <c r="A131" s="69" t="s">
        <v>649</v>
      </c>
      <c r="B131" s="91" t="n">
        <f aca="false">N131</f>
        <v>0.712419291042909</v>
      </c>
      <c r="C131" s="93" t="n">
        <f aca="false">C130</f>
        <v>0</v>
      </c>
      <c r="D131" s="93" t="n">
        <f aca="true">C131+D130-IF((2-'Assumption Setting'!$E$104)&lt;1,0,OFFSET($A$130,0,2+13*INT(((2-'Assumption Setting'!$E$104)-1)/12)+MOD((2-'Assumption Setting'!$E$104)-1,12)))</f>
        <v>0</v>
      </c>
      <c r="E131" s="93" t="n">
        <f aca="true">D131+E130-IF((3-'Assumption Setting'!$E$104)&lt;1,0,OFFSET($A$130,0,2+13*INT(((3-'Assumption Setting'!$E$104)-1)/12)+MOD((3-'Assumption Setting'!$E$104)-1,12)))</f>
        <v>0</v>
      </c>
      <c r="F131" s="93" t="n">
        <f aca="true">E131+F130-IF((4-'Assumption Setting'!$E$104)&lt;1,0,OFFSET($A$130,0,2+13*INT(((4-'Assumption Setting'!$E$104)-1)/12)+MOD((4-'Assumption Setting'!$E$104)-1,12)))</f>
        <v>0</v>
      </c>
      <c r="G131" s="93" t="n">
        <f aca="true">F131+G130-IF((5-'Assumption Setting'!$E$104)&lt;1,0,OFFSET($A$130,0,2+13*INT(((5-'Assumption Setting'!$E$104)-1)/12)+MOD((5-'Assumption Setting'!$E$104)-1,12)))</f>
        <v>0</v>
      </c>
      <c r="H131" s="93" t="n">
        <f aca="true">G131+H130-IF((6-'Assumption Setting'!$E$104)&lt;1,0,OFFSET($A$130,0,2+13*INT(((6-'Assumption Setting'!$E$104)-1)/12)+MOD((6-'Assumption Setting'!$E$104)-1,12)))</f>
        <v>0</v>
      </c>
      <c r="I131" s="93" t="n">
        <f aca="true">H131+I130-IF((7-'Assumption Setting'!$E$104)&lt;1,0,OFFSET($A$130,0,2+13*INT(((7-'Assumption Setting'!$E$104)-1)/12)+MOD((7-'Assumption Setting'!$E$104)-1,12)))</f>
        <v>0.118736548507152</v>
      </c>
      <c r="J131" s="93" t="n">
        <f aca="true">I131+J130-IF((8-'Assumption Setting'!$E$104)&lt;1,0,OFFSET($A$130,0,2+13*INT(((8-'Assumption Setting'!$E$104)-1)/12)+MOD((8-'Assumption Setting'!$E$104)-1,12)))</f>
        <v>0.237473097014303</v>
      </c>
      <c r="K131" s="93" t="n">
        <f aca="true">J131+K130-IF((9-'Assumption Setting'!$E$104)&lt;1,0,OFFSET($A$130,0,2+13*INT(((9-'Assumption Setting'!$E$104)-1)/12)+MOD((9-'Assumption Setting'!$E$104)-1,12)))</f>
        <v>0.356209645521455</v>
      </c>
      <c r="L131" s="93" t="n">
        <f aca="true">K131+L130-IF((10-'Assumption Setting'!$E$104)&lt;1,0,OFFSET($A$130,0,2+13*INT(((10-'Assumption Setting'!$E$104)-1)/12)+MOD((10-'Assumption Setting'!$E$104)-1,12)))</f>
        <v>0.474946194028606</v>
      </c>
      <c r="M131" s="93" t="n">
        <f aca="true">L131+M130-IF((11-'Assumption Setting'!$E$104)&lt;1,0,OFFSET($A$130,0,2+13*INT(((11-'Assumption Setting'!$E$104)-1)/12)+MOD((11-'Assumption Setting'!$E$104)-1,12)))</f>
        <v>0.593682742535758</v>
      </c>
      <c r="N131" s="93" t="n">
        <f aca="true">M131+N130-IF((12-'Assumption Setting'!$E$104)&lt;1,0,OFFSET($A$130,0,2+13*INT(((12-'Assumption Setting'!$E$104)-1)/12)+MOD((12-'Assumption Setting'!$E$104)-1,12)))</f>
        <v>0.712419291042909</v>
      </c>
      <c r="O131" s="91" t="n">
        <f aca="false">AA131</f>
        <v>1.97547115176689</v>
      </c>
      <c r="P131" s="93" t="n">
        <f aca="true">N131+P130-IF((13-'Assumption Setting'!$E$104)&lt;1,0,OFFSET($A$130,0,2+13*INT(((13-'Assumption Setting'!$E$104)-1)/12)+MOD((13-'Assumption Setting'!$E$104)-1,12)))</f>
        <v>0.831155839550061</v>
      </c>
      <c r="Q131" s="93" t="n">
        <f aca="true">P131+Q130-IF((14-'Assumption Setting'!$E$104)&lt;1,0,OFFSET($A$130,0,2+13*INT(((14-'Assumption Setting'!$E$104)-1)/12)+MOD((14-'Assumption Setting'!$E$104)-1,12)))</f>
        <v>0.961766042907927</v>
      </c>
      <c r="R131" s="93" t="n">
        <f aca="true">Q131+R130-IF((15-'Assumption Setting'!$E$104)&lt;1,0,OFFSET($A$130,0,2+13*INT(((15-'Assumption Setting'!$E$104)-1)/12)+MOD((15-'Assumption Setting'!$E$104)-1,12)))</f>
        <v>1.09237624626579</v>
      </c>
      <c r="S131" s="93" t="n">
        <f aca="true">R131+S130-IF((16-'Assumption Setting'!$E$104)&lt;1,0,OFFSET($A$130,0,2+13*INT(((16-'Assumption Setting'!$E$104)-1)/12)+MOD((16-'Assumption Setting'!$E$104)-1,12)))</f>
        <v>1.22298644962366</v>
      </c>
      <c r="T131" s="93" t="n">
        <f aca="true">S131+T130-IF((17-'Assumption Setting'!$E$104)&lt;1,0,OFFSET($A$130,0,2+13*INT(((17-'Assumption Setting'!$E$104)-1)/12)+MOD((17-'Assumption Setting'!$E$104)-1,12)))</f>
        <v>1.35359665298153</v>
      </c>
      <c r="U131" s="93" t="n">
        <f aca="true">T131+U130-IF((18-'Assumption Setting'!$E$104)&lt;1,0,OFFSET($A$130,0,2+13*INT(((18-'Assumption Setting'!$E$104)-1)/12)+MOD((18-'Assumption Setting'!$E$104)-1,12)))</f>
        <v>1.48420685633939</v>
      </c>
      <c r="V131" s="93" t="n">
        <f aca="true">U131+V130-IF((19-'Assumption Setting'!$E$104)&lt;1,0,OFFSET($A$130,0,2+13*INT(((19-'Assumption Setting'!$E$104)-1)/12)+MOD((19-'Assumption Setting'!$E$104)-1,12)))</f>
        <v>1.56608423891064</v>
      </c>
      <c r="W131" s="93" t="n">
        <f aca="true">V131+W130-IF((20-'Assumption Setting'!$E$104)&lt;1,0,OFFSET($A$130,0,2+13*INT(((20-'Assumption Setting'!$E$104)-1)/12)+MOD((20-'Assumption Setting'!$E$104)-1,12)))</f>
        <v>1.64796162148189</v>
      </c>
      <c r="X131" s="93" t="n">
        <f aca="true">W131+X130-IF((21-'Assumption Setting'!$E$104)&lt;1,0,OFFSET($A$130,0,2+13*INT(((21-'Assumption Setting'!$E$104)-1)/12)+MOD((21-'Assumption Setting'!$E$104)-1,12)))</f>
        <v>1.72983900405314</v>
      </c>
      <c r="Y131" s="93" t="n">
        <f aca="true">X131+Y130-IF((22-'Assumption Setting'!$E$104)&lt;1,0,OFFSET($A$130,0,2+13*INT(((22-'Assumption Setting'!$E$104)-1)/12)+MOD((22-'Assumption Setting'!$E$104)-1,12)))</f>
        <v>1.81171638662439</v>
      </c>
      <c r="Z131" s="93" t="n">
        <f aca="true">Y131+Z130-IF((23-'Assumption Setting'!$E$104)&lt;1,0,OFFSET($A$130,0,2+13*INT(((23-'Assumption Setting'!$E$104)-1)/12)+MOD((23-'Assumption Setting'!$E$104)-1,12)))</f>
        <v>1.89359376919564</v>
      </c>
      <c r="AA131" s="93" t="n">
        <f aca="true">Z131+AA130-IF((24-'Assumption Setting'!$E$104)&lt;1,0,OFFSET($A$130,0,2+13*INT(((24-'Assumption Setting'!$E$104)-1)/12)+MOD((24-'Assumption Setting'!$E$104)-1,12)))</f>
        <v>1.97547115176689</v>
      </c>
      <c r="AB131" s="91" t="n">
        <f aca="false">AN131</f>
        <v>3.26427921132276</v>
      </c>
      <c r="AC131" s="93" t="n">
        <f aca="true">AA131+AC130-IF((25-'Assumption Setting'!$E$104)&lt;1,0,OFFSET($A$130,0,2+13*INT(((25-'Assumption Setting'!$E$104)-1)/12)+MOD((25-'Assumption Setting'!$E$104)-1,12)))</f>
        <v>2.05734853433813</v>
      </c>
      <c r="AD131" s="93" t="n">
        <f aca="true">AC131+AD130-IF((26-'Assumption Setting'!$E$104)&lt;1,0,OFFSET($A$130,0,2+13*INT(((26-'Assumption Setting'!$E$104)-1)/12)+MOD((26-'Assumption Setting'!$E$104)-1,12)))</f>
        <v>2.1455898921567</v>
      </c>
      <c r="AE131" s="93" t="n">
        <f aca="true">AD131+AE130-IF((27-'Assumption Setting'!$E$104)&lt;1,0,OFFSET($A$130,0,2+13*INT(((27-'Assumption Setting'!$E$104)-1)/12)+MOD((27-'Assumption Setting'!$E$104)-1,12)))</f>
        <v>2.23383124997527</v>
      </c>
      <c r="AF131" s="93" t="n">
        <f aca="true">AE131+AF130-IF((28-'Assumption Setting'!$E$104)&lt;1,0,OFFSET($A$130,0,2+13*INT(((28-'Assumption Setting'!$E$104)-1)/12)+MOD((28-'Assumption Setting'!$E$104)-1,12)))</f>
        <v>2.32207260779384</v>
      </c>
      <c r="AG131" s="93" t="n">
        <f aca="true">AF131+AG130-IF((29-'Assumption Setting'!$E$104)&lt;1,0,OFFSET($A$130,0,2+13*INT(((29-'Assumption Setting'!$E$104)-1)/12)+MOD((29-'Assumption Setting'!$E$104)-1,12)))</f>
        <v>2.41031396561241</v>
      </c>
      <c r="AH131" s="93" t="n">
        <f aca="true">AG131+AH130-IF((30-'Assumption Setting'!$E$104)&lt;1,0,OFFSET($A$130,0,2+13*INT(((30-'Assumption Setting'!$E$104)-1)/12)+MOD((30-'Assumption Setting'!$E$104)-1,12)))</f>
        <v>2.49855532343098</v>
      </c>
      <c r="AI131" s="93" t="n">
        <f aca="true">AH131+AI130-IF((31-'Assumption Setting'!$E$104)&lt;1,0,OFFSET($A$130,0,2+13*INT(((31-'Assumption Setting'!$E$104)-1)/12)+MOD((31-'Assumption Setting'!$E$104)-1,12)))</f>
        <v>2.62617597141295</v>
      </c>
      <c r="AJ131" s="93" t="n">
        <f aca="true">AI131+AJ130-IF((32-'Assumption Setting'!$E$104)&lt;1,0,OFFSET($A$130,0,2+13*INT(((32-'Assumption Setting'!$E$104)-1)/12)+MOD((32-'Assumption Setting'!$E$104)-1,12)))</f>
        <v>2.75379661939491</v>
      </c>
      <c r="AK131" s="93" t="n">
        <f aca="true">AJ131+AK130-IF((33-'Assumption Setting'!$E$104)&lt;1,0,OFFSET($A$130,0,2+13*INT(((33-'Assumption Setting'!$E$104)-1)/12)+MOD((33-'Assumption Setting'!$E$104)-1,12)))</f>
        <v>2.88141726737687</v>
      </c>
      <c r="AL131" s="93" t="n">
        <f aca="true">AK131+AL130-IF((34-'Assumption Setting'!$E$104)&lt;1,0,OFFSET($A$130,0,2+13*INT(((34-'Assumption Setting'!$E$104)-1)/12)+MOD((34-'Assumption Setting'!$E$104)-1,12)))</f>
        <v>3.00903791535884</v>
      </c>
      <c r="AM131" s="93" t="n">
        <f aca="true">AL131+AM130-IF((35-'Assumption Setting'!$E$104)&lt;1,0,OFFSET($A$130,0,2+13*INT(((35-'Assumption Setting'!$E$104)-1)/12)+MOD((35-'Assumption Setting'!$E$104)-1,12)))</f>
        <v>3.1366585633408</v>
      </c>
      <c r="AN131" s="93" t="n">
        <f aca="true">AM131+AN130-IF((36-'Assumption Setting'!$E$104)&lt;1,0,OFFSET($A$130,0,2+13*INT(((36-'Assumption Setting'!$E$104)-1)/12)+MOD((36-'Assumption Setting'!$E$104)-1,12)))</f>
        <v>3.26427921132276</v>
      </c>
      <c r="AO131" s="91" t="n">
        <f aca="false">BA131</f>
        <v>4.69830745816582</v>
      </c>
      <c r="AP131" s="93" t="n">
        <f aca="true">AN131+AP130-IF((37-'Assumption Setting'!$E$104)&lt;1,0,OFFSET($A$130,0,2+13*INT(((37-'Assumption Setting'!$E$104)-1)/12)+MOD((37-'Assumption Setting'!$E$104)-1,12)))</f>
        <v>3.39189985930473</v>
      </c>
      <c r="AQ131" s="93" t="n">
        <f aca="true">AP131+AQ130-IF((38-'Assumption Setting'!$E$104)&lt;1,0,OFFSET($A$130,0,2+13*INT(((38-'Assumption Setting'!$E$104)-1)/12)+MOD((38-'Assumption Setting'!$E$104)-1,12)))</f>
        <v>3.51495931798284</v>
      </c>
      <c r="AR131" s="93" t="n">
        <f aca="true">AQ131+AR130-IF((39-'Assumption Setting'!$E$104)&lt;1,0,OFFSET($A$130,0,2+13*INT(((39-'Assumption Setting'!$E$104)-1)/12)+MOD((39-'Assumption Setting'!$E$104)-1,12)))</f>
        <v>3.63801877666095</v>
      </c>
      <c r="AS131" s="93" t="n">
        <f aca="true">AR131+AS130-IF((40-'Assumption Setting'!$E$104)&lt;1,0,OFFSET($A$130,0,2+13*INT(((40-'Assumption Setting'!$E$104)-1)/12)+MOD((40-'Assumption Setting'!$E$104)-1,12)))</f>
        <v>3.76107823533906</v>
      </c>
      <c r="AT131" s="93" t="n">
        <f aca="true">AS131+AT130-IF((41-'Assumption Setting'!$E$104)&lt;1,0,OFFSET($A$130,0,2+13*INT(((41-'Assumption Setting'!$E$104)-1)/12)+MOD((41-'Assumption Setting'!$E$104)-1,12)))</f>
        <v>3.88413769401717</v>
      </c>
      <c r="AU131" s="93" t="n">
        <f aca="true">AT131+AU130-IF((42-'Assumption Setting'!$E$104)&lt;1,0,OFFSET($A$130,0,2+13*INT(((42-'Assumption Setting'!$E$104)-1)/12)+MOD((42-'Assumption Setting'!$E$104)-1,12)))</f>
        <v>4.00719715269528</v>
      </c>
      <c r="AV131" s="93" t="n">
        <f aca="true">AU131+AV130-IF((43-'Assumption Setting'!$E$104)&lt;1,0,OFFSET($A$130,0,2+13*INT(((43-'Assumption Setting'!$E$104)-1)/12)+MOD((43-'Assumption Setting'!$E$104)-1,12)))</f>
        <v>4.12238220360703</v>
      </c>
      <c r="AW131" s="93" t="n">
        <f aca="true">AV131+AW130-IF((44-'Assumption Setting'!$E$104)&lt;1,0,OFFSET($A$130,0,2+13*INT(((44-'Assumption Setting'!$E$104)-1)/12)+MOD((44-'Assumption Setting'!$E$104)-1,12)))</f>
        <v>4.23756725451879</v>
      </c>
      <c r="AX131" s="93" t="n">
        <f aca="true">AW131+AX130-IF((45-'Assumption Setting'!$E$104)&lt;1,0,OFFSET($A$130,0,2+13*INT(((45-'Assumption Setting'!$E$104)-1)/12)+MOD((45-'Assumption Setting'!$E$104)-1,12)))</f>
        <v>4.35275230543055</v>
      </c>
      <c r="AY131" s="93" t="n">
        <f aca="true">AX131+AY130-IF((46-'Assumption Setting'!$E$104)&lt;1,0,OFFSET($A$130,0,2+13*INT(((46-'Assumption Setting'!$E$104)-1)/12)+MOD((46-'Assumption Setting'!$E$104)-1,12)))</f>
        <v>4.46793735634231</v>
      </c>
      <c r="AZ131" s="93" t="n">
        <f aca="true">AY131+AZ130-IF((47-'Assumption Setting'!$E$104)&lt;1,0,OFFSET($A$130,0,2+13*INT(((47-'Assumption Setting'!$E$104)-1)/12)+MOD((47-'Assumption Setting'!$E$104)-1,12)))</f>
        <v>4.58312240725406</v>
      </c>
      <c r="BA131" s="93" t="n">
        <f aca="true">AZ131+BA130-IF((48-'Assumption Setting'!$E$104)&lt;1,0,OFFSET($A$130,0,2+13*INT(((48-'Assumption Setting'!$E$104)-1)/12)+MOD((48-'Assumption Setting'!$E$104)-1,12)))</f>
        <v>4.69830745816582</v>
      </c>
      <c r="BB131" s="91" t="n">
        <f aca="false">BN131</f>
        <v>6.14838696827487</v>
      </c>
      <c r="BC131" s="93" t="n">
        <f aca="true">BA131+BC130-IF((49-'Assumption Setting'!$E$104)&lt;1,0,OFFSET($A$130,0,2+13*INT(((49-'Assumption Setting'!$E$104)-1)/12)+MOD((49-'Assumption Setting'!$E$104)-1,12)))</f>
        <v>4.81349250907758</v>
      </c>
      <c r="BD131" s="93" t="n">
        <f aca="true">BC131+BD130-IF((50-'Assumption Setting'!$E$104)&lt;1,0,OFFSET($A$130,0,2+13*INT(((50-'Assumption Setting'!$E$104)-1)/12)+MOD((50-'Assumption Setting'!$E$104)-1,12)))</f>
        <v>4.93273790439404</v>
      </c>
      <c r="BE131" s="93" t="n">
        <f aca="true">BD131+BE130-IF((51-'Assumption Setting'!$E$104)&lt;1,0,OFFSET($A$130,0,2+13*INT(((51-'Assumption Setting'!$E$104)-1)/12)+MOD((51-'Assumption Setting'!$E$104)-1,12)))</f>
        <v>5.0519832997105</v>
      </c>
      <c r="BF131" s="93" t="n">
        <f aca="true">BE131+BF130-IF((52-'Assumption Setting'!$E$104)&lt;1,0,OFFSET($A$130,0,2+13*INT(((52-'Assumption Setting'!$E$104)-1)/12)+MOD((52-'Assumption Setting'!$E$104)-1,12)))</f>
        <v>5.17122869502696</v>
      </c>
      <c r="BG131" s="93" t="n">
        <f aca="true">BF131+BG130-IF((53-'Assumption Setting'!$E$104)&lt;1,0,OFFSET($A$130,0,2+13*INT(((53-'Assumption Setting'!$E$104)-1)/12)+MOD((53-'Assumption Setting'!$E$104)-1,12)))</f>
        <v>5.29047409034342</v>
      </c>
      <c r="BH131" s="93" t="n">
        <f aca="true">BG131+BH130-IF((54-'Assumption Setting'!$E$104)&lt;1,0,OFFSET($A$130,0,2+13*INT(((54-'Assumption Setting'!$E$104)-1)/12)+MOD((54-'Assumption Setting'!$E$104)-1,12)))</f>
        <v>5.40971948565988</v>
      </c>
      <c r="BI131" s="93" t="n">
        <f aca="true">BH131+BI130-IF((55-'Assumption Setting'!$E$104)&lt;1,0,OFFSET($A$130,0,2+13*INT(((55-'Assumption Setting'!$E$104)-1)/12)+MOD((55-'Assumption Setting'!$E$104)-1,12)))</f>
        <v>5.53283073276238</v>
      </c>
      <c r="BJ131" s="93" t="n">
        <f aca="true">BI131+BJ130-IF((56-'Assumption Setting'!$E$104)&lt;1,0,OFFSET($A$130,0,2+13*INT(((56-'Assumption Setting'!$E$104)-1)/12)+MOD((56-'Assumption Setting'!$E$104)-1,12)))</f>
        <v>5.65594197986488</v>
      </c>
      <c r="BK131" s="93" t="n">
        <f aca="true">BJ131+BK130-IF((57-'Assumption Setting'!$E$104)&lt;1,0,OFFSET($A$130,0,2+13*INT(((57-'Assumption Setting'!$E$104)-1)/12)+MOD((57-'Assumption Setting'!$E$104)-1,12)))</f>
        <v>5.77905322696738</v>
      </c>
      <c r="BL131" s="93" t="n">
        <f aca="true">BK131+BL130-IF((58-'Assumption Setting'!$E$104)&lt;1,0,OFFSET($A$130,0,2+13*INT(((58-'Assumption Setting'!$E$104)-1)/12)+MOD((58-'Assumption Setting'!$E$104)-1,12)))</f>
        <v>5.90216447406987</v>
      </c>
      <c r="BM131" s="93" t="n">
        <f aca="true">BL131+BM130-IF((59-'Assumption Setting'!$E$104)&lt;1,0,OFFSET($A$130,0,2+13*INT(((59-'Assumption Setting'!$E$104)-1)/12)+MOD((59-'Assumption Setting'!$E$104)-1,12)))</f>
        <v>6.02527572117237</v>
      </c>
      <c r="BN131" s="93" t="n">
        <f aca="true">BM131+BN130-IF((60-'Assumption Setting'!$E$104)&lt;1,0,OFFSET($A$130,0,2+13*INT(((60-'Assumption Setting'!$E$104)-1)/12)+MOD((60-'Assumption Setting'!$E$104)-1,12)))</f>
        <v>6.14838696827487</v>
      </c>
    </row>
    <row r="132" customFormat="false" ht="15" hidden="false" customHeight="false" outlineLevel="0" collapsed="false">
      <c r="A132" s="12" t="s">
        <v>650</v>
      </c>
      <c r="B132" s="91" t="n">
        <f aca="false">SUM(C132:N132)</f>
        <v>0.383610387484643</v>
      </c>
      <c r="C132" s="92" t="n">
        <f aca="false">IF(1&lt;'Assumption Setting'!$F$105,0,IFERROR(C78*'Assumption Setting'!$C$105/C105,0))</f>
        <v>0</v>
      </c>
      <c r="D132" s="92" t="n">
        <f aca="false">IF(2&lt;'Assumption Setting'!$F$105,0,IFERROR(D78*'Assumption Setting'!$C$105/D105,0))</f>
        <v>0</v>
      </c>
      <c r="E132" s="92" t="n">
        <f aca="false">IF(3&lt;'Assumption Setting'!$F$105,0,IFERROR(E78*'Assumption Setting'!$C$105/E105,0))</f>
        <v>0</v>
      </c>
      <c r="F132" s="92" t="n">
        <f aca="false">IF(4&lt;'Assumption Setting'!$F$105,0,IFERROR(F78*'Assumption Setting'!$C$105/F105,0))</f>
        <v>0</v>
      </c>
      <c r="G132" s="92" t="n">
        <f aca="false">IF(5&lt;'Assumption Setting'!$F$105,0,IFERROR(G78*'Assumption Setting'!$C$105/G105,0))</f>
        <v>0</v>
      </c>
      <c r="H132" s="92" t="n">
        <f aca="false">IF(6&lt;'Assumption Setting'!$F$105,0,IFERROR(H78*'Assumption Setting'!$C$105/H105,0))</f>
        <v>0</v>
      </c>
      <c r="I132" s="92" t="n">
        <f aca="false">IF(7&lt;'Assumption Setting'!$F$105,0,IFERROR(I78*'Assumption Setting'!$C$105/I105,0))</f>
        <v>0.0639350645807739</v>
      </c>
      <c r="J132" s="92" t="n">
        <f aca="false">IF(8&lt;'Assumption Setting'!$F$105,0,IFERROR(J78*'Assumption Setting'!$C$105/J105,0))</f>
        <v>0.0639350645807739</v>
      </c>
      <c r="K132" s="92" t="n">
        <f aca="false">IF(9&lt;'Assumption Setting'!$F$105,0,IFERROR(K78*'Assumption Setting'!$C$105/K105,0))</f>
        <v>0.0639350645807739</v>
      </c>
      <c r="L132" s="92" t="n">
        <f aca="false">IF(10&lt;'Assumption Setting'!$F$105,0,IFERROR(L78*'Assumption Setting'!$C$105/L105,0))</f>
        <v>0.0639350645807739</v>
      </c>
      <c r="M132" s="92" t="n">
        <f aca="false">IF(11&lt;'Assumption Setting'!$F$105,0,IFERROR(M78*'Assumption Setting'!$C$105/M105,0))</f>
        <v>0.0639350645807739</v>
      </c>
      <c r="N132" s="92" t="n">
        <f aca="false">IF(12&lt;'Assumption Setting'!$F$105,0,IFERROR(N78*'Assumption Setting'!$C$105/N105,0))</f>
        <v>0.0639350645807739</v>
      </c>
      <c r="O132" s="91" t="n">
        <f aca="false">SUM(P132:AA132)</f>
        <v>1.06371523556678</v>
      </c>
      <c r="P132" s="92" t="n">
        <f aca="false">IF(13&lt;'Assumption Setting'!$F$105,0,IFERROR(P78*'Assumption Setting'!$C$105/P105,0))</f>
        <v>0.0639350645807739</v>
      </c>
      <c r="Q132" s="92" t="n">
        <f aca="false">IF(14&lt;'Assumption Setting'!$F$105,0,IFERROR(Q78*'Assumption Setting'!$C$105/Q105,0))</f>
        <v>0.0703285710388513</v>
      </c>
      <c r="R132" s="92" t="n">
        <f aca="false">IF(15&lt;'Assumption Setting'!$F$105,0,IFERROR(R78*'Assumption Setting'!$C$105/R105,0))</f>
        <v>0.0703285710388513</v>
      </c>
      <c r="S132" s="92" t="n">
        <f aca="false">IF(16&lt;'Assumption Setting'!$F$105,0,IFERROR(S78*'Assumption Setting'!$C$105/S105,0))</f>
        <v>0.0703285710388513</v>
      </c>
      <c r="T132" s="92" t="n">
        <f aca="false">IF(17&lt;'Assumption Setting'!$F$105,0,IFERROR(T78*'Assumption Setting'!$C$105/T105,0))</f>
        <v>0.0703285710388513</v>
      </c>
      <c r="U132" s="92" t="n">
        <f aca="false">IF(18&lt;'Assumption Setting'!$F$105,0,IFERROR(U78*'Assumption Setting'!$C$105/U105,0))</f>
        <v>0.0703285710388513</v>
      </c>
      <c r="V132" s="92" t="n">
        <f aca="false">IF(19&lt;'Assumption Setting'!$F$105,0,IFERROR(V78*'Assumption Setting'!$C$105/V105,0))</f>
        <v>0.108022885965292</v>
      </c>
      <c r="W132" s="92" t="n">
        <f aca="false">IF(20&lt;'Assumption Setting'!$F$105,0,IFERROR(W78*'Assumption Setting'!$C$105/W105,0))</f>
        <v>0.108022885965292</v>
      </c>
      <c r="X132" s="92" t="n">
        <f aca="false">IF(21&lt;'Assumption Setting'!$F$105,0,IFERROR(X78*'Assumption Setting'!$C$105/X105,0))</f>
        <v>0.108022885965292</v>
      </c>
      <c r="Y132" s="92" t="n">
        <f aca="false">IF(22&lt;'Assumption Setting'!$F$105,0,IFERROR(Y78*'Assumption Setting'!$C$105/Y105,0))</f>
        <v>0.108022885965292</v>
      </c>
      <c r="Z132" s="92" t="n">
        <f aca="false">IF(23&lt;'Assumption Setting'!$F$105,0,IFERROR(Z78*'Assumption Setting'!$C$105/Z105,0))</f>
        <v>0.108022885965292</v>
      </c>
      <c r="AA132" s="92" t="n">
        <f aca="false">IF(24&lt;'Assumption Setting'!$F$105,0,IFERROR(AA78*'Assumption Setting'!$C$105/AA105,0))</f>
        <v>0.108022885965292</v>
      </c>
      <c r="AB132" s="91" t="n">
        <f aca="false">SUM(AC132:AN132)</f>
        <v>1.75768880609687</v>
      </c>
      <c r="AC132" s="92" t="n">
        <f aca="false">IF(25&lt;'Assumption Setting'!$F$105,0,IFERROR(AC78*'Assumption Setting'!$C$105/AC105,0))</f>
        <v>0.108022885965292</v>
      </c>
      <c r="AD132" s="92" t="n">
        <f aca="false">IF(26&lt;'Assumption Setting'!$F$105,0,IFERROR(AD78*'Assumption Setting'!$C$105/AD105,0))</f>
        <v>0.117843148325773</v>
      </c>
      <c r="AE132" s="92" t="n">
        <f aca="false">IF(27&lt;'Assumption Setting'!$F$105,0,IFERROR(AE78*'Assumption Setting'!$C$105/AE105,0))</f>
        <v>0.117843148325773</v>
      </c>
      <c r="AF132" s="92" t="n">
        <f aca="false">IF(28&lt;'Assumption Setting'!$F$105,0,IFERROR(AF78*'Assumption Setting'!$C$105/AF105,0))</f>
        <v>0.117843148325773</v>
      </c>
      <c r="AG132" s="92" t="n">
        <f aca="false">IF(29&lt;'Assumption Setting'!$F$105,0,IFERROR(AG78*'Assumption Setting'!$C$105/AG105,0))</f>
        <v>0.117843148325773</v>
      </c>
      <c r="AH132" s="92" t="n">
        <f aca="false">IF(30&lt;'Assumption Setting'!$F$105,0,IFERROR(AH78*'Assumption Setting'!$C$105/AH105,0))</f>
        <v>0.117843148325773</v>
      </c>
      <c r="AI132" s="92" t="n">
        <f aca="false">IF(31&lt;'Assumption Setting'!$F$105,0,IFERROR(AI78*'Assumption Setting'!$C$105/AI105,0))</f>
        <v>0.176741696417119</v>
      </c>
      <c r="AJ132" s="92" t="n">
        <f aca="false">IF(32&lt;'Assumption Setting'!$F$105,0,IFERROR(AJ78*'Assumption Setting'!$C$105/AJ105,0))</f>
        <v>0.176741696417119</v>
      </c>
      <c r="AK132" s="92" t="n">
        <f aca="false">IF(33&lt;'Assumption Setting'!$F$105,0,IFERROR(AK78*'Assumption Setting'!$C$105/AK105,0))</f>
        <v>0.176741696417119</v>
      </c>
      <c r="AL132" s="92" t="n">
        <f aca="false">IF(34&lt;'Assumption Setting'!$F$105,0,IFERROR(AL78*'Assumption Setting'!$C$105/AL105,0))</f>
        <v>0.176741696417119</v>
      </c>
      <c r="AM132" s="92" t="n">
        <f aca="false">IF(35&lt;'Assumption Setting'!$F$105,0,IFERROR(AM78*'Assumption Setting'!$C$105/AM105,0))</f>
        <v>0.176741696417119</v>
      </c>
      <c r="AN132" s="92" t="n">
        <f aca="false">IF(36&lt;'Assumption Setting'!$F$105,0,IFERROR(AN78*'Assumption Setting'!$C$105/AN105,0))</f>
        <v>0.176741696417119</v>
      </c>
      <c r="AO132" s="91" t="n">
        <f aca="false">SUM(AP132:BA132)</f>
        <v>2.52985786208929</v>
      </c>
      <c r="AP132" s="92" t="n">
        <f aca="false">IF(37&lt;'Assumption Setting'!$F$105,0,IFERROR(AP78*'Assumption Setting'!$C$105/AP105,0))</f>
        <v>0.176741696417119</v>
      </c>
      <c r="AQ132" s="92" t="n">
        <f aca="false">IF(38&lt;'Assumption Setting'!$F$105,0,IFERROR(AQ78*'Assumption Setting'!$C$105/AQ105,0))</f>
        <v>0.184105933767832</v>
      </c>
      <c r="AR132" s="92" t="n">
        <f aca="false">IF(39&lt;'Assumption Setting'!$F$105,0,IFERROR(AR78*'Assumption Setting'!$C$105/AR105,0))</f>
        <v>0.184105933767832</v>
      </c>
      <c r="AS132" s="92" t="n">
        <f aca="false">IF(40&lt;'Assumption Setting'!$F$105,0,IFERROR(AS78*'Assumption Setting'!$C$105/AS105,0))</f>
        <v>0.184105933767832</v>
      </c>
      <c r="AT132" s="92" t="n">
        <f aca="false">IF(41&lt;'Assumption Setting'!$F$105,0,IFERROR(AT78*'Assumption Setting'!$C$105/AT105,0))</f>
        <v>0.184105933767832</v>
      </c>
      <c r="AU132" s="92" t="n">
        <f aca="false">IF(42&lt;'Assumption Setting'!$F$105,0,IFERROR(AU78*'Assumption Setting'!$C$105/AU105,0))</f>
        <v>0.184105933767832</v>
      </c>
      <c r="AV132" s="92" t="n">
        <f aca="false">IF(43&lt;'Assumption Setting'!$F$105,0,IFERROR(AV78*'Assumption Setting'!$C$105/AV105,0))</f>
        <v>0.238764416138834</v>
      </c>
      <c r="AW132" s="92" t="n">
        <f aca="false">IF(44&lt;'Assumption Setting'!$F$105,0,IFERROR(AW78*'Assumption Setting'!$C$105/AW105,0))</f>
        <v>0.238764416138834</v>
      </c>
      <c r="AX132" s="92" t="n">
        <f aca="false">IF(45&lt;'Assumption Setting'!$F$105,0,IFERROR(AX78*'Assumption Setting'!$C$105/AX105,0))</f>
        <v>0.238764416138834</v>
      </c>
      <c r="AY132" s="92" t="n">
        <f aca="false">IF(46&lt;'Assumption Setting'!$F$105,0,IFERROR(AY78*'Assumption Setting'!$C$105/AY105,0))</f>
        <v>0.238764416138834</v>
      </c>
      <c r="AZ132" s="92" t="n">
        <f aca="false">IF(47&lt;'Assumption Setting'!$F$105,0,IFERROR(AZ78*'Assumption Setting'!$C$105/AZ105,0))</f>
        <v>0.238764416138834</v>
      </c>
      <c r="BA132" s="92" t="n">
        <f aca="false">IF(48&lt;'Assumption Setting'!$F$105,0,IFERROR(BA78*'Assumption Setting'!$C$105/BA105,0))</f>
        <v>0.238764416138834</v>
      </c>
      <c r="BB132" s="91" t="n">
        <f aca="false">SUM(BC132:BN132)</f>
        <v>3.31066990599416</v>
      </c>
      <c r="BC132" s="92" t="n">
        <f aca="false">IF(49&lt;'Assumption Setting'!$F$105,0,IFERROR(BC78*'Assumption Setting'!$C$105/BC105,0))</f>
        <v>0.238764416138834</v>
      </c>
      <c r="BD132" s="92" t="n">
        <f aca="false">IF(50&lt;'Assumption Setting'!$F$105,0,IFERROR(BD78*'Assumption Setting'!$C$105/BD105,0))</f>
        <v>0.248314992784388</v>
      </c>
      <c r="BE132" s="92" t="n">
        <f aca="false">IF(51&lt;'Assumption Setting'!$F$105,0,IFERROR(BE78*'Assumption Setting'!$C$105/BE105,0))</f>
        <v>0.248314992784388</v>
      </c>
      <c r="BF132" s="92" t="n">
        <f aca="false">IF(52&lt;'Assumption Setting'!$F$105,0,IFERROR(BF78*'Assumption Setting'!$C$105/BF105,0))</f>
        <v>0.248314992784388</v>
      </c>
      <c r="BG132" s="92" t="n">
        <f aca="false">IF(53&lt;'Assumption Setting'!$F$105,0,IFERROR(BG78*'Assumption Setting'!$C$105/BG105,0))</f>
        <v>0.248314992784388</v>
      </c>
      <c r="BH132" s="92" t="n">
        <f aca="false">IF(54&lt;'Assumption Setting'!$F$105,0,IFERROR(BH78*'Assumption Setting'!$C$105/BH105,0))</f>
        <v>0.248314992784388</v>
      </c>
      <c r="BI132" s="92" t="n">
        <f aca="false">IF(55&lt;'Assumption Setting'!$F$105,0,IFERROR(BI78*'Assumption Setting'!$C$105/BI105,0))</f>
        <v>0.305055087655564</v>
      </c>
      <c r="BJ132" s="92" t="n">
        <f aca="false">IF(56&lt;'Assumption Setting'!$F$105,0,IFERROR(BJ78*'Assumption Setting'!$C$105/BJ105,0))</f>
        <v>0.305055087655564</v>
      </c>
      <c r="BK132" s="92" t="n">
        <f aca="false">IF(57&lt;'Assumption Setting'!$F$105,0,IFERROR(BK78*'Assumption Setting'!$C$105/BK105,0))</f>
        <v>0.305055087655564</v>
      </c>
      <c r="BL132" s="92" t="n">
        <f aca="false">IF(58&lt;'Assumption Setting'!$F$105,0,IFERROR(BL78*'Assumption Setting'!$C$105/BL105,0))</f>
        <v>0.305055087655564</v>
      </c>
      <c r="BM132" s="92" t="n">
        <f aca="false">IF(59&lt;'Assumption Setting'!$F$105,0,IFERROR(BM78*'Assumption Setting'!$C$105/BM105,0))</f>
        <v>0.305055087655564</v>
      </c>
      <c r="BN132" s="92" t="n">
        <f aca="false">IF(60&lt;'Assumption Setting'!$F$105,0,IFERROR(BN78*'Assumption Setting'!$C$105/BN105,0))</f>
        <v>0.305055087655564</v>
      </c>
    </row>
    <row r="133" customFormat="false" ht="15" hidden="false" customHeight="false" outlineLevel="0" collapsed="false">
      <c r="A133" s="69" t="s">
        <v>651</v>
      </c>
      <c r="B133" s="91" t="n">
        <f aca="false">N133</f>
        <v>0.383610387484643</v>
      </c>
      <c r="C133" s="93" t="n">
        <f aca="false">C132</f>
        <v>0</v>
      </c>
      <c r="D133" s="93" t="n">
        <f aca="true">C133+D132-IF((2-'Assumption Setting'!$E$105)&lt;1,0,OFFSET($A$132,0,2+13*INT(((2-'Assumption Setting'!$E$105)-1)/12)+MOD((2-'Assumption Setting'!$E$105)-1,12)))</f>
        <v>0</v>
      </c>
      <c r="E133" s="93" t="n">
        <f aca="true">D133+E132-IF((3-'Assumption Setting'!$E$105)&lt;1,0,OFFSET($A$132,0,2+13*INT(((3-'Assumption Setting'!$E$105)-1)/12)+MOD((3-'Assumption Setting'!$E$105)-1,12)))</f>
        <v>0</v>
      </c>
      <c r="F133" s="93" t="n">
        <f aca="true">E133+F132-IF((4-'Assumption Setting'!$E$105)&lt;1,0,OFFSET($A$132,0,2+13*INT(((4-'Assumption Setting'!$E$105)-1)/12)+MOD((4-'Assumption Setting'!$E$105)-1,12)))</f>
        <v>0</v>
      </c>
      <c r="G133" s="93" t="n">
        <f aca="true">F133+G132-IF((5-'Assumption Setting'!$E$105)&lt;1,0,OFFSET($A$132,0,2+13*INT(((5-'Assumption Setting'!$E$105)-1)/12)+MOD((5-'Assumption Setting'!$E$105)-1,12)))</f>
        <v>0</v>
      </c>
      <c r="H133" s="93" t="n">
        <f aca="true">G133+H132-IF((6-'Assumption Setting'!$E$105)&lt;1,0,OFFSET($A$132,0,2+13*INT(((6-'Assumption Setting'!$E$105)-1)/12)+MOD((6-'Assumption Setting'!$E$105)-1,12)))</f>
        <v>0</v>
      </c>
      <c r="I133" s="93" t="n">
        <f aca="true">H133+I132-IF((7-'Assumption Setting'!$E$105)&lt;1,0,OFFSET($A$132,0,2+13*INT(((7-'Assumption Setting'!$E$105)-1)/12)+MOD((7-'Assumption Setting'!$E$105)-1,12)))</f>
        <v>0.0639350645807739</v>
      </c>
      <c r="J133" s="93" t="n">
        <f aca="true">I133+J132-IF((8-'Assumption Setting'!$E$105)&lt;1,0,OFFSET($A$132,0,2+13*INT(((8-'Assumption Setting'!$E$105)-1)/12)+MOD((8-'Assumption Setting'!$E$105)-1,12)))</f>
        <v>0.127870129161548</v>
      </c>
      <c r="K133" s="93" t="n">
        <f aca="true">J133+K132-IF((9-'Assumption Setting'!$E$105)&lt;1,0,OFFSET($A$132,0,2+13*INT(((9-'Assumption Setting'!$E$105)-1)/12)+MOD((9-'Assumption Setting'!$E$105)-1,12)))</f>
        <v>0.191805193742322</v>
      </c>
      <c r="L133" s="93" t="n">
        <f aca="true">K133+L132-IF((10-'Assumption Setting'!$E$105)&lt;1,0,OFFSET($A$132,0,2+13*INT(((10-'Assumption Setting'!$E$105)-1)/12)+MOD((10-'Assumption Setting'!$E$105)-1,12)))</f>
        <v>0.255740258323096</v>
      </c>
      <c r="M133" s="93" t="n">
        <f aca="true">L133+M132-IF((11-'Assumption Setting'!$E$105)&lt;1,0,OFFSET($A$132,0,2+13*INT(((11-'Assumption Setting'!$E$105)-1)/12)+MOD((11-'Assumption Setting'!$E$105)-1,12)))</f>
        <v>0.319675322903869</v>
      </c>
      <c r="N133" s="93" t="n">
        <f aca="true">M133+N132-IF((12-'Assumption Setting'!$E$105)&lt;1,0,OFFSET($A$132,0,2+13*INT(((12-'Assumption Setting'!$E$105)-1)/12)+MOD((12-'Assumption Setting'!$E$105)-1,12)))</f>
        <v>0.383610387484643</v>
      </c>
      <c r="O133" s="91" t="n">
        <f aca="false">AA133</f>
        <v>1.06371523556678</v>
      </c>
      <c r="P133" s="93" t="n">
        <f aca="true">N133+P132-IF((13-'Assumption Setting'!$E$105)&lt;1,0,OFFSET($A$132,0,2+13*INT(((13-'Assumption Setting'!$E$105)-1)/12)+MOD((13-'Assumption Setting'!$E$105)-1,12)))</f>
        <v>0.447545452065417</v>
      </c>
      <c r="Q133" s="93" t="n">
        <f aca="true">P133+Q132-IF((14-'Assumption Setting'!$E$105)&lt;1,0,OFFSET($A$132,0,2+13*INT(((14-'Assumption Setting'!$E$105)-1)/12)+MOD((14-'Assumption Setting'!$E$105)-1,12)))</f>
        <v>0.517874023104269</v>
      </c>
      <c r="R133" s="93" t="n">
        <f aca="true">Q133+R132-IF((15-'Assumption Setting'!$E$105)&lt;1,0,OFFSET($A$132,0,2+13*INT(((15-'Assumption Setting'!$E$105)-1)/12)+MOD((15-'Assumption Setting'!$E$105)-1,12)))</f>
        <v>0.58820259414312</v>
      </c>
      <c r="S133" s="93" t="n">
        <f aca="true">R133+S132-IF((16-'Assumption Setting'!$E$105)&lt;1,0,OFFSET($A$132,0,2+13*INT(((16-'Assumption Setting'!$E$105)-1)/12)+MOD((16-'Assumption Setting'!$E$105)-1,12)))</f>
        <v>0.658531165181971</v>
      </c>
      <c r="T133" s="93" t="n">
        <f aca="true">S133+T132-IF((17-'Assumption Setting'!$E$105)&lt;1,0,OFFSET($A$132,0,2+13*INT(((17-'Assumption Setting'!$E$105)-1)/12)+MOD((17-'Assumption Setting'!$E$105)-1,12)))</f>
        <v>0.728859736220822</v>
      </c>
      <c r="U133" s="93" t="n">
        <f aca="true">T133+U132-IF((18-'Assumption Setting'!$E$105)&lt;1,0,OFFSET($A$132,0,2+13*INT(((18-'Assumption Setting'!$E$105)-1)/12)+MOD((18-'Assumption Setting'!$E$105)-1,12)))</f>
        <v>0.799188307259674</v>
      </c>
      <c r="V133" s="93" t="n">
        <f aca="true">U133+V132-IF((19-'Assumption Setting'!$E$105)&lt;1,0,OFFSET($A$132,0,2+13*INT(((19-'Assumption Setting'!$E$105)-1)/12)+MOD((19-'Assumption Setting'!$E$105)-1,12)))</f>
        <v>0.843276128644192</v>
      </c>
      <c r="W133" s="93" t="n">
        <f aca="true">V133+W132-IF((20-'Assumption Setting'!$E$105)&lt;1,0,OFFSET($A$132,0,2+13*INT(((20-'Assumption Setting'!$E$105)-1)/12)+MOD((20-'Assumption Setting'!$E$105)-1,12)))</f>
        <v>0.88736395002871</v>
      </c>
      <c r="X133" s="93" t="n">
        <f aca="true">W133+X132-IF((21-'Assumption Setting'!$E$105)&lt;1,0,OFFSET($A$132,0,2+13*INT(((21-'Assumption Setting'!$E$105)-1)/12)+MOD((21-'Assumption Setting'!$E$105)-1,12)))</f>
        <v>0.931451771413229</v>
      </c>
      <c r="Y133" s="93" t="n">
        <f aca="true">X133+Y132-IF((22-'Assumption Setting'!$E$105)&lt;1,0,OFFSET($A$132,0,2+13*INT(((22-'Assumption Setting'!$E$105)-1)/12)+MOD((22-'Assumption Setting'!$E$105)-1,12)))</f>
        <v>0.975539592797747</v>
      </c>
      <c r="Z133" s="93" t="n">
        <f aca="true">Y133+Z132-IF((23-'Assumption Setting'!$E$105)&lt;1,0,OFFSET($A$132,0,2+13*INT(((23-'Assumption Setting'!$E$105)-1)/12)+MOD((23-'Assumption Setting'!$E$105)-1,12)))</f>
        <v>1.01962741418227</v>
      </c>
      <c r="AA133" s="93" t="n">
        <f aca="true">Z133+AA132-IF((24-'Assumption Setting'!$E$105)&lt;1,0,OFFSET($A$132,0,2+13*INT(((24-'Assumption Setting'!$E$105)-1)/12)+MOD((24-'Assumption Setting'!$E$105)-1,12)))</f>
        <v>1.06371523556678</v>
      </c>
      <c r="AB133" s="91" t="n">
        <f aca="false">AN133</f>
        <v>1.75768880609687</v>
      </c>
      <c r="AC133" s="93" t="n">
        <f aca="true">AA133+AC132-IF((25-'Assumption Setting'!$E$105)&lt;1,0,OFFSET($A$132,0,2+13*INT(((25-'Assumption Setting'!$E$105)-1)/12)+MOD((25-'Assumption Setting'!$E$105)-1,12)))</f>
        <v>1.1078030569513</v>
      </c>
      <c r="AD133" s="93" t="n">
        <f aca="true">AC133+AD132-IF((26-'Assumption Setting'!$E$105)&lt;1,0,OFFSET($A$132,0,2+13*INT(((26-'Assumption Setting'!$E$105)-1)/12)+MOD((26-'Assumption Setting'!$E$105)-1,12)))</f>
        <v>1.15531763423822</v>
      </c>
      <c r="AE133" s="93" t="n">
        <f aca="true">AD133+AE132-IF((27-'Assumption Setting'!$E$105)&lt;1,0,OFFSET($A$132,0,2+13*INT(((27-'Assumption Setting'!$E$105)-1)/12)+MOD((27-'Assumption Setting'!$E$105)-1,12)))</f>
        <v>1.20283221152515</v>
      </c>
      <c r="AF133" s="93" t="n">
        <f aca="true">AE133+AF132-IF((28-'Assumption Setting'!$E$105)&lt;1,0,OFFSET($A$132,0,2+13*INT(((28-'Assumption Setting'!$E$105)-1)/12)+MOD((28-'Assumption Setting'!$E$105)-1,12)))</f>
        <v>1.25034678881207</v>
      </c>
      <c r="AG133" s="93" t="n">
        <f aca="true">AF133+AG132-IF((29-'Assumption Setting'!$E$105)&lt;1,0,OFFSET($A$132,0,2+13*INT(((29-'Assumption Setting'!$E$105)-1)/12)+MOD((29-'Assumption Setting'!$E$105)-1,12)))</f>
        <v>1.29786136609899</v>
      </c>
      <c r="AH133" s="93" t="n">
        <f aca="true">AG133+AH132-IF((30-'Assumption Setting'!$E$105)&lt;1,0,OFFSET($A$132,0,2+13*INT(((30-'Assumption Setting'!$E$105)-1)/12)+MOD((30-'Assumption Setting'!$E$105)-1,12)))</f>
        <v>1.34537594338591</v>
      </c>
      <c r="AI133" s="93" t="n">
        <f aca="true">AH133+AI132-IF((31-'Assumption Setting'!$E$105)&lt;1,0,OFFSET($A$132,0,2+13*INT(((31-'Assumption Setting'!$E$105)-1)/12)+MOD((31-'Assumption Setting'!$E$105)-1,12)))</f>
        <v>1.41409475383774</v>
      </c>
      <c r="AJ133" s="93" t="n">
        <f aca="true">AI133+AJ132-IF((32-'Assumption Setting'!$E$105)&lt;1,0,OFFSET($A$132,0,2+13*INT(((32-'Assumption Setting'!$E$105)-1)/12)+MOD((32-'Assumption Setting'!$E$105)-1,12)))</f>
        <v>1.48281356428957</v>
      </c>
      <c r="AK133" s="93" t="n">
        <f aca="true">AJ133+AK132-IF((33-'Assumption Setting'!$E$105)&lt;1,0,OFFSET($A$132,0,2+13*INT(((33-'Assumption Setting'!$E$105)-1)/12)+MOD((33-'Assumption Setting'!$E$105)-1,12)))</f>
        <v>1.55153237474139</v>
      </c>
      <c r="AL133" s="93" t="n">
        <f aca="true">AK133+AL132-IF((34-'Assumption Setting'!$E$105)&lt;1,0,OFFSET($A$132,0,2+13*INT(((34-'Assumption Setting'!$E$105)-1)/12)+MOD((34-'Assumption Setting'!$E$105)-1,12)))</f>
        <v>1.62025118519322</v>
      </c>
      <c r="AM133" s="93" t="n">
        <f aca="true">AL133+AM132-IF((35-'Assumption Setting'!$E$105)&lt;1,0,OFFSET($A$132,0,2+13*INT(((35-'Assumption Setting'!$E$105)-1)/12)+MOD((35-'Assumption Setting'!$E$105)-1,12)))</f>
        <v>1.68896999564505</v>
      </c>
      <c r="AN133" s="93" t="n">
        <f aca="true">AM133+AN132-IF((36-'Assumption Setting'!$E$105)&lt;1,0,OFFSET($A$132,0,2+13*INT(((36-'Assumption Setting'!$E$105)-1)/12)+MOD((36-'Assumption Setting'!$E$105)-1,12)))</f>
        <v>1.75768880609687</v>
      </c>
      <c r="AO133" s="91" t="n">
        <f aca="false">BA133</f>
        <v>2.52985786208929</v>
      </c>
      <c r="AP133" s="93" t="n">
        <f aca="true">AN133+AP132-IF((37-'Assumption Setting'!$E$105)&lt;1,0,OFFSET($A$132,0,2+13*INT(((37-'Assumption Setting'!$E$105)-1)/12)+MOD((37-'Assumption Setting'!$E$105)-1,12)))</f>
        <v>1.8264076165487</v>
      </c>
      <c r="AQ133" s="93" t="n">
        <f aca="true">AP133+AQ132-IF((38-'Assumption Setting'!$E$105)&lt;1,0,OFFSET($A$132,0,2+13*INT(((38-'Assumption Setting'!$E$105)-1)/12)+MOD((38-'Assumption Setting'!$E$105)-1,12)))</f>
        <v>1.89267040199076</v>
      </c>
      <c r="AR133" s="93" t="n">
        <f aca="true">AQ133+AR132-IF((39-'Assumption Setting'!$E$105)&lt;1,0,OFFSET($A$132,0,2+13*INT(((39-'Assumption Setting'!$E$105)-1)/12)+MOD((39-'Assumption Setting'!$E$105)-1,12)))</f>
        <v>1.95893318743282</v>
      </c>
      <c r="AS133" s="93" t="n">
        <f aca="true">AR133+AS132-IF((40-'Assumption Setting'!$E$105)&lt;1,0,OFFSET($A$132,0,2+13*INT(((40-'Assumption Setting'!$E$105)-1)/12)+MOD((40-'Assumption Setting'!$E$105)-1,12)))</f>
        <v>2.02519597287488</v>
      </c>
      <c r="AT133" s="93" t="n">
        <f aca="true">AS133+AT132-IF((41-'Assumption Setting'!$E$105)&lt;1,0,OFFSET($A$132,0,2+13*INT(((41-'Assumption Setting'!$E$105)-1)/12)+MOD((41-'Assumption Setting'!$E$105)-1,12)))</f>
        <v>2.09145875831693</v>
      </c>
      <c r="AU133" s="93" t="n">
        <f aca="true">AT133+AU132-IF((42-'Assumption Setting'!$E$105)&lt;1,0,OFFSET($A$132,0,2+13*INT(((42-'Assumption Setting'!$E$105)-1)/12)+MOD((42-'Assumption Setting'!$E$105)-1,12)))</f>
        <v>2.15772154375899</v>
      </c>
      <c r="AV133" s="93" t="n">
        <f aca="true">AU133+AV132-IF((43-'Assumption Setting'!$E$105)&lt;1,0,OFFSET($A$132,0,2+13*INT(((43-'Assumption Setting'!$E$105)-1)/12)+MOD((43-'Assumption Setting'!$E$105)-1,12)))</f>
        <v>2.21974426348071</v>
      </c>
      <c r="AW133" s="93" t="n">
        <f aca="true">AV133+AW132-IF((44-'Assumption Setting'!$E$105)&lt;1,0,OFFSET($A$132,0,2+13*INT(((44-'Assumption Setting'!$E$105)-1)/12)+MOD((44-'Assumption Setting'!$E$105)-1,12)))</f>
        <v>2.28176698320242</v>
      </c>
      <c r="AX133" s="93" t="n">
        <f aca="true">AW133+AX132-IF((45-'Assumption Setting'!$E$105)&lt;1,0,OFFSET($A$132,0,2+13*INT(((45-'Assumption Setting'!$E$105)-1)/12)+MOD((45-'Assumption Setting'!$E$105)-1,12)))</f>
        <v>2.34378970292414</v>
      </c>
      <c r="AY133" s="93" t="n">
        <f aca="true">AX133+AY132-IF((46-'Assumption Setting'!$E$105)&lt;1,0,OFFSET($A$132,0,2+13*INT(((46-'Assumption Setting'!$E$105)-1)/12)+MOD((46-'Assumption Setting'!$E$105)-1,12)))</f>
        <v>2.40581242264586</v>
      </c>
      <c r="AZ133" s="93" t="n">
        <f aca="true">AY133+AZ132-IF((47-'Assumption Setting'!$E$105)&lt;1,0,OFFSET($A$132,0,2+13*INT(((47-'Assumption Setting'!$E$105)-1)/12)+MOD((47-'Assumption Setting'!$E$105)-1,12)))</f>
        <v>2.46783514236757</v>
      </c>
      <c r="BA133" s="93" t="n">
        <f aca="true">AZ133+BA132-IF((48-'Assumption Setting'!$E$105)&lt;1,0,OFFSET($A$132,0,2+13*INT(((48-'Assumption Setting'!$E$105)-1)/12)+MOD((48-'Assumption Setting'!$E$105)-1,12)))</f>
        <v>2.52985786208929</v>
      </c>
      <c r="BB133" s="91" t="n">
        <f aca="false">BN133</f>
        <v>3.31066990599415</v>
      </c>
      <c r="BC133" s="93" t="n">
        <f aca="true">BA133+BC132-IF((49-'Assumption Setting'!$E$105)&lt;1,0,OFFSET($A$132,0,2+13*INT(((49-'Assumption Setting'!$E$105)-1)/12)+MOD((49-'Assumption Setting'!$E$105)-1,12)))</f>
        <v>2.591880581811</v>
      </c>
      <c r="BD133" s="93" t="n">
        <f aca="true">BC133+BD132-IF((50-'Assumption Setting'!$E$105)&lt;1,0,OFFSET($A$132,0,2+13*INT(((50-'Assumption Setting'!$E$105)-1)/12)+MOD((50-'Assumption Setting'!$E$105)-1,12)))</f>
        <v>2.65608964082756</v>
      </c>
      <c r="BE133" s="93" t="n">
        <f aca="true">BD133+BE132-IF((51-'Assumption Setting'!$E$105)&lt;1,0,OFFSET($A$132,0,2+13*INT(((51-'Assumption Setting'!$E$105)-1)/12)+MOD((51-'Assumption Setting'!$E$105)-1,12)))</f>
        <v>2.72029869984411</v>
      </c>
      <c r="BF133" s="93" t="n">
        <f aca="true">BE133+BF132-IF((52-'Assumption Setting'!$E$105)&lt;1,0,OFFSET($A$132,0,2+13*INT(((52-'Assumption Setting'!$E$105)-1)/12)+MOD((52-'Assumption Setting'!$E$105)-1,12)))</f>
        <v>2.78450775886067</v>
      </c>
      <c r="BG133" s="93" t="n">
        <f aca="true">BF133+BG132-IF((53-'Assumption Setting'!$E$105)&lt;1,0,OFFSET($A$132,0,2+13*INT(((53-'Assumption Setting'!$E$105)-1)/12)+MOD((53-'Assumption Setting'!$E$105)-1,12)))</f>
        <v>2.84871681787723</v>
      </c>
      <c r="BH133" s="93" t="n">
        <f aca="true">BG133+BH132-IF((54-'Assumption Setting'!$E$105)&lt;1,0,OFFSET($A$132,0,2+13*INT(((54-'Assumption Setting'!$E$105)-1)/12)+MOD((54-'Assumption Setting'!$E$105)-1,12)))</f>
        <v>2.91292587689378</v>
      </c>
      <c r="BI133" s="93" t="n">
        <f aca="true">BH133+BI132-IF((55-'Assumption Setting'!$E$105)&lt;1,0,OFFSET($A$132,0,2+13*INT(((55-'Assumption Setting'!$E$105)-1)/12)+MOD((55-'Assumption Setting'!$E$105)-1,12)))</f>
        <v>2.97921654841051</v>
      </c>
      <c r="BJ133" s="93" t="n">
        <f aca="true">BI133+BJ132-IF((56-'Assumption Setting'!$E$105)&lt;1,0,OFFSET($A$132,0,2+13*INT(((56-'Assumption Setting'!$E$105)-1)/12)+MOD((56-'Assumption Setting'!$E$105)-1,12)))</f>
        <v>3.04550721992724</v>
      </c>
      <c r="BK133" s="93" t="n">
        <f aca="true">BJ133+BK132-IF((57-'Assumption Setting'!$E$105)&lt;1,0,OFFSET($A$132,0,2+13*INT(((57-'Assumption Setting'!$E$105)-1)/12)+MOD((57-'Assumption Setting'!$E$105)-1,12)))</f>
        <v>3.11179789144397</v>
      </c>
      <c r="BL133" s="93" t="n">
        <f aca="true">BK133+BL132-IF((58-'Assumption Setting'!$E$105)&lt;1,0,OFFSET($A$132,0,2+13*INT(((58-'Assumption Setting'!$E$105)-1)/12)+MOD((58-'Assumption Setting'!$E$105)-1,12)))</f>
        <v>3.1780885629607</v>
      </c>
      <c r="BM133" s="93" t="n">
        <f aca="true">BL133+BM132-IF((59-'Assumption Setting'!$E$105)&lt;1,0,OFFSET($A$132,0,2+13*INT(((59-'Assumption Setting'!$E$105)-1)/12)+MOD((59-'Assumption Setting'!$E$105)-1,12)))</f>
        <v>3.24437923447743</v>
      </c>
      <c r="BN133" s="93" t="n">
        <f aca="true">BM133+BN132-IF((60-'Assumption Setting'!$E$105)&lt;1,0,OFFSET($A$132,0,2+13*INT(((60-'Assumption Setting'!$E$105)-1)/12)+MOD((60-'Assumption Setting'!$E$105)-1,12)))</f>
        <v>3.31066990599415</v>
      </c>
    </row>
    <row r="134" customFormat="false" ht="15" hidden="false" customHeight="false" outlineLevel="0" collapsed="false">
      <c r="A134" s="12" t="s">
        <v>652</v>
      </c>
      <c r="B134" s="91" t="n">
        <f aca="false">SUM(C134:N134)</f>
        <v>0</v>
      </c>
      <c r="C134" s="92" t="n">
        <f aca="false">IF(1&lt;'Assumption Setting'!$F$106,0,IFERROR(C93*'Assumption Setting'!$C$106/C108,0))</f>
        <v>0</v>
      </c>
      <c r="D134" s="92" t="n">
        <f aca="false">IF(2&lt;'Assumption Setting'!$F$106,0,IFERROR(D93*'Assumption Setting'!$C$106/D108,0))</f>
        <v>0</v>
      </c>
      <c r="E134" s="92" t="n">
        <f aca="false">IF(3&lt;'Assumption Setting'!$F$106,0,IFERROR(E93*'Assumption Setting'!$C$106/E108,0))</f>
        <v>0</v>
      </c>
      <c r="F134" s="92" t="n">
        <f aca="false">IF(4&lt;'Assumption Setting'!$F$106,0,IFERROR(F93*'Assumption Setting'!$C$106/F108,0))</f>
        <v>0</v>
      </c>
      <c r="G134" s="92" t="n">
        <f aca="false">IF(5&lt;'Assumption Setting'!$F$106,0,IFERROR(G93*'Assumption Setting'!$C$106/G108,0))</f>
        <v>0</v>
      </c>
      <c r="H134" s="92" t="n">
        <f aca="false">IF(6&lt;'Assumption Setting'!$F$106,0,IFERROR(H93*'Assumption Setting'!$C$106/H108,0))</f>
        <v>0</v>
      </c>
      <c r="I134" s="92" t="n">
        <f aca="false">IF(7&lt;'Assumption Setting'!$F$106,0,IFERROR(I93*'Assumption Setting'!$C$106/I108,0))</f>
        <v>0</v>
      </c>
      <c r="J134" s="92" t="n">
        <f aca="false">IF(8&lt;'Assumption Setting'!$F$106,0,IFERROR(J93*'Assumption Setting'!$C$106/J108,0))</f>
        <v>0</v>
      </c>
      <c r="K134" s="92" t="n">
        <f aca="false">IF(9&lt;'Assumption Setting'!$F$106,0,IFERROR(K93*'Assumption Setting'!$C$106/K108,0))</f>
        <v>0</v>
      </c>
      <c r="L134" s="92" t="n">
        <f aca="false">IF(10&lt;'Assumption Setting'!$F$106,0,IFERROR(L93*'Assumption Setting'!$C$106/L108,0))</f>
        <v>0</v>
      </c>
      <c r="M134" s="92" t="n">
        <f aca="false">IF(11&lt;'Assumption Setting'!$F$106,0,IFERROR(M93*'Assumption Setting'!$C$106/M108,0))</f>
        <v>0</v>
      </c>
      <c r="N134" s="92" t="n">
        <f aca="false">IF(12&lt;'Assumption Setting'!$F$106,0,IFERROR(N93*'Assumption Setting'!$C$106/N108,0))</f>
        <v>0</v>
      </c>
      <c r="O134" s="91" t="n">
        <f aca="false">SUM(P134:AA134)</f>
        <v>1.11285285295963</v>
      </c>
      <c r="P134" s="92" t="n">
        <f aca="false">IF(13&lt;'Assumption Setting'!$F$106,0,IFERROR(P93*'Assumption Setting'!$C$106/P108,0))</f>
        <v>0.0753520403987692</v>
      </c>
      <c r="Q134" s="92" t="n">
        <f aca="false">IF(14&lt;'Assumption Setting'!$F$106,0,IFERROR(Q93*'Assumption Setting'!$C$106/Q108,0))</f>
        <v>0.0753520403987692</v>
      </c>
      <c r="R134" s="92" t="n">
        <f aca="false">IF(15&lt;'Assumption Setting'!$F$106,0,IFERROR(R93*'Assumption Setting'!$C$106/R108,0))</f>
        <v>0.0828872444386462</v>
      </c>
      <c r="S134" s="92" t="n">
        <f aca="false">IF(16&lt;'Assumption Setting'!$F$106,0,IFERROR(S93*'Assumption Setting'!$C$106/S108,0))</f>
        <v>0.0828872444386462</v>
      </c>
      <c r="T134" s="92" t="n">
        <f aca="false">IF(17&lt;'Assumption Setting'!$F$106,0,IFERROR(T93*'Assumption Setting'!$C$106/T108,0))</f>
        <v>0.0828872444386462</v>
      </c>
      <c r="U134" s="92" t="n">
        <f aca="false">IF(18&lt;'Assumption Setting'!$F$106,0,IFERROR(U93*'Assumption Setting'!$C$106/U108,0))</f>
        <v>0.0828872444386462</v>
      </c>
      <c r="V134" s="92" t="n">
        <f aca="false">IF(19&lt;'Assumption Setting'!$F$106,0,IFERROR(V93*'Assumption Setting'!$C$106/V108,0))</f>
        <v>0.0828872444386462</v>
      </c>
      <c r="W134" s="92" t="n">
        <f aca="false">IF(20&lt;'Assumption Setting'!$F$106,0,IFERROR(W93*'Assumption Setting'!$C$106/W108,0))</f>
        <v>0.0828872444386462</v>
      </c>
      <c r="X134" s="92" t="n">
        <f aca="false">IF(21&lt;'Assumption Setting'!$F$106,0,IFERROR(X93*'Assumption Setting'!$C$106/X108,0))</f>
        <v>0.0828872444386462</v>
      </c>
      <c r="Y134" s="92" t="n">
        <f aca="false">IF(22&lt;'Assumption Setting'!$F$106,0,IFERROR(Y93*'Assumption Setting'!$C$106/Y108,0))</f>
        <v>0.127312687030523</v>
      </c>
      <c r="Z134" s="92" t="n">
        <f aca="false">IF(23&lt;'Assumption Setting'!$F$106,0,IFERROR(Z93*'Assumption Setting'!$C$106/Z108,0))</f>
        <v>0.127312687030523</v>
      </c>
      <c r="AA134" s="92" t="n">
        <f aca="false">IF(24&lt;'Assumption Setting'!$F$106,0,IFERROR(AA93*'Assumption Setting'!$C$106/AA108,0))</f>
        <v>0.127312687030523</v>
      </c>
      <c r="AB134" s="91" t="n">
        <f aca="false">SUM(AC134:AN134)</f>
        <v>1.85173948865206</v>
      </c>
      <c r="AC134" s="92" t="n">
        <f aca="false">IF(25&lt;'Assumption Setting'!$F$106,0,IFERROR(AC93*'Assumption Setting'!$C$106/AC108,0))</f>
        <v>0.127312687030523</v>
      </c>
      <c r="AD134" s="92" t="n">
        <f aca="false">IF(26&lt;'Assumption Setting'!$F$106,0,IFERROR(AD93*'Assumption Setting'!$C$106/AD108,0))</f>
        <v>0.127312687030523</v>
      </c>
      <c r="AE134" s="92" t="n">
        <f aca="false">IF(27&lt;'Assumption Setting'!$F$106,0,IFERROR(AE93*'Assumption Setting'!$C$106/AE108,0))</f>
        <v>0.138886567669662</v>
      </c>
      <c r="AF134" s="92" t="n">
        <f aca="false">IF(28&lt;'Assumption Setting'!$F$106,0,IFERROR(AF93*'Assumption Setting'!$C$106/AF108,0))</f>
        <v>0.138886567669662</v>
      </c>
      <c r="AG134" s="92" t="n">
        <f aca="false">IF(29&lt;'Assumption Setting'!$F$106,0,IFERROR(AG93*'Assumption Setting'!$C$106/AG108,0))</f>
        <v>0.138886567669662</v>
      </c>
      <c r="AH134" s="92" t="n">
        <f aca="false">IF(30&lt;'Assumption Setting'!$F$106,0,IFERROR(AH93*'Assumption Setting'!$C$106/AH108,0))</f>
        <v>0.138886567669662</v>
      </c>
      <c r="AI134" s="92" t="n">
        <f aca="false">IF(31&lt;'Assumption Setting'!$F$106,0,IFERROR(AI93*'Assumption Setting'!$C$106/AI108,0))</f>
        <v>0.138886567669662</v>
      </c>
      <c r="AJ134" s="92" t="n">
        <f aca="false">IF(32&lt;'Assumption Setting'!$F$106,0,IFERROR(AJ93*'Assumption Setting'!$C$106/AJ108,0))</f>
        <v>0.138886567669662</v>
      </c>
      <c r="AK134" s="92" t="n">
        <f aca="false">IF(33&lt;'Assumption Setting'!$F$106,0,IFERROR(AK93*'Assumption Setting'!$C$106/AK108,0))</f>
        <v>0.138886567669662</v>
      </c>
      <c r="AL134" s="92" t="n">
        <f aca="false">IF(34&lt;'Assumption Setting'!$F$106,0,IFERROR(AL93*'Assumption Setting'!$C$106/AL108,0))</f>
        <v>0.208302713634462</v>
      </c>
      <c r="AM134" s="92" t="n">
        <f aca="false">IF(35&lt;'Assumption Setting'!$F$106,0,IFERROR(AM93*'Assumption Setting'!$C$106/AM108,0))</f>
        <v>0.208302713634462</v>
      </c>
      <c r="AN134" s="92" t="n">
        <f aca="false">IF(36&lt;'Assumption Setting'!$F$106,0,IFERROR(AN93*'Assumption Setting'!$C$106/AN108,0))</f>
        <v>0.208302713634462</v>
      </c>
      <c r="AO134" s="91" t="n">
        <f aca="false">SUM(AP134:BA134)</f>
        <v>2.77968213791585</v>
      </c>
      <c r="AP134" s="92" t="n">
        <f aca="false">IF(37&lt;'Assumption Setting'!$F$106,0,IFERROR(AP93*'Assumption Setting'!$C$106/AP108,0))</f>
        <v>0.208302713634462</v>
      </c>
      <c r="AQ134" s="92" t="n">
        <f aca="false">IF(38&lt;'Assumption Setting'!$F$106,0,IFERROR(AQ93*'Assumption Setting'!$C$106/AQ108,0))</f>
        <v>0.208302713634462</v>
      </c>
      <c r="AR134" s="92" t="n">
        <f aca="false">IF(39&lt;'Assumption Setting'!$F$106,0,IFERROR(AR93*'Assumption Setting'!$C$106/AR108,0))</f>
        <v>0.216981993369231</v>
      </c>
      <c r="AS134" s="92" t="n">
        <f aca="false">IF(40&lt;'Assumption Setting'!$F$106,0,IFERROR(AS93*'Assumption Setting'!$C$106/AS108,0))</f>
        <v>0.216981993369231</v>
      </c>
      <c r="AT134" s="92" t="n">
        <f aca="false">IF(41&lt;'Assumption Setting'!$F$106,0,IFERROR(AT93*'Assumption Setting'!$C$106/AT108,0))</f>
        <v>0.216981993369231</v>
      </c>
      <c r="AU134" s="92" t="n">
        <f aca="false">IF(42&lt;'Assumption Setting'!$F$106,0,IFERROR(AU93*'Assumption Setting'!$C$106/AU108,0))</f>
        <v>0.216981993369231</v>
      </c>
      <c r="AV134" s="92" t="n">
        <f aca="false">IF(43&lt;'Assumption Setting'!$F$106,0,IFERROR(AV93*'Assumption Setting'!$C$106/AV108,0))</f>
        <v>0.216981993369231</v>
      </c>
      <c r="AW134" s="92" t="n">
        <f aca="false">IF(44&lt;'Assumption Setting'!$F$106,0,IFERROR(AW93*'Assumption Setting'!$C$106/AW108,0))</f>
        <v>0.216981993369231</v>
      </c>
      <c r="AX134" s="92" t="n">
        <f aca="false">IF(45&lt;'Assumption Setting'!$F$106,0,IFERROR(AX93*'Assumption Setting'!$C$106/AX108,0))</f>
        <v>0.216981993369231</v>
      </c>
      <c r="AY134" s="92" t="n">
        <f aca="false">IF(46&lt;'Assumption Setting'!$F$106,0,IFERROR(AY93*'Assumption Setting'!$C$106/AY108,0))</f>
        <v>0.281400919020769</v>
      </c>
      <c r="AZ134" s="92" t="n">
        <f aca="false">IF(47&lt;'Assumption Setting'!$F$106,0,IFERROR(AZ93*'Assumption Setting'!$C$106/AZ108,0))</f>
        <v>0.281400919020769</v>
      </c>
      <c r="BA134" s="92" t="n">
        <f aca="false">IF(48&lt;'Assumption Setting'!$F$106,0,IFERROR(BA93*'Assumption Setting'!$C$106/BA108,0))</f>
        <v>0.281400919020769</v>
      </c>
      <c r="BB134" s="91" t="n">
        <f aca="false">SUM(BC134:BN134)</f>
        <v>3.68998815986634</v>
      </c>
      <c r="BC134" s="92" t="n">
        <f aca="false">IF(49&lt;'Assumption Setting'!$F$106,0,IFERROR(BC93*'Assumption Setting'!$C$106/BC108,0))</f>
        <v>0.281400919020769</v>
      </c>
      <c r="BD134" s="92" t="n">
        <f aca="false">IF(50&lt;'Assumption Setting'!$F$106,0,IFERROR(BD93*'Assumption Setting'!$C$106/BD108,0))</f>
        <v>0.281400919020769</v>
      </c>
      <c r="BE134" s="92" t="n">
        <f aca="false">IF(51&lt;'Assumption Setting'!$F$106,0,IFERROR(BE93*'Assumption Setting'!$C$106/BE108,0))</f>
        <v>0.2926569557816</v>
      </c>
      <c r="BF134" s="92" t="n">
        <f aca="false">IF(52&lt;'Assumption Setting'!$F$106,0,IFERROR(BF93*'Assumption Setting'!$C$106/BF108,0))</f>
        <v>0.2926569557816</v>
      </c>
      <c r="BG134" s="92" t="n">
        <f aca="false">IF(53&lt;'Assumption Setting'!$F$106,0,IFERROR(BG93*'Assumption Setting'!$C$106/BG108,0))</f>
        <v>0.2926569557816</v>
      </c>
      <c r="BH134" s="92" t="n">
        <f aca="false">IF(54&lt;'Assumption Setting'!$F$106,0,IFERROR(BH93*'Assumption Setting'!$C$106/BH108,0))</f>
        <v>0.2926569557816</v>
      </c>
      <c r="BI134" s="92" t="n">
        <f aca="false">IF(55&lt;'Assumption Setting'!$F$106,0,IFERROR(BI93*'Assumption Setting'!$C$106/BI108,0))</f>
        <v>0.2926569557816</v>
      </c>
      <c r="BJ134" s="92" t="n">
        <f aca="false">IF(56&lt;'Assumption Setting'!$F$106,0,IFERROR(BJ93*'Assumption Setting'!$C$106/BJ108,0))</f>
        <v>0.2926569557816</v>
      </c>
      <c r="BK134" s="92" t="n">
        <f aca="false">IF(57&lt;'Assumption Setting'!$F$106,0,IFERROR(BK93*'Assumption Setting'!$C$106/BK108,0))</f>
        <v>0.2926569557816</v>
      </c>
      <c r="BL134" s="92" t="n">
        <f aca="false">IF(58&lt;'Assumption Setting'!$F$106,0,IFERROR(BL93*'Assumption Setting'!$C$106/BL108,0))</f>
        <v>0.3595292104512</v>
      </c>
      <c r="BM134" s="92" t="n">
        <f aca="false">IF(59&lt;'Assumption Setting'!$F$106,0,IFERROR(BM93*'Assumption Setting'!$C$106/BM108,0))</f>
        <v>0.3595292104512</v>
      </c>
      <c r="BN134" s="92" t="n">
        <f aca="false">IF(60&lt;'Assumption Setting'!$F$106,0,IFERROR(BN93*'Assumption Setting'!$C$106/BN108,0))</f>
        <v>0.3595292104512</v>
      </c>
    </row>
    <row r="135" customFormat="false" ht="15" hidden="false" customHeight="false" outlineLevel="0" collapsed="false">
      <c r="A135" s="69" t="s">
        <v>653</v>
      </c>
      <c r="B135" s="91" t="n">
        <f aca="false">N135</f>
        <v>0</v>
      </c>
      <c r="C135" s="93" t="n">
        <f aca="false">C134</f>
        <v>0</v>
      </c>
      <c r="D135" s="93" t="n">
        <f aca="true">C135+D134-IF((2-'Assumption Setting'!$E$106)&lt;1,0,OFFSET($A$134,0,2+13*INT(((2-'Assumption Setting'!$E$106)-1)/12)+MOD((2-'Assumption Setting'!$E$106)-1,12)))</f>
        <v>0</v>
      </c>
      <c r="E135" s="93" t="n">
        <f aca="true">D135+E134-IF((3-'Assumption Setting'!$E$106)&lt;1,0,OFFSET($A$134,0,2+13*INT(((3-'Assumption Setting'!$E$106)-1)/12)+MOD((3-'Assumption Setting'!$E$106)-1,12)))</f>
        <v>0</v>
      </c>
      <c r="F135" s="93" t="n">
        <f aca="true">E135+F134-IF((4-'Assumption Setting'!$E$106)&lt;1,0,OFFSET($A$134,0,2+13*INT(((4-'Assumption Setting'!$E$106)-1)/12)+MOD((4-'Assumption Setting'!$E$106)-1,12)))</f>
        <v>0</v>
      </c>
      <c r="G135" s="93" t="n">
        <f aca="true">F135+G134-IF((5-'Assumption Setting'!$E$106)&lt;1,0,OFFSET($A$134,0,2+13*INT(((5-'Assumption Setting'!$E$106)-1)/12)+MOD((5-'Assumption Setting'!$E$106)-1,12)))</f>
        <v>0</v>
      </c>
      <c r="H135" s="93" t="n">
        <f aca="true">G135+H134-IF((6-'Assumption Setting'!$E$106)&lt;1,0,OFFSET($A$134,0,2+13*INT(((6-'Assumption Setting'!$E$106)-1)/12)+MOD((6-'Assumption Setting'!$E$106)-1,12)))</f>
        <v>0</v>
      </c>
      <c r="I135" s="93" t="n">
        <f aca="true">H135+I134-IF((7-'Assumption Setting'!$E$106)&lt;1,0,OFFSET($A$134,0,2+13*INT(((7-'Assumption Setting'!$E$106)-1)/12)+MOD((7-'Assumption Setting'!$E$106)-1,12)))</f>
        <v>0</v>
      </c>
      <c r="J135" s="93" t="n">
        <f aca="true">I135+J134-IF((8-'Assumption Setting'!$E$106)&lt;1,0,OFFSET($A$134,0,2+13*INT(((8-'Assumption Setting'!$E$106)-1)/12)+MOD((8-'Assumption Setting'!$E$106)-1,12)))</f>
        <v>0</v>
      </c>
      <c r="K135" s="93" t="n">
        <f aca="true">J135+K134-IF((9-'Assumption Setting'!$E$106)&lt;1,0,OFFSET($A$134,0,2+13*INT(((9-'Assumption Setting'!$E$106)-1)/12)+MOD((9-'Assumption Setting'!$E$106)-1,12)))</f>
        <v>0</v>
      </c>
      <c r="L135" s="93" t="n">
        <f aca="true">K135+L134-IF((10-'Assumption Setting'!$E$106)&lt;1,0,OFFSET($A$134,0,2+13*INT(((10-'Assumption Setting'!$E$106)-1)/12)+MOD((10-'Assumption Setting'!$E$106)-1,12)))</f>
        <v>0</v>
      </c>
      <c r="M135" s="93" t="n">
        <f aca="true">L135+M134-IF((11-'Assumption Setting'!$E$106)&lt;1,0,OFFSET($A$134,0,2+13*INT(((11-'Assumption Setting'!$E$106)-1)/12)+MOD((11-'Assumption Setting'!$E$106)-1,12)))</f>
        <v>0</v>
      </c>
      <c r="N135" s="93" t="n">
        <f aca="true">M135+N134-IF((12-'Assumption Setting'!$E$106)&lt;1,0,OFFSET($A$134,0,2+13*INT(((12-'Assumption Setting'!$E$106)-1)/12)+MOD((12-'Assumption Setting'!$E$106)-1,12)))</f>
        <v>0</v>
      </c>
      <c r="O135" s="91" t="n">
        <f aca="false">AA135</f>
        <v>1.11285285295963</v>
      </c>
      <c r="P135" s="93" t="n">
        <f aca="true">N135+P134-IF((13-'Assumption Setting'!$E$106)&lt;1,0,OFFSET($A$134,0,2+13*INT(((13-'Assumption Setting'!$E$106)-1)/12)+MOD((13-'Assumption Setting'!$E$106)-1,12)))</f>
        <v>0.0753520403987692</v>
      </c>
      <c r="Q135" s="93" t="n">
        <f aca="true">P135+Q134-IF((14-'Assumption Setting'!$E$106)&lt;1,0,OFFSET($A$134,0,2+13*INT(((14-'Assumption Setting'!$E$106)-1)/12)+MOD((14-'Assumption Setting'!$E$106)-1,12)))</f>
        <v>0.150704080797538</v>
      </c>
      <c r="R135" s="93" t="n">
        <f aca="true">Q135+R134-IF((15-'Assumption Setting'!$E$106)&lt;1,0,OFFSET($A$134,0,2+13*INT(((15-'Assumption Setting'!$E$106)-1)/12)+MOD((15-'Assumption Setting'!$E$106)-1,12)))</f>
        <v>0.233591325236185</v>
      </c>
      <c r="S135" s="93" t="n">
        <f aca="true">R135+S134-IF((16-'Assumption Setting'!$E$106)&lt;1,0,OFFSET($A$134,0,2+13*INT(((16-'Assumption Setting'!$E$106)-1)/12)+MOD((16-'Assumption Setting'!$E$106)-1,12)))</f>
        <v>0.316478569674831</v>
      </c>
      <c r="T135" s="93" t="n">
        <f aca="true">S135+T134-IF((17-'Assumption Setting'!$E$106)&lt;1,0,OFFSET($A$134,0,2+13*INT(((17-'Assumption Setting'!$E$106)-1)/12)+MOD((17-'Assumption Setting'!$E$106)-1,12)))</f>
        <v>0.399365814113477</v>
      </c>
      <c r="U135" s="93" t="n">
        <f aca="true">T135+U134-IF((18-'Assumption Setting'!$E$106)&lt;1,0,OFFSET($A$134,0,2+13*INT(((18-'Assumption Setting'!$E$106)-1)/12)+MOD((18-'Assumption Setting'!$E$106)-1,12)))</f>
        <v>0.482253058552123</v>
      </c>
      <c r="V135" s="93" t="n">
        <f aca="true">U135+V134-IF((19-'Assumption Setting'!$E$106)&lt;1,0,OFFSET($A$134,0,2+13*INT(((19-'Assumption Setting'!$E$106)-1)/12)+MOD((19-'Assumption Setting'!$E$106)-1,12)))</f>
        <v>0.565140302990769</v>
      </c>
      <c r="W135" s="93" t="n">
        <f aca="true">V135+W134-IF((20-'Assumption Setting'!$E$106)&lt;1,0,OFFSET($A$134,0,2+13*INT(((20-'Assumption Setting'!$E$106)-1)/12)+MOD((20-'Assumption Setting'!$E$106)-1,12)))</f>
        <v>0.648027547429415</v>
      </c>
      <c r="X135" s="93" t="n">
        <f aca="true">W135+X134-IF((21-'Assumption Setting'!$E$106)&lt;1,0,OFFSET($A$134,0,2+13*INT(((21-'Assumption Setting'!$E$106)-1)/12)+MOD((21-'Assumption Setting'!$E$106)-1,12)))</f>
        <v>0.730914791868062</v>
      </c>
      <c r="Y135" s="93" t="n">
        <f aca="true">X135+Y134-IF((22-'Assumption Setting'!$E$106)&lt;1,0,OFFSET($A$134,0,2+13*INT(((22-'Assumption Setting'!$E$106)-1)/12)+MOD((22-'Assumption Setting'!$E$106)-1,12)))</f>
        <v>0.858227478898585</v>
      </c>
      <c r="Z135" s="93" t="n">
        <f aca="true">Y135+Z134-IF((23-'Assumption Setting'!$E$106)&lt;1,0,OFFSET($A$134,0,2+13*INT(((23-'Assumption Setting'!$E$106)-1)/12)+MOD((23-'Assumption Setting'!$E$106)-1,12)))</f>
        <v>0.985540165929108</v>
      </c>
      <c r="AA135" s="93" t="n">
        <f aca="true">Z135+AA134-IF((24-'Assumption Setting'!$E$106)&lt;1,0,OFFSET($A$134,0,2+13*INT(((24-'Assumption Setting'!$E$106)-1)/12)+MOD((24-'Assumption Setting'!$E$106)-1,12)))</f>
        <v>1.11285285295963</v>
      </c>
      <c r="AB135" s="91" t="n">
        <f aca="false">AN135</f>
        <v>1.85173948865206</v>
      </c>
      <c r="AC135" s="93" t="n">
        <f aca="true">AA135+AC134-IF((25-'Assumption Setting'!$E$106)&lt;1,0,OFFSET($A$134,0,2+13*INT(((25-'Assumption Setting'!$E$106)-1)/12)+MOD((25-'Assumption Setting'!$E$106)-1,12)))</f>
        <v>1.16481349959138</v>
      </c>
      <c r="AD135" s="93" t="n">
        <f aca="true">AC135+AD134-IF((26-'Assumption Setting'!$E$106)&lt;1,0,OFFSET($A$134,0,2+13*INT(((26-'Assumption Setting'!$E$106)-1)/12)+MOD((26-'Assumption Setting'!$E$106)-1,12)))</f>
        <v>1.21677414622314</v>
      </c>
      <c r="AE135" s="93" t="n">
        <f aca="true">AD135+AE134-IF((27-'Assumption Setting'!$E$106)&lt;1,0,OFFSET($A$134,0,2+13*INT(((27-'Assumption Setting'!$E$106)-1)/12)+MOD((27-'Assumption Setting'!$E$106)-1,12)))</f>
        <v>1.27277346945415</v>
      </c>
      <c r="AF135" s="93" t="n">
        <f aca="true">AE135+AF134-IF((28-'Assumption Setting'!$E$106)&lt;1,0,OFFSET($A$134,0,2+13*INT(((28-'Assumption Setting'!$E$106)-1)/12)+MOD((28-'Assumption Setting'!$E$106)-1,12)))</f>
        <v>1.32877279268517</v>
      </c>
      <c r="AG135" s="93" t="n">
        <f aca="true">AF135+AG134-IF((29-'Assumption Setting'!$E$106)&lt;1,0,OFFSET($A$134,0,2+13*INT(((29-'Assumption Setting'!$E$106)-1)/12)+MOD((29-'Assumption Setting'!$E$106)-1,12)))</f>
        <v>1.38477211591618</v>
      </c>
      <c r="AH135" s="93" t="n">
        <f aca="true">AG135+AH134-IF((30-'Assumption Setting'!$E$106)&lt;1,0,OFFSET($A$134,0,2+13*INT(((30-'Assumption Setting'!$E$106)-1)/12)+MOD((30-'Assumption Setting'!$E$106)-1,12)))</f>
        <v>1.4407714391472</v>
      </c>
      <c r="AI135" s="93" t="n">
        <f aca="true">AH135+AI134-IF((31-'Assumption Setting'!$E$106)&lt;1,0,OFFSET($A$134,0,2+13*INT(((31-'Assumption Setting'!$E$106)-1)/12)+MOD((31-'Assumption Setting'!$E$106)-1,12)))</f>
        <v>1.49677076237822</v>
      </c>
      <c r="AJ135" s="93" t="n">
        <f aca="true">AI135+AJ134-IF((32-'Assumption Setting'!$E$106)&lt;1,0,OFFSET($A$134,0,2+13*INT(((32-'Assumption Setting'!$E$106)-1)/12)+MOD((32-'Assumption Setting'!$E$106)-1,12)))</f>
        <v>1.55277008560923</v>
      </c>
      <c r="AK135" s="93" t="n">
        <f aca="true">AJ135+AK134-IF((33-'Assumption Setting'!$E$106)&lt;1,0,OFFSET($A$134,0,2+13*INT(((33-'Assumption Setting'!$E$106)-1)/12)+MOD((33-'Assumption Setting'!$E$106)-1,12)))</f>
        <v>1.60876940884025</v>
      </c>
      <c r="AL135" s="93" t="n">
        <f aca="true">AK135+AL134-IF((34-'Assumption Setting'!$E$106)&lt;1,0,OFFSET($A$134,0,2+13*INT(((34-'Assumption Setting'!$E$106)-1)/12)+MOD((34-'Assumption Setting'!$E$106)-1,12)))</f>
        <v>1.68975943544418</v>
      </c>
      <c r="AM135" s="93" t="n">
        <f aca="true">AL135+AM134-IF((35-'Assumption Setting'!$E$106)&lt;1,0,OFFSET($A$134,0,2+13*INT(((35-'Assumption Setting'!$E$106)-1)/12)+MOD((35-'Assumption Setting'!$E$106)-1,12)))</f>
        <v>1.77074946204812</v>
      </c>
      <c r="AN135" s="93" t="n">
        <f aca="true">AM135+AN134-IF((36-'Assumption Setting'!$E$106)&lt;1,0,OFFSET($A$134,0,2+13*INT(((36-'Assumption Setting'!$E$106)-1)/12)+MOD((36-'Assumption Setting'!$E$106)-1,12)))</f>
        <v>1.85173948865206</v>
      </c>
      <c r="AO135" s="91" t="n">
        <f aca="false">BA135</f>
        <v>2.77968213791585</v>
      </c>
      <c r="AP135" s="93" t="n">
        <f aca="true">AN135+AP134-IF((37-'Assumption Setting'!$E$106)&lt;1,0,OFFSET($A$134,0,2+13*INT(((37-'Assumption Setting'!$E$106)-1)/12)+MOD((37-'Assumption Setting'!$E$106)-1,12)))</f>
        <v>1.932729515256</v>
      </c>
      <c r="AQ135" s="93" t="n">
        <f aca="true">AP135+AQ134-IF((38-'Assumption Setting'!$E$106)&lt;1,0,OFFSET($A$134,0,2+13*INT(((38-'Assumption Setting'!$E$106)-1)/12)+MOD((38-'Assumption Setting'!$E$106)-1,12)))</f>
        <v>2.01371954185994</v>
      </c>
      <c r="AR135" s="93" t="n">
        <f aca="true">AQ135+AR134-IF((39-'Assumption Setting'!$E$106)&lt;1,0,OFFSET($A$134,0,2+13*INT(((39-'Assumption Setting'!$E$106)-1)/12)+MOD((39-'Assumption Setting'!$E$106)-1,12)))</f>
        <v>2.09181496755951</v>
      </c>
      <c r="AS135" s="93" t="n">
        <f aca="true">AR135+AS134-IF((40-'Assumption Setting'!$E$106)&lt;1,0,OFFSET($A$134,0,2+13*INT(((40-'Assumption Setting'!$E$106)-1)/12)+MOD((40-'Assumption Setting'!$E$106)-1,12)))</f>
        <v>2.16991039325908</v>
      </c>
      <c r="AT135" s="93" t="n">
        <f aca="true">AS135+AT134-IF((41-'Assumption Setting'!$E$106)&lt;1,0,OFFSET($A$134,0,2+13*INT(((41-'Assumption Setting'!$E$106)-1)/12)+MOD((41-'Assumption Setting'!$E$106)-1,12)))</f>
        <v>2.24800581895865</v>
      </c>
      <c r="AU135" s="93" t="n">
        <f aca="true">AT135+AU134-IF((42-'Assumption Setting'!$E$106)&lt;1,0,OFFSET($A$134,0,2+13*INT(((42-'Assumption Setting'!$E$106)-1)/12)+MOD((42-'Assumption Setting'!$E$106)-1,12)))</f>
        <v>2.32610124465822</v>
      </c>
      <c r="AV135" s="93" t="n">
        <f aca="true">AU135+AV134-IF((43-'Assumption Setting'!$E$106)&lt;1,0,OFFSET($A$134,0,2+13*INT(((43-'Assumption Setting'!$E$106)-1)/12)+MOD((43-'Assumption Setting'!$E$106)-1,12)))</f>
        <v>2.40419667035779</v>
      </c>
      <c r="AW135" s="93" t="n">
        <f aca="true">AV135+AW134-IF((44-'Assumption Setting'!$E$106)&lt;1,0,OFFSET($A$134,0,2+13*INT(((44-'Assumption Setting'!$E$106)-1)/12)+MOD((44-'Assumption Setting'!$E$106)-1,12)))</f>
        <v>2.48229209605736</v>
      </c>
      <c r="AX135" s="93" t="n">
        <f aca="true">AW135+AX134-IF((45-'Assumption Setting'!$E$106)&lt;1,0,OFFSET($A$134,0,2+13*INT(((45-'Assumption Setting'!$E$106)-1)/12)+MOD((45-'Assumption Setting'!$E$106)-1,12)))</f>
        <v>2.56038752175693</v>
      </c>
      <c r="AY135" s="93" t="n">
        <f aca="true">AX135+AY134-IF((46-'Assumption Setting'!$E$106)&lt;1,0,OFFSET($A$134,0,2+13*INT(((46-'Assumption Setting'!$E$106)-1)/12)+MOD((46-'Assumption Setting'!$E$106)-1,12)))</f>
        <v>2.63348572714323</v>
      </c>
      <c r="AZ135" s="93" t="n">
        <f aca="true">AY135+AZ134-IF((47-'Assumption Setting'!$E$106)&lt;1,0,OFFSET($A$134,0,2+13*INT(((47-'Assumption Setting'!$E$106)-1)/12)+MOD((47-'Assumption Setting'!$E$106)-1,12)))</f>
        <v>2.70658393252954</v>
      </c>
      <c r="BA135" s="93" t="n">
        <f aca="true">AZ135+BA134-IF((48-'Assumption Setting'!$E$106)&lt;1,0,OFFSET($A$134,0,2+13*INT(((48-'Assumption Setting'!$E$106)-1)/12)+MOD((48-'Assumption Setting'!$E$106)-1,12)))</f>
        <v>2.77968213791585</v>
      </c>
      <c r="BB135" s="91" t="n">
        <f aca="false">BN135</f>
        <v>3.68998815986634</v>
      </c>
      <c r="BC135" s="93" t="n">
        <f aca="true">BA135+BC134-IF((49-'Assumption Setting'!$E$106)&lt;1,0,OFFSET($A$134,0,2+13*INT(((49-'Assumption Setting'!$E$106)-1)/12)+MOD((49-'Assumption Setting'!$E$106)-1,12)))</f>
        <v>2.85278034330216</v>
      </c>
      <c r="BD135" s="93" t="n">
        <f aca="true">BC135+BD134-IF((50-'Assumption Setting'!$E$106)&lt;1,0,OFFSET($A$134,0,2+13*INT(((50-'Assumption Setting'!$E$106)-1)/12)+MOD((50-'Assumption Setting'!$E$106)-1,12)))</f>
        <v>2.92587854868847</v>
      </c>
      <c r="BE135" s="93" t="n">
        <f aca="true">BD135+BE134-IF((51-'Assumption Setting'!$E$106)&lt;1,0,OFFSET($A$134,0,2+13*INT(((51-'Assumption Setting'!$E$106)-1)/12)+MOD((51-'Assumption Setting'!$E$106)-1,12)))</f>
        <v>3.00155351110083</v>
      </c>
      <c r="BF135" s="93" t="n">
        <f aca="true">BE135+BF134-IF((52-'Assumption Setting'!$E$106)&lt;1,0,OFFSET($A$134,0,2+13*INT(((52-'Assumption Setting'!$E$106)-1)/12)+MOD((52-'Assumption Setting'!$E$106)-1,12)))</f>
        <v>3.0772284735132</v>
      </c>
      <c r="BG135" s="93" t="n">
        <f aca="true">BF135+BG134-IF((53-'Assumption Setting'!$E$106)&lt;1,0,OFFSET($A$134,0,2+13*INT(((53-'Assumption Setting'!$E$106)-1)/12)+MOD((53-'Assumption Setting'!$E$106)-1,12)))</f>
        <v>3.15290343592557</v>
      </c>
      <c r="BH135" s="93" t="n">
        <f aca="true">BG135+BH134-IF((54-'Assumption Setting'!$E$106)&lt;1,0,OFFSET($A$134,0,2+13*INT(((54-'Assumption Setting'!$E$106)-1)/12)+MOD((54-'Assumption Setting'!$E$106)-1,12)))</f>
        <v>3.22857839833794</v>
      </c>
      <c r="BI135" s="93" t="n">
        <f aca="true">BH135+BI134-IF((55-'Assumption Setting'!$E$106)&lt;1,0,OFFSET($A$134,0,2+13*INT(((55-'Assumption Setting'!$E$106)-1)/12)+MOD((55-'Assumption Setting'!$E$106)-1,12)))</f>
        <v>3.30425336075031</v>
      </c>
      <c r="BJ135" s="93" t="n">
        <f aca="true">BI135+BJ134-IF((56-'Assumption Setting'!$E$106)&lt;1,0,OFFSET($A$134,0,2+13*INT(((56-'Assumption Setting'!$E$106)-1)/12)+MOD((56-'Assumption Setting'!$E$106)-1,12)))</f>
        <v>3.37992832316268</v>
      </c>
      <c r="BK135" s="93" t="n">
        <f aca="true">BJ135+BK134-IF((57-'Assumption Setting'!$E$106)&lt;1,0,OFFSET($A$134,0,2+13*INT(((57-'Assumption Setting'!$E$106)-1)/12)+MOD((57-'Assumption Setting'!$E$106)-1,12)))</f>
        <v>3.45560328557505</v>
      </c>
      <c r="BL135" s="93" t="n">
        <f aca="true">BK135+BL134-IF((58-'Assumption Setting'!$E$106)&lt;1,0,OFFSET($A$134,0,2+13*INT(((58-'Assumption Setting'!$E$106)-1)/12)+MOD((58-'Assumption Setting'!$E$106)-1,12)))</f>
        <v>3.53373157700548</v>
      </c>
      <c r="BM135" s="93" t="n">
        <f aca="true">BL135+BM134-IF((59-'Assumption Setting'!$E$106)&lt;1,0,OFFSET($A$134,0,2+13*INT(((59-'Assumption Setting'!$E$106)-1)/12)+MOD((59-'Assumption Setting'!$E$106)-1,12)))</f>
        <v>3.61185986843591</v>
      </c>
      <c r="BN135" s="93" t="n">
        <f aca="true">BM135+BN134-IF((60-'Assumption Setting'!$E$106)&lt;1,0,OFFSET($A$134,0,2+13*INT(((60-'Assumption Setting'!$E$106)-1)/12)+MOD((60-'Assumption Setting'!$E$106)-1,12)))</f>
        <v>3.68998815986634</v>
      </c>
    </row>
    <row r="136" customFormat="false" ht="15" hidden="false" customHeight="false" outlineLevel="0" collapsed="false">
      <c r="A136" s="12" t="s">
        <v>654</v>
      </c>
      <c r="B136" s="91" t="n">
        <f aca="false">SUM(C136:N136)</f>
        <v>2.64404451779133</v>
      </c>
      <c r="C136" s="92" t="n">
        <f aca="false">IF(1&lt;'Assumption Setting'!$F$107,0,IFERROR(C98*'Assumption Setting'!$C$107/C109,0))+'Assumption Setting'!$C$33*'Assumption Setting'!$C$34</f>
        <v>0.5</v>
      </c>
      <c r="D136" s="92" t="n">
        <f aca="false">IF(2&lt;'Assumption Setting'!$F$107,0,IFERROR(D98*'Assumption Setting'!$C$107/D109,0))+'Assumption Setting'!$C$33*'Assumption Setting'!$C$35</f>
        <v>0.3</v>
      </c>
      <c r="E136" s="92" t="n">
        <f aca="false">IF(3&lt;'Assumption Setting'!$F$107,0,IFERROR(E98*'Assumption Setting'!$C$107/E109,0))+'Assumption Setting'!$C$33*'Assumption Setting'!$C$36</f>
        <v>0.2</v>
      </c>
      <c r="F136" s="92" t="n">
        <f aca="false">IF(4&lt;'Assumption Setting'!$F$107,0,IFERROR(F98*'Assumption Setting'!$C$107/F109,0))</f>
        <v>0</v>
      </c>
      <c r="G136" s="92" t="n">
        <f aca="false">IF(5&lt;'Assumption Setting'!$F$107,0,IFERROR(G98*'Assumption Setting'!$C$107/G109,0))</f>
        <v>0.205505564723916</v>
      </c>
      <c r="H136" s="92" t="n">
        <f aca="false">IF(6&lt;'Assumption Setting'!$F$107,0,IFERROR(H98*'Assumption Setting'!$C$107/H109,0))</f>
        <v>0.205505564723916</v>
      </c>
      <c r="I136" s="92" t="n">
        <f aca="false">IF(7&lt;'Assumption Setting'!$F$107,0,IFERROR(I98*'Assumption Setting'!$C$107/I109,0))</f>
        <v>0.205505564723916</v>
      </c>
      <c r="J136" s="92" t="n">
        <f aca="false">IF(8&lt;'Assumption Setting'!$F$107,0,IFERROR(J98*'Assumption Setting'!$C$107/J109,0))</f>
        <v>0.205505564723916</v>
      </c>
      <c r="K136" s="92" t="n">
        <f aca="false">IF(9&lt;'Assumption Setting'!$F$107,0,IFERROR(K98*'Assumption Setting'!$C$107/K109,0))</f>
        <v>0.205505564723916</v>
      </c>
      <c r="L136" s="92" t="n">
        <f aca="false">IF(10&lt;'Assumption Setting'!$F$107,0,IFERROR(L98*'Assumption Setting'!$C$107/L109,0))</f>
        <v>0.205505564723916</v>
      </c>
      <c r="M136" s="92" t="n">
        <f aca="false">IF(11&lt;'Assumption Setting'!$F$107,0,IFERROR(M98*'Assumption Setting'!$C$107/M109,0))</f>
        <v>0.205505564723916</v>
      </c>
      <c r="N136" s="92" t="n">
        <f aca="false">IF(12&lt;'Assumption Setting'!$F$107,0,IFERROR(N98*'Assumption Setting'!$C$107/N109,0))</f>
        <v>0.205505564723916</v>
      </c>
      <c r="O136" s="91" t="n">
        <f aca="false">SUM(P136:AA136)</f>
        <v>3.66140528170607</v>
      </c>
      <c r="P136" s="92" t="n">
        <f aca="false">IF(13&lt;'Assumption Setting'!$F$107,0,IFERROR(P98*'Assumption Setting'!$C$107/P109,0))</f>
        <v>0.205505564723916</v>
      </c>
      <c r="Q136" s="92" t="n">
        <f aca="false">IF(14&lt;'Assumption Setting'!$F$107,0,IFERROR(Q98*'Assumption Setting'!$C$107/Q109,0))</f>
        <v>0.226056121196308</v>
      </c>
      <c r="R136" s="92" t="n">
        <f aca="false">IF(15&lt;'Assumption Setting'!$F$107,0,IFERROR(R98*'Assumption Setting'!$C$107/R109,0))</f>
        <v>0.226056121196308</v>
      </c>
      <c r="S136" s="92" t="n">
        <f aca="false">IF(16&lt;'Assumption Setting'!$F$107,0,IFERROR(S98*'Assumption Setting'!$C$107/S109,0))</f>
        <v>0.226056121196308</v>
      </c>
      <c r="T136" s="92" t="n">
        <f aca="false">IF(17&lt;'Assumption Setting'!$F$107,0,IFERROR(T98*'Assumption Setting'!$C$107/T109,0))</f>
        <v>0.347216419174154</v>
      </c>
      <c r="U136" s="92" t="n">
        <f aca="false">IF(18&lt;'Assumption Setting'!$F$107,0,IFERROR(U98*'Assumption Setting'!$C$107/U109,0))</f>
        <v>0.347216419174154</v>
      </c>
      <c r="V136" s="92" t="n">
        <f aca="false">IF(19&lt;'Assumption Setting'!$F$107,0,IFERROR(V98*'Assumption Setting'!$C$107/V109,0))</f>
        <v>0.347216419174154</v>
      </c>
      <c r="W136" s="92" t="n">
        <f aca="false">IF(20&lt;'Assumption Setting'!$F$107,0,IFERROR(W98*'Assumption Setting'!$C$107/W109,0))</f>
        <v>0.347216419174154</v>
      </c>
      <c r="X136" s="92" t="n">
        <f aca="false">IF(21&lt;'Assumption Setting'!$F$107,0,IFERROR(X98*'Assumption Setting'!$C$107/X109,0))</f>
        <v>0.347216419174154</v>
      </c>
      <c r="Y136" s="92" t="n">
        <f aca="false">IF(22&lt;'Assumption Setting'!$F$107,0,IFERROR(Y98*'Assumption Setting'!$C$107/Y109,0))</f>
        <v>0.347216419174154</v>
      </c>
      <c r="Z136" s="92" t="n">
        <f aca="false">IF(23&lt;'Assumption Setting'!$F$107,0,IFERROR(Z98*'Assumption Setting'!$C$107/Z109,0))</f>
        <v>0.347216419174154</v>
      </c>
      <c r="AA136" s="92" t="n">
        <f aca="false">IF(24&lt;'Assumption Setting'!$F$107,0,IFERROR(AA98*'Assumption Setting'!$C$107/AA109,0))</f>
        <v>0.347216419174154</v>
      </c>
      <c r="AB136" s="91" t="n">
        <f aca="false">SUM(AC136:AN136)</f>
        <v>6.02834754304146</v>
      </c>
      <c r="AC136" s="92" t="n">
        <f aca="false">IF(25&lt;'Assumption Setting'!$F$107,0,IFERROR(AC98*'Assumption Setting'!$C$107/AC109,0))</f>
        <v>0.347216419174154</v>
      </c>
      <c r="AD136" s="92" t="n">
        <f aca="false">IF(26&lt;'Assumption Setting'!$F$107,0,IFERROR(AD98*'Assumption Setting'!$C$107/AD109,0))</f>
        <v>0.378781548189986</v>
      </c>
      <c r="AE136" s="92" t="n">
        <f aca="false">IF(27&lt;'Assumption Setting'!$F$107,0,IFERROR(AE98*'Assumption Setting'!$C$107/AE109,0))</f>
        <v>0.378781548189986</v>
      </c>
      <c r="AF136" s="92" t="n">
        <f aca="false">IF(28&lt;'Assumption Setting'!$F$107,0,IFERROR(AF98*'Assumption Setting'!$C$107/AF109,0))</f>
        <v>0.378781548189986</v>
      </c>
      <c r="AG136" s="92" t="n">
        <f aca="false">IF(29&lt;'Assumption Setting'!$F$107,0,IFERROR(AG98*'Assumption Setting'!$C$107/AG109,0))</f>
        <v>0.568098309912168</v>
      </c>
      <c r="AH136" s="92" t="n">
        <f aca="false">IF(30&lt;'Assumption Setting'!$F$107,0,IFERROR(AH98*'Assumption Setting'!$C$107/AH109,0))</f>
        <v>0.568098309912168</v>
      </c>
      <c r="AI136" s="92" t="n">
        <f aca="false">IF(31&lt;'Assumption Setting'!$F$107,0,IFERROR(AI98*'Assumption Setting'!$C$107/AI109,0))</f>
        <v>0.568098309912168</v>
      </c>
      <c r="AJ136" s="92" t="n">
        <f aca="false">IF(32&lt;'Assumption Setting'!$F$107,0,IFERROR(AJ98*'Assumption Setting'!$C$107/AJ109,0))</f>
        <v>0.568098309912168</v>
      </c>
      <c r="AK136" s="92" t="n">
        <f aca="false">IF(33&lt;'Assumption Setting'!$F$107,0,IFERROR(AK98*'Assumption Setting'!$C$107/AK109,0))</f>
        <v>0.568098309912168</v>
      </c>
      <c r="AL136" s="92" t="n">
        <f aca="false">IF(34&lt;'Assumption Setting'!$F$107,0,IFERROR(AL98*'Assumption Setting'!$C$107/AL109,0))</f>
        <v>0.568098309912168</v>
      </c>
      <c r="AM136" s="92" t="n">
        <f aca="false">IF(35&lt;'Assumption Setting'!$F$107,0,IFERROR(AM98*'Assumption Setting'!$C$107/AM109,0))</f>
        <v>0.568098309912168</v>
      </c>
      <c r="AN136" s="92" t="n">
        <f aca="false">IF(36&lt;'Assumption Setting'!$F$107,0,IFERROR(AN98*'Assumption Setting'!$C$107/AN109,0))</f>
        <v>0.568098309912168</v>
      </c>
      <c r="AO136" s="91" t="n">
        <f aca="false">SUM(AP136:BA136)</f>
        <v>8.4830619433863</v>
      </c>
      <c r="AP136" s="92" t="n">
        <f aca="false">IF(37&lt;'Assumption Setting'!$F$107,0,IFERROR(AP98*'Assumption Setting'!$C$107/AP109,0))</f>
        <v>0.568098309912168</v>
      </c>
      <c r="AQ136" s="92" t="n">
        <f aca="false">IF(38&lt;'Assumption Setting'!$F$107,0,IFERROR(AQ98*'Assumption Setting'!$C$107/AQ109,0))</f>
        <v>0.591769072825175</v>
      </c>
      <c r="AR136" s="92" t="n">
        <f aca="false">IF(39&lt;'Assumption Setting'!$F$107,0,IFERROR(AR98*'Assumption Setting'!$C$107/AR109,0))</f>
        <v>0.591769072825175</v>
      </c>
      <c r="AS136" s="92" t="n">
        <f aca="false">IF(40&lt;'Assumption Setting'!$F$107,0,IFERROR(AS98*'Assumption Setting'!$C$107/AS109,0))</f>
        <v>0.591769072825175</v>
      </c>
      <c r="AT136" s="92" t="n">
        <f aca="false">IF(41&lt;'Assumption Setting'!$F$107,0,IFERROR(AT98*'Assumption Setting'!$C$107/AT109,0))</f>
        <v>0.767457051874825</v>
      </c>
      <c r="AU136" s="92" t="n">
        <f aca="false">IF(42&lt;'Assumption Setting'!$F$107,0,IFERROR(AU98*'Assumption Setting'!$C$107/AU109,0))</f>
        <v>0.767457051874825</v>
      </c>
      <c r="AV136" s="92" t="n">
        <f aca="false">IF(43&lt;'Assumption Setting'!$F$107,0,IFERROR(AV98*'Assumption Setting'!$C$107/AV109,0))</f>
        <v>0.767457051874825</v>
      </c>
      <c r="AW136" s="92" t="n">
        <f aca="false">IF(44&lt;'Assumption Setting'!$F$107,0,IFERROR(AW98*'Assumption Setting'!$C$107/AW109,0))</f>
        <v>0.767457051874825</v>
      </c>
      <c r="AX136" s="92" t="n">
        <f aca="false">IF(45&lt;'Assumption Setting'!$F$107,0,IFERROR(AX98*'Assumption Setting'!$C$107/AX109,0))</f>
        <v>0.767457051874825</v>
      </c>
      <c r="AY136" s="92" t="n">
        <f aca="false">IF(46&lt;'Assumption Setting'!$F$107,0,IFERROR(AY98*'Assumption Setting'!$C$107/AY109,0))</f>
        <v>0.767457051874825</v>
      </c>
      <c r="AZ136" s="92" t="n">
        <f aca="false">IF(47&lt;'Assumption Setting'!$F$107,0,IFERROR(AZ98*'Assumption Setting'!$C$107/AZ109,0))</f>
        <v>0.767457051874825</v>
      </c>
      <c r="BA136" s="92" t="n">
        <f aca="false">IF(48&lt;'Assumption Setting'!$F$107,0,IFERROR(BA98*'Assumption Setting'!$C$107/BA109,0))</f>
        <v>0.767457051874825</v>
      </c>
      <c r="BB136" s="91" t="n">
        <f aca="false">SUM(BC136:BN136)</f>
        <v>11.0061967362959</v>
      </c>
      <c r="BC136" s="92" t="n">
        <f aca="false">IF(49&lt;'Assumption Setting'!$F$107,0,IFERROR(BC98*'Assumption Setting'!$C$107/BC109,0))</f>
        <v>0.767457051874825</v>
      </c>
      <c r="BD136" s="92" t="n">
        <f aca="false">IF(50&lt;'Assumption Setting'!$F$107,0,IFERROR(BD98*'Assumption Setting'!$C$107/BD109,0))</f>
        <v>0.798155333949818</v>
      </c>
      <c r="BE136" s="92" t="n">
        <f aca="false">IF(51&lt;'Assumption Setting'!$F$107,0,IFERROR(BE98*'Assumption Setting'!$C$107/BE109,0))</f>
        <v>0.798155333949818</v>
      </c>
      <c r="BF136" s="92" t="n">
        <f aca="false">IF(52&lt;'Assumption Setting'!$F$107,0,IFERROR(BF98*'Assumption Setting'!$C$107/BF109,0))</f>
        <v>0.798155333949818</v>
      </c>
      <c r="BG136" s="92" t="n">
        <f aca="false">IF(53&lt;'Assumption Setting'!$F$107,0,IFERROR(BG98*'Assumption Setting'!$C$107/BG109,0))</f>
        <v>0.980534210321455</v>
      </c>
      <c r="BH136" s="92" t="n">
        <f aca="false">IF(54&lt;'Assumption Setting'!$F$107,0,IFERROR(BH98*'Assumption Setting'!$C$107/BH109,0))</f>
        <v>0.980534210321455</v>
      </c>
      <c r="BI136" s="92" t="n">
        <f aca="false">IF(55&lt;'Assumption Setting'!$F$107,0,IFERROR(BI98*'Assumption Setting'!$C$107/BI109,0))</f>
        <v>0.980534210321455</v>
      </c>
      <c r="BJ136" s="92" t="n">
        <f aca="false">IF(56&lt;'Assumption Setting'!$F$107,0,IFERROR(BJ98*'Assumption Setting'!$C$107/BJ109,0))</f>
        <v>0.980534210321455</v>
      </c>
      <c r="BK136" s="92" t="n">
        <f aca="false">IF(57&lt;'Assumption Setting'!$F$107,0,IFERROR(BK98*'Assumption Setting'!$C$107/BK109,0))</f>
        <v>0.980534210321455</v>
      </c>
      <c r="BL136" s="92" t="n">
        <f aca="false">IF(58&lt;'Assumption Setting'!$F$107,0,IFERROR(BL98*'Assumption Setting'!$C$107/BL109,0))</f>
        <v>0.980534210321455</v>
      </c>
      <c r="BM136" s="92" t="n">
        <f aca="false">IF(59&lt;'Assumption Setting'!$F$107,0,IFERROR(BM98*'Assumption Setting'!$C$107/BM109,0))</f>
        <v>0.980534210321455</v>
      </c>
      <c r="BN136" s="92" t="n">
        <f aca="false">IF(60&lt;'Assumption Setting'!$F$107,0,IFERROR(BN98*'Assumption Setting'!$C$107/BN109,0))</f>
        <v>0.980534210321455</v>
      </c>
    </row>
    <row r="137" customFormat="false" ht="15" hidden="false" customHeight="false" outlineLevel="0" collapsed="false">
      <c r="A137" s="69" t="s">
        <v>655</v>
      </c>
      <c r="B137" s="91" t="n">
        <f aca="false">N137</f>
        <v>2.64404451779133</v>
      </c>
      <c r="C137" s="93" t="n">
        <f aca="false">C136</f>
        <v>0.5</v>
      </c>
      <c r="D137" s="93" t="n">
        <f aca="true">C137+D136-IF((2-'Assumption Setting'!$E$107)&lt;1,0,OFFSET($A$136,0,2+13*INT(((2-'Assumption Setting'!$E$107)-1)/12)+MOD((2-'Assumption Setting'!$E$107)-1,12)))</f>
        <v>0.8</v>
      </c>
      <c r="E137" s="93" t="n">
        <f aca="true">D137+E136-IF((3-'Assumption Setting'!$E$107)&lt;1,0,OFFSET($A$136,0,2+13*INT(((3-'Assumption Setting'!$E$107)-1)/12)+MOD((3-'Assumption Setting'!$E$107)-1,12)))</f>
        <v>1</v>
      </c>
      <c r="F137" s="93" t="n">
        <f aca="true">E137+F136-IF((4-'Assumption Setting'!$E$107)&lt;1,0,OFFSET($A$136,0,2+13*INT(((4-'Assumption Setting'!$E$107)-1)/12)+MOD((4-'Assumption Setting'!$E$107)-1,12)))</f>
        <v>1</v>
      </c>
      <c r="G137" s="93" t="n">
        <f aca="true">F137+G136-IF((5-'Assumption Setting'!$E$107)&lt;1,0,OFFSET($A$136,0,2+13*INT(((5-'Assumption Setting'!$E$107)-1)/12)+MOD((5-'Assumption Setting'!$E$107)-1,12)))</f>
        <v>1.20550556472392</v>
      </c>
      <c r="H137" s="93" t="n">
        <f aca="true">G137+H136-IF((6-'Assumption Setting'!$E$107)&lt;1,0,OFFSET($A$136,0,2+13*INT(((6-'Assumption Setting'!$E$107)-1)/12)+MOD((6-'Assumption Setting'!$E$107)-1,12)))</f>
        <v>1.41101112944783</v>
      </c>
      <c r="I137" s="93" t="n">
        <f aca="true">H137+I136-IF((7-'Assumption Setting'!$E$107)&lt;1,0,OFFSET($A$136,0,2+13*INT(((7-'Assumption Setting'!$E$107)-1)/12)+MOD((7-'Assumption Setting'!$E$107)-1,12)))</f>
        <v>1.61651669417175</v>
      </c>
      <c r="J137" s="93" t="n">
        <f aca="true">I137+J136-IF((8-'Assumption Setting'!$E$107)&lt;1,0,OFFSET($A$136,0,2+13*INT(((8-'Assumption Setting'!$E$107)-1)/12)+MOD((8-'Assumption Setting'!$E$107)-1,12)))</f>
        <v>1.82202225889566</v>
      </c>
      <c r="K137" s="93" t="n">
        <f aca="true">J137+K136-IF((9-'Assumption Setting'!$E$107)&lt;1,0,OFFSET($A$136,0,2+13*INT(((9-'Assumption Setting'!$E$107)-1)/12)+MOD((9-'Assumption Setting'!$E$107)-1,12)))</f>
        <v>2.02752782361958</v>
      </c>
      <c r="L137" s="93" t="n">
        <f aca="true">K137+L136-IF((10-'Assumption Setting'!$E$107)&lt;1,0,OFFSET($A$136,0,2+13*INT(((10-'Assumption Setting'!$E$107)-1)/12)+MOD((10-'Assumption Setting'!$E$107)-1,12)))</f>
        <v>2.2330333883435</v>
      </c>
      <c r="M137" s="93" t="n">
        <f aca="true">L137+M136-IF((11-'Assumption Setting'!$E$107)&lt;1,0,OFFSET($A$136,0,2+13*INT(((11-'Assumption Setting'!$E$107)-1)/12)+MOD((11-'Assumption Setting'!$E$107)-1,12)))</f>
        <v>2.43853895306741</v>
      </c>
      <c r="N137" s="93" t="n">
        <f aca="true">M137+N136-IF((12-'Assumption Setting'!$E$107)&lt;1,0,OFFSET($A$136,0,2+13*INT(((12-'Assumption Setting'!$E$107)-1)/12)+MOD((12-'Assumption Setting'!$E$107)-1,12)))</f>
        <v>2.64404451779133</v>
      </c>
      <c r="O137" s="91" t="n">
        <f aca="false">AA137</f>
        <v>6.3054497994974</v>
      </c>
      <c r="P137" s="93" t="n">
        <f aca="true">N137+P136-IF((13-'Assumption Setting'!$E$107)&lt;1,0,OFFSET($A$136,0,2+13*INT(((13-'Assumption Setting'!$E$107)-1)/12)+MOD((13-'Assumption Setting'!$E$107)-1,12)))</f>
        <v>2.84955008251525</v>
      </c>
      <c r="Q137" s="93" t="n">
        <f aca="true">P137+Q136-IF((14-'Assumption Setting'!$E$107)&lt;1,0,OFFSET($A$136,0,2+13*INT(((14-'Assumption Setting'!$E$107)-1)/12)+MOD((14-'Assumption Setting'!$E$107)-1,12)))</f>
        <v>3.07560620371155</v>
      </c>
      <c r="R137" s="93" t="n">
        <f aca="true">Q137+R136-IF((15-'Assumption Setting'!$E$107)&lt;1,0,OFFSET($A$136,0,2+13*INT(((15-'Assumption Setting'!$E$107)-1)/12)+MOD((15-'Assumption Setting'!$E$107)-1,12)))</f>
        <v>3.30166232490786</v>
      </c>
      <c r="S137" s="93" t="n">
        <f aca="true">R137+S136-IF((16-'Assumption Setting'!$E$107)&lt;1,0,OFFSET($A$136,0,2+13*INT(((16-'Assumption Setting'!$E$107)-1)/12)+MOD((16-'Assumption Setting'!$E$107)-1,12)))</f>
        <v>3.52771844610417</v>
      </c>
      <c r="T137" s="93" t="n">
        <f aca="true">S137+T136-IF((17-'Assumption Setting'!$E$107)&lt;1,0,OFFSET($A$136,0,2+13*INT(((17-'Assumption Setting'!$E$107)-1)/12)+MOD((17-'Assumption Setting'!$E$107)-1,12)))</f>
        <v>3.87493486527832</v>
      </c>
      <c r="U137" s="93" t="n">
        <f aca="true">T137+U136-IF((18-'Assumption Setting'!$E$107)&lt;1,0,OFFSET($A$136,0,2+13*INT(((18-'Assumption Setting'!$E$107)-1)/12)+MOD((18-'Assumption Setting'!$E$107)-1,12)))</f>
        <v>4.22215128445248</v>
      </c>
      <c r="V137" s="93" t="n">
        <f aca="true">U137+V136-IF((19-'Assumption Setting'!$E$107)&lt;1,0,OFFSET($A$136,0,2+13*INT(((19-'Assumption Setting'!$E$107)-1)/12)+MOD((19-'Assumption Setting'!$E$107)-1,12)))</f>
        <v>4.56936770362663</v>
      </c>
      <c r="W137" s="93" t="n">
        <f aca="true">V137+W136-IF((20-'Assumption Setting'!$E$107)&lt;1,0,OFFSET($A$136,0,2+13*INT(((20-'Assumption Setting'!$E$107)-1)/12)+MOD((20-'Assumption Setting'!$E$107)-1,12)))</f>
        <v>4.91658412280078</v>
      </c>
      <c r="X137" s="93" t="n">
        <f aca="true">W137+X136-IF((21-'Assumption Setting'!$E$107)&lt;1,0,OFFSET($A$136,0,2+13*INT(((21-'Assumption Setting'!$E$107)-1)/12)+MOD((21-'Assumption Setting'!$E$107)-1,12)))</f>
        <v>5.26380054197494</v>
      </c>
      <c r="Y137" s="93" t="n">
        <f aca="true">X137+Y136-IF((22-'Assumption Setting'!$E$107)&lt;1,0,OFFSET($A$136,0,2+13*INT(((22-'Assumption Setting'!$E$107)-1)/12)+MOD((22-'Assumption Setting'!$E$107)-1,12)))</f>
        <v>5.61101696114909</v>
      </c>
      <c r="Z137" s="93" t="n">
        <f aca="true">Y137+Z136-IF((23-'Assumption Setting'!$E$107)&lt;1,0,OFFSET($A$136,0,2+13*INT(((23-'Assumption Setting'!$E$107)-1)/12)+MOD((23-'Assumption Setting'!$E$107)-1,12)))</f>
        <v>5.95823338032325</v>
      </c>
      <c r="AA137" s="93" t="n">
        <f aca="true">Z137+AA136-IF((24-'Assumption Setting'!$E$107)&lt;1,0,OFFSET($A$136,0,2+13*INT(((24-'Assumption Setting'!$E$107)-1)/12)+MOD((24-'Assumption Setting'!$E$107)-1,12)))</f>
        <v>6.3054497994974</v>
      </c>
      <c r="AB137" s="91" t="n">
        <f aca="false">AN137</f>
        <v>9.68975282474752</v>
      </c>
      <c r="AC137" s="93" t="n">
        <f aca="true">AA137+AC136-IF((25-'Assumption Setting'!$E$107)&lt;1,0,OFFSET($A$136,0,2+13*INT(((25-'Assumption Setting'!$E$107)-1)/12)+MOD((25-'Assumption Setting'!$E$107)-1,12)))</f>
        <v>6.15266621867155</v>
      </c>
      <c r="AD137" s="93" t="n">
        <f aca="true">AC137+AD136-IF((26-'Assumption Setting'!$E$107)&lt;1,0,OFFSET($A$136,0,2+13*INT(((26-'Assumption Setting'!$E$107)-1)/12)+MOD((26-'Assumption Setting'!$E$107)-1,12)))</f>
        <v>6.23144776686154</v>
      </c>
      <c r="AE137" s="93" t="n">
        <f aca="true">AD137+AE136-IF((27-'Assumption Setting'!$E$107)&lt;1,0,OFFSET($A$136,0,2+13*INT(((27-'Assumption Setting'!$E$107)-1)/12)+MOD((27-'Assumption Setting'!$E$107)-1,12)))</f>
        <v>6.41022931505152</v>
      </c>
      <c r="AF137" s="93" t="n">
        <f aca="true">AE137+AF136-IF((28-'Assumption Setting'!$E$107)&lt;1,0,OFFSET($A$136,0,2+13*INT(((28-'Assumption Setting'!$E$107)-1)/12)+MOD((28-'Assumption Setting'!$E$107)-1,12)))</f>
        <v>6.78901086324151</v>
      </c>
      <c r="AG137" s="93" t="n">
        <f aca="true">AF137+AG136-IF((29-'Assumption Setting'!$E$107)&lt;1,0,OFFSET($A$136,0,2+13*INT(((29-'Assumption Setting'!$E$107)-1)/12)+MOD((29-'Assumption Setting'!$E$107)-1,12)))</f>
        <v>7.15160360842976</v>
      </c>
      <c r="AH137" s="93" t="n">
        <f aca="true">AG137+AH136-IF((30-'Assumption Setting'!$E$107)&lt;1,0,OFFSET($A$136,0,2+13*INT(((30-'Assumption Setting'!$E$107)-1)/12)+MOD((30-'Assumption Setting'!$E$107)-1,12)))</f>
        <v>7.51419635361801</v>
      </c>
      <c r="AI137" s="93" t="n">
        <f aca="true">AH137+AI136-IF((31-'Assumption Setting'!$E$107)&lt;1,0,OFFSET($A$136,0,2+13*INT(((31-'Assumption Setting'!$E$107)-1)/12)+MOD((31-'Assumption Setting'!$E$107)-1,12)))</f>
        <v>7.87678909880627</v>
      </c>
      <c r="AJ137" s="93" t="n">
        <f aca="true">AI137+AJ136-IF((32-'Assumption Setting'!$E$107)&lt;1,0,OFFSET($A$136,0,2+13*INT(((32-'Assumption Setting'!$E$107)-1)/12)+MOD((32-'Assumption Setting'!$E$107)-1,12)))</f>
        <v>8.23938184399452</v>
      </c>
      <c r="AK137" s="93" t="n">
        <f aca="true">AJ137+AK136-IF((33-'Assumption Setting'!$E$107)&lt;1,0,OFFSET($A$136,0,2+13*INT(((33-'Assumption Setting'!$E$107)-1)/12)+MOD((33-'Assumption Setting'!$E$107)-1,12)))</f>
        <v>8.60197458918277</v>
      </c>
      <c r="AL137" s="93" t="n">
        <f aca="true">AK137+AL136-IF((34-'Assumption Setting'!$E$107)&lt;1,0,OFFSET($A$136,0,2+13*INT(((34-'Assumption Setting'!$E$107)-1)/12)+MOD((34-'Assumption Setting'!$E$107)-1,12)))</f>
        <v>8.96456733437102</v>
      </c>
      <c r="AM137" s="93" t="n">
        <f aca="true">AL137+AM136-IF((35-'Assumption Setting'!$E$107)&lt;1,0,OFFSET($A$136,0,2+13*INT(((35-'Assumption Setting'!$E$107)-1)/12)+MOD((35-'Assumption Setting'!$E$107)-1,12)))</f>
        <v>9.32716007955927</v>
      </c>
      <c r="AN137" s="93" t="n">
        <f aca="true">AM137+AN136-IF((36-'Assumption Setting'!$E$107)&lt;1,0,OFFSET($A$136,0,2+13*INT(((36-'Assumption Setting'!$E$107)-1)/12)+MOD((36-'Assumption Setting'!$E$107)-1,12)))</f>
        <v>9.68975282474752</v>
      </c>
      <c r="AO137" s="91" t="n">
        <f aca="false">BA137</f>
        <v>14.5114094864277</v>
      </c>
      <c r="AP137" s="93" t="n">
        <f aca="true">AN137+AP136-IF((37-'Assumption Setting'!$E$107)&lt;1,0,OFFSET($A$136,0,2+13*INT(((37-'Assumption Setting'!$E$107)-1)/12)+MOD((37-'Assumption Setting'!$E$107)-1,12)))</f>
        <v>10.0523455699358</v>
      </c>
      <c r="AQ137" s="93" t="n">
        <f aca="true">AP137+AQ136-IF((38-'Assumption Setting'!$E$107)&lt;1,0,OFFSET($A$136,0,2+13*INT(((38-'Assumption Setting'!$E$107)-1)/12)+MOD((38-'Assumption Setting'!$E$107)-1,12)))</f>
        <v>10.4180585215646</v>
      </c>
      <c r="AR137" s="93" t="n">
        <f aca="true">AQ137+AR136-IF((39-'Assumption Setting'!$E$107)&lt;1,0,OFFSET($A$136,0,2+13*INT(((39-'Assumption Setting'!$E$107)-1)/12)+MOD((39-'Assumption Setting'!$E$107)-1,12)))</f>
        <v>10.7837714731935</v>
      </c>
      <c r="AS137" s="93" t="n">
        <f aca="true">AR137+AS136-IF((40-'Assumption Setting'!$E$107)&lt;1,0,OFFSET($A$136,0,2+13*INT(((40-'Assumption Setting'!$E$107)-1)/12)+MOD((40-'Assumption Setting'!$E$107)-1,12)))</f>
        <v>11.1494844248224</v>
      </c>
      <c r="AT137" s="93" t="n">
        <f aca="true">AS137+AT136-IF((41-'Assumption Setting'!$E$107)&lt;1,0,OFFSET($A$136,0,2+13*INT(((41-'Assumption Setting'!$E$107)-1)/12)+MOD((41-'Assumption Setting'!$E$107)-1,12)))</f>
        <v>11.569725057523</v>
      </c>
      <c r="AU137" s="93" t="n">
        <f aca="true">AT137+AU136-IF((42-'Assumption Setting'!$E$107)&lt;1,0,OFFSET($A$136,0,2+13*INT(((42-'Assumption Setting'!$E$107)-1)/12)+MOD((42-'Assumption Setting'!$E$107)-1,12)))</f>
        <v>11.9899656902237</v>
      </c>
      <c r="AV137" s="93" t="n">
        <f aca="true">AU137+AV136-IF((43-'Assumption Setting'!$E$107)&lt;1,0,OFFSET($A$136,0,2+13*INT(((43-'Assumption Setting'!$E$107)-1)/12)+MOD((43-'Assumption Setting'!$E$107)-1,12)))</f>
        <v>12.4102063229244</v>
      </c>
      <c r="AW137" s="93" t="n">
        <f aca="true">AV137+AW136-IF((44-'Assumption Setting'!$E$107)&lt;1,0,OFFSET($A$136,0,2+13*INT(((44-'Assumption Setting'!$E$107)-1)/12)+MOD((44-'Assumption Setting'!$E$107)-1,12)))</f>
        <v>12.8304469556251</v>
      </c>
      <c r="AX137" s="93" t="n">
        <f aca="true">AW137+AX136-IF((45-'Assumption Setting'!$E$107)&lt;1,0,OFFSET($A$136,0,2+13*INT(((45-'Assumption Setting'!$E$107)-1)/12)+MOD((45-'Assumption Setting'!$E$107)-1,12)))</f>
        <v>13.2506875883257</v>
      </c>
      <c r="AY137" s="93" t="n">
        <f aca="true">AX137+AY136-IF((46-'Assumption Setting'!$E$107)&lt;1,0,OFFSET($A$136,0,2+13*INT(((46-'Assumption Setting'!$E$107)-1)/12)+MOD((46-'Assumption Setting'!$E$107)-1,12)))</f>
        <v>13.6709282210264</v>
      </c>
      <c r="AZ137" s="93" t="n">
        <f aca="true">AY137+AZ136-IF((47-'Assumption Setting'!$E$107)&lt;1,0,OFFSET($A$136,0,2+13*INT(((47-'Assumption Setting'!$E$107)-1)/12)+MOD((47-'Assumption Setting'!$E$107)-1,12)))</f>
        <v>14.0911688537271</v>
      </c>
      <c r="BA137" s="93" t="n">
        <f aca="true">AZ137+BA136-IF((48-'Assumption Setting'!$E$107)&lt;1,0,OFFSET($A$136,0,2+13*INT(((48-'Assumption Setting'!$E$107)-1)/12)+MOD((48-'Assumption Setting'!$E$107)-1,12)))</f>
        <v>14.5114094864277</v>
      </c>
      <c r="BB137" s="91" t="n">
        <f aca="false">BN137</f>
        <v>19.4892586796822</v>
      </c>
      <c r="BC137" s="93" t="n">
        <f aca="true">BA137+BC136-IF((49-'Assumption Setting'!$E$107)&lt;1,0,OFFSET($A$136,0,2+13*INT(((49-'Assumption Setting'!$E$107)-1)/12)+MOD((49-'Assumption Setting'!$E$107)-1,12)))</f>
        <v>14.9316501191284</v>
      </c>
      <c r="BD137" s="93" t="n">
        <f aca="true">BC137+BD136-IF((50-'Assumption Setting'!$E$107)&lt;1,0,OFFSET($A$136,0,2+13*INT(((50-'Assumption Setting'!$E$107)-1)/12)+MOD((50-'Assumption Setting'!$E$107)-1,12)))</f>
        <v>15.3510239048882</v>
      </c>
      <c r="BE137" s="93" t="n">
        <f aca="true">BD137+BE136-IF((51-'Assumption Setting'!$E$107)&lt;1,0,OFFSET($A$136,0,2+13*INT(((51-'Assumption Setting'!$E$107)-1)/12)+MOD((51-'Assumption Setting'!$E$107)-1,12)))</f>
        <v>15.7703976906481</v>
      </c>
      <c r="BF137" s="93" t="n">
        <f aca="true">BE137+BF136-IF((52-'Assumption Setting'!$E$107)&lt;1,0,OFFSET($A$136,0,2+13*INT(((52-'Assumption Setting'!$E$107)-1)/12)+MOD((52-'Assumption Setting'!$E$107)-1,12)))</f>
        <v>16.1897714764079</v>
      </c>
      <c r="BG137" s="93" t="n">
        <f aca="true">BF137+BG136-IF((53-'Assumption Setting'!$E$107)&lt;1,0,OFFSET($A$136,0,2+13*INT(((53-'Assumption Setting'!$E$107)-1)/12)+MOD((53-'Assumption Setting'!$E$107)-1,12)))</f>
        <v>16.6022073768172</v>
      </c>
      <c r="BH137" s="93" t="n">
        <f aca="true">BG137+BH136-IF((54-'Assumption Setting'!$E$107)&lt;1,0,OFFSET($A$136,0,2+13*INT(((54-'Assumption Setting'!$E$107)-1)/12)+MOD((54-'Assumption Setting'!$E$107)-1,12)))</f>
        <v>17.0146432772265</v>
      </c>
      <c r="BI137" s="93" t="n">
        <f aca="true">BH137+BI136-IF((55-'Assumption Setting'!$E$107)&lt;1,0,OFFSET($A$136,0,2+13*INT(((55-'Assumption Setting'!$E$107)-1)/12)+MOD((55-'Assumption Setting'!$E$107)-1,12)))</f>
        <v>17.4270791776358</v>
      </c>
      <c r="BJ137" s="93" t="n">
        <f aca="true">BI137+BJ136-IF((56-'Assumption Setting'!$E$107)&lt;1,0,OFFSET($A$136,0,2+13*INT(((56-'Assumption Setting'!$E$107)-1)/12)+MOD((56-'Assumption Setting'!$E$107)-1,12)))</f>
        <v>17.8395150780451</v>
      </c>
      <c r="BK137" s="93" t="n">
        <f aca="true">BJ137+BK136-IF((57-'Assumption Setting'!$E$107)&lt;1,0,OFFSET($A$136,0,2+13*INT(((57-'Assumption Setting'!$E$107)-1)/12)+MOD((57-'Assumption Setting'!$E$107)-1,12)))</f>
        <v>18.2519509784543</v>
      </c>
      <c r="BL137" s="93" t="n">
        <f aca="true">BK137+BL136-IF((58-'Assumption Setting'!$E$107)&lt;1,0,OFFSET($A$136,0,2+13*INT(((58-'Assumption Setting'!$E$107)-1)/12)+MOD((58-'Assumption Setting'!$E$107)-1,12)))</f>
        <v>18.6643868788636</v>
      </c>
      <c r="BM137" s="93" t="n">
        <f aca="true">BL137+BM136-IF((59-'Assumption Setting'!$E$107)&lt;1,0,OFFSET($A$136,0,2+13*INT(((59-'Assumption Setting'!$E$107)-1)/12)+MOD((59-'Assumption Setting'!$E$107)-1,12)))</f>
        <v>19.0768227792729</v>
      </c>
      <c r="BN137" s="93" t="n">
        <f aca="true">BM137+BN136-IF((60-'Assumption Setting'!$E$107)&lt;1,0,OFFSET($A$136,0,2+13*INT(((60-'Assumption Setting'!$E$107)-1)/12)+MOD((60-'Assumption Setting'!$E$107)-1,12)))</f>
        <v>19.4892586796822</v>
      </c>
    </row>
    <row r="139" customFormat="false" ht="16.5" hidden="false" customHeight="true" outlineLevel="0" collapsed="false">
      <c r="A139" s="15" t="s">
        <v>656</v>
      </c>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c r="BA139" s="15"/>
      <c r="BB139" s="15"/>
      <c r="BC139" s="15"/>
      <c r="BD139" s="15"/>
      <c r="BE139" s="15"/>
      <c r="BF139" s="15"/>
      <c r="BG139" s="15"/>
      <c r="BH139" s="15"/>
      <c r="BI139" s="15"/>
      <c r="BJ139" s="15"/>
      <c r="BK139" s="15"/>
      <c r="BL139" s="15"/>
      <c r="BM139" s="15"/>
      <c r="BN139" s="15"/>
    </row>
    <row r="140" customFormat="false" ht="15" hidden="false" customHeight="true" outlineLevel="0" collapsed="false">
      <c r="A140" s="26" t="s">
        <v>481</v>
      </c>
      <c r="B140" s="61" t="s">
        <v>81</v>
      </c>
      <c r="C140" s="62" t="s">
        <v>482</v>
      </c>
      <c r="D140" s="62" t="s">
        <v>483</v>
      </c>
      <c r="E140" s="62" t="s">
        <v>484</v>
      </c>
      <c r="F140" s="62" t="s">
        <v>485</v>
      </c>
      <c r="G140" s="62" t="s">
        <v>486</v>
      </c>
      <c r="H140" s="62" t="s">
        <v>487</v>
      </c>
      <c r="I140" s="62" t="s">
        <v>488</v>
      </c>
      <c r="J140" s="62" t="s">
        <v>489</v>
      </c>
      <c r="K140" s="62" t="s">
        <v>490</v>
      </c>
      <c r="L140" s="62" t="s">
        <v>491</v>
      </c>
      <c r="M140" s="62" t="s">
        <v>492</v>
      </c>
      <c r="N140" s="62" t="s">
        <v>493</v>
      </c>
      <c r="O140" s="61" t="s">
        <v>82</v>
      </c>
      <c r="P140" s="63" t="s">
        <v>494</v>
      </c>
      <c r="Q140" s="63" t="s">
        <v>495</v>
      </c>
      <c r="R140" s="63" t="s">
        <v>496</v>
      </c>
      <c r="S140" s="63" t="s">
        <v>497</v>
      </c>
      <c r="T140" s="63" t="s">
        <v>498</v>
      </c>
      <c r="U140" s="63" t="s">
        <v>499</v>
      </c>
      <c r="V140" s="63" t="s">
        <v>500</v>
      </c>
      <c r="W140" s="63" t="s">
        <v>501</v>
      </c>
      <c r="X140" s="63" t="s">
        <v>502</v>
      </c>
      <c r="Y140" s="63" t="s">
        <v>503</v>
      </c>
      <c r="Z140" s="63" t="s">
        <v>504</v>
      </c>
      <c r="AA140" s="63" t="s">
        <v>505</v>
      </c>
      <c r="AB140" s="61" t="s">
        <v>83</v>
      </c>
      <c r="AC140" s="62" t="s">
        <v>506</v>
      </c>
      <c r="AD140" s="62" t="s">
        <v>507</v>
      </c>
      <c r="AE140" s="62" t="s">
        <v>508</v>
      </c>
      <c r="AF140" s="62" t="s">
        <v>509</v>
      </c>
      <c r="AG140" s="62" t="s">
        <v>510</v>
      </c>
      <c r="AH140" s="62" t="s">
        <v>511</v>
      </c>
      <c r="AI140" s="62" t="s">
        <v>512</v>
      </c>
      <c r="AJ140" s="62" t="s">
        <v>513</v>
      </c>
      <c r="AK140" s="62" t="s">
        <v>514</v>
      </c>
      <c r="AL140" s="62" t="s">
        <v>515</v>
      </c>
      <c r="AM140" s="62" t="s">
        <v>516</v>
      </c>
      <c r="AN140" s="62" t="s">
        <v>517</v>
      </c>
      <c r="AO140" s="61" t="s">
        <v>84</v>
      </c>
      <c r="AP140" s="63" t="s">
        <v>518</v>
      </c>
      <c r="AQ140" s="63" t="s">
        <v>519</v>
      </c>
      <c r="AR140" s="63" t="s">
        <v>520</v>
      </c>
      <c r="AS140" s="63" t="s">
        <v>521</v>
      </c>
      <c r="AT140" s="63" t="s">
        <v>522</v>
      </c>
      <c r="AU140" s="63" t="s">
        <v>523</v>
      </c>
      <c r="AV140" s="63" t="s">
        <v>524</v>
      </c>
      <c r="AW140" s="63" t="s">
        <v>525</v>
      </c>
      <c r="AX140" s="63" t="s">
        <v>526</v>
      </c>
      <c r="AY140" s="63" t="s">
        <v>527</v>
      </c>
      <c r="AZ140" s="63" t="s">
        <v>528</v>
      </c>
      <c r="BA140" s="63" t="s">
        <v>529</v>
      </c>
      <c r="BB140" s="61" t="s">
        <v>85</v>
      </c>
      <c r="BC140" s="62" t="s">
        <v>530</v>
      </c>
      <c r="BD140" s="62" t="s">
        <v>531</v>
      </c>
      <c r="BE140" s="62" t="s">
        <v>532</v>
      </c>
      <c r="BF140" s="62" t="s">
        <v>533</v>
      </c>
      <c r="BG140" s="62" t="s">
        <v>534</v>
      </c>
      <c r="BH140" s="62" t="s">
        <v>535</v>
      </c>
      <c r="BI140" s="62" t="s">
        <v>536</v>
      </c>
      <c r="BJ140" s="62" t="s">
        <v>537</v>
      </c>
      <c r="BK140" s="62" t="s">
        <v>538</v>
      </c>
      <c r="BL140" s="62" t="s">
        <v>539</v>
      </c>
      <c r="BM140" s="62" t="s">
        <v>540</v>
      </c>
      <c r="BN140" s="62" t="s">
        <v>541</v>
      </c>
    </row>
    <row r="141" customFormat="false" ht="15" hidden="false" customHeight="false" outlineLevel="0" collapsed="false">
      <c r="A141" s="12" t="s">
        <v>657</v>
      </c>
      <c r="B141" s="78" t="n">
        <f aca="false">SUM(C141:N141)</f>
        <v>585.916449578726</v>
      </c>
      <c r="C141" s="79" t="n">
        <f aca="false">('Revenue Streams'!C$7+'Revenue Streams'!C$8)*'Assumption Setting'!$C$140+('Revenue Streams'!C$10+'Revenue Streams'!C$12)*'Assumption Setting'!$C$141</f>
        <v>20.8333333333333</v>
      </c>
      <c r="D141" s="79" t="n">
        <f aca="false">('Revenue Streams'!D$7+'Revenue Streams'!D$8)*'Assumption Setting'!$C$140+('Revenue Streams'!D$10+'Revenue Streams'!D$12)*'Assumption Setting'!$C$141</f>
        <v>33.3333333333333</v>
      </c>
      <c r="E141" s="79" t="n">
        <f aca="false">('Revenue Streams'!E$7+'Revenue Streams'!E$8)*'Assumption Setting'!$C$140+('Revenue Streams'!E$10+'Revenue Streams'!E$12)*'Assumption Setting'!$C$141</f>
        <v>41.6666666666667</v>
      </c>
      <c r="F141" s="79" t="n">
        <f aca="false">('Revenue Streams'!F$7+'Revenue Streams'!F$8)*'Assumption Setting'!$C$140+('Revenue Streams'!F$10+'Revenue Streams'!F$12)*'Assumption Setting'!$C$141</f>
        <v>41.6666666666667</v>
      </c>
      <c r="G141" s="79" t="n">
        <f aca="false">('Revenue Streams'!G$7+'Revenue Streams'!G$8)*'Assumption Setting'!$C$140+('Revenue Streams'!G$10+'Revenue Streams'!G$12)*'Assumption Setting'!$C$141</f>
        <v>41.6666666666667</v>
      </c>
      <c r="H141" s="79" t="n">
        <f aca="false">('Revenue Streams'!H$7+'Revenue Streams'!H$8)*'Assumption Setting'!$C$140+('Revenue Streams'!H$10+'Revenue Streams'!H$12)*'Assumption Setting'!$C$141</f>
        <v>41.6666666666667</v>
      </c>
      <c r="I141" s="79" t="n">
        <f aca="false">('Revenue Streams'!I$7+'Revenue Streams'!I$8)*'Assumption Setting'!$C$140+('Revenue Streams'!I$10+'Revenue Streams'!I$12)*'Assumption Setting'!$C$141</f>
        <v>47.1468150593044</v>
      </c>
      <c r="J141" s="79" t="n">
        <f aca="false">('Revenue Streams'!J$7+'Revenue Streams'!J$8)*'Assumption Setting'!$C$140+('Revenue Streams'!J$10+'Revenue Streams'!J$12)*'Assumption Setting'!$C$141</f>
        <v>52.6269634519422</v>
      </c>
      <c r="K141" s="79" t="n">
        <f aca="false">('Revenue Streams'!K$7+'Revenue Streams'!K$8)*'Assumption Setting'!$C$140+('Revenue Streams'!K$10+'Revenue Streams'!K$12)*'Assumption Setting'!$C$141</f>
        <v>58.10711184458</v>
      </c>
      <c r="L141" s="79" t="n">
        <f aca="false">('Revenue Streams'!L$7+'Revenue Streams'!L$8)*'Assumption Setting'!$C$140+('Revenue Streams'!L$10+'Revenue Streams'!L$12)*'Assumption Setting'!$C$141</f>
        <v>63.5872602372177</v>
      </c>
      <c r="M141" s="79" t="n">
        <f aca="false">('Revenue Streams'!M$7+'Revenue Streams'!M$8)*'Assumption Setting'!$C$140+('Revenue Streams'!M$10+'Revenue Streams'!M$12)*'Assumption Setting'!$C$141</f>
        <v>69.0674086298555</v>
      </c>
      <c r="N141" s="79" t="n">
        <f aca="false">('Revenue Streams'!N$7+'Revenue Streams'!N$8)*'Assumption Setting'!$C$140+('Revenue Streams'!N$10+'Revenue Streams'!N$12)*'Assumption Setting'!$C$141</f>
        <v>74.5475570224933</v>
      </c>
      <c r="O141" s="78" t="n">
        <f aca="false">SUM(P141:AA141)</f>
        <v>1372.47283718275</v>
      </c>
      <c r="P141" s="79" t="n">
        <f aca="false">('Revenue Streams'!P$7+'Revenue Streams'!P$8)*'Assumption Setting'!$C$140+('Revenue Streams'!P$10+'Revenue Streams'!P$12)*'Assumption Setting'!$C$141</f>
        <v>79.531882465321</v>
      </c>
      <c r="Q141" s="79" t="n">
        <f aca="false">('Revenue Streams'!Q$7+'Revenue Streams'!Q$8)*'Assumption Setting'!$C$140+('Revenue Streams'!Q$10+'Revenue Streams'!Q$12)*'Assumption Setting'!$C$141</f>
        <v>84.5162079081486</v>
      </c>
      <c r="R141" s="79" t="n">
        <f aca="false">('Revenue Streams'!R$7+'Revenue Streams'!R$8)*'Assumption Setting'!$C$140+('Revenue Streams'!R$10+'Revenue Streams'!R$12)*'Assumption Setting'!$C$141</f>
        <v>89.9989658952591</v>
      </c>
      <c r="S141" s="79" t="n">
        <f aca="false">('Revenue Streams'!S$7+'Revenue Streams'!S$8)*'Assumption Setting'!$C$140+('Revenue Streams'!S$10+'Revenue Streams'!S$12)*'Assumption Setting'!$C$141</f>
        <v>95.4817238823695</v>
      </c>
      <c r="T141" s="79" t="n">
        <f aca="false">('Revenue Streams'!T$7+'Revenue Streams'!T$8)*'Assumption Setting'!$C$140+('Revenue Streams'!T$10+'Revenue Streams'!T$12)*'Assumption Setting'!$C$141</f>
        <v>100.96448186948</v>
      </c>
      <c r="U141" s="79" t="n">
        <f aca="false">('Revenue Streams'!U$7+'Revenue Streams'!U$8)*'Assumption Setting'!$C$140+('Revenue Streams'!U$10+'Revenue Streams'!U$12)*'Assumption Setting'!$C$141</f>
        <v>106.44723985659</v>
      </c>
      <c r="V141" s="79" t="n">
        <f aca="false">('Revenue Streams'!V$7+'Revenue Streams'!V$8)*'Assumption Setting'!$C$140+('Revenue Streams'!V$10+'Revenue Streams'!V$12)*'Assumption Setting'!$C$141</f>
        <v>114.868615864497</v>
      </c>
      <c r="W141" s="79" t="n">
        <f aca="false">('Revenue Streams'!W$7+'Revenue Streams'!W$8)*'Assumption Setting'!$C$140+('Revenue Streams'!W$10+'Revenue Streams'!W$12)*'Assumption Setting'!$C$141</f>
        <v>123.289991872403</v>
      </c>
      <c r="X141" s="79" t="n">
        <f aca="false">('Revenue Streams'!X$7+'Revenue Streams'!X$8)*'Assumption Setting'!$C$140+('Revenue Streams'!X$10+'Revenue Streams'!X$12)*'Assumption Setting'!$C$141</f>
        <v>131.71136788031</v>
      </c>
      <c r="Y141" s="79" t="n">
        <f aca="false">('Revenue Streams'!Y$7+'Revenue Streams'!Y$8)*'Assumption Setting'!$C$140+('Revenue Streams'!Y$10+'Revenue Streams'!Y$12)*'Assumption Setting'!$C$141</f>
        <v>140.132743888216</v>
      </c>
      <c r="Z141" s="79" t="n">
        <f aca="false">('Revenue Streams'!Z$7+'Revenue Streams'!Z$8)*'Assumption Setting'!$C$140+('Revenue Streams'!Z$10+'Revenue Streams'!Z$12)*'Assumption Setting'!$C$141</f>
        <v>148.554119896123</v>
      </c>
      <c r="AA141" s="79" t="n">
        <f aca="false">('Revenue Streams'!AA$7+'Revenue Streams'!AA$8)*'Assumption Setting'!$C$140+('Revenue Streams'!AA$10+'Revenue Streams'!AA$12)*'Assumption Setting'!$C$141</f>
        <v>156.975495904029</v>
      </c>
      <c r="AB141" s="78" t="n">
        <f aca="false">SUM(AC141:AN141)</f>
        <v>2070.86788719647</v>
      </c>
      <c r="AC141" s="79" t="n">
        <f aca="false">('Revenue Streams'!AC$7+'Revenue Streams'!AC$8)*'Assumption Setting'!$C$140+('Revenue Streams'!AC$10+'Revenue Streams'!AC$12)*'Assumption Setting'!$C$141</f>
        <v>144.327210958695</v>
      </c>
      <c r="AD141" s="79" t="n">
        <f aca="false">('Revenue Streams'!AD$7+'Revenue Streams'!AD$8)*'Assumption Setting'!$C$140+('Revenue Streams'!AD$10+'Revenue Streams'!AD$12)*'Assumption Setting'!$C$141</f>
        <v>140.012259346693</v>
      </c>
      <c r="AE141" s="79" t="n">
        <f aca="false">('Revenue Streams'!AE$7+'Revenue Streams'!AE$8)*'Assumption Setting'!$C$140+('Revenue Streams'!AE$10+'Revenue Streams'!AE$12)*'Assumption Setting'!$C$141</f>
        <v>140.608069709359</v>
      </c>
      <c r="AF141" s="79" t="n">
        <f aca="false">('Revenue Streams'!AF$7+'Revenue Streams'!AF$8)*'Assumption Setting'!$C$140+('Revenue Streams'!AF$10+'Revenue Streams'!AF$12)*'Assumption Setting'!$C$141</f>
        <v>149.537213405357</v>
      </c>
      <c r="AG141" s="79" t="n">
        <f aca="false">('Revenue Streams'!AG$7+'Revenue Streams'!AG$8)*'Assumption Setting'!$C$140+('Revenue Streams'!AG$10+'Revenue Streams'!AG$12)*'Assumption Setting'!$C$141</f>
        <v>158.466357101356</v>
      </c>
      <c r="AH141" s="79" t="n">
        <f aca="false">('Revenue Streams'!AH$7+'Revenue Streams'!AH$8)*'Assumption Setting'!$C$140+('Revenue Streams'!AH$10+'Revenue Streams'!AH$12)*'Assumption Setting'!$C$141</f>
        <v>167.395500797354</v>
      </c>
      <c r="AI141" s="79" t="n">
        <f aca="false">('Revenue Streams'!AI$7+'Revenue Streams'!AI$8)*'Assumption Setting'!$C$140+('Revenue Streams'!AI$10+'Revenue Streams'!AI$12)*'Assumption Setting'!$C$141</f>
        <v>175.30732323038</v>
      </c>
      <c r="AJ141" s="79" t="n">
        <f aca="false">('Revenue Streams'!AJ$7+'Revenue Streams'!AJ$8)*'Assumption Setting'!$C$140+('Revenue Streams'!AJ$10+'Revenue Streams'!AJ$12)*'Assumption Setting'!$C$141</f>
        <v>183.219145663405</v>
      </c>
      <c r="AK141" s="79" t="n">
        <f aca="false">('Revenue Streams'!AK$7+'Revenue Streams'!AK$8)*'Assumption Setting'!$C$140+('Revenue Streams'!AK$10+'Revenue Streams'!AK$12)*'Assumption Setting'!$C$141</f>
        <v>191.13096809643</v>
      </c>
      <c r="AL141" s="79" t="n">
        <f aca="false">('Revenue Streams'!AL$7+'Revenue Streams'!AL$8)*'Assumption Setting'!$C$140+('Revenue Streams'!AL$10+'Revenue Streams'!AL$12)*'Assumption Setting'!$C$141</f>
        <v>199.042790529455</v>
      </c>
      <c r="AM141" s="79" t="n">
        <f aca="false">('Revenue Streams'!AM$7+'Revenue Streams'!AM$8)*'Assumption Setting'!$C$140+('Revenue Streams'!AM$10+'Revenue Streams'!AM$12)*'Assumption Setting'!$C$141</f>
        <v>206.95461296248</v>
      </c>
      <c r="AN141" s="79" t="n">
        <f aca="false">('Revenue Streams'!AN$7+'Revenue Streams'!AN$8)*'Assumption Setting'!$C$140+('Revenue Streams'!AN$10+'Revenue Streams'!AN$12)*'Assumption Setting'!$C$141</f>
        <v>214.866435395505</v>
      </c>
      <c r="AO141" s="78" t="n">
        <f aca="false">SUM(AP141:BA141)</f>
        <v>3262.73130652582</v>
      </c>
      <c r="AP141" s="79" t="n">
        <f aca="false">('Revenue Streams'!AP$7+'Revenue Streams'!AP$8)*'Assumption Setting'!$C$140+('Revenue Streams'!AP$10+'Revenue Streams'!AP$12)*'Assumption Setting'!$C$141</f>
        <v>223.27408077834</v>
      </c>
      <c r="AQ141" s="79" t="n">
        <f aca="false">('Revenue Streams'!AQ$7+'Revenue Streams'!AQ$8)*'Assumption Setting'!$C$140+('Revenue Streams'!AQ$10+'Revenue Streams'!AQ$12)*'Assumption Setting'!$C$141</f>
        <v>231.681726161175</v>
      </c>
      <c r="AR141" s="79" t="n">
        <f aca="false">('Revenue Streams'!AR$7+'Revenue Streams'!AR$8)*'Assumption Setting'!$C$140+('Revenue Streams'!AR$10+'Revenue Streams'!AR$12)*'Assumption Setting'!$C$141</f>
        <v>240.14893778413</v>
      </c>
      <c r="AS141" s="79" t="n">
        <f aca="false">('Revenue Streams'!AS$7+'Revenue Streams'!AS$8)*'Assumption Setting'!$C$140+('Revenue Streams'!AS$10+'Revenue Streams'!AS$12)*'Assumption Setting'!$C$141</f>
        <v>248.616149407085</v>
      </c>
      <c r="AT141" s="79" t="n">
        <f aca="false">('Revenue Streams'!AT$7+'Revenue Streams'!AT$8)*'Assumption Setting'!$C$140+('Revenue Streams'!AT$10+'Revenue Streams'!AT$12)*'Assumption Setting'!$C$141</f>
        <v>257.08336103004</v>
      </c>
      <c r="AU141" s="79" t="n">
        <f aca="false">('Revenue Streams'!AU$7+'Revenue Streams'!AU$8)*'Assumption Setting'!$C$140+('Revenue Streams'!AU$10+'Revenue Streams'!AU$12)*'Assumption Setting'!$C$141</f>
        <v>265.550572652995</v>
      </c>
      <c r="AV141" s="79" t="n">
        <f aca="false">('Revenue Streams'!AV$7+'Revenue Streams'!AV$8)*'Assumption Setting'!$C$140+('Revenue Streams'!AV$10+'Revenue Streams'!AV$12)*'Assumption Setting'!$C$141</f>
        <v>275.220717547951</v>
      </c>
      <c r="AW141" s="79" t="n">
        <f aca="false">('Revenue Streams'!AW$7+'Revenue Streams'!AW$8)*'Assumption Setting'!$C$140+('Revenue Streams'!AW$10+'Revenue Streams'!AW$12)*'Assumption Setting'!$C$141</f>
        <v>284.890862442907</v>
      </c>
      <c r="AX141" s="79" t="n">
        <f aca="false">('Revenue Streams'!AX$7+'Revenue Streams'!AX$8)*'Assumption Setting'!$C$140+('Revenue Streams'!AX$10+'Revenue Streams'!AX$12)*'Assumption Setting'!$C$141</f>
        <v>294.561007337864</v>
      </c>
      <c r="AY141" s="79" t="n">
        <f aca="false">('Revenue Streams'!AY$7+'Revenue Streams'!AY$8)*'Assumption Setting'!$C$140+('Revenue Streams'!AY$10+'Revenue Streams'!AY$12)*'Assumption Setting'!$C$141</f>
        <v>304.23115223282</v>
      </c>
      <c r="AZ141" s="79" t="n">
        <f aca="false">('Revenue Streams'!AZ$7+'Revenue Streams'!AZ$8)*'Assumption Setting'!$C$140+('Revenue Streams'!AZ$10+'Revenue Streams'!AZ$12)*'Assumption Setting'!$C$141</f>
        <v>313.901297127776</v>
      </c>
      <c r="BA141" s="79" t="n">
        <f aca="false">('Revenue Streams'!BA$7+'Revenue Streams'!BA$8)*'Assumption Setting'!$C$140+('Revenue Streams'!BA$10+'Revenue Streams'!BA$12)*'Assumption Setting'!$C$141</f>
        <v>323.571442022732</v>
      </c>
      <c r="BB141" s="78" t="n">
        <f aca="false">SUM(BC141:BN141)</f>
        <v>4651.00373371453</v>
      </c>
      <c r="BC141" s="79" t="n">
        <f aca="false">('Revenue Streams'!BC$7+'Revenue Streams'!BC$8)*'Assumption Setting'!$C$140+('Revenue Streams'!BC$10+'Revenue Streams'!BC$12)*'Assumption Setting'!$C$141</f>
        <v>333.477914537596</v>
      </c>
      <c r="BD141" s="79" t="n">
        <f aca="false">('Revenue Streams'!BD$7+'Revenue Streams'!BD$8)*'Assumption Setting'!$C$140+('Revenue Streams'!BD$10+'Revenue Streams'!BD$12)*'Assumption Setting'!$C$141</f>
        <v>343.384387052459</v>
      </c>
      <c r="BE141" s="79" t="n">
        <f aca="false">('Revenue Streams'!BE$7+'Revenue Streams'!BE$8)*'Assumption Setting'!$C$140+('Revenue Streams'!BE$10+'Revenue Streams'!BE$12)*'Assumption Setting'!$C$141</f>
        <v>353.270425095438</v>
      </c>
      <c r="BF141" s="79" t="n">
        <f aca="false">('Revenue Streams'!BF$7+'Revenue Streams'!BF$8)*'Assumption Setting'!$C$140+('Revenue Streams'!BF$10+'Revenue Streams'!BF$12)*'Assumption Setting'!$C$141</f>
        <v>363.156463138416</v>
      </c>
      <c r="BG141" s="79" t="n">
        <f aca="false">('Revenue Streams'!BG$7+'Revenue Streams'!BG$8)*'Assumption Setting'!$C$140+('Revenue Streams'!BG$10+'Revenue Streams'!BG$12)*'Assumption Setting'!$C$141</f>
        <v>373.042501181395</v>
      </c>
      <c r="BH141" s="79" t="n">
        <f aca="false">('Revenue Streams'!BH$7+'Revenue Streams'!BH$8)*'Assumption Setting'!$C$140+('Revenue Streams'!BH$10+'Revenue Streams'!BH$12)*'Assumption Setting'!$C$141</f>
        <v>382.928539224373</v>
      </c>
      <c r="BI141" s="79" t="n">
        <f aca="false">('Revenue Streams'!BI$7+'Revenue Streams'!BI$8)*'Assumption Setting'!$C$140+('Revenue Streams'!BI$10+'Revenue Streams'!BI$12)*'Assumption Setting'!$C$141</f>
        <v>392.651028183355</v>
      </c>
      <c r="BJ141" s="79" t="n">
        <f aca="false">('Revenue Streams'!BJ$7+'Revenue Streams'!BJ$8)*'Assumption Setting'!$C$140+('Revenue Streams'!BJ$10+'Revenue Streams'!BJ$12)*'Assumption Setting'!$C$141</f>
        <v>402.373517142336</v>
      </c>
      <c r="BK141" s="79" t="n">
        <f aca="false">('Revenue Streams'!BK$7+'Revenue Streams'!BK$8)*'Assumption Setting'!$C$140+('Revenue Streams'!BK$10+'Revenue Streams'!BK$12)*'Assumption Setting'!$C$141</f>
        <v>412.096006101318</v>
      </c>
      <c r="BL141" s="79" t="n">
        <f aca="false">('Revenue Streams'!BL$7+'Revenue Streams'!BL$8)*'Assumption Setting'!$C$140+('Revenue Streams'!BL$10+'Revenue Streams'!BL$12)*'Assumption Setting'!$C$141</f>
        <v>421.8184950603</v>
      </c>
      <c r="BM141" s="79" t="n">
        <f aca="false">('Revenue Streams'!BM$7+'Revenue Streams'!BM$8)*'Assumption Setting'!$C$140+('Revenue Streams'!BM$10+'Revenue Streams'!BM$12)*'Assumption Setting'!$C$141</f>
        <v>431.540984019281</v>
      </c>
      <c r="BN141" s="79" t="n">
        <f aca="false">('Revenue Streams'!BN$7+'Revenue Streams'!BN$8)*'Assumption Setting'!$C$140+('Revenue Streams'!BN$10+'Revenue Streams'!BN$12)*'Assumption Setting'!$C$141</f>
        <v>441.263472978263</v>
      </c>
    </row>
    <row r="142" customFormat="false" ht="15" hidden="false" customHeight="false" outlineLevel="0" collapsed="false">
      <c r="A142" s="12" t="s">
        <v>658</v>
      </c>
      <c r="B142" s="78" t="n">
        <f aca="false">SUM(C142:N142)</f>
        <v>649.346751865018</v>
      </c>
      <c r="C142" s="79" t="n">
        <f aca="false">('Revenue Streams'!C$20+'Revenue Streams'!C$16)*'Assumption Setting'!$C$142</f>
        <v>400</v>
      </c>
      <c r="D142" s="79" t="n">
        <f aca="false">('Revenue Streams'!D$20+'Revenue Streams'!D$16)*'Assumption Setting'!$C$142</f>
        <v>0</v>
      </c>
      <c r="E142" s="79" t="n">
        <f aca="false">('Revenue Streams'!E$20+'Revenue Streams'!E$16)*'Assumption Setting'!$C$142</f>
        <v>0</v>
      </c>
      <c r="F142" s="79" t="n">
        <f aca="false">('Revenue Streams'!F$20+'Revenue Streams'!F$16)*'Assumption Setting'!$C$142</f>
        <v>0</v>
      </c>
      <c r="G142" s="79" t="n">
        <f aca="false">('Revenue Streams'!G$20+'Revenue Streams'!G$16)*'Assumption Setting'!$C$142</f>
        <v>0</v>
      </c>
      <c r="H142" s="79" t="n">
        <f aca="false">('Revenue Streams'!H$20+'Revenue Streams'!H$16)*'Assumption Setting'!$C$142</f>
        <v>0</v>
      </c>
      <c r="I142" s="79" t="n">
        <f aca="false">('Revenue Streams'!I$20+'Revenue Streams'!I$16)*'Assumption Setting'!$C$142</f>
        <v>11.8736548507152</v>
      </c>
      <c r="J142" s="79" t="n">
        <f aca="false">('Revenue Streams'!J$20+'Revenue Streams'!J$16)*'Assumption Setting'!$C$142</f>
        <v>23.7473097014303</v>
      </c>
      <c r="K142" s="79" t="n">
        <f aca="false">('Revenue Streams'!K$20+'Revenue Streams'!K$16)*'Assumption Setting'!$C$142</f>
        <v>35.6209645521455</v>
      </c>
      <c r="L142" s="79" t="n">
        <f aca="false">('Revenue Streams'!L$20+'Revenue Streams'!L$16)*'Assumption Setting'!$C$142</f>
        <v>47.4946194028606</v>
      </c>
      <c r="M142" s="79" t="n">
        <f aca="false">('Revenue Streams'!M$20+'Revenue Streams'!M$16)*'Assumption Setting'!$C$142</f>
        <v>59.3682742535758</v>
      </c>
      <c r="N142" s="79" t="n">
        <f aca="false">('Revenue Streams'!N$20+'Revenue Streams'!N$16)*'Assumption Setting'!$C$142</f>
        <v>71.2419291042909</v>
      </c>
      <c r="O142" s="78" t="n">
        <f aca="false">SUM(P142:AA142)</f>
        <v>1757.07542597009</v>
      </c>
      <c r="P142" s="79" t="n">
        <f aca="false">('Revenue Streams'!P$20+'Revenue Streams'!P$16)*'Assumption Setting'!$C$142</f>
        <v>83.1155839550061</v>
      </c>
      <c r="Q142" s="79" t="n">
        <f aca="false">('Revenue Streams'!Q$20+'Revenue Streams'!Q$16)*'Assumption Setting'!$C$142</f>
        <v>96.1766042907927</v>
      </c>
      <c r="R142" s="79" t="n">
        <f aca="false">('Revenue Streams'!R$20+'Revenue Streams'!R$16)*'Assumption Setting'!$C$142</f>
        <v>109.237624626579</v>
      </c>
      <c r="S142" s="79" t="n">
        <f aca="false">('Revenue Streams'!S$20+'Revenue Streams'!S$16)*'Assumption Setting'!$C$142</f>
        <v>122.298644962366</v>
      </c>
      <c r="T142" s="79" t="n">
        <f aca="false">('Revenue Streams'!T$20+'Revenue Streams'!T$16)*'Assumption Setting'!$C$142</f>
        <v>135.359665298153</v>
      </c>
      <c r="U142" s="79" t="n">
        <f aca="false">('Revenue Streams'!U$20+'Revenue Streams'!U$16)*'Assumption Setting'!$C$142</f>
        <v>148.420685633939</v>
      </c>
      <c r="V142" s="79" t="n">
        <f aca="false">('Revenue Streams'!V$20+'Revenue Streams'!V$16)*'Assumption Setting'!$C$142</f>
        <v>156.608423891064</v>
      </c>
      <c r="W142" s="79" t="n">
        <f aca="false">('Revenue Streams'!W$20+'Revenue Streams'!W$16)*'Assumption Setting'!$C$142</f>
        <v>164.796162148189</v>
      </c>
      <c r="X142" s="79" t="n">
        <f aca="false">('Revenue Streams'!X$20+'Revenue Streams'!X$16)*'Assumption Setting'!$C$142</f>
        <v>172.983900405314</v>
      </c>
      <c r="Y142" s="79" t="n">
        <f aca="false">('Revenue Streams'!Y$20+'Revenue Streams'!Y$16)*'Assumption Setting'!$C$142</f>
        <v>181.171638662439</v>
      </c>
      <c r="Z142" s="79" t="n">
        <f aca="false">('Revenue Streams'!Z$20+'Revenue Streams'!Z$16)*'Assumption Setting'!$C$142</f>
        <v>189.359376919564</v>
      </c>
      <c r="AA142" s="79" t="n">
        <f aca="false">('Revenue Streams'!AA$20+'Revenue Streams'!AA$16)*'Assumption Setting'!$C$142</f>
        <v>197.547115176689</v>
      </c>
      <c r="AB142" s="78" t="n">
        <f aca="false">SUM(AC142:AN142)</f>
        <v>3133.90771215145</v>
      </c>
      <c r="AC142" s="79" t="n">
        <f aca="false">('Revenue Streams'!AC$20+'Revenue Streams'!AC$16)*'Assumption Setting'!$C$142</f>
        <v>205.734853433813</v>
      </c>
      <c r="AD142" s="79" t="n">
        <f aca="false">('Revenue Streams'!AD$20+'Revenue Streams'!AD$16)*'Assumption Setting'!$C$142</f>
        <v>214.55898921567</v>
      </c>
      <c r="AE142" s="79" t="n">
        <f aca="false">('Revenue Streams'!AE$20+'Revenue Streams'!AE$16)*'Assumption Setting'!$C$142</f>
        <v>223.383124997527</v>
      </c>
      <c r="AF142" s="79" t="n">
        <f aca="false">('Revenue Streams'!AF$20+'Revenue Streams'!AF$16)*'Assumption Setting'!$C$142</f>
        <v>232.207260779384</v>
      </c>
      <c r="AG142" s="79" t="n">
        <f aca="false">('Revenue Streams'!AG$20+'Revenue Streams'!AG$16)*'Assumption Setting'!$C$142</f>
        <v>241.031396561241</v>
      </c>
      <c r="AH142" s="79" t="n">
        <f aca="false">('Revenue Streams'!AH$20+'Revenue Streams'!AH$16)*'Assumption Setting'!$C$142</f>
        <v>249.855532343098</v>
      </c>
      <c r="AI142" s="79" t="n">
        <f aca="false">('Revenue Streams'!AI$20+'Revenue Streams'!AI$16)*'Assumption Setting'!$C$142</f>
        <v>262.617597141295</v>
      </c>
      <c r="AJ142" s="79" t="n">
        <f aca="false">('Revenue Streams'!AJ$20+'Revenue Streams'!AJ$16)*'Assumption Setting'!$C$142</f>
        <v>275.379661939491</v>
      </c>
      <c r="AK142" s="79" t="n">
        <f aca="false">('Revenue Streams'!AK$20+'Revenue Streams'!AK$16)*'Assumption Setting'!$C$142</f>
        <v>288.141726737687</v>
      </c>
      <c r="AL142" s="79" t="n">
        <f aca="false">('Revenue Streams'!AL$20+'Revenue Streams'!AL$16)*'Assumption Setting'!$C$142</f>
        <v>300.903791535884</v>
      </c>
      <c r="AM142" s="79" t="n">
        <f aca="false">('Revenue Streams'!AM$20+'Revenue Streams'!AM$16)*'Assumption Setting'!$C$142</f>
        <v>313.66585633408</v>
      </c>
      <c r="AN142" s="79" t="n">
        <f aca="false">('Revenue Streams'!AN$20+'Revenue Streams'!AN$16)*'Assumption Setting'!$C$142</f>
        <v>326.427921132276</v>
      </c>
      <c r="AO142" s="78" t="n">
        <f aca="false">SUM(AP142:BA142)</f>
        <v>4865.93600213186</v>
      </c>
      <c r="AP142" s="79" t="n">
        <f aca="false">('Revenue Streams'!AP$20+'Revenue Streams'!AP$16)*'Assumption Setting'!$C$142</f>
        <v>339.189985930473</v>
      </c>
      <c r="AQ142" s="79" t="n">
        <f aca="false">('Revenue Streams'!AQ$20+'Revenue Streams'!AQ$16)*'Assumption Setting'!$C$142</f>
        <v>351.495931798284</v>
      </c>
      <c r="AR142" s="79" t="n">
        <f aca="false">('Revenue Streams'!AR$20+'Revenue Streams'!AR$16)*'Assumption Setting'!$C$142</f>
        <v>363.801877666095</v>
      </c>
      <c r="AS142" s="79" t="n">
        <f aca="false">('Revenue Streams'!AS$20+'Revenue Streams'!AS$16)*'Assumption Setting'!$C$142</f>
        <v>376.107823533906</v>
      </c>
      <c r="AT142" s="79" t="n">
        <f aca="false">('Revenue Streams'!AT$20+'Revenue Streams'!AT$16)*'Assumption Setting'!$C$142</f>
        <v>388.413769401717</v>
      </c>
      <c r="AU142" s="79" t="n">
        <f aca="false">('Revenue Streams'!AU$20+'Revenue Streams'!AU$16)*'Assumption Setting'!$C$142</f>
        <v>400.719715269527</v>
      </c>
      <c r="AV142" s="79" t="n">
        <f aca="false">('Revenue Streams'!AV$20+'Revenue Streams'!AV$16)*'Assumption Setting'!$C$142</f>
        <v>412.238220360703</v>
      </c>
      <c r="AW142" s="79" t="n">
        <f aca="false">('Revenue Streams'!AW$20+'Revenue Streams'!AW$16)*'Assumption Setting'!$C$142</f>
        <v>423.756725451879</v>
      </c>
      <c r="AX142" s="79" t="n">
        <f aca="false">('Revenue Streams'!AX$20+'Revenue Streams'!AX$16)*'Assumption Setting'!$C$142</f>
        <v>435.275230543055</v>
      </c>
      <c r="AY142" s="79" t="n">
        <f aca="false">('Revenue Streams'!AY$20+'Revenue Streams'!AY$16)*'Assumption Setting'!$C$142</f>
        <v>446.793735634231</v>
      </c>
      <c r="AZ142" s="79" t="n">
        <f aca="false">('Revenue Streams'!AZ$20+'Revenue Streams'!AZ$16)*'Assumption Setting'!$C$142</f>
        <v>458.312240725406</v>
      </c>
      <c r="BA142" s="79" t="n">
        <f aca="false">('Revenue Streams'!BA$20+'Revenue Streams'!BA$16)*'Assumption Setting'!$C$142</f>
        <v>469.830745816582</v>
      </c>
      <c r="BB142" s="78" t="n">
        <f aca="false">SUM(BC142:BN142)</f>
        <v>6571.32890873241</v>
      </c>
      <c r="BC142" s="79" t="n">
        <f aca="false">('Revenue Streams'!BC$20+'Revenue Streams'!BC$16)*'Assumption Setting'!$C$142</f>
        <v>481.349250907758</v>
      </c>
      <c r="BD142" s="79" t="n">
        <f aca="false">('Revenue Streams'!BD$20+'Revenue Streams'!BD$16)*'Assumption Setting'!$C$142</f>
        <v>493.273790439404</v>
      </c>
      <c r="BE142" s="79" t="n">
        <f aca="false">('Revenue Streams'!BE$20+'Revenue Streams'!BE$16)*'Assumption Setting'!$C$142</f>
        <v>505.19832997105</v>
      </c>
      <c r="BF142" s="79" t="n">
        <f aca="false">('Revenue Streams'!BF$20+'Revenue Streams'!BF$16)*'Assumption Setting'!$C$142</f>
        <v>517.122869502696</v>
      </c>
      <c r="BG142" s="79" t="n">
        <f aca="false">('Revenue Streams'!BG$20+'Revenue Streams'!BG$16)*'Assumption Setting'!$C$142</f>
        <v>529.047409034342</v>
      </c>
      <c r="BH142" s="79" t="n">
        <f aca="false">('Revenue Streams'!BH$20+'Revenue Streams'!BH$16)*'Assumption Setting'!$C$142</f>
        <v>540.971948565988</v>
      </c>
      <c r="BI142" s="79" t="n">
        <f aca="false">('Revenue Streams'!BI$20+'Revenue Streams'!BI$16)*'Assumption Setting'!$C$142</f>
        <v>553.283073276238</v>
      </c>
      <c r="BJ142" s="79" t="n">
        <f aca="false">('Revenue Streams'!BJ$20+'Revenue Streams'!BJ$16)*'Assumption Setting'!$C$142</f>
        <v>565.594197986488</v>
      </c>
      <c r="BK142" s="79" t="n">
        <f aca="false">('Revenue Streams'!BK$20+'Revenue Streams'!BK$16)*'Assumption Setting'!$C$142</f>
        <v>577.905322696738</v>
      </c>
      <c r="BL142" s="79" t="n">
        <f aca="false">('Revenue Streams'!BL$20+'Revenue Streams'!BL$16)*'Assumption Setting'!$C$142</f>
        <v>590.216447406987</v>
      </c>
      <c r="BM142" s="79" t="n">
        <f aca="false">('Revenue Streams'!BM$20+'Revenue Streams'!BM$16)*'Assumption Setting'!$C$142</f>
        <v>602.527572117237</v>
      </c>
      <c r="BN142" s="79" t="n">
        <f aca="false">('Revenue Streams'!BN$20+'Revenue Streams'!BN$16)*'Assumption Setting'!$C$142</f>
        <v>614.838696827487</v>
      </c>
    </row>
    <row r="143" customFormat="false" ht="15" hidden="false" customHeight="false" outlineLevel="0" collapsed="false">
      <c r="A143" s="12" t="s">
        <v>659</v>
      </c>
      <c r="B143" s="78" t="n">
        <f aca="false">SUM(C143:N143)</f>
        <v>701.182512377287</v>
      </c>
      <c r="C143" s="79" t="n">
        <f aca="false">'Revenue Streams'!C$13+'Revenue Streams'!C$19</f>
        <v>18.75</v>
      </c>
      <c r="D143" s="79" t="n">
        <f aca="false">'Revenue Streams'!D$13+'Revenue Streams'!D$19</f>
        <v>30</v>
      </c>
      <c r="E143" s="79" t="n">
        <f aca="false">'Revenue Streams'!E$13+'Revenue Streams'!E$19</f>
        <v>37.5</v>
      </c>
      <c r="F143" s="79" t="n">
        <f aca="false">'Revenue Streams'!F$13+'Revenue Streams'!F$19</f>
        <v>37.5</v>
      </c>
      <c r="G143" s="79" t="n">
        <f aca="false">'Revenue Streams'!G$13+'Revenue Streams'!G$19</f>
        <v>45.2064586771469</v>
      </c>
      <c r="H143" s="79" t="n">
        <f aca="false">'Revenue Streams'!H$13+'Revenue Streams'!H$19</f>
        <v>52.9129173542937</v>
      </c>
      <c r="I143" s="79" t="n">
        <f aca="false">'Revenue Streams'!I$13+'Revenue Streams'!I$19</f>
        <v>60.6193760314406</v>
      </c>
      <c r="J143" s="79" t="n">
        <f aca="false">'Revenue Streams'!J$13+'Revenue Streams'!J$19</f>
        <v>68.3258347085874</v>
      </c>
      <c r="K143" s="79" t="n">
        <f aca="false">'Revenue Streams'!K$13+'Revenue Streams'!K$19</f>
        <v>76.0322933857343</v>
      </c>
      <c r="L143" s="79" t="n">
        <f aca="false">'Revenue Streams'!L$13+'Revenue Streams'!L$19</f>
        <v>83.7387520628811</v>
      </c>
      <c r="M143" s="79" t="n">
        <f aca="false">'Revenue Streams'!M$13+'Revenue Streams'!M$19</f>
        <v>91.445210740028</v>
      </c>
      <c r="N143" s="79" t="n">
        <f aca="false">'Revenue Streams'!N$13+'Revenue Streams'!N$19</f>
        <v>99.1516694171748</v>
      </c>
      <c r="O143" s="78" t="n">
        <f aca="false">SUM(P143:AA143)</f>
        <v>3533.80047699694</v>
      </c>
      <c r="P143" s="79" t="n">
        <f aca="false">'Revenue Streams'!P$13+'Revenue Streams'!P$19</f>
        <v>106.858128094322</v>
      </c>
      <c r="Q143" s="79" t="n">
        <f aca="false">'Revenue Streams'!Q$13+'Revenue Streams'!Q$19</f>
        <v>115.335232639183</v>
      </c>
      <c r="R143" s="79" t="n">
        <f aca="false">'Revenue Streams'!R$13+'Revenue Streams'!R$19</f>
        <v>149.500532774534</v>
      </c>
      <c r="S143" s="79" t="n">
        <f aca="false">'Revenue Streams'!S$13+'Revenue Streams'!S$19</f>
        <v>186.234652468934</v>
      </c>
      <c r="T143" s="79" t="n">
        <f aca="false">'Revenue Streams'!T$13+'Revenue Streams'!T$19</f>
        <v>227.512283337504</v>
      </c>
      <c r="U143" s="79" t="n">
        <f aca="false">'Revenue Streams'!U$13+'Revenue Streams'!U$19</f>
        <v>268.789914206073</v>
      </c>
      <c r="V143" s="79" t="n">
        <f aca="false">'Revenue Streams'!V$13+'Revenue Streams'!V$19</f>
        <v>310.067545074642</v>
      </c>
      <c r="W143" s="79" t="n">
        <f aca="false">'Revenue Streams'!W$13+'Revenue Streams'!W$19</f>
        <v>351.345175943211</v>
      </c>
      <c r="X143" s="79" t="n">
        <f aca="false">'Revenue Streams'!X$13+'Revenue Streams'!X$19</f>
        <v>392.62280681178</v>
      </c>
      <c r="Y143" s="79" t="n">
        <f aca="false">'Revenue Streams'!Y$13+'Revenue Streams'!Y$19</f>
        <v>433.90043768035</v>
      </c>
      <c r="Z143" s="79" t="n">
        <f aca="false">'Revenue Streams'!Z$13+'Revenue Streams'!Z$19</f>
        <v>475.178068548919</v>
      </c>
      <c r="AA143" s="79" t="n">
        <f aca="false">'Revenue Streams'!AA$13+'Revenue Streams'!AA$19</f>
        <v>516.455699417488</v>
      </c>
      <c r="AB143" s="78" t="n">
        <f aca="false">SUM(AC143:AN143)</f>
        <v>10060.1733103318</v>
      </c>
      <c r="AC143" s="79" t="n">
        <f aca="false">'Revenue Streams'!AC$13+'Revenue Streams'!AC$19</f>
        <v>538.983330286057</v>
      </c>
      <c r="AD143" s="79" t="n">
        <f aca="false">'Revenue Streams'!AD$13+'Revenue Streams'!AD$19</f>
        <v>570.19465349272</v>
      </c>
      <c r="AE143" s="79" t="n">
        <f aca="false">'Revenue Streams'!AE$13+'Revenue Streams'!AE$19</f>
        <v>620.301013946614</v>
      </c>
      <c r="AF143" s="79" t="n">
        <f aca="false">'Revenue Streams'!AF$13+'Revenue Streams'!AF$19</f>
        <v>681.853015527487</v>
      </c>
      <c r="AG143" s="79" t="n">
        <f aca="false">'Revenue Streams'!AG$13+'Revenue Streams'!AG$19</f>
        <v>742.797936995794</v>
      </c>
      <c r="AH143" s="79" t="n">
        <f aca="false">'Revenue Streams'!AH$13+'Revenue Streams'!AH$19</f>
        <v>803.742858464102</v>
      </c>
      <c r="AI143" s="79" t="n">
        <f aca="false">'Revenue Streams'!AI$13+'Revenue Streams'!AI$19</f>
        <v>864.68777993241</v>
      </c>
      <c r="AJ143" s="79" t="n">
        <f aca="false">'Revenue Streams'!AJ$13+'Revenue Streams'!AJ$19</f>
        <v>925.632701400718</v>
      </c>
      <c r="AK143" s="79" t="n">
        <f aca="false">'Revenue Streams'!AK$13+'Revenue Streams'!AK$19</f>
        <v>986.577622869025</v>
      </c>
      <c r="AL143" s="79" t="n">
        <f aca="false">'Revenue Streams'!AL$13+'Revenue Streams'!AL$19</f>
        <v>1047.52254433733</v>
      </c>
      <c r="AM143" s="79" t="n">
        <f aca="false">'Revenue Streams'!AM$13+'Revenue Streams'!AM$19</f>
        <v>1108.46746580564</v>
      </c>
      <c r="AN143" s="79" t="n">
        <f aca="false">'Revenue Streams'!AN$13+'Revenue Streams'!AN$19</f>
        <v>1169.41238727395</v>
      </c>
      <c r="AO143" s="78" t="n">
        <f aca="false">SUM(AP143:BA143)</f>
        <v>18774.2405427944</v>
      </c>
      <c r="AP143" s="79" t="n">
        <f aca="false">'Revenue Streams'!AP$13+'Revenue Streams'!AP$19</f>
        <v>1230.35730874226</v>
      </c>
      <c r="AQ143" s="79" t="n">
        <f aca="false">'Revenue Streams'!AQ$13+'Revenue Streams'!AQ$19</f>
        <v>1291.41923795209</v>
      </c>
      <c r="AR143" s="79" t="n">
        <f aca="false">'Revenue Streams'!AR$13+'Revenue Streams'!AR$19</f>
        <v>1350.4575667867</v>
      </c>
      <c r="AS143" s="79" t="n">
        <f aca="false">'Revenue Streams'!AS$13+'Revenue Streams'!AS$19</f>
        <v>1409.88592142639</v>
      </c>
      <c r="AT143" s="79" t="n">
        <f aca="false">'Revenue Streams'!AT$13+'Revenue Streams'!AT$19</f>
        <v>1471.35906410627</v>
      </c>
      <c r="AU143" s="79" t="n">
        <f aca="false">'Revenue Streams'!AU$13+'Revenue Streams'!AU$19</f>
        <v>1532.83220678616</v>
      </c>
      <c r="AV143" s="79" t="n">
        <f aca="false">'Revenue Streams'!AV$13+'Revenue Streams'!AV$19</f>
        <v>1594.30534946604</v>
      </c>
      <c r="AW143" s="79" t="n">
        <f aca="false">'Revenue Streams'!AW$13+'Revenue Streams'!AW$19</f>
        <v>1655.77849214593</v>
      </c>
      <c r="AX143" s="79" t="n">
        <f aca="false">'Revenue Streams'!AX$13+'Revenue Streams'!AX$19</f>
        <v>1717.25163482581</v>
      </c>
      <c r="AY143" s="79" t="n">
        <f aca="false">'Revenue Streams'!AY$13+'Revenue Streams'!AY$19</f>
        <v>1778.72477750569</v>
      </c>
      <c r="AZ143" s="79" t="n">
        <f aca="false">'Revenue Streams'!AZ$13+'Revenue Streams'!AZ$19</f>
        <v>1840.19792018558</v>
      </c>
      <c r="BA143" s="79" t="n">
        <f aca="false">'Revenue Streams'!BA$13+'Revenue Streams'!BA$19</f>
        <v>1901.67106286546</v>
      </c>
      <c r="BB143" s="78" t="n">
        <f aca="false">SUM(BC143:BN143)</f>
        <v>27973.448085341</v>
      </c>
      <c r="BC143" s="79" t="n">
        <f aca="false">'Revenue Streams'!BC$13+'Revenue Streams'!BC$19</f>
        <v>1963.14420554534</v>
      </c>
      <c r="BD143" s="79" t="n">
        <f aca="false">'Revenue Streams'!BD$13+'Revenue Streams'!BD$19</f>
        <v>2024.58484146494</v>
      </c>
      <c r="BE143" s="79" t="n">
        <f aca="false">'Revenue Streams'!BE$13+'Revenue Streams'!BE$19</f>
        <v>2092.84143751852</v>
      </c>
      <c r="BF143" s="79" t="n">
        <f aca="false">'Revenue Streams'!BF$13+'Revenue Streams'!BF$19</f>
        <v>2160.98967770449</v>
      </c>
      <c r="BG143" s="79" t="n">
        <f aca="false">'Revenue Streams'!BG$13+'Revenue Streams'!BG$19</f>
        <v>2228.87774718982</v>
      </c>
      <c r="BH143" s="79" t="n">
        <f aca="false">'Revenue Streams'!BH$13+'Revenue Streams'!BH$19</f>
        <v>2296.76581667515</v>
      </c>
      <c r="BI143" s="79" t="n">
        <f aca="false">'Revenue Streams'!BI$13+'Revenue Streams'!BI$19</f>
        <v>2364.65388616048</v>
      </c>
      <c r="BJ143" s="79" t="n">
        <f aca="false">'Revenue Streams'!BJ$13+'Revenue Streams'!BJ$19</f>
        <v>2432.5419556458</v>
      </c>
      <c r="BK143" s="79" t="n">
        <f aca="false">'Revenue Streams'!BK$13+'Revenue Streams'!BK$19</f>
        <v>2500.43002513113</v>
      </c>
      <c r="BL143" s="79" t="n">
        <f aca="false">'Revenue Streams'!BL$13+'Revenue Streams'!BL$19</f>
        <v>2568.31809461646</v>
      </c>
      <c r="BM143" s="79" t="n">
        <f aca="false">'Revenue Streams'!BM$13+'Revenue Streams'!BM$19</f>
        <v>2636.20616410179</v>
      </c>
      <c r="BN143" s="79" t="n">
        <f aca="false">'Revenue Streams'!BN$13+'Revenue Streams'!BN$19</f>
        <v>2704.09423358711</v>
      </c>
    </row>
    <row r="144" customFormat="false" ht="15" hidden="false" customHeight="false" outlineLevel="0" collapsed="false">
      <c r="A144" s="12" t="s">
        <v>660</v>
      </c>
      <c r="B144" s="78" t="n">
        <f aca="false">SUM(C144:N144)</f>
        <v>0</v>
      </c>
      <c r="C144" s="79" t="n">
        <f aca="false">'Revenue Streams'!C$15*'Assumption Setting'!$C$143+'Revenue Streams'!C$18*'Assumption Setting'!$C$144</f>
        <v>0</v>
      </c>
      <c r="D144" s="79" t="n">
        <f aca="false">'Revenue Streams'!D$15*'Assumption Setting'!$C$143+'Revenue Streams'!D$18*'Assumption Setting'!$C$144</f>
        <v>0</v>
      </c>
      <c r="E144" s="79" t="n">
        <f aca="false">'Revenue Streams'!E$15*'Assumption Setting'!$C$143+'Revenue Streams'!E$18*'Assumption Setting'!$C$144</f>
        <v>0</v>
      </c>
      <c r="F144" s="79" t="n">
        <f aca="false">'Revenue Streams'!F$15*'Assumption Setting'!$C$143+'Revenue Streams'!F$18*'Assumption Setting'!$C$144</f>
        <v>0</v>
      </c>
      <c r="G144" s="79" t="n">
        <f aca="false">'Revenue Streams'!G$15*'Assumption Setting'!$C$143+'Revenue Streams'!G$18*'Assumption Setting'!$C$144</f>
        <v>0</v>
      </c>
      <c r="H144" s="79" t="n">
        <f aca="false">'Revenue Streams'!H$15*'Assumption Setting'!$C$143+'Revenue Streams'!H$18*'Assumption Setting'!$C$144</f>
        <v>0</v>
      </c>
      <c r="I144" s="79" t="n">
        <f aca="false">'Revenue Streams'!I$15*'Assumption Setting'!$C$143+'Revenue Streams'!I$18*'Assumption Setting'!$C$144</f>
        <v>0</v>
      </c>
      <c r="J144" s="79" t="n">
        <f aca="false">'Revenue Streams'!J$15*'Assumption Setting'!$C$143+'Revenue Streams'!J$18*'Assumption Setting'!$C$144</f>
        <v>0</v>
      </c>
      <c r="K144" s="79" t="n">
        <f aca="false">'Revenue Streams'!K$15*'Assumption Setting'!$C$143+'Revenue Streams'!K$18*'Assumption Setting'!$C$144</f>
        <v>0</v>
      </c>
      <c r="L144" s="79" t="n">
        <f aca="false">'Revenue Streams'!L$15*'Assumption Setting'!$C$143+'Revenue Streams'!L$18*'Assumption Setting'!$C$144</f>
        <v>0</v>
      </c>
      <c r="M144" s="79" t="n">
        <f aca="false">'Revenue Streams'!M$15*'Assumption Setting'!$C$143+'Revenue Streams'!M$18*'Assumption Setting'!$C$144</f>
        <v>0</v>
      </c>
      <c r="N144" s="79" t="n">
        <f aca="false">'Revenue Streams'!N$15*'Assumption Setting'!$C$143+'Revenue Streams'!N$18*'Assumption Setting'!$C$144</f>
        <v>0</v>
      </c>
      <c r="O144" s="78" t="n">
        <f aca="false">SUM(P144:AA144)</f>
        <v>176.924171263055</v>
      </c>
      <c r="P144" s="79" t="n">
        <f aca="false">'Revenue Streams'!P$15*'Assumption Setting'!$C$143+'Revenue Streams'!P$18*'Assumption Setting'!$C$144</f>
        <v>0.941900504984615</v>
      </c>
      <c r="Q144" s="79" t="n">
        <f aca="false">'Revenue Streams'!Q$15*'Assumption Setting'!$C$143+'Revenue Streams'!Q$18*'Assumption Setting'!$C$144</f>
        <v>1.88380100996923</v>
      </c>
      <c r="R144" s="79" t="n">
        <f aca="false">'Revenue Streams'!R$15*'Assumption Setting'!$C$143+'Revenue Streams'!R$18*'Assumption Setting'!$C$144</f>
        <v>2.91989156545231</v>
      </c>
      <c r="S144" s="79" t="n">
        <f aca="false">'Revenue Streams'!S$15*'Assumption Setting'!$C$143+'Revenue Streams'!S$18*'Assumption Setting'!$C$144</f>
        <v>6.06583925210092</v>
      </c>
      <c r="T144" s="79" t="n">
        <f aca="false">'Revenue Streams'!T$15*'Assumption Setting'!$C$143+'Revenue Streams'!T$18*'Assumption Setting'!$C$144</f>
        <v>9.21178693874954</v>
      </c>
      <c r="U144" s="79" t="n">
        <f aca="false">'Revenue Streams'!U$15*'Assumption Setting'!$C$143+'Revenue Streams'!U$18*'Assumption Setting'!$C$144</f>
        <v>12.3577346253982</v>
      </c>
      <c r="V144" s="79" t="n">
        <f aca="false">'Revenue Streams'!V$15*'Assumption Setting'!$C$143+'Revenue Streams'!V$18*'Assumption Setting'!$C$144</f>
        <v>15.5036823120468</v>
      </c>
      <c r="W144" s="79" t="n">
        <f aca="false">'Revenue Streams'!W$15*'Assumption Setting'!$C$143+'Revenue Streams'!W$18*'Assumption Setting'!$C$144</f>
        <v>18.6496299986954</v>
      </c>
      <c r="X144" s="79" t="n">
        <f aca="false">'Revenue Streams'!X$15*'Assumption Setting'!$C$143+'Revenue Streams'!X$18*'Assumption Setting'!$C$144</f>
        <v>21.795577685344</v>
      </c>
      <c r="Y144" s="79" t="n">
        <f aca="false">'Revenue Streams'!Y$15*'Assumption Setting'!$C$143+'Revenue Streams'!Y$18*'Assumption Setting'!$C$144</f>
        <v>25.4968434043911</v>
      </c>
      <c r="Z144" s="79" t="n">
        <f aca="false">'Revenue Streams'!Z$15*'Assumption Setting'!$C$143+'Revenue Streams'!Z$18*'Assumption Setting'!$C$144</f>
        <v>29.1981091234382</v>
      </c>
      <c r="AA144" s="79" t="n">
        <f aca="false">'Revenue Streams'!AA$15*'Assumption Setting'!$C$143+'Revenue Streams'!AA$18*'Assumption Setting'!$C$144</f>
        <v>32.8993748424852</v>
      </c>
      <c r="AB144" s="78" t="n">
        <f aca="false">SUM(AC144:AN144)</f>
        <v>666.159414272008</v>
      </c>
      <c r="AC144" s="79" t="n">
        <f aca="false">'Revenue Streams'!AC$15*'Assumption Setting'!$C$143+'Revenue Streams'!AC$18*'Assumption Setting'!$C$144</f>
        <v>35.6587400565477</v>
      </c>
      <c r="AD144" s="79" t="n">
        <f aca="false">'Revenue Streams'!AD$15*'Assumption Setting'!$C$143+'Revenue Streams'!AD$18*'Assumption Setting'!$C$144</f>
        <v>38.4181052706102</v>
      </c>
      <c r="AE144" s="79" t="n">
        <f aca="false">'Revenue Streams'!AE$15*'Assumption Setting'!$C$143+'Revenue Streams'!AE$18*'Assumption Setting'!$C$144</f>
        <v>41.2279539421634</v>
      </c>
      <c r="AF144" s="79" t="n">
        <f aca="false">'Revenue Streams'!AF$15*'Assumption Setting'!$C$143+'Revenue Streams'!AF$18*'Assumption Setting'!$C$144</f>
        <v>45.4632399323243</v>
      </c>
      <c r="AG144" s="79" t="n">
        <f aca="false">'Revenue Streams'!AG$15*'Assumption Setting'!$C$143+'Revenue Streams'!AG$18*'Assumption Setting'!$C$144</f>
        <v>49.6985259224852</v>
      </c>
      <c r="AH144" s="79" t="n">
        <f aca="false">'Revenue Streams'!AH$15*'Assumption Setting'!$C$143+'Revenue Streams'!AH$18*'Assumption Setting'!$C$144</f>
        <v>53.9338119126461</v>
      </c>
      <c r="AI144" s="79" t="n">
        <f aca="false">'Revenue Streams'!AI$15*'Assumption Setting'!$C$143+'Revenue Streams'!AI$18*'Assumption Setting'!$C$144</f>
        <v>58.169097902807</v>
      </c>
      <c r="AJ144" s="79" t="n">
        <f aca="false">'Revenue Streams'!AJ$15*'Assumption Setting'!$C$143+'Revenue Streams'!AJ$18*'Assumption Setting'!$C$144</f>
        <v>62.4043838929679</v>
      </c>
      <c r="AK144" s="79" t="n">
        <f aca="false">'Revenue Streams'!AK$15*'Assumption Setting'!$C$143+'Revenue Streams'!AK$18*'Assumption Setting'!$C$144</f>
        <v>66.6396698831288</v>
      </c>
      <c r="AL144" s="79" t="n">
        <f aca="false">'Revenue Streams'!AL$15*'Assumption Setting'!$C$143+'Revenue Streams'!AL$18*'Assumption Setting'!$C$144</f>
        <v>69.0774825342856</v>
      </c>
      <c r="AM144" s="79" t="n">
        <f aca="false">'Revenue Streams'!AM$15*'Assumption Setting'!$C$143+'Revenue Streams'!AM$18*'Assumption Setting'!$C$144</f>
        <v>71.5152951854425</v>
      </c>
      <c r="AN144" s="79" t="n">
        <f aca="false">'Revenue Streams'!AN$15*'Assumption Setting'!$C$143+'Revenue Streams'!AN$18*'Assumption Setting'!$C$144</f>
        <v>73.9531078365994</v>
      </c>
      <c r="AO144" s="78" t="n">
        <f aca="false">SUM(AP144:BA144)</f>
        <v>1156.12398761932</v>
      </c>
      <c r="AP144" s="79" t="n">
        <f aca="false">'Revenue Streams'!AP$15*'Assumption Setting'!$C$143+'Revenue Streams'!AP$18*'Assumption Setting'!$C$144</f>
        <v>76.3909204877563</v>
      </c>
      <c r="AQ144" s="79" t="n">
        <f aca="false">'Revenue Streams'!AQ$15*'Assumption Setting'!$C$143+'Revenue Streams'!AQ$18*'Assumption Setting'!$C$144</f>
        <v>78.8287331389132</v>
      </c>
      <c r="AR144" s="79" t="n">
        <f aca="false">'Revenue Streams'!AR$15*'Assumption Setting'!$C$143+'Revenue Streams'!AR$18*'Assumption Setting'!$C$144</f>
        <v>81.2303632787655</v>
      </c>
      <c r="AS144" s="79" t="n">
        <f aca="false">'Revenue Streams'!AS$15*'Assumption Setting'!$C$143+'Revenue Streams'!AS$18*'Assumption Setting'!$C$144</f>
        <v>85.6198769818795</v>
      </c>
      <c r="AT144" s="79" t="n">
        <f aca="false">'Revenue Streams'!AT$15*'Assumption Setting'!$C$143+'Revenue Streams'!AT$18*'Assumption Setting'!$C$144</f>
        <v>90.0093906849936</v>
      </c>
      <c r="AU144" s="79" t="n">
        <f aca="false">'Revenue Streams'!AU$15*'Assumption Setting'!$C$143+'Revenue Streams'!AU$18*'Assumption Setting'!$C$144</f>
        <v>94.3989043881076</v>
      </c>
      <c r="AV144" s="79" t="n">
        <f aca="false">'Revenue Streams'!AV$15*'Assumption Setting'!$C$143+'Revenue Streams'!AV$18*'Assumption Setting'!$C$144</f>
        <v>98.7884180912216</v>
      </c>
      <c r="AW144" s="79" t="n">
        <f aca="false">'Revenue Streams'!AW$15*'Assumption Setting'!$C$143+'Revenue Streams'!AW$18*'Assumption Setting'!$C$144</f>
        <v>103.177931794336</v>
      </c>
      <c r="AX144" s="79" t="n">
        <f aca="false">'Revenue Streams'!AX$15*'Assumption Setting'!$C$143+'Revenue Streams'!AX$18*'Assumption Setting'!$C$144</f>
        <v>107.56744549745</v>
      </c>
      <c r="AY144" s="79" t="n">
        <f aca="false">'Revenue Streams'!AY$15*'Assumption Setting'!$C$143+'Revenue Streams'!AY$18*'Assumption Setting'!$C$144</f>
        <v>110.46905662804</v>
      </c>
      <c r="AZ144" s="79" t="n">
        <f aca="false">'Revenue Streams'!AZ$15*'Assumption Setting'!$C$143+'Revenue Streams'!AZ$18*'Assumption Setting'!$C$144</f>
        <v>113.370667758631</v>
      </c>
      <c r="BA144" s="79" t="n">
        <f aca="false">'Revenue Streams'!BA$15*'Assumption Setting'!$C$143+'Revenue Streams'!BA$18*'Assumption Setting'!$C$144</f>
        <v>116.272278889222</v>
      </c>
      <c r="BB144" s="78" t="n">
        <f aca="false">SUM(BC144:BN144)</f>
        <v>1698.30346328128</v>
      </c>
      <c r="BC144" s="79" t="n">
        <f aca="false">'Revenue Streams'!BC$15*'Assumption Setting'!$C$143+'Revenue Streams'!BC$18*'Assumption Setting'!$C$144</f>
        <v>119.173890019812</v>
      </c>
      <c r="BD144" s="79" t="n">
        <f aca="false">'Revenue Streams'!BD$15*'Assumption Setting'!$C$143+'Revenue Streams'!BD$18*'Assumption Setting'!$C$144</f>
        <v>122.075501150403</v>
      </c>
      <c r="BE144" s="79" t="n">
        <f aca="false">'Revenue Streams'!BE$15*'Assumption Setting'!$C$143+'Revenue Streams'!BE$18*'Assumption Setting'!$C$144</f>
        <v>125.009321743819</v>
      </c>
      <c r="BF144" s="79" t="n">
        <f aca="false">'Revenue Streams'!BF$15*'Assumption Setting'!$C$143+'Revenue Streams'!BF$18*'Assumption Setting'!$C$144</f>
        <v>129.869414107732</v>
      </c>
      <c r="BG144" s="79" t="n">
        <f aca="false">'Revenue Streams'!BG$15*'Assumption Setting'!$C$143+'Revenue Streams'!BG$18*'Assumption Setting'!$C$144</f>
        <v>134.729506471645</v>
      </c>
      <c r="BH144" s="79" t="n">
        <f aca="false">'Revenue Streams'!BH$15*'Assumption Setting'!$C$143+'Revenue Streams'!BH$18*'Assumption Setting'!$C$144</f>
        <v>139.589598835558</v>
      </c>
      <c r="BI144" s="79" t="n">
        <f aca="false">'Revenue Streams'!BI$15*'Assumption Setting'!$C$143+'Revenue Streams'!BI$18*'Assumption Setting'!$C$144</f>
        <v>144.449691199471</v>
      </c>
      <c r="BJ144" s="79" t="n">
        <f aca="false">'Revenue Streams'!BJ$15*'Assumption Setting'!$C$143+'Revenue Streams'!BJ$18*'Assumption Setting'!$C$144</f>
        <v>149.309783563384</v>
      </c>
      <c r="BK144" s="79" t="n">
        <f aca="false">'Revenue Streams'!BK$15*'Assumption Setting'!$C$143+'Revenue Streams'!BK$18*'Assumption Setting'!$C$144</f>
        <v>154.169875927297</v>
      </c>
      <c r="BL144" s="79" t="n">
        <f aca="false">'Revenue Streams'!BL$15*'Assumption Setting'!$C$143+'Revenue Streams'!BL$18*'Assumption Setting'!$C$144</f>
        <v>157.072751340675</v>
      </c>
      <c r="BM144" s="79" t="n">
        <f aca="false">'Revenue Streams'!BM$15*'Assumption Setting'!$C$143+'Revenue Streams'!BM$18*'Assumption Setting'!$C$144</f>
        <v>159.975626754052</v>
      </c>
      <c r="BN144" s="79" t="n">
        <f aca="false">'Revenue Streams'!BN$15*'Assumption Setting'!$C$143+'Revenue Streams'!BN$18*'Assumption Setting'!$C$144</f>
        <v>162.878502167429</v>
      </c>
    </row>
    <row r="145" customFormat="false" ht="15" hidden="false" customHeight="false" outlineLevel="0" collapsed="false">
      <c r="A145" s="18" t="s">
        <v>661</v>
      </c>
      <c r="B145" s="78" t="n">
        <f aca="false">SUM(C145:N145)</f>
        <v>1936.44571382103</v>
      </c>
      <c r="C145" s="82" t="n">
        <f aca="false">C141+C142+C143+C144</f>
        <v>439.583333333333</v>
      </c>
      <c r="D145" s="82" t="n">
        <f aca="false">D141+D142+D143+D144</f>
        <v>63.3333333333333</v>
      </c>
      <c r="E145" s="82" t="n">
        <f aca="false">E141+E142+E143+E144</f>
        <v>79.1666666666667</v>
      </c>
      <c r="F145" s="82" t="n">
        <f aca="false">F141+F142+F143+F144</f>
        <v>79.1666666666667</v>
      </c>
      <c r="G145" s="82" t="n">
        <f aca="false">G141+G142+G143+G144</f>
        <v>86.8731253438135</v>
      </c>
      <c r="H145" s="82" t="n">
        <f aca="false">H141+H142+H143+H144</f>
        <v>94.5795840209604</v>
      </c>
      <c r="I145" s="82" t="n">
        <f aca="false">I141+I142+I143+I144</f>
        <v>119.63984594146</v>
      </c>
      <c r="J145" s="82" t="n">
        <f aca="false">J141+J142+J143+J144</f>
        <v>144.70010786196</v>
      </c>
      <c r="K145" s="82" t="n">
        <f aca="false">K141+K142+K143+K144</f>
        <v>169.76036978246</v>
      </c>
      <c r="L145" s="82" t="n">
        <f aca="false">L141+L142+L143+L144</f>
        <v>194.820631702959</v>
      </c>
      <c r="M145" s="82" t="n">
        <f aca="false">M141+M142+M143+M144</f>
        <v>219.880893623459</v>
      </c>
      <c r="N145" s="82" t="n">
        <f aca="false">N141+N142+N143+N144</f>
        <v>244.941155543959</v>
      </c>
      <c r="O145" s="78" t="n">
        <f aca="false">SUM(P145:AA145)</f>
        <v>6840.27291141284</v>
      </c>
      <c r="P145" s="82" t="n">
        <f aca="false">P141+P142+P143+P144</f>
        <v>270.447495019633</v>
      </c>
      <c r="Q145" s="82" t="n">
        <f aca="false">Q141+Q142+Q143+Q144</f>
        <v>297.911845848094</v>
      </c>
      <c r="R145" s="82" t="n">
        <f aca="false">R141+R142+R143+R144</f>
        <v>351.657014861825</v>
      </c>
      <c r="S145" s="82" t="n">
        <f aca="false">S141+S142+S143+S144</f>
        <v>410.080860565771</v>
      </c>
      <c r="T145" s="82" t="n">
        <f aca="false">T141+T142+T143+T144</f>
        <v>473.048217443886</v>
      </c>
      <c r="U145" s="82" t="n">
        <f aca="false">U141+U142+U143+U144</f>
        <v>536.015574322001</v>
      </c>
      <c r="V145" s="82" t="n">
        <f aca="false">V141+V142+V143+V144</f>
        <v>597.04826714225</v>
      </c>
      <c r="W145" s="82" t="n">
        <f aca="false">W141+W142+W143+W144</f>
        <v>658.080959962499</v>
      </c>
      <c r="X145" s="82" t="n">
        <f aca="false">X141+X142+X143+X144</f>
        <v>719.113652782748</v>
      </c>
      <c r="Y145" s="82" t="n">
        <f aca="false">Y141+Y142+Y143+Y144</f>
        <v>780.701663635396</v>
      </c>
      <c r="Z145" s="82" t="n">
        <f aca="false">Z141+Z142+Z143+Z144</f>
        <v>842.289674488044</v>
      </c>
      <c r="AA145" s="82" t="n">
        <f aca="false">AA141+AA142+AA143+AA144</f>
        <v>903.877685340691</v>
      </c>
      <c r="AB145" s="78" t="n">
        <f aca="false">SUM(AC145:AN145)</f>
        <v>15931.1083239518</v>
      </c>
      <c r="AC145" s="82" t="n">
        <f aca="false">AC141+AC142+AC143+AC144</f>
        <v>924.704134735113</v>
      </c>
      <c r="AD145" s="82" t="n">
        <f aca="false">AD141+AD142+AD143+AD144</f>
        <v>963.184007325694</v>
      </c>
      <c r="AE145" s="82" t="n">
        <f aca="false">AE141+AE142+AE143+AE144</f>
        <v>1025.52016259566</v>
      </c>
      <c r="AF145" s="82" t="n">
        <f aca="false">AF141+AF142+AF143+AF144</f>
        <v>1109.06072964455</v>
      </c>
      <c r="AG145" s="82" t="n">
        <f aca="false">AG141+AG142+AG143+AG144</f>
        <v>1191.99421658088</v>
      </c>
      <c r="AH145" s="82" t="n">
        <f aca="false">AH141+AH142+AH143+AH144</f>
        <v>1274.9277035172</v>
      </c>
      <c r="AI145" s="82" t="n">
        <f aca="false">AI141+AI142+AI143+AI144</f>
        <v>1360.78179820689</v>
      </c>
      <c r="AJ145" s="82" t="n">
        <f aca="false">AJ141+AJ142+AJ143+AJ144</f>
        <v>1446.63589289658</v>
      </c>
      <c r="AK145" s="82" t="n">
        <f aca="false">AK141+AK142+AK143+AK144</f>
        <v>1532.48998758627</v>
      </c>
      <c r="AL145" s="82" t="n">
        <f aca="false">AL141+AL142+AL143+AL144</f>
        <v>1616.54660893696</v>
      </c>
      <c r="AM145" s="82" t="n">
        <f aca="false">AM141+AM142+AM143+AM144</f>
        <v>1700.60323028764</v>
      </c>
      <c r="AN145" s="82" t="n">
        <f aca="false">AN141+AN142+AN143+AN144</f>
        <v>1784.65985163833</v>
      </c>
      <c r="AO145" s="78" t="n">
        <f aca="false">SUM(AP145:BA145)</f>
        <v>28059.0318390714</v>
      </c>
      <c r="AP145" s="82" t="n">
        <f aca="false">AP141+AP142+AP143+AP144</f>
        <v>1869.21229593883</v>
      </c>
      <c r="AQ145" s="82" t="n">
        <f aca="false">AQ141+AQ142+AQ143+AQ144</f>
        <v>1953.42562905046</v>
      </c>
      <c r="AR145" s="82" t="n">
        <f aca="false">AR141+AR142+AR143+AR144</f>
        <v>2035.63874551569</v>
      </c>
      <c r="AS145" s="82" t="n">
        <f aca="false">AS141+AS142+AS143+AS144</f>
        <v>2120.22977134926</v>
      </c>
      <c r="AT145" s="82" t="n">
        <f aca="false">AT141+AT142+AT143+AT144</f>
        <v>2206.86558522303</v>
      </c>
      <c r="AU145" s="82" t="n">
        <f aca="false">AU141+AU142+AU143+AU144</f>
        <v>2293.50139909679</v>
      </c>
      <c r="AV145" s="82" t="n">
        <f aca="false">AV141+AV142+AV143+AV144</f>
        <v>2380.55270546592</v>
      </c>
      <c r="AW145" s="82" t="n">
        <f aca="false">AW141+AW142+AW143+AW144</f>
        <v>2467.60401183505</v>
      </c>
      <c r="AX145" s="82" t="n">
        <f aca="false">AX141+AX142+AX143+AX144</f>
        <v>2554.65531820418</v>
      </c>
      <c r="AY145" s="82" t="n">
        <f aca="false">AY141+AY142+AY143+AY144</f>
        <v>2640.21872200078</v>
      </c>
      <c r="AZ145" s="82" t="n">
        <f aca="false">AZ141+AZ142+AZ143+AZ144</f>
        <v>2725.78212579739</v>
      </c>
      <c r="BA145" s="82" t="n">
        <f aca="false">BA141+BA142+BA143+BA144</f>
        <v>2811.34552959399</v>
      </c>
      <c r="BB145" s="78" t="n">
        <f aca="false">SUM(BC145:BN145)</f>
        <v>40894.0841910693</v>
      </c>
      <c r="BC145" s="82" t="n">
        <f aca="false">BC141+BC142+BC143+BC144</f>
        <v>2897.14526101051</v>
      </c>
      <c r="BD145" s="82" t="n">
        <f aca="false">BD141+BD142+BD143+BD144</f>
        <v>2983.31852010721</v>
      </c>
      <c r="BE145" s="82" t="n">
        <f aca="false">BE141+BE142+BE143+BE144</f>
        <v>3076.31951432883</v>
      </c>
      <c r="BF145" s="82" t="n">
        <f aca="false">BF141+BF142+BF143+BF144</f>
        <v>3171.13842445334</v>
      </c>
      <c r="BG145" s="82" t="n">
        <f aca="false">BG141+BG142+BG143+BG144</f>
        <v>3265.6971638772</v>
      </c>
      <c r="BH145" s="82" t="n">
        <f aca="false">BH141+BH142+BH143+BH144</f>
        <v>3360.25590330107</v>
      </c>
      <c r="BI145" s="82" t="n">
        <f aca="false">BI141+BI142+BI143+BI144</f>
        <v>3455.03767881954</v>
      </c>
      <c r="BJ145" s="82" t="n">
        <f aca="false">BJ141+BJ142+BJ143+BJ144</f>
        <v>3549.81945433801</v>
      </c>
      <c r="BK145" s="82" t="n">
        <f aca="false">BK141+BK142+BK143+BK144</f>
        <v>3644.60122985648</v>
      </c>
      <c r="BL145" s="82" t="n">
        <f aca="false">BL141+BL142+BL143+BL144</f>
        <v>3737.42578842442</v>
      </c>
      <c r="BM145" s="82" t="n">
        <f aca="false">BM141+BM142+BM143+BM144</f>
        <v>3830.25034699236</v>
      </c>
      <c r="BN145" s="82" t="n">
        <f aca="false">BN141+BN142+BN143+BN144</f>
        <v>3923.07490556029</v>
      </c>
    </row>
    <row r="146" customFormat="false" ht="15" hidden="false" customHeight="false" outlineLevel="0" collapsed="false">
      <c r="A146" s="69" t="s">
        <v>662</v>
      </c>
      <c r="B146" s="78" t="n">
        <f aca="false">SUM(C146:N146)</f>
        <v>2776.34207665819</v>
      </c>
      <c r="C146" s="94" t="n">
        <f aca="false">C145+C65+C66</f>
        <v>509.574696903097</v>
      </c>
      <c r="D146" s="94" t="n">
        <f aca="false">D145+D65+D66</f>
        <v>133.324696903097</v>
      </c>
      <c r="E146" s="94" t="n">
        <f aca="false">E145+E65+E66</f>
        <v>149.15803023643</v>
      </c>
      <c r="F146" s="94" t="n">
        <f aca="false">F145+F65+F66</f>
        <v>149.15803023643</v>
      </c>
      <c r="G146" s="94" t="n">
        <f aca="false">G145+G65+G66</f>
        <v>156.864488913577</v>
      </c>
      <c r="H146" s="94" t="n">
        <f aca="false">H145+H65+H66</f>
        <v>164.570947590724</v>
      </c>
      <c r="I146" s="94" t="n">
        <f aca="false">I145+I65+I66</f>
        <v>189.631209511224</v>
      </c>
      <c r="J146" s="94" t="n">
        <f aca="false">J145+J65+J66</f>
        <v>214.691471431724</v>
      </c>
      <c r="K146" s="94" t="n">
        <f aca="false">K145+K65+K66</f>
        <v>239.751733352223</v>
      </c>
      <c r="L146" s="94" t="n">
        <f aca="false">L145+L65+L66</f>
        <v>264.811995272723</v>
      </c>
      <c r="M146" s="94" t="n">
        <f aca="false">M145+M65+M66</f>
        <v>289.872257193223</v>
      </c>
      <c r="N146" s="94" t="n">
        <f aca="false">N145+N65+N66</f>
        <v>314.932519113723</v>
      </c>
      <c r="O146" s="78" t="n">
        <f aca="false">SUM(P146:AA146)</f>
        <v>9995.34199672752</v>
      </c>
      <c r="P146" s="94" t="n">
        <f aca="false">P145+P65+P66</f>
        <v>533.369918795857</v>
      </c>
      <c r="Q146" s="94" t="n">
        <f aca="false">Q145+Q65+Q66</f>
        <v>560.834269624318</v>
      </c>
      <c r="R146" s="94" t="n">
        <f aca="false">R145+R65+R66</f>
        <v>614.579438638049</v>
      </c>
      <c r="S146" s="94" t="n">
        <f aca="false">S145+S65+S66</f>
        <v>673.003284341995</v>
      </c>
      <c r="T146" s="94" t="n">
        <f aca="false">T145+T65+T66</f>
        <v>735.97064122011</v>
      </c>
      <c r="U146" s="94" t="n">
        <f aca="false">U145+U65+U66</f>
        <v>798.937998098225</v>
      </c>
      <c r="V146" s="94" t="n">
        <f aca="false">V145+V65+V66</f>
        <v>859.970690918474</v>
      </c>
      <c r="W146" s="94" t="n">
        <f aca="false">W145+W65+W66</f>
        <v>921.003383738723</v>
      </c>
      <c r="X146" s="94" t="n">
        <f aca="false">X145+X65+X66</f>
        <v>982.036076558972</v>
      </c>
      <c r="Y146" s="94" t="n">
        <f aca="false">Y145+Y65+Y66</f>
        <v>1043.62408741162</v>
      </c>
      <c r="Z146" s="94" t="n">
        <f aca="false">Z145+Z65+Z66</f>
        <v>1105.21209826427</v>
      </c>
      <c r="AA146" s="94" t="n">
        <f aca="false">AA145+AA65+AA66</f>
        <v>1166.80010911692</v>
      </c>
      <c r="AB146" s="78" t="n">
        <f aca="false">SUM(AC146:AN146)</f>
        <v>22599.0269573184</v>
      </c>
      <c r="AC146" s="94" t="n">
        <f aca="false">AC145+AC65+AC66</f>
        <v>1480.364020849</v>
      </c>
      <c r="AD146" s="94" t="n">
        <f aca="false">AD145+AD65+AD66</f>
        <v>1518.84389343958</v>
      </c>
      <c r="AE146" s="94" t="n">
        <f aca="false">AE145+AE65+AE66</f>
        <v>1581.18004870955</v>
      </c>
      <c r="AF146" s="94" t="n">
        <f aca="false">AF145+AF65+AF66</f>
        <v>1664.72061575844</v>
      </c>
      <c r="AG146" s="94" t="n">
        <f aca="false">AG145+AG65+AG66</f>
        <v>1747.65410269476</v>
      </c>
      <c r="AH146" s="94" t="n">
        <f aca="false">AH145+AH65+AH66</f>
        <v>1830.58758963109</v>
      </c>
      <c r="AI146" s="94" t="n">
        <f aca="false">AI145+AI65+AI66</f>
        <v>1916.44168432078</v>
      </c>
      <c r="AJ146" s="94" t="n">
        <f aca="false">AJ145+AJ65+AJ66</f>
        <v>2002.29577901047</v>
      </c>
      <c r="AK146" s="94" t="n">
        <f aca="false">AK145+AK65+AK66</f>
        <v>2088.14987370016</v>
      </c>
      <c r="AL146" s="94" t="n">
        <f aca="false">AL145+AL65+AL66</f>
        <v>2172.20649505084</v>
      </c>
      <c r="AM146" s="94" t="n">
        <f aca="false">AM145+AM65+AM66</f>
        <v>2256.26311640153</v>
      </c>
      <c r="AN146" s="94" t="n">
        <f aca="false">AN145+AN65+AN66</f>
        <v>2340.31973775222</v>
      </c>
      <c r="AO146" s="78" t="n">
        <f aca="false">SUM(AP146:BA146)</f>
        <v>37891.3274342762</v>
      </c>
      <c r="AP146" s="94" t="n">
        <f aca="false">AP145+AP65+AP66</f>
        <v>2688.57026220589</v>
      </c>
      <c r="AQ146" s="94" t="n">
        <f aca="false">AQ145+AQ65+AQ66</f>
        <v>2772.78359531753</v>
      </c>
      <c r="AR146" s="94" t="n">
        <f aca="false">AR145+AR65+AR66</f>
        <v>2854.99671178276</v>
      </c>
      <c r="AS146" s="94" t="n">
        <f aca="false">AS145+AS65+AS66</f>
        <v>2939.58773761633</v>
      </c>
      <c r="AT146" s="94" t="n">
        <f aca="false">AT145+AT65+AT66</f>
        <v>3026.22355149009</v>
      </c>
      <c r="AU146" s="94" t="n">
        <f aca="false">AU145+AU65+AU66</f>
        <v>3112.85936536385</v>
      </c>
      <c r="AV146" s="94" t="n">
        <f aca="false">AV145+AV65+AV66</f>
        <v>3199.91067173298</v>
      </c>
      <c r="AW146" s="94" t="n">
        <f aca="false">AW145+AW65+AW66</f>
        <v>3286.96197810211</v>
      </c>
      <c r="AX146" s="94" t="n">
        <f aca="false">AX145+AX65+AX66</f>
        <v>3374.01328447124</v>
      </c>
      <c r="AY146" s="94" t="n">
        <f aca="false">AY145+AY65+AY66</f>
        <v>3459.57668826785</v>
      </c>
      <c r="AZ146" s="94" t="n">
        <f aca="false">AZ145+AZ65+AZ66</f>
        <v>3545.14009206446</v>
      </c>
      <c r="BA146" s="94" t="n">
        <f aca="false">BA145+BA65+BA66</f>
        <v>3630.70349586106</v>
      </c>
      <c r="BB146" s="78" t="n">
        <f aca="false">SUM(BC146:BN146)</f>
        <v>53829.1043964639</v>
      </c>
      <c r="BC146" s="94" t="n">
        <f aca="false">BC145+BC65+BC66</f>
        <v>3975.06361146006</v>
      </c>
      <c r="BD146" s="94" t="n">
        <f aca="false">BD145+BD65+BD66</f>
        <v>4061.23687055676</v>
      </c>
      <c r="BE146" s="94" t="n">
        <f aca="false">BE145+BE65+BE66</f>
        <v>4154.23786477838</v>
      </c>
      <c r="BF146" s="94" t="n">
        <f aca="false">BF145+BF65+BF66</f>
        <v>4249.05677490289</v>
      </c>
      <c r="BG146" s="94" t="n">
        <f aca="false">BG145+BG65+BG66</f>
        <v>4343.61551432675</v>
      </c>
      <c r="BH146" s="94" t="n">
        <f aca="false">BH145+BH65+BH66</f>
        <v>4438.17425375062</v>
      </c>
      <c r="BI146" s="94" t="n">
        <f aca="false">BI145+BI65+BI66</f>
        <v>4532.95602926909</v>
      </c>
      <c r="BJ146" s="94" t="n">
        <f aca="false">BJ145+BJ65+BJ66</f>
        <v>4627.73780478756</v>
      </c>
      <c r="BK146" s="94" t="n">
        <f aca="false">BK145+BK65+BK66</f>
        <v>4722.51958030603</v>
      </c>
      <c r="BL146" s="94" t="n">
        <f aca="false">BL145+BL65+BL66</f>
        <v>4815.34413887397</v>
      </c>
      <c r="BM146" s="94" t="n">
        <f aca="false">BM145+BM65+BM66</f>
        <v>4908.16869744191</v>
      </c>
      <c r="BN146" s="94" t="n">
        <f aca="false">BN145+BN65+BN66</f>
        <v>5000.99325600984</v>
      </c>
    </row>
    <row r="147" customFormat="false" ht="15" hidden="false" customHeight="false" outlineLevel="0" collapsed="false">
      <c r="A147" s="18" t="s">
        <v>663</v>
      </c>
      <c r="B147" s="78" t="n">
        <f aca="false">N147</f>
        <v>3076.34207665819</v>
      </c>
      <c r="C147" s="82" t="n">
        <f aca="false">'Assumption Setting'!$C$12+C146</f>
        <v>809.574696903097</v>
      </c>
      <c r="D147" s="82" t="n">
        <f aca="false">C147+D146</f>
        <v>942.899393806194</v>
      </c>
      <c r="E147" s="82" t="n">
        <f aca="false">D147+E146</f>
        <v>1092.05742404262</v>
      </c>
      <c r="F147" s="82" t="n">
        <f aca="false">E147+F146</f>
        <v>1241.21545427905</v>
      </c>
      <c r="G147" s="82" t="n">
        <f aca="false">F147+G146</f>
        <v>1398.07994319263</v>
      </c>
      <c r="H147" s="82" t="n">
        <f aca="false">G147+H146</f>
        <v>1562.65089078336</v>
      </c>
      <c r="I147" s="82" t="n">
        <f aca="false">H147+I146</f>
        <v>1752.28210029458</v>
      </c>
      <c r="J147" s="82" t="n">
        <f aca="false">I147+J146</f>
        <v>1966.9735717263</v>
      </c>
      <c r="K147" s="82" t="n">
        <f aca="false">J147+K146</f>
        <v>2206.72530507853</v>
      </c>
      <c r="L147" s="82" t="n">
        <f aca="false">K147+L146</f>
        <v>2471.53730035125</v>
      </c>
      <c r="M147" s="82" t="n">
        <f aca="false">L147+M146</f>
        <v>2761.40955754447</v>
      </c>
      <c r="N147" s="82" t="n">
        <f aca="false">M147+N146</f>
        <v>3076.34207665819</v>
      </c>
      <c r="O147" s="78" t="n">
        <f aca="false">AA147</f>
        <v>13071.6840733857</v>
      </c>
      <c r="P147" s="82" t="n">
        <f aca="false">N147+P146</f>
        <v>3609.71199545405</v>
      </c>
      <c r="Q147" s="82" t="n">
        <f aca="false">P147+Q146</f>
        <v>4170.54626507837</v>
      </c>
      <c r="R147" s="82" t="n">
        <f aca="false">Q147+R146</f>
        <v>4785.12570371642</v>
      </c>
      <c r="S147" s="82" t="n">
        <f aca="false">R147+S146</f>
        <v>5458.12898805841</v>
      </c>
      <c r="T147" s="82" t="n">
        <f aca="false">S147+T146</f>
        <v>6194.09962927852</v>
      </c>
      <c r="U147" s="82" t="n">
        <f aca="false">T147+U146</f>
        <v>6993.03762737675</v>
      </c>
      <c r="V147" s="82" t="n">
        <f aca="false">U147+V146</f>
        <v>7853.00831829522</v>
      </c>
      <c r="W147" s="82" t="n">
        <f aca="false">V147+W146</f>
        <v>8774.01170203394</v>
      </c>
      <c r="X147" s="82" t="n">
        <f aca="false">W147+X146</f>
        <v>9756.04777859291</v>
      </c>
      <c r="Y147" s="82" t="n">
        <f aca="false">X147+Y146</f>
        <v>10799.6718660045</v>
      </c>
      <c r="Z147" s="82" t="n">
        <f aca="false">Y147+Z146</f>
        <v>11904.8839642688</v>
      </c>
      <c r="AA147" s="82" t="n">
        <f aca="false">Z147+AA146</f>
        <v>13071.6840733857</v>
      </c>
      <c r="AB147" s="78" t="n">
        <f aca="false">AN147</f>
        <v>35670.7110307041</v>
      </c>
      <c r="AC147" s="82" t="n">
        <f aca="false">AA147+AC146</f>
        <v>14552.0480942347</v>
      </c>
      <c r="AD147" s="82" t="n">
        <f aca="false">AC147+AD146</f>
        <v>16070.8919876743</v>
      </c>
      <c r="AE147" s="82" t="n">
        <f aca="false">AD147+AE146</f>
        <v>17652.0720363838</v>
      </c>
      <c r="AF147" s="82" t="n">
        <f aca="false">AE147+AF146</f>
        <v>19316.7926521423</v>
      </c>
      <c r="AG147" s="82" t="n">
        <f aca="false">AF147+AG146</f>
        <v>21064.4467548371</v>
      </c>
      <c r="AH147" s="82" t="n">
        <f aca="false">AG147+AH146</f>
        <v>22895.0343444681</v>
      </c>
      <c r="AI147" s="82" t="n">
        <f aca="false">AH147+AI146</f>
        <v>24811.4760287889</v>
      </c>
      <c r="AJ147" s="82" t="n">
        <f aca="false">AI147+AJ146</f>
        <v>26813.7718077994</v>
      </c>
      <c r="AK147" s="82" t="n">
        <f aca="false">AJ147+AK146</f>
        <v>28901.9216814995</v>
      </c>
      <c r="AL147" s="82" t="n">
        <f aca="false">AK147+AL146</f>
        <v>31074.1281765504</v>
      </c>
      <c r="AM147" s="82" t="n">
        <f aca="false">AL147+AM146</f>
        <v>33330.3912929519</v>
      </c>
      <c r="AN147" s="82" t="n">
        <f aca="false">AM147+AN146</f>
        <v>35670.7110307041</v>
      </c>
      <c r="AO147" s="78" t="n">
        <f aca="false">BA147</f>
        <v>73562.0384649803</v>
      </c>
      <c r="AP147" s="82" t="n">
        <f aca="false">AN147+AP146</f>
        <v>38359.28129291</v>
      </c>
      <c r="AQ147" s="82" t="n">
        <f aca="false">AP147+AQ146</f>
        <v>41132.0648882275</v>
      </c>
      <c r="AR147" s="82" t="n">
        <f aca="false">AQ147+AR146</f>
        <v>43987.0616000103</v>
      </c>
      <c r="AS147" s="82" t="n">
        <f aca="false">AR147+AS146</f>
        <v>46926.6493376266</v>
      </c>
      <c r="AT147" s="82" t="n">
        <f aca="false">AS147+AT146</f>
        <v>49952.8728891167</v>
      </c>
      <c r="AU147" s="82" t="n">
        <f aca="false">AT147+AU146</f>
        <v>53065.7322544806</v>
      </c>
      <c r="AV147" s="82" t="n">
        <f aca="false">AU147+AV146</f>
        <v>56265.6429262135</v>
      </c>
      <c r="AW147" s="82" t="n">
        <f aca="false">AV147+AW146</f>
        <v>59552.6049043157</v>
      </c>
      <c r="AX147" s="82" t="n">
        <f aca="false">AW147+AX146</f>
        <v>62926.6181887869</v>
      </c>
      <c r="AY147" s="82" t="n">
        <f aca="false">AX147+AY146</f>
        <v>66386.1948770548</v>
      </c>
      <c r="AZ147" s="82" t="n">
        <f aca="false">AY147+AZ146</f>
        <v>69931.3349691192</v>
      </c>
      <c r="BA147" s="82" t="n">
        <f aca="false">AZ147+BA146</f>
        <v>73562.0384649803</v>
      </c>
      <c r="BB147" s="78" t="n">
        <f aca="false">BN147</f>
        <v>127391.142861444</v>
      </c>
      <c r="BC147" s="82" t="n">
        <f aca="false">BA147+BC146</f>
        <v>77537.1020764403</v>
      </c>
      <c r="BD147" s="82" t="n">
        <f aca="false">BC147+BD146</f>
        <v>81598.3389469971</v>
      </c>
      <c r="BE147" s="82" t="n">
        <f aca="false">BD147+BE146</f>
        <v>85752.5768117755</v>
      </c>
      <c r="BF147" s="82" t="n">
        <f aca="false">BE147+BF146</f>
        <v>90001.6335866784</v>
      </c>
      <c r="BG147" s="82" t="n">
        <f aca="false">BF147+BG146</f>
        <v>94345.2491010051</v>
      </c>
      <c r="BH147" s="82" t="n">
        <f aca="false">BG147+BH146</f>
        <v>98783.4233547557</v>
      </c>
      <c r="BI147" s="82" t="n">
        <f aca="false">BH147+BI146</f>
        <v>103316.379384025</v>
      </c>
      <c r="BJ147" s="82" t="n">
        <f aca="false">BI147+BJ146</f>
        <v>107944.117188812</v>
      </c>
      <c r="BK147" s="82" t="n">
        <f aca="false">BJ147+BK146</f>
        <v>112666.636769118</v>
      </c>
      <c r="BL147" s="82" t="n">
        <f aca="false">BK147+BL146</f>
        <v>117481.980907992</v>
      </c>
      <c r="BM147" s="82" t="n">
        <f aca="false">BL147+BM146</f>
        <v>122390.149605434</v>
      </c>
      <c r="BN147" s="82" t="n">
        <f aca="false">BM147+BN146</f>
        <v>127391.142861444</v>
      </c>
    </row>
    <row r="148" customFormat="false" ht="15" hidden="false" customHeight="false" outlineLevel="0" collapsed="false">
      <c r="A148" s="66" t="s">
        <v>664</v>
      </c>
      <c r="B148" s="87" t="n">
        <f aca="false">SUM(C148:N148)</f>
        <v>77.8543563377821</v>
      </c>
      <c r="C148" s="88" t="n">
        <f aca="false">C145*'Assumption Setting'!$C$51+(C65+C66)*'Assumption Setting'!$C$50</f>
        <v>16.2253130295038</v>
      </c>
      <c r="D148" s="88" t="n">
        <f aca="false">D145*'Assumption Setting'!$C$51+(D65+D66)*'Assumption Setting'!$C$50</f>
        <v>3.05656302950383</v>
      </c>
      <c r="E148" s="88" t="n">
        <f aca="false">E145*'Assumption Setting'!$C$51+(E65+E66)*'Assumption Setting'!$C$50</f>
        <v>3.6107296961705</v>
      </c>
      <c r="F148" s="88" t="n">
        <f aca="false">F145*'Assumption Setting'!$C$51+(F65+F66)*'Assumption Setting'!$C$50</f>
        <v>3.6107296961705</v>
      </c>
      <c r="G148" s="88" t="n">
        <f aca="false">G145*'Assumption Setting'!$C$51+(G65+G66)*'Assumption Setting'!$C$50</f>
        <v>3.88045574987064</v>
      </c>
      <c r="H148" s="88" t="n">
        <f aca="false">H145*'Assumption Setting'!$C$51+(H65+H66)*'Assumption Setting'!$C$50</f>
        <v>4.15018180357078</v>
      </c>
      <c r="I148" s="88" t="n">
        <f aca="false">I145*'Assumption Setting'!$C$51+(I65+I66)*'Assumption Setting'!$C$50</f>
        <v>5.02729097078827</v>
      </c>
      <c r="J148" s="88" t="n">
        <f aca="false">J145*'Assumption Setting'!$C$51+(J65+J66)*'Assumption Setting'!$C$50</f>
        <v>5.90440013800576</v>
      </c>
      <c r="K148" s="88" t="n">
        <f aca="false">K145*'Assumption Setting'!$C$51+(K65+K66)*'Assumption Setting'!$C$50</f>
        <v>6.78150930522325</v>
      </c>
      <c r="L148" s="88" t="n">
        <f aca="false">L145*'Assumption Setting'!$C$51+(L65+L66)*'Assumption Setting'!$C$50</f>
        <v>7.65861847244075</v>
      </c>
      <c r="M148" s="88" t="n">
        <f aca="false">M145*'Assumption Setting'!$C$51+(M65+M66)*'Assumption Setting'!$C$50</f>
        <v>8.53572763965824</v>
      </c>
      <c r="N148" s="88" t="n">
        <f aca="false">N145*'Assumption Setting'!$C$51+(N65+N66)*'Assumption Setting'!$C$50</f>
        <v>9.41283680687573</v>
      </c>
      <c r="O148" s="87" t="n">
        <f aca="false">SUM(P148:AA148)</f>
        <v>320.936952736234</v>
      </c>
      <c r="P148" s="88" t="n">
        <f aca="false">P145*'Assumption Setting'!$D$51+(P65+P66)*'Assumption Setting'!$D$50</f>
        <v>14.7617361574287</v>
      </c>
      <c r="Q148" s="88" t="n">
        <f aca="false">Q145*'Assumption Setting'!$D$51+(Q65+Q66)*'Assumption Setting'!$D$50</f>
        <v>15.8603101905671</v>
      </c>
      <c r="R148" s="88" t="n">
        <f aca="false">R145*'Assumption Setting'!$D$51+(R65+R66)*'Assumption Setting'!$D$50</f>
        <v>18.0101169511164</v>
      </c>
      <c r="S148" s="88" t="n">
        <f aca="false">S145*'Assumption Setting'!$D$51+(S65+S66)*'Assumption Setting'!$D$50</f>
        <v>20.3470707792742</v>
      </c>
      <c r="T148" s="88" t="n">
        <f aca="false">T145*'Assumption Setting'!$D$51+(T65+T66)*'Assumption Setting'!$D$50</f>
        <v>22.8657650543988</v>
      </c>
      <c r="U148" s="88" t="n">
        <f aca="false">U145*'Assumption Setting'!$D$51+(U65+U66)*'Assumption Setting'!$D$50</f>
        <v>25.3844593295234</v>
      </c>
      <c r="V148" s="88" t="n">
        <f aca="false">V145*'Assumption Setting'!$D$51+(V65+V66)*'Assumption Setting'!$D$50</f>
        <v>27.8257670423334</v>
      </c>
      <c r="W148" s="88" t="n">
        <f aca="false">W145*'Assumption Setting'!$D$51+(W65+W66)*'Assumption Setting'!$D$50</f>
        <v>30.2670747551433</v>
      </c>
      <c r="X148" s="88" t="n">
        <f aca="false">X145*'Assumption Setting'!$D$51+(X65+X66)*'Assumption Setting'!$D$50</f>
        <v>32.7083824679533</v>
      </c>
      <c r="Y148" s="88" t="n">
        <f aca="false">Y145*'Assumption Setting'!$D$51+(Y65+Y66)*'Assumption Setting'!$D$50</f>
        <v>35.1719029020592</v>
      </c>
      <c r="Z148" s="88" t="n">
        <f aca="false">Z145*'Assumption Setting'!$D$51+(Z65+Z66)*'Assumption Setting'!$D$50</f>
        <v>37.6354233361651</v>
      </c>
      <c r="AA148" s="88" t="n">
        <f aca="false">AA145*'Assumption Setting'!$D$51+(AA65+AA66)*'Assumption Setting'!$D$50</f>
        <v>40.098943770271</v>
      </c>
      <c r="AB148" s="87" t="n">
        <f aca="false">SUM(AC148:AN148)</f>
        <v>836.922409978429</v>
      </c>
      <c r="AC148" s="88" t="n">
        <f aca="false">AC145*'Assumption Setting'!$E$51+(AC65+AC66)*'Assumption Setting'!$E$50</f>
        <v>51.61356401313</v>
      </c>
      <c r="AD148" s="88" t="n">
        <f aca="false">AD145*'Assumption Setting'!$E$51+(AD65+AD66)*'Assumption Setting'!$E$50</f>
        <v>53.3451582797062</v>
      </c>
      <c r="AE148" s="88" t="n">
        <f aca="false">AE145*'Assumption Setting'!$E$51+(AE65+AE66)*'Assumption Setting'!$E$50</f>
        <v>56.1502852668548</v>
      </c>
      <c r="AF148" s="88" t="n">
        <f aca="false">AF145*'Assumption Setting'!$E$51+(AF65+AF66)*'Assumption Setting'!$E$50</f>
        <v>59.9096107840548</v>
      </c>
      <c r="AG148" s="88" t="n">
        <f aca="false">AG145*'Assumption Setting'!$E$51+(AG65+AG66)*'Assumption Setting'!$E$50</f>
        <v>63.6416176961894</v>
      </c>
      <c r="AH148" s="88" t="n">
        <f aca="false">AH145*'Assumption Setting'!$E$51+(AH65+AH66)*'Assumption Setting'!$E$50</f>
        <v>67.373624608324</v>
      </c>
      <c r="AI148" s="88" t="n">
        <f aca="false">AI145*'Assumption Setting'!$E$51+(AI65+AI66)*'Assumption Setting'!$E$50</f>
        <v>71.23705886936</v>
      </c>
      <c r="AJ148" s="88" t="n">
        <f aca="false">AJ145*'Assumption Setting'!$E$51+(AJ65+AJ66)*'Assumption Setting'!$E$50</f>
        <v>75.1004931303961</v>
      </c>
      <c r="AK148" s="88" t="n">
        <f aca="false">AK145*'Assumption Setting'!$E$51+(AK65+AK66)*'Assumption Setting'!$E$50</f>
        <v>78.9639273914321</v>
      </c>
      <c r="AL148" s="88" t="n">
        <f aca="false">AL145*'Assumption Setting'!$E$51+(AL65+AL66)*'Assumption Setting'!$E$50</f>
        <v>82.746475352213</v>
      </c>
      <c r="AM148" s="88" t="n">
        <f aca="false">AM145*'Assumption Setting'!$E$51+(AM65+AM66)*'Assumption Setting'!$E$50</f>
        <v>86.5290233129939</v>
      </c>
      <c r="AN148" s="88" t="n">
        <f aca="false">AN145*'Assumption Setting'!$E$51+(AN65+AN66)*'Assumption Setting'!$E$50</f>
        <v>90.3115712737747</v>
      </c>
      <c r="AO148" s="87" t="n">
        <f aca="false">SUM(AP148:BA148)</f>
        <v>1609.42979945287</v>
      </c>
      <c r="AP148" s="88" t="n">
        <f aca="false">AP145*'Assumption Setting'!$F$51+(AP65+AP66)*'Assumption Setting'!$F$50</f>
        <v>110.66713208855</v>
      </c>
      <c r="AQ148" s="88" t="n">
        <f aca="false">AQ145*'Assumption Setting'!$F$51+(AQ65+AQ66)*'Assumption Setting'!$F$50</f>
        <v>114.877798744131</v>
      </c>
      <c r="AR148" s="88" t="n">
        <f aca="false">AR145*'Assumption Setting'!$F$51+(AR65+AR66)*'Assumption Setting'!$F$50</f>
        <v>118.988454567393</v>
      </c>
      <c r="AS148" s="88" t="n">
        <f aca="false">AS145*'Assumption Setting'!$F$51+(AS65+AS66)*'Assumption Setting'!$F$50</f>
        <v>123.218005859071</v>
      </c>
      <c r="AT148" s="88" t="n">
        <f aca="false">AT145*'Assumption Setting'!$F$51+(AT65+AT66)*'Assumption Setting'!$F$50</f>
        <v>127.54979655276</v>
      </c>
      <c r="AU148" s="88" t="n">
        <f aca="false">AU145*'Assumption Setting'!$F$51+(AU65+AU66)*'Assumption Setting'!$F$50</f>
        <v>131.881587246448</v>
      </c>
      <c r="AV148" s="88" t="n">
        <f aca="false">AV145*'Assumption Setting'!$F$51+(AV65+AV66)*'Assumption Setting'!$F$50</f>
        <v>136.234152564904</v>
      </c>
      <c r="AW148" s="88" t="n">
        <f aca="false">AW145*'Assumption Setting'!$F$51+(AW65+AW66)*'Assumption Setting'!$F$50</f>
        <v>140.586717883361</v>
      </c>
      <c r="AX148" s="88" t="n">
        <f aca="false">AX145*'Assumption Setting'!$F$51+(AX65+AX66)*'Assumption Setting'!$F$50</f>
        <v>144.939283201817</v>
      </c>
      <c r="AY148" s="88" t="n">
        <f aca="false">AY145*'Assumption Setting'!$F$51+(AY65+AY66)*'Assumption Setting'!$F$50</f>
        <v>149.217453391648</v>
      </c>
      <c r="AZ148" s="88" t="n">
        <f aca="false">AZ145*'Assumption Setting'!$F$51+(AZ65+AZ66)*'Assumption Setting'!$F$50</f>
        <v>153.495623581478</v>
      </c>
      <c r="BA148" s="88" t="n">
        <f aca="false">BA145*'Assumption Setting'!$F$51+(BA65+BA66)*'Assumption Setting'!$F$50</f>
        <v>157.773793771308</v>
      </c>
      <c r="BB148" s="87" t="n">
        <f aca="false">SUM(BC148:BN148)</f>
        <v>2559.61511543828</v>
      </c>
      <c r="BC148" s="88" t="n">
        <f aca="false">BC145*'Assumption Setting'!$G$51+(BC65+BC66)*'Assumption Setting'!$G$50</f>
        <v>185.213029766367</v>
      </c>
      <c r="BD148" s="88" t="n">
        <f aca="false">BD145*'Assumption Setting'!$G$51+(BD65+BD66)*'Assumption Setting'!$G$50</f>
        <v>189.952559016686</v>
      </c>
      <c r="BE148" s="88" t="n">
        <f aca="false">BE145*'Assumption Setting'!$G$51+(BE65+BE66)*'Assumption Setting'!$G$50</f>
        <v>195.067613698875</v>
      </c>
      <c r="BF148" s="88" t="n">
        <f aca="false">BF145*'Assumption Setting'!$G$51+(BF65+BF66)*'Assumption Setting'!$G$50</f>
        <v>200.282653755723</v>
      </c>
      <c r="BG148" s="88" t="n">
        <f aca="false">BG145*'Assumption Setting'!$G$51+(BG65+BG66)*'Assumption Setting'!$G$50</f>
        <v>205.483384424035</v>
      </c>
      <c r="BH148" s="88" t="n">
        <f aca="false">BH145*'Assumption Setting'!$G$51+(BH65+BH66)*'Assumption Setting'!$G$50</f>
        <v>210.684115092348</v>
      </c>
      <c r="BI148" s="88" t="n">
        <f aca="false">BI145*'Assumption Setting'!$G$51+(BI65+BI66)*'Assumption Setting'!$G$50</f>
        <v>215.897112745864</v>
      </c>
      <c r="BJ148" s="88" t="n">
        <f aca="false">BJ145*'Assumption Setting'!$G$51+(BJ65+BJ66)*'Assumption Setting'!$G$50</f>
        <v>221.11011039938</v>
      </c>
      <c r="BK148" s="88" t="n">
        <f aca="false">BK145*'Assumption Setting'!$G$51+(BK65+BK66)*'Assumption Setting'!$G$50</f>
        <v>226.323108052896</v>
      </c>
      <c r="BL148" s="88" t="n">
        <f aca="false">BL145*'Assumption Setting'!$G$51+(BL65+BL66)*'Assumption Setting'!$G$50</f>
        <v>231.428458774132</v>
      </c>
      <c r="BM148" s="88" t="n">
        <f aca="false">BM145*'Assumption Setting'!$G$51+(BM65+BM66)*'Assumption Setting'!$G$50</f>
        <v>236.533809495369</v>
      </c>
      <c r="BN148" s="88" t="n">
        <f aca="false">BN145*'Assumption Setting'!$G$51+(BN65+BN66)*'Assumption Setting'!$G$50</f>
        <v>241.639160216605</v>
      </c>
    </row>
    <row r="149" customFormat="false" ht="15" hidden="false" customHeight="false" outlineLevel="0" collapsed="false">
      <c r="A149" s="18" t="s">
        <v>665</v>
      </c>
      <c r="B149" s="80" t="n">
        <f aca="false">N149</f>
        <v>58.6587385234798</v>
      </c>
      <c r="C149" s="83" t="n">
        <f aca="false">'Assumption Setting'!$C$13+C148</f>
        <v>18.2253130295038</v>
      </c>
      <c r="D149" s="83" t="n">
        <f aca="false">C149*(1-'Assumption Setting'!$C$137)+D148</f>
        <v>20.1883572772374</v>
      </c>
      <c r="E149" s="83" t="n">
        <f aca="false">D149*(1-'Assumption Setting'!$C$137)+E148</f>
        <v>22.5877855367737</v>
      </c>
      <c r="F149" s="83" t="n">
        <f aca="false">E149*(1-'Assumption Setting'!$C$137)+F148</f>
        <v>24.8432481007378</v>
      </c>
      <c r="G149" s="83" t="n">
        <f aca="false">F149*(1-'Assumption Setting'!$C$137)+G148</f>
        <v>27.2331089645641</v>
      </c>
      <c r="H149" s="83" t="n">
        <f aca="false">G149*(1-'Assumption Setting'!$C$137)+H148</f>
        <v>29.7493042302611</v>
      </c>
      <c r="I149" s="83" t="n">
        <f aca="false">H149*(1-'Assumption Setting'!$C$137)+I148</f>
        <v>32.9916369472337</v>
      </c>
      <c r="J149" s="83" t="n">
        <f aca="false">I149*(1-'Assumption Setting'!$C$137)+J148</f>
        <v>36.9165388684054</v>
      </c>
      <c r="K149" s="83" t="n">
        <f aca="false">J149*(1-'Assumption Setting'!$C$137)+K148</f>
        <v>41.4830558415243</v>
      </c>
      <c r="L149" s="83" t="n">
        <f aca="false">K149*(1-'Assumption Setting'!$C$137)+L148</f>
        <v>46.6526909634736</v>
      </c>
      <c r="M149" s="83" t="n">
        <f aca="false">L149*(1-'Assumption Setting'!$C$137)+M148</f>
        <v>52.3892571453234</v>
      </c>
      <c r="N149" s="83" t="n">
        <f aca="false">M149*(1-'Assumption Setting'!$C$137)+N148</f>
        <v>58.6587385234798</v>
      </c>
      <c r="O149" s="80" t="n">
        <f aca="false">AA149</f>
        <v>276.769505839904</v>
      </c>
      <c r="P149" s="83" t="n">
        <f aca="false">N149*(1-'Assumption Setting'!$C$137)+P148</f>
        <v>69.9009503694997</v>
      </c>
      <c r="Q149" s="83" t="n">
        <f aca="false">P149*(1-'Assumption Setting'!$C$137)+Q148</f>
        <v>81.5672035378968</v>
      </c>
      <c r="R149" s="83" t="n">
        <f aca="false">Q149*(1-'Assumption Setting'!$C$137)+R148</f>
        <v>94.6832882767393</v>
      </c>
      <c r="S149" s="83" t="n">
        <f aca="false">R149*(1-'Assumption Setting'!$C$137)+S148</f>
        <v>109.349361759409</v>
      </c>
      <c r="T149" s="83" t="n">
        <f aca="false">S149*(1-'Assumption Setting'!$C$137)+T148</f>
        <v>125.654165108243</v>
      </c>
      <c r="U149" s="83" t="n">
        <f aca="false">T149*(1-'Assumption Setting'!$C$137)+U148</f>
        <v>143.499374531272</v>
      </c>
      <c r="V149" s="83" t="n">
        <f aca="false">U149*(1-'Assumption Setting'!$C$137)+V148</f>
        <v>162.715179101729</v>
      </c>
      <c r="W149" s="83" t="n">
        <f aca="false">V149*(1-'Assumption Setting'!$C$137)+W148</f>
        <v>183.219343110769</v>
      </c>
      <c r="X149" s="83" t="n">
        <f aca="false">W149*(1-'Assumption Setting'!$C$137)+X148</f>
        <v>204.934564992076</v>
      </c>
      <c r="Y149" s="83" t="n">
        <f aca="false">X149*(1-'Assumption Setting'!$C$137)+Y148</f>
        <v>227.810393994611</v>
      </c>
      <c r="Z149" s="83" t="n">
        <f aca="false">Y149*(1-'Assumption Setting'!$C$137)+Z148</f>
        <v>251.777193691099</v>
      </c>
      <c r="AA149" s="83" t="n">
        <f aca="false">Z149*(1-'Assumption Setting'!$C$137)+AA148</f>
        <v>276.769505839904</v>
      </c>
      <c r="AB149" s="80" t="n">
        <f aca="false">AN149</f>
        <v>764.292253473293</v>
      </c>
      <c r="AC149" s="83" t="n">
        <f aca="false">AA149*(1-'Assumption Setting'!$C$137)+AC148</f>
        <v>311.77689950264</v>
      </c>
      <c r="AD149" s="83" t="n">
        <f aca="false">AC149*(1-'Assumption Setting'!$C$137)+AD148</f>
        <v>346.415443812188</v>
      </c>
      <c r="AE149" s="83" t="n">
        <f aca="false">AD149*(1-'Assumption Setting'!$C$137)+AE148</f>
        <v>381.780802450311</v>
      </c>
      <c r="AF149" s="83" t="n">
        <f aca="false">AE149*(1-'Assumption Setting'!$C$137)+AF148</f>
        <v>418.783565087347</v>
      </c>
      <c r="AG149" s="83" t="n">
        <f aca="false">AF149*(1-'Assumption Setting'!$C$137)+AG148</f>
        <v>457.298168878296</v>
      </c>
      <c r="AH149" s="83" t="n">
        <f aca="false">AG149*(1-'Assumption Setting'!$C$137)+AH148</f>
        <v>497.233903353922</v>
      </c>
      <c r="AI149" s="83" t="n">
        <f aca="false">AH149*(1-'Assumption Setting'!$C$137)+AI148</f>
        <v>538.636928022047</v>
      </c>
      <c r="AJ149" s="83" t="n">
        <f aca="false">AI149*(1-'Assumption Setting'!$C$137)+AJ148</f>
        <v>581.41920547112</v>
      </c>
      <c r="AK149" s="83" t="n">
        <f aca="false">AJ149*(1-'Assumption Setting'!$C$137)+AK148</f>
        <v>625.497980534285</v>
      </c>
      <c r="AL149" s="83" t="n">
        <f aca="false">AK149*(1-'Assumption Setting'!$C$137)+AL148</f>
        <v>670.714577054441</v>
      </c>
      <c r="AM149" s="83" t="n">
        <f aca="false">AL149*(1-'Assumption Setting'!$C$137)+AM148</f>
        <v>717.000725744168</v>
      </c>
      <c r="AN149" s="83" t="n">
        <f aca="false">AM149*(1-'Assumption Setting'!$C$137)+AN148</f>
        <v>764.292253473293</v>
      </c>
      <c r="AO149" s="80" t="n">
        <f aca="false">BA149</f>
        <v>1562.66983878534</v>
      </c>
      <c r="AP149" s="83" t="n">
        <f aca="false">AN149*(1-'Assumption Setting'!$C$137)+AP148</f>
        <v>829.101850353445</v>
      </c>
      <c r="AQ149" s="83" t="n">
        <f aca="false">AP149*(1-'Assumption Setting'!$C$137)+AQ148</f>
        <v>894.233538076369</v>
      </c>
      <c r="AR149" s="83" t="n">
        <f aca="false">AQ149*(1-'Assumption Setting'!$C$137)+AR148</f>
        <v>959.56798035918</v>
      </c>
      <c r="AS149" s="83" t="n">
        <f aca="false">AR149*(1-'Assumption Setting'!$C$137)+AS148</f>
        <v>1025.2119073967</v>
      </c>
      <c r="AT149" s="83" t="n">
        <f aca="false">AS149*(1-'Assumption Setting'!$C$137)+AT148</f>
        <v>1091.24898950566</v>
      </c>
      <c r="AU149" s="83" t="n">
        <f aca="false">AT149*(1-'Assumption Setting'!$C$137)+AU148</f>
        <v>1157.65563738177</v>
      </c>
      <c r="AV149" s="83" t="n">
        <f aca="false">AU149*(1-'Assumption Setting'!$C$137)+AV148</f>
        <v>1224.43045170376</v>
      </c>
      <c r="AW149" s="83" t="n">
        <f aca="false">AV149*(1-'Assumption Setting'!$C$137)+AW148</f>
        <v>1291.5513424849</v>
      </c>
      <c r="AX149" s="83" t="n">
        <f aca="false">AW149*(1-'Assumption Setting'!$C$137)+AX148</f>
        <v>1358.99754513762</v>
      </c>
      <c r="AY149" s="83" t="n">
        <f aca="false">AX149*(1-'Assumption Setting'!$C$137)+AY148</f>
        <v>1426.67514582101</v>
      </c>
      <c r="AZ149" s="83" t="n">
        <f aca="false">AY149*(1-'Assumption Setting'!$C$137)+AZ148</f>
        <v>1494.57026065323</v>
      </c>
      <c r="BA149" s="83" t="n">
        <f aca="false">AZ149*(1-'Assumption Setting'!$C$137)+BA148</f>
        <v>1562.66983878534</v>
      </c>
      <c r="BB149" s="80" t="n">
        <f aca="false">BN149</f>
        <v>2639.77618222463</v>
      </c>
      <c r="BC149" s="83" t="n">
        <f aca="false">BA149*(1-'Assumption Setting'!$C$137)+BC148</f>
        <v>1654.12267822459</v>
      </c>
      <c r="BD149" s="83" t="n">
        <f aca="false">BC149*(1-'Assumption Setting'!$C$137)+BD148</f>
        <v>1744.8278765478</v>
      </c>
      <c r="BE149" s="83" t="n">
        <f aca="false">BD149*(1-'Assumption Setting'!$C$137)+BE148</f>
        <v>1835.20581765381</v>
      </c>
      <c r="BF149" s="83" t="n">
        <f aca="false">BE149*(1-'Assumption Setting'!$C$137)+BF148</f>
        <v>1925.3761223503</v>
      </c>
      <c r="BG149" s="83" t="n">
        <f aca="false">BF149*(1-'Assumption Setting'!$C$137)+BG148</f>
        <v>2015.33693943332</v>
      </c>
      <c r="BH149" s="83" t="n">
        <f aca="false">BG149*(1-'Assumption Setting'!$C$137)+BH148</f>
        <v>2105.10083815967</v>
      </c>
      <c r="BI149" s="83" t="n">
        <f aca="false">BH149*(1-'Assumption Setting'!$C$137)+BI148</f>
        <v>2194.69190061595</v>
      </c>
      <c r="BJ149" s="83" t="n">
        <f aca="false">BI149*(1-'Assumption Setting'!$C$137)+BJ148</f>
        <v>2284.12049697837</v>
      </c>
      <c r="BK149" s="83" t="n">
        <f aca="false">BJ149*(1-'Assumption Setting'!$C$137)+BK148</f>
        <v>2373.39637521257</v>
      </c>
      <c r="BL149" s="83" t="n">
        <f aca="false">BK149*(1-'Assumption Setting'!$C$137)+BL148</f>
        <v>2462.42105147395</v>
      </c>
      <c r="BM149" s="83" t="n">
        <f aca="false">BL149*(1-'Assumption Setting'!$C$137)+BM148</f>
        <v>2551.20959788088</v>
      </c>
      <c r="BN149" s="83" t="n">
        <f aca="false">BM149*(1-'Assumption Setting'!$C$137)+BN148</f>
        <v>2639.77618222463</v>
      </c>
    </row>
    <row r="150" customFormat="false" ht="15" hidden="false" customHeight="false" outlineLevel="0" collapsed="false">
      <c r="A150" s="12" t="s">
        <v>666</v>
      </c>
      <c r="B150" s="84" t="n">
        <f aca="false">IFERROR(AVERAGE(C150:N150),0)</f>
        <v>29.4660185141322</v>
      </c>
      <c r="C150" s="85" t="n">
        <f aca="false">IFERROR(C31*(1-'Assumption Setting'!$C$63)/C148,0)</f>
        <v>9.42971021402098</v>
      </c>
      <c r="D150" s="85" t="n">
        <f aca="false">IFERROR(D31*(1-'Assumption Setting'!$C$63)/D148,0)</f>
        <v>50.0562227976815</v>
      </c>
      <c r="E150" s="85" t="n">
        <f aca="false">IFERROR(E31*(1-'Assumption Setting'!$C$63)/E148,0)</f>
        <v>42.3737063902264</v>
      </c>
      <c r="F150" s="85" t="n">
        <f aca="false">IFERROR(F31*(1-'Assumption Setting'!$C$63)/F148,0)</f>
        <v>42.3737063902264</v>
      </c>
      <c r="G150" s="85" t="n">
        <f aca="false">IFERROR(G31*(1-'Assumption Setting'!$C$63)/G148,0)</f>
        <v>39.4283583842183</v>
      </c>
      <c r="H150" s="85" t="n">
        <f aca="false">IFERROR(H31*(1-'Assumption Setting'!$C$63)/H148,0)</f>
        <v>36.8658548568548</v>
      </c>
      <c r="I150" s="85" t="n">
        <f aca="false">IFERROR(I31*(1-'Assumption Setting'!$C$63)/I148,0)</f>
        <v>30.4338859415591</v>
      </c>
      <c r="J150" s="85" t="n">
        <f aca="false">IFERROR(J31*(1-'Assumption Setting'!$C$63)/J148,0)</f>
        <v>25.9128779255934</v>
      </c>
      <c r="K150" s="85" t="n">
        <f aca="false">IFERROR(K31*(1-'Assumption Setting'!$C$63)/K148,0)</f>
        <v>22.5613492680982</v>
      </c>
      <c r="L150" s="85" t="n">
        <f aca="false">IFERROR(L31*(1-'Assumption Setting'!$C$63)/L148,0)</f>
        <v>19.9774934017884</v>
      </c>
      <c r="M150" s="85" t="n">
        <f aca="false">IFERROR(M31*(1-'Assumption Setting'!$C$63)/M148,0)</f>
        <v>17.9246581497211</v>
      </c>
      <c r="N150" s="85" t="n">
        <f aca="false">IFERROR(N31*(1-'Assumption Setting'!$C$63)/N148,0)</f>
        <v>16.254398449598</v>
      </c>
      <c r="O150" s="84" t="n">
        <f aca="false">IFERROR(AVERAGE(P150:AA150),0)</f>
        <v>22.0401932123884</v>
      </c>
      <c r="P150" s="85" t="n">
        <f aca="false">IFERROR(P31*(1-'Assumption Setting'!$C$63)/P148,0)</f>
        <v>35.9713785924008</v>
      </c>
      <c r="Q150" s="85" t="n">
        <f aca="false">IFERROR(Q31*(1-'Assumption Setting'!$C$63)/Q148,0)</f>
        <v>33.4797991728946</v>
      </c>
      <c r="R150" s="85" t="n">
        <f aca="false">IFERROR(R31*(1-'Assumption Setting'!$C$63)/R148,0)</f>
        <v>29.4834287551412</v>
      </c>
      <c r="S150" s="85" t="n">
        <f aca="false">IFERROR(S31*(1-'Assumption Setting'!$C$63)/S148,0)</f>
        <v>26.0971225666981</v>
      </c>
      <c r="T150" s="85" t="n">
        <f aca="false">IFERROR(T31*(1-'Assumption Setting'!$C$63)/T148,0)</f>
        <v>23.2224899860873</v>
      </c>
      <c r="U150" s="85" t="n">
        <f aca="false">IFERROR(U31*(1-'Assumption Setting'!$C$63)/U148,0)</f>
        <v>20.9183104161065</v>
      </c>
      <c r="V150" s="85" t="n">
        <f aca="false">IFERROR(V31*(1-'Assumption Setting'!$C$63)/V148,0)</f>
        <v>19.0830318960175</v>
      </c>
      <c r="W150" s="85" t="n">
        <f aca="false">IFERROR(W31*(1-'Assumption Setting'!$C$63)/W148,0)</f>
        <v>17.543816318416</v>
      </c>
      <c r="X150" s="85" t="n">
        <f aca="false">IFERROR(X31*(1-'Assumption Setting'!$C$63)/X148,0)</f>
        <v>16.234370517107</v>
      </c>
      <c r="Y150" s="85" t="n">
        <f aca="false">IFERROR(Y31*(1-'Assumption Setting'!$C$63)/Y148,0)</f>
        <v>15.0972781165307</v>
      </c>
      <c r="Z150" s="85" t="n">
        <f aca="false">IFERROR(Z31*(1-'Assumption Setting'!$C$63)/Z148,0)</f>
        <v>14.1090481501173</v>
      </c>
      <c r="AA150" s="85" t="n">
        <f aca="false">IFERROR(AA31*(1-'Assumption Setting'!$C$63)/AA148,0)</f>
        <v>13.2422440611435</v>
      </c>
      <c r="AB150" s="84" t="n">
        <f aca="false">IFERROR(AVERAGE(AC150:AN150),0)</f>
        <v>16.0118270552528</v>
      </c>
      <c r="AC150" s="85" t="n">
        <f aca="false">IFERROR(AC31*(1-'Assumption Setting'!$C$63)/AC148,0)</f>
        <v>20.9247321057941</v>
      </c>
      <c r="AD150" s="85" t="n">
        <f aca="false">IFERROR(AD31*(1-'Assumption Setting'!$C$63)/AD148,0)</f>
        <v>20.2455112109182</v>
      </c>
      <c r="AE150" s="85" t="n">
        <f aca="false">IFERROR(AE31*(1-'Assumption Setting'!$C$63)/AE148,0)</f>
        <v>19.2340964051614</v>
      </c>
      <c r="AF150" s="85" t="n">
        <f aca="false">IFERROR(AF31*(1-'Assumption Setting'!$C$63)/AF148,0)</f>
        <v>18.0271576774698</v>
      </c>
      <c r="AG150" s="85" t="n">
        <f aca="false">IFERROR(AG31*(1-'Assumption Setting'!$C$63)/AG148,0)</f>
        <v>16.9700274615217</v>
      </c>
      <c r="AH150" s="85" t="n">
        <f aca="false">IFERROR(AH31*(1-'Assumption Setting'!$C$63)/AH148,0)</f>
        <v>16.0300118374003</v>
      </c>
      <c r="AI150" s="85" t="n">
        <f aca="false">IFERROR(AI31*(1-'Assumption Setting'!$C$63)/AI148,0)</f>
        <v>15.1606483639448</v>
      </c>
      <c r="AJ150" s="85" t="n">
        <f aca="false">IFERROR(AJ31*(1-'Assumption Setting'!$C$63)/AJ148,0)</f>
        <v>14.3807311374748</v>
      </c>
      <c r="AK150" s="85" t="n">
        <f aca="false">IFERROR(AK31*(1-'Assumption Setting'!$C$63)/AK148,0)</f>
        <v>13.6771312633214</v>
      </c>
      <c r="AL150" s="85" t="n">
        <f aca="false">IFERROR(AL31*(1-'Assumption Setting'!$C$63)/AL148,0)</f>
        <v>13.0519154490019</v>
      </c>
      <c r="AM150" s="85" t="n">
        <f aca="false">IFERROR(AM31*(1-'Assumption Setting'!$C$63)/AM148,0)</f>
        <v>12.4813612664205</v>
      </c>
      <c r="AN150" s="85" t="n">
        <f aca="false">IFERROR(AN31*(1-'Assumption Setting'!$C$63)/AN148,0)</f>
        <v>11.958600484605</v>
      </c>
      <c r="AO150" s="84" t="n">
        <f aca="false">IFERROR(AVERAGE(AP150:BA150),0)</f>
        <v>12.5694970510215</v>
      </c>
      <c r="AP150" s="85" t="n">
        <f aca="false">IFERROR(AP31*(1-'Assumption Setting'!$C$63)/AP148,0)</f>
        <v>15.0451174488534</v>
      </c>
      <c r="AQ150" s="85" t="n">
        <f aca="false">IFERROR(AQ31*(1-'Assumption Setting'!$C$63)/AQ148,0)</f>
        <v>14.4936621192444</v>
      </c>
      <c r="AR150" s="85" t="n">
        <f aca="false">IFERROR(AR31*(1-'Assumption Setting'!$C$63)/AR148,0)</f>
        <v>13.9929542412619</v>
      </c>
      <c r="AS150" s="85" t="n">
        <f aca="false">IFERROR(AS31*(1-'Assumption Setting'!$C$63)/AS148,0)</f>
        <v>13.5126354982917</v>
      </c>
      <c r="AT150" s="85" t="n">
        <f aca="false">IFERROR(AT31*(1-'Assumption Setting'!$C$63)/AT148,0)</f>
        <v>13.0537252508379</v>
      </c>
      <c r="AU150" s="85" t="n">
        <f aca="false">IFERROR(AU31*(1-'Assumption Setting'!$C$63)/AU148,0)</f>
        <v>12.6249617915851</v>
      </c>
      <c r="AV150" s="85" t="n">
        <f aca="false">IFERROR(AV31*(1-'Assumption Setting'!$C$63)/AV148,0)</f>
        <v>12.2216049988403</v>
      </c>
      <c r="AW150" s="85" t="n">
        <f aca="false">IFERROR(AW31*(1-'Assumption Setting'!$C$63)/AW148,0)</f>
        <v>11.8432240617594</v>
      </c>
      <c r="AX150" s="85" t="n">
        <f aca="false">IFERROR(AX31*(1-'Assumption Setting'!$C$63)/AX148,0)</f>
        <v>11.4875688855285</v>
      </c>
      <c r="AY150" s="85" t="n">
        <f aca="false">IFERROR(AY31*(1-'Assumption Setting'!$C$63)/AY148,0)</f>
        <v>11.1582121404385</v>
      </c>
      <c r="AZ150" s="85" t="n">
        <f aca="false">IFERROR(AZ31*(1-'Assumption Setting'!$C$63)/AZ148,0)</f>
        <v>10.8472148009887</v>
      </c>
      <c r="BA150" s="85" t="n">
        <f aca="false">IFERROR(BA31*(1-'Assumption Setting'!$C$63)/BA148,0)</f>
        <v>10.5530833746281</v>
      </c>
      <c r="BB150" s="84" t="n">
        <f aca="false">IFERROR(AVERAGE(BC150:BN150),0)</f>
        <v>10.5167878385803</v>
      </c>
      <c r="BC150" s="85" t="n">
        <f aca="false">IFERROR(BC31*(1-'Assumption Setting'!$C$63)/BC148,0)</f>
        <v>12.026691657762</v>
      </c>
      <c r="BD150" s="85" t="n">
        <f aca="false">IFERROR(BD31*(1-'Assumption Setting'!$C$63)/BD148,0)</f>
        <v>11.7266122211301</v>
      </c>
      <c r="BE150" s="85" t="n">
        <f aca="false">IFERROR(BE31*(1-'Assumption Setting'!$C$63)/BE148,0)</f>
        <v>11.4191174934789</v>
      </c>
      <c r="BF150" s="85" t="n">
        <f aca="false">IFERROR(BF31*(1-'Assumption Setting'!$C$63)/BF148,0)</f>
        <v>11.1217819328318</v>
      </c>
      <c r="BG150" s="85" t="n">
        <f aca="false">IFERROR(BG31*(1-'Assumption Setting'!$C$63)/BG148,0)</f>
        <v>10.8402925435729</v>
      </c>
      <c r="BH150" s="85" t="n">
        <f aca="false">IFERROR(BH31*(1-'Assumption Setting'!$C$63)/BH148,0)</f>
        <v>10.5727002675244</v>
      </c>
      <c r="BI150" s="85" t="n">
        <f aca="false">IFERROR(BI31*(1-'Assumption Setting'!$C$63)/BI148,0)</f>
        <v>10.3174144928099</v>
      </c>
      <c r="BJ150" s="85" t="n">
        <f aca="false">IFERROR(BJ31*(1-'Assumption Setting'!$C$63)/BJ148,0)</f>
        <v>10.0741661969983</v>
      </c>
      <c r="BK150" s="85" t="n">
        <f aca="false">IFERROR(BK31*(1-'Assumption Setting'!$C$63)/BK148,0)</f>
        <v>9.84212358677662</v>
      </c>
      <c r="BL150" s="85" t="n">
        <f aca="false">IFERROR(BL31*(1-'Assumption Setting'!$C$63)/BL148,0)</f>
        <v>9.62500468524477</v>
      </c>
      <c r="BM150" s="85" t="n">
        <f aca="false">IFERROR(BM31*(1-'Assumption Setting'!$C$63)/BM148,0)</f>
        <v>9.41725838159138</v>
      </c>
      <c r="BN150" s="85" t="n">
        <f aca="false">IFERROR(BN31*(1-'Assumption Setting'!$C$63)/BN148,0)</f>
        <v>9.21829060324192</v>
      </c>
    </row>
    <row r="152" customFormat="false" ht="15" hidden="false" customHeight="false" outlineLevel="0" collapsed="false">
      <c r="A152" s="18" t="s">
        <v>667</v>
      </c>
      <c r="B152" s="64" t="n">
        <f aca="false">SUM(C152:N152)</f>
        <v>24936</v>
      </c>
      <c r="C152" s="77" t="n">
        <f aca="false">C58+C31*'Assumption Setting'!$C$63+Payroll!C$66</f>
        <v>2078</v>
      </c>
      <c r="D152" s="77" t="n">
        <f aca="false">D58+D31*'Assumption Setting'!$C$63+Payroll!D$66</f>
        <v>2078</v>
      </c>
      <c r="E152" s="77" t="n">
        <f aca="false">E58+E31*'Assumption Setting'!$C$63+Payroll!E$66</f>
        <v>2078</v>
      </c>
      <c r="F152" s="77" t="n">
        <f aca="false">F58+F31*'Assumption Setting'!$C$63+Payroll!F$66</f>
        <v>2078</v>
      </c>
      <c r="G152" s="77" t="n">
        <f aca="false">G58+G31*'Assumption Setting'!$C$63+Payroll!G$66</f>
        <v>2078</v>
      </c>
      <c r="H152" s="77" t="n">
        <f aca="false">H58+H31*'Assumption Setting'!$C$63+Payroll!H$66</f>
        <v>2078</v>
      </c>
      <c r="I152" s="77" t="n">
        <f aca="false">I58+I31*'Assumption Setting'!$C$63+Payroll!I$66</f>
        <v>2078</v>
      </c>
      <c r="J152" s="77" t="n">
        <f aca="false">J58+J31*'Assumption Setting'!$C$63+Payroll!J$66</f>
        <v>2078</v>
      </c>
      <c r="K152" s="77" t="n">
        <f aca="false">K58+K31*'Assumption Setting'!$C$63+Payroll!K$66</f>
        <v>2078</v>
      </c>
      <c r="L152" s="77" t="n">
        <f aca="false">L58+L31*'Assumption Setting'!$C$63+Payroll!L$66</f>
        <v>2078</v>
      </c>
      <c r="M152" s="77" t="n">
        <f aca="false">M58+M31*'Assumption Setting'!$C$63+Payroll!M$66</f>
        <v>2078</v>
      </c>
      <c r="N152" s="77" t="n">
        <f aca="false">N58+N31*'Assumption Setting'!$C$63+Payroll!N$66</f>
        <v>2078</v>
      </c>
      <c r="O152" s="64" t="n">
        <f aca="false">SUM(P152:AA152)</f>
        <v>65778</v>
      </c>
      <c r="P152" s="77" t="n">
        <f aca="false">P58+P31*'Assumption Setting'!$C$63+Payroll!P$66</f>
        <v>5481.5</v>
      </c>
      <c r="Q152" s="77" t="n">
        <f aca="false">Q58+Q31*'Assumption Setting'!$C$63+Payroll!Q$66</f>
        <v>5481.5</v>
      </c>
      <c r="R152" s="77" t="n">
        <f aca="false">R58+R31*'Assumption Setting'!$C$63+Payroll!R$66</f>
        <v>5481.5</v>
      </c>
      <c r="S152" s="77" t="n">
        <f aca="false">S58+S31*'Assumption Setting'!$C$63+Payroll!S$66</f>
        <v>5481.5</v>
      </c>
      <c r="T152" s="77" t="n">
        <f aca="false">T58+T31*'Assumption Setting'!$C$63+Payroll!T$66</f>
        <v>5481.5</v>
      </c>
      <c r="U152" s="77" t="n">
        <f aca="false">U58+U31*'Assumption Setting'!$C$63+Payroll!U$66</f>
        <v>5481.5</v>
      </c>
      <c r="V152" s="77" t="n">
        <f aca="false">V58+V31*'Assumption Setting'!$C$63+Payroll!V$66</f>
        <v>5481.5</v>
      </c>
      <c r="W152" s="77" t="n">
        <f aca="false">W58+W31*'Assumption Setting'!$C$63+Payroll!W$66</f>
        <v>5481.5</v>
      </c>
      <c r="X152" s="77" t="n">
        <f aca="false">X58+X31*'Assumption Setting'!$C$63+Payroll!X$66</f>
        <v>5481.5</v>
      </c>
      <c r="Y152" s="77" t="n">
        <f aca="false">Y58+Y31*'Assumption Setting'!$C$63+Payroll!Y$66</f>
        <v>5481.5</v>
      </c>
      <c r="Z152" s="77" t="n">
        <f aca="false">Z58+Z31*'Assumption Setting'!$C$63+Payroll!Z$66</f>
        <v>5481.5</v>
      </c>
      <c r="AA152" s="77" t="n">
        <f aca="false">AA58+AA31*'Assumption Setting'!$C$63+Payroll!AA$66</f>
        <v>5481.5</v>
      </c>
      <c r="AB152" s="64" t="n">
        <f aca="false">SUM(AC152:AN152)</f>
        <v>135018</v>
      </c>
      <c r="AC152" s="77" t="n">
        <f aca="false">AC58+AC31*'Assumption Setting'!$C$63+Payroll!AC$66</f>
        <v>11251.5</v>
      </c>
      <c r="AD152" s="77" t="n">
        <f aca="false">AD58+AD31*'Assumption Setting'!$C$63+Payroll!AD$66</f>
        <v>11251.5</v>
      </c>
      <c r="AE152" s="77" t="n">
        <f aca="false">AE58+AE31*'Assumption Setting'!$C$63+Payroll!AE$66</f>
        <v>11251.5</v>
      </c>
      <c r="AF152" s="77" t="n">
        <f aca="false">AF58+AF31*'Assumption Setting'!$C$63+Payroll!AF$66</f>
        <v>11251.5</v>
      </c>
      <c r="AG152" s="77" t="n">
        <f aca="false">AG58+AG31*'Assumption Setting'!$C$63+Payroll!AG$66</f>
        <v>11251.5</v>
      </c>
      <c r="AH152" s="77" t="n">
        <f aca="false">AH58+AH31*'Assumption Setting'!$C$63+Payroll!AH$66</f>
        <v>11251.5</v>
      </c>
      <c r="AI152" s="77" t="n">
        <f aca="false">AI58+AI31*'Assumption Setting'!$C$63+Payroll!AI$66</f>
        <v>11251.5</v>
      </c>
      <c r="AJ152" s="77" t="n">
        <f aca="false">AJ58+AJ31*'Assumption Setting'!$C$63+Payroll!AJ$66</f>
        <v>11251.5</v>
      </c>
      <c r="AK152" s="77" t="n">
        <f aca="false">AK58+AK31*'Assumption Setting'!$C$63+Payroll!AK$66</f>
        <v>11251.5</v>
      </c>
      <c r="AL152" s="77" t="n">
        <f aca="false">AL58+AL31*'Assumption Setting'!$C$63+Payroll!AL$66</f>
        <v>11251.5</v>
      </c>
      <c r="AM152" s="77" t="n">
        <f aca="false">AM58+AM31*'Assumption Setting'!$C$63+Payroll!AM$66</f>
        <v>11251.5</v>
      </c>
      <c r="AN152" s="77" t="n">
        <f aca="false">AN58+AN31*'Assumption Setting'!$C$63+Payroll!AN$66</f>
        <v>11251.5</v>
      </c>
      <c r="AO152" s="64" t="n">
        <f aca="false">SUM(AP152:BA152)</f>
        <v>195780</v>
      </c>
      <c r="AP152" s="77" t="n">
        <f aca="false">AP58+AP31*'Assumption Setting'!$C$63+Payroll!AP$66</f>
        <v>16315</v>
      </c>
      <c r="AQ152" s="77" t="n">
        <f aca="false">AQ58+AQ31*'Assumption Setting'!$C$63+Payroll!AQ$66</f>
        <v>16315</v>
      </c>
      <c r="AR152" s="77" t="n">
        <f aca="false">AR58+AR31*'Assumption Setting'!$C$63+Payroll!AR$66</f>
        <v>16315</v>
      </c>
      <c r="AS152" s="77" t="n">
        <f aca="false">AS58+AS31*'Assumption Setting'!$C$63+Payroll!AS$66</f>
        <v>16315</v>
      </c>
      <c r="AT152" s="77" t="n">
        <f aca="false">AT58+AT31*'Assumption Setting'!$C$63+Payroll!AT$66</f>
        <v>16315</v>
      </c>
      <c r="AU152" s="77" t="n">
        <f aca="false">AU58+AU31*'Assumption Setting'!$C$63+Payroll!AU$66</f>
        <v>16315</v>
      </c>
      <c r="AV152" s="77" t="n">
        <f aca="false">AV58+AV31*'Assumption Setting'!$C$63+Payroll!AV$66</f>
        <v>16315</v>
      </c>
      <c r="AW152" s="77" t="n">
        <f aca="false">AW58+AW31*'Assumption Setting'!$C$63+Payroll!AW$66</f>
        <v>16315</v>
      </c>
      <c r="AX152" s="77" t="n">
        <f aca="false">AX58+AX31*'Assumption Setting'!$C$63+Payroll!AX$66</f>
        <v>16315</v>
      </c>
      <c r="AY152" s="77" t="n">
        <f aca="false">AY58+AY31*'Assumption Setting'!$C$63+Payroll!AY$66</f>
        <v>16315</v>
      </c>
      <c r="AZ152" s="77" t="n">
        <f aca="false">AZ58+AZ31*'Assumption Setting'!$C$63+Payroll!AZ$66</f>
        <v>16315</v>
      </c>
      <c r="BA152" s="77" t="n">
        <f aca="false">BA58+BA31*'Assumption Setting'!$C$63+Payroll!BA$66</f>
        <v>16315</v>
      </c>
      <c r="BB152" s="64" t="n">
        <f aca="false">SUM(BC152:BN152)</f>
        <v>257598</v>
      </c>
      <c r="BC152" s="77" t="n">
        <f aca="false">BC58+BC31*'Assumption Setting'!$C$63+Payroll!BC$66</f>
        <v>21466.5</v>
      </c>
      <c r="BD152" s="77" t="n">
        <f aca="false">BD58+BD31*'Assumption Setting'!$C$63+Payroll!BD$66</f>
        <v>21466.5</v>
      </c>
      <c r="BE152" s="77" t="n">
        <f aca="false">BE58+BE31*'Assumption Setting'!$C$63+Payroll!BE$66</f>
        <v>21466.5</v>
      </c>
      <c r="BF152" s="77" t="n">
        <f aca="false">BF58+BF31*'Assumption Setting'!$C$63+Payroll!BF$66</f>
        <v>21466.5</v>
      </c>
      <c r="BG152" s="77" t="n">
        <f aca="false">BG58+BG31*'Assumption Setting'!$C$63+Payroll!BG$66</f>
        <v>21466.5</v>
      </c>
      <c r="BH152" s="77" t="n">
        <f aca="false">BH58+BH31*'Assumption Setting'!$C$63+Payroll!BH$66</f>
        <v>21466.5</v>
      </c>
      <c r="BI152" s="77" t="n">
        <f aca="false">BI58+BI31*'Assumption Setting'!$C$63+Payroll!BI$66</f>
        <v>21466.5</v>
      </c>
      <c r="BJ152" s="77" t="n">
        <f aca="false">BJ58+BJ31*'Assumption Setting'!$C$63+Payroll!BJ$66</f>
        <v>21466.5</v>
      </c>
      <c r="BK152" s="77" t="n">
        <f aca="false">BK58+BK31*'Assumption Setting'!$C$63+Payroll!BK$66</f>
        <v>21466.5</v>
      </c>
      <c r="BL152" s="77" t="n">
        <f aca="false">BL58+BL31*'Assumption Setting'!$C$63+Payroll!BL$66</f>
        <v>21466.5</v>
      </c>
      <c r="BM152" s="77" t="n">
        <f aca="false">BM58+BM31*'Assumption Setting'!$C$63+Payroll!BM$66</f>
        <v>21466.5</v>
      </c>
      <c r="BN152" s="77" t="n">
        <f aca="false">BN58+BN31*'Assumption Setting'!$C$63+Payroll!BN$66</f>
        <v>21466.5</v>
      </c>
    </row>
    <row r="153" customFormat="false" ht="15" hidden="false" customHeight="false" outlineLevel="0" collapsed="false">
      <c r="A153" s="12" t="s">
        <v>668</v>
      </c>
      <c r="B153" s="64" t="n">
        <f aca="false">IFERROR(AVERAGE(C153:N153),0)</f>
        <v>2140.8699304799</v>
      </c>
      <c r="C153" s="65" t="n">
        <f aca="false">IFERROR(C152/C99,0)</f>
        <v>0</v>
      </c>
      <c r="D153" s="65" t="n">
        <f aca="false">IFERROR(D152/D99,0)</f>
        <v>0</v>
      </c>
      <c r="E153" s="65" t="n">
        <f aca="false">IFERROR(E152/E99,0)</f>
        <v>0</v>
      </c>
      <c r="F153" s="65" t="n">
        <f aca="false">IFERROR(F152/F99,0)</f>
        <v>10111.6483283149</v>
      </c>
      <c r="G153" s="65" t="n">
        <f aca="false">IFERROR(G152/G99,0)</f>
        <v>2407.53531626546</v>
      </c>
      <c r="H153" s="65" t="n">
        <f aca="false">IFERROR(H152/H99,0)</f>
        <v>1987.00513001822</v>
      </c>
      <c r="I153" s="65" t="n">
        <f aca="false">IFERROR(I152/I99,0)</f>
        <v>1987.00513001822</v>
      </c>
      <c r="J153" s="65" t="n">
        <f aca="false">IFERROR(J152/J99,0)</f>
        <v>1853.45896038359</v>
      </c>
      <c r="K153" s="65" t="n">
        <f aca="false">IFERROR(K152/K99,0)</f>
        <v>1853.45896038359</v>
      </c>
      <c r="L153" s="65" t="n">
        <f aca="false">IFERROR(L152/L99,0)</f>
        <v>1853.45896038359</v>
      </c>
      <c r="M153" s="65" t="n">
        <f aca="false">IFERROR(M152/M99,0)</f>
        <v>1853.45896038359</v>
      </c>
      <c r="N153" s="65" t="n">
        <f aca="false">IFERROR(N152/N99,0)</f>
        <v>1783.40941960761</v>
      </c>
      <c r="O153" s="64" t="n">
        <f aca="false">IFERROR(AVERAGE(P153:AA153),0)</f>
        <v>3099.88164520165</v>
      </c>
      <c r="P153" s="65" t="n">
        <f aca="false">IFERROR(P152/P99,0)</f>
        <v>3951.49873056708</v>
      </c>
      <c r="Q153" s="65" t="n">
        <f aca="false">IFERROR(Q152/Q99,0)</f>
        <v>3951.49873056708</v>
      </c>
      <c r="R153" s="65" t="n">
        <f aca="false">IFERROR(R152/R99,0)</f>
        <v>3951.49873056708</v>
      </c>
      <c r="S153" s="65" t="n">
        <f aca="false">IFERROR(S152/S99,0)</f>
        <v>3634.09028801639</v>
      </c>
      <c r="T153" s="65" t="n">
        <f aca="false">IFERROR(T152/T99,0)</f>
        <v>2890.98215215235</v>
      </c>
      <c r="U153" s="65" t="n">
        <f aca="false">IFERROR(U152/U99,0)</f>
        <v>2735.59821752332</v>
      </c>
      <c r="V153" s="65" t="n">
        <f aca="false">IFERROR(V152/V99,0)</f>
        <v>2735.59821752332</v>
      </c>
      <c r="W153" s="65" t="n">
        <f aca="false">IFERROR(W152/W99,0)</f>
        <v>2676.26287864928</v>
      </c>
      <c r="X153" s="65" t="n">
        <f aca="false">IFERROR(X152/X99,0)</f>
        <v>2676.26287864928</v>
      </c>
      <c r="Y153" s="65" t="n">
        <f aca="false">IFERROR(Y152/Y99,0)</f>
        <v>2676.26287864928</v>
      </c>
      <c r="Z153" s="65" t="n">
        <f aca="false">IFERROR(Z152/Z99,0)</f>
        <v>2676.26287864928</v>
      </c>
      <c r="AA153" s="65" t="n">
        <f aca="false">IFERROR(AA152/AA99,0)</f>
        <v>2642.76316090608</v>
      </c>
      <c r="AB153" s="64" t="n">
        <f aca="false">IFERROR(AVERAGE(AC153:AN153),0)</f>
        <v>3847.18287292173</v>
      </c>
      <c r="AC153" s="65" t="n">
        <f aca="false">IFERROR(AC152/AC99,0)</f>
        <v>4840.6124055146</v>
      </c>
      <c r="AD153" s="65" t="n">
        <f aca="false">IFERROR(AD152/AD99,0)</f>
        <v>4840.6124055146</v>
      </c>
      <c r="AE153" s="65" t="n">
        <f aca="false">IFERROR(AE152/AE99,0)</f>
        <v>4840.6124055146</v>
      </c>
      <c r="AF153" s="65" t="n">
        <f aca="false">IFERROR(AF152/AF99,0)</f>
        <v>4476.0484474427</v>
      </c>
      <c r="AG153" s="65" t="n">
        <f aca="false">IFERROR(AG152/AG99,0)</f>
        <v>3606.79752122316</v>
      </c>
      <c r="AH153" s="65" t="n">
        <f aca="false">IFERROR(AH152/AH99,0)</f>
        <v>3422.1889474388</v>
      </c>
      <c r="AI153" s="65" t="n">
        <f aca="false">IFERROR(AI152/AI99,0)</f>
        <v>3422.1889474388</v>
      </c>
      <c r="AJ153" s="65" t="n">
        <f aca="false">IFERROR(AJ152/AJ99,0)</f>
        <v>3351.42954583833</v>
      </c>
      <c r="AK153" s="65" t="n">
        <f aca="false">IFERROR(AK152/AK99,0)</f>
        <v>3351.42954583833</v>
      </c>
      <c r="AL153" s="65" t="n">
        <f aca="false">IFERROR(AL152/AL99,0)</f>
        <v>3351.42954583833</v>
      </c>
      <c r="AM153" s="65" t="n">
        <f aca="false">IFERROR(AM152/AM99,0)</f>
        <v>3351.42954583833</v>
      </c>
      <c r="AN153" s="65" t="n">
        <f aca="false">IFERROR(AN152/AN99,0)</f>
        <v>3311.41521162023</v>
      </c>
      <c r="AO153" s="64" t="n">
        <f aca="false">IFERROR(AVERAGE(AP153:BA153),0)</f>
        <v>3870.99858555855</v>
      </c>
      <c r="AP153" s="65" t="n">
        <f aca="false">IFERROR(AP152/AP99,0)</f>
        <v>4492.76304300592</v>
      </c>
      <c r="AQ153" s="65" t="n">
        <f aca="false">IFERROR(AQ152/AQ99,0)</f>
        <v>4492.76304300592</v>
      </c>
      <c r="AR153" s="65" t="n">
        <f aca="false">IFERROR(AR152/AR99,0)</f>
        <v>4492.76304300592</v>
      </c>
      <c r="AS153" s="65" t="n">
        <f aca="false">IFERROR(AS152/AS99,0)</f>
        <v>4285.4325653573</v>
      </c>
      <c r="AT153" s="65" t="n">
        <f aca="false">IFERROR(AT152/AT99,0)</f>
        <v>3734.02044889623</v>
      </c>
      <c r="AU153" s="65" t="n">
        <f aca="false">IFERROR(AU152/AU99,0)</f>
        <v>3605.16457131676</v>
      </c>
      <c r="AV153" s="65" t="n">
        <f aca="false">IFERROR(AV152/AV99,0)</f>
        <v>3605.16457131676</v>
      </c>
      <c r="AW153" s="65" t="n">
        <f aca="false">IFERROR(AW152/AW99,0)</f>
        <v>3554.5660204446</v>
      </c>
      <c r="AX153" s="65" t="n">
        <f aca="false">IFERROR(AX152/AX99,0)</f>
        <v>3554.5660204446</v>
      </c>
      <c r="AY153" s="65" t="n">
        <f aca="false">IFERROR(AY152/AY99,0)</f>
        <v>3554.5660204446</v>
      </c>
      <c r="AZ153" s="65" t="n">
        <f aca="false">IFERROR(AZ152/AZ99,0)</f>
        <v>3554.5660204446</v>
      </c>
      <c r="BA153" s="65" t="n">
        <f aca="false">IFERROR(BA152/BA99,0)</f>
        <v>3525.64765901938</v>
      </c>
      <c r="BB153" s="64" t="n">
        <f aca="false">IFERROR(AVERAGE(BC153:BN153),0)</f>
        <v>3893.59661998725</v>
      </c>
      <c r="BC153" s="65" t="n">
        <f aca="false">IFERROR(BC152/BC99,0)</f>
        <v>4382.80875205547</v>
      </c>
      <c r="BD153" s="65" t="n">
        <f aca="false">IFERROR(BD152/BD99,0)</f>
        <v>4382.80875205547</v>
      </c>
      <c r="BE153" s="65" t="n">
        <f aca="false">IFERROR(BE152/BE99,0)</f>
        <v>4382.80875205547</v>
      </c>
      <c r="BF153" s="65" t="n">
        <f aca="false">IFERROR(BF152/BF99,0)</f>
        <v>4225.46820587782</v>
      </c>
      <c r="BG153" s="65" t="n">
        <f aca="false">IFERROR(BG152/BG99,0)</f>
        <v>3790.07116223469</v>
      </c>
      <c r="BH153" s="65" t="n">
        <f aca="false">IFERROR(BH152/BH99,0)</f>
        <v>3684.60832145971</v>
      </c>
      <c r="BI153" s="65" t="n">
        <f aca="false">IFERROR(BI152/BI99,0)</f>
        <v>3684.60832145971</v>
      </c>
      <c r="BJ153" s="65" t="n">
        <f aca="false">IFERROR(BJ152/BJ99,0)</f>
        <v>3642.79536946563</v>
      </c>
      <c r="BK153" s="65" t="n">
        <f aca="false">IFERROR(BK152/BK99,0)</f>
        <v>3642.79536946563</v>
      </c>
      <c r="BL153" s="65" t="n">
        <f aca="false">IFERROR(BL152/BL99,0)</f>
        <v>3642.79536946563</v>
      </c>
      <c r="BM153" s="65" t="n">
        <f aca="false">IFERROR(BM152/BM99,0)</f>
        <v>3642.79536946563</v>
      </c>
      <c r="BN153" s="65" t="n">
        <f aca="false">IFERROR(BN152/BN99,0)</f>
        <v>3618.79569478611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588</v>
      </c>
    </row>
    <row r="2" customFormat="false" ht="13.5" hidden="false" customHeight="true" outlineLevel="0" collapsed="false">
      <c r="A2" s="6" t="s">
        <v>669</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670</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671</v>
      </c>
      <c r="B7" s="78" t="n">
        <f aca="false">N7</f>
        <v>3</v>
      </c>
      <c r="C7" s="95" t="n">
        <f aca="false">Payroll!C$71</f>
        <v>3</v>
      </c>
      <c r="D7" s="95" t="n">
        <f aca="false">Payroll!D$71</f>
        <v>3</v>
      </c>
      <c r="E7" s="95" t="n">
        <f aca="false">Payroll!E$71</f>
        <v>3</v>
      </c>
      <c r="F7" s="95" t="n">
        <f aca="false">Payroll!F$71</f>
        <v>3</v>
      </c>
      <c r="G7" s="95" t="n">
        <f aca="false">Payroll!G$71</f>
        <v>3</v>
      </c>
      <c r="H7" s="95" t="n">
        <f aca="false">Payroll!H$71</f>
        <v>3</v>
      </c>
      <c r="I7" s="95" t="n">
        <f aca="false">Payroll!I$71</f>
        <v>3</v>
      </c>
      <c r="J7" s="95" t="n">
        <f aca="false">Payroll!J$71</f>
        <v>3</v>
      </c>
      <c r="K7" s="95" t="n">
        <f aca="false">Payroll!K$71</f>
        <v>3</v>
      </c>
      <c r="L7" s="95" t="n">
        <f aca="false">Payroll!L$71</f>
        <v>3</v>
      </c>
      <c r="M7" s="95" t="n">
        <f aca="false">Payroll!M$71</f>
        <v>3</v>
      </c>
      <c r="N7" s="95" t="n">
        <f aca="false">Payroll!N$71</f>
        <v>3</v>
      </c>
      <c r="O7" s="78" t="n">
        <f aca="false">AA7</f>
        <v>3</v>
      </c>
      <c r="P7" s="95" t="n">
        <f aca="false">Payroll!P$71</f>
        <v>3</v>
      </c>
      <c r="Q7" s="95" t="n">
        <f aca="false">Payroll!Q$71</f>
        <v>3</v>
      </c>
      <c r="R7" s="95" t="n">
        <f aca="false">Payroll!R$71</f>
        <v>3</v>
      </c>
      <c r="S7" s="95" t="n">
        <f aca="false">Payroll!S$71</f>
        <v>3</v>
      </c>
      <c r="T7" s="95" t="n">
        <f aca="false">Payroll!T$71</f>
        <v>3</v>
      </c>
      <c r="U7" s="95" t="n">
        <f aca="false">Payroll!U$71</f>
        <v>3</v>
      </c>
      <c r="V7" s="95" t="n">
        <f aca="false">Payroll!V$71</f>
        <v>3</v>
      </c>
      <c r="W7" s="95" t="n">
        <f aca="false">Payroll!W$71</f>
        <v>3</v>
      </c>
      <c r="X7" s="95" t="n">
        <f aca="false">Payroll!X$71</f>
        <v>3</v>
      </c>
      <c r="Y7" s="95" t="n">
        <f aca="false">Payroll!Y$71</f>
        <v>3</v>
      </c>
      <c r="Z7" s="95" t="n">
        <f aca="false">Payroll!Z$71</f>
        <v>3</v>
      </c>
      <c r="AA7" s="95" t="n">
        <f aca="false">Payroll!AA$71</f>
        <v>3</v>
      </c>
      <c r="AB7" s="78" t="n">
        <f aca="false">AN7</f>
        <v>3</v>
      </c>
      <c r="AC7" s="95" t="n">
        <f aca="false">Payroll!AC$71</f>
        <v>3</v>
      </c>
      <c r="AD7" s="95" t="n">
        <f aca="false">Payroll!AD$71</f>
        <v>3</v>
      </c>
      <c r="AE7" s="95" t="n">
        <f aca="false">Payroll!AE$71</f>
        <v>3</v>
      </c>
      <c r="AF7" s="95" t="n">
        <f aca="false">Payroll!AF$71</f>
        <v>3</v>
      </c>
      <c r="AG7" s="95" t="n">
        <f aca="false">Payroll!AG$71</f>
        <v>3</v>
      </c>
      <c r="AH7" s="95" t="n">
        <f aca="false">Payroll!AH$71</f>
        <v>3</v>
      </c>
      <c r="AI7" s="95" t="n">
        <f aca="false">Payroll!AI$71</f>
        <v>3</v>
      </c>
      <c r="AJ7" s="95" t="n">
        <f aca="false">Payroll!AJ$71</f>
        <v>3</v>
      </c>
      <c r="AK7" s="95" t="n">
        <f aca="false">Payroll!AK$71</f>
        <v>3</v>
      </c>
      <c r="AL7" s="95" t="n">
        <f aca="false">Payroll!AL$71</f>
        <v>3</v>
      </c>
      <c r="AM7" s="95" t="n">
        <f aca="false">Payroll!AM$71</f>
        <v>3</v>
      </c>
      <c r="AN7" s="95" t="n">
        <f aca="false">Payroll!AN$71</f>
        <v>3</v>
      </c>
      <c r="AO7" s="78" t="n">
        <f aca="false">BA7</f>
        <v>3</v>
      </c>
      <c r="AP7" s="95" t="n">
        <f aca="false">Payroll!AP$71</f>
        <v>3</v>
      </c>
      <c r="AQ7" s="95" t="n">
        <f aca="false">Payroll!AQ$71</f>
        <v>3</v>
      </c>
      <c r="AR7" s="95" t="n">
        <f aca="false">Payroll!AR$71</f>
        <v>3</v>
      </c>
      <c r="AS7" s="95" t="n">
        <f aca="false">Payroll!AS$71</f>
        <v>3</v>
      </c>
      <c r="AT7" s="95" t="n">
        <f aca="false">Payroll!AT$71</f>
        <v>3</v>
      </c>
      <c r="AU7" s="95" t="n">
        <f aca="false">Payroll!AU$71</f>
        <v>3</v>
      </c>
      <c r="AV7" s="95" t="n">
        <f aca="false">Payroll!AV$71</f>
        <v>3</v>
      </c>
      <c r="AW7" s="95" t="n">
        <f aca="false">Payroll!AW$71</f>
        <v>3</v>
      </c>
      <c r="AX7" s="95" t="n">
        <f aca="false">Payroll!AX$71</f>
        <v>3</v>
      </c>
      <c r="AY7" s="95" t="n">
        <f aca="false">Payroll!AY$71</f>
        <v>3</v>
      </c>
      <c r="AZ7" s="95" t="n">
        <f aca="false">Payroll!AZ$71</f>
        <v>3</v>
      </c>
      <c r="BA7" s="95" t="n">
        <f aca="false">Payroll!BA$71</f>
        <v>3</v>
      </c>
      <c r="BB7" s="78" t="n">
        <f aca="false">BN7</f>
        <v>3</v>
      </c>
      <c r="BC7" s="95" t="n">
        <f aca="false">Payroll!BC$71</f>
        <v>3</v>
      </c>
      <c r="BD7" s="95" t="n">
        <f aca="false">Payroll!BD$71</f>
        <v>3</v>
      </c>
      <c r="BE7" s="95" t="n">
        <f aca="false">Payroll!BE$71</f>
        <v>3</v>
      </c>
      <c r="BF7" s="95" t="n">
        <f aca="false">Payroll!BF$71</f>
        <v>3</v>
      </c>
      <c r="BG7" s="95" t="n">
        <f aca="false">Payroll!BG$71</f>
        <v>3</v>
      </c>
      <c r="BH7" s="95" t="n">
        <f aca="false">Payroll!BH$71</f>
        <v>3</v>
      </c>
      <c r="BI7" s="95" t="n">
        <f aca="false">Payroll!BI$71</f>
        <v>3</v>
      </c>
      <c r="BJ7" s="95" t="n">
        <f aca="false">Payroll!BJ$71</f>
        <v>3</v>
      </c>
      <c r="BK7" s="95" t="n">
        <f aca="false">Payroll!BK$71</f>
        <v>3</v>
      </c>
      <c r="BL7" s="95" t="n">
        <f aca="false">Payroll!BL$71</f>
        <v>3</v>
      </c>
      <c r="BM7" s="95" t="n">
        <f aca="false">Payroll!BM$71</f>
        <v>3</v>
      </c>
      <c r="BN7" s="95" t="n">
        <f aca="false">Payroll!BN$71</f>
        <v>3</v>
      </c>
    </row>
    <row r="8" customFormat="false" ht="15" hidden="false" customHeight="false" outlineLevel="0" collapsed="false">
      <c r="A8" s="12" t="s">
        <v>299</v>
      </c>
      <c r="B8" s="78" t="n">
        <f aca="false">N8</f>
        <v>2</v>
      </c>
      <c r="C8" s="95" t="n">
        <f aca="false">Payroll!C$72</f>
        <v>2</v>
      </c>
      <c r="D8" s="95" t="n">
        <f aca="false">Payroll!D$72</f>
        <v>2</v>
      </c>
      <c r="E8" s="95" t="n">
        <f aca="false">Payroll!E$72</f>
        <v>2</v>
      </c>
      <c r="F8" s="95" t="n">
        <f aca="false">Payroll!F$72</f>
        <v>2</v>
      </c>
      <c r="G8" s="95" t="n">
        <f aca="false">Payroll!G$72</f>
        <v>2</v>
      </c>
      <c r="H8" s="95" t="n">
        <f aca="false">Payroll!H$72</f>
        <v>2</v>
      </c>
      <c r="I8" s="95" t="n">
        <f aca="false">Payroll!I$72</f>
        <v>2</v>
      </c>
      <c r="J8" s="95" t="n">
        <f aca="false">Payroll!J$72</f>
        <v>2</v>
      </c>
      <c r="K8" s="95" t="n">
        <f aca="false">Payroll!K$72</f>
        <v>2</v>
      </c>
      <c r="L8" s="95" t="n">
        <f aca="false">Payroll!L$72</f>
        <v>2</v>
      </c>
      <c r="M8" s="95" t="n">
        <f aca="false">Payroll!M$72</f>
        <v>2</v>
      </c>
      <c r="N8" s="95" t="n">
        <f aca="false">Payroll!N$72</f>
        <v>2</v>
      </c>
      <c r="O8" s="78" t="n">
        <f aca="false">AA8</f>
        <v>3</v>
      </c>
      <c r="P8" s="95" t="n">
        <f aca="false">Payroll!P$72</f>
        <v>3</v>
      </c>
      <c r="Q8" s="95" t="n">
        <f aca="false">Payroll!Q$72</f>
        <v>3</v>
      </c>
      <c r="R8" s="95" t="n">
        <f aca="false">Payroll!R$72</f>
        <v>3</v>
      </c>
      <c r="S8" s="95" t="n">
        <f aca="false">Payroll!S$72</f>
        <v>3</v>
      </c>
      <c r="T8" s="95" t="n">
        <f aca="false">Payroll!T$72</f>
        <v>3</v>
      </c>
      <c r="U8" s="95" t="n">
        <f aca="false">Payroll!U$72</f>
        <v>3</v>
      </c>
      <c r="V8" s="95" t="n">
        <f aca="false">Payroll!V$72</f>
        <v>3</v>
      </c>
      <c r="W8" s="95" t="n">
        <f aca="false">Payroll!W$72</f>
        <v>3</v>
      </c>
      <c r="X8" s="95" t="n">
        <f aca="false">Payroll!X$72</f>
        <v>3</v>
      </c>
      <c r="Y8" s="95" t="n">
        <f aca="false">Payroll!Y$72</f>
        <v>3</v>
      </c>
      <c r="Z8" s="95" t="n">
        <f aca="false">Payroll!Z$72</f>
        <v>3</v>
      </c>
      <c r="AA8" s="95" t="n">
        <f aca="false">Payroll!AA$72</f>
        <v>3</v>
      </c>
      <c r="AB8" s="78" t="n">
        <f aca="false">AN8</f>
        <v>4</v>
      </c>
      <c r="AC8" s="95" t="n">
        <f aca="false">Payroll!AC$72</f>
        <v>4</v>
      </c>
      <c r="AD8" s="95" t="n">
        <f aca="false">Payroll!AD$72</f>
        <v>4</v>
      </c>
      <c r="AE8" s="95" t="n">
        <f aca="false">Payroll!AE$72</f>
        <v>4</v>
      </c>
      <c r="AF8" s="95" t="n">
        <f aca="false">Payroll!AF$72</f>
        <v>4</v>
      </c>
      <c r="AG8" s="95" t="n">
        <f aca="false">Payroll!AG$72</f>
        <v>4</v>
      </c>
      <c r="AH8" s="95" t="n">
        <f aca="false">Payroll!AH$72</f>
        <v>4</v>
      </c>
      <c r="AI8" s="95" t="n">
        <f aca="false">Payroll!AI$72</f>
        <v>4</v>
      </c>
      <c r="AJ8" s="95" t="n">
        <f aca="false">Payroll!AJ$72</f>
        <v>4</v>
      </c>
      <c r="AK8" s="95" t="n">
        <f aca="false">Payroll!AK$72</f>
        <v>4</v>
      </c>
      <c r="AL8" s="95" t="n">
        <f aca="false">Payroll!AL$72</f>
        <v>4</v>
      </c>
      <c r="AM8" s="95" t="n">
        <f aca="false">Payroll!AM$72</f>
        <v>4</v>
      </c>
      <c r="AN8" s="95" t="n">
        <f aca="false">Payroll!AN$72</f>
        <v>4</v>
      </c>
      <c r="AO8" s="78" t="n">
        <f aca="false">BA8</f>
        <v>6</v>
      </c>
      <c r="AP8" s="95" t="n">
        <f aca="false">Payroll!AP$72</f>
        <v>6</v>
      </c>
      <c r="AQ8" s="95" t="n">
        <f aca="false">Payroll!AQ$72</f>
        <v>6</v>
      </c>
      <c r="AR8" s="95" t="n">
        <f aca="false">Payroll!AR$72</f>
        <v>6</v>
      </c>
      <c r="AS8" s="95" t="n">
        <f aca="false">Payroll!AS$72</f>
        <v>6</v>
      </c>
      <c r="AT8" s="95" t="n">
        <f aca="false">Payroll!AT$72</f>
        <v>6</v>
      </c>
      <c r="AU8" s="95" t="n">
        <f aca="false">Payroll!AU$72</f>
        <v>6</v>
      </c>
      <c r="AV8" s="95" t="n">
        <f aca="false">Payroll!AV$72</f>
        <v>6</v>
      </c>
      <c r="AW8" s="95" t="n">
        <f aca="false">Payroll!AW$72</f>
        <v>6</v>
      </c>
      <c r="AX8" s="95" t="n">
        <f aca="false">Payroll!AX$72</f>
        <v>6</v>
      </c>
      <c r="AY8" s="95" t="n">
        <f aca="false">Payroll!AY$72</f>
        <v>6</v>
      </c>
      <c r="AZ8" s="95" t="n">
        <f aca="false">Payroll!AZ$72</f>
        <v>6</v>
      </c>
      <c r="BA8" s="95" t="n">
        <f aca="false">Payroll!BA$72</f>
        <v>6</v>
      </c>
      <c r="BB8" s="78" t="n">
        <f aca="false">BN8</f>
        <v>8</v>
      </c>
      <c r="BC8" s="95" t="n">
        <f aca="false">Payroll!BC$72</f>
        <v>8</v>
      </c>
      <c r="BD8" s="95" t="n">
        <f aca="false">Payroll!BD$72</f>
        <v>8</v>
      </c>
      <c r="BE8" s="95" t="n">
        <f aca="false">Payroll!BE$72</f>
        <v>8</v>
      </c>
      <c r="BF8" s="95" t="n">
        <f aca="false">Payroll!BF$72</f>
        <v>8</v>
      </c>
      <c r="BG8" s="95" t="n">
        <f aca="false">Payroll!BG$72</f>
        <v>8</v>
      </c>
      <c r="BH8" s="95" t="n">
        <f aca="false">Payroll!BH$72</f>
        <v>8</v>
      </c>
      <c r="BI8" s="95" t="n">
        <f aca="false">Payroll!BI$72</f>
        <v>8</v>
      </c>
      <c r="BJ8" s="95" t="n">
        <f aca="false">Payroll!BJ$72</f>
        <v>8</v>
      </c>
      <c r="BK8" s="95" t="n">
        <f aca="false">Payroll!BK$72</f>
        <v>8</v>
      </c>
      <c r="BL8" s="95" t="n">
        <f aca="false">Payroll!BL$72</f>
        <v>8</v>
      </c>
      <c r="BM8" s="95" t="n">
        <f aca="false">Payroll!BM$72</f>
        <v>8</v>
      </c>
      <c r="BN8" s="95" t="n">
        <f aca="false">Payroll!BN$72</f>
        <v>8</v>
      </c>
    </row>
    <row r="9" customFormat="false" ht="15" hidden="false" customHeight="false" outlineLevel="0" collapsed="false">
      <c r="A9" s="12" t="s">
        <v>298</v>
      </c>
      <c r="B9" s="78" t="n">
        <f aca="false">N9</f>
        <v>1</v>
      </c>
      <c r="C9" s="95" t="n">
        <f aca="false">Payroll!C$73</f>
        <v>1</v>
      </c>
      <c r="D9" s="95" t="n">
        <f aca="false">Payroll!D$73</f>
        <v>1</v>
      </c>
      <c r="E9" s="95" t="n">
        <f aca="false">Payroll!E$73</f>
        <v>1</v>
      </c>
      <c r="F9" s="95" t="n">
        <f aca="false">Payroll!F$73</f>
        <v>1</v>
      </c>
      <c r="G9" s="95" t="n">
        <f aca="false">Payroll!G$73</f>
        <v>1</v>
      </c>
      <c r="H9" s="95" t="n">
        <f aca="false">Payroll!H$73</f>
        <v>1</v>
      </c>
      <c r="I9" s="95" t="n">
        <f aca="false">Payroll!I$73</f>
        <v>1</v>
      </c>
      <c r="J9" s="95" t="n">
        <f aca="false">Payroll!J$73</f>
        <v>1</v>
      </c>
      <c r="K9" s="95" t="n">
        <f aca="false">Payroll!K$73</f>
        <v>1</v>
      </c>
      <c r="L9" s="95" t="n">
        <f aca="false">Payroll!L$73</f>
        <v>1</v>
      </c>
      <c r="M9" s="95" t="n">
        <f aca="false">Payroll!M$73</f>
        <v>1</v>
      </c>
      <c r="N9" s="95" t="n">
        <f aca="false">Payroll!N$73</f>
        <v>1</v>
      </c>
      <c r="O9" s="78" t="n">
        <f aca="false">AA9</f>
        <v>1</v>
      </c>
      <c r="P9" s="95" t="n">
        <f aca="false">Payroll!P$73</f>
        <v>1</v>
      </c>
      <c r="Q9" s="95" t="n">
        <f aca="false">Payroll!Q$73</f>
        <v>1</v>
      </c>
      <c r="R9" s="95" t="n">
        <f aca="false">Payroll!R$73</f>
        <v>1</v>
      </c>
      <c r="S9" s="95" t="n">
        <f aca="false">Payroll!S$73</f>
        <v>1</v>
      </c>
      <c r="T9" s="95" t="n">
        <f aca="false">Payroll!T$73</f>
        <v>1</v>
      </c>
      <c r="U9" s="95" t="n">
        <f aca="false">Payroll!U$73</f>
        <v>1</v>
      </c>
      <c r="V9" s="95" t="n">
        <f aca="false">Payroll!V$73</f>
        <v>1</v>
      </c>
      <c r="W9" s="95" t="n">
        <f aca="false">Payroll!W$73</f>
        <v>1</v>
      </c>
      <c r="X9" s="95" t="n">
        <f aca="false">Payroll!X$73</f>
        <v>1</v>
      </c>
      <c r="Y9" s="95" t="n">
        <f aca="false">Payroll!Y$73</f>
        <v>1</v>
      </c>
      <c r="Z9" s="95" t="n">
        <f aca="false">Payroll!Z$73</f>
        <v>1</v>
      </c>
      <c r="AA9" s="95" t="n">
        <f aca="false">Payroll!AA$73</f>
        <v>1</v>
      </c>
      <c r="AB9" s="78" t="n">
        <f aca="false">AN9</f>
        <v>1</v>
      </c>
      <c r="AC9" s="95" t="n">
        <f aca="false">Payroll!AC$73</f>
        <v>1</v>
      </c>
      <c r="AD9" s="95" t="n">
        <f aca="false">Payroll!AD$73</f>
        <v>1</v>
      </c>
      <c r="AE9" s="95" t="n">
        <f aca="false">Payroll!AE$73</f>
        <v>1</v>
      </c>
      <c r="AF9" s="95" t="n">
        <f aca="false">Payroll!AF$73</f>
        <v>1</v>
      </c>
      <c r="AG9" s="95" t="n">
        <f aca="false">Payroll!AG$73</f>
        <v>1</v>
      </c>
      <c r="AH9" s="95" t="n">
        <f aca="false">Payroll!AH$73</f>
        <v>1</v>
      </c>
      <c r="AI9" s="95" t="n">
        <f aca="false">Payroll!AI$73</f>
        <v>1</v>
      </c>
      <c r="AJ9" s="95" t="n">
        <f aca="false">Payroll!AJ$73</f>
        <v>1</v>
      </c>
      <c r="AK9" s="95" t="n">
        <f aca="false">Payroll!AK$73</f>
        <v>1</v>
      </c>
      <c r="AL9" s="95" t="n">
        <f aca="false">Payroll!AL$73</f>
        <v>1</v>
      </c>
      <c r="AM9" s="95" t="n">
        <f aca="false">Payroll!AM$73</f>
        <v>1</v>
      </c>
      <c r="AN9" s="95" t="n">
        <f aca="false">Payroll!AN$73</f>
        <v>1</v>
      </c>
      <c r="AO9" s="78" t="n">
        <f aca="false">BA9</f>
        <v>1</v>
      </c>
      <c r="AP9" s="95" t="n">
        <f aca="false">Payroll!AP$73</f>
        <v>1</v>
      </c>
      <c r="AQ9" s="95" t="n">
        <f aca="false">Payroll!AQ$73</f>
        <v>1</v>
      </c>
      <c r="AR9" s="95" t="n">
        <f aca="false">Payroll!AR$73</f>
        <v>1</v>
      </c>
      <c r="AS9" s="95" t="n">
        <f aca="false">Payroll!AS$73</f>
        <v>1</v>
      </c>
      <c r="AT9" s="95" t="n">
        <f aca="false">Payroll!AT$73</f>
        <v>1</v>
      </c>
      <c r="AU9" s="95" t="n">
        <f aca="false">Payroll!AU$73</f>
        <v>1</v>
      </c>
      <c r="AV9" s="95" t="n">
        <f aca="false">Payroll!AV$73</f>
        <v>1</v>
      </c>
      <c r="AW9" s="95" t="n">
        <f aca="false">Payroll!AW$73</f>
        <v>1</v>
      </c>
      <c r="AX9" s="95" t="n">
        <f aca="false">Payroll!AX$73</f>
        <v>1</v>
      </c>
      <c r="AY9" s="95" t="n">
        <f aca="false">Payroll!AY$73</f>
        <v>1</v>
      </c>
      <c r="AZ9" s="95" t="n">
        <f aca="false">Payroll!AZ$73</f>
        <v>1</v>
      </c>
      <c r="BA9" s="95" t="n">
        <f aca="false">Payroll!BA$73</f>
        <v>1</v>
      </c>
      <c r="BB9" s="78" t="n">
        <f aca="false">BN9</f>
        <v>2</v>
      </c>
      <c r="BC9" s="95" t="n">
        <f aca="false">Payroll!BC$73</f>
        <v>2</v>
      </c>
      <c r="BD9" s="95" t="n">
        <f aca="false">Payroll!BD$73</f>
        <v>2</v>
      </c>
      <c r="BE9" s="95" t="n">
        <f aca="false">Payroll!BE$73</f>
        <v>2</v>
      </c>
      <c r="BF9" s="95" t="n">
        <f aca="false">Payroll!BF$73</f>
        <v>2</v>
      </c>
      <c r="BG9" s="95" t="n">
        <f aca="false">Payroll!BG$73</f>
        <v>2</v>
      </c>
      <c r="BH9" s="95" t="n">
        <f aca="false">Payroll!BH$73</f>
        <v>2</v>
      </c>
      <c r="BI9" s="95" t="n">
        <f aca="false">Payroll!BI$73</f>
        <v>2</v>
      </c>
      <c r="BJ9" s="95" t="n">
        <f aca="false">Payroll!BJ$73</f>
        <v>2</v>
      </c>
      <c r="BK9" s="95" t="n">
        <f aca="false">Payroll!BK$73</f>
        <v>2</v>
      </c>
      <c r="BL9" s="95" t="n">
        <f aca="false">Payroll!BL$73</f>
        <v>2</v>
      </c>
      <c r="BM9" s="95" t="n">
        <f aca="false">Payroll!BM$73</f>
        <v>2</v>
      </c>
      <c r="BN9" s="95" t="n">
        <f aca="false">Payroll!BN$73</f>
        <v>2</v>
      </c>
    </row>
    <row r="10" customFormat="false" ht="15" hidden="false" customHeight="false" outlineLevel="0" collapsed="false">
      <c r="A10" s="12" t="s">
        <v>672</v>
      </c>
      <c r="B10" s="78" t="n">
        <f aca="false">N10</f>
        <v>0</v>
      </c>
      <c r="C10" s="95" t="n">
        <f aca="false">Payroll!C$74</f>
        <v>0</v>
      </c>
      <c r="D10" s="95" t="n">
        <f aca="false">Payroll!D$74</f>
        <v>0</v>
      </c>
      <c r="E10" s="95" t="n">
        <f aca="false">Payroll!E$74</f>
        <v>0</v>
      </c>
      <c r="F10" s="95" t="n">
        <f aca="false">Payroll!F$74</f>
        <v>0</v>
      </c>
      <c r="G10" s="95" t="n">
        <f aca="false">Payroll!G$74</f>
        <v>0</v>
      </c>
      <c r="H10" s="95" t="n">
        <f aca="false">Payroll!H$74</f>
        <v>0</v>
      </c>
      <c r="I10" s="95" t="n">
        <f aca="false">Payroll!I$74</f>
        <v>0</v>
      </c>
      <c r="J10" s="95" t="n">
        <f aca="false">Payroll!J$74</f>
        <v>0</v>
      </c>
      <c r="K10" s="95" t="n">
        <f aca="false">Payroll!K$74</f>
        <v>0</v>
      </c>
      <c r="L10" s="95" t="n">
        <f aca="false">Payroll!L$74</f>
        <v>0</v>
      </c>
      <c r="M10" s="95" t="n">
        <f aca="false">Payroll!M$74</f>
        <v>0</v>
      </c>
      <c r="N10" s="95" t="n">
        <f aca="false">Payroll!N$74</f>
        <v>0</v>
      </c>
      <c r="O10" s="78" t="n">
        <f aca="false">AA10</f>
        <v>1</v>
      </c>
      <c r="P10" s="95" t="n">
        <f aca="false">Payroll!P$74</f>
        <v>1</v>
      </c>
      <c r="Q10" s="95" t="n">
        <f aca="false">Payroll!Q$74</f>
        <v>1</v>
      </c>
      <c r="R10" s="95" t="n">
        <f aca="false">Payroll!R$74</f>
        <v>1</v>
      </c>
      <c r="S10" s="95" t="n">
        <f aca="false">Payroll!S$74</f>
        <v>1</v>
      </c>
      <c r="T10" s="95" t="n">
        <f aca="false">Payroll!T$74</f>
        <v>1</v>
      </c>
      <c r="U10" s="95" t="n">
        <f aca="false">Payroll!U$74</f>
        <v>1</v>
      </c>
      <c r="V10" s="95" t="n">
        <f aca="false">Payroll!V$74</f>
        <v>1</v>
      </c>
      <c r="W10" s="95" t="n">
        <f aca="false">Payroll!W$74</f>
        <v>1</v>
      </c>
      <c r="X10" s="95" t="n">
        <f aca="false">Payroll!X$74</f>
        <v>1</v>
      </c>
      <c r="Y10" s="95" t="n">
        <f aca="false">Payroll!Y$74</f>
        <v>1</v>
      </c>
      <c r="Z10" s="95" t="n">
        <f aca="false">Payroll!Z$74</f>
        <v>1</v>
      </c>
      <c r="AA10" s="95" t="n">
        <f aca="false">Payroll!AA$74</f>
        <v>1</v>
      </c>
      <c r="AB10" s="78" t="n">
        <f aca="false">AN10</f>
        <v>2</v>
      </c>
      <c r="AC10" s="95" t="n">
        <f aca="false">Payroll!AC$74</f>
        <v>2</v>
      </c>
      <c r="AD10" s="95" t="n">
        <f aca="false">Payroll!AD$74</f>
        <v>2</v>
      </c>
      <c r="AE10" s="95" t="n">
        <f aca="false">Payroll!AE$74</f>
        <v>2</v>
      </c>
      <c r="AF10" s="95" t="n">
        <f aca="false">Payroll!AF$74</f>
        <v>2</v>
      </c>
      <c r="AG10" s="95" t="n">
        <f aca="false">Payroll!AG$74</f>
        <v>2</v>
      </c>
      <c r="AH10" s="95" t="n">
        <f aca="false">Payroll!AH$74</f>
        <v>2</v>
      </c>
      <c r="AI10" s="95" t="n">
        <f aca="false">Payroll!AI$74</f>
        <v>2</v>
      </c>
      <c r="AJ10" s="95" t="n">
        <f aca="false">Payroll!AJ$74</f>
        <v>2</v>
      </c>
      <c r="AK10" s="95" t="n">
        <f aca="false">Payroll!AK$74</f>
        <v>2</v>
      </c>
      <c r="AL10" s="95" t="n">
        <f aca="false">Payroll!AL$74</f>
        <v>2</v>
      </c>
      <c r="AM10" s="95" t="n">
        <f aca="false">Payroll!AM$74</f>
        <v>2</v>
      </c>
      <c r="AN10" s="95" t="n">
        <f aca="false">Payroll!AN$74</f>
        <v>2</v>
      </c>
      <c r="AO10" s="78" t="n">
        <f aca="false">BA10</f>
        <v>3</v>
      </c>
      <c r="AP10" s="95" t="n">
        <f aca="false">Payroll!AP$74</f>
        <v>3</v>
      </c>
      <c r="AQ10" s="95" t="n">
        <f aca="false">Payroll!AQ$74</f>
        <v>3</v>
      </c>
      <c r="AR10" s="95" t="n">
        <f aca="false">Payroll!AR$74</f>
        <v>3</v>
      </c>
      <c r="AS10" s="95" t="n">
        <f aca="false">Payroll!AS$74</f>
        <v>3</v>
      </c>
      <c r="AT10" s="95" t="n">
        <f aca="false">Payroll!AT$74</f>
        <v>3</v>
      </c>
      <c r="AU10" s="95" t="n">
        <f aca="false">Payroll!AU$74</f>
        <v>3</v>
      </c>
      <c r="AV10" s="95" t="n">
        <f aca="false">Payroll!AV$74</f>
        <v>3</v>
      </c>
      <c r="AW10" s="95" t="n">
        <f aca="false">Payroll!AW$74</f>
        <v>3</v>
      </c>
      <c r="AX10" s="95" t="n">
        <f aca="false">Payroll!AX$74</f>
        <v>3</v>
      </c>
      <c r="AY10" s="95" t="n">
        <f aca="false">Payroll!AY$74</f>
        <v>3</v>
      </c>
      <c r="AZ10" s="95" t="n">
        <f aca="false">Payroll!AZ$74</f>
        <v>3</v>
      </c>
      <c r="BA10" s="95" t="n">
        <f aca="false">Payroll!BA$74</f>
        <v>3</v>
      </c>
      <c r="BB10" s="78" t="n">
        <f aca="false">BN10</f>
        <v>3</v>
      </c>
      <c r="BC10" s="95" t="n">
        <f aca="false">Payroll!BC$74</f>
        <v>3</v>
      </c>
      <c r="BD10" s="95" t="n">
        <f aca="false">Payroll!BD$74</f>
        <v>3</v>
      </c>
      <c r="BE10" s="95" t="n">
        <f aca="false">Payroll!BE$74</f>
        <v>3</v>
      </c>
      <c r="BF10" s="95" t="n">
        <f aca="false">Payroll!BF$74</f>
        <v>3</v>
      </c>
      <c r="BG10" s="95" t="n">
        <f aca="false">Payroll!BG$74</f>
        <v>3</v>
      </c>
      <c r="BH10" s="95" t="n">
        <f aca="false">Payroll!BH$74</f>
        <v>3</v>
      </c>
      <c r="BI10" s="95" t="n">
        <f aca="false">Payroll!BI$74</f>
        <v>3</v>
      </c>
      <c r="BJ10" s="95" t="n">
        <f aca="false">Payroll!BJ$74</f>
        <v>3</v>
      </c>
      <c r="BK10" s="95" t="n">
        <f aca="false">Payroll!BK$74</f>
        <v>3</v>
      </c>
      <c r="BL10" s="95" t="n">
        <f aca="false">Payroll!BL$74</f>
        <v>3</v>
      </c>
      <c r="BM10" s="95" t="n">
        <f aca="false">Payroll!BM$74</f>
        <v>3</v>
      </c>
      <c r="BN10" s="95" t="n">
        <f aca="false">Payroll!BN$74</f>
        <v>3</v>
      </c>
    </row>
    <row r="11" customFormat="false" ht="15" hidden="false" customHeight="false" outlineLevel="0" collapsed="false">
      <c r="A11" s="12" t="s">
        <v>296</v>
      </c>
      <c r="B11" s="78" t="n">
        <f aca="false">N11</f>
        <v>0</v>
      </c>
      <c r="C11" s="95" t="n">
        <f aca="false">Payroll!C$75</f>
        <v>0</v>
      </c>
      <c r="D11" s="95" t="n">
        <f aca="false">Payroll!D$75</f>
        <v>0</v>
      </c>
      <c r="E11" s="95" t="n">
        <f aca="false">Payroll!E$75</f>
        <v>0</v>
      </c>
      <c r="F11" s="95" t="n">
        <f aca="false">Payroll!F$75</f>
        <v>0</v>
      </c>
      <c r="G11" s="95" t="n">
        <f aca="false">Payroll!G$75</f>
        <v>0</v>
      </c>
      <c r="H11" s="95" t="n">
        <f aca="false">Payroll!H$75</f>
        <v>0</v>
      </c>
      <c r="I11" s="95" t="n">
        <f aca="false">Payroll!I$75</f>
        <v>0</v>
      </c>
      <c r="J11" s="95" t="n">
        <f aca="false">Payroll!J$75</f>
        <v>0</v>
      </c>
      <c r="K11" s="95" t="n">
        <f aca="false">Payroll!K$75</f>
        <v>0</v>
      </c>
      <c r="L11" s="95" t="n">
        <f aca="false">Payroll!L$75</f>
        <v>0</v>
      </c>
      <c r="M11" s="95" t="n">
        <f aca="false">Payroll!M$75</f>
        <v>0</v>
      </c>
      <c r="N11" s="95" t="n">
        <f aca="false">Payroll!N$75</f>
        <v>0</v>
      </c>
      <c r="O11" s="78" t="n">
        <f aca="false">AA11</f>
        <v>1</v>
      </c>
      <c r="P11" s="95" t="n">
        <f aca="false">Payroll!P$75</f>
        <v>1</v>
      </c>
      <c r="Q11" s="95" t="n">
        <f aca="false">Payroll!Q$75</f>
        <v>1</v>
      </c>
      <c r="R11" s="95" t="n">
        <f aca="false">Payroll!R$75</f>
        <v>1</v>
      </c>
      <c r="S11" s="95" t="n">
        <f aca="false">Payroll!S$75</f>
        <v>1</v>
      </c>
      <c r="T11" s="95" t="n">
        <f aca="false">Payroll!T$75</f>
        <v>1</v>
      </c>
      <c r="U11" s="95" t="n">
        <f aca="false">Payroll!U$75</f>
        <v>1</v>
      </c>
      <c r="V11" s="95" t="n">
        <f aca="false">Payroll!V$75</f>
        <v>1</v>
      </c>
      <c r="W11" s="95" t="n">
        <f aca="false">Payroll!W$75</f>
        <v>1</v>
      </c>
      <c r="X11" s="95" t="n">
        <f aca="false">Payroll!X$75</f>
        <v>1</v>
      </c>
      <c r="Y11" s="95" t="n">
        <f aca="false">Payroll!Y$75</f>
        <v>1</v>
      </c>
      <c r="Z11" s="95" t="n">
        <f aca="false">Payroll!Z$75</f>
        <v>1</v>
      </c>
      <c r="AA11" s="95" t="n">
        <f aca="false">Payroll!AA$75</f>
        <v>1</v>
      </c>
      <c r="AB11" s="78" t="n">
        <f aca="false">AN11</f>
        <v>2</v>
      </c>
      <c r="AC11" s="95" t="n">
        <f aca="false">Payroll!AC$75</f>
        <v>2</v>
      </c>
      <c r="AD11" s="95" t="n">
        <f aca="false">Payroll!AD$75</f>
        <v>2</v>
      </c>
      <c r="AE11" s="95" t="n">
        <f aca="false">Payroll!AE$75</f>
        <v>2</v>
      </c>
      <c r="AF11" s="95" t="n">
        <f aca="false">Payroll!AF$75</f>
        <v>2</v>
      </c>
      <c r="AG11" s="95" t="n">
        <f aca="false">Payroll!AG$75</f>
        <v>2</v>
      </c>
      <c r="AH11" s="95" t="n">
        <f aca="false">Payroll!AH$75</f>
        <v>2</v>
      </c>
      <c r="AI11" s="95" t="n">
        <f aca="false">Payroll!AI$75</f>
        <v>2</v>
      </c>
      <c r="AJ11" s="95" t="n">
        <f aca="false">Payroll!AJ$75</f>
        <v>2</v>
      </c>
      <c r="AK11" s="95" t="n">
        <f aca="false">Payroll!AK$75</f>
        <v>2</v>
      </c>
      <c r="AL11" s="95" t="n">
        <f aca="false">Payroll!AL$75</f>
        <v>2</v>
      </c>
      <c r="AM11" s="95" t="n">
        <f aca="false">Payroll!AM$75</f>
        <v>2</v>
      </c>
      <c r="AN11" s="95" t="n">
        <f aca="false">Payroll!AN$75</f>
        <v>2</v>
      </c>
      <c r="AO11" s="78" t="n">
        <f aca="false">BA11</f>
        <v>3</v>
      </c>
      <c r="AP11" s="95" t="n">
        <f aca="false">Payroll!AP$75</f>
        <v>3</v>
      </c>
      <c r="AQ11" s="95" t="n">
        <f aca="false">Payroll!AQ$75</f>
        <v>3</v>
      </c>
      <c r="AR11" s="95" t="n">
        <f aca="false">Payroll!AR$75</f>
        <v>3</v>
      </c>
      <c r="AS11" s="95" t="n">
        <f aca="false">Payroll!AS$75</f>
        <v>3</v>
      </c>
      <c r="AT11" s="95" t="n">
        <f aca="false">Payroll!AT$75</f>
        <v>3</v>
      </c>
      <c r="AU11" s="95" t="n">
        <f aca="false">Payroll!AU$75</f>
        <v>3</v>
      </c>
      <c r="AV11" s="95" t="n">
        <f aca="false">Payroll!AV$75</f>
        <v>3</v>
      </c>
      <c r="AW11" s="95" t="n">
        <f aca="false">Payroll!AW$75</f>
        <v>3</v>
      </c>
      <c r="AX11" s="95" t="n">
        <f aca="false">Payroll!AX$75</f>
        <v>3</v>
      </c>
      <c r="AY11" s="95" t="n">
        <f aca="false">Payroll!AY$75</f>
        <v>3</v>
      </c>
      <c r="AZ11" s="95" t="n">
        <f aca="false">Payroll!AZ$75</f>
        <v>3</v>
      </c>
      <c r="BA11" s="95" t="n">
        <f aca="false">Payroll!BA$75</f>
        <v>3</v>
      </c>
      <c r="BB11" s="78" t="n">
        <f aca="false">BN11</f>
        <v>4</v>
      </c>
      <c r="BC11" s="95" t="n">
        <f aca="false">Payroll!BC$75</f>
        <v>4</v>
      </c>
      <c r="BD11" s="95" t="n">
        <f aca="false">Payroll!BD$75</f>
        <v>4</v>
      </c>
      <c r="BE11" s="95" t="n">
        <f aca="false">Payroll!BE$75</f>
        <v>4</v>
      </c>
      <c r="BF11" s="95" t="n">
        <f aca="false">Payroll!BF$75</f>
        <v>4</v>
      </c>
      <c r="BG11" s="95" t="n">
        <f aca="false">Payroll!BG$75</f>
        <v>4</v>
      </c>
      <c r="BH11" s="95" t="n">
        <f aca="false">Payroll!BH$75</f>
        <v>4</v>
      </c>
      <c r="BI11" s="95" t="n">
        <f aca="false">Payroll!BI$75</f>
        <v>4</v>
      </c>
      <c r="BJ11" s="95" t="n">
        <f aca="false">Payroll!BJ$75</f>
        <v>4</v>
      </c>
      <c r="BK11" s="95" t="n">
        <f aca="false">Payroll!BK$75</f>
        <v>4</v>
      </c>
      <c r="BL11" s="95" t="n">
        <f aca="false">Payroll!BL$75</f>
        <v>4</v>
      </c>
      <c r="BM11" s="95" t="n">
        <f aca="false">Payroll!BM$75</f>
        <v>4</v>
      </c>
      <c r="BN11" s="95" t="n">
        <f aca="false">Payroll!BN$75</f>
        <v>4</v>
      </c>
    </row>
    <row r="12" customFormat="false" ht="15" hidden="false" customHeight="false" outlineLevel="0" collapsed="false">
      <c r="A12" s="12" t="s">
        <v>436</v>
      </c>
      <c r="B12" s="78" t="n">
        <f aca="false">N12</f>
        <v>16</v>
      </c>
      <c r="C12" s="95" t="n">
        <f aca="false">'Assumption Setting'!$C$193</f>
        <v>16</v>
      </c>
      <c r="D12" s="95" t="n">
        <f aca="false">'Assumption Setting'!$C$193</f>
        <v>16</v>
      </c>
      <c r="E12" s="95" t="n">
        <f aca="false">'Assumption Setting'!$C$193</f>
        <v>16</v>
      </c>
      <c r="F12" s="95" t="n">
        <f aca="false">'Assumption Setting'!$C$193</f>
        <v>16</v>
      </c>
      <c r="G12" s="95" t="n">
        <f aca="false">'Assumption Setting'!$C$193</f>
        <v>16</v>
      </c>
      <c r="H12" s="95" t="n">
        <f aca="false">'Assumption Setting'!$C$193</f>
        <v>16</v>
      </c>
      <c r="I12" s="95" t="n">
        <f aca="false">'Assumption Setting'!$C$193</f>
        <v>16</v>
      </c>
      <c r="J12" s="95" t="n">
        <f aca="false">'Assumption Setting'!$C$193</f>
        <v>16</v>
      </c>
      <c r="K12" s="95" t="n">
        <f aca="false">'Assumption Setting'!$C$193</f>
        <v>16</v>
      </c>
      <c r="L12" s="95" t="n">
        <f aca="false">'Assumption Setting'!$C$193</f>
        <v>16</v>
      </c>
      <c r="M12" s="95" t="n">
        <f aca="false">'Assumption Setting'!$C$193</f>
        <v>16</v>
      </c>
      <c r="N12" s="95" t="n">
        <f aca="false">'Assumption Setting'!$C$193</f>
        <v>16</v>
      </c>
      <c r="O12" s="78" t="n">
        <f aca="false">AA12</f>
        <v>50</v>
      </c>
      <c r="P12" s="95" t="n">
        <f aca="false">'Assumption Setting'!$D$193</f>
        <v>50</v>
      </c>
      <c r="Q12" s="95" t="n">
        <f aca="false">'Assumption Setting'!$D$193</f>
        <v>50</v>
      </c>
      <c r="R12" s="95" t="n">
        <f aca="false">'Assumption Setting'!$D$193</f>
        <v>50</v>
      </c>
      <c r="S12" s="95" t="n">
        <f aca="false">'Assumption Setting'!$D$193</f>
        <v>50</v>
      </c>
      <c r="T12" s="95" t="n">
        <f aca="false">'Assumption Setting'!$D$193</f>
        <v>50</v>
      </c>
      <c r="U12" s="95" t="n">
        <f aca="false">'Assumption Setting'!$D$193</f>
        <v>50</v>
      </c>
      <c r="V12" s="95" t="n">
        <f aca="false">'Assumption Setting'!$D$193</f>
        <v>50</v>
      </c>
      <c r="W12" s="95" t="n">
        <f aca="false">'Assumption Setting'!$D$193</f>
        <v>50</v>
      </c>
      <c r="X12" s="95" t="n">
        <f aca="false">'Assumption Setting'!$D$193</f>
        <v>50</v>
      </c>
      <c r="Y12" s="95" t="n">
        <f aca="false">'Assumption Setting'!$D$193</f>
        <v>50</v>
      </c>
      <c r="Z12" s="95" t="n">
        <f aca="false">'Assumption Setting'!$D$193</f>
        <v>50</v>
      </c>
      <c r="AA12" s="95" t="n">
        <f aca="false">'Assumption Setting'!$D$193</f>
        <v>50</v>
      </c>
      <c r="AB12" s="78" t="n">
        <f aca="false">AN12</f>
        <v>110</v>
      </c>
      <c r="AC12" s="95" t="n">
        <f aca="false">'Assumption Setting'!$E$193</f>
        <v>110</v>
      </c>
      <c r="AD12" s="95" t="n">
        <f aca="false">'Assumption Setting'!$E$193</f>
        <v>110</v>
      </c>
      <c r="AE12" s="95" t="n">
        <f aca="false">'Assumption Setting'!$E$193</f>
        <v>110</v>
      </c>
      <c r="AF12" s="95" t="n">
        <f aca="false">'Assumption Setting'!$E$193</f>
        <v>110</v>
      </c>
      <c r="AG12" s="95" t="n">
        <f aca="false">'Assumption Setting'!$E$193</f>
        <v>110</v>
      </c>
      <c r="AH12" s="95" t="n">
        <f aca="false">'Assumption Setting'!$E$193</f>
        <v>110</v>
      </c>
      <c r="AI12" s="95" t="n">
        <f aca="false">'Assumption Setting'!$E$193</f>
        <v>110</v>
      </c>
      <c r="AJ12" s="95" t="n">
        <f aca="false">'Assumption Setting'!$E$193</f>
        <v>110</v>
      </c>
      <c r="AK12" s="95" t="n">
        <f aca="false">'Assumption Setting'!$E$193</f>
        <v>110</v>
      </c>
      <c r="AL12" s="95" t="n">
        <f aca="false">'Assumption Setting'!$E$193</f>
        <v>110</v>
      </c>
      <c r="AM12" s="95" t="n">
        <f aca="false">'Assumption Setting'!$E$193</f>
        <v>110</v>
      </c>
      <c r="AN12" s="95" t="n">
        <f aca="false">'Assumption Setting'!$E$193</f>
        <v>110</v>
      </c>
      <c r="AO12" s="78" t="n">
        <f aca="false">BA12</f>
        <v>180</v>
      </c>
      <c r="AP12" s="95" t="n">
        <f aca="false">'Assumption Setting'!$F$193</f>
        <v>180</v>
      </c>
      <c r="AQ12" s="95" t="n">
        <f aca="false">'Assumption Setting'!$F$193</f>
        <v>180</v>
      </c>
      <c r="AR12" s="95" t="n">
        <f aca="false">'Assumption Setting'!$F$193</f>
        <v>180</v>
      </c>
      <c r="AS12" s="95" t="n">
        <f aca="false">'Assumption Setting'!$F$193</f>
        <v>180</v>
      </c>
      <c r="AT12" s="95" t="n">
        <f aca="false">'Assumption Setting'!$F$193</f>
        <v>180</v>
      </c>
      <c r="AU12" s="95" t="n">
        <f aca="false">'Assumption Setting'!$F$193</f>
        <v>180</v>
      </c>
      <c r="AV12" s="95" t="n">
        <f aca="false">'Assumption Setting'!$F$193</f>
        <v>180</v>
      </c>
      <c r="AW12" s="95" t="n">
        <f aca="false">'Assumption Setting'!$F$193</f>
        <v>180</v>
      </c>
      <c r="AX12" s="95" t="n">
        <f aca="false">'Assumption Setting'!$F$193</f>
        <v>180</v>
      </c>
      <c r="AY12" s="95" t="n">
        <f aca="false">'Assumption Setting'!$F$193</f>
        <v>180</v>
      </c>
      <c r="AZ12" s="95" t="n">
        <f aca="false">'Assumption Setting'!$F$193</f>
        <v>180</v>
      </c>
      <c r="BA12" s="95" t="n">
        <f aca="false">'Assumption Setting'!$F$193</f>
        <v>180</v>
      </c>
      <c r="BB12" s="78" t="n">
        <f aca="false">BN12</f>
        <v>250</v>
      </c>
      <c r="BC12" s="95" t="n">
        <f aca="false">'Assumption Setting'!$G$193</f>
        <v>250</v>
      </c>
      <c r="BD12" s="95" t="n">
        <f aca="false">'Assumption Setting'!$G$193</f>
        <v>250</v>
      </c>
      <c r="BE12" s="95" t="n">
        <f aca="false">'Assumption Setting'!$G$193</f>
        <v>250</v>
      </c>
      <c r="BF12" s="95" t="n">
        <f aca="false">'Assumption Setting'!$G$193</f>
        <v>250</v>
      </c>
      <c r="BG12" s="95" t="n">
        <f aca="false">'Assumption Setting'!$G$193</f>
        <v>250</v>
      </c>
      <c r="BH12" s="95" t="n">
        <f aca="false">'Assumption Setting'!$G$193</f>
        <v>250</v>
      </c>
      <c r="BI12" s="95" t="n">
        <f aca="false">'Assumption Setting'!$G$193</f>
        <v>250</v>
      </c>
      <c r="BJ12" s="95" t="n">
        <f aca="false">'Assumption Setting'!$G$193</f>
        <v>250</v>
      </c>
      <c r="BK12" s="95" t="n">
        <f aca="false">'Assumption Setting'!$G$193</f>
        <v>250</v>
      </c>
      <c r="BL12" s="95" t="n">
        <f aca="false">'Assumption Setting'!$G$193</f>
        <v>250</v>
      </c>
      <c r="BM12" s="95" t="n">
        <f aca="false">'Assumption Setting'!$G$193</f>
        <v>250</v>
      </c>
      <c r="BN12" s="95" t="n">
        <f aca="false">'Assumption Setting'!$G$193</f>
        <v>250</v>
      </c>
    </row>
    <row r="13" customFormat="false" ht="15" hidden="false" customHeight="false" outlineLevel="0" collapsed="false">
      <c r="A13" s="12" t="s">
        <v>673</v>
      </c>
      <c r="B13" s="80" t="n">
        <f aca="false">SUM(C13:N13)</f>
        <v>281.239895797789</v>
      </c>
      <c r="C13" s="81" t="n">
        <f aca="false">(('Revenue Streams'!C$7+'Revenue Streams'!C$8)*'Assumption Setting'!$C$150+'Revenue Streams'!C$10*'Assumption Setting'!$C$151+'Revenue Streams'!C$12*'Assumption Setting'!$C$152)*'Assumption Setting'!$C$149</f>
        <v>10</v>
      </c>
      <c r="D13" s="81" t="n">
        <f aca="false">(('Revenue Streams'!D$7+'Revenue Streams'!D$8)*'Assumption Setting'!$C$150+'Revenue Streams'!D$10*'Assumption Setting'!$C$151+'Revenue Streams'!D$12*'Assumption Setting'!$C$152)*'Assumption Setting'!$C$149</f>
        <v>16</v>
      </c>
      <c r="E13" s="81" t="n">
        <f aca="false">(('Revenue Streams'!E$7+'Revenue Streams'!E$8)*'Assumption Setting'!$C$150+'Revenue Streams'!E$10*'Assumption Setting'!$C$151+'Revenue Streams'!E$12*'Assumption Setting'!$C$152)*'Assumption Setting'!$C$149</f>
        <v>20</v>
      </c>
      <c r="F13" s="81" t="n">
        <f aca="false">(('Revenue Streams'!F$7+'Revenue Streams'!F$8)*'Assumption Setting'!$C$150+'Revenue Streams'!F$10*'Assumption Setting'!$C$151+'Revenue Streams'!F$12*'Assumption Setting'!$C$152)*'Assumption Setting'!$C$149</f>
        <v>20</v>
      </c>
      <c r="G13" s="81" t="n">
        <f aca="false">(('Revenue Streams'!G$7+'Revenue Streams'!G$8)*'Assumption Setting'!$C$150+'Revenue Streams'!G$10*'Assumption Setting'!$C$151+'Revenue Streams'!G$12*'Assumption Setting'!$C$152)*'Assumption Setting'!$C$149</f>
        <v>20</v>
      </c>
      <c r="H13" s="81" t="n">
        <f aca="false">(('Revenue Streams'!H$7+'Revenue Streams'!H$8)*'Assumption Setting'!$C$150+'Revenue Streams'!H$10*'Assumption Setting'!$C$151+'Revenue Streams'!H$12*'Assumption Setting'!$C$152)*'Assumption Setting'!$C$149</f>
        <v>20</v>
      </c>
      <c r="I13" s="81" t="n">
        <f aca="false">(('Revenue Streams'!I$7+'Revenue Streams'!I$8)*'Assumption Setting'!$C$150+'Revenue Streams'!I$10*'Assumption Setting'!$C$151+'Revenue Streams'!I$12*'Assumption Setting'!$C$152)*'Assumption Setting'!$C$149</f>
        <v>22.6304712284661</v>
      </c>
      <c r="J13" s="81" t="n">
        <f aca="false">(('Revenue Streams'!J$7+'Revenue Streams'!J$8)*'Assumption Setting'!$C$150+'Revenue Streams'!J$10*'Assumption Setting'!$C$151+'Revenue Streams'!J$12*'Assumption Setting'!$C$152)*'Assumption Setting'!$C$149</f>
        <v>25.2609424569323</v>
      </c>
      <c r="K13" s="81" t="n">
        <f aca="false">(('Revenue Streams'!K$7+'Revenue Streams'!K$8)*'Assumption Setting'!$C$150+'Revenue Streams'!K$10*'Assumption Setting'!$C$151+'Revenue Streams'!K$12*'Assumption Setting'!$C$152)*'Assumption Setting'!$C$149</f>
        <v>27.8914136853984</v>
      </c>
      <c r="L13" s="81" t="n">
        <f aca="false">(('Revenue Streams'!L$7+'Revenue Streams'!L$8)*'Assumption Setting'!$C$150+'Revenue Streams'!L$10*'Assumption Setting'!$C$151+'Revenue Streams'!L$12*'Assumption Setting'!$C$152)*'Assumption Setting'!$C$149</f>
        <v>30.5218849138645</v>
      </c>
      <c r="M13" s="81" t="n">
        <f aca="false">(('Revenue Streams'!M$7+'Revenue Streams'!M$8)*'Assumption Setting'!$C$150+'Revenue Streams'!M$10*'Assumption Setting'!$C$151+'Revenue Streams'!M$12*'Assumption Setting'!$C$152)*'Assumption Setting'!$C$149</f>
        <v>33.1523561423306</v>
      </c>
      <c r="N13" s="81" t="n">
        <f aca="false">(('Revenue Streams'!N$7+'Revenue Streams'!N$8)*'Assumption Setting'!$C$150+'Revenue Streams'!N$10*'Assumption Setting'!$C$151+'Revenue Streams'!N$12*'Assumption Setting'!$C$152)*'Assumption Setting'!$C$149</f>
        <v>35.7828273707968</v>
      </c>
      <c r="O13" s="80" t="n">
        <f aca="false">SUM(P13:AA13)</f>
        <v>625.809211191221</v>
      </c>
      <c r="P13" s="81" t="n">
        <f aca="false">(('Revenue Streams'!P$7+'Revenue Streams'!P$8)*'Assumption Setting'!$C$150+'Revenue Streams'!P$10*'Assumption Setting'!$C$151+'Revenue Streams'!P$12*'Assumption Setting'!$C$152)*'Assumption Setting'!$C$149</f>
        <v>37.8313590318542</v>
      </c>
      <c r="Q13" s="81" t="n">
        <f aca="false">(('Revenue Streams'!Q$7+'Revenue Streams'!Q$8)*'Assumption Setting'!$C$150+'Revenue Streams'!Q$10*'Assumption Setting'!$C$151+'Revenue Streams'!Q$12*'Assumption Setting'!$C$152)*'Assumption Setting'!$C$149</f>
        <v>39.8798906929117</v>
      </c>
      <c r="R13" s="81" t="n">
        <f aca="false">(('Revenue Streams'!R$7+'Revenue Streams'!R$8)*'Assumption Setting'!$C$150+'Revenue Streams'!R$10*'Assumption Setting'!$C$151+'Revenue Streams'!R$12*'Assumption Setting'!$C$152)*'Assumption Setting'!$C$149</f>
        <v>42.1332755200749</v>
      </c>
      <c r="S13" s="81" t="n">
        <f aca="false">(('Revenue Streams'!S$7+'Revenue Streams'!S$8)*'Assumption Setting'!$C$150+'Revenue Streams'!S$10*'Assumption Setting'!$C$151+'Revenue Streams'!S$12*'Assumption Setting'!$C$152)*'Assumption Setting'!$C$149</f>
        <v>44.3866603472381</v>
      </c>
      <c r="T13" s="81" t="n">
        <f aca="false">(('Revenue Streams'!T$7+'Revenue Streams'!T$8)*'Assumption Setting'!$C$150+'Revenue Streams'!T$10*'Assumption Setting'!$C$151+'Revenue Streams'!T$12*'Assumption Setting'!$C$152)*'Assumption Setting'!$C$149</f>
        <v>46.6400451744013</v>
      </c>
      <c r="U13" s="81" t="n">
        <f aca="false">(('Revenue Streams'!U$7+'Revenue Streams'!U$8)*'Assumption Setting'!$C$150+'Revenue Streams'!U$10*'Assumption Setting'!$C$151+'Revenue Streams'!U$12*'Assumption Setting'!$C$152)*'Assumption Setting'!$C$149</f>
        <v>48.8934300015645</v>
      </c>
      <c r="V13" s="81" t="n">
        <f aca="false">(('Revenue Streams'!V$7+'Revenue Streams'!V$8)*'Assumption Setting'!$C$150+'Revenue Streams'!V$10*'Assumption Setting'!$C$151+'Revenue Streams'!V$12*'Assumption Setting'!$C$152)*'Assumption Setting'!$C$149</f>
        <v>52.3545714498401</v>
      </c>
      <c r="W13" s="81" t="n">
        <f aca="false">(('Revenue Streams'!W$7+'Revenue Streams'!W$8)*'Assumption Setting'!$C$150+'Revenue Streams'!W$10*'Assumption Setting'!$C$151+'Revenue Streams'!W$12*'Assumption Setting'!$C$152)*'Assumption Setting'!$C$149</f>
        <v>55.8157128981158</v>
      </c>
      <c r="X13" s="81" t="n">
        <f aca="false">(('Revenue Streams'!X$7+'Revenue Streams'!X$8)*'Assumption Setting'!$C$150+'Revenue Streams'!X$10*'Assumption Setting'!$C$151+'Revenue Streams'!X$12*'Assumption Setting'!$C$152)*'Assumption Setting'!$C$149</f>
        <v>59.2768543463915</v>
      </c>
      <c r="Y13" s="81" t="n">
        <f aca="false">(('Revenue Streams'!Y$7+'Revenue Streams'!Y$8)*'Assumption Setting'!$C$150+'Revenue Streams'!Y$10*'Assumption Setting'!$C$151+'Revenue Streams'!Y$12*'Assumption Setting'!$C$152)*'Assumption Setting'!$C$149</f>
        <v>62.7379957946672</v>
      </c>
      <c r="Z13" s="81" t="n">
        <f aca="false">(('Revenue Streams'!Z$7+'Revenue Streams'!Z$8)*'Assumption Setting'!$C$150+'Revenue Streams'!Z$10*'Assumption Setting'!$C$151+'Revenue Streams'!Z$12*'Assumption Setting'!$C$152)*'Assumption Setting'!$C$149</f>
        <v>66.1991372429429</v>
      </c>
      <c r="AA13" s="81" t="n">
        <f aca="false">(('Revenue Streams'!AA$7+'Revenue Streams'!AA$8)*'Assumption Setting'!$C$150+'Revenue Streams'!AA$10*'Assumption Setting'!$C$151+'Revenue Streams'!AA$12*'Assumption Setting'!$C$152)*'Assumption Setting'!$C$149</f>
        <v>69.6602786912186</v>
      </c>
      <c r="AB13" s="80" t="n">
        <f aca="false">SUM(AC13:AN13)</f>
        <v>879.65621796563</v>
      </c>
      <c r="AC13" s="81" t="n">
        <f aca="false">(('Revenue Streams'!AC$7+'Revenue Streams'!AC$8)*'Assumption Setting'!$C$150+'Revenue Streams'!AC$10*'Assumption Setting'!$C$151+'Revenue Streams'!AC$12*'Assumption Setting'!$C$152)*'Assumption Setting'!$C$149</f>
        <v>63.1009619276217</v>
      </c>
      <c r="AD13" s="81" t="n">
        <f aca="false">(('Revenue Streams'!AD$7+'Revenue Streams'!AD$8)*'Assumption Setting'!$C$150+'Revenue Streams'!AD$10*'Assumption Setting'!$C$151+'Revenue Streams'!AD$12*'Assumption Setting'!$C$152)*'Assumption Setting'!$C$149</f>
        <v>60.5416451640248</v>
      </c>
      <c r="AE13" s="81" t="n">
        <f aca="false">(('Revenue Streams'!AE$7+'Revenue Streams'!AE$8)*'Assumption Setting'!$C$150+'Revenue Streams'!AE$10*'Assumption Setting'!$C$151+'Revenue Streams'!AE$12*'Assumption Setting'!$C$152)*'Assumption Setting'!$C$149</f>
        <v>60.2951177855554</v>
      </c>
      <c r="AF13" s="81" t="n">
        <f aca="false">(('Revenue Streams'!AF$7+'Revenue Streams'!AF$8)*'Assumption Setting'!$C$150+'Revenue Streams'!AF$10*'Assumption Setting'!$C$151+'Revenue Streams'!AF$12*'Assumption Setting'!$C$152)*'Assumption Setting'!$C$149</f>
        <v>64.0485904070861</v>
      </c>
      <c r="AG13" s="81" t="n">
        <f aca="false">(('Revenue Streams'!AG$7+'Revenue Streams'!AG$8)*'Assumption Setting'!$C$150+'Revenue Streams'!AG$10*'Assumption Setting'!$C$151+'Revenue Streams'!AG$12*'Assumption Setting'!$C$152)*'Assumption Setting'!$C$149</f>
        <v>67.8020630286167</v>
      </c>
      <c r="AH13" s="81" t="n">
        <f aca="false">(('Revenue Streams'!AH$7+'Revenue Streams'!AH$8)*'Assumption Setting'!$C$150+'Revenue Streams'!AH$10*'Assumption Setting'!$C$151+'Revenue Streams'!AH$12*'Assumption Setting'!$C$152)*'Assumption Setting'!$C$149</f>
        <v>71.5555356501473</v>
      </c>
      <c r="AI13" s="81" t="n">
        <f aca="false">(('Revenue Streams'!AI$7+'Revenue Streams'!AI$8)*'Assumption Setting'!$C$150+'Revenue Streams'!AI$10*'Assumption Setting'!$C$151+'Revenue Streams'!AI$12*'Assumption Setting'!$C$152)*'Assumption Setting'!$C$149</f>
        <v>74.5545399407042</v>
      </c>
      <c r="AJ13" s="81" t="n">
        <f aca="false">(('Revenue Streams'!AJ$7+'Revenue Streams'!AJ$8)*'Assumption Setting'!$C$150+'Revenue Streams'!AJ$10*'Assumption Setting'!$C$151+'Revenue Streams'!AJ$12*'Assumption Setting'!$C$152)*'Assumption Setting'!$C$149</f>
        <v>77.553544231261</v>
      </c>
      <c r="AK13" s="81" t="n">
        <f aca="false">(('Revenue Streams'!AK$7+'Revenue Streams'!AK$8)*'Assumption Setting'!$C$150+'Revenue Streams'!AK$10*'Assumption Setting'!$C$151+'Revenue Streams'!AK$12*'Assumption Setting'!$C$152)*'Assumption Setting'!$C$149</f>
        <v>80.5525485218179</v>
      </c>
      <c r="AL13" s="81" t="n">
        <f aca="false">(('Revenue Streams'!AL$7+'Revenue Streams'!AL$8)*'Assumption Setting'!$C$150+'Revenue Streams'!AL$10*'Assumption Setting'!$C$151+'Revenue Streams'!AL$12*'Assumption Setting'!$C$152)*'Assumption Setting'!$C$149</f>
        <v>83.5515528123747</v>
      </c>
      <c r="AM13" s="81" t="n">
        <f aca="false">(('Revenue Streams'!AM$7+'Revenue Streams'!AM$8)*'Assumption Setting'!$C$150+'Revenue Streams'!AM$10*'Assumption Setting'!$C$151+'Revenue Streams'!AM$12*'Assumption Setting'!$C$152)*'Assumption Setting'!$C$149</f>
        <v>86.5505571029316</v>
      </c>
      <c r="AN13" s="81" t="n">
        <f aca="false">(('Revenue Streams'!AN$7+'Revenue Streams'!AN$8)*'Assumption Setting'!$C$150+'Revenue Streams'!AN$10*'Assumption Setting'!$C$151+'Revenue Streams'!AN$12*'Assumption Setting'!$C$152)*'Assumption Setting'!$C$149</f>
        <v>89.5495613934884</v>
      </c>
      <c r="AO13" s="80" t="n">
        <f aca="false">SUM(AP13:BA13)</f>
        <v>1366.73939155007</v>
      </c>
      <c r="AP13" s="81" t="n">
        <f aca="false">(('Revenue Streams'!AP$7+'Revenue Streams'!AP$8)*'Assumption Setting'!$C$150+'Revenue Streams'!AP$10*'Assumption Setting'!$C$151+'Revenue Streams'!AP$12*'Assumption Setting'!$C$152)*'Assumption Setting'!$C$149</f>
        <v>93.130505251454</v>
      </c>
      <c r="AQ13" s="81" t="n">
        <f aca="false">(('Revenue Streams'!AQ$7+'Revenue Streams'!AQ$8)*'Assumption Setting'!$C$150+'Revenue Streams'!AQ$10*'Assumption Setting'!$C$151+'Revenue Streams'!AQ$12*'Assumption Setting'!$C$152)*'Assumption Setting'!$C$149</f>
        <v>96.7114491094195</v>
      </c>
      <c r="AR13" s="81" t="n">
        <f aca="false">(('Revenue Streams'!AR$7+'Revenue Streams'!AR$8)*'Assumption Setting'!$C$150+'Revenue Streams'!AR$10*'Assumption Setting'!$C$151+'Revenue Streams'!AR$12*'Assumption Setting'!$C$152)*'Assumption Setting'!$C$149</f>
        <v>100.322101281239</v>
      </c>
      <c r="AS13" s="81" t="n">
        <f aca="false">(('Revenue Streams'!AS$7+'Revenue Streams'!AS$8)*'Assumption Setting'!$C$150+'Revenue Streams'!AS$10*'Assumption Setting'!$C$151+'Revenue Streams'!AS$12*'Assumption Setting'!$C$152)*'Assumption Setting'!$C$149</f>
        <v>103.932753453058</v>
      </c>
      <c r="AT13" s="81" t="n">
        <f aca="false">(('Revenue Streams'!AT$7+'Revenue Streams'!AT$8)*'Assumption Setting'!$C$150+'Revenue Streams'!AT$10*'Assumption Setting'!$C$151+'Revenue Streams'!AT$12*'Assumption Setting'!$C$152)*'Assumption Setting'!$C$149</f>
        <v>107.543405624877</v>
      </c>
      <c r="AU13" s="81" t="n">
        <f aca="false">(('Revenue Streams'!AU$7+'Revenue Streams'!AU$8)*'Assumption Setting'!$C$150+'Revenue Streams'!AU$10*'Assumption Setting'!$C$151+'Revenue Streams'!AU$12*'Assumption Setting'!$C$152)*'Assumption Setting'!$C$149</f>
        <v>111.154057796696</v>
      </c>
      <c r="AV13" s="81" t="n">
        <f aca="false">(('Revenue Streams'!AV$7+'Revenue Streams'!AV$8)*'Assumption Setting'!$C$150+'Revenue Streams'!AV$10*'Assumption Setting'!$C$151+'Revenue Streams'!AV$12*'Assumption Setting'!$C$152)*'Assumption Setting'!$C$149</f>
        <v>115.297904094465</v>
      </c>
      <c r="AW13" s="81" t="n">
        <f aca="false">(('Revenue Streams'!AW$7+'Revenue Streams'!AW$8)*'Assumption Setting'!$C$150+'Revenue Streams'!AW$10*'Assumption Setting'!$C$151+'Revenue Streams'!AW$12*'Assumption Setting'!$C$152)*'Assumption Setting'!$C$149</f>
        <v>119.441750392234</v>
      </c>
      <c r="AX13" s="81" t="n">
        <f aca="false">(('Revenue Streams'!AX$7+'Revenue Streams'!AX$8)*'Assumption Setting'!$C$150+'Revenue Streams'!AX$10*'Assumption Setting'!$C$151+'Revenue Streams'!AX$12*'Assumption Setting'!$C$152)*'Assumption Setting'!$C$149</f>
        <v>123.585596690003</v>
      </c>
      <c r="AY13" s="81" t="n">
        <f aca="false">(('Revenue Streams'!AY$7+'Revenue Streams'!AY$8)*'Assumption Setting'!$C$150+'Revenue Streams'!AY$10*'Assumption Setting'!$C$151+'Revenue Streams'!AY$12*'Assumption Setting'!$C$152)*'Assumption Setting'!$C$149</f>
        <v>127.729442987773</v>
      </c>
      <c r="AZ13" s="81" t="n">
        <f aca="false">(('Revenue Streams'!AZ$7+'Revenue Streams'!AZ$8)*'Assumption Setting'!$C$150+'Revenue Streams'!AZ$10*'Assumption Setting'!$C$151+'Revenue Streams'!AZ$12*'Assumption Setting'!$C$152)*'Assumption Setting'!$C$149</f>
        <v>131.873289285542</v>
      </c>
      <c r="BA13" s="81" t="n">
        <f aca="false">(('Revenue Streams'!BA$7+'Revenue Streams'!BA$8)*'Assumption Setting'!$C$150+'Revenue Streams'!BA$10*'Assumption Setting'!$C$151+'Revenue Streams'!BA$12*'Assumption Setting'!$C$152)*'Assumption Setting'!$C$149</f>
        <v>136.017135583311</v>
      </c>
      <c r="BB13" s="80" t="n">
        <f aca="false">SUM(BC13:BN13)</f>
        <v>1955.10518942118</v>
      </c>
      <c r="BC13" s="81" t="n">
        <f aca="false">(('Revenue Streams'!BC$7+'Revenue Streams'!BC$8)*'Assumption Setting'!$C$150+'Revenue Streams'!BC$10*'Assumption Setting'!$C$151+'Revenue Streams'!BC$12*'Assumption Setting'!$C$152)*'Assumption Setting'!$C$149</f>
        <v>140.181440092953</v>
      </c>
      <c r="BD13" s="81" t="n">
        <f aca="false">(('Revenue Streams'!BD$7+'Revenue Streams'!BD$8)*'Assumption Setting'!$C$150+'Revenue Streams'!BD$10*'Assumption Setting'!$C$151+'Revenue Streams'!BD$12*'Assumption Setting'!$C$152)*'Assumption Setting'!$C$149</f>
        <v>144.345744602595</v>
      </c>
      <c r="BE13" s="81" t="n">
        <f aca="false">(('Revenue Streams'!BE$7+'Revenue Streams'!BE$8)*'Assumption Setting'!$C$150+'Revenue Streams'!BE$10*'Assumption Setting'!$C$151+'Revenue Streams'!BE$12*'Assumption Setting'!$C$152)*'Assumption Setting'!$C$149</f>
        <v>148.501459236951</v>
      </c>
      <c r="BF13" s="81" t="n">
        <f aca="false">(('Revenue Streams'!BF$7+'Revenue Streams'!BF$8)*'Assumption Setting'!$C$150+'Revenue Streams'!BF$10*'Assumption Setting'!$C$151+'Revenue Streams'!BF$12*'Assumption Setting'!$C$152)*'Assumption Setting'!$C$149</f>
        <v>152.657173871307</v>
      </c>
      <c r="BG13" s="81" t="n">
        <f aca="false">(('Revenue Streams'!BG$7+'Revenue Streams'!BG$8)*'Assumption Setting'!$C$150+'Revenue Streams'!BG$10*'Assumption Setting'!$C$151+'Revenue Streams'!BG$12*'Assumption Setting'!$C$152)*'Assumption Setting'!$C$149</f>
        <v>156.812888505663</v>
      </c>
      <c r="BH13" s="81" t="n">
        <f aca="false">(('Revenue Streams'!BH$7+'Revenue Streams'!BH$8)*'Assumption Setting'!$C$150+'Revenue Streams'!BH$10*'Assumption Setting'!$C$151+'Revenue Streams'!BH$12*'Assumption Setting'!$C$152)*'Assumption Setting'!$C$149</f>
        <v>160.968603140019</v>
      </c>
      <c r="BI13" s="81" t="n">
        <f aca="false">(('Revenue Streams'!BI$7+'Revenue Streams'!BI$8)*'Assumption Setting'!$C$150+'Revenue Streams'!BI$10*'Assumption Setting'!$C$151+'Revenue Streams'!BI$12*'Assumption Setting'!$C$152)*'Assumption Setting'!$C$149</f>
        <v>165.055567955808</v>
      </c>
      <c r="BJ13" s="81" t="n">
        <f aca="false">(('Revenue Streams'!BJ$7+'Revenue Streams'!BJ$8)*'Assumption Setting'!$C$150+'Revenue Streams'!BJ$10*'Assumption Setting'!$C$151+'Revenue Streams'!BJ$12*'Assumption Setting'!$C$152)*'Assumption Setting'!$C$149</f>
        <v>169.142532771598</v>
      </c>
      <c r="BK13" s="81" t="n">
        <f aca="false">(('Revenue Streams'!BK$7+'Revenue Streams'!BK$8)*'Assumption Setting'!$C$150+'Revenue Streams'!BK$10*'Assumption Setting'!$C$151+'Revenue Streams'!BK$12*'Assumption Setting'!$C$152)*'Assumption Setting'!$C$149</f>
        <v>173.229497587387</v>
      </c>
      <c r="BL13" s="81" t="n">
        <f aca="false">(('Revenue Streams'!BL$7+'Revenue Streams'!BL$8)*'Assumption Setting'!$C$150+'Revenue Streams'!BL$10*'Assumption Setting'!$C$151+'Revenue Streams'!BL$12*'Assumption Setting'!$C$152)*'Assumption Setting'!$C$149</f>
        <v>177.316462403176</v>
      </c>
      <c r="BM13" s="81" t="n">
        <f aca="false">(('Revenue Streams'!BM$7+'Revenue Streams'!BM$8)*'Assumption Setting'!$C$150+'Revenue Streams'!BM$10*'Assumption Setting'!$C$151+'Revenue Streams'!BM$12*'Assumption Setting'!$C$152)*'Assumption Setting'!$C$149</f>
        <v>181.403427218965</v>
      </c>
      <c r="BN13" s="81" t="n">
        <f aca="false">(('Revenue Streams'!BN$7+'Revenue Streams'!BN$8)*'Assumption Setting'!$C$150+'Revenue Streams'!BN$10*'Assumption Setting'!$C$151+'Revenue Streams'!BN$12*'Assumption Setting'!$C$152)*'Assumption Setting'!$C$149</f>
        <v>185.490392034754</v>
      </c>
    </row>
    <row r="14" customFormat="false" ht="15" hidden="false" customHeight="false" outlineLevel="0" collapsed="false">
      <c r="A14" s="12" t="s">
        <v>674</v>
      </c>
      <c r="B14" s="80" t="n">
        <f aca="false">MAX(C14:N14)</f>
        <v>10.2236649630848</v>
      </c>
      <c r="C14" s="81" t="n">
        <f aca="false">IFERROR(C13/'Assumption Setting'!$C$153,0)</f>
        <v>2.85714285714286</v>
      </c>
      <c r="D14" s="81" t="n">
        <f aca="false">IFERROR(D13/'Assumption Setting'!$C$153,0)</f>
        <v>4.57142857142857</v>
      </c>
      <c r="E14" s="81" t="n">
        <f aca="false">IFERROR(E13/'Assumption Setting'!$C$153,0)</f>
        <v>5.71428571428571</v>
      </c>
      <c r="F14" s="81" t="n">
        <f aca="false">IFERROR(F13/'Assumption Setting'!$C$153,0)</f>
        <v>5.71428571428571</v>
      </c>
      <c r="G14" s="81" t="n">
        <f aca="false">IFERROR(G13/'Assumption Setting'!$C$153,0)</f>
        <v>5.71428571428571</v>
      </c>
      <c r="H14" s="81" t="n">
        <f aca="false">IFERROR(H13/'Assumption Setting'!$C$153,0)</f>
        <v>5.71428571428571</v>
      </c>
      <c r="I14" s="81" t="n">
        <f aca="false">IFERROR(I13/'Assumption Setting'!$C$153,0)</f>
        <v>6.46584892241889</v>
      </c>
      <c r="J14" s="81" t="n">
        <f aca="false">IFERROR(J13/'Assumption Setting'!$C$153,0)</f>
        <v>7.21741213055207</v>
      </c>
      <c r="K14" s="81" t="n">
        <f aca="false">IFERROR(K13/'Assumption Setting'!$C$153,0)</f>
        <v>7.96897533868525</v>
      </c>
      <c r="L14" s="81" t="n">
        <f aca="false">IFERROR(L13/'Assumption Setting'!$C$153,0)</f>
        <v>8.72053854681843</v>
      </c>
      <c r="M14" s="81" t="n">
        <f aca="false">IFERROR(M13/'Assumption Setting'!$C$153,0)</f>
        <v>9.47210175495161</v>
      </c>
      <c r="N14" s="81" t="n">
        <f aca="false">IFERROR(N13/'Assumption Setting'!$C$153,0)</f>
        <v>10.2236649630848</v>
      </c>
      <c r="O14" s="80" t="n">
        <f aca="false">MAX(P14:AA14)</f>
        <v>19.9029367689196</v>
      </c>
      <c r="P14" s="81" t="n">
        <f aca="false">IFERROR(P13/'Assumption Setting'!$C$153,0)</f>
        <v>10.8089597233869</v>
      </c>
      <c r="Q14" s="81" t="n">
        <f aca="false">IFERROR(Q13/'Assumption Setting'!$C$153,0)</f>
        <v>11.394254483689</v>
      </c>
      <c r="R14" s="81" t="n">
        <f aca="false">IFERROR(R13/'Assumption Setting'!$C$153,0)</f>
        <v>12.0380787200214</v>
      </c>
      <c r="S14" s="81" t="n">
        <f aca="false">IFERROR(S13/'Assumption Setting'!$C$153,0)</f>
        <v>12.6819029563537</v>
      </c>
      <c r="T14" s="81" t="n">
        <f aca="false">IFERROR(T13/'Assumption Setting'!$C$153,0)</f>
        <v>13.3257271926861</v>
      </c>
      <c r="U14" s="81" t="n">
        <f aca="false">IFERROR(U13/'Assumption Setting'!$C$153,0)</f>
        <v>13.9695514290184</v>
      </c>
      <c r="V14" s="81" t="n">
        <f aca="false">IFERROR(V13/'Assumption Setting'!$C$153,0)</f>
        <v>14.9584489856686</v>
      </c>
      <c r="W14" s="81" t="n">
        <f aca="false">IFERROR(W13/'Assumption Setting'!$C$153,0)</f>
        <v>15.9473465423188</v>
      </c>
      <c r="X14" s="81" t="n">
        <f aca="false">IFERROR(X13/'Assumption Setting'!$C$153,0)</f>
        <v>16.936244098969</v>
      </c>
      <c r="Y14" s="81" t="n">
        <f aca="false">IFERROR(Y13/'Assumption Setting'!$C$153,0)</f>
        <v>17.9251416556192</v>
      </c>
      <c r="Z14" s="81" t="n">
        <f aca="false">IFERROR(Z13/'Assumption Setting'!$C$153,0)</f>
        <v>18.9140392122694</v>
      </c>
      <c r="AA14" s="81" t="n">
        <f aca="false">IFERROR(AA13/'Assumption Setting'!$C$153,0)</f>
        <v>19.9029367689196</v>
      </c>
      <c r="AB14" s="80" t="n">
        <f aca="false">MAX(AC14:AN14)</f>
        <v>25.5855889695681</v>
      </c>
      <c r="AC14" s="81" t="n">
        <f aca="false">IFERROR(AC13/'Assumption Setting'!$C$153,0)</f>
        <v>18.0288462650348</v>
      </c>
      <c r="AD14" s="81" t="n">
        <f aca="false">IFERROR(AD13/'Assumption Setting'!$C$153,0)</f>
        <v>17.2976129040071</v>
      </c>
      <c r="AE14" s="81" t="n">
        <f aca="false">IFERROR(AE13/'Assumption Setting'!$C$153,0)</f>
        <v>17.2271765101587</v>
      </c>
      <c r="AF14" s="81" t="n">
        <f aca="false">IFERROR(AF13/'Assumption Setting'!$C$153,0)</f>
        <v>18.2995972591674</v>
      </c>
      <c r="AG14" s="81" t="n">
        <f aca="false">IFERROR(AG13/'Assumption Setting'!$C$153,0)</f>
        <v>19.3720180081762</v>
      </c>
      <c r="AH14" s="81" t="n">
        <f aca="false">IFERROR(AH13/'Assumption Setting'!$C$153,0)</f>
        <v>20.444438757185</v>
      </c>
      <c r="AI14" s="81" t="n">
        <f aca="false">IFERROR(AI13/'Assumption Setting'!$C$153,0)</f>
        <v>21.3012971259155</v>
      </c>
      <c r="AJ14" s="81" t="n">
        <f aca="false">IFERROR(AJ13/'Assumption Setting'!$C$153,0)</f>
        <v>22.158155494646</v>
      </c>
      <c r="AK14" s="81" t="n">
        <f aca="false">IFERROR(AK13/'Assumption Setting'!$C$153,0)</f>
        <v>23.0150138633765</v>
      </c>
      <c r="AL14" s="81" t="n">
        <f aca="false">IFERROR(AL13/'Assumption Setting'!$C$153,0)</f>
        <v>23.8718722321071</v>
      </c>
      <c r="AM14" s="81" t="n">
        <f aca="false">IFERROR(AM13/'Assumption Setting'!$C$153,0)</f>
        <v>24.7287306008376</v>
      </c>
      <c r="AN14" s="81" t="n">
        <f aca="false">IFERROR(AN13/'Assumption Setting'!$C$153,0)</f>
        <v>25.5855889695681</v>
      </c>
      <c r="AO14" s="80" t="n">
        <f aca="false">MAX(AP14:BA14)</f>
        <v>38.8620387380889</v>
      </c>
      <c r="AP14" s="81" t="n">
        <f aca="false">IFERROR(AP13/'Assumption Setting'!$C$153,0)</f>
        <v>26.6087157861297</v>
      </c>
      <c r="AQ14" s="81" t="n">
        <f aca="false">IFERROR(AQ13/'Assumption Setting'!$C$153,0)</f>
        <v>27.6318426026913</v>
      </c>
      <c r="AR14" s="81" t="n">
        <f aca="false">IFERROR(AR13/'Assumption Setting'!$C$153,0)</f>
        <v>28.6634575089253</v>
      </c>
      <c r="AS14" s="81" t="n">
        <f aca="false">IFERROR(AS13/'Assumption Setting'!$C$153,0)</f>
        <v>29.6950724151593</v>
      </c>
      <c r="AT14" s="81" t="n">
        <f aca="false">IFERROR(AT13/'Assumption Setting'!$C$153,0)</f>
        <v>30.7266873213933</v>
      </c>
      <c r="AU14" s="81" t="n">
        <f aca="false">IFERROR(AU13/'Assumption Setting'!$C$153,0)</f>
        <v>31.7583022276274</v>
      </c>
      <c r="AV14" s="81" t="n">
        <f aca="false">IFERROR(AV13/'Assumption Setting'!$C$153,0)</f>
        <v>32.9422583127043</v>
      </c>
      <c r="AW14" s="81" t="n">
        <f aca="false">IFERROR(AW13/'Assumption Setting'!$C$153,0)</f>
        <v>34.1262143977812</v>
      </c>
      <c r="AX14" s="81" t="n">
        <f aca="false">IFERROR(AX13/'Assumption Setting'!$C$153,0)</f>
        <v>35.3101704828581</v>
      </c>
      <c r="AY14" s="81" t="n">
        <f aca="false">IFERROR(AY13/'Assumption Setting'!$C$153,0)</f>
        <v>36.4941265679351</v>
      </c>
      <c r="AZ14" s="81" t="n">
        <f aca="false">IFERROR(AZ13/'Assumption Setting'!$C$153,0)</f>
        <v>37.678082653012</v>
      </c>
      <c r="BA14" s="81" t="n">
        <f aca="false">IFERROR(BA13/'Assumption Setting'!$C$153,0)</f>
        <v>38.8620387380889</v>
      </c>
      <c r="BB14" s="80" t="n">
        <f aca="false">MAX(BC14:BN14)</f>
        <v>52.9972548670725</v>
      </c>
      <c r="BC14" s="81" t="n">
        <f aca="false">IFERROR(BC13/'Assumption Setting'!$C$153,0)</f>
        <v>40.051840026558</v>
      </c>
      <c r="BD14" s="81" t="n">
        <f aca="false">IFERROR(BD13/'Assumption Setting'!$C$153,0)</f>
        <v>41.2416413150271</v>
      </c>
      <c r="BE14" s="81" t="n">
        <f aca="false">IFERROR(BE13/'Assumption Setting'!$C$153,0)</f>
        <v>42.4289883534146</v>
      </c>
      <c r="BF14" s="81" t="n">
        <f aca="false">IFERROR(BF13/'Assumption Setting'!$C$153,0)</f>
        <v>43.616335391802</v>
      </c>
      <c r="BG14" s="81" t="n">
        <f aca="false">IFERROR(BG13/'Assumption Setting'!$C$153,0)</f>
        <v>44.8036824301895</v>
      </c>
      <c r="BH14" s="81" t="n">
        <f aca="false">IFERROR(BH13/'Assumption Setting'!$C$153,0)</f>
        <v>45.991029468577</v>
      </c>
      <c r="BI14" s="81" t="n">
        <f aca="false">IFERROR(BI13/'Assumption Setting'!$C$153,0)</f>
        <v>47.1587337016596</v>
      </c>
      <c r="BJ14" s="81" t="n">
        <f aca="false">IFERROR(BJ13/'Assumption Setting'!$C$153,0)</f>
        <v>48.3264379347422</v>
      </c>
      <c r="BK14" s="81" t="n">
        <f aca="false">IFERROR(BK13/'Assumption Setting'!$C$153,0)</f>
        <v>49.4941421678248</v>
      </c>
      <c r="BL14" s="81" t="n">
        <f aca="false">IFERROR(BL13/'Assumption Setting'!$C$153,0)</f>
        <v>50.6618464009073</v>
      </c>
      <c r="BM14" s="81" t="n">
        <f aca="false">IFERROR(BM13/'Assumption Setting'!$C$153,0)</f>
        <v>51.8295506339899</v>
      </c>
      <c r="BN14" s="81" t="n">
        <f aca="false">IFERROR(BN13/'Assumption Setting'!$C$153,0)</f>
        <v>52.9972548670725</v>
      </c>
    </row>
    <row r="15" customFormat="false" ht="15" hidden="false" customHeight="false" outlineLevel="0" collapsed="false">
      <c r="A15" s="69" t="s">
        <v>675</v>
      </c>
      <c r="B15" s="78" t="n">
        <f aca="false">N15</f>
        <v>13</v>
      </c>
      <c r="C15" s="94" t="n">
        <f aca="false">ROUNDUP(C14*'Assumption Setting'!$C$154,0)</f>
        <v>4</v>
      </c>
      <c r="D15" s="94" t="n">
        <f aca="false">ROUNDUP(D14*'Assumption Setting'!$C$154,0)</f>
        <v>6</v>
      </c>
      <c r="E15" s="94" t="n">
        <f aca="false">ROUNDUP(E14*'Assumption Setting'!$C$154,0)</f>
        <v>7</v>
      </c>
      <c r="F15" s="94" t="n">
        <f aca="false">ROUNDUP(F14*'Assumption Setting'!$C$154,0)</f>
        <v>7</v>
      </c>
      <c r="G15" s="94" t="n">
        <f aca="false">ROUNDUP(G14*'Assumption Setting'!$C$154,0)</f>
        <v>7</v>
      </c>
      <c r="H15" s="94" t="n">
        <f aca="false">ROUNDUP(H14*'Assumption Setting'!$C$154,0)</f>
        <v>7</v>
      </c>
      <c r="I15" s="94" t="n">
        <f aca="false">ROUNDUP(I14*'Assumption Setting'!$C$154,0)</f>
        <v>8</v>
      </c>
      <c r="J15" s="94" t="n">
        <f aca="false">ROUNDUP(J14*'Assumption Setting'!$C$154,0)</f>
        <v>9</v>
      </c>
      <c r="K15" s="94" t="n">
        <f aca="false">ROUNDUP(K14*'Assumption Setting'!$C$154,0)</f>
        <v>10</v>
      </c>
      <c r="L15" s="94" t="n">
        <f aca="false">ROUNDUP(L14*'Assumption Setting'!$C$154,0)</f>
        <v>11</v>
      </c>
      <c r="M15" s="94" t="n">
        <f aca="false">ROUNDUP(M14*'Assumption Setting'!$C$154,0)</f>
        <v>12</v>
      </c>
      <c r="N15" s="94" t="n">
        <f aca="false">ROUNDUP(N14*'Assumption Setting'!$C$154,0)</f>
        <v>13</v>
      </c>
      <c r="O15" s="78" t="n">
        <f aca="false">AA15</f>
        <v>24</v>
      </c>
      <c r="P15" s="94" t="n">
        <f aca="false">ROUNDUP(P14*'Assumption Setting'!$C$154,0)</f>
        <v>13</v>
      </c>
      <c r="Q15" s="94" t="n">
        <f aca="false">ROUNDUP(Q14*'Assumption Setting'!$C$154,0)</f>
        <v>14</v>
      </c>
      <c r="R15" s="94" t="n">
        <f aca="false">ROUNDUP(R14*'Assumption Setting'!$C$154,0)</f>
        <v>15</v>
      </c>
      <c r="S15" s="94" t="n">
        <f aca="false">ROUNDUP(S14*'Assumption Setting'!$C$154,0)</f>
        <v>16</v>
      </c>
      <c r="T15" s="94" t="n">
        <f aca="false">ROUNDUP(T14*'Assumption Setting'!$C$154,0)</f>
        <v>16</v>
      </c>
      <c r="U15" s="94" t="n">
        <f aca="false">ROUNDUP(U14*'Assumption Setting'!$C$154,0)</f>
        <v>17</v>
      </c>
      <c r="V15" s="94" t="n">
        <f aca="false">ROUNDUP(V14*'Assumption Setting'!$C$154,0)</f>
        <v>18</v>
      </c>
      <c r="W15" s="94" t="n">
        <f aca="false">ROUNDUP(W14*'Assumption Setting'!$C$154,0)</f>
        <v>20</v>
      </c>
      <c r="X15" s="94" t="n">
        <f aca="false">ROUNDUP(X14*'Assumption Setting'!$C$154,0)</f>
        <v>21</v>
      </c>
      <c r="Y15" s="94" t="n">
        <f aca="false">ROUNDUP(Y14*'Assumption Setting'!$C$154,0)</f>
        <v>22</v>
      </c>
      <c r="Z15" s="94" t="n">
        <f aca="false">ROUNDUP(Z14*'Assumption Setting'!$C$154,0)</f>
        <v>23</v>
      </c>
      <c r="AA15" s="94" t="n">
        <f aca="false">ROUNDUP(AA14*'Assumption Setting'!$C$154,0)</f>
        <v>24</v>
      </c>
      <c r="AB15" s="78" t="n">
        <f aca="false">AN15</f>
        <v>31</v>
      </c>
      <c r="AC15" s="94" t="n">
        <f aca="false">ROUNDUP(AC14*'Assumption Setting'!$C$154,0)</f>
        <v>22</v>
      </c>
      <c r="AD15" s="94" t="n">
        <f aca="false">ROUNDUP(AD14*'Assumption Setting'!$C$154,0)</f>
        <v>21</v>
      </c>
      <c r="AE15" s="94" t="n">
        <f aca="false">ROUNDUP(AE14*'Assumption Setting'!$C$154,0)</f>
        <v>21</v>
      </c>
      <c r="AF15" s="94" t="n">
        <f aca="false">ROUNDUP(AF14*'Assumption Setting'!$C$154,0)</f>
        <v>22</v>
      </c>
      <c r="AG15" s="94" t="n">
        <f aca="false">ROUNDUP(AG14*'Assumption Setting'!$C$154,0)</f>
        <v>24</v>
      </c>
      <c r="AH15" s="94" t="n">
        <f aca="false">ROUNDUP(AH14*'Assumption Setting'!$C$154,0)</f>
        <v>25</v>
      </c>
      <c r="AI15" s="94" t="n">
        <f aca="false">ROUNDUP(AI14*'Assumption Setting'!$C$154,0)</f>
        <v>26</v>
      </c>
      <c r="AJ15" s="94" t="n">
        <f aca="false">ROUNDUP(AJ14*'Assumption Setting'!$C$154,0)</f>
        <v>27</v>
      </c>
      <c r="AK15" s="94" t="n">
        <f aca="false">ROUNDUP(AK14*'Assumption Setting'!$C$154,0)</f>
        <v>28</v>
      </c>
      <c r="AL15" s="94" t="n">
        <f aca="false">ROUNDUP(AL14*'Assumption Setting'!$C$154,0)</f>
        <v>29</v>
      </c>
      <c r="AM15" s="94" t="n">
        <f aca="false">ROUNDUP(AM14*'Assumption Setting'!$C$154,0)</f>
        <v>30</v>
      </c>
      <c r="AN15" s="94" t="n">
        <f aca="false">ROUNDUP(AN14*'Assumption Setting'!$C$154,0)</f>
        <v>31</v>
      </c>
      <c r="AO15" s="78" t="n">
        <f aca="false">BA15</f>
        <v>47</v>
      </c>
      <c r="AP15" s="94" t="n">
        <f aca="false">ROUNDUP(AP14*'Assumption Setting'!$C$154,0)</f>
        <v>32</v>
      </c>
      <c r="AQ15" s="94" t="n">
        <f aca="false">ROUNDUP(AQ14*'Assumption Setting'!$C$154,0)</f>
        <v>34</v>
      </c>
      <c r="AR15" s="94" t="n">
        <f aca="false">ROUNDUP(AR14*'Assumption Setting'!$C$154,0)</f>
        <v>35</v>
      </c>
      <c r="AS15" s="94" t="n">
        <f aca="false">ROUNDUP(AS14*'Assumption Setting'!$C$154,0)</f>
        <v>36</v>
      </c>
      <c r="AT15" s="94" t="n">
        <f aca="false">ROUNDUP(AT14*'Assumption Setting'!$C$154,0)</f>
        <v>37</v>
      </c>
      <c r="AU15" s="94" t="n">
        <f aca="false">ROUNDUP(AU14*'Assumption Setting'!$C$154,0)</f>
        <v>39</v>
      </c>
      <c r="AV15" s="94" t="n">
        <f aca="false">ROUNDUP(AV14*'Assumption Setting'!$C$154,0)</f>
        <v>40</v>
      </c>
      <c r="AW15" s="94" t="n">
        <f aca="false">ROUNDUP(AW14*'Assumption Setting'!$C$154,0)</f>
        <v>41</v>
      </c>
      <c r="AX15" s="94" t="n">
        <f aca="false">ROUNDUP(AX14*'Assumption Setting'!$C$154,0)</f>
        <v>43</v>
      </c>
      <c r="AY15" s="94" t="n">
        <f aca="false">ROUNDUP(AY14*'Assumption Setting'!$C$154,0)</f>
        <v>44</v>
      </c>
      <c r="AZ15" s="94" t="n">
        <f aca="false">ROUNDUP(AZ14*'Assumption Setting'!$C$154,0)</f>
        <v>46</v>
      </c>
      <c r="BA15" s="94" t="n">
        <f aca="false">ROUNDUP(BA14*'Assumption Setting'!$C$154,0)</f>
        <v>47</v>
      </c>
      <c r="BB15" s="78" t="n">
        <f aca="false">BN15</f>
        <v>64</v>
      </c>
      <c r="BC15" s="94" t="n">
        <f aca="false">ROUNDUP(BC14*'Assumption Setting'!$C$154,0)</f>
        <v>49</v>
      </c>
      <c r="BD15" s="94" t="n">
        <f aca="false">ROUNDUP(BD14*'Assumption Setting'!$C$154,0)</f>
        <v>50</v>
      </c>
      <c r="BE15" s="94" t="n">
        <f aca="false">ROUNDUP(BE14*'Assumption Setting'!$C$154,0)</f>
        <v>51</v>
      </c>
      <c r="BF15" s="94" t="n">
        <f aca="false">ROUNDUP(BF14*'Assumption Setting'!$C$154,0)</f>
        <v>53</v>
      </c>
      <c r="BG15" s="94" t="n">
        <f aca="false">ROUNDUP(BG14*'Assumption Setting'!$C$154,0)</f>
        <v>54</v>
      </c>
      <c r="BH15" s="94" t="n">
        <f aca="false">ROUNDUP(BH14*'Assumption Setting'!$C$154,0)</f>
        <v>56</v>
      </c>
      <c r="BI15" s="94" t="n">
        <f aca="false">ROUNDUP(BI14*'Assumption Setting'!$C$154,0)</f>
        <v>57</v>
      </c>
      <c r="BJ15" s="94" t="n">
        <f aca="false">ROUNDUP(BJ14*'Assumption Setting'!$C$154,0)</f>
        <v>58</v>
      </c>
      <c r="BK15" s="94" t="n">
        <f aca="false">ROUNDUP(BK14*'Assumption Setting'!$C$154,0)</f>
        <v>60</v>
      </c>
      <c r="BL15" s="94" t="n">
        <f aca="false">ROUNDUP(BL14*'Assumption Setting'!$C$154,0)</f>
        <v>61</v>
      </c>
      <c r="BM15" s="94" t="n">
        <f aca="false">ROUNDUP(BM14*'Assumption Setting'!$C$154,0)</f>
        <v>63</v>
      </c>
      <c r="BN15" s="94" t="n">
        <f aca="false">ROUNDUP(BN14*'Assumption Setting'!$C$154,0)</f>
        <v>64</v>
      </c>
    </row>
    <row r="16" customFormat="false" ht="15" hidden="false" customHeight="false" outlineLevel="0" collapsed="false">
      <c r="A16" s="12" t="s">
        <v>676</v>
      </c>
      <c r="B16" s="78" t="n">
        <f aca="false">SUM(C16:N16)</f>
        <v>13</v>
      </c>
      <c r="C16" s="79" t="n">
        <f aca="false">C15</f>
        <v>4</v>
      </c>
      <c r="D16" s="79" t="n">
        <f aca="false">MAX(0,D15-C15)</f>
        <v>2</v>
      </c>
      <c r="E16" s="79" t="n">
        <f aca="false">MAX(0,E15-D15)</f>
        <v>1</v>
      </c>
      <c r="F16" s="79" t="n">
        <f aca="false">MAX(0,F15-E15)</f>
        <v>0</v>
      </c>
      <c r="G16" s="79" t="n">
        <f aca="false">MAX(0,G15-F15)</f>
        <v>0</v>
      </c>
      <c r="H16" s="79" t="n">
        <f aca="false">MAX(0,H15-G15)</f>
        <v>0</v>
      </c>
      <c r="I16" s="79" t="n">
        <f aca="false">MAX(0,I15-H15)</f>
        <v>1</v>
      </c>
      <c r="J16" s="79" t="n">
        <f aca="false">MAX(0,J15-I15)</f>
        <v>1</v>
      </c>
      <c r="K16" s="79" t="n">
        <f aca="false">MAX(0,K15-J15)</f>
        <v>1</v>
      </c>
      <c r="L16" s="79" t="n">
        <f aca="false">MAX(0,L15-K15)</f>
        <v>1</v>
      </c>
      <c r="M16" s="79" t="n">
        <f aca="false">MAX(0,M15-L15)</f>
        <v>1</v>
      </c>
      <c r="N16" s="79" t="n">
        <f aca="false">MAX(0,N15-M15)</f>
        <v>1</v>
      </c>
      <c r="O16" s="78" t="n">
        <f aca="false">SUM(P16:AA16)</f>
        <v>11</v>
      </c>
      <c r="P16" s="79" t="n">
        <f aca="false">MAX(0,P15-N15)</f>
        <v>0</v>
      </c>
      <c r="Q16" s="79" t="n">
        <f aca="false">MAX(0,Q15-P15)</f>
        <v>1</v>
      </c>
      <c r="R16" s="79" t="n">
        <f aca="false">MAX(0,R15-Q15)</f>
        <v>1</v>
      </c>
      <c r="S16" s="79" t="n">
        <f aca="false">MAX(0,S15-R15)</f>
        <v>1</v>
      </c>
      <c r="T16" s="79" t="n">
        <f aca="false">MAX(0,T15-S15)</f>
        <v>0</v>
      </c>
      <c r="U16" s="79" t="n">
        <f aca="false">MAX(0,U15-T15)</f>
        <v>1</v>
      </c>
      <c r="V16" s="79" t="n">
        <f aca="false">MAX(0,V15-U15)</f>
        <v>1</v>
      </c>
      <c r="W16" s="79" t="n">
        <f aca="false">MAX(0,W15-V15)</f>
        <v>2</v>
      </c>
      <c r="X16" s="79" t="n">
        <f aca="false">MAX(0,X15-W15)</f>
        <v>1</v>
      </c>
      <c r="Y16" s="79" t="n">
        <f aca="false">MAX(0,Y15-X15)</f>
        <v>1</v>
      </c>
      <c r="Z16" s="79" t="n">
        <f aca="false">MAX(0,Z15-Y15)</f>
        <v>1</v>
      </c>
      <c r="AA16" s="79" t="n">
        <f aca="false">MAX(0,AA15-Z15)</f>
        <v>1</v>
      </c>
      <c r="AB16" s="78" t="n">
        <f aca="false">SUM(AC16:AN16)</f>
        <v>10</v>
      </c>
      <c r="AC16" s="79" t="n">
        <f aca="false">MAX(0,AC15-AA15)</f>
        <v>0</v>
      </c>
      <c r="AD16" s="79" t="n">
        <f aca="false">MAX(0,AD15-AC15)</f>
        <v>0</v>
      </c>
      <c r="AE16" s="79" t="n">
        <f aca="false">MAX(0,AE15-AD15)</f>
        <v>0</v>
      </c>
      <c r="AF16" s="79" t="n">
        <f aca="false">MAX(0,AF15-AE15)</f>
        <v>1</v>
      </c>
      <c r="AG16" s="79" t="n">
        <f aca="false">MAX(0,AG15-AF15)</f>
        <v>2</v>
      </c>
      <c r="AH16" s="79" t="n">
        <f aca="false">MAX(0,AH15-AG15)</f>
        <v>1</v>
      </c>
      <c r="AI16" s="79" t="n">
        <f aca="false">MAX(0,AI15-AH15)</f>
        <v>1</v>
      </c>
      <c r="AJ16" s="79" t="n">
        <f aca="false">MAX(0,AJ15-AI15)</f>
        <v>1</v>
      </c>
      <c r="AK16" s="79" t="n">
        <f aca="false">MAX(0,AK15-AJ15)</f>
        <v>1</v>
      </c>
      <c r="AL16" s="79" t="n">
        <f aca="false">MAX(0,AL15-AK15)</f>
        <v>1</v>
      </c>
      <c r="AM16" s="79" t="n">
        <f aca="false">MAX(0,AM15-AL15)</f>
        <v>1</v>
      </c>
      <c r="AN16" s="79" t="n">
        <f aca="false">MAX(0,AN15-AM15)</f>
        <v>1</v>
      </c>
      <c r="AO16" s="78" t="n">
        <f aca="false">SUM(AP16:BA16)</f>
        <v>16</v>
      </c>
      <c r="AP16" s="79" t="n">
        <f aca="false">MAX(0,AP15-AN15)</f>
        <v>1</v>
      </c>
      <c r="AQ16" s="79" t="n">
        <f aca="false">MAX(0,AQ15-AP15)</f>
        <v>2</v>
      </c>
      <c r="AR16" s="79" t="n">
        <f aca="false">MAX(0,AR15-AQ15)</f>
        <v>1</v>
      </c>
      <c r="AS16" s="79" t="n">
        <f aca="false">MAX(0,AS15-AR15)</f>
        <v>1</v>
      </c>
      <c r="AT16" s="79" t="n">
        <f aca="false">MAX(0,AT15-AS15)</f>
        <v>1</v>
      </c>
      <c r="AU16" s="79" t="n">
        <f aca="false">MAX(0,AU15-AT15)</f>
        <v>2</v>
      </c>
      <c r="AV16" s="79" t="n">
        <f aca="false">MAX(0,AV15-AU15)</f>
        <v>1</v>
      </c>
      <c r="AW16" s="79" t="n">
        <f aca="false">MAX(0,AW15-AV15)</f>
        <v>1</v>
      </c>
      <c r="AX16" s="79" t="n">
        <f aca="false">MAX(0,AX15-AW15)</f>
        <v>2</v>
      </c>
      <c r="AY16" s="79" t="n">
        <f aca="false">MAX(0,AY15-AX15)</f>
        <v>1</v>
      </c>
      <c r="AZ16" s="79" t="n">
        <f aca="false">MAX(0,AZ15-AY15)</f>
        <v>2</v>
      </c>
      <c r="BA16" s="79" t="n">
        <f aca="false">MAX(0,BA15-AZ15)</f>
        <v>1</v>
      </c>
      <c r="BB16" s="78" t="n">
        <f aca="false">SUM(BC16:BN16)</f>
        <v>17</v>
      </c>
      <c r="BC16" s="79" t="n">
        <f aca="false">MAX(0,BC15-BA15)</f>
        <v>2</v>
      </c>
      <c r="BD16" s="79" t="n">
        <f aca="false">MAX(0,BD15-BC15)</f>
        <v>1</v>
      </c>
      <c r="BE16" s="79" t="n">
        <f aca="false">MAX(0,BE15-BD15)</f>
        <v>1</v>
      </c>
      <c r="BF16" s="79" t="n">
        <f aca="false">MAX(0,BF15-BE15)</f>
        <v>2</v>
      </c>
      <c r="BG16" s="79" t="n">
        <f aca="false">MAX(0,BG15-BF15)</f>
        <v>1</v>
      </c>
      <c r="BH16" s="79" t="n">
        <f aca="false">MAX(0,BH15-BG15)</f>
        <v>2</v>
      </c>
      <c r="BI16" s="79" t="n">
        <f aca="false">MAX(0,BI15-BH15)</f>
        <v>1</v>
      </c>
      <c r="BJ16" s="79" t="n">
        <f aca="false">MAX(0,BJ15-BI15)</f>
        <v>1</v>
      </c>
      <c r="BK16" s="79" t="n">
        <f aca="false">MAX(0,BK15-BJ15)</f>
        <v>2</v>
      </c>
      <c r="BL16" s="79" t="n">
        <f aca="false">MAX(0,BL15-BK15)</f>
        <v>1</v>
      </c>
      <c r="BM16" s="79" t="n">
        <f aca="false">MAX(0,BM15-BL15)</f>
        <v>2</v>
      </c>
      <c r="BN16" s="79" t="n">
        <f aca="false">MAX(0,BN15-BM15)</f>
        <v>1</v>
      </c>
    </row>
    <row r="17" customFormat="false" ht="15" hidden="false" customHeight="false" outlineLevel="0" collapsed="false">
      <c r="A17" s="12" t="s">
        <v>677</v>
      </c>
      <c r="B17" s="80" t="n">
        <f aca="false">SUM(C17:N17)</f>
        <v>0</v>
      </c>
      <c r="C17" s="81" t="n">
        <f aca="false">'Revenue Streams'!C$21*'Assumption Setting'!$C$173</f>
        <v>0</v>
      </c>
      <c r="D17" s="81" t="n">
        <f aca="false">'Revenue Streams'!D$21*'Assumption Setting'!$C$173</f>
        <v>0</v>
      </c>
      <c r="E17" s="81" t="n">
        <f aca="false">'Revenue Streams'!E$21*'Assumption Setting'!$C$173</f>
        <v>0</v>
      </c>
      <c r="F17" s="81" t="n">
        <f aca="false">'Revenue Streams'!F$21*'Assumption Setting'!$C$173</f>
        <v>0</v>
      </c>
      <c r="G17" s="81" t="n">
        <f aca="false">'Revenue Streams'!G$21*'Assumption Setting'!$C$173</f>
        <v>0</v>
      </c>
      <c r="H17" s="81" t="n">
        <f aca="false">'Revenue Streams'!H$21*'Assumption Setting'!$C$173</f>
        <v>0</v>
      </c>
      <c r="I17" s="81" t="n">
        <f aca="false">'Revenue Streams'!I$21*'Assumption Setting'!$C$173</f>
        <v>0</v>
      </c>
      <c r="J17" s="81" t="n">
        <f aca="false">'Revenue Streams'!J$21*'Assumption Setting'!$C$173</f>
        <v>0</v>
      </c>
      <c r="K17" s="81" t="n">
        <f aca="false">'Revenue Streams'!K$21*'Assumption Setting'!$C$173</f>
        <v>0</v>
      </c>
      <c r="L17" s="81" t="n">
        <f aca="false">'Revenue Streams'!L$21*'Assumption Setting'!$C$173</f>
        <v>0</v>
      </c>
      <c r="M17" s="81" t="n">
        <f aca="false">'Revenue Streams'!M$21*'Assumption Setting'!$C$173</f>
        <v>0</v>
      </c>
      <c r="N17" s="81" t="n">
        <f aca="false">'Revenue Streams'!N$21*'Assumption Setting'!$C$173</f>
        <v>0</v>
      </c>
      <c r="O17" s="80" t="n">
        <f aca="false">SUM(P17:AA17)</f>
        <v>4.30383896494012</v>
      </c>
      <c r="P17" s="81" t="n">
        <f aca="false">'Revenue Streams'!P$21*'Assumption Setting'!$D$173</f>
        <v>0.253583446634642</v>
      </c>
      <c r="Q17" s="81" t="n">
        <f aca="false">'Revenue Streams'!Q$21*'Assumption Setting'!$D$173</f>
        <v>0.268614710797306</v>
      </c>
      <c r="R17" s="81" t="n">
        <f aca="false">'Revenue Streams'!R$21*'Assumption Setting'!$D$173</f>
        <v>0.285149101376236</v>
      </c>
      <c r="S17" s="81" t="n">
        <f aca="false">'Revenue Streams'!S$21*'Assumption Setting'!$D$173</f>
        <v>0.301683491955166</v>
      </c>
      <c r="T17" s="81" t="n">
        <f aca="false">'Revenue Streams'!T$21*'Assumption Setting'!$D$173</f>
        <v>0.318217882534096</v>
      </c>
      <c r="U17" s="81" t="n">
        <f aca="false">'Revenue Streams'!U$21*'Assumption Setting'!$D$173</f>
        <v>0.334752273113025</v>
      </c>
      <c r="V17" s="81" t="n">
        <f aca="false">'Revenue Streams'!V$21*'Assumption Setting'!$D$173</f>
        <v>0.360148674058335</v>
      </c>
      <c r="W17" s="81" t="n">
        <f aca="false">'Revenue Streams'!W$21*'Assumption Setting'!$D$173</f>
        <v>0.385545075003645</v>
      </c>
      <c r="X17" s="81" t="n">
        <f aca="false">'Revenue Streams'!X$21*'Assumption Setting'!$D$173</f>
        <v>0.410941475948954</v>
      </c>
      <c r="Y17" s="81" t="n">
        <f aca="false">'Revenue Streams'!Y$21*'Assumption Setting'!$D$173</f>
        <v>0.436337876894264</v>
      </c>
      <c r="Z17" s="81" t="n">
        <f aca="false">'Revenue Streams'!Z$21*'Assumption Setting'!$D$173</f>
        <v>0.461734277839573</v>
      </c>
      <c r="AA17" s="81" t="n">
        <f aca="false">'Revenue Streams'!AA$21*'Assumption Setting'!$D$173</f>
        <v>0.487130678784883</v>
      </c>
      <c r="AB17" s="80" t="n">
        <f aca="false">SUM(AC17:AN17)</f>
        <v>17.3837221105441</v>
      </c>
      <c r="AC17" s="81" t="n">
        <f aca="false">'Revenue Streams'!AC$21*'Assumption Setting'!$E$173</f>
        <v>1.2247193338727</v>
      </c>
      <c r="AD17" s="81" t="n">
        <f aca="false">'Revenue Streams'!AD$21*'Assumption Setting'!$E$173</f>
        <v>1.18316263442031</v>
      </c>
      <c r="AE17" s="81" t="n">
        <f aca="false">'Revenue Streams'!AE$21*'Assumption Setting'!$E$173</f>
        <v>1.18449471986619</v>
      </c>
      <c r="AF17" s="81" t="n">
        <f aca="false">'Revenue Streams'!AF$21*'Assumption Setting'!$E$173</f>
        <v>1.2591601386454</v>
      </c>
      <c r="AG17" s="81" t="n">
        <f aca="false">'Revenue Streams'!AG$21*'Assumption Setting'!$E$173</f>
        <v>1.33382555742461</v>
      </c>
      <c r="AH17" s="81" t="n">
        <f aca="false">'Revenue Streams'!AH$21*'Assumption Setting'!$E$173</f>
        <v>1.40849097620382</v>
      </c>
      <c r="AI17" s="81" t="n">
        <f aca="false">'Revenue Streams'!AI$21*'Assumption Setting'!$E$173</f>
        <v>1.47224920919849</v>
      </c>
      <c r="AJ17" s="81" t="n">
        <f aca="false">'Revenue Streams'!AJ$21*'Assumption Setting'!$E$173</f>
        <v>1.53600744219317</v>
      </c>
      <c r="AK17" s="81" t="n">
        <f aca="false">'Revenue Streams'!AK$21*'Assumption Setting'!$E$173</f>
        <v>1.59976567518784</v>
      </c>
      <c r="AL17" s="81" t="n">
        <f aca="false">'Revenue Streams'!AL$21*'Assumption Setting'!$E$173</f>
        <v>1.66352390818252</v>
      </c>
      <c r="AM17" s="81" t="n">
        <f aca="false">'Revenue Streams'!AM$21*'Assumption Setting'!$E$173</f>
        <v>1.72728214117719</v>
      </c>
      <c r="AN17" s="81" t="n">
        <f aca="false">'Revenue Streams'!AN$21*'Assumption Setting'!$E$173</f>
        <v>1.79104037417187</v>
      </c>
      <c r="AO17" s="80" t="n">
        <f aca="false">SUM(AP17:BA17)</f>
        <v>43.3487062822812</v>
      </c>
      <c r="AP17" s="81" t="n">
        <f aca="false">'Revenue Streams'!AP$21*'Assumption Setting'!$F$173</f>
        <v>2.96177626273204</v>
      </c>
      <c r="AQ17" s="81" t="n">
        <f aca="false">'Revenue Streams'!AQ$21*'Assumption Setting'!$F$173</f>
        <v>3.07417011200885</v>
      </c>
      <c r="AR17" s="81" t="n">
        <f aca="false">'Revenue Streams'!AR$21*'Assumption Setting'!$F$173</f>
        <v>3.187410934464</v>
      </c>
      <c r="AS17" s="81" t="n">
        <f aca="false">'Revenue Streams'!AS$21*'Assumption Setting'!$F$173</f>
        <v>3.30065175691916</v>
      </c>
      <c r="AT17" s="81" t="n">
        <f aca="false">'Revenue Streams'!AT$21*'Assumption Setting'!$F$173</f>
        <v>3.41389257937431</v>
      </c>
      <c r="AU17" s="81" t="n">
        <f aca="false">'Revenue Streams'!AU$21*'Assumption Setting'!$F$173</f>
        <v>3.52713340182947</v>
      </c>
      <c r="AV17" s="81" t="n">
        <f aca="false">'Revenue Streams'!AV$21*'Assumption Setting'!$F$173</f>
        <v>3.65669867916169</v>
      </c>
      <c r="AW17" s="81" t="n">
        <f aca="false">'Revenue Streams'!AW$21*'Assumption Setting'!$F$173</f>
        <v>3.7862639564939</v>
      </c>
      <c r="AX17" s="81" t="n">
        <f aca="false">'Revenue Streams'!AX$21*'Assumption Setting'!$F$173</f>
        <v>3.91582923382612</v>
      </c>
      <c r="AY17" s="81" t="n">
        <f aca="false">'Revenue Streams'!AY$21*'Assumption Setting'!$F$173</f>
        <v>4.04539451115833</v>
      </c>
      <c r="AZ17" s="81" t="n">
        <f aca="false">'Revenue Streams'!AZ$21*'Assumption Setting'!$F$173</f>
        <v>4.17495978849055</v>
      </c>
      <c r="BA17" s="81" t="n">
        <f aca="false">'Revenue Streams'!BA$21*'Assumption Setting'!$F$173</f>
        <v>4.30452506582277</v>
      </c>
      <c r="BB17" s="80" t="n">
        <f aca="false">SUM(BC17:BN17)</f>
        <v>79.5511045857055</v>
      </c>
      <c r="BC17" s="81" t="n">
        <f aca="false">'Revenue Streams'!BC$21*'Assumption Setting'!$G$173</f>
        <v>5.70383039344847</v>
      </c>
      <c r="BD17" s="81" t="n">
        <f aca="false">'Revenue Streams'!BD$21*'Assumption Setting'!$G$173</f>
        <v>5.87327141655338</v>
      </c>
      <c r="BE17" s="81" t="n">
        <f aca="false">'Revenue Streams'!BE$21*'Assumption Setting'!$G$173</f>
        <v>6.04236292697174</v>
      </c>
      <c r="BF17" s="81" t="n">
        <f aca="false">'Revenue Streams'!BF$21*'Assumption Setting'!$G$173</f>
        <v>6.21145443739011</v>
      </c>
      <c r="BG17" s="81" t="n">
        <f aca="false">'Revenue Streams'!BG$21*'Assumption Setting'!$G$173</f>
        <v>6.38054594780847</v>
      </c>
      <c r="BH17" s="81" t="n">
        <f aca="false">'Revenue Streams'!BH$21*'Assumption Setting'!$G$173</f>
        <v>6.54963745822684</v>
      </c>
      <c r="BI17" s="81" t="n">
        <f aca="false">'Revenue Streams'!BI$21*'Assumption Setting'!$G$173</f>
        <v>6.71593161327186</v>
      </c>
      <c r="BJ17" s="81" t="n">
        <f aca="false">'Revenue Streams'!BJ$21*'Assumption Setting'!$G$173</f>
        <v>6.88222576831689</v>
      </c>
      <c r="BK17" s="81" t="n">
        <f aca="false">'Revenue Streams'!BK$21*'Assumption Setting'!$G$173</f>
        <v>7.04851992336191</v>
      </c>
      <c r="BL17" s="81" t="n">
        <f aca="false">'Revenue Streams'!BL$21*'Assumption Setting'!$G$173</f>
        <v>7.21481407840693</v>
      </c>
      <c r="BM17" s="81" t="n">
        <f aca="false">'Revenue Streams'!BM$21*'Assumption Setting'!$G$173</f>
        <v>7.38110823345196</v>
      </c>
      <c r="BN17" s="81" t="n">
        <f aca="false">'Revenue Streams'!BN$21*'Assumption Setting'!$G$173</f>
        <v>7.54740238849698</v>
      </c>
    </row>
    <row r="18" customFormat="false" ht="15" hidden="false" customHeight="false" outlineLevel="0" collapsed="false">
      <c r="A18" s="69" t="s">
        <v>678</v>
      </c>
      <c r="B18" s="78" t="n">
        <f aca="false">N18</f>
        <v>0</v>
      </c>
      <c r="C18" s="94" t="n">
        <f aca="false">ROUNDUP(IFERROR(C17/'Assumption Setting'!$C$156,0),0)</f>
        <v>0</v>
      </c>
      <c r="D18" s="94" t="n">
        <f aca="false">ROUNDUP(IFERROR(D17/'Assumption Setting'!$C$156,0),0)</f>
        <v>0</v>
      </c>
      <c r="E18" s="94" t="n">
        <f aca="false">ROUNDUP(IFERROR(E17/'Assumption Setting'!$C$156,0),0)</f>
        <v>0</v>
      </c>
      <c r="F18" s="94" t="n">
        <f aca="false">ROUNDUP(IFERROR(F17/'Assumption Setting'!$C$156,0),0)</f>
        <v>0</v>
      </c>
      <c r="G18" s="94" t="n">
        <f aca="false">ROUNDUP(IFERROR(G17/'Assumption Setting'!$C$156,0),0)</f>
        <v>0</v>
      </c>
      <c r="H18" s="94" t="n">
        <f aca="false">ROUNDUP(IFERROR(H17/'Assumption Setting'!$C$156,0),0)</f>
        <v>0</v>
      </c>
      <c r="I18" s="94" t="n">
        <f aca="false">ROUNDUP(IFERROR(I17/'Assumption Setting'!$C$156,0),0)</f>
        <v>0</v>
      </c>
      <c r="J18" s="94" t="n">
        <f aca="false">ROUNDUP(IFERROR(J17/'Assumption Setting'!$C$156,0),0)</f>
        <v>0</v>
      </c>
      <c r="K18" s="94" t="n">
        <f aca="false">ROUNDUP(IFERROR(K17/'Assumption Setting'!$C$156,0),0)</f>
        <v>0</v>
      </c>
      <c r="L18" s="94" t="n">
        <f aca="false">ROUNDUP(IFERROR(L17/'Assumption Setting'!$C$156,0),0)</f>
        <v>0</v>
      </c>
      <c r="M18" s="94" t="n">
        <f aca="false">ROUNDUP(IFERROR(M17/'Assumption Setting'!$C$156,0),0)</f>
        <v>0</v>
      </c>
      <c r="N18" s="94" t="n">
        <f aca="false">ROUNDUP(IFERROR(N17/'Assumption Setting'!$C$156,0),0)</f>
        <v>0</v>
      </c>
      <c r="O18" s="78" t="n">
        <f aca="false">AA18</f>
        <v>1</v>
      </c>
      <c r="P18" s="94" t="n">
        <f aca="false">ROUNDUP(IFERROR(P17/'Assumption Setting'!$C$156,0),0)</f>
        <v>1</v>
      </c>
      <c r="Q18" s="94" t="n">
        <f aca="false">ROUNDUP(IFERROR(Q17/'Assumption Setting'!$C$156,0),0)</f>
        <v>1</v>
      </c>
      <c r="R18" s="94" t="n">
        <f aca="false">ROUNDUP(IFERROR(R17/'Assumption Setting'!$C$156,0),0)</f>
        <v>1</v>
      </c>
      <c r="S18" s="94" t="n">
        <f aca="false">ROUNDUP(IFERROR(S17/'Assumption Setting'!$C$156,0),0)</f>
        <v>1</v>
      </c>
      <c r="T18" s="94" t="n">
        <f aca="false">ROUNDUP(IFERROR(T17/'Assumption Setting'!$C$156,0),0)</f>
        <v>1</v>
      </c>
      <c r="U18" s="94" t="n">
        <f aca="false">ROUNDUP(IFERROR(U17/'Assumption Setting'!$C$156,0),0)</f>
        <v>1</v>
      </c>
      <c r="V18" s="94" t="n">
        <f aca="false">ROUNDUP(IFERROR(V17/'Assumption Setting'!$C$156,0),0)</f>
        <v>1</v>
      </c>
      <c r="W18" s="94" t="n">
        <f aca="false">ROUNDUP(IFERROR(W17/'Assumption Setting'!$C$156,0),0)</f>
        <v>1</v>
      </c>
      <c r="X18" s="94" t="n">
        <f aca="false">ROUNDUP(IFERROR(X17/'Assumption Setting'!$C$156,0),0)</f>
        <v>1</v>
      </c>
      <c r="Y18" s="94" t="n">
        <f aca="false">ROUNDUP(IFERROR(Y17/'Assumption Setting'!$C$156,0),0)</f>
        <v>1</v>
      </c>
      <c r="Z18" s="94" t="n">
        <f aca="false">ROUNDUP(IFERROR(Z17/'Assumption Setting'!$C$156,0),0)</f>
        <v>1</v>
      </c>
      <c r="AA18" s="94" t="n">
        <f aca="false">ROUNDUP(IFERROR(AA17/'Assumption Setting'!$C$156,0),0)</f>
        <v>1</v>
      </c>
      <c r="AB18" s="78" t="n">
        <f aca="false">AN18</f>
        <v>1</v>
      </c>
      <c r="AC18" s="94" t="n">
        <f aca="false">ROUNDUP(IFERROR(AC17/'Assumption Setting'!$C$156,0),0)</f>
        <v>1</v>
      </c>
      <c r="AD18" s="94" t="n">
        <f aca="false">ROUNDUP(IFERROR(AD17/'Assumption Setting'!$C$156,0),0)</f>
        <v>1</v>
      </c>
      <c r="AE18" s="94" t="n">
        <f aca="false">ROUNDUP(IFERROR(AE17/'Assumption Setting'!$C$156,0),0)</f>
        <v>1</v>
      </c>
      <c r="AF18" s="94" t="n">
        <f aca="false">ROUNDUP(IFERROR(AF17/'Assumption Setting'!$C$156,0),0)</f>
        <v>1</v>
      </c>
      <c r="AG18" s="94" t="n">
        <f aca="false">ROUNDUP(IFERROR(AG17/'Assumption Setting'!$C$156,0),0)</f>
        <v>1</v>
      </c>
      <c r="AH18" s="94" t="n">
        <f aca="false">ROUNDUP(IFERROR(AH17/'Assumption Setting'!$C$156,0),0)</f>
        <v>1</v>
      </c>
      <c r="AI18" s="94" t="n">
        <f aca="false">ROUNDUP(IFERROR(AI17/'Assumption Setting'!$C$156,0),0)</f>
        <v>1</v>
      </c>
      <c r="AJ18" s="94" t="n">
        <f aca="false">ROUNDUP(IFERROR(AJ17/'Assumption Setting'!$C$156,0),0)</f>
        <v>1</v>
      </c>
      <c r="AK18" s="94" t="n">
        <f aca="false">ROUNDUP(IFERROR(AK17/'Assumption Setting'!$C$156,0),0)</f>
        <v>1</v>
      </c>
      <c r="AL18" s="94" t="n">
        <f aca="false">ROUNDUP(IFERROR(AL17/'Assumption Setting'!$C$156,0),0)</f>
        <v>1</v>
      </c>
      <c r="AM18" s="94" t="n">
        <f aca="false">ROUNDUP(IFERROR(AM17/'Assumption Setting'!$C$156,0),0)</f>
        <v>1</v>
      </c>
      <c r="AN18" s="94" t="n">
        <f aca="false">ROUNDUP(IFERROR(AN17/'Assumption Setting'!$C$156,0),0)</f>
        <v>1</v>
      </c>
      <c r="AO18" s="78" t="n">
        <f aca="false">BA18</f>
        <v>3</v>
      </c>
      <c r="AP18" s="94" t="n">
        <f aca="false">ROUNDUP(IFERROR(AP17/'Assumption Setting'!$C$156,0),0)</f>
        <v>2</v>
      </c>
      <c r="AQ18" s="94" t="n">
        <f aca="false">ROUNDUP(IFERROR(AQ17/'Assumption Setting'!$C$156,0),0)</f>
        <v>2</v>
      </c>
      <c r="AR18" s="94" t="n">
        <f aca="false">ROUNDUP(IFERROR(AR17/'Assumption Setting'!$C$156,0),0)</f>
        <v>2</v>
      </c>
      <c r="AS18" s="94" t="n">
        <f aca="false">ROUNDUP(IFERROR(AS17/'Assumption Setting'!$C$156,0),0)</f>
        <v>2</v>
      </c>
      <c r="AT18" s="94" t="n">
        <f aca="false">ROUNDUP(IFERROR(AT17/'Assumption Setting'!$C$156,0),0)</f>
        <v>2</v>
      </c>
      <c r="AU18" s="94" t="n">
        <f aca="false">ROUNDUP(IFERROR(AU17/'Assumption Setting'!$C$156,0),0)</f>
        <v>2</v>
      </c>
      <c r="AV18" s="94" t="n">
        <f aca="false">ROUNDUP(IFERROR(AV17/'Assumption Setting'!$C$156,0),0)</f>
        <v>2</v>
      </c>
      <c r="AW18" s="94" t="n">
        <f aca="false">ROUNDUP(IFERROR(AW17/'Assumption Setting'!$C$156,0),0)</f>
        <v>2</v>
      </c>
      <c r="AX18" s="94" t="n">
        <f aca="false">ROUNDUP(IFERROR(AX17/'Assumption Setting'!$C$156,0),0)</f>
        <v>2</v>
      </c>
      <c r="AY18" s="94" t="n">
        <f aca="false">ROUNDUP(IFERROR(AY17/'Assumption Setting'!$C$156,0),0)</f>
        <v>3</v>
      </c>
      <c r="AZ18" s="94" t="n">
        <f aca="false">ROUNDUP(IFERROR(AZ17/'Assumption Setting'!$C$156,0),0)</f>
        <v>3</v>
      </c>
      <c r="BA18" s="94" t="n">
        <f aca="false">ROUNDUP(IFERROR(BA17/'Assumption Setting'!$C$156,0),0)</f>
        <v>3</v>
      </c>
      <c r="BB18" s="78" t="n">
        <f aca="false">BN18</f>
        <v>4</v>
      </c>
      <c r="BC18" s="94" t="n">
        <f aca="false">ROUNDUP(IFERROR(BC17/'Assumption Setting'!$C$156,0),0)</f>
        <v>3</v>
      </c>
      <c r="BD18" s="94" t="n">
        <f aca="false">ROUNDUP(IFERROR(BD17/'Assumption Setting'!$C$156,0),0)</f>
        <v>3</v>
      </c>
      <c r="BE18" s="94" t="n">
        <f aca="false">ROUNDUP(IFERROR(BE17/'Assumption Setting'!$C$156,0),0)</f>
        <v>4</v>
      </c>
      <c r="BF18" s="94" t="n">
        <f aca="false">ROUNDUP(IFERROR(BF17/'Assumption Setting'!$C$156,0),0)</f>
        <v>4</v>
      </c>
      <c r="BG18" s="94" t="n">
        <f aca="false">ROUNDUP(IFERROR(BG17/'Assumption Setting'!$C$156,0),0)</f>
        <v>4</v>
      </c>
      <c r="BH18" s="94" t="n">
        <f aca="false">ROUNDUP(IFERROR(BH17/'Assumption Setting'!$C$156,0),0)</f>
        <v>4</v>
      </c>
      <c r="BI18" s="94" t="n">
        <f aca="false">ROUNDUP(IFERROR(BI17/'Assumption Setting'!$C$156,0),0)</f>
        <v>4</v>
      </c>
      <c r="BJ18" s="94" t="n">
        <f aca="false">ROUNDUP(IFERROR(BJ17/'Assumption Setting'!$C$156,0),0)</f>
        <v>4</v>
      </c>
      <c r="BK18" s="94" t="n">
        <f aca="false">ROUNDUP(IFERROR(BK17/'Assumption Setting'!$C$156,0),0)</f>
        <v>4</v>
      </c>
      <c r="BL18" s="94" t="n">
        <f aca="false">ROUNDUP(IFERROR(BL17/'Assumption Setting'!$C$156,0),0)</f>
        <v>4</v>
      </c>
      <c r="BM18" s="94" t="n">
        <f aca="false">ROUNDUP(IFERROR(BM17/'Assumption Setting'!$C$156,0),0)</f>
        <v>4</v>
      </c>
      <c r="BN18" s="94" t="n">
        <f aca="false">ROUNDUP(IFERROR(BN17/'Assumption Setting'!$C$156,0),0)</f>
        <v>4</v>
      </c>
    </row>
    <row r="19" customFormat="false" ht="15" hidden="false" customHeight="false" outlineLevel="0" collapsed="false">
      <c r="A19" s="71" t="s">
        <v>679</v>
      </c>
    </row>
    <row r="21" customFormat="false" ht="16.5" hidden="false" customHeight="true" outlineLevel="0" collapsed="false">
      <c r="A21" s="15" t="s">
        <v>680</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row>
    <row r="22" customFormat="false" ht="15" hidden="false" customHeight="true" outlineLevel="0" collapsed="false">
      <c r="A22" s="26" t="s">
        <v>481</v>
      </c>
      <c r="B22" s="61" t="s">
        <v>81</v>
      </c>
      <c r="C22" s="62" t="s">
        <v>482</v>
      </c>
      <c r="D22" s="62" t="s">
        <v>483</v>
      </c>
      <c r="E22" s="62" t="s">
        <v>484</v>
      </c>
      <c r="F22" s="62" t="s">
        <v>485</v>
      </c>
      <c r="G22" s="62" t="s">
        <v>486</v>
      </c>
      <c r="H22" s="62" t="s">
        <v>487</v>
      </c>
      <c r="I22" s="62" t="s">
        <v>488</v>
      </c>
      <c r="J22" s="62" t="s">
        <v>489</v>
      </c>
      <c r="K22" s="62" t="s">
        <v>490</v>
      </c>
      <c r="L22" s="62" t="s">
        <v>491</v>
      </c>
      <c r="M22" s="62" t="s">
        <v>492</v>
      </c>
      <c r="N22" s="62" t="s">
        <v>493</v>
      </c>
      <c r="O22" s="61" t="s">
        <v>82</v>
      </c>
      <c r="P22" s="63" t="s">
        <v>494</v>
      </c>
      <c r="Q22" s="63" t="s">
        <v>495</v>
      </c>
      <c r="R22" s="63" t="s">
        <v>496</v>
      </c>
      <c r="S22" s="63" t="s">
        <v>497</v>
      </c>
      <c r="T22" s="63" t="s">
        <v>498</v>
      </c>
      <c r="U22" s="63" t="s">
        <v>499</v>
      </c>
      <c r="V22" s="63" t="s">
        <v>500</v>
      </c>
      <c r="W22" s="63" t="s">
        <v>501</v>
      </c>
      <c r="X22" s="63" t="s">
        <v>502</v>
      </c>
      <c r="Y22" s="63" t="s">
        <v>503</v>
      </c>
      <c r="Z22" s="63" t="s">
        <v>504</v>
      </c>
      <c r="AA22" s="63" t="s">
        <v>505</v>
      </c>
      <c r="AB22" s="61" t="s">
        <v>83</v>
      </c>
      <c r="AC22" s="62" t="s">
        <v>506</v>
      </c>
      <c r="AD22" s="62" t="s">
        <v>507</v>
      </c>
      <c r="AE22" s="62" t="s">
        <v>508</v>
      </c>
      <c r="AF22" s="62" t="s">
        <v>509</v>
      </c>
      <c r="AG22" s="62" t="s">
        <v>510</v>
      </c>
      <c r="AH22" s="62" t="s">
        <v>511</v>
      </c>
      <c r="AI22" s="62" t="s">
        <v>512</v>
      </c>
      <c r="AJ22" s="62" t="s">
        <v>513</v>
      </c>
      <c r="AK22" s="62" t="s">
        <v>514</v>
      </c>
      <c r="AL22" s="62" t="s">
        <v>515</v>
      </c>
      <c r="AM22" s="62" t="s">
        <v>516</v>
      </c>
      <c r="AN22" s="62" t="s">
        <v>517</v>
      </c>
      <c r="AO22" s="61" t="s">
        <v>84</v>
      </c>
      <c r="AP22" s="63" t="s">
        <v>518</v>
      </c>
      <c r="AQ22" s="63" t="s">
        <v>519</v>
      </c>
      <c r="AR22" s="63" t="s">
        <v>520</v>
      </c>
      <c r="AS22" s="63" t="s">
        <v>521</v>
      </c>
      <c r="AT22" s="63" t="s">
        <v>522</v>
      </c>
      <c r="AU22" s="63" t="s">
        <v>523</v>
      </c>
      <c r="AV22" s="63" t="s">
        <v>524</v>
      </c>
      <c r="AW22" s="63" t="s">
        <v>525</v>
      </c>
      <c r="AX22" s="63" t="s">
        <v>526</v>
      </c>
      <c r="AY22" s="63" t="s">
        <v>527</v>
      </c>
      <c r="AZ22" s="63" t="s">
        <v>528</v>
      </c>
      <c r="BA22" s="63" t="s">
        <v>529</v>
      </c>
      <c r="BB22" s="61" t="s">
        <v>85</v>
      </c>
      <c r="BC22" s="62" t="s">
        <v>530</v>
      </c>
      <c r="BD22" s="62" t="s">
        <v>531</v>
      </c>
      <c r="BE22" s="62" t="s">
        <v>532</v>
      </c>
      <c r="BF22" s="62" t="s">
        <v>533</v>
      </c>
      <c r="BG22" s="62" t="s">
        <v>534</v>
      </c>
      <c r="BH22" s="62" t="s">
        <v>535</v>
      </c>
      <c r="BI22" s="62" t="s">
        <v>536</v>
      </c>
      <c r="BJ22" s="62" t="s">
        <v>537</v>
      </c>
      <c r="BK22" s="62" t="s">
        <v>538</v>
      </c>
      <c r="BL22" s="62" t="s">
        <v>539</v>
      </c>
      <c r="BM22" s="62" t="s">
        <v>540</v>
      </c>
      <c r="BN22" s="62" t="s">
        <v>541</v>
      </c>
    </row>
    <row r="23" customFormat="false" ht="15" hidden="false" customHeight="false" outlineLevel="0" collapsed="false">
      <c r="A23" s="12" t="s">
        <v>681</v>
      </c>
      <c r="B23" s="80" t="n">
        <f aca="false">SUM(C23:N23)</f>
        <v>12</v>
      </c>
      <c r="C23" s="96" t="n">
        <f aca="false">Acquisitions!C$38</f>
        <v>1</v>
      </c>
      <c r="D23" s="96" t="n">
        <f aca="false">Acquisitions!D$38</f>
        <v>1</v>
      </c>
      <c r="E23" s="96" t="n">
        <f aca="false">Acquisitions!E$38</f>
        <v>1</v>
      </c>
      <c r="F23" s="96" t="n">
        <f aca="false">Acquisitions!F$38</f>
        <v>1</v>
      </c>
      <c r="G23" s="96" t="n">
        <f aca="false">Acquisitions!G$38</f>
        <v>1</v>
      </c>
      <c r="H23" s="96" t="n">
        <f aca="false">Acquisitions!H$38</f>
        <v>1</v>
      </c>
      <c r="I23" s="96" t="n">
        <f aca="false">Acquisitions!I$38</f>
        <v>1</v>
      </c>
      <c r="J23" s="96" t="n">
        <f aca="false">Acquisitions!J$38</f>
        <v>1</v>
      </c>
      <c r="K23" s="96" t="n">
        <f aca="false">Acquisitions!K$38</f>
        <v>1</v>
      </c>
      <c r="L23" s="96" t="n">
        <f aca="false">Acquisitions!L$38</f>
        <v>1</v>
      </c>
      <c r="M23" s="96" t="n">
        <f aca="false">Acquisitions!M$38</f>
        <v>1</v>
      </c>
      <c r="N23" s="96" t="n">
        <f aca="false">Acquisitions!N$38</f>
        <v>1</v>
      </c>
      <c r="O23" s="80" t="n">
        <f aca="false">SUM(P23:AA23)</f>
        <v>48</v>
      </c>
      <c r="P23" s="96" t="n">
        <f aca="false">Acquisitions!P$38</f>
        <v>4</v>
      </c>
      <c r="Q23" s="96" t="n">
        <f aca="false">Acquisitions!Q$38</f>
        <v>4</v>
      </c>
      <c r="R23" s="96" t="n">
        <f aca="false">Acquisitions!R$38</f>
        <v>4</v>
      </c>
      <c r="S23" s="96" t="n">
        <f aca="false">Acquisitions!S$38</f>
        <v>4</v>
      </c>
      <c r="T23" s="96" t="n">
        <f aca="false">Acquisitions!T$38</f>
        <v>4</v>
      </c>
      <c r="U23" s="96" t="n">
        <f aca="false">Acquisitions!U$38</f>
        <v>4</v>
      </c>
      <c r="V23" s="96" t="n">
        <f aca="false">Acquisitions!V$38</f>
        <v>4</v>
      </c>
      <c r="W23" s="96" t="n">
        <f aca="false">Acquisitions!W$38</f>
        <v>4</v>
      </c>
      <c r="X23" s="96" t="n">
        <f aca="false">Acquisitions!X$38</f>
        <v>4</v>
      </c>
      <c r="Y23" s="96" t="n">
        <f aca="false">Acquisitions!Y$38</f>
        <v>4</v>
      </c>
      <c r="Z23" s="96" t="n">
        <f aca="false">Acquisitions!Z$38</f>
        <v>4</v>
      </c>
      <c r="AA23" s="96" t="n">
        <f aca="false">Acquisitions!AA$38</f>
        <v>4</v>
      </c>
      <c r="AB23" s="80" t="n">
        <f aca="false">SUM(AC23:AN23)</f>
        <v>96</v>
      </c>
      <c r="AC23" s="96" t="n">
        <f aca="false">Acquisitions!AC$38</f>
        <v>8</v>
      </c>
      <c r="AD23" s="96" t="n">
        <f aca="false">Acquisitions!AD$38</f>
        <v>8</v>
      </c>
      <c r="AE23" s="96" t="n">
        <f aca="false">Acquisitions!AE$38</f>
        <v>8</v>
      </c>
      <c r="AF23" s="96" t="n">
        <f aca="false">Acquisitions!AF$38</f>
        <v>8</v>
      </c>
      <c r="AG23" s="96" t="n">
        <f aca="false">Acquisitions!AG$38</f>
        <v>8</v>
      </c>
      <c r="AH23" s="96" t="n">
        <f aca="false">Acquisitions!AH$38</f>
        <v>8</v>
      </c>
      <c r="AI23" s="96" t="n">
        <f aca="false">Acquisitions!AI$38</f>
        <v>8</v>
      </c>
      <c r="AJ23" s="96" t="n">
        <f aca="false">Acquisitions!AJ$38</f>
        <v>8</v>
      </c>
      <c r="AK23" s="96" t="n">
        <f aca="false">Acquisitions!AK$38</f>
        <v>8</v>
      </c>
      <c r="AL23" s="96" t="n">
        <f aca="false">Acquisitions!AL$38</f>
        <v>8</v>
      </c>
      <c r="AM23" s="96" t="n">
        <f aca="false">Acquisitions!AM$38</f>
        <v>8</v>
      </c>
      <c r="AN23" s="96" t="n">
        <f aca="false">Acquisitions!AN$38</f>
        <v>8</v>
      </c>
      <c r="AO23" s="80" t="n">
        <f aca="false">SUM(AP23:BA23)</f>
        <v>132</v>
      </c>
      <c r="AP23" s="96" t="n">
        <f aca="false">Acquisitions!AP$38</f>
        <v>11</v>
      </c>
      <c r="AQ23" s="96" t="n">
        <f aca="false">Acquisitions!AQ$38</f>
        <v>11</v>
      </c>
      <c r="AR23" s="96" t="n">
        <f aca="false">Acquisitions!AR$38</f>
        <v>11</v>
      </c>
      <c r="AS23" s="96" t="n">
        <f aca="false">Acquisitions!AS$38</f>
        <v>11</v>
      </c>
      <c r="AT23" s="96" t="n">
        <f aca="false">Acquisitions!AT$38</f>
        <v>11</v>
      </c>
      <c r="AU23" s="96" t="n">
        <f aca="false">Acquisitions!AU$38</f>
        <v>11</v>
      </c>
      <c r="AV23" s="96" t="n">
        <f aca="false">Acquisitions!AV$38</f>
        <v>11</v>
      </c>
      <c r="AW23" s="96" t="n">
        <f aca="false">Acquisitions!AW$38</f>
        <v>11</v>
      </c>
      <c r="AX23" s="96" t="n">
        <f aca="false">Acquisitions!AX$38</f>
        <v>11</v>
      </c>
      <c r="AY23" s="96" t="n">
        <f aca="false">Acquisitions!AY$38</f>
        <v>11</v>
      </c>
      <c r="AZ23" s="96" t="n">
        <f aca="false">Acquisitions!AZ$38</f>
        <v>11</v>
      </c>
      <c r="BA23" s="96" t="n">
        <f aca="false">Acquisitions!BA$38</f>
        <v>11</v>
      </c>
      <c r="BB23" s="80" t="n">
        <f aca="false">SUM(BC23:BN23)</f>
        <v>168</v>
      </c>
      <c r="BC23" s="96" t="n">
        <f aca="false">Acquisitions!BC$38</f>
        <v>14</v>
      </c>
      <c r="BD23" s="96" t="n">
        <f aca="false">Acquisitions!BD$38</f>
        <v>14</v>
      </c>
      <c r="BE23" s="96" t="n">
        <f aca="false">Acquisitions!BE$38</f>
        <v>14</v>
      </c>
      <c r="BF23" s="96" t="n">
        <f aca="false">Acquisitions!BF$38</f>
        <v>14</v>
      </c>
      <c r="BG23" s="96" t="n">
        <f aca="false">Acquisitions!BG$38</f>
        <v>14</v>
      </c>
      <c r="BH23" s="96" t="n">
        <f aca="false">Acquisitions!BH$38</f>
        <v>14</v>
      </c>
      <c r="BI23" s="96" t="n">
        <f aca="false">Acquisitions!BI$38</f>
        <v>14</v>
      </c>
      <c r="BJ23" s="96" t="n">
        <f aca="false">Acquisitions!BJ$38</f>
        <v>14</v>
      </c>
      <c r="BK23" s="96" t="n">
        <f aca="false">Acquisitions!BK$38</f>
        <v>14</v>
      </c>
      <c r="BL23" s="96" t="n">
        <f aca="false">Acquisitions!BL$38</f>
        <v>14</v>
      </c>
      <c r="BM23" s="96" t="n">
        <f aca="false">Acquisitions!BM$38</f>
        <v>14</v>
      </c>
      <c r="BN23" s="96" t="n">
        <f aca="false">Acquisitions!BN$38</f>
        <v>14</v>
      </c>
    </row>
    <row r="24" customFormat="false" ht="15" hidden="false" customHeight="false" outlineLevel="0" collapsed="false">
      <c r="A24" s="12" t="s">
        <v>682</v>
      </c>
      <c r="B24" s="80" t="n">
        <f aca="false">SUM(C24:N24)</f>
        <v>55.2</v>
      </c>
      <c r="C24" s="81" t="n">
        <f aca="false">Payroll!C$75*'Assumption Setting'!$C$82+Payroll!C$71*'Assumption Setting'!$D$82+C12*'Assumption Setting'!$E$82+C18*'Assumption Setting'!$F$82</f>
        <v>4.6</v>
      </c>
      <c r="D24" s="81" t="n">
        <f aca="false">Payroll!D$75*'Assumption Setting'!$C$82+Payroll!D$71*'Assumption Setting'!$D$82+D12*'Assumption Setting'!$E$82+D18*'Assumption Setting'!$F$82</f>
        <v>4.6</v>
      </c>
      <c r="E24" s="81" t="n">
        <f aca="false">Payroll!E$75*'Assumption Setting'!$C$82+Payroll!E$71*'Assumption Setting'!$D$82+E12*'Assumption Setting'!$E$82+E18*'Assumption Setting'!$F$82</f>
        <v>4.6</v>
      </c>
      <c r="F24" s="81" t="n">
        <f aca="false">Payroll!F$75*'Assumption Setting'!$C$82+Payroll!F$71*'Assumption Setting'!$D$82+F12*'Assumption Setting'!$E$82+F18*'Assumption Setting'!$F$82</f>
        <v>4.6</v>
      </c>
      <c r="G24" s="81" t="n">
        <f aca="false">Payroll!G$75*'Assumption Setting'!$C$82+Payroll!G$71*'Assumption Setting'!$D$82+G12*'Assumption Setting'!$E$82+G18*'Assumption Setting'!$F$82</f>
        <v>4.6</v>
      </c>
      <c r="H24" s="81" t="n">
        <f aca="false">Payroll!H$75*'Assumption Setting'!$C$82+Payroll!H$71*'Assumption Setting'!$D$82+H12*'Assumption Setting'!$E$82+H18*'Assumption Setting'!$F$82</f>
        <v>4.6</v>
      </c>
      <c r="I24" s="81" t="n">
        <f aca="false">Payroll!I$75*'Assumption Setting'!$C$82+Payroll!I$71*'Assumption Setting'!$D$82+I12*'Assumption Setting'!$E$82+I18*'Assumption Setting'!$F$82</f>
        <v>4.6</v>
      </c>
      <c r="J24" s="81" t="n">
        <f aca="false">Payroll!J$75*'Assumption Setting'!$C$82+Payroll!J$71*'Assumption Setting'!$D$82+J12*'Assumption Setting'!$E$82+J18*'Assumption Setting'!$F$82</f>
        <v>4.6</v>
      </c>
      <c r="K24" s="81" t="n">
        <f aca="false">Payroll!K$75*'Assumption Setting'!$C$82+Payroll!K$71*'Assumption Setting'!$D$82+K12*'Assumption Setting'!$E$82+K18*'Assumption Setting'!$F$82</f>
        <v>4.6</v>
      </c>
      <c r="L24" s="81" t="n">
        <f aca="false">Payroll!L$75*'Assumption Setting'!$C$82+Payroll!L$71*'Assumption Setting'!$D$82+L12*'Assumption Setting'!$E$82+L18*'Assumption Setting'!$F$82</f>
        <v>4.6</v>
      </c>
      <c r="M24" s="81" t="n">
        <f aca="false">Payroll!M$75*'Assumption Setting'!$C$82+Payroll!M$71*'Assumption Setting'!$D$82+M12*'Assumption Setting'!$E$82+M18*'Assumption Setting'!$F$82</f>
        <v>4.6</v>
      </c>
      <c r="N24" s="81" t="n">
        <f aca="false">Payroll!N$75*'Assumption Setting'!$C$82+Payroll!N$71*'Assumption Setting'!$D$82+N12*'Assumption Setting'!$E$82+N18*'Assumption Setting'!$F$82</f>
        <v>4.6</v>
      </c>
      <c r="O24" s="80" t="n">
        <f aca="false">SUM(P24:AA24)</f>
        <v>150</v>
      </c>
      <c r="P24" s="81" t="n">
        <f aca="false">Payroll!P$75*'Assumption Setting'!$C$82+Payroll!P$71*'Assumption Setting'!$D$82+P12*'Assumption Setting'!$E$82+P18*'Assumption Setting'!$F$82</f>
        <v>12.5</v>
      </c>
      <c r="Q24" s="81" t="n">
        <f aca="false">Payroll!Q$75*'Assumption Setting'!$C$82+Payroll!Q$71*'Assumption Setting'!$D$82+Q12*'Assumption Setting'!$E$82+Q18*'Assumption Setting'!$F$82</f>
        <v>12.5</v>
      </c>
      <c r="R24" s="81" t="n">
        <f aca="false">Payroll!R$75*'Assumption Setting'!$C$82+Payroll!R$71*'Assumption Setting'!$D$82+R12*'Assumption Setting'!$E$82+R18*'Assumption Setting'!$F$82</f>
        <v>12.5</v>
      </c>
      <c r="S24" s="81" t="n">
        <f aca="false">Payroll!S$75*'Assumption Setting'!$C$82+Payroll!S$71*'Assumption Setting'!$D$82+S12*'Assumption Setting'!$E$82+S18*'Assumption Setting'!$F$82</f>
        <v>12.5</v>
      </c>
      <c r="T24" s="81" t="n">
        <f aca="false">Payroll!T$75*'Assumption Setting'!$C$82+Payroll!T$71*'Assumption Setting'!$D$82+T12*'Assumption Setting'!$E$82+T18*'Assumption Setting'!$F$82</f>
        <v>12.5</v>
      </c>
      <c r="U24" s="81" t="n">
        <f aca="false">Payroll!U$75*'Assumption Setting'!$C$82+Payroll!U$71*'Assumption Setting'!$D$82+U12*'Assumption Setting'!$E$82+U18*'Assumption Setting'!$F$82</f>
        <v>12.5</v>
      </c>
      <c r="V24" s="81" t="n">
        <f aca="false">Payroll!V$75*'Assumption Setting'!$C$82+Payroll!V$71*'Assumption Setting'!$D$82+V12*'Assumption Setting'!$E$82+V18*'Assumption Setting'!$F$82</f>
        <v>12.5</v>
      </c>
      <c r="W24" s="81" t="n">
        <f aca="false">Payroll!W$75*'Assumption Setting'!$C$82+Payroll!W$71*'Assumption Setting'!$D$82+W12*'Assumption Setting'!$E$82+W18*'Assumption Setting'!$F$82</f>
        <v>12.5</v>
      </c>
      <c r="X24" s="81" t="n">
        <f aca="false">Payroll!X$75*'Assumption Setting'!$C$82+Payroll!X$71*'Assumption Setting'!$D$82+X12*'Assumption Setting'!$E$82+X18*'Assumption Setting'!$F$82</f>
        <v>12.5</v>
      </c>
      <c r="Y24" s="81" t="n">
        <f aca="false">Payroll!Y$75*'Assumption Setting'!$C$82+Payroll!Y$71*'Assumption Setting'!$D$82+Y12*'Assumption Setting'!$E$82+Y18*'Assumption Setting'!$F$82</f>
        <v>12.5</v>
      </c>
      <c r="Z24" s="81" t="n">
        <f aca="false">Payroll!Z$75*'Assumption Setting'!$C$82+Payroll!Z$71*'Assumption Setting'!$D$82+Z12*'Assumption Setting'!$E$82+Z18*'Assumption Setting'!$F$82</f>
        <v>12.5</v>
      </c>
      <c r="AA24" s="81" t="n">
        <f aca="false">Payroll!AA$75*'Assumption Setting'!$C$82+Payroll!AA$71*'Assumption Setting'!$D$82+AA12*'Assumption Setting'!$E$82+AA18*'Assumption Setting'!$F$82</f>
        <v>12.5</v>
      </c>
      <c r="AB24" s="80" t="n">
        <f aca="false">SUM(AC24:AN24)</f>
        <v>270</v>
      </c>
      <c r="AC24" s="81" t="n">
        <f aca="false">Payroll!AC$75*'Assumption Setting'!$C$82+Payroll!AC$71*'Assumption Setting'!$D$82+AC12*'Assumption Setting'!$E$82+AC18*'Assumption Setting'!$F$82</f>
        <v>22.5</v>
      </c>
      <c r="AD24" s="81" t="n">
        <f aca="false">Payroll!AD$75*'Assumption Setting'!$C$82+Payroll!AD$71*'Assumption Setting'!$D$82+AD12*'Assumption Setting'!$E$82+AD18*'Assumption Setting'!$F$82</f>
        <v>22.5</v>
      </c>
      <c r="AE24" s="81" t="n">
        <f aca="false">Payroll!AE$75*'Assumption Setting'!$C$82+Payroll!AE$71*'Assumption Setting'!$D$82+AE12*'Assumption Setting'!$E$82+AE18*'Assumption Setting'!$F$82</f>
        <v>22.5</v>
      </c>
      <c r="AF24" s="81" t="n">
        <f aca="false">Payroll!AF$75*'Assumption Setting'!$C$82+Payroll!AF$71*'Assumption Setting'!$D$82+AF12*'Assumption Setting'!$E$82+AF18*'Assumption Setting'!$F$82</f>
        <v>22.5</v>
      </c>
      <c r="AG24" s="81" t="n">
        <f aca="false">Payroll!AG$75*'Assumption Setting'!$C$82+Payroll!AG$71*'Assumption Setting'!$D$82+AG12*'Assumption Setting'!$E$82+AG18*'Assumption Setting'!$F$82</f>
        <v>22.5</v>
      </c>
      <c r="AH24" s="81" t="n">
        <f aca="false">Payroll!AH$75*'Assumption Setting'!$C$82+Payroll!AH$71*'Assumption Setting'!$D$82+AH12*'Assumption Setting'!$E$82+AH18*'Assumption Setting'!$F$82</f>
        <v>22.5</v>
      </c>
      <c r="AI24" s="81" t="n">
        <f aca="false">Payroll!AI$75*'Assumption Setting'!$C$82+Payroll!AI$71*'Assumption Setting'!$D$82+AI12*'Assumption Setting'!$E$82+AI18*'Assumption Setting'!$F$82</f>
        <v>22.5</v>
      </c>
      <c r="AJ24" s="81" t="n">
        <f aca="false">Payroll!AJ$75*'Assumption Setting'!$C$82+Payroll!AJ$71*'Assumption Setting'!$D$82+AJ12*'Assumption Setting'!$E$82+AJ18*'Assumption Setting'!$F$82</f>
        <v>22.5</v>
      </c>
      <c r="AK24" s="81" t="n">
        <f aca="false">Payroll!AK$75*'Assumption Setting'!$C$82+Payroll!AK$71*'Assumption Setting'!$D$82+AK12*'Assumption Setting'!$E$82+AK18*'Assumption Setting'!$F$82</f>
        <v>22.5</v>
      </c>
      <c r="AL24" s="81" t="n">
        <f aca="false">Payroll!AL$75*'Assumption Setting'!$C$82+Payroll!AL$71*'Assumption Setting'!$D$82+AL12*'Assumption Setting'!$E$82+AL18*'Assumption Setting'!$F$82</f>
        <v>22.5</v>
      </c>
      <c r="AM24" s="81" t="n">
        <f aca="false">Payroll!AM$75*'Assumption Setting'!$C$82+Payroll!AM$71*'Assumption Setting'!$D$82+AM12*'Assumption Setting'!$E$82+AM18*'Assumption Setting'!$F$82</f>
        <v>22.5</v>
      </c>
      <c r="AN24" s="81" t="n">
        <f aca="false">Payroll!AN$75*'Assumption Setting'!$C$82+Payroll!AN$71*'Assumption Setting'!$D$82+AN12*'Assumption Setting'!$E$82+AN18*'Assumption Setting'!$F$82</f>
        <v>22.5</v>
      </c>
      <c r="AO24" s="80" t="n">
        <f aca="false">SUM(AP24:BA24)</f>
        <v>409.5</v>
      </c>
      <c r="AP24" s="81" t="n">
        <f aca="false">Payroll!AP$75*'Assumption Setting'!$C$82+Payroll!AP$71*'Assumption Setting'!$D$82+AP12*'Assumption Setting'!$E$82+AP18*'Assumption Setting'!$F$82</f>
        <v>34</v>
      </c>
      <c r="AQ24" s="81" t="n">
        <f aca="false">Payroll!AQ$75*'Assumption Setting'!$C$82+Payroll!AQ$71*'Assumption Setting'!$D$82+AQ12*'Assumption Setting'!$E$82+AQ18*'Assumption Setting'!$F$82</f>
        <v>34</v>
      </c>
      <c r="AR24" s="81" t="n">
        <f aca="false">Payroll!AR$75*'Assumption Setting'!$C$82+Payroll!AR$71*'Assumption Setting'!$D$82+AR12*'Assumption Setting'!$E$82+AR18*'Assumption Setting'!$F$82</f>
        <v>34</v>
      </c>
      <c r="AS24" s="81" t="n">
        <f aca="false">Payroll!AS$75*'Assumption Setting'!$C$82+Payroll!AS$71*'Assumption Setting'!$D$82+AS12*'Assumption Setting'!$E$82+AS18*'Assumption Setting'!$F$82</f>
        <v>34</v>
      </c>
      <c r="AT24" s="81" t="n">
        <f aca="false">Payroll!AT$75*'Assumption Setting'!$C$82+Payroll!AT$71*'Assumption Setting'!$D$82+AT12*'Assumption Setting'!$E$82+AT18*'Assumption Setting'!$F$82</f>
        <v>34</v>
      </c>
      <c r="AU24" s="81" t="n">
        <f aca="false">Payroll!AU$75*'Assumption Setting'!$C$82+Payroll!AU$71*'Assumption Setting'!$D$82+AU12*'Assumption Setting'!$E$82+AU18*'Assumption Setting'!$F$82</f>
        <v>34</v>
      </c>
      <c r="AV24" s="81" t="n">
        <f aca="false">Payroll!AV$75*'Assumption Setting'!$C$82+Payroll!AV$71*'Assumption Setting'!$D$82+AV12*'Assumption Setting'!$E$82+AV18*'Assumption Setting'!$F$82</f>
        <v>34</v>
      </c>
      <c r="AW24" s="81" t="n">
        <f aca="false">Payroll!AW$75*'Assumption Setting'!$C$82+Payroll!AW$71*'Assumption Setting'!$D$82+AW12*'Assumption Setting'!$E$82+AW18*'Assumption Setting'!$F$82</f>
        <v>34</v>
      </c>
      <c r="AX24" s="81" t="n">
        <f aca="false">Payroll!AX$75*'Assumption Setting'!$C$82+Payroll!AX$71*'Assumption Setting'!$D$82+AX12*'Assumption Setting'!$E$82+AX18*'Assumption Setting'!$F$82</f>
        <v>34</v>
      </c>
      <c r="AY24" s="81" t="n">
        <f aca="false">Payroll!AY$75*'Assumption Setting'!$C$82+Payroll!AY$71*'Assumption Setting'!$D$82+AY12*'Assumption Setting'!$E$82+AY18*'Assumption Setting'!$F$82</f>
        <v>34.5</v>
      </c>
      <c r="AZ24" s="81" t="n">
        <f aca="false">Payroll!AZ$75*'Assumption Setting'!$C$82+Payroll!AZ$71*'Assumption Setting'!$D$82+AZ12*'Assumption Setting'!$E$82+AZ18*'Assumption Setting'!$F$82</f>
        <v>34.5</v>
      </c>
      <c r="BA24" s="81" t="n">
        <f aca="false">Payroll!BA$75*'Assumption Setting'!$C$82+Payroll!BA$71*'Assumption Setting'!$D$82+BA12*'Assumption Setting'!$E$82+BA18*'Assumption Setting'!$F$82</f>
        <v>34.5</v>
      </c>
      <c r="BB24" s="80" t="n">
        <f aca="false">SUM(BC24:BN24)</f>
        <v>551</v>
      </c>
      <c r="BC24" s="81" t="n">
        <f aca="false">Payroll!BC$75*'Assumption Setting'!$C$82+Payroll!BC$71*'Assumption Setting'!$D$82+BC12*'Assumption Setting'!$E$82+BC18*'Assumption Setting'!$F$82</f>
        <v>45.5</v>
      </c>
      <c r="BD24" s="81" t="n">
        <f aca="false">Payroll!BD$75*'Assumption Setting'!$C$82+Payroll!BD$71*'Assumption Setting'!$D$82+BD12*'Assumption Setting'!$E$82+BD18*'Assumption Setting'!$F$82</f>
        <v>45.5</v>
      </c>
      <c r="BE24" s="81" t="n">
        <f aca="false">Payroll!BE$75*'Assumption Setting'!$C$82+Payroll!BE$71*'Assumption Setting'!$D$82+BE12*'Assumption Setting'!$E$82+BE18*'Assumption Setting'!$F$82</f>
        <v>46</v>
      </c>
      <c r="BF24" s="81" t="n">
        <f aca="false">Payroll!BF$75*'Assumption Setting'!$C$82+Payroll!BF$71*'Assumption Setting'!$D$82+BF12*'Assumption Setting'!$E$82+BF18*'Assumption Setting'!$F$82</f>
        <v>46</v>
      </c>
      <c r="BG24" s="81" t="n">
        <f aca="false">Payroll!BG$75*'Assumption Setting'!$C$82+Payroll!BG$71*'Assumption Setting'!$D$82+BG12*'Assumption Setting'!$E$82+BG18*'Assumption Setting'!$F$82</f>
        <v>46</v>
      </c>
      <c r="BH24" s="81" t="n">
        <f aca="false">Payroll!BH$75*'Assumption Setting'!$C$82+Payroll!BH$71*'Assumption Setting'!$D$82+BH12*'Assumption Setting'!$E$82+BH18*'Assumption Setting'!$F$82</f>
        <v>46</v>
      </c>
      <c r="BI24" s="81" t="n">
        <f aca="false">Payroll!BI$75*'Assumption Setting'!$C$82+Payroll!BI$71*'Assumption Setting'!$D$82+BI12*'Assumption Setting'!$E$82+BI18*'Assumption Setting'!$F$82</f>
        <v>46</v>
      </c>
      <c r="BJ24" s="81" t="n">
        <f aca="false">Payroll!BJ$75*'Assumption Setting'!$C$82+Payroll!BJ$71*'Assumption Setting'!$D$82+BJ12*'Assumption Setting'!$E$82+BJ18*'Assumption Setting'!$F$82</f>
        <v>46</v>
      </c>
      <c r="BK24" s="81" t="n">
        <f aca="false">Payroll!BK$75*'Assumption Setting'!$C$82+Payroll!BK$71*'Assumption Setting'!$D$82+BK12*'Assumption Setting'!$E$82+BK18*'Assumption Setting'!$F$82</f>
        <v>46</v>
      </c>
      <c r="BL24" s="81" t="n">
        <f aca="false">Payroll!BL$75*'Assumption Setting'!$C$82+Payroll!BL$71*'Assumption Setting'!$D$82+BL12*'Assumption Setting'!$E$82+BL18*'Assumption Setting'!$F$82</f>
        <v>46</v>
      </c>
      <c r="BM24" s="81" t="n">
        <f aca="false">Payroll!BM$75*'Assumption Setting'!$C$82+Payroll!BM$71*'Assumption Setting'!$D$82+BM12*'Assumption Setting'!$E$82+BM18*'Assumption Setting'!$F$82</f>
        <v>46</v>
      </c>
      <c r="BN24" s="81" t="n">
        <f aca="false">Payroll!BN$75*'Assumption Setting'!$C$82+Payroll!BN$71*'Assumption Setting'!$D$82+BN12*'Assumption Setting'!$E$82+BN18*'Assumption Setting'!$F$82</f>
        <v>46</v>
      </c>
    </row>
    <row r="25" customFormat="false" ht="15" hidden="false" customHeight="false" outlineLevel="0" collapsed="false">
      <c r="A25" s="12" t="s">
        <v>683</v>
      </c>
      <c r="B25" s="80" t="n">
        <f aca="false">SUM(C25:N25)</f>
        <v>43.2</v>
      </c>
      <c r="C25" s="81" t="n">
        <f aca="false">C24-C23</f>
        <v>3.6</v>
      </c>
      <c r="D25" s="81" t="n">
        <f aca="false">D24-D23</f>
        <v>3.6</v>
      </c>
      <c r="E25" s="81" t="n">
        <f aca="false">E24-E23</f>
        <v>3.6</v>
      </c>
      <c r="F25" s="81" t="n">
        <f aca="false">F24-F23</f>
        <v>3.6</v>
      </c>
      <c r="G25" s="81" t="n">
        <f aca="false">G24-G23</f>
        <v>3.6</v>
      </c>
      <c r="H25" s="81" t="n">
        <f aca="false">H24-H23</f>
        <v>3.6</v>
      </c>
      <c r="I25" s="81" t="n">
        <f aca="false">I24-I23</f>
        <v>3.6</v>
      </c>
      <c r="J25" s="81" t="n">
        <f aca="false">J24-J23</f>
        <v>3.6</v>
      </c>
      <c r="K25" s="81" t="n">
        <f aca="false">K24-K23</f>
        <v>3.6</v>
      </c>
      <c r="L25" s="81" t="n">
        <f aca="false">L24-L23</f>
        <v>3.6</v>
      </c>
      <c r="M25" s="81" t="n">
        <f aca="false">M24-M23</f>
        <v>3.6</v>
      </c>
      <c r="N25" s="81" t="n">
        <f aca="false">N24-N23</f>
        <v>3.6</v>
      </c>
      <c r="O25" s="80" t="n">
        <f aca="false">SUM(P25:AA25)</f>
        <v>102</v>
      </c>
      <c r="P25" s="81" t="n">
        <f aca="false">P24-P23</f>
        <v>8.5</v>
      </c>
      <c r="Q25" s="81" t="n">
        <f aca="false">Q24-Q23</f>
        <v>8.5</v>
      </c>
      <c r="R25" s="81" t="n">
        <f aca="false">R24-R23</f>
        <v>8.5</v>
      </c>
      <c r="S25" s="81" t="n">
        <f aca="false">S24-S23</f>
        <v>8.5</v>
      </c>
      <c r="T25" s="81" t="n">
        <f aca="false">T24-T23</f>
        <v>8.5</v>
      </c>
      <c r="U25" s="81" t="n">
        <f aca="false">U24-U23</f>
        <v>8.5</v>
      </c>
      <c r="V25" s="81" t="n">
        <f aca="false">V24-V23</f>
        <v>8.5</v>
      </c>
      <c r="W25" s="81" t="n">
        <f aca="false">W24-W23</f>
        <v>8.5</v>
      </c>
      <c r="X25" s="81" t="n">
        <f aca="false">X24-X23</f>
        <v>8.5</v>
      </c>
      <c r="Y25" s="81" t="n">
        <f aca="false">Y24-Y23</f>
        <v>8.5</v>
      </c>
      <c r="Z25" s="81" t="n">
        <f aca="false">Z24-Z23</f>
        <v>8.5</v>
      </c>
      <c r="AA25" s="81" t="n">
        <f aca="false">AA24-AA23</f>
        <v>8.5</v>
      </c>
      <c r="AB25" s="80" t="n">
        <f aca="false">SUM(AC25:AN25)</f>
        <v>174</v>
      </c>
      <c r="AC25" s="81" t="n">
        <f aca="false">AC24-AC23</f>
        <v>14.5</v>
      </c>
      <c r="AD25" s="81" t="n">
        <f aca="false">AD24-AD23</f>
        <v>14.5</v>
      </c>
      <c r="AE25" s="81" t="n">
        <f aca="false">AE24-AE23</f>
        <v>14.5</v>
      </c>
      <c r="AF25" s="81" t="n">
        <f aca="false">AF24-AF23</f>
        <v>14.5</v>
      </c>
      <c r="AG25" s="81" t="n">
        <f aca="false">AG24-AG23</f>
        <v>14.5</v>
      </c>
      <c r="AH25" s="81" t="n">
        <f aca="false">AH24-AH23</f>
        <v>14.5</v>
      </c>
      <c r="AI25" s="81" t="n">
        <f aca="false">AI24-AI23</f>
        <v>14.5</v>
      </c>
      <c r="AJ25" s="81" t="n">
        <f aca="false">AJ24-AJ23</f>
        <v>14.5</v>
      </c>
      <c r="AK25" s="81" t="n">
        <f aca="false">AK24-AK23</f>
        <v>14.5</v>
      </c>
      <c r="AL25" s="81" t="n">
        <f aca="false">AL24-AL23</f>
        <v>14.5</v>
      </c>
      <c r="AM25" s="81" t="n">
        <f aca="false">AM24-AM23</f>
        <v>14.5</v>
      </c>
      <c r="AN25" s="81" t="n">
        <f aca="false">AN24-AN23</f>
        <v>14.5</v>
      </c>
      <c r="AO25" s="80" t="n">
        <f aca="false">SUM(AP25:BA25)</f>
        <v>277.5</v>
      </c>
      <c r="AP25" s="81" t="n">
        <f aca="false">AP24-AP23</f>
        <v>23</v>
      </c>
      <c r="AQ25" s="81" t="n">
        <f aca="false">AQ24-AQ23</f>
        <v>23</v>
      </c>
      <c r="AR25" s="81" t="n">
        <f aca="false">AR24-AR23</f>
        <v>23</v>
      </c>
      <c r="AS25" s="81" t="n">
        <f aca="false">AS24-AS23</f>
        <v>23</v>
      </c>
      <c r="AT25" s="81" t="n">
        <f aca="false">AT24-AT23</f>
        <v>23</v>
      </c>
      <c r="AU25" s="81" t="n">
        <f aca="false">AU24-AU23</f>
        <v>23</v>
      </c>
      <c r="AV25" s="81" t="n">
        <f aca="false">AV24-AV23</f>
        <v>23</v>
      </c>
      <c r="AW25" s="81" t="n">
        <f aca="false">AW24-AW23</f>
        <v>23</v>
      </c>
      <c r="AX25" s="81" t="n">
        <f aca="false">AX24-AX23</f>
        <v>23</v>
      </c>
      <c r="AY25" s="81" t="n">
        <f aca="false">AY24-AY23</f>
        <v>23.5</v>
      </c>
      <c r="AZ25" s="81" t="n">
        <f aca="false">AZ24-AZ23</f>
        <v>23.5</v>
      </c>
      <c r="BA25" s="81" t="n">
        <f aca="false">BA24-BA23</f>
        <v>23.5</v>
      </c>
      <c r="BB25" s="80" t="n">
        <f aca="false">SUM(BC25:BN25)</f>
        <v>383</v>
      </c>
      <c r="BC25" s="81" t="n">
        <f aca="false">BC24-BC23</f>
        <v>31.5</v>
      </c>
      <c r="BD25" s="81" t="n">
        <f aca="false">BD24-BD23</f>
        <v>31.5</v>
      </c>
      <c r="BE25" s="81" t="n">
        <f aca="false">BE24-BE23</f>
        <v>32</v>
      </c>
      <c r="BF25" s="81" t="n">
        <f aca="false">BF24-BF23</f>
        <v>32</v>
      </c>
      <c r="BG25" s="81" t="n">
        <f aca="false">BG24-BG23</f>
        <v>32</v>
      </c>
      <c r="BH25" s="81" t="n">
        <f aca="false">BH24-BH23</f>
        <v>32</v>
      </c>
      <c r="BI25" s="81" t="n">
        <f aca="false">BI24-BI23</f>
        <v>32</v>
      </c>
      <c r="BJ25" s="81" t="n">
        <f aca="false">BJ24-BJ23</f>
        <v>32</v>
      </c>
      <c r="BK25" s="81" t="n">
        <f aca="false">BK24-BK23</f>
        <v>32</v>
      </c>
      <c r="BL25" s="81" t="n">
        <f aca="false">BL24-BL23</f>
        <v>32</v>
      </c>
      <c r="BM25" s="81" t="n">
        <f aca="false">BM24-BM23</f>
        <v>32</v>
      </c>
      <c r="BN25" s="81" t="n">
        <f aca="false">BN24-BN23</f>
        <v>32</v>
      </c>
    </row>
    <row r="26" customFormat="false" ht="15" hidden="false" customHeight="false" outlineLevel="0" collapsed="false">
      <c r="A26" s="12" t="s">
        <v>684</v>
      </c>
      <c r="B26" s="80" t="n">
        <f aca="false">SUM(C26:N26)</f>
        <v>24</v>
      </c>
      <c r="C26" s="96" t="n">
        <f aca="false">Acquisitions!C$42</f>
        <v>2</v>
      </c>
      <c r="D26" s="96" t="n">
        <f aca="false">Acquisitions!D$42</f>
        <v>2</v>
      </c>
      <c r="E26" s="96" t="n">
        <f aca="false">Acquisitions!E$42</f>
        <v>2</v>
      </c>
      <c r="F26" s="96" t="n">
        <f aca="false">Acquisitions!F$42</f>
        <v>2</v>
      </c>
      <c r="G26" s="96" t="n">
        <f aca="false">Acquisitions!G$42</f>
        <v>2</v>
      </c>
      <c r="H26" s="96" t="n">
        <f aca="false">Acquisitions!H$42</f>
        <v>2</v>
      </c>
      <c r="I26" s="96" t="n">
        <f aca="false">Acquisitions!I$42</f>
        <v>2</v>
      </c>
      <c r="J26" s="96" t="n">
        <f aca="false">Acquisitions!J$42</f>
        <v>2</v>
      </c>
      <c r="K26" s="96" t="n">
        <f aca="false">Acquisitions!K$42</f>
        <v>2</v>
      </c>
      <c r="L26" s="96" t="n">
        <f aca="false">Acquisitions!L$42</f>
        <v>2</v>
      </c>
      <c r="M26" s="96" t="n">
        <f aca="false">Acquisitions!M$42</f>
        <v>2</v>
      </c>
      <c r="N26" s="96" t="n">
        <f aca="false">Acquisitions!N$42</f>
        <v>2</v>
      </c>
      <c r="O26" s="80" t="n">
        <f aca="false">SUM(P26:AA26)</f>
        <v>60</v>
      </c>
      <c r="P26" s="96" t="n">
        <f aca="false">Acquisitions!P$42</f>
        <v>5</v>
      </c>
      <c r="Q26" s="96" t="n">
        <f aca="false">Acquisitions!Q$42</f>
        <v>5</v>
      </c>
      <c r="R26" s="96" t="n">
        <f aca="false">Acquisitions!R$42</f>
        <v>5</v>
      </c>
      <c r="S26" s="96" t="n">
        <f aca="false">Acquisitions!S$42</f>
        <v>5</v>
      </c>
      <c r="T26" s="96" t="n">
        <f aca="false">Acquisitions!T$42</f>
        <v>5</v>
      </c>
      <c r="U26" s="96" t="n">
        <f aca="false">Acquisitions!U$42</f>
        <v>5</v>
      </c>
      <c r="V26" s="96" t="n">
        <f aca="false">Acquisitions!V$42</f>
        <v>5</v>
      </c>
      <c r="W26" s="96" t="n">
        <f aca="false">Acquisitions!W$42</f>
        <v>5</v>
      </c>
      <c r="X26" s="96" t="n">
        <f aca="false">Acquisitions!X$42</f>
        <v>5</v>
      </c>
      <c r="Y26" s="96" t="n">
        <f aca="false">Acquisitions!Y$42</f>
        <v>5</v>
      </c>
      <c r="Z26" s="96" t="n">
        <f aca="false">Acquisitions!Z$42</f>
        <v>5</v>
      </c>
      <c r="AA26" s="96" t="n">
        <f aca="false">Acquisitions!AA$42</f>
        <v>5</v>
      </c>
      <c r="AB26" s="80" t="n">
        <f aca="false">SUM(AC26:AN26)</f>
        <v>108</v>
      </c>
      <c r="AC26" s="96" t="n">
        <f aca="false">Acquisitions!AC$42</f>
        <v>9</v>
      </c>
      <c r="AD26" s="96" t="n">
        <f aca="false">Acquisitions!AD$42</f>
        <v>9</v>
      </c>
      <c r="AE26" s="96" t="n">
        <f aca="false">Acquisitions!AE$42</f>
        <v>9</v>
      </c>
      <c r="AF26" s="96" t="n">
        <f aca="false">Acquisitions!AF$42</f>
        <v>9</v>
      </c>
      <c r="AG26" s="96" t="n">
        <f aca="false">Acquisitions!AG$42</f>
        <v>9</v>
      </c>
      <c r="AH26" s="96" t="n">
        <f aca="false">Acquisitions!AH$42</f>
        <v>9</v>
      </c>
      <c r="AI26" s="96" t="n">
        <f aca="false">Acquisitions!AI$42</f>
        <v>9</v>
      </c>
      <c r="AJ26" s="96" t="n">
        <f aca="false">Acquisitions!AJ$42</f>
        <v>9</v>
      </c>
      <c r="AK26" s="96" t="n">
        <f aca="false">Acquisitions!AK$42</f>
        <v>9</v>
      </c>
      <c r="AL26" s="96" t="n">
        <f aca="false">Acquisitions!AL$42</f>
        <v>9</v>
      </c>
      <c r="AM26" s="96" t="n">
        <f aca="false">Acquisitions!AM$42</f>
        <v>9</v>
      </c>
      <c r="AN26" s="96" t="n">
        <f aca="false">Acquisitions!AN$42</f>
        <v>9</v>
      </c>
      <c r="AO26" s="80" t="n">
        <f aca="false">SUM(AP26:BA26)</f>
        <v>144</v>
      </c>
      <c r="AP26" s="96" t="n">
        <f aca="false">Acquisitions!AP$42</f>
        <v>12</v>
      </c>
      <c r="AQ26" s="96" t="n">
        <f aca="false">Acquisitions!AQ$42</f>
        <v>12</v>
      </c>
      <c r="AR26" s="96" t="n">
        <f aca="false">Acquisitions!AR$42</f>
        <v>12</v>
      </c>
      <c r="AS26" s="96" t="n">
        <f aca="false">Acquisitions!AS$42</f>
        <v>12</v>
      </c>
      <c r="AT26" s="96" t="n">
        <f aca="false">Acquisitions!AT$42</f>
        <v>12</v>
      </c>
      <c r="AU26" s="96" t="n">
        <f aca="false">Acquisitions!AU$42</f>
        <v>12</v>
      </c>
      <c r="AV26" s="96" t="n">
        <f aca="false">Acquisitions!AV$42</f>
        <v>12</v>
      </c>
      <c r="AW26" s="96" t="n">
        <f aca="false">Acquisitions!AW$42</f>
        <v>12</v>
      </c>
      <c r="AX26" s="96" t="n">
        <f aca="false">Acquisitions!AX$42</f>
        <v>12</v>
      </c>
      <c r="AY26" s="96" t="n">
        <f aca="false">Acquisitions!AY$42</f>
        <v>12</v>
      </c>
      <c r="AZ26" s="96" t="n">
        <f aca="false">Acquisitions!AZ$42</f>
        <v>12</v>
      </c>
      <c r="BA26" s="96" t="n">
        <f aca="false">Acquisitions!BA$42</f>
        <v>12</v>
      </c>
      <c r="BB26" s="80" t="n">
        <f aca="false">SUM(BC26:BN26)</f>
        <v>180</v>
      </c>
      <c r="BC26" s="96" t="n">
        <f aca="false">Acquisitions!BC$42</f>
        <v>15</v>
      </c>
      <c r="BD26" s="96" t="n">
        <f aca="false">Acquisitions!BD$42</f>
        <v>15</v>
      </c>
      <c r="BE26" s="96" t="n">
        <f aca="false">Acquisitions!BE$42</f>
        <v>15</v>
      </c>
      <c r="BF26" s="96" t="n">
        <f aca="false">Acquisitions!BF$42</f>
        <v>15</v>
      </c>
      <c r="BG26" s="96" t="n">
        <f aca="false">Acquisitions!BG$42</f>
        <v>15</v>
      </c>
      <c r="BH26" s="96" t="n">
        <f aca="false">Acquisitions!BH$42</f>
        <v>15</v>
      </c>
      <c r="BI26" s="96" t="n">
        <f aca="false">Acquisitions!BI$42</f>
        <v>15</v>
      </c>
      <c r="BJ26" s="96" t="n">
        <f aca="false">Acquisitions!BJ$42</f>
        <v>15</v>
      </c>
      <c r="BK26" s="96" t="n">
        <f aca="false">Acquisitions!BK$42</f>
        <v>15</v>
      </c>
      <c r="BL26" s="96" t="n">
        <f aca="false">Acquisitions!BL$42</f>
        <v>15</v>
      </c>
      <c r="BM26" s="96" t="n">
        <f aca="false">Acquisitions!BM$42</f>
        <v>15</v>
      </c>
      <c r="BN26" s="96" t="n">
        <f aca="false">Acquisitions!BN$42</f>
        <v>15</v>
      </c>
    </row>
    <row r="27" customFormat="false" ht="15" hidden="false" customHeight="false" outlineLevel="0" collapsed="false">
      <c r="A27" s="12" t="s">
        <v>682</v>
      </c>
      <c r="B27" s="80" t="n">
        <f aca="false">SUM(C27:N27)</f>
        <v>157.2</v>
      </c>
      <c r="C27" s="81" t="n">
        <f aca="false">Payroll!C$73*'Assumption Setting'!$C$83+Payroll!C$71*'Assumption Setting'!$D$83+C12*'Assumption Setting'!$E$83+C18*'Assumption Setting'!$F$83</f>
        <v>13.1</v>
      </c>
      <c r="D27" s="81" t="n">
        <f aca="false">Payroll!D$73*'Assumption Setting'!$C$83+Payroll!D$71*'Assumption Setting'!$D$83+D12*'Assumption Setting'!$E$83+D18*'Assumption Setting'!$F$83</f>
        <v>13.1</v>
      </c>
      <c r="E27" s="81" t="n">
        <f aca="false">Payroll!E$73*'Assumption Setting'!$C$83+Payroll!E$71*'Assumption Setting'!$D$83+E12*'Assumption Setting'!$E$83+E18*'Assumption Setting'!$F$83</f>
        <v>13.1</v>
      </c>
      <c r="F27" s="81" t="n">
        <f aca="false">Payroll!F$73*'Assumption Setting'!$C$83+Payroll!F$71*'Assumption Setting'!$D$83+F12*'Assumption Setting'!$E$83+F18*'Assumption Setting'!$F$83</f>
        <v>13.1</v>
      </c>
      <c r="G27" s="81" t="n">
        <f aca="false">Payroll!G$73*'Assumption Setting'!$C$83+Payroll!G$71*'Assumption Setting'!$D$83+G12*'Assumption Setting'!$E$83+G18*'Assumption Setting'!$F$83</f>
        <v>13.1</v>
      </c>
      <c r="H27" s="81" t="n">
        <f aca="false">Payroll!H$73*'Assumption Setting'!$C$83+Payroll!H$71*'Assumption Setting'!$D$83+H12*'Assumption Setting'!$E$83+H18*'Assumption Setting'!$F$83</f>
        <v>13.1</v>
      </c>
      <c r="I27" s="81" t="n">
        <f aca="false">Payroll!I$73*'Assumption Setting'!$C$83+Payroll!I$71*'Assumption Setting'!$D$83+I12*'Assumption Setting'!$E$83+I18*'Assumption Setting'!$F$83</f>
        <v>13.1</v>
      </c>
      <c r="J27" s="81" t="n">
        <f aca="false">Payroll!J$73*'Assumption Setting'!$C$83+Payroll!J$71*'Assumption Setting'!$D$83+J12*'Assumption Setting'!$E$83+J18*'Assumption Setting'!$F$83</f>
        <v>13.1</v>
      </c>
      <c r="K27" s="81" t="n">
        <f aca="false">Payroll!K$73*'Assumption Setting'!$C$83+Payroll!K$71*'Assumption Setting'!$D$83+K12*'Assumption Setting'!$E$83+K18*'Assumption Setting'!$F$83</f>
        <v>13.1</v>
      </c>
      <c r="L27" s="81" t="n">
        <f aca="false">Payroll!L$73*'Assumption Setting'!$C$83+Payroll!L$71*'Assumption Setting'!$D$83+L12*'Assumption Setting'!$E$83+L18*'Assumption Setting'!$F$83</f>
        <v>13.1</v>
      </c>
      <c r="M27" s="81" t="n">
        <f aca="false">Payroll!M$73*'Assumption Setting'!$C$83+Payroll!M$71*'Assumption Setting'!$D$83+M12*'Assumption Setting'!$E$83+M18*'Assumption Setting'!$F$83</f>
        <v>13.1</v>
      </c>
      <c r="N27" s="81" t="n">
        <f aca="false">Payroll!N$73*'Assumption Setting'!$C$83+Payroll!N$71*'Assumption Setting'!$D$83+N12*'Assumption Setting'!$E$83+N18*'Assumption Setting'!$F$83</f>
        <v>13.1</v>
      </c>
      <c r="O27" s="80" t="n">
        <f aca="false">SUM(P27:AA27)</f>
        <v>402</v>
      </c>
      <c r="P27" s="81" t="n">
        <f aca="false">Payroll!P$73*'Assumption Setting'!$C$83+Payroll!P$71*'Assumption Setting'!$D$83+P12*'Assumption Setting'!$E$83+P18*'Assumption Setting'!$F$83</f>
        <v>33.5</v>
      </c>
      <c r="Q27" s="81" t="n">
        <f aca="false">Payroll!Q$73*'Assumption Setting'!$C$83+Payroll!Q$71*'Assumption Setting'!$D$83+Q12*'Assumption Setting'!$E$83+Q18*'Assumption Setting'!$F$83</f>
        <v>33.5</v>
      </c>
      <c r="R27" s="81" t="n">
        <f aca="false">Payroll!R$73*'Assumption Setting'!$C$83+Payroll!R$71*'Assumption Setting'!$D$83+R12*'Assumption Setting'!$E$83+R18*'Assumption Setting'!$F$83</f>
        <v>33.5</v>
      </c>
      <c r="S27" s="81" t="n">
        <f aca="false">Payroll!S$73*'Assumption Setting'!$C$83+Payroll!S$71*'Assumption Setting'!$D$83+S12*'Assumption Setting'!$E$83+S18*'Assumption Setting'!$F$83</f>
        <v>33.5</v>
      </c>
      <c r="T27" s="81" t="n">
        <f aca="false">Payroll!T$73*'Assumption Setting'!$C$83+Payroll!T$71*'Assumption Setting'!$D$83+T12*'Assumption Setting'!$E$83+T18*'Assumption Setting'!$F$83</f>
        <v>33.5</v>
      </c>
      <c r="U27" s="81" t="n">
        <f aca="false">Payroll!U$73*'Assumption Setting'!$C$83+Payroll!U$71*'Assumption Setting'!$D$83+U12*'Assumption Setting'!$E$83+U18*'Assumption Setting'!$F$83</f>
        <v>33.5</v>
      </c>
      <c r="V27" s="81" t="n">
        <f aca="false">Payroll!V$73*'Assumption Setting'!$C$83+Payroll!V$71*'Assumption Setting'!$D$83+V12*'Assumption Setting'!$E$83+V18*'Assumption Setting'!$F$83</f>
        <v>33.5</v>
      </c>
      <c r="W27" s="81" t="n">
        <f aca="false">Payroll!W$73*'Assumption Setting'!$C$83+Payroll!W$71*'Assumption Setting'!$D$83+W12*'Assumption Setting'!$E$83+W18*'Assumption Setting'!$F$83</f>
        <v>33.5</v>
      </c>
      <c r="X27" s="81" t="n">
        <f aca="false">Payroll!X$73*'Assumption Setting'!$C$83+Payroll!X$71*'Assumption Setting'!$D$83+X12*'Assumption Setting'!$E$83+X18*'Assumption Setting'!$F$83</f>
        <v>33.5</v>
      </c>
      <c r="Y27" s="81" t="n">
        <f aca="false">Payroll!Y$73*'Assumption Setting'!$C$83+Payroll!Y$71*'Assumption Setting'!$D$83+Y12*'Assumption Setting'!$E$83+Y18*'Assumption Setting'!$F$83</f>
        <v>33.5</v>
      </c>
      <c r="Z27" s="81" t="n">
        <f aca="false">Payroll!Z$73*'Assumption Setting'!$C$83+Payroll!Z$71*'Assumption Setting'!$D$83+Z12*'Assumption Setting'!$E$83+Z18*'Assumption Setting'!$F$83</f>
        <v>33.5</v>
      </c>
      <c r="AA27" s="81" t="n">
        <f aca="false">Payroll!AA$73*'Assumption Setting'!$C$83+Payroll!AA$71*'Assumption Setting'!$D$83+AA12*'Assumption Setting'!$E$83+AA18*'Assumption Setting'!$F$83</f>
        <v>33.5</v>
      </c>
      <c r="AB27" s="80" t="n">
        <f aca="false">SUM(AC27:AN27)</f>
        <v>834</v>
      </c>
      <c r="AC27" s="81" t="n">
        <f aca="false">Payroll!AC$73*'Assumption Setting'!$C$83+Payroll!AC$71*'Assumption Setting'!$D$83+AC12*'Assumption Setting'!$E$83+AC18*'Assumption Setting'!$F$83</f>
        <v>69.5</v>
      </c>
      <c r="AD27" s="81" t="n">
        <f aca="false">Payroll!AD$73*'Assumption Setting'!$C$83+Payroll!AD$71*'Assumption Setting'!$D$83+AD12*'Assumption Setting'!$E$83+AD18*'Assumption Setting'!$F$83</f>
        <v>69.5</v>
      </c>
      <c r="AE27" s="81" t="n">
        <f aca="false">Payroll!AE$73*'Assumption Setting'!$C$83+Payroll!AE$71*'Assumption Setting'!$D$83+AE12*'Assumption Setting'!$E$83+AE18*'Assumption Setting'!$F$83</f>
        <v>69.5</v>
      </c>
      <c r="AF27" s="81" t="n">
        <f aca="false">Payroll!AF$73*'Assumption Setting'!$C$83+Payroll!AF$71*'Assumption Setting'!$D$83+AF12*'Assumption Setting'!$E$83+AF18*'Assumption Setting'!$F$83</f>
        <v>69.5</v>
      </c>
      <c r="AG27" s="81" t="n">
        <f aca="false">Payroll!AG$73*'Assumption Setting'!$C$83+Payroll!AG$71*'Assumption Setting'!$D$83+AG12*'Assumption Setting'!$E$83+AG18*'Assumption Setting'!$F$83</f>
        <v>69.5</v>
      </c>
      <c r="AH27" s="81" t="n">
        <f aca="false">Payroll!AH$73*'Assumption Setting'!$C$83+Payroll!AH$71*'Assumption Setting'!$D$83+AH12*'Assumption Setting'!$E$83+AH18*'Assumption Setting'!$F$83</f>
        <v>69.5</v>
      </c>
      <c r="AI27" s="81" t="n">
        <f aca="false">Payroll!AI$73*'Assumption Setting'!$C$83+Payroll!AI$71*'Assumption Setting'!$D$83+AI12*'Assumption Setting'!$E$83+AI18*'Assumption Setting'!$F$83</f>
        <v>69.5</v>
      </c>
      <c r="AJ27" s="81" t="n">
        <f aca="false">Payroll!AJ$73*'Assumption Setting'!$C$83+Payroll!AJ$71*'Assumption Setting'!$D$83+AJ12*'Assumption Setting'!$E$83+AJ18*'Assumption Setting'!$F$83</f>
        <v>69.5</v>
      </c>
      <c r="AK27" s="81" t="n">
        <f aca="false">Payroll!AK$73*'Assumption Setting'!$C$83+Payroll!AK$71*'Assumption Setting'!$D$83+AK12*'Assumption Setting'!$E$83+AK18*'Assumption Setting'!$F$83</f>
        <v>69.5</v>
      </c>
      <c r="AL27" s="81" t="n">
        <f aca="false">Payroll!AL$73*'Assumption Setting'!$C$83+Payroll!AL$71*'Assumption Setting'!$D$83+AL12*'Assumption Setting'!$E$83+AL18*'Assumption Setting'!$F$83</f>
        <v>69.5</v>
      </c>
      <c r="AM27" s="81" t="n">
        <f aca="false">Payroll!AM$73*'Assumption Setting'!$C$83+Payroll!AM$71*'Assumption Setting'!$D$83+AM12*'Assumption Setting'!$E$83+AM18*'Assumption Setting'!$F$83</f>
        <v>69.5</v>
      </c>
      <c r="AN27" s="81" t="n">
        <f aca="false">Payroll!AN$73*'Assumption Setting'!$C$83+Payroll!AN$71*'Assumption Setting'!$D$83+AN12*'Assumption Setting'!$E$83+AN18*'Assumption Setting'!$F$83</f>
        <v>69.5</v>
      </c>
      <c r="AO27" s="80" t="n">
        <f aca="false">SUM(AP27:BA27)</f>
        <v>1338</v>
      </c>
      <c r="AP27" s="81" t="n">
        <f aca="false">Payroll!AP$73*'Assumption Setting'!$C$83+Payroll!AP$71*'Assumption Setting'!$D$83+AP12*'Assumption Setting'!$E$83+AP18*'Assumption Setting'!$F$83</f>
        <v>111.5</v>
      </c>
      <c r="AQ27" s="81" t="n">
        <f aca="false">Payroll!AQ$73*'Assumption Setting'!$C$83+Payroll!AQ$71*'Assumption Setting'!$D$83+AQ12*'Assumption Setting'!$E$83+AQ18*'Assumption Setting'!$F$83</f>
        <v>111.5</v>
      </c>
      <c r="AR27" s="81" t="n">
        <f aca="false">Payroll!AR$73*'Assumption Setting'!$C$83+Payroll!AR$71*'Assumption Setting'!$D$83+AR12*'Assumption Setting'!$E$83+AR18*'Assumption Setting'!$F$83</f>
        <v>111.5</v>
      </c>
      <c r="AS27" s="81" t="n">
        <f aca="false">Payroll!AS$73*'Assumption Setting'!$C$83+Payroll!AS$71*'Assumption Setting'!$D$83+AS12*'Assumption Setting'!$E$83+AS18*'Assumption Setting'!$F$83</f>
        <v>111.5</v>
      </c>
      <c r="AT27" s="81" t="n">
        <f aca="false">Payroll!AT$73*'Assumption Setting'!$C$83+Payroll!AT$71*'Assumption Setting'!$D$83+AT12*'Assumption Setting'!$E$83+AT18*'Assumption Setting'!$F$83</f>
        <v>111.5</v>
      </c>
      <c r="AU27" s="81" t="n">
        <f aca="false">Payroll!AU$73*'Assumption Setting'!$C$83+Payroll!AU$71*'Assumption Setting'!$D$83+AU12*'Assumption Setting'!$E$83+AU18*'Assumption Setting'!$F$83</f>
        <v>111.5</v>
      </c>
      <c r="AV27" s="81" t="n">
        <f aca="false">Payroll!AV$73*'Assumption Setting'!$C$83+Payroll!AV$71*'Assumption Setting'!$D$83+AV12*'Assumption Setting'!$E$83+AV18*'Assumption Setting'!$F$83</f>
        <v>111.5</v>
      </c>
      <c r="AW27" s="81" t="n">
        <f aca="false">Payroll!AW$73*'Assumption Setting'!$C$83+Payroll!AW$71*'Assumption Setting'!$D$83+AW12*'Assumption Setting'!$E$83+AW18*'Assumption Setting'!$F$83</f>
        <v>111.5</v>
      </c>
      <c r="AX27" s="81" t="n">
        <f aca="false">Payroll!AX$73*'Assumption Setting'!$C$83+Payroll!AX$71*'Assumption Setting'!$D$83+AX12*'Assumption Setting'!$E$83+AX18*'Assumption Setting'!$F$83</f>
        <v>111.5</v>
      </c>
      <c r="AY27" s="81" t="n">
        <f aca="false">Payroll!AY$73*'Assumption Setting'!$C$83+Payroll!AY$71*'Assumption Setting'!$D$83+AY12*'Assumption Setting'!$E$83+AY18*'Assumption Setting'!$F$83</f>
        <v>111.5</v>
      </c>
      <c r="AZ27" s="81" t="n">
        <f aca="false">Payroll!AZ$73*'Assumption Setting'!$C$83+Payroll!AZ$71*'Assumption Setting'!$D$83+AZ12*'Assumption Setting'!$E$83+AZ18*'Assumption Setting'!$F$83</f>
        <v>111.5</v>
      </c>
      <c r="BA27" s="81" t="n">
        <f aca="false">Payroll!BA$73*'Assumption Setting'!$C$83+Payroll!BA$71*'Assumption Setting'!$D$83+BA12*'Assumption Setting'!$E$83+BA18*'Assumption Setting'!$F$83</f>
        <v>111.5</v>
      </c>
      <c r="BB27" s="80" t="n">
        <f aca="false">SUM(BC27:BN27)</f>
        <v>1866</v>
      </c>
      <c r="BC27" s="81" t="n">
        <f aca="false">Payroll!BC$73*'Assumption Setting'!$C$83+Payroll!BC$71*'Assumption Setting'!$D$83+BC12*'Assumption Setting'!$E$83+BC18*'Assumption Setting'!$F$83</f>
        <v>155.5</v>
      </c>
      <c r="BD27" s="81" t="n">
        <f aca="false">Payroll!BD$73*'Assumption Setting'!$C$83+Payroll!BD$71*'Assumption Setting'!$D$83+BD12*'Assumption Setting'!$E$83+BD18*'Assumption Setting'!$F$83</f>
        <v>155.5</v>
      </c>
      <c r="BE27" s="81" t="n">
        <f aca="false">Payroll!BE$73*'Assumption Setting'!$C$83+Payroll!BE$71*'Assumption Setting'!$D$83+BE12*'Assumption Setting'!$E$83+BE18*'Assumption Setting'!$F$83</f>
        <v>155.5</v>
      </c>
      <c r="BF27" s="81" t="n">
        <f aca="false">Payroll!BF$73*'Assumption Setting'!$C$83+Payroll!BF$71*'Assumption Setting'!$D$83+BF12*'Assumption Setting'!$E$83+BF18*'Assumption Setting'!$F$83</f>
        <v>155.5</v>
      </c>
      <c r="BG27" s="81" t="n">
        <f aca="false">Payroll!BG$73*'Assumption Setting'!$C$83+Payroll!BG$71*'Assumption Setting'!$D$83+BG12*'Assumption Setting'!$E$83+BG18*'Assumption Setting'!$F$83</f>
        <v>155.5</v>
      </c>
      <c r="BH27" s="81" t="n">
        <f aca="false">Payroll!BH$73*'Assumption Setting'!$C$83+Payroll!BH$71*'Assumption Setting'!$D$83+BH12*'Assumption Setting'!$E$83+BH18*'Assumption Setting'!$F$83</f>
        <v>155.5</v>
      </c>
      <c r="BI27" s="81" t="n">
        <f aca="false">Payroll!BI$73*'Assumption Setting'!$C$83+Payroll!BI$71*'Assumption Setting'!$D$83+BI12*'Assumption Setting'!$E$83+BI18*'Assumption Setting'!$F$83</f>
        <v>155.5</v>
      </c>
      <c r="BJ27" s="81" t="n">
        <f aca="false">Payroll!BJ$73*'Assumption Setting'!$C$83+Payroll!BJ$71*'Assumption Setting'!$D$83+BJ12*'Assumption Setting'!$E$83+BJ18*'Assumption Setting'!$F$83</f>
        <v>155.5</v>
      </c>
      <c r="BK27" s="81" t="n">
        <f aca="false">Payroll!BK$73*'Assumption Setting'!$C$83+Payroll!BK$71*'Assumption Setting'!$D$83+BK12*'Assumption Setting'!$E$83+BK18*'Assumption Setting'!$F$83</f>
        <v>155.5</v>
      </c>
      <c r="BL27" s="81" t="n">
        <f aca="false">Payroll!BL$73*'Assumption Setting'!$C$83+Payroll!BL$71*'Assumption Setting'!$D$83+BL12*'Assumption Setting'!$E$83+BL18*'Assumption Setting'!$F$83</f>
        <v>155.5</v>
      </c>
      <c r="BM27" s="81" t="n">
        <f aca="false">Payroll!BM$73*'Assumption Setting'!$C$83+Payroll!BM$71*'Assumption Setting'!$D$83+BM12*'Assumption Setting'!$E$83+BM18*'Assumption Setting'!$F$83</f>
        <v>155.5</v>
      </c>
      <c r="BN27" s="81" t="n">
        <f aca="false">Payroll!BN$73*'Assumption Setting'!$C$83+Payroll!BN$71*'Assumption Setting'!$D$83+BN12*'Assumption Setting'!$E$83+BN18*'Assumption Setting'!$F$83</f>
        <v>155.5</v>
      </c>
    </row>
    <row r="28" customFormat="false" ht="15" hidden="false" customHeight="false" outlineLevel="0" collapsed="false">
      <c r="A28" s="12" t="s">
        <v>683</v>
      </c>
      <c r="B28" s="80" t="n">
        <f aca="false">SUM(C28:N28)</f>
        <v>133.2</v>
      </c>
      <c r="C28" s="81" t="n">
        <f aca="false">C27-C26</f>
        <v>11.1</v>
      </c>
      <c r="D28" s="81" t="n">
        <f aca="false">D27-D26</f>
        <v>11.1</v>
      </c>
      <c r="E28" s="81" t="n">
        <f aca="false">E27-E26</f>
        <v>11.1</v>
      </c>
      <c r="F28" s="81" t="n">
        <f aca="false">F27-F26</f>
        <v>11.1</v>
      </c>
      <c r="G28" s="81" t="n">
        <f aca="false">G27-G26</f>
        <v>11.1</v>
      </c>
      <c r="H28" s="81" t="n">
        <f aca="false">H27-H26</f>
        <v>11.1</v>
      </c>
      <c r="I28" s="81" t="n">
        <f aca="false">I27-I26</f>
        <v>11.1</v>
      </c>
      <c r="J28" s="81" t="n">
        <f aca="false">J27-J26</f>
        <v>11.1</v>
      </c>
      <c r="K28" s="81" t="n">
        <f aca="false">K27-K26</f>
        <v>11.1</v>
      </c>
      <c r="L28" s="81" t="n">
        <f aca="false">L27-L26</f>
        <v>11.1</v>
      </c>
      <c r="M28" s="81" t="n">
        <f aca="false">M27-M26</f>
        <v>11.1</v>
      </c>
      <c r="N28" s="81" t="n">
        <f aca="false">N27-N26</f>
        <v>11.1</v>
      </c>
      <c r="O28" s="80" t="n">
        <f aca="false">SUM(P28:AA28)</f>
        <v>342</v>
      </c>
      <c r="P28" s="81" t="n">
        <f aca="false">P27-P26</f>
        <v>28.5</v>
      </c>
      <c r="Q28" s="81" t="n">
        <f aca="false">Q27-Q26</f>
        <v>28.5</v>
      </c>
      <c r="R28" s="81" t="n">
        <f aca="false">R27-R26</f>
        <v>28.5</v>
      </c>
      <c r="S28" s="81" t="n">
        <f aca="false">S27-S26</f>
        <v>28.5</v>
      </c>
      <c r="T28" s="81" t="n">
        <f aca="false">T27-T26</f>
        <v>28.5</v>
      </c>
      <c r="U28" s="81" t="n">
        <f aca="false">U27-U26</f>
        <v>28.5</v>
      </c>
      <c r="V28" s="81" t="n">
        <f aca="false">V27-V26</f>
        <v>28.5</v>
      </c>
      <c r="W28" s="81" t="n">
        <f aca="false">W27-W26</f>
        <v>28.5</v>
      </c>
      <c r="X28" s="81" t="n">
        <f aca="false">X27-X26</f>
        <v>28.5</v>
      </c>
      <c r="Y28" s="81" t="n">
        <f aca="false">Y27-Y26</f>
        <v>28.5</v>
      </c>
      <c r="Z28" s="81" t="n">
        <f aca="false">Z27-Z26</f>
        <v>28.5</v>
      </c>
      <c r="AA28" s="81" t="n">
        <f aca="false">AA27-AA26</f>
        <v>28.5</v>
      </c>
      <c r="AB28" s="80" t="n">
        <f aca="false">SUM(AC28:AN28)</f>
        <v>726</v>
      </c>
      <c r="AC28" s="81" t="n">
        <f aca="false">AC27-AC26</f>
        <v>60.5</v>
      </c>
      <c r="AD28" s="81" t="n">
        <f aca="false">AD27-AD26</f>
        <v>60.5</v>
      </c>
      <c r="AE28" s="81" t="n">
        <f aca="false">AE27-AE26</f>
        <v>60.5</v>
      </c>
      <c r="AF28" s="81" t="n">
        <f aca="false">AF27-AF26</f>
        <v>60.5</v>
      </c>
      <c r="AG28" s="81" t="n">
        <f aca="false">AG27-AG26</f>
        <v>60.5</v>
      </c>
      <c r="AH28" s="81" t="n">
        <f aca="false">AH27-AH26</f>
        <v>60.5</v>
      </c>
      <c r="AI28" s="81" t="n">
        <f aca="false">AI27-AI26</f>
        <v>60.5</v>
      </c>
      <c r="AJ28" s="81" t="n">
        <f aca="false">AJ27-AJ26</f>
        <v>60.5</v>
      </c>
      <c r="AK28" s="81" t="n">
        <f aca="false">AK27-AK26</f>
        <v>60.5</v>
      </c>
      <c r="AL28" s="81" t="n">
        <f aca="false">AL27-AL26</f>
        <v>60.5</v>
      </c>
      <c r="AM28" s="81" t="n">
        <f aca="false">AM27-AM26</f>
        <v>60.5</v>
      </c>
      <c r="AN28" s="81" t="n">
        <f aca="false">AN27-AN26</f>
        <v>60.5</v>
      </c>
      <c r="AO28" s="80" t="n">
        <f aca="false">SUM(AP28:BA28)</f>
        <v>1194</v>
      </c>
      <c r="AP28" s="81" t="n">
        <f aca="false">AP27-AP26</f>
        <v>99.5</v>
      </c>
      <c r="AQ28" s="81" t="n">
        <f aca="false">AQ27-AQ26</f>
        <v>99.5</v>
      </c>
      <c r="AR28" s="81" t="n">
        <f aca="false">AR27-AR26</f>
        <v>99.5</v>
      </c>
      <c r="AS28" s="81" t="n">
        <f aca="false">AS27-AS26</f>
        <v>99.5</v>
      </c>
      <c r="AT28" s="81" t="n">
        <f aca="false">AT27-AT26</f>
        <v>99.5</v>
      </c>
      <c r="AU28" s="81" t="n">
        <f aca="false">AU27-AU26</f>
        <v>99.5</v>
      </c>
      <c r="AV28" s="81" t="n">
        <f aca="false">AV27-AV26</f>
        <v>99.5</v>
      </c>
      <c r="AW28" s="81" t="n">
        <f aca="false">AW27-AW26</f>
        <v>99.5</v>
      </c>
      <c r="AX28" s="81" t="n">
        <f aca="false">AX27-AX26</f>
        <v>99.5</v>
      </c>
      <c r="AY28" s="81" t="n">
        <f aca="false">AY27-AY26</f>
        <v>99.5</v>
      </c>
      <c r="AZ28" s="81" t="n">
        <f aca="false">AZ27-AZ26</f>
        <v>99.5</v>
      </c>
      <c r="BA28" s="81" t="n">
        <f aca="false">BA27-BA26</f>
        <v>99.5</v>
      </c>
      <c r="BB28" s="80" t="n">
        <f aca="false">SUM(BC28:BN28)</f>
        <v>1686</v>
      </c>
      <c r="BC28" s="81" t="n">
        <f aca="false">BC27-BC26</f>
        <v>140.5</v>
      </c>
      <c r="BD28" s="81" t="n">
        <f aca="false">BD27-BD26</f>
        <v>140.5</v>
      </c>
      <c r="BE28" s="81" t="n">
        <f aca="false">BE27-BE26</f>
        <v>140.5</v>
      </c>
      <c r="BF28" s="81" t="n">
        <f aca="false">BF27-BF26</f>
        <v>140.5</v>
      </c>
      <c r="BG28" s="81" t="n">
        <f aca="false">BG27-BG26</f>
        <v>140.5</v>
      </c>
      <c r="BH28" s="81" t="n">
        <f aca="false">BH27-BH26</f>
        <v>140.5</v>
      </c>
      <c r="BI28" s="81" t="n">
        <f aca="false">BI27-BI26</f>
        <v>140.5</v>
      </c>
      <c r="BJ28" s="81" t="n">
        <f aca="false">BJ27-BJ26</f>
        <v>140.5</v>
      </c>
      <c r="BK28" s="81" t="n">
        <f aca="false">BK27-BK26</f>
        <v>140.5</v>
      </c>
      <c r="BL28" s="81" t="n">
        <f aca="false">BL27-BL26</f>
        <v>140.5</v>
      </c>
      <c r="BM28" s="81" t="n">
        <f aca="false">BM27-BM26</f>
        <v>140.5</v>
      </c>
      <c r="BN28" s="81" t="n">
        <f aca="false">BN27-BN26</f>
        <v>140.5</v>
      </c>
    </row>
    <row r="29" customFormat="false" ht="15" hidden="false" customHeight="false" outlineLevel="0" collapsed="false">
      <c r="A29" s="12" t="s">
        <v>685</v>
      </c>
      <c r="B29" s="80" t="n">
        <f aca="false">SUM(C29:N29)</f>
        <v>2.4</v>
      </c>
      <c r="C29" s="96" t="n">
        <f aca="false">Acquisitions!C$46</f>
        <v>0.2</v>
      </c>
      <c r="D29" s="96" t="n">
        <f aca="false">Acquisitions!D$46</f>
        <v>0.2</v>
      </c>
      <c r="E29" s="96" t="n">
        <f aca="false">Acquisitions!E$46</f>
        <v>0.2</v>
      </c>
      <c r="F29" s="96" t="n">
        <f aca="false">Acquisitions!F$46</f>
        <v>0.2</v>
      </c>
      <c r="G29" s="96" t="n">
        <f aca="false">Acquisitions!G$46</f>
        <v>0.2</v>
      </c>
      <c r="H29" s="96" t="n">
        <f aca="false">Acquisitions!H$46</f>
        <v>0.2</v>
      </c>
      <c r="I29" s="96" t="n">
        <f aca="false">Acquisitions!I$46</f>
        <v>0.2</v>
      </c>
      <c r="J29" s="96" t="n">
        <f aca="false">Acquisitions!J$46</f>
        <v>0.2</v>
      </c>
      <c r="K29" s="96" t="n">
        <f aca="false">Acquisitions!K$46</f>
        <v>0.2</v>
      </c>
      <c r="L29" s="96" t="n">
        <f aca="false">Acquisitions!L$46</f>
        <v>0.2</v>
      </c>
      <c r="M29" s="96" t="n">
        <f aca="false">Acquisitions!M$46</f>
        <v>0.2</v>
      </c>
      <c r="N29" s="96" t="n">
        <f aca="false">Acquisitions!N$46</f>
        <v>0.2</v>
      </c>
      <c r="O29" s="80" t="n">
        <f aca="false">SUM(P29:AA29)</f>
        <v>12</v>
      </c>
      <c r="P29" s="96" t="n">
        <f aca="false">Acquisitions!P$46</f>
        <v>1</v>
      </c>
      <c r="Q29" s="96" t="n">
        <f aca="false">Acquisitions!Q$46</f>
        <v>1</v>
      </c>
      <c r="R29" s="96" t="n">
        <f aca="false">Acquisitions!R$46</f>
        <v>1</v>
      </c>
      <c r="S29" s="96" t="n">
        <f aca="false">Acquisitions!S$46</f>
        <v>1</v>
      </c>
      <c r="T29" s="96" t="n">
        <f aca="false">Acquisitions!T$46</f>
        <v>1</v>
      </c>
      <c r="U29" s="96" t="n">
        <f aca="false">Acquisitions!U$46</f>
        <v>1</v>
      </c>
      <c r="V29" s="96" t="n">
        <f aca="false">Acquisitions!V$46</f>
        <v>1</v>
      </c>
      <c r="W29" s="96" t="n">
        <f aca="false">Acquisitions!W$46</f>
        <v>1</v>
      </c>
      <c r="X29" s="96" t="n">
        <f aca="false">Acquisitions!X$46</f>
        <v>1</v>
      </c>
      <c r="Y29" s="96" t="n">
        <f aca="false">Acquisitions!Y$46</f>
        <v>1</v>
      </c>
      <c r="Z29" s="96" t="n">
        <f aca="false">Acquisitions!Z$46</f>
        <v>1</v>
      </c>
      <c r="AA29" s="96" t="n">
        <f aca="false">Acquisitions!AA$46</f>
        <v>1</v>
      </c>
      <c r="AB29" s="80" t="n">
        <f aca="false">SUM(AC29:AN29)</f>
        <v>24</v>
      </c>
      <c r="AC29" s="96" t="n">
        <f aca="false">Acquisitions!AC$46</f>
        <v>2</v>
      </c>
      <c r="AD29" s="96" t="n">
        <f aca="false">Acquisitions!AD$46</f>
        <v>2</v>
      </c>
      <c r="AE29" s="96" t="n">
        <f aca="false">Acquisitions!AE$46</f>
        <v>2</v>
      </c>
      <c r="AF29" s="96" t="n">
        <f aca="false">Acquisitions!AF$46</f>
        <v>2</v>
      </c>
      <c r="AG29" s="96" t="n">
        <f aca="false">Acquisitions!AG$46</f>
        <v>2</v>
      </c>
      <c r="AH29" s="96" t="n">
        <f aca="false">Acquisitions!AH$46</f>
        <v>2</v>
      </c>
      <c r="AI29" s="96" t="n">
        <f aca="false">Acquisitions!AI$46</f>
        <v>2</v>
      </c>
      <c r="AJ29" s="96" t="n">
        <f aca="false">Acquisitions!AJ$46</f>
        <v>2</v>
      </c>
      <c r="AK29" s="96" t="n">
        <f aca="false">Acquisitions!AK$46</f>
        <v>2</v>
      </c>
      <c r="AL29" s="96" t="n">
        <f aca="false">Acquisitions!AL$46</f>
        <v>2</v>
      </c>
      <c r="AM29" s="96" t="n">
        <f aca="false">Acquisitions!AM$46</f>
        <v>2</v>
      </c>
      <c r="AN29" s="96" t="n">
        <f aca="false">Acquisitions!AN$46</f>
        <v>2</v>
      </c>
      <c r="AO29" s="80" t="n">
        <f aca="false">SUM(AP29:BA29)</f>
        <v>30</v>
      </c>
      <c r="AP29" s="96" t="n">
        <f aca="false">Acquisitions!AP$46</f>
        <v>2.5</v>
      </c>
      <c r="AQ29" s="96" t="n">
        <f aca="false">Acquisitions!AQ$46</f>
        <v>2.5</v>
      </c>
      <c r="AR29" s="96" t="n">
        <f aca="false">Acquisitions!AR$46</f>
        <v>2.5</v>
      </c>
      <c r="AS29" s="96" t="n">
        <f aca="false">Acquisitions!AS$46</f>
        <v>2.5</v>
      </c>
      <c r="AT29" s="96" t="n">
        <f aca="false">Acquisitions!AT$46</f>
        <v>2.5</v>
      </c>
      <c r="AU29" s="96" t="n">
        <f aca="false">Acquisitions!AU$46</f>
        <v>2.5</v>
      </c>
      <c r="AV29" s="96" t="n">
        <f aca="false">Acquisitions!AV$46</f>
        <v>2.5</v>
      </c>
      <c r="AW29" s="96" t="n">
        <f aca="false">Acquisitions!AW$46</f>
        <v>2.5</v>
      </c>
      <c r="AX29" s="96" t="n">
        <f aca="false">Acquisitions!AX$46</f>
        <v>2.5</v>
      </c>
      <c r="AY29" s="96" t="n">
        <f aca="false">Acquisitions!AY$46</f>
        <v>2.5</v>
      </c>
      <c r="AZ29" s="96" t="n">
        <f aca="false">Acquisitions!AZ$46</f>
        <v>2.5</v>
      </c>
      <c r="BA29" s="96" t="n">
        <f aca="false">Acquisitions!BA$46</f>
        <v>2.5</v>
      </c>
      <c r="BB29" s="80" t="n">
        <f aca="false">SUM(BC29:BN29)</f>
        <v>36</v>
      </c>
      <c r="BC29" s="96" t="n">
        <f aca="false">Acquisitions!BC$46</f>
        <v>3</v>
      </c>
      <c r="BD29" s="96" t="n">
        <f aca="false">Acquisitions!BD$46</f>
        <v>3</v>
      </c>
      <c r="BE29" s="96" t="n">
        <f aca="false">Acquisitions!BE$46</f>
        <v>3</v>
      </c>
      <c r="BF29" s="96" t="n">
        <f aca="false">Acquisitions!BF$46</f>
        <v>3</v>
      </c>
      <c r="BG29" s="96" t="n">
        <f aca="false">Acquisitions!BG$46</f>
        <v>3</v>
      </c>
      <c r="BH29" s="96" t="n">
        <f aca="false">Acquisitions!BH$46</f>
        <v>3</v>
      </c>
      <c r="BI29" s="96" t="n">
        <f aca="false">Acquisitions!BI$46</f>
        <v>3</v>
      </c>
      <c r="BJ29" s="96" t="n">
        <f aca="false">Acquisitions!BJ$46</f>
        <v>3</v>
      </c>
      <c r="BK29" s="96" t="n">
        <f aca="false">Acquisitions!BK$46</f>
        <v>3</v>
      </c>
      <c r="BL29" s="96" t="n">
        <f aca="false">Acquisitions!BL$46</f>
        <v>3</v>
      </c>
      <c r="BM29" s="96" t="n">
        <f aca="false">Acquisitions!BM$46</f>
        <v>3</v>
      </c>
      <c r="BN29" s="96" t="n">
        <f aca="false">Acquisitions!BN$46</f>
        <v>3</v>
      </c>
    </row>
    <row r="30" customFormat="false" ht="15" hidden="false" customHeight="false" outlineLevel="0" collapsed="false">
      <c r="A30" s="12" t="s">
        <v>682</v>
      </c>
      <c r="B30" s="80" t="n">
        <f aca="false">SUM(C30:N30)</f>
        <v>29.04</v>
      </c>
      <c r="C30" s="81" t="n">
        <f aca="false">Payroll!C$72*'Assumption Setting'!$C$84+Payroll!C$71*'Assumption Setting'!$D$84+C12*'Assumption Setting'!$E$84+C18*'Assumption Setting'!$F$84</f>
        <v>2.42</v>
      </c>
      <c r="D30" s="81" t="n">
        <f aca="false">Payroll!D$72*'Assumption Setting'!$C$84+Payroll!D$71*'Assumption Setting'!$D$84+D12*'Assumption Setting'!$E$84+D18*'Assumption Setting'!$F$84</f>
        <v>2.42</v>
      </c>
      <c r="E30" s="81" t="n">
        <f aca="false">Payroll!E$72*'Assumption Setting'!$C$84+Payroll!E$71*'Assumption Setting'!$D$84+E12*'Assumption Setting'!$E$84+E18*'Assumption Setting'!$F$84</f>
        <v>2.42</v>
      </c>
      <c r="F30" s="81" t="n">
        <f aca="false">Payroll!F$72*'Assumption Setting'!$C$84+Payroll!F$71*'Assumption Setting'!$D$84+F12*'Assumption Setting'!$E$84+F18*'Assumption Setting'!$F$84</f>
        <v>2.42</v>
      </c>
      <c r="G30" s="81" t="n">
        <f aca="false">Payroll!G$72*'Assumption Setting'!$C$84+Payroll!G$71*'Assumption Setting'!$D$84+G12*'Assumption Setting'!$E$84+G18*'Assumption Setting'!$F$84</f>
        <v>2.42</v>
      </c>
      <c r="H30" s="81" t="n">
        <f aca="false">Payroll!H$72*'Assumption Setting'!$C$84+Payroll!H$71*'Assumption Setting'!$D$84+H12*'Assumption Setting'!$E$84+H18*'Assumption Setting'!$F$84</f>
        <v>2.42</v>
      </c>
      <c r="I30" s="81" t="n">
        <f aca="false">Payroll!I$72*'Assumption Setting'!$C$84+Payroll!I$71*'Assumption Setting'!$D$84+I12*'Assumption Setting'!$E$84+I18*'Assumption Setting'!$F$84</f>
        <v>2.42</v>
      </c>
      <c r="J30" s="81" t="n">
        <f aca="false">Payroll!J$72*'Assumption Setting'!$C$84+Payroll!J$71*'Assumption Setting'!$D$84+J12*'Assumption Setting'!$E$84+J18*'Assumption Setting'!$F$84</f>
        <v>2.42</v>
      </c>
      <c r="K30" s="81" t="n">
        <f aca="false">Payroll!K$72*'Assumption Setting'!$C$84+Payroll!K$71*'Assumption Setting'!$D$84+K12*'Assumption Setting'!$E$84+K18*'Assumption Setting'!$F$84</f>
        <v>2.42</v>
      </c>
      <c r="L30" s="81" t="n">
        <f aca="false">Payroll!L$72*'Assumption Setting'!$C$84+Payroll!L$71*'Assumption Setting'!$D$84+L12*'Assumption Setting'!$E$84+L18*'Assumption Setting'!$F$84</f>
        <v>2.42</v>
      </c>
      <c r="M30" s="81" t="n">
        <f aca="false">Payroll!M$72*'Assumption Setting'!$C$84+Payroll!M$71*'Assumption Setting'!$D$84+M12*'Assumption Setting'!$E$84+M18*'Assumption Setting'!$F$84</f>
        <v>2.42</v>
      </c>
      <c r="N30" s="81" t="n">
        <f aca="false">Payroll!N$72*'Assumption Setting'!$C$84+Payroll!N$71*'Assumption Setting'!$D$84+N12*'Assumption Setting'!$E$84+N18*'Assumption Setting'!$F$84</f>
        <v>2.42</v>
      </c>
      <c r="O30" s="80" t="n">
        <f aca="false">SUM(P30:AA30)</f>
        <v>45.6</v>
      </c>
      <c r="P30" s="81" t="n">
        <f aca="false">Payroll!P$72*'Assumption Setting'!$C$84+Payroll!P$71*'Assumption Setting'!$D$84+P12*'Assumption Setting'!$E$84+P18*'Assumption Setting'!$F$84</f>
        <v>3.8</v>
      </c>
      <c r="Q30" s="81" t="n">
        <f aca="false">Payroll!Q$72*'Assumption Setting'!$C$84+Payroll!Q$71*'Assumption Setting'!$D$84+Q12*'Assumption Setting'!$E$84+Q18*'Assumption Setting'!$F$84</f>
        <v>3.8</v>
      </c>
      <c r="R30" s="81" t="n">
        <f aca="false">Payroll!R$72*'Assumption Setting'!$C$84+Payroll!R$71*'Assumption Setting'!$D$84+R12*'Assumption Setting'!$E$84+R18*'Assumption Setting'!$F$84</f>
        <v>3.8</v>
      </c>
      <c r="S30" s="81" t="n">
        <f aca="false">Payroll!S$72*'Assumption Setting'!$C$84+Payroll!S$71*'Assumption Setting'!$D$84+S12*'Assumption Setting'!$E$84+S18*'Assumption Setting'!$F$84</f>
        <v>3.8</v>
      </c>
      <c r="T30" s="81" t="n">
        <f aca="false">Payroll!T$72*'Assumption Setting'!$C$84+Payroll!T$71*'Assumption Setting'!$D$84+T12*'Assumption Setting'!$E$84+T18*'Assumption Setting'!$F$84</f>
        <v>3.8</v>
      </c>
      <c r="U30" s="81" t="n">
        <f aca="false">Payroll!U$72*'Assumption Setting'!$C$84+Payroll!U$71*'Assumption Setting'!$D$84+U12*'Assumption Setting'!$E$84+U18*'Assumption Setting'!$F$84</f>
        <v>3.8</v>
      </c>
      <c r="V30" s="81" t="n">
        <f aca="false">Payroll!V$72*'Assumption Setting'!$C$84+Payroll!V$71*'Assumption Setting'!$D$84+V12*'Assumption Setting'!$E$84+V18*'Assumption Setting'!$F$84</f>
        <v>3.8</v>
      </c>
      <c r="W30" s="81" t="n">
        <f aca="false">Payroll!W$72*'Assumption Setting'!$C$84+Payroll!W$71*'Assumption Setting'!$D$84+W12*'Assumption Setting'!$E$84+W18*'Assumption Setting'!$F$84</f>
        <v>3.8</v>
      </c>
      <c r="X30" s="81" t="n">
        <f aca="false">Payroll!X$72*'Assumption Setting'!$C$84+Payroll!X$71*'Assumption Setting'!$D$84+X12*'Assumption Setting'!$E$84+X18*'Assumption Setting'!$F$84</f>
        <v>3.8</v>
      </c>
      <c r="Y30" s="81" t="n">
        <f aca="false">Payroll!Y$72*'Assumption Setting'!$C$84+Payroll!Y$71*'Assumption Setting'!$D$84+Y12*'Assumption Setting'!$E$84+Y18*'Assumption Setting'!$F$84</f>
        <v>3.8</v>
      </c>
      <c r="Z30" s="81" t="n">
        <f aca="false">Payroll!Z$72*'Assumption Setting'!$C$84+Payroll!Z$71*'Assumption Setting'!$D$84+Z12*'Assumption Setting'!$E$84+Z18*'Assumption Setting'!$F$84</f>
        <v>3.8</v>
      </c>
      <c r="AA30" s="81" t="n">
        <f aca="false">Payroll!AA$72*'Assumption Setting'!$C$84+Payroll!AA$71*'Assumption Setting'!$D$84+AA12*'Assumption Setting'!$E$84+AA18*'Assumption Setting'!$F$84</f>
        <v>3.8</v>
      </c>
      <c r="AB30" s="80" t="n">
        <f aca="false">SUM(AC30:AN30)</f>
        <v>67.2</v>
      </c>
      <c r="AC30" s="81" t="n">
        <f aca="false">Payroll!AC$72*'Assumption Setting'!$C$84+Payroll!AC$71*'Assumption Setting'!$D$84+AC12*'Assumption Setting'!$E$84+AC18*'Assumption Setting'!$F$84</f>
        <v>5.6</v>
      </c>
      <c r="AD30" s="81" t="n">
        <f aca="false">Payroll!AD$72*'Assumption Setting'!$C$84+Payroll!AD$71*'Assumption Setting'!$D$84+AD12*'Assumption Setting'!$E$84+AD18*'Assumption Setting'!$F$84</f>
        <v>5.6</v>
      </c>
      <c r="AE30" s="81" t="n">
        <f aca="false">Payroll!AE$72*'Assumption Setting'!$C$84+Payroll!AE$71*'Assumption Setting'!$D$84+AE12*'Assumption Setting'!$E$84+AE18*'Assumption Setting'!$F$84</f>
        <v>5.6</v>
      </c>
      <c r="AF30" s="81" t="n">
        <f aca="false">Payroll!AF$72*'Assumption Setting'!$C$84+Payroll!AF$71*'Assumption Setting'!$D$84+AF12*'Assumption Setting'!$E$84+AF18*'Assumption Setting'!$F$84</f>
        <v>5.6</v>
      </c>
      <c r="AG30" s="81" t="n">
        <f aca="false">Payroll!AG$72*'Assumption Setting'!$C$84+Payroll!AG$71*'Assumption Setting'!$D$84+AG12*'Assumption Setting'!$E$84+AG18*'Assumption Setting'!$F$84</f>
        <v>5.6</v>
      </c>
      <c r="AH30" s="81" t="n">
        <f aca="false">Payroll!AH$72*'Assumption Setting'!$C$84+Payroll!AH$71*'Assumption Setting'!$D$84+AH12*'Assumption Setting'!$E$84+AH18*'Assumption Setting'!$F$84</f>
        <v>5.6</v>
      </c>
      <c r="AI30" s="81" t="n">
        <f aca="false">Payroll!AI$72*'Assumption Setting'!$C$84+Payroll!AI$71*'Assumption Setting'!$D$84+AI12*'Assumption Setting'!$E$84+AI18*'Assumption Setting'!$F$84</f>
        <v>5.6</v>
      </c>
      <c r="AJ30" s="81" t="n">
        <f aca="false">Payroll!AJ$72*'Assumption Setting'!$C$84+Payroll!AJ$71*'Assumption Setting'!$D$84+AJ12*'Assumption Setting'!$E$84+AJ18*'Assumption Setting'!$F$84</f>
        <v>5.6</v>
      </c>
      <c r="AK30" s="81" t="n">
        <f aca="false">Payroll!AK$72*'Assumption Setting'!$C$84+Payroll!AK$71*'Assumption Setting'!$D$84+AK12*'Assumption Setting'!$E$84+AK18*'Assumption Setting'!$F$84</f>
        <v>5.6</v>
      </c>
      <c r="AL30" s="81" t="n">
        <f aca="false">Payroll!AL$72*'Assumption Setting'!$C$84+Payroll!AL$71*'Assumption Setting'!$D$84+AL12*'Assumption Setting'!$E$84+AL18*'Assumption Setting'!$F$84</f>
        <v>5.6</v>
      </c>
      <c r="AM30" s="81" t="n">
        <f aca="false">Payroll!AM$72*'Assumption Setting'!$C$84+Payroll!AM$71*'Assumption Setting'!$D$84+AM12*'Assumption Setting'!$E$84+AM18*'Assumption Setting'!$F$84</f>
        <v>5.6</v>
      </c>
      <c r="AN30" s="81" t="n">
        <f aca="false">Payroll!AN$72*'Assumption Setting'!$C$84+Payroll!AN$71*'Assumption Setting'!$D$84+AN12*'Assumption Setting'!$E$84+AN18*'Assumption Setting'!$F$84</f>
        <v>5.6</v>
      </c>
      <c r="AO30" s="80" t="n">
        <f aca="false">SUM(AP30:BA30)</f>
        <v>99.9</v>
      </c>
      <c r="AP30" s="81" t="n">
        <f aca="false">Payroll!AP$72*'Assumption Setting'!$C$84+Payroll!AP$71*'Assumption Setting'!$D$84+AP12*'Assumption Setting'!$E$84+AP18*'Assumption Setting'!$F$84</f>
        <v>8.3</v>
      </c>
      <c r="AQ30" s="81" t="n">
        <f aca="false">Payroll!AQ$72*'Assumption Setting'!$C$84+Payroll!AQ$71*'Assumption Setting'!$D$84+AQ12*'Assumption Setting'!$E$84+AQ18*'Assumption Setting'!$F$84</f>
        <v>8.3</v>
      </c>
      <c r="AR30" s="81" t="n">
        <f aca="false">Payroll!AR$72*'Assumption Setting'!$C$84+Payroll!AR$71*'Assumption Setting'!$D$84+AR12*'Assumption Setting'!$E$84+AR18*'Assumption Setting'!$F$84</f>
        <v>8.3</v>
      </c>
      <c r="AS30" s="81" t="n">
        <f aca="false">Payroll!AS$72*'Assumption Setting'!$C$84+Payroll!AS$71*'Assumption Setting'!$D$84+AS12*'Assumption Setting'!$E$84+AS18*'Assumption Setting'!$F$84</f>
        <v>8.3</v>
      </c>
      <c r="AT30" s="81" t="n">
        <f aca="false">Payroll!AT$72*'Assumption Setting'!$C$84+Payroll!AT$71*'Assumption Setting'!$D$84+AT12*'Assumption Setting'!$E$84+AT18*'Assumption Setting'!$F$84</f>
        <v>8.3</v>
      </c>
      <c r="AU30" s="81" t="n">
        <f aca="false">Payroll!AU$72*'Assumption Setting'!$C$84+Payroll!AU$71*'Assumption Setting'!$D$84+AU12*'Assumption Setting'!$E$84+AU18*'Assumption Setting'!$F$84</f>
        <v>8.3</v>
      </c>
      <c r="AV30" s="81" t="n">
        <f aca="false">Payroll!AV$72*'Assumption Setting'!$C$84+Payroll!AV$71*'Assumption Setting'!$D$84+AV12*'Assumption Setting'!$E$84+AV18*'Assumption Setting'!$F$84</f>
        <v>8.3</v>
      </c>
      <c r="AW30" s="81" t="n">
        <f aca="false">Payroll!AW$72*'Assumption Setting'!$C$84+Payroll!AW$71*'Assumption Setting'!$D$84+AW12*'Assumption Setting'!$E$84+AW18*'Assumption Setting'!$F$84</f>
        <v>8.3</v>
      </c>
      <c r="AX30" s="81" t="n">
        <f aca="false">Payroll!AX$72*'Assumption Setting'!$C$84+Payroll!AX$71*'Assumption Setting'!$D$84+AX12*'Assumption Setting'!$E$84+AX18*'Assumption Setting'!$F$84</f>
        <v>8.3</v>
      </c>
      <c r="AY30" s="81" t="n">
        <f aca="false">Payroll!AY$72*'Assumption Setting'!$C$84+Payroll!AY$71*'Assumption Setting'!$D$84+AY12*'Assumption Setting'!$E$84+AY18*'Assumption Setting'!$F$84</f>
        <v>8.4</v>
      </c>
      <c r="AZ30" s="81" t="n">
        <f aca="false">Payroll!AZ$72*'Assumption Setting'!$C$84+Payroll!AZ$71*'Assumption Setting'!$D$84+AZ12*'Assumption Setting'!$E$84+AZ18*'Assumption Setting'!$F$84</f>
        <v>8.4</v>
      </c>
      <c r="BA30" s="81" t="n">
        <f aca="false">Payroll!BA$72*'Assumption Setting'!$C$84+Payroll!BA$71*'Assumption Setting'!$D$84+BA12*'Assumption Setting'!$E$84+BA18*'Assumption Setting'!$F$84</f>
        <v>8.4</v>
      </c>
      <c r="BB30" s="80" t="n">
        <f aca="false">SUM(BC30:BN30)</f>
        <v>133</v>
      </c>
      <c r="BC30" s="81" t="n">
        <f aca="false">Payroll!BC$72*'Assumption Setting'!$C$84+Payroll!BC$71*'Assumption Setting'!$D$84+BC12*'Assumption Setting'!$E$84+BC18*'Assumption Setting'!$F$84</f>
        <v>11</v>
      </c>
      <c r="BD30" s="81" t="n">
        <f aca="false">Payroll!BD$72*'Assumption Setting'!$C$84+Payroll!BD$71*'Assumption Setting'!$D$84+BD12*'Assumption Setting'!$E$84+BD18*'Assumption Setting'!$F$84</f>
        <v>11</v>
      </c>
      <c r="BE30" s="81" t="n">
        <f aca="false">Payroll!BE$72*'Assumption Setting'!$C$84+Payroll!BE$71*'Assumption Setting'!$D$84+BE12*'Assumption Setting'!$E$84+BE18*'Assumption Setting'!$F$84</f>
        <v>11.1</v>
      </c>
      <c r="BF30" s="81" t="n">
        <f aca="false">Payroll!BF$72*'Assumption Setting'!$C$84+Payroll!BF$71*'Assumption Setting'!$D$84+BF12*'Assumption Setting'!$E$84+BF18*'Assumption Setting'!$F$84</f>
        <v>11.1</v>
      </c>
      <c r="BG30" s="81" t="n">
        <f aca="false">Payroll!BG$72*'Assumption Setting'!$C$84+Payroll!BG$71*'Assumption Setting'!$D$84+BG12*'Assumption Setting'!$E$84+BG18*'Assumption Setting'!$F$84</f>
        <v>11.1</v>
      </c>
      <c r="BH30" s="81" t="n">
        <f aca="false">Payroll!BH$72*'Assumption Setting'!$C$84+Payroll!BH$71*'Assumption Setting'!$D$84+BH12*'Assumption Setting'!$E$84+BH18*'Assumption Setting'!$F$84</f>
        <v>11.1</v>
      </c>
      <c r="BI30" s="81" t="n">
        <f aca="false">Payroll!BI$72*'Assumption Setting'!$C$84+Payroll!BI$71*'Assumption Setting'!$D$84+BI12*'Assumption Setting'!$E$84+BI18*'Assumption Setting'!$F$84</f>
        <v>11.1</v>
      </c>
      <c r="BJ30" s="81" t="n">
        <f aca="false">Payroll!BJ$72*'Assumption Setting'!$C$84+Payroll!BJ$71*'Assumption Setting'!$D$84+BJ12*'Assumption Setting'!$E$84+BJ18*'Assumption Setting'!$F$84</f>
        <v>11.1</v>
      </c>
      <c r="BK30" s="81" t="n">
        <f aca="false">Payroll!BK$72*'Assumption Setting'!$C$84+Payroll!BK$71*'Assumption Setting'!$D$84+BK12*'Assumption Setting'!$E$84+BK18*'Assumption Setting'!$F$84</f>
        <v>11.1</v>
      </c>
      <c r="BL30" s="81" t="n">
        <f aca="false">Payroll!BL$72*'Assumption Setting'!$C$84+Payroll!BL$71*'Assumption Setting'!$D$84+BL12*'Assumption Setting'!$E$84+BL18*'Assumption Setting'!$F$84</f>
        <v>11.1</v>
      </c>
      <c r="BM30" s="81" t="n">
        <f aca="false">Payroll!BM$72*'Assumption Setting'!$C$84+Payroll!BM$71*'Assumption Setting'!$D$84+BM12*'Assumption Setting'!$E$84+BM18*'Assumption Setting'!$F$84</f>
        <v>11.1</v>
      </c>
      <c r="BN30" s="81" t="n">
        <f aca="false">Payroll!BN$72*'Assumption Setting'!$C$84+Payroll!BN$71*'Assumption Setting'!$D$84+BN12*'Assumption Setting'!$E$84+BN18*'Assumption Setting'!$F$84</f>
        <v>11.1</v>
      </c>
    </row>
    <row r="31" customFormat="false" ht="15" hidden="false" customHeight="false" outlineLevel="0" collapsed="false">
      <c r="A31" s="12" t="s">
        <v>683</v>
      </c>
      <c r="B31" s="80" t="n">
        <f aca="false">SUM(C31:N31)</f>
        <v>26.64</v>
      </c>
      <c r="C31" s="81" t="n">
        <f aca="false">C30-C29</f>
        <v>2.22</v>
      </c>
      <c r="D31" s="81" t="n">
        <f aca="false">D30-D29</f>
        <v>2.22</v>
      </c>
      <c r="E31" s="81" t="n">
        <f aca="false">E30-E29</f>
        <v>2.22</v>
      </c>
      <c r="F31" s="81" t="n">
        <f aca="false">F30-F29</f>
        <v>2.22</v>
      </c>
      <c r="G31" s="81" t="n">
        <f aca="false">G30-G29</f>
        <v>2.22</v>
      </c>
      <c r="H31" s="81" t="n">
        <f aca="false">H30-H29</f>
        <v>2.22</v>
      </c>
      <c r="I31" s="81" t="n">
        <f aca="false">I30-I29</f>
        <v>2.22</v>
      </c>
      <c r="J31" s="81" t="n">
        <f aca="false">J30-J29</f>
        <v>2.22</v>
      </c>
      <c r="K31" s="81" t="n">
        <f aca="false">K30-K29</f>
        <v>2.22</v>
      </c>
      <c r="L31" s="81" t="n">
        <f aca="false">L30-L29</f>
        <v>2.22</v>
      </c>
      <c r="M31" s="81" t="n">
        <f aca="false">M30-M29</f>
        <v>2.22</v>
      </c>
      <c r="N31" s="81" t="n">
        <f aca="false">N30-N29</f>
        <v>2.22</v>
      </c>
      <c r="O31" s="80" t="n">
        <f aca="false">SUM(P31:AA31)</f>
        <v>33.6</v>
      </c>
      <c r="P31" s="81" t="n">
        <f aca="false">P30-P29</f>
        <v>2.8</v>
      </c>
      <c r="Q31" s="81" t="n">
        <f aca="false">Q30-Q29</f>
        <v>2.8</v>
      </c>
      <c r="R31" s="81" t="n">
        <f aca="false">R30-R29</f>
        <v>2.8</v>
      </c>
      <c r="S31" s="81" t="n">
        <f aca="false">S30-S29</f>
        <v>2.8</v>
      </c>
      <c r="T31" s="81" t="n">
        <f aca="false">T30-T29</f>
        <v>2.8</v>
      </c>
      <c r="U31" s="81" t="n">
        <f aca="false">U30-U29</f>
        <v>2.8</v>
      </c>
      <c r="V31" s="81" t="n">
        <f aca="false">V30-V29</f>
        <v>2.8</v>
      </c>
      <c r="W31" s="81" t="n">
        <f aca="false">W30-W29</f>
        <v>2.8</v>
      </c>
      <c r="X31" s="81" t="n">
        <f aca="false">X30-X29</f>
        <v>2.8</v>
      </c>
      <c r="Y31" s="81" t="n">
        <f aca="false">Y30-Y29</f>
        <v>2.8</v>
      </c>
      <c r="Z31" s="81" t="n">
        <f aca="false">Z30-Z29</f>
        <v>2.8</v>
      </c>
      <c r="AA31" s="81" t="n">
        <f aca="false">AA30-AA29</f>
        <v>2.8</v>
      </c>
      <c r="AB31" s="80" t="n">
        <f aca="false">SUM(AC31:AN31)</f>
        <v>43.2</v>
      </c>
      <c r="AC31" s="81" t="n">
        <f aca="false">AC30-AC29</f>
        <v>3.6</v>
      </c>
      <c r="AD31" s="81" t="n">
        <f aca="false">AD30-AD29</f>
        <v>3.6</v>
      </c>
      <c r="AE31" s="81" t="n">
        <f aca="false">AE30-AE29</f>
        <v>3.6</v>
      </c>
      <c r="AF31" s="81" t="n">
        <f aca="false">AF30-AF29</f>
        <v>3.6</v>
      </c>
      <c r="AG31" s="81" t="n">
        <f aca="false">AG30-AG29</f>
        <v>3.6</v>
      </c>
      <c r="AH31" s="81" t="n">
        <f aca="false">AH30-AH29</f>
        <v>3.6</v>
      </c>
      <c r="AI31" s="81" t="n">
        <f aca="false">AI30-AI29</f>
        <v>3.6</v>
      </c>
      <c r="AJ31" s="81" t="n">
        <f aca="false">AJ30-AJ29</f>
        <v>3.6</v>
      </c>
      <c r="AK31" s="81" t="n">
        <f aca="false">AK30-AK29</f>
        <v>3.6</v>
      </c>
      <c r="AL31" s="81" t="n">
        <f aca="false">AL30-AL29</f>
        <v>3.6</v>
      </c>
      <c r="AM31" s="81" t="n">
        <f aca="false">AM30-AM29</f>
        <v>3.6</v>
      </c>
      <c r="AN31" s="81" t="n">
        <f aca="false">AN30-AN29</f>
        <v>3.6</v>
      </c>
      <c r="AO31" s="80" t="n">
        <f aca="false">SUM(AP31:BA31)</f>
        <v>69.9</v>
      </c>
      <c r="AP31" s="81" t="n">
        <f aca="false">AP30-AP29</f>
        <v>5.8</v>
      </c>
      <c r="AQ31" s="81" t="n">
        <f aca="false">AQ30-AQ29</f>
        <v>5.8</v>
      </c>
      <c r="AR31" s="81" t="n">
        <f aca="false">AR30-AR29</f>
        <v>5.8</v>
      </c>
      <c r="AS31" s="81" t="n">
        <f aca="false">AS30-AS29</f>
        <v>5.8</v>
      </c>
      <c r="AT31" s="81" t="n">
        <f aca="false">AT30-AT29</f>
        <v>5.8</v>
      </c>
      <c r="AU31" s="81" t="n">
        <f aca="false">AU30-AU29</f>
        <v>5.8</v>
      </c>
      <c r="AV31" s="81" t="n">
        <f aca="false">AV30-AV29</f>
        <v>5.8</v>
      </c>
      <c r="AW31" s="81" t="n">
        <f aca="false">AW30-AW29</f>
        <v>5.8</v>
      </c>
      <c r="AX31" s="81" t="n">
        <f aca="false">AX30-AX29</f>
        <v>5.8</v>
      </c>
      <c r="AY31" s="81" t="n">
        <f aca="false">AY30-AY29</f>
        <v>5.9</v>
      </c>
      <c r="AZ31" s="81" t="n">
        <f aca="false">AZ30-AZ29</f>
        <v>5.9</v>
      </c>
      <c r="BA31" s="81" t="n">
        <f aca="false">BA30-BA29</f>
        <v>5.9</v>
      </c>
      <c r="BB31" s="80" t="n">
        <f aca="false">SUM(BC31:BN31)</f>
        <v>97</v>
      </c>
      <c r="BC31" s="81" t="n">
        <f aca="false">BC30-BC29</f>
        <v>8</v>
      </c>
      <c r="BD31" s="81" t="n">
        <f aca="false">BD30-BD29</f>
        <v>8</v>
      </c>
      <c r="BE31" s="81" t="n">
        <f aca="false">BE30-BE29</f>
        <v>8.1</v>
      </c>
      <c r="BF31" s="81" t="n">
        <f aca="false">BF30-BF29</f>
        <v>8.1</v>
      </c>
      <c r="BG31" s="81" t="n">
        <f aca="false">BG30-BG29</f>
        <v>8.1</v>
      </c>
      <c r="BH31" s="81" t="n">
        <f aca="false">BH30-BH29</f>
        <v>8.1</v>
      </c>
      <c r="BI31" s="81" t="n">
        <f aca="false">BI30-BI29</f>
        <v>8.1</v>
      </c>
      <c r="BJ31" s="81" t="n">
        <f aca="false">BJ30-BJ29</f>
        <v>8.1</v>
      </c>
      <c r="BK31" s="81" t="n">
        <f aca="false">BK30-BK29</f>
        <v>8.1</v>
      </c>
      <c r="BL31" s="81" t="n">
        <f aca="false">BL30-BL29</f>
        <v>8.1</v>
      </c>
      <c r="BM31" s="81" t="n">
        <f aca="false">BM30-BM29</f>
        <v>8.1</v>
      </c>
      <c r="BN31" s="81" t="n">
        <f aca="false">BN30-BN29</f>
        <v>8.1</v>
      </c>
    </row>
    <row r="32" customFormat="false" ht="15" hidden="false" customHeight="false" outlineLevel="0" collapsed="false">
      <c r="A32" s="12" t="s">
        <v>686</v>
      </c>
      <c r="B32" s="80" t="n">
        <f aca="false">SUM(C32:N32)</f>
        <v>3.6</v>
      </c>
      <c r="C32" s="96" t="n">
        <f aca="false">Acquisitions!C$50</f>
        <v>0.3</v>
      </c>
      <c r="D32" s="96" t="n">
        <f aca="false">Acquisitions!D$50</f>
        <v>0.3</v>
      </c>
      <c r="E32" s="96" t="n">
        <f aca="false">Acquisitions!E$50</f>
        <v>0.3</v>
      </c>
      <c r="F32" s="96" t="n">
        <f aca="false">Acquisitions!F$50</f>
        <v>0.3</v>
      </c>
      <c r="G32" s="96" t="n">
        <f aca="false">Acquisitions!G$50</f>
        <v>0.3</v>
      </c>
      <c r="H32" s="96" t="n">
        <f aca="false">Acquisitions!H$50</f>
        <v>0.3</v>
      </c>
      <c r="I32" s="96" t="n">
        <f aca="false">Acquisitions!I$50</f>
        <v>0.3</v>
      </c>
      <c r="J32" s="96" t="n">
        <f aca="false">Acquisitions!J$50</f>
        <v>0.3</v>
      </c>
      <c r="K32" s="96" t="n">
        <f aca="false">Acquisitions!K$50</f>
        <v>0.3</v>
      </c>
      <c r="L32" s="96" t="n">
        <f aca="false">Acquisitions!L$50</f>
        <v>0.3</v>
      </c>
      <c r="M32" s="96" t="n">
        <f aca="false">Acquisitions!M$50</f>
        <v>0.3</v>
      </c>
      <c r="N32" s="96" t="n">
        <f aca="false">Acquisitions!N$50</f>
        <v>0.3</v>
      </c>
      <c r="O32" s="80" t="n">
        <f aca="false">SUM(P32:AA32)</f>
        <v>18</v>
      </c>
      <c r="P32" s="96" t="n">
        <f aca="false">Acquisitions!P$50</f>
        <v>1.5</v>
      </c>
      <c r="Q32" s="96" t="n">
        <f aca="false">Acquisitions!Q$50</f>
        <v>1.5</v>
      </c>
      <c r="R32" s="96" t="n">
        <f aca="false">Acquisitions!R$50</f>
        <v>1.5</v>
      </c>
      <c r="S32" s="96" t="n">
        <f aca="false">Acquisitions!S$50</f>
        <v>1.5</v>
      </c>
      <c r="T32" s="96" t="n">
        <f aca="false">Acquisitions!T$50</f>
        <v>1.5</v>
      </c>
      <c r="U32" s="96" t="n">
        <f aca="false">Acquisitions!U$50</f>
        <v>1.5</v>
      </c>
      <c r="V32" s="96" t="n">
        <f aca="false">Acquisitions!V$50</f>
        <v>1.5</v>
      </c>
      <c r="W32" s="96" t="n">
        <f aca="false">Acquisitions!W$50</f>
        <v>1.5</v>
      </c>
      <c r="X32" s="96" t="n">
        <f aca="false">Acquisitions!X$50</f>
        <v>1.5</v>
      </c>
      <c r="Y32" s="96" t="n">
        <f aca="false">Acquisitions!Y$50</f>
        <v>1.5</v>
      </c>
      <c r="Z32" s="96" t="n">
        <f aca="false">Acquisitions!Z$50</f>
        <v>1.5</v>
      </c>
      <c r="AA32" s="96" t="n">
        <f aca="false">Acquisitions!AA$50</f>
        <v>1.5</v>
      </c>
      <c r="AB32" s="80" t="n">
        <f aca="false">SUM(AC32:AN32)</f>
        <v>36</v>
      </c>
      <c r="AC32" s="96" t="n">
        <f aca="false">Acquisitions!AC$50</f>
        <v>3</v>
      </c>
      <c r="AD32" s="96" t="n">
        <f aca="false">Acquisitions!AD$50</f>
        <v>3</v>
      </c>
      <c r="AE32" s="96" t="n">
        <f aca="false">Acquisitions!AE$50</f>
        <v>3</v>
      </c>
      <c r="AF32" s="96" t="n">
        <f aca="false">Acquisitions!AF$50</f>
        <v>3</v>
      </c>
      <c r="AG32" s="96" t="n">
        <f aca="false">Acquisitions!AG$50</f>
        <v>3</v>
      </c>
      <c r="AH32" s="96" t="n">
        <f aca="false">Acquisitions!AH$50</f>
        <v>3</v>
      </c>
      <c r="AI32" s="96" t="n">
        <f aca="false">Acquisitions!AI$50</f>
        <v>3</v>
      </c>
      <c r="AJ32" s="96" t="n">
        <f aca="false">Acquisitions!AJ$50</f>
        <v>3</v>
      </c>
      <c r="AK32" s="96" t="n">
        <f aca="false">Acquisitions!AK$50</f>
        <v>3</v>
      </c>
      <c r="AL32" s="96" t="n">
        <f aca="false">Acquisitions!AL$50</f>
        <v>3</v>
      </c>
      <c r="AM32" s="96" t="n">
        <f aca="false">Acquisitions!AM$50</f>
        <v>3</v>
      </c>
      <c r="AN32" s="96" t="n">
        <f aca="false">Acquisitions!AN$50</f>
        <v>3</v>
      </c>
      <c r="AO32" s="80" t="n">
        <f aca="false">SUM(AP32:BA32)</f>
        <v>48</v>
      </c>
      <c r="AP32" s="96" t="n">
        <f aca="false">Acquisitions!AP$50</f>
        <v>4</v>
      </c>
      <c r="AQ32" s="96" t="n">
        <f aca="false">Acquisitions!AQ$50</f>
        <v>4</v>
      </c>
      <c r="AR32" s="96" t="n">
        <f aca="false">Acquisitions!AR$50</f>
        <v>4</v>
      </c>
      <c r="AS32" s="96" t="n">
        <f aca="false">Acquisitions!AS$50</f>
        <v>4</v>
      </c>
      <c r="AT32" s="96" t="n">
        <f aca="false">Acquisitions!AT$50</f>
        <v>4</v>
      </c>
      <c r="AU32" s="96" t="n">
        <f aca="false">Acquisitions!AU$50</f>
        <v>4</v>
      </c>
      <c r="AV32" s="96" t="n">
        <f aca="false">Acquisitions!AV$50</f>
        <v>4</v>
      </c>
      <c r="AW32" s="96" t="n">
        <f aca="false">Acquisitions!AW$50</f>
        <v>4</v>
      </c>
      <c r="AX32" s="96" t="n">
        <f aca="false">Acquisitions!AX$50</f>
        <v>4</v>
      </c>
      <c r="AY32" s="96" t="n">
        <f aca="false">Acquisitions!AY$50</f>
        <v>4</v>
      </c>
      <c r="AZ32" s="96" t="n">
        <f aca="false">Acquisitions!AZ$50</f>
        <v>4</v>
      </c>
      <c r="BA32" s="96" t="n">
        <f aca="false">Acquisitions!BA$50</f>
        <v>4</v>
      </c>
      <c r="BB32" s="80" t="n">
        <f aca="false">SUM(BC32:BN32)</f>
        <v>60</v>
      </c>
      <c r="BC32" s="96" t="n">
        <f aca="false">Acquisitions!BC$50</f>
        <v>5</v>
      </c>
      <c r="BD32" s="96" t="n">
        <f aca="false">Acquisitions!BD$50</f>
        <v>5</v>
      </c>
      <c r="BE32" s="96" t="n">
        <f aca="false">Acquisitions!BE$50</f>
        <v>5</v>
      </c>
      <c r="BF32" s="96" t="n">
        <f aca="false">Acquisitions!BF$50</f>
        <v>5</v>
      </c>
      <c r="BG32" s="96" t="n">
        <f aca="false">Acquisitions!BG$50</f>
        <v>5</v>
      </c>
      <c r="BH32" s="96" t="n">
        <f aca="false">Acquisitions!BH$50</f>
        <v>5</v>
      </c>
      <c r="BI32" s="96" t="n">
        <f aca="false">Acquisitions!BI$50</f>
        <v>5</v>
      </c>
      <c r="BJ32" s="96" t="n">
        <f aca="false">Acquisitions!BJ$50</f>
        <v>5</v>
      </c>
      <c r="BK32" s="96" t="n">
        <f aca="false">Acquisitions!BK$50</f>
        <v>5</v>
      </c>
      <c r="BL32" s="96" t="n">
        <f aca="false">Acquisitions!BL$50</f>
        <v>5</v>
      </c>
      <c r="BM32" s="96" t="n">
        <f aca="false">Acquisitions!BM$50</f>
        <v>5</v>
      </c>
      <c r="BN32" s="96" t="n">
        <f aca="false">Acquisitions!BN$50</f>
        <v>5</v>
      </c>
    </row>
    <row r="33" customFormat="false" ht="15" hidden="false" customHeight="false" outlineLevel="0" collapsed="false">
      <c r="A33" s="12" t="s">
        <v>682</v>
      </c>
      <c r="B33" s="80" t="n">
        <f aca="false">SUM(C33:N33)</f>
        <v>18</v>
      </c>
      <c r="C33" s="81" t="n">
        <f aca="false">Payroll!C$75*'Assumption Setting'!$C$85+Payroll!C$71*'Assumption Setting'!$D$85+C12*'Assumption Setting'!$E$85+C18*'Assumption Setting'!$F$85</f>
        <v>1.5</v>
      </c>
      <c r="D33" s="81" t="n">
        <f aca="false">Payroll!D$75*'Assumption Setting'!$C$85+Payroll!D$71*'Assumption Setting'!$D$85+D12*'Assumption Setting'!$E$85+D18*'Assumption Setting'!$F$85</f>
        <v>1.5</v>
      </c>
      <c r="E33" s="81" t="n">
        <f aca="false">Payroll!E$75*'Assumption Setting'!$C$85+Payroll!E$71*'Assumption Setting'!$D$85+E12*'Assumption Setting'!$E$85+E18*'Assumption Setting'!$F$85</f>
        <v>1.5</v>
      </c>
      <c r="F33" s="81" t="n">
        <f aca="false">Payroll!F$75*'Assumption Setting'!$C$85+Payroll!F$71*'Assumption Setting'!$D$85+F12*'Assumption Setting'!$E$85+F18*'Assumption Setting'!$F$85</f>
        <v>1.5</v>
      </c>
      <c r="G33" s="81" t="n">
        <f aca="false">Payroll!G$75*'Assumption Setting'!$C$85+Payroll!G$71*'Assumption Setting'!$D$85+G12*'Assumption Setting'!$E$85+G18*'Assumption Setting'!$F$85</f>
        <v>1.5</v>
      </c>
      <c r="H33" s="81" t="n">
        <f aca="false">Payroll!H$75*'Assumption Setting'!$C$85+Payroll!H$71*'Assumption Setting'!$D$85+H12*'Assumption Setting'!$E$85+H18*'Assumption Setting'!$F$85</f>
        <v>1.5</v>
      </c>
      <c r="I33" s="81" t="n">
        <f aca="false">Payroll!I$75*'Assumption Setting'!$C$85+Payroll!I$71*'Assumption Setting'!$D$85+I12*'Assumption Setting'!$E$85+I18*'Assumption Setting'!$F$85</f>
        <v>1.5</v>
      </c>
      <c r="J33" s="81" t="n">
        <f aca="false">Payroll!J$75*'Assumption Setting'!$C$85+Payroll!J$71*'Assumption Setting'!$D$85+J12*'Assumption Setting'!$E$85+J18*'Assumption Setting'!$F$85</f>
        <v>1.5</v>
      </c>
      <c r="K33" s="81" t="n">
        <f aca="false">Payroll!K$75*'Assumption Setting'!$C$85+Payroll!K$71*'Assumption Setting'!$D$85+K12*'Assumption Setting'!$E$85+K18*'Assumption Setting'!$F$85</f>
        <v>1.5</v>
      </c>
      <c r="L33" s="81" t="n">
        <f aca="false">Payroll!L$75*'Assumption Setting'!$C$85+Payroll!L$71*'Assumption Setting'!$D$85+L12*'Assumption Setting'!$E$85+L18*'Assumption Setting'!$F$85</f>
        <v>1.5</v>
      </c>
      <c r="M33" s="81" t="n">
        <f aca="false">Payroll!M$75*'Assumption Setting'!$C$85+Payroll!M$71*'Assumption Setting'!$D$85+M12*'Assumption Setting'!$E$85+M18*'Assumption Setting'!$F$85</f>
        <v>1.5</v>
      </c>
      <c r="N33" s="81" t="n">
        <f aca="false">Payroll!N$75*'Assumption Setting'!$C$85+Payroll!N$71*'Assumption Setting'!$D$85+N12*'Assumption Setting'!$E$85+N18*'Assumption Setting'!$F$85</f>
        <v>1.5</v>
      </c>
      <c r="O33" s="80" t="n">
        <f aca="false">SUM(P33:AA33)</f>
        <v>45.6</v>
      </c>
      <c r="P33" s="81" t="n">
        <f aca="false">Payroll!P$75*'Assumption Setting'!$C$85+Payroll!P$71*'Assumption Setting'!$D$85+P12*'Assumption Setting'!$E$85+P18*'Assumption Setting'!$F$85</f>
        <v>3.8</v>
      </c>
      <c r="Q33" s="81" t="n">
        <f aca="false">Payroll!Q$75*'Assumption Setting'!$C$85+Payroll!Q$71*'Assumption Setting'!$D$85+Q12*'Assumption Setting'!$E$85+Q18*'Assumption Setting'!$F$85</f>
        <v>3.8</v>
      </c>
      <c r="R33" s="81" t="n">
        <f aca="false">Payroll!R$75*'Assumption Setting'!$C$85+Payroll!R$71*'Assumption Setting'!$D$85+R12*'Assumption Setting'!$E$85+R18*'Assumption Setting'!$F$85</f>
        <v>3.8</v>
      </c>
      <c r="S33" s="81" t="n">
        <f aca="false">Payroll!S$75*'Assumption Setting'!$C$85+Payroll!S$71*'Assumption Setting'!$D$85+S12*'Assumption Setting'!$E$85+S18*'Assumption Setting'!$F$85</f>
        <v>3.8</v>
      </c>
      <c r="T33" s="81" t="n">
        <f aca="false">Payroll!T$75*'Assumption Setting'!$C$85+Payroll!T$71*'Assumption Setting'!$D$85+T12*'Assumption Setting'!$E$85+T18*'Assumption Setting'!$F$85</f>
        <v>3.8</v>
      </c>
      <c r="U33" s="81" t="n">
        <f aca="false">Payroll!U$75*'Assumption Setting'!$C$85+Payroll!U$71*'Assumption Setting'!$D$85+U12*'Assumption Setting'!$E$85+U18*'Assumption Setting'!$F$85</f>
        <v>3.8</v>
      </c>
      <c r="V33" s="81" t="n">
        <f aca="false">Payroll!V$75*'Assumption Setting'!$C$85+Payroll!V$71*'Assumption Setting'!$D$85+V12*'Assumption Setting'!$E$85+V18*'Assumption Setting'!$F$85</f>
        <v>3.8</v>
      </c>
      <c r="W33" s="81" t="n">
        <f aca="false">Payroll!W$75*'Assumption Setting'!$C$85+Payroll!W$71*'Assumption Setting'!$D$85+W12*'Assumption Setting'!$E$85+W18*'Assumption Setting'!$F$85</f>
        <v>3.8</v>
      </c>
      <c r="X33" s="81" t="n">
        <f aca="false">Payroll!X$75*'Assumption Setting'!$C$85+Payroll!X$71*'Assumption Setting'!$D$85+X12*'Assumption Setting'!$E$85+X18*'Assumption Setting'!$F$85</f>
        <v>3.8</v>
      </c>
      <c r="Y33" s="81" t="n">
        <f aca="false">Payroll!Y$75*'Assumption Setting'!$C$85+Payroll!Y$71*'Assumption Setting'!$D$85+Y12*'Assumption Setting'!$E$85+Y18*'Assumption Setting'!$F$85</f>
        <v>3.8</v>
      </c>
      <c r="Z33" s="81" t="n">
        <f aca="false">Payroll!Z$75*'Assumption Setting'!$C$85+Payroll!Z$71*'Assumption Setting'!$D$85+Z12*'Assumption Setting'!$E$85+Z18*'Assumption Setting'!$F$85</f>
        <v>3.8</v>
      </c>
      <c r="AA33" s="81" t="n">
        <f aca="false">Payroll!AA$75*'Assumption Setting'!$C$85+Payroll!AA$71*'Assumption Setting'!$D$85+AA12*'Assumption Setting'!$E$85+AA18*'Assumption Setting'!$F$85</f>
        <v>3.8</v>
      </c>
      <c r="AB33" s="80" t="n">
        <f aca="false">SUM(AC33:AN33)</f>
        <v>63.6</v>
      </c>
      <c r="AC33" s="81" t="n">
        <f aca="false">Payroll!AC$75*'Assumption Setting'!$C$85+Payroll!AC$71*'Assumption Setting'!$D$85+AC12*'Assumption Setting'!$E$85+AC18*'Assumption Setting'!$F$85</f>
        <v>5.3</v>
      </c>
      <c r="AD33" s="81" t="n">
        <f aca="false">Payroll!AD$75*'Assumption Setting'!$C$85+Payroll!AD$71*'Assumption Setting'!$D$85+AD12*'Assumption Setting'!$E$85+AD18*'Assumption Setting'!$F$85</f>
        <v>5.3</v>
      </c>
      <c r="AE33" s="81" t="n">
        <f aca="false">Payroll!AE$75*'Assumption Setting'!$C$85+Payroll!AE$71*'Assumption Setting'!$D$85+AE12*'Assumption Setting'!$E$85+AE18*'Assumption Setting'!$F$85</f>
        <v>5.3</v>
      </c>
      <c r="AF33" s="81" t="n">
        <f aca="false">Payroll!AF$75*'Assumption Setting'!$C$85+Payroll!AF$71*'Assumption Setting'!$D$85+AF12*'Assumption Setting'!$E$85+AF18*'Assumption Setting'!$F$85</f>
        <v>5.3</v>
      </c>
      <c r="AG33" s="81" t="n">
        <f aca="false">Payroll!AG$75*'Assumption Setting'!$C$85+Payroll!AG$71*'Assumption Setting'!$D$85+AG12*'Assumption Setting'!$E$85+AG18*'Assumption Setting'!$F$85</f>
        <v>5.3</v>
      </c>
      <c r="AH33" s="81" t="n">
        <f aca="false">Payroll!AH$75*'Assumption Setting'!$C$85+Payroll!AH$71*'Assumption Setting'!$D$85+AH12*'Assumption Setting'!$E$85+AH18*'Assumption Setting'!$F$85</f>
        <v>5.3</v>
      </c>
      <c r="AI33" s="81" t="n">
        <f aca="false">Payroll!AI$75*'Assumption Setting'!$C$85+Payroll!AI$71*'Assumption Setting'!$D$85+AI12*'Assumption Setting'!$E$85+AI18*'Assumption Setting'!$F$85</f>
        <v>5.3</v>
      </c>
      <c r="AJ33" s="81" t="n">
        <f aca="false">Payroll!AJ$75*'Assumption Setting'!$C$85+Payroll!AJ$71*'Assumption Setting'!$D$85+AJ12*'Assumption Setting'!$E$85+AJ18*'Assumption Setting'!$F$85</f>
        <v>5.3</v>
      </c>
      <c r="AK33" s="81" t="n">
        <f aca="false">Payroll!AK$75*'Assumption Setting'!$C$85+Payroll!AK$71*'Assumption Setting'!$D$85+AK12*'Assumption Setting'!$E$85+AK18*'Assumption Setting'!$F$85</f>
        <v>5.3</v>
      </c>
      <c r="AL33" s="81" t="n">
        <f aca="false">Payroll!AL$75*'Assumption Setting'!$C$85+Payroll!AL$71*'Assumption Setting'!$D$85+AL12*'Assumption Setting'!$E$85+AL18*'Assumption Setting'!$F$85</f>
        <v>5.3</v>
      </c>
      <c r="AM33" s="81" t="n">
        <f aca="false">Payroll!AM$75*'Assumption Setting'!$C$85+Payroll!AM$71*'Assumption Setting'!$D$85+AM12*'Assumption Setting'!$E$85+AM18*'Assumption Setting'!$F$85</f>
        <v>5.3</v>
      </c>
      <c r="AN33" s="81" t="n">
        <f aca="false">Payroll!AN$75*'Assumption Setting'!$C$85+Payroll!AN$71*'Assumption Setting'!$D$85+AN12*'Assumption Setting'!$E$85+AN18*'Assumption Setting'!$F$85</f>
        <v>5.3</v>
      </c>
      <c r="AO33" s="80" t="n">
        <f aca="false">SUM(AP33:BA33)</f>
        <v>93.6</v>
      </c>
      <c r="AP33" s="81" t="n">
        <f aca="false">Payroll!AP$75*'Assumption Setting'!$C$85+Payroll!AP$71*'Assumption Setting'!$D$85+AP12*'Assumption Setting'!$E$85+AP18*'Assumption Setting'!$F$85</f>
        <v>7.6</v>
      </c>
      <c r="AQ33" s="81" t="n">
        <f aca="false">Payroll!AQ$75*'Assumption Setting'!$C$85+Payroll!AQ$71*'Assumption Setting'!$D$85+AQ12*'Assumption Setting'!$E$85+AQ18*'Assumption Setting'!$F$85</f>
        <v>7.6</v>
      </c>
      <c r="AR33" s="81" t="n">
        <f aca="false">Payroll!AR$75*'Assumption Setting'!$C$85+Payroll!AR$71*'Assumption Setting'!$D$85+AR12*'Assumption Setting'!$E$85+AR18*'Assumption Setting'!$F$85</f>
        <v>7.6</v>
      </c>
      <c r="AS33" s="81" t="n">
        <f aca="false">Payroll!AS$75*'Assumption Setting'!$C$85+Payroll!AS$71*'Assumption Setting'!$D$85+AS12*'Assumption Setting'!$E$85+AS18*'Assumption Setting'!$F$85</f>
        <v>7.6</v>
      </c>
      <c r="AT33" s="81" t="n">
        <f aca="false">Payroll!AT$75*'Assumption Setting'!$C$85+Payroll!AT$71*'Assumption Setting'!$D$85+AT12*'Assumption Setting'!$E$85+AT18*'Assumption Setting'!$F$85</f>
        <v>7.6</v>
      </c>
      <c r="AU33" s="81" t="n">
        <f aca="false">Payroll!AU$75*'Assumption Setting'!$C$85+Payroll!AU$71*'Assumption Setting'!$D$85+AU12*'Assumption Setting'!$E$85+AU18*'Assumption Setting'!$F$85</f>
        <v>7.6</v>
      </c>
      <c r="AV33" s="81" t="n">
        <f aca="false">Payroll!AV$75*'Assumption Setting'!$C$85+Payroll!AV$71*'Assumption Setting'!$D$85+AV12*'Assumption Setting'!$E$85+AV18*'Assumption Setting'!$F$85</f>
        <v>7.6</v>
      </c>
      <c r="AW33" s="81" t="n">
        <f aca="false">Payroll!AW$75*'Assumption Setting'!$C$85+Payroll!AW$71*'Assumption Setting'!$D$85+AW12*'Assumption Setting'!$E$85+AW18*'Assumption Setting'!$F$85</f>
        <v>7.6</v>
      </c>
      <c r="AX33" s="81" t="n">
        <f aca="false">Payroll!AX$75*'Assumption Setting'!$C$85+Payroll!AX$71*'Assumption Setting'!$D$85+AX12*'Assumption Setting'!$E$85+AX18*'Assumption Setting'!$F$85</f>
        <v>7.6</v>
      </c>
      <c r="AY33" s="81" t="n">
        <f aca="false">Payroll!AY$75*'Assumption Setting'!$C$85+Payroll!AY$71*'Assumption Setting'!$D$85+AY12*'Assumption Setting'!$E$85+AY18*'Assumption Setting'!$F$85</f>
        <v>8.4</v>
      </c>
      <c r="AZ33" s="81" t="n">
        <f aca="false">Payroll!AZ$75*'Assumption Setting'!$C$85+Payroll!AZ$71*'Assumption Setting'!$D$85+AZ12*'Assumption Setting'!$E$85+AZ18*'Assumption Setting'!$F$85</f>
        <v>8.4</v>
      </c>
      <c r="BA33" s="81" t="n">
        <f aca="false">Payroll!BA$75*'Assumption Setting'!$C$85+Payroll!BA$71*'Assumption Setting'!$D$85+BA12*'Assumption Setting'!$E$85+BA18*'Assumption Setting'!$F$85</f>
        <v>8.4</v>
      </c>
      <c r="BB33" s="80" t="n">
        <f aca="false">SUM(BC33:BN33)</f>
        <v>126.8</v>
      </c>
      <c r="BC33" s="81" t="n">
        <f aca="false">Payroll!BC$75*'Assumption Setting'!$C$85+Payroll!BC$71*'Assumption Setting'!$D$85+BC12*'Assumption Setting'!$E$85+BC18*'Assumption Setting'!$F$85</f>
        <v>9.9</v>
      </c>
      <c r="BD33" s="81" t="n">
        <f aca="false">Payroll!BD$75*'Assumption Setting'!$C$85+Payroll!BD$71*'Assumption Setting'!$D$85+BD12*'Assumption Setting'!$E$85+BD18*'Assumption Setting'!$F$85</f>
        <v>9.9</v>
      </c>
      <c r="BE33" s="81" t="n">
        <f aca="false">Payroll!BE$75*'Assumption Setting'!$C$85+Payroll!BE$71*'Assumption Setting'!$D$85+BE12*'Assumption Setting'!$E$85+BE18*'Assumption Setting'!$F$85</f>
        <v>10.7</v>
      </c>
      <c r="BF33" s="81" t="n">
        <f aca="false">Payroll!BF$75*'Assumption Setting'!$C$85+Payroll!BF$71*'Assumption Setting'!$D$85+BF12*'Assumption Setting'!$E$85+BF18*'Assumption Setting'!$F$85</f>
        <v>10.7</v>
      </c>
      <c r="BG33" s="81" t="n">
        <f aca="false">Payroll!BG$75*'Assumption Setting'!$C$85+Payroll!BG$71*'Assumption Setting'!$D$85+BG12*'Assumption Setting'!$E$85+BG18*'Assumption Setting'!$F$85</f>
        <v>10.7</v>
      </c>
      <c r="BH33" s="81" t="n">
        <f aca="false">Payroll!BH$75*'Assumption Setting'!$C$85+Payroll!BH$71*'Assumption Setting'!$D$85+BH12*'Assumption Setting'!$E$85+BH18*'Assumption Setting'!$F$85</f>
        <v>10.7</v>
      </c>
      <c r="BI33" s="81" t="n">
        <f aca="false">Payroll!BI$75*'Assumption Setting'!$C$85+Payroll!BI$71*'Assumption Setting'!$D$85+BI12*'Assumption Setting'!$E$85+BI18*'Assumption Setting'!$F$85</f>
        <v>10.7</v>
      </c>
      <c r="BJ33" s="81" t="n">
        <f aca="false">Payroll!BJ$75*'Assumption Setting'!$C$85+Payroll!BJ$71*'Assumption Setting'!$D$85+BJ12*'Assumption Setting'!$E$85+BJ18*'Assumption Setting'!$F$85</f>
        <v>10.7</v>
      </c>
      <c r="BK33" s="81" t="n">
        <f aca="false">Payroll!BK$75*'Assumption Setting'!$C$85+Payroll!BK$71*'Assumption Setting'!$D$85+BK12*'Assumption Setting'!$E$85+BK18*'Assumption Setting'!$F$85</f>
        <v>10.7</v>
      </c>
      <c r="BL33" s="81" t="n">
        <f aca="false">Payroll!BL$75*'Assumption Setting'!$C$85+Payroll!BL$71*'Assumption Setting'!$D$85+BL12*'Assumption Setting'!$E$85+BL18*'Assumption Setting'!$F$85</f>
        <v>10.7</v>
      </c>
      <c r="BM33" s="81" t="n">
        <f aca="false">Payroll!BM$75*'Assumption Setting'!$C$85+Payroll!BM$71*'Assumption Setting'!$D$85+BM12*'Assumption Setting'!$E$85+BM18*'Assumption Setting'!$F$85</f>
        <v>10.7</v>
      </c>
      <c r="BN33" s="81" t="n">
        <f aca="false">Payroll!BN$75*'Assumption Setting'!$C$85+Payroll!BN$71*'Assumption Setting'!$D$85+BN12*'Assumption Setting'!$E$85+BN18*'Assumption Setting'!$F$85</f>
        <v>10.7</v>
      </c>
    </row>
    <row r="34" customFormat="false" ht="15" hidden="false" customHeight="false" outlineLevel="0" collapsed="false">
      <c r="A34" s="12" t="s">
        <v>683</v>
      </c>
      <c r="B34" s="80" t="n">
        <f aca="false">SUM(C34:N34)</f>
        <v>14.4</v>
      </c>
      <c r="C34" s="81" t="n">
        <f aca="false">C33-C32</f>
        <v>1.2</v>
      </c>
      <c r="D34" s="81" t="n">
        <f aca="false">D33-D32</f>
        <v>1.2</v>
      </c>
      <c r="E34" s="81" t="n">
        <f aca="false">E33-E32</f>
        <v>1.2</v>
      </c>
      <c r="F34" s="81" t="n">
        <f aca="false">F33-F32</f>
        <v>1.2</v>
      </c>
      <c r="G34" s="81" t="n">
        <f aca="false">G33-G32</f>
        <v>1.2</v>
      </c>
      <c r="H34" s="81" t="n">
        <f aca="false">H33-H32</f>
        <v>1.2</v>
      </c>
      <c r="I34" s="81" t="n">
        <f aca="false">I33-I32</f>
        <v>1.2</v>
      </c>
      <c r="J34" s="81" t="n">
        <f aca="false">J33-J32</f>
        <v>1.2</v>
      </c>
      <c r="K34" s="81" t="n">
        <f aca="false">K33-K32</f>
        <v>1.2</v>
      </c>
      <c r="L34" s="81" t="n">
        <f aca="false">L33-L32</f>
        <v>1.2</v>
      </c>
      <c r="M34" s="81" t="n">
        <f aca="false">M33-M32</f>
        <v>1.2</v>
      </c>
      <c r="N34" s="81" t="n">
        <f aca="false">N33-N32</f>
        <v>1.2</v>
      </c>
      <c r="O34" s="80" t="n">
        <f aca="false">SUM(P34:AA34)</f>
        <v>27.6</v>
      </c>
      <c r="P34" s="81" t="n">
        <f aca="false">P33-P32</f>
        <v>2.3</v>
      </c>
      <c r="Q34" s="81" t="n">
        <f aca="false">Q33-Q32</f>
        <v>2.3</v>
      </c>
      <c r="R34" s="81" t="n">
        <f aca="false">R33-R32</f>
        <v>2.3</v>
      </c>
      <c r="S34" s="81" t="n">
        <f aca="false">S33-S32</f>
        <v>2.3</v>
      </c>
      <c r="T34" s="81" t="n">
        <f aca="false">T33-T32</f>
        <v>2.3</v>
      </c>
      <c r="U34" s="81" t="n">
        <f aca="false">U33-U32</f>
        <v>2.3</v>
      </c>
      <c r="V34" s="81" t="n">
        <f aca="false">V33-V32</f>
        <v>2.3</v>
      </c>
      <c r="W34" s="81" t="n">
        <f aca="false">W33-W32</f>
        <v>2.3</v>
      </c>
      <c r="X34" s="81" t="n">
        <f aca="false">X33-X32</f>
        <v>2.3</v>
      </c>
      <c r="Y34" s="81" t="n">
        <f aca="false">Y33-Y32</f>
        <v>2.3</v>
      </c>
      <c r="Z34" s="81" t="n">
        <f aca="false">Z33-Z32</f>
        <v>2.3</v>
      </c>
      <c r="AA34" s="81" t="n">
        <f aca="false">AA33-AA32</f>
        <v>2.3</v>
      </c>
      <c r="AB34" s="80" t="n">
        <f aca="false">SUM(AC34:AN34)</f>
        <v>27.6</v>
      </c>
      <c r="AC34" s="81" t="n">
        <f aca="false">AC33-AC32</f>
        <v>2.3</v>
      </c>
      <c r="AD34" s="81" t="n">
        <f aca="false">AD33-AD32</f>
        <v>2.3</v>
      </c>
      <c r="AE34" s="81" t="n">
        <f aca="false">AE33-AE32</f>
        <v>2.3</v>
      </c>
      <c r="AF34" s="81" t="n">
        <f aca="false">AF33-AF32</f>
        <v>2.3</v>
      </c>
      <c r="AG34" s="81" t="n">
        <f aca="false">AG33-AG32</f>
        <v>2.3</v>
      </c>
      <c r="AH34" s="81" t="n">
        <f aca="false">AH33-AH32</f>
        <v>2.3</v>
      </c>
      <c r="AI34" s="81" t="n">
        <f aca="false">AI33-AI32</f>
        <v>2.3</v>
      </c>
      <c r="AJ34" s="81" t="n">
        <f aca="false">AJ33-AJ32</f>
        <v>2.3</v>
      </c>
      <c r="AK34" s="81" t="n">
        <f aca="false">AK33-AK32</f>
        <v>2.3</v>
      </c>
      <c r="AL34" s="81" t="n">
        <f aca="false">AL33-AL32</f>
        <v>2.3</v>
      </c>
      <c r="AM34" s="81" t="n">
        <f aca="false">AM33-AM32</f>
        <v>2.3</v>
      </c>
      <c r="AN34" s="81" t="n">
        <f aca="false">AN33-AN32</f>
        <v>2.3</v>
      </c>
      <c r="AO34" s="80" t="n">
        <f aca="false">SUM(AP34:BA34)</f>
        <v>45.6</v>
      </c>
      <c r="AP34" s="81" t="n">
        <f aca="false">AP33-AP32</f>
        <v>3.6</v>
      </c>
      <c r="AQ34" s="81" t="n">
        <f aca="false">AQ33-AQ32</f>
        <v>3.6</v>
      </c>
      <c r="AR34" s="81" t="n">
        <f aca="false">AR33-AR32</f>
        <v>3.6</v>
      </c>
      <c r="AS34" s="81" t="n">
        <f aca="false">AS33-AS32</f>
        <v>3.6</v>
      </c>
      <c r="AT34" s="81" t="n">
        <f aca="false">AT33-AT32</f>
        <v>3.6</v>
      </c>
      <c r="AU34" s="81" t="n">
        <f aca="false">AU33-AU32</f>
        <v>3.6</v>
      </c>
      <c r="AV34" s="81" t="n">
        <f aca="false">AV33-AV32</f>
        <v>3.6</v>
      </c>
      <c r="AW34" s="81" t="n">
        <f aca="false">AW33-AW32</f>
        <v>3.6</v>
      </c>
      <c r="AX34" s="81" t="n">
        <f aca="false">AX33-AX32</f>
        <v>3.6</v>
      </c>
      <c r="AY34" s="81" t="n">
        <f aca="false">AY33-AY32</f>
        <v>4.4</v>
      </c>
      <c r="AZ34" s="81" t="n">
        <f aca="false">AZ33-AZ32</f>
        <v>4.4</v>
      </c>
      <c r="BA34" s="81" t="n">
        <f aca="false">BA33-BA32</f>
        <v>4.4</v>
      </c>
      <c r="BB34" s="80" t="n">
        <f aca="false">SUM(BC34:BN34)</f>
        <v>66.8</v>
      </c>
      <c r="BC34" s="81" t="n">
        <f aca="false">BC33-BC32</f>
        <v>4.9</v>
      </c>
      <c r="BD34" s="81" t="n">
        <f aca="false">BD33-BD32</f>
        <v>4.9</v>
      </c>
      <c r="BE34" s="81" t="n">
        <f aca="false">BE33-BE32</f>
        <v>5.7</v>
      </c>
      <c r="BF34" s="81" t="n">
        <f aca="false">BF33-BF32</f>
        <v>5.7</v>
      </c>
      <c r="BG34" s="81" t="n">
        <f aca="false">BG33-BG32</f>
        <v>5.7</v>
      </c>
      <c r="BH34" s="81" t="n">
        <f aca="false">BH33-BH32</f>
        <v>5.7</v>
      </c>
      <c r="BI34" s="81" t="n">
        <f aca="false">BI33-BI32</f>
        <v>5.7</v>
      </c>
      <c r="BJ34" s="81" t="n">
        <f aca="false">BJ33-BJ32</f>
        <v>5.7</v>
      </c>
      <c r="BK34" s="81" t="n">
        <f aca="false">BK33-BK32</f>
        <v>5.7</v>
      </c>
      <c r="BL34" s="81" t="n">
        <f aca="false">BL33-BL32</f>
        <v>5.7</v>
      </c>
      <c r="BM34" s="81" t="n">
        <f aca="false">BM33-BM32</f>
        <v>5.7</v>
      </c>
      <c r="BN34" s="81" t="n">
        <f aca="false">BN33-BN32</f>
        <v>5.7</v>
      </c>
    </row>
    <row r="35" customFormat="false" ht="15" hidden="false" customHeight="false" outlineLevel="0" collapsed="false">
      <c r="A35" s="12" t="s">
        <v>687</v>
      </c>
      <c r="B35" s="80" t="n">
        <f aca="false">SUM(C35:N35)</f>
        <v>360</v>
      </c>
      <c r="C35" s="96" t="n">
        <f aca="false">Acquisitions!C$54</f>
        <v>30</v>
      </c>
      <c r="D35" s="96" t="n">
        <f aca="false">Acquisitions!D$54</f>
        <v>30</v>
      </c>
      <c r="E35" s="96" t="n">
        <f aca="false">Acquisitions!E$54</f>
        <v>30</v>
      </c>
      <c r="F35" s="96" t="n">
        <f aca="false">Acquisitions!F$54</f>
        <v>30</v>
      </c>
      <c r="G35" s="96" t="n">
        <f aca="false">Acquisitions!G$54</f>
        <v>30</v>
      </c>
      <c r="H35" s="96" t="n">
        <f aca="false">Acquisitions!H$54</f>
        <v>30</v>
      </c>
      <c r="I35" s="96" t="n">
        <f aca="false">Acquisitions!I$54</f>
        <v>30</v>
      </c>
      <c r="J35" s="96" t="n">
        <f aca="false">Acquisitions!J$54</f>
        <v>30</v>
      </c>
      <c r="K35" s="96" t="n">
        <f aca="false">Acquisitions!K$54</f>
        <v>30</v>
      </c>
      <c r="L35" s="96" t="n">
        <f aca="false">Acquisitions!L$54</f>
        <v>30</v>
      </c>
      <c r="M35" s="96" t="n">
        <f aca="false">Acquisitions!M$54</f>
        <v>30</v>
      </c>
      <c r="N35" s="96" t="n">
        <f aca="false">Acquisitions!N$54</f>
        <v>30</v>
      </c>
      <c r="O35" s="80" t="n">
        <f aca="false">SUM(P35:AA35)</f>
        <v>480</v>
      </c>
      <c r="P35" s="96" t="n">
        <f aca="false">Acquisitions!P$54</f>
        <v>40</v>
      </c>
      <c r="Q35" s="96" t="n">
        <f aca="false">Acquisitions!Q$54</f>
        <v>40</v>
      </c>
      <c r="R35" s="96" t="n">
        <f aca="false">Acquisitions!R$54</f>
        <v>40</v>
      </c>
      <c r="S35" s="96" t="n">
        <f aca="false">Acquisitions!S$54</f>
        <v>40</v>
      </c>
      <c r="T35" s="96" t="n">
        <f aca="false">Acquisitions!T$54</f>
        <v>40</v>
      </c>
      <c r="U35" s="96" t="n">
        <f aca="false">Acquisitions!U$54</f>
        <v>40</v>
      </c>
      <c r="V35" s="96" t="n">
        <f aca="false">Acquisitions!V$54</f>
        <v>40</v>
      </c>
      <c r="W35" s="96" t="n">
        <f aca="false">Acquisitions!W$54</f>
        <v>40</v>
      </c>
      <c r="X35" s="96" t="n">
        <f aca="false">Acquisitions!X$54</f>
        <v>40</v>
      </c>
      <c r="Y35" s="96" t="n">
        <f aca="false">Acquisitions!Y$54</f>
        <v>40</v>
      </c>
      <c r="Z35" s="96" t="n">
        <f aca="false">Acquisitions!Z$54</f>
        <v>40</v>
      </c>
      <c r="AA35" s="96" t="n">
        <f aca="false">Acquisitions!AA$54</f>
        <v>40</v>
      </c>
      <c r="AB35" s="80" t="n">
        <f aca="false">SUM(AC35:AN35)</f>
        <v>660</v>
      </c>
      <c r="AC35" s="96" t="n">
        <f aca="false">Acquisitions!AC$54</f>
        <v>55</v>
      </c>
      <c r="AD35" s="96" t="n">
        <f aca="false">Acquisitions!AD$54</f>
        <v>55</v>
      </c>
      <c r="AE35" s="96" t="n">
        <f aca="false">Acquisitions!AE$54</f>
        <v>55</v>
      </c>
      <c r="AF35" s="96" t="n">
        <f aca="false">Acquisitions!AF$54</f>
        <v>55</v>
      </c>
      <c r="AG35" s="96" t="n">
        <f aca="false">Acquisitions!AG$54</f>
        <v>55</v>
      </c>
      <c r="AH35" s="96" t="n">
        <f aca="false">Acquisitions!AH$54</f>
        <v>55</v>
      </c>
      <c r="AI35" s="96" t="n">
        <f aca="false">Acquisitions!AI$54</f>
        <v>55</v>
      </c>
      <c r="AJ35" s="96" t="n">
        <f aca="false">Acquisitions!AJ$54</f>
        <v>55</v>
      </c>
      <c r="AK35" s="96" t="n">
        <f aca="false">Acquisitions!AK$54</f>
        <v>55</v>
      </c>
      <c r="AL35" s="96" t="n">
        <f aca="false">Acquisitions!AL$54</f>
        <v>55</v>
      </c>
      <c r="AM35" s="96" t="n">
        <f aca="false">Acquisitions!AM$54</f>
        <v>55</v>
      </c>
      <c r="AN35" s="96" t="n">
        <f aca="false">Acquisitions!AN$54</f>
        <v>55</v>
      </c>
      <c r="AO35" s="80" t="n">
        <f aca="false">SUM(AP35:BA35)</f>
        <v>840</v>
      </c>
      <c r="AP35" s="96" t="n">
        <f aca="false">Acquisitions!AP$54</f>
        <v>70</v>
      </c>
      <c r="AQ35" s="96" t="n">
        <f aca="false">Acquisitions!AQ$54</f>
        <v>70</v>
      </c>
      <c r="AR35" s="96" t="n">
        <f aca="false">Acquisitions!AR$54</f>
        <v>70</v>
      </c>
      <c r="AS35" s="96" t="n">
        <f aca="false">Acquisitions!AS$54</f>
        <v>70</v>
      </c>
      <c r="AT35" s="96" t="n">
        <f aca="false">Acquisitions!AT$54</f>
        <v>70</v>
      </c>
      <c r="AU35" s="96" t="n">
        <f aca="false">Acquisitions!AU$54</f>
        <v>70</v>
      </c>
      <c r="AV35" s="96" t="n">
        <f aca="false">Acquisitions!AV$54</f>
        <v>70</v>
      </c>
      <c r="AW35" s="96" t="n">
        <f aca="false">Acquisitions!AW$54</f>
        <v>70</v>
      </c>
      <c r="AX35" s="96" t="n">
        <f aca="false">Acquisitions!AX$54</f>
        <v>70</v>
      </c>
      <c r="AY35" s="96" t="n">
        <f aca="false">Acquisitions!AY$54</f>
        <v>70</v>
      </c>
      <c r="AZ35" s="96" t="n">
        <f aca="false">Acquisitions!AZ$54</f>
        <v>70</v>
      </c>
      <c r="BA35" s="96" t="n">
        <f aca="false">Acquisitions!BA$54</f>
        <v>70</v>
      </c>
      <c r="BB35" s="80" t="n">
        <f aca="false">SUM(BC35:BN35)</f>
        <v>1020</v>
      </c>
      <c r="BC35" s="96" t="n">
        <f aca="false">Acquisitions!BC$54</f>
        <v>85</v>
      </c>
      <c r="BD35" s="96" t="n">
        <f aca="false">Acquisitions!BD$54</f>
        <v>85</v>
      </c>
      <c r="BE35" s="96" t="n">
        <f aca="false">Acquisitions!BE$54</f>
        <v>85</v>
      </c>
      <c r="BF35" s="96" t="n">
        <f aca="false">Acquisitions!BF$54</f>
        <v>85</v>
      </c>
      <c r="BG35" s="96" t="n">
        <f aca="false">Acquisitions!BG$54</f>
        <v>85</v>
      </c>
      <c r="BH35" s="96" t="n">
        <f aca="false">Acquisitions!BH$54</f>
        <v>85</v>
      </c>
      <c r="BI35" s="96" t="n">
        <f aca="false">Acquisitions!BI$54</f>
        <v>85</v>
      </c>
      <c r="BJ35" s="96" t="n">
        <f aca="false">Acquisitions!BJ$54</f>
        <v>85</v>
      </c>
      <c r="BK35" s="96" t="n">
        <f aca="false">Acquisitions!BK$54</f>
        <v>85</v>
      </c>
      <c r="BL35" s="96" t="n">
        <f aca="false">Acquisitions!BL$54</f>
        <v>85</v>
      </c>
      <c r="BM35" s="96" t="n">
        <f aca="false">Acquisitions!BM$54</f>
        <v>85</v>
      </c>
      <c r="BN35" s="96" t="n">
        <f aca="false">Acquisitions!BN$54</f>
        <v>85</v>
      </c>
    </row>
    <row r="36" customFormat="false" ht="15" hidden="false" customHeight="false" outlineLevel="0" collapsed="false">
      <c r="A36" s="12" t="s">
        <v>682</v>
      </c>
      <c r="B36" s="80" t="n">
        <f aca="false">SUM(C36:N36)</f>
        <v>432</v>
      </c>
      <c r="C36" s="81" t="n">
        <f aca="false">Payroll!C$72*'Assumption Setting'!$C$86+Payroll!C$71*'Assumption Setting'!$D$86+C12*'Assumption Setting'!$E$86+C18*'Assumption Setting'!$F$86</f>
        <v>36</v>
      </c>
      <c r="D36" s="81" t="n">
        <f aca="false">Payroll!D$72*'Assumption Setting'!$C$86+Payroll!D$71*'Assumption Setting'!$D$86+D12*'Assumption Setting'!$E$86+D18*'Assumption Setting'!$F$86</f>
        <v>36</v>
      </c>
      <c r="E36" s="81" t="n">
        <f aca="false">Payroll!E$72*'Assumption Setting'!$C$86+Payroll!E$71*'Assumption Setting'!$D$86+E12*'Assumption Setting'!$E$86+E18*'Assumption Setting'!$F$86</f>
        <v>36</v>
      </c>
      <c r="F36" s="81" t="n">
        <f aca="false">Payroll!F$72*'Assumption Setting'!$C$86+Payroll!F$71*'Assumption Setting'!$D$86+F12*'Assumption Setting'!$E$86+F18*'Assumption Setting'!$F$86</f>
        <v>36</v>
      </c>
      <c r="G36" s="81" t="n">
        <f aca="false">Payroll!G$72*'Assumption Setting'!$C$86+Payroll!G$71*'Assumption Setting'!$D$86+G12*'Assumption Setting'!$E$86+G18*'Assumption Setting'!$F$86</f>
        <v>36</v>
      </c>
      <c r="H36" s="81" t="n">
        <f aca="false">Payroll!H$72*'Assumption Setting'!$C$86+Payroll!H$71*'Assumption Setting'!$D$86+H12*'Assumption Setting'!$E$86+H18*'Assumption Setting'!$F$86</f>
        <v>36</v>
      </c>
      <c r="I36" s="81" t="n">
        <f aca="false">Payroll!I$72*'Assumption Setting'!$C$86+Payroll!I$71*'Assumption Setting'!$D$86+I12*'Assumption Setting'!$E$86+I18*'Assumption Setting'!$F$86</f>
        <v>36</v>
      </c>
      <c r="J36" s="81" t="n">
        <f aca="false">Payroll!J$72*'Assumption Setting'!$C$86+Payroll!J$71*'Assumption Setting'!$D$86+J12*'Assumption Setting'!$E$86+J18*'Assumption Setting'!$F$86</f>
        <v>36</v>
      </c>
      <c r="K36" s="81" t="n">
        <f aca="false">Payroll!K$72*'Assumption Setting'!$C$86+Payroll!K$71*'Assumption Setting'!$D$86+K12*'Assumption Setting'!$E$86+K18*'Assumption Setting'!$F$86</f>
        <v>36</v>
      </c>
      <c r="L36" s="81" t="n">
        <f aca="false">Payroll!L$72*'Assumption Setting'!$C$86+Payroll!L$71*'Assumption Setting'!$D$86+L12*'Assumption Setting'!$E$86+L18*'Assumption Setting'!$F$86</f>
        <v>36</v>
      </c>
      <c r="M36" s="81" t="n">
        <f aca="false">Payroll!M$72*'Assumption Setting'!$C$86+Payroll!M$71*'Assumption Setting'!$D$86+M12*'Assumption Setting'!$E$86+M18*'Assumption Setting'!$F$86</f>
        <v>36</v>
      </c>
      <c r="N36" s="81" t="n">
        <f aca="false">Payroll!N$72*'Assumption Setting'!$C$86+Payroll!N$71*'Assumption Setting'!$D$86+N12*'Assumption Setting'!$E$86+N18*'Assumption Setting'!$F$86</f>
        <v>36</v>
      </c>
      <c r="O36" s="80" t="n">
        <f aca="false">SUM(P36:AA36)</f>
        <v>576</v>
      </c>
      <c r="P36" s="81" t="n">
        <f aca="false">Payroll!P$72*'Assumption Setting'!$C$86+Payroll!P$71*'Assumption Setting'!$D$86+P12*'Assumption Setting'!$E$86+P18*'Assumption Setting'!$F$86</f>
        <v>48</v>
      </c>
      <c r="Q36" s="81" t="n">
        <f aca="false">Payroll!Q$72*'Assumption Setting'!$C$86+Payroll!Q$71*'Assumption Setting'!$D$86+Q12*'Assumption Setting'!$E$86+Q18*'Assumption Setting'!$F$86</f>
        <v>48</v>
      </c>
      <c r="R36" s="81" t="n">
        <f aca="false">Payroll!R$72*'Assumption Setting'!$C$86+Payroll!R$71*'Assumption Setting'!$D$86+R12*'Assumption Setting'!$E$86+R18*'Assumption Setting'!$F$86</f>
        <v>48</v>
      </c>
      <c r="S36" s="81" t="n">
        <f aca="false">Payroll!S$72*'Assumption Setting'!$C$86+Payroll!S$71*'Assumption Setting'!$D$86+S12*'Assumption Setting'!$E$86+S18*'Assumption Setting'!$F$86</f>
        <v>48</v>
      </c>
      <c r="T36" s="81" t="n">
        <f aca="false">Payroll!T$72*'Assumption Setting'!$C$86+Payroll!T$71*'Assumption Setting'!$D$86+T12*'Assumption Setting'!$E$86+T18*'Assumption Setting'!$F$86</f>
        <v>48</v>
      </c>
      <c r="U36" s="81" t="n">
        <f aca="false">Payroll!U$72*'Assumption Setting'!$C$86+Payroll!U$71*'Assumption Setting'!$D$86+U12*'Assumption Setting'!$E$86+U18*'Assumption Setting'!$F$86</f>
        <v>48</v>
      </c>
      <c r="V36" s="81" t="n">
        <f aca="false">Payroll!V$72*'Assumption Setting'!$C$86+Payroll!V$71*'Assumption Setting'!$D$86+V12*'Assumption Setting'!$E$86+V18*'Assumption Setting'!$F$86</f>
        <v>48</v>
      </c>
      <c r="W36" s="81" t="n">
        <f aca="false">Payroll!W$72*'Assumption Setting'!$C$86+Payroll!W$71*'Assumption Setting'!$D$86+W12*'Assumption Setting'!$E$86+W18*'Assumption Setting'!$F$86</f>
        <v>48</v>
      </c>
      <c r="X36" s="81" t="n">
        <f aca="false">Payroll!X$72*'Assumption Setting'!$C$86+Payroll!X$71*'Assumption Setting'!$D$86+X12*'Assumption Setting'!$E$86+X18*'Assumption Setting'!$F$86</f>
        <v>48</v>
      </c>
      <c r="Y36" s="81" t="n">
        <f aca="false">Payroll!Y$72*'Assumption Setting'!$C$86+Payroll!Y$71*'Assumption Setting'!$D$86+Y12*'Assumption Setting'!$E$86+Y18*'Assumption Setting'!$F$86</f>
        <v>48</v>
      </c>
      <c r="Z36" s="81" t="n">
        <f aca="false">Payroll!Z$72*'Assumption Setting'!$C$86+Payroll!Z$71*'Assumption Setting'!$D$86+Z12*'Assumption Setting'!$E$86+Z18*'Assumption Setting'!$F$86</f>
        <v>48</v>
      </c>
      <c r="AA36" s="81" t="n">
        <f aca="false">Payroll!AA$72*'Assumption Setting'!$C$86+Payroll!AA$71*'Assumption Setting'!$D$86+AA12*'Assumption Setting'!$E$86+AA18*'Assumption Setting'!$F$86</f>
        <v>48</v>
      </c>
      <c r="AB36" s="80" t="n">
        <f aca="false">SUM(AC36:AN36)</f>
        <v>720</v>
      </c>
      <c r="AC36" s="81" t="n">
        <f aca="false">Payroll!AC$72*'Assumption Setting'!$C$86+Payroll!AC$71*'Assumption Setting'!$D$86+AC12*'Assumption Setting'!$E$86+AC18*'Assumption Setting'!$F$86</f>
        <v>60</v>
      </c>
      <c r="AD36" s="81" t="n">
        <f aca="false">Payroll!AD$72*'Assumption Setting'!$C$86+Payroll!AD$71*'Assumption Setting'!$D$86+AD12*'Assumption Setting'!$E$86+AD18*'Assumption Setting'!$F$86</f>
        <v>60</v>
      </c>
      <c r="AE36" s="81" t="n">
        <f aca="false">Payroll!AE$72*'Assumption Setting'!$C$86+Payroll!AE$71*'Assumption Setting'!$D$86+AE12*'Assumption Setting'!$E$86+AE18*'Assumption Setting'!$F$86</f>
        <v>60</v>
      </c>
      <c r="AF36" s="81" t="n">
        <f aca="false">Payroll!AF$72*'Assumption Setting'!$C$86+Payroll!AF$71*'Assumption Setting'!$D$86+AF12*'Assumption Setting'!$E$86+AF18*'Assumption Setting'!$F$86</f>
        <v>60</v>
      </c>
      <c r="AG36" s="81" t="n">
        <f aca="false">Payroll!AG$72*'Assumption Setting'!$C$86+Payroll!AG$71*'Assumption Setting'!$D$86+AG12*'Assumption Setting'!$E$86+AG18*'Assumption Setting'!$F$86</f>
        <v>60</v>
      </c>
      <c r="AH36" s="81" t="n">
        <f aca="false">Payroll!AH$72*'Assumption Setting'!$C$86+Payroll!AH$71*'Assumption Setting'!$D$86+AH12*'Assumption Setting'!$E$86+AH18*'Assumption Setting'!$F$86</f>
        <v>60</v>
      </c>
      <c r="AI36" s="81" t="n">
        <f aca="false">Payroll!AI$72*'Assumption Setting'!$C$86+Payroll!AI$71*'Assumption Setting'!$D$86+AI12*'Assumption Setting'!$E$86+AI18*'Assumption Setting'!$F$86</f>
        <v>60</v>
      </c>
      <c r="AJ36" s="81" t="n">
        <f aca="false">Payroll!AJ$72*'Assumption Setting'!$C$86+Payroll!AJ$71*'Assumption Setting'!$D$86+AJ12*'Assumption Setting'!$E$86+AJ18*'Assumption Setting'!$F$86</f>
        <v>60</v>
      </c>
      <c r="AK36" s="81" t="n">
        <f aca="false">Payroll!AK$72*'Assumption Setting'!$C$86+Payroll!AK$71*'Assumption Setting'!$D$86+AK12*'Assumption Setting'!$E$86+AK18*'Assumption Setting'!$F$86</f>
        <v>60</v>
      </c>
      <c r="AL36" s="81" t="n">
        <f aca="false">Payroll!AL$72*'Assumption Setting'!$C$86+Payroll!AL$71*'Assumption Setting'!$D$86+AL12*'Assumption Setting'!$E$86+AL18*'Assumption Setting'!$F$86</f>
        <v>60</v>
      </c>
      <c r="AM36" s="81" t="n">
        <f aca="false">Payroll!AM$72*'Assumption Setting'!$C$86+Payroll!AM$71*'Assumption Setting'!$D$86+AM12*'Assumption Setting'!$E$86+AM18*'Assumption Setting'!$F$86</f>
        <v>60</v>
      </c>
      <c r="AN36" s="81" t="n">
        <f aca="false">Payroll!AN$72*'Assumption Setting'!$C$86+Payroll!AN$71*'Assumption Setting'!$D$86+AN12*'Assumption Setting'!$E$86+AN18*'Assumption Setting'!$F$86</f>
        <v>60</v>
      </c>
      <c r="AO36" s="80" t="n">
        <f aca="false">SUM(AP36:BA36)</f>
        <v>1008</v>
      </c>
      <c r="AP36" s="81" t="n">
        <f aca="false">Payroll!AP$72*'Assumption Setting'!$C$86+Payroll!AP$71*'Assumption Setting'!$D$86+AP12*'Assumption Setting'!$E$86+AP18*'Assumption Setting'!$F$86</f>
        <v>84</v>
      </c>
      <c r="AQ36" s="81" t="n">
        <f aca="false">Payroll!AQ$72*'Assumption Setting'!$C$86+Payroll!AQ$71*'Assumption Setting'!$D$86+AQ12*'Assumption Setting'!$E$86+AQ18*'Assumption Setting'!$F$86</f>
        <v>84</v>
      </c>
      <c r="AR36" s="81" t="n">
        <f aca="false">Payroll!AR$72*'Assumption Setting'!$C$86+Payroll!AR$71*'Assumption Setting'!$D$86+AR12*'Assumption Setting'!$E$86+AR18*'Assumption Setting'!$F$86</f>
        <v>84</v>
      </c>
      <c r="AS36" s="81" t="n">
        <f aca="false">Payroll!AS$72*'Assumption Setting'!$C$86+Payroll!AS$71*'Assumption Setting'!$D$86+AS12*'Assumption Setting'!$E$86+AS18*'Assumption Setting'!$F$86</f>
        <v>84</v>
      </c>
      <c r="AT36" s="81" t="n">
        <f aca="false">Payroll!AT$72*'Assumption Setting'!$C$86+Payroll!AT$71*'Assumption Setting'!$D$86+AT12*'Assumption Setting'!$E$86+AT18*'Assumption Setting'!$F$86</f>
        <v>84</v>
      </c>
      <c r="AU36" s="81" t="n">
        <f aca="false">Payroll!AU$72*'Assumption Setting'!$C$86+Payroll!AU$71*'Assumption Setting'!$D$86+AU12*'Assumption Setting'!$E$86+AU18*'Assumption Setting'!$F$86</f>
        <v>84</v>
      </c>
      <c r="AV36" s="81" t="n">
        <f aca="false">Payroll!AV$72*'Assumption Setting'!$C$86+Payroll!AV$71*'Assumption Setting'!$D$86+AV12*'Assumption Setting'!$E$86+AV18*'Assumption Setting'!$F$86</f>
        <v>84</v>
      </c>
      <c r="AW36" s="81" t="n">
        <f aca="false">Payroll!AW$72*'Assumption Setting'!$C$86+Payroll!AW$71*'Assumption Setting'!$D$86+AW12*'Assumption Setting'!$E$86+AW18*'Assumption Setting'!$F$86</f>
        <v>84</v>
      </c>
      <c r="AX36" s="81" t="n">
        <f aca="false">Payroll!AX$72*'Assumption Setting'!$C$86+Payroll!AX$71*'Assumption Setting'!$D$86+AX12*'Assumption Setting'!$E$86+AX18*'Assumption Setting'!$F$86</f>
        <v>84</v>
      </c>
      <c r="AY36" s="81" t="n">
        <f aca="false">Payroll!AY$72*'Assumption Setting'!$C$86+Payroll!AY$71*'Assumption Setting'!$D$86+AY12*'Assumption Setting'!$E$86+AY18*'Assumption Setting'!$F$86</f>
        <v>84</v>
      </c>
      <c r="AZ36" s="81" t="n">
        <f aca="false">Payroll!AZ$72*'Assumption Setting'!$C$86+Payroll!AZ$71*'Assumption Setting'!$D$86+AZ12*'Assumption Setting'!$E$86+AZ18*'Assumption Setting'!$F$86</f>
        <v>84</v>
      </c>
      <c r="BA36" s="81" t="n">
        <f aca="false">Payroll!BA$72*'Assumption Setting'!$C$86+Payroll!BA$71*'Assumption Setting'!$D$86+BA12*'Assumption Setting'!$E$86+BA18*'Assumption Setting'!$F$86</f>
        <v>84</v>
      </c>
      <c r="BB36" s="80" t="n">
        <f aca="false">SUM(BC36:BN36)</f>
        <v>1296</v>
      </c>
      <c r="BC36" s="81" t="n">
        <f aca="false">Payroll!BC$72*'Assumption Setting'!$C$86+Payroll!BC$71*'Assumption Setting'!$D$86+BC12*'Assumption Setting'!$E$86+BC18*'Assumption Setting'!$F$86</f>
        <v>108</v>
      </c>
      <c r="BD36" s="81" t="n">
        <f aca="false">Payroll!BD$72*'Assumption Setting'!$C$86+Payroll!BD$71*'Assumption Setting'!$D$86+BD12*'Assumption Setting'!$E$86+BD18*'Assumption Setting'!$F$86</f>
        <v>108</v>
      </c>
      <c r="BE36" s="81" t="n">
        <f aca="false">Payroll!BE$72*'Assumption Setting'!$C$86+Payroll!BE$71*'Assumption Setting'!$D$86+BE12*'Assumption Setting'!$E$86+BE18*'Assumption Setting'!$F$86</f>
        <v>108</v>
      </c>
      <c r="BF36" s="81" t="n">
        <f aca="false">Payroll!BF$72*'Assumption Setting'!$C$86+Payroll!BF$71*'Assumption Setting'!$D$86+BF12*'Assumption Setting'!$E$86+BF18*'Assumption Setting'!$F$86</f>
        <v>108</v>
      </c>
      <c r="BG36" s="81" t="n">
        <f aca="false">Payroll!BG$72*'Assumption Setting'!$C$86+Payroll!BG$71*'Assumption Setting'!$D$86+BG12*'Assumption Setting'!$E$86+BG18*'Assumption Setting'!$F$86</f>
        <v>108</v>
      </c>
      <c r="BH36" s="81" t="n">
        <f aca="false">Payroll!BH$72*'Assumption Setting'!$C$86+Payroll!BH$71*'Assumption Setting'!$D$86+BH12*'Assumption Setting'!$E$86+BH18*'Assumption Setting'!$F$86</f>
        <v>108</v>
      </c>
      <c r="BI36" s="81" t="n">
        <f aca="false">Payroll!BI$72*'Assumption Setting'!$C$86+Payroll!BI$71*'Assumption Setting'!$D$86+BI12*'Assumption Setting'!$E$86+BI18*'Assumption Setting'!$F$86</f>
        <v>108</v>
      </c>
      <c r="BJ36" s="81" t="n">
        <f aca="false">Payroll!BJ$72*'Assumption Setting'!$C$86+Payroll!BJ$71*'Assumption Setting'!$D$86+BJ12*'Assumption Setting'!$E$86+BJ18*'Assumption Setting'!$F$86</f>
        <v>108</v>
      </c>
      <c r="BK36" s="81" t="n">
        <f aca="false">Payroll!BK$72*'Assumption Setting'!$C$86+Payroll!BK$71*'Assumption Setting'!$D$86+BK12*'Assumption Setting'!$E$86+BK18*'Assumption Setting'!$F$86</f>
        <v>108</v>
      </c>
      <c r="BL36" s="81" t="n">
        <f aca="false">Payroll!BL$72*'Assumption Setting'!$C$86+Payroll!BL$71*'Assumption Setting'!$D$86+BL12*'Assumption Setting'!$E$86+BL18*'Assumption Setting'!$F$86</f>
        <v>108</v>
      </c>
      <c r="BM36" s="81" t="n">
        <f aca="false">Payroll!BM$72*'Assumption Setting'!$C$86+Payroll!BM$71*'Assumption Setting'!$D$86+BM12*'Assumption Setting'!$E$86+BM18*'Assumption Setting'!$F$86</f>
        <v>108</v>
      </c>
      <c r="BN36" s="81" t="n">
        <f aca="false">Payroll!BN$72*'Assumption Setting'!$C$86+Payroll!BN$71*'Assumption Setting'!$D$86+BN12*'Assumption Setting'!$E$86+BN18*'Assumption Setting'!$F$86</f>
        <v>108</v>
      </c>
    </row>
    <row r="37" customFormat="false" ht="15" hidden="false" customHeight="false" outlineLevel="0" collapsed="false">
      <c r="A37" s="12" t="s">
        <v>683</v>
      </c>
      <c r="B37" s="80" t="n">
        <f aca="false">SUM(C37:N37)</f>
        <v>72</v>
      </c>
      <c r="C37" s="81" t="n">
        <f aca="false">C36-C35</f>
        <v>6</v>
      </c>
      <c r="D37" s="81" t="n">
        <f aca="false">D36-D35</f>
        <v>6</v>
      </c>
      <c r="E37" s="81" t="n">
        <f aca="false">E36-E35</f>
        <v>6</v>
      </c>
      <c r="F37" s="81" t="n">
        <f aca="false">F36-F35</f>
        <v>6</v>
      </c>
      <c r="G37" s="81" t="n">
        <f aca="false">G36-G35</f>
        <v>6</v>
      </c>
      <c r="H37" s="81" t="n">
        <f aca="false">H36-H35</f>
        <v>6</v>
      </c>
      <c r="I37" s="81" t="n">
        <f aca="false">I36-I35</f>
        <v>6</v>
      </c>
      <c r="J37" s="81" t="n">
        <f aca="false">J36-J35</f>
        <v>6</v>
      </c>
      <c r="K37" s="81" t="n">
        <f aca="false">K36-K35</f>
        <v>6</v>
      </c>
      <c r="L37" s="81" t="n">
        <f aca="false">L36-L35</f>
        <v>6</v>
      </c>
      <c r="M37" s="81" t="n">
        <f aca="false">M36-M35</f>
        <v>6</v>
      </c>
      <c r="N37" s="81" t="n">
        <f aca="false">N36-N35</f>
        <v>6</v>
      </c>
      <c r="O37" s="80" t="n">
        <f aca="false">SUM(P37:AA37)</f>
        <v>96</v>
      </c>
      <c r="P37" s="81" t="n">
        <f aca="false">P36-P35</f>
        <v>8</v>
      </c>
      <c r="Q37" s="81" t="n">
        <f aca="false">Q36-Q35</f>
        <v>8</v>
      </c>
      <c r="R37" s="81" t="n">
        <f aca="false">R36-R35</f>
        <v>8</v>
      </c>
      <c r="S37" s="81" t="n">
        <f aca="false">S36-S35</f>
        <v>8</v>
      </c>
      <c r="T37" s="81" t="n">
        <f aca="false">T36-T35</f>
        <v>8</v>
      </c>
      <c r="U37" s="81" t="n">
        <f aca="false">U36-U35</f>
        <v>8</v>
      </c>
      <c r="V37" s="81" t="n">
        <f aca="false">V36-V35</f>
        <v>8</v>
      </c>
      <c r="W37" s="81" t="n">
        <f aca="false">W36-W35</f>
        <v>8</v>
      </c>
      <c r="X37" s="81" t="n">
        <f aca="false">X36-X35</f>
        <v>8</v>
      </c>
      <c r="Y37" s="81" t="n">
        <f aca="false">Y36-Y35</f>
        <v>8</v>
      </c>
      <c r="Z37" s="81" t="n">
        <f aca="false">Z36-Z35</f>
        <v>8</v>
      </c>
      <c r="AA37" s="81" t="n">
        <f aca="false">AA36-AA35</f>
        <v>8</v>
      </c>
      <c r="AB37" s="80" t="n">
        <f aca="false">SUM(AC37:AN37)</f>
        <v>60</v>
      </c>
      <c r="AC37" s="81" t="n">
        <f aca="false">AC36-AC35</f>
        <v>5</v>
      </c>
      <c r="AD37" s="81" t="n">
        <f aca="false">AD36-AD35</f>
        <v>5</v>
      </c>
      <c r="AE37" s="81" t="n">
        <f aca="false">AE36-AE35</f>
        <v>5</v>
      </c>
      <c r="AF37" s="81" t="n">
        <f aca="false">AF36-AF35</f>
        <v>5</v>
      </c>
      <c r="AG37" s="81" t="n">
        <f aca="false">AG36-AG35</f>
        <v>5</v>
      </c>
      <c r="AH37" s="81" t="n">
        <f aca="false">AH36-AH35</f>
        <v>5</v>
      </c>
      <c r="AI37" s="81" t="n">
        <f aca="false">AI36-AI35</f>
        <v>5</v>
      </c>
      <c r="AJ37" s="81" t="n">
        <f aca="false">AJ36-AJ35</f>
        <v>5</v>
      </c>
      <c r="AK37" s="81" t="n">
        <f aca="false">AK36-AK35</f>
        <v>5</v>
      </c>
      <c r="AL37" s="81" t="n">
        <f aca="false">AL36-AL35</f>
        <v>5</v>
      </c>
      <c r="AM37" s="81" t="n">
        <f aca="false">AM36-AM35</f>
        <v>5</v>
      </c>
      <c r="AN37" s="81" t="n">
        <f aca="false">AN36-AN35</f>
        <v>5</v>
      </c>
      <c r="AO37" s="80" t="n">
        <f aca="false">SUM(AP37:BA37)</f>
        <v>168</v>
      </c>
      <c r="AP37" s="81" t="n">
        <f aca="false">AP36-AP35</f>
        <v>14</v>
      </c>
      <c r="AQ37" s="81" t="n">
        <f aca="false">AQ36-AQ35</f>
        <v>14</v>
      </c>
      <c r="AR37" s="81" t="n">
        <f aca="false">AR36-AR35</f>
        <v>14</v>
      </c>
      <c r="AS37" s="81" t="n">
        <f aca="false">AS36-AS35</f>
        <v>14</v>
      </c>
      <c r="AT37" s="81" t="n">
        <f aca="false">AT36-AT35</f>
        <v>14</v>
      </c>
      <c r="AU37" s="81" t="n">
        <f aca="false">AU36-AU35</f>
        <v>14</v>
      </c>
      <c r="AV37" s="81" t="n">
        <f aca="false">AV36-AV35</f>
        <v>14</v>
      </c>
      <c r="AW37" s="81" t="n">
        <f aca="false">AW36-AW35</f>
        <v>14</v>
      </c>
      <c r="AX37" s="81" t="n">
        <f aca="false">AX36-AX35</f>
        <v>14</v>
      </c>
      <c r="AY37" s="81" t="n">
        <f aca="false">AY36-AY35</f>
        <v>14</v>
      </c>
      <c r="AZ37" s="81" t="n">
        <f aca="false">AZ36-AZ35</f>
        <v>14</v>
      </c>
      <c r="BA37" s="81" t="n">
        <f aca="false">BA36-BA35</f>
        <v>14</v>
      </c>
      <c r="BB37" s="80" t="n">
        <f aca="false">SUM(BC37:BN37)</f>
        <v>276</v>
      </c>
      <c r="BC37" s="81" t="n">
        <f aca="false">BC36-BC35</f>
        <v>23</v>
      </c>
      <c r="BD37" s="81" t="n">
        <f aca="false">BD36-BD35</f>
        <v>23</v>
      </c>
      <c r="BE37" s="81" t="n">
        <f aca="false">BE36-BE35</f>
        <v>23</v>
      </c>
      <c r="BF37" s="81" t="n">
        <f aca="false">BF36-BF35</f>
        <v>23</v>
      </c>
      <c r="BG37" s="81" t="n">
        <f aca="false">BG36-BG35</f>
        <v>23</v>
      </c>
      <c r="BH37" s="81" t="n">
        <f aca="false">BH36-BH35</f>
        <v>23</v>
      </c>
      <c r="BI37" s="81" t="n">
        <f aca="false">BI36-BI35</f>
        <v>23</v>
      </c>
      <c r="BJ37" s="81" t="n">
        <f aca="false">BJ36-BJ35</f>
        <v>23</v>
      </c>
      <c r="BK37" s="81" t="n">
        <f aca="false">BK36-BK35</f>
        <v>23</v>
      </c>
      <c r="BL37" s="81" t="n">
        <f aca="false">BL36-BL35</f>
        <v>23</v>
      </c>
      <c r="BM37" s="81" t="n">
        <f aca="false">BM36-BM35</f>
        <v>23</v>
      </c>
      <c r="BN37" s="81" t="n">
        <f aca="false">BN36-BN35</f>
        <v>23</v>
      </c>
    </row>
    <row r="38" customFormat="false" ht="15" hidden="false" customHeight="false" outlineLevel="0" collapsed="false">
      <c r="A38" s="69" t="s">
        <v>688</v>
      </c>
      <c r="B38" s="80" t="n">
        <f aca="false">MAX(C38:N38)</f>
        <v>0</v>
      </c>
      <c r="C38" s="97" t="n">
        <f aca="false">MAX(0,C23-C24)+MAX(0,C26-C27)+MAX(0,C29-C30)+MAX(0,C32-C33)+MAX(0,C35-C36)</f>
        <v>0</v>
      </c>
      <c r="D38" s="97" t="n">
        <f aca="false">MAX(0,D23-D24)+MAX(0,D26-D27)+MAX(0,D29-D30)+MAX(0,D32-D33)+MAX(0,D35-D36)</f>
        <v>0</v>
      </c>
      <c r="E38" s="97" t="n">
        <f aca="false">MAX(0,E23-E24)+MAX(0,E26-E27)+MAX(0,E29-E30)+MAX(0,E32-E33)+MAX(0,E35-E36)</f>
        <v>0</v>
      </c>
      <c r="F38" s="97" t="n">
        <f aca="false">MAX(0,F23-F24)+MAX(0,F26-F27)+MAX(0,F29-F30)+MAX(0,F32-F33)+MAX(0,F35-F36)</f>
        <v>0</v>
      </c>
      <c r="G38" s="97" t="n">
        <f aca="false">MAX(0,G23-G24)+MAX(0,G26-G27)+MAX(0,G29-G30)+MAX(0,G32-G33)+MAX(0,G35-G36)</f>
        <v>0</v>
      </c>
      <c r="H38" s="97" t="n">
        <f aca="false">MAX(0,H23-H24)+MAX(0,H26-H27)+MAX(0,H29-H30)+MAX(0,H32-H33)+MAX(0,H35-H36)</f>
        <v>0</v>
      </c>
      <c r="I38" s="97" t="n">
        <f aca="false">MAX(0,I23-I24)+MAX(0,I26-I27)+MAX(0,I29-I30)+MAX(0,I32-I33)+MAX(0,I35-I36)</f>
        <v>0</v>
      </c>
      <c r="J38" s="97" t="n">
        <f aca="false">MAX(0,J23-J24)+MAX(0,J26-J27)+MAX(0,J29-J30)+MAX(0,J32-J33)+MAX(0,J35-J36)</f>
        <v>0</v>
      </c>
      <c r="K38" s="97" t="n">
        <f aca="false">MAX(0,K23-K24)+MAX(0,K26-K27)+MAX(0,K29-K30)+MAX(0,K32-K33)+MAX(0,K35-K36)</f>
        <v>0</v>
      </c>
      <c r="L38" s="97" t="n">
        <f aca="false">MAX(0,L23-L24)+MAX(0,L26-L27)+MAX(0,L29-L30)+MAX(0,L32-L33)+MAX(0,L35-L36)</f>
        <v>0</v>
      </c>
      <c r="M38" s="97" t="n">
        <f aca="false">MAX(0,M23-M24)+MAX(0,M26-M27)+MAX(0,M29-M30)+MAX(0,M32-M33)+MAX(0,M35-M36)</f>
        <v>0</v>
      </c>
      <c r="N38" s="97" t="n">
        <f aca="false">MAX(0,N23-N24)+MAX(0,N26-N27)+MAX(0,N29-N30)+MAX(0,N32-N33)+MAX(0,N35-N36)</f>
        <v>0</v>
      </c>
      <c r="O38" s="80" t="n">
        <f aca="false">MAX(P38:AA38)</f>
        <v>0</v>
      </c>
      <c r="P38" s="97" t="n">
        <f aca="false">MAX(0,P23-P24)+MAX(0,P26-P27)+MAX(0,P29-P30)+MAX(0,P32-P33)+MAX(0,P35-P36)</f>
        <v>0</v>
      </c>
      <c r="Q38" s="97" t="n">
        <f aca="false">MAX(0,Q23-Q24)+MAX(0,Q26-Q27)+MAX(0,Q29-Q30)+MAX(0,Q32-Q33)+MAX(0,Q35-Q36)</f>
        <v>0</v>
      </c>
      <c r="R38" s="97" t="n">
        <f aca="false">MAX(0,R23-R24)+MAX(0,R26-R27)+MAX(0,R29-R30)+MAX(0,R32-R33)+MAX(0,R35-R36)</f>
        <v>0</v>
      </c>
      <c r="S38" s="97" t="n">
        <f aca="false">MAX(0,S23-S24)+MAX(0,S26-S27)+MAX(0,S29-S30)+MAX(0,S32-S33)+MAX(0,S35-S36)</f>
        <v>0</v>
      </c>
      <c r="T38" s="97" t="n">
        <f aca="false">MAX(0,T23-T24)+MAX(0,T26-T27)+MAX(0,T29-T30)+MAX(0,T32-T33)+MAX(0,T35-T36)</f>
        <v>0</v>
      </c>
      <c r="U38" s="97" t="n">
        <f aca="false">MAX(0,U23-U24)+MAX(0,U26-U27)+MAX(0,U29-U30)+MAX(0,U32-U33)+MAX(0,U35-U36)</f>
        <v>0</v>
      </c>
      <c r="V38" s="97" t="n">
        <f aca="false">MAX(0,V23-V24)+MAX(0,V26-V27)+MAX(0,V29-V30)+MAX(0,V32-V33)+MAX(0,V35-V36)</f>
        <v>0</v>
      </c>
      <c r="W38" s="97" t="n">
        <f aca="false">MAX(0,W23-W24)+MAX(0,W26-W27)+MAX(0,W29-W30)+MAX(0,W32-W33)+MAX(0,W35-W36)</f>
        <v>0</v>
      </c>
      <c r="X38" s="97" t="n">
        <f aca="false">MAX(0,X23-X24)+MAX(0,X26-X27)+MAX(0,X29-X30)+MAX(0,X32-X33)+MAX(0,X35-X36)</f>
        <v>0</v>
      </c>
      <c r="Y38" s="97" t="n">
        <f aca="false">MAX(0,Y23-Y24)+MAX(0,Y26-Y27)+MAX(0,Y29-Y30)+MAX(0,Y32-Y33)+MAX(0,Y35-Y36)</f>
        <v>0</v>
      </c>
      <c r="Z38" s="97" t="n">
        <f aca="false">MAX(0,Z23-Z24)+MAX(0,Z26-Z27)+MAX(0,Z29-Z30)+MAX(0,Z32-Z33)+MAX(0,Z35-Z36)</f>
        <v>0</v>
      </c>
      <c r="AA38" s="97" t="n">
        <f aca="false">MAX(0,AA23-AA24)+MAX(0,AA26-AA27)+MAX(0,AA29-AA30)+MAX(0,AA32-AA33)+MAX(0,AA35-AA36)</f>
        <v>0</v>
      </c>
      <c r="AB38" s="80" t="n">
        <f aca="false">MAX(AC38:AN38)</f>
        <v>0</v>
      </c>
      <c r="AC38" s="97" t="n">
        <f aca="false">MAX(0,AC23-AC24)+MAX(0,AC26-AC27)+MAX(0,AC29-AC30)+MAX(0,AC32-AC33)+MAX(0,AC35-AC36)</f>
        <v>0</v>
      </c>
      <c r="AD38" s="97" t="n">
        <f aca="false">MAX(0,AD23-AD24)+MAX(0,AD26-AD27)+MAX(0,AD29-AD30)+MAX(0,AD32-AD33)+MAX(0,AD35-AD36)</f>
        <v>0</v>
      </c>
      <c r="AE38" s="97" t="n">
        <f aca="false">MAX(0,AE23-AE24)+MAX(0,AE26-AE27)+MAX(0,AE29-AE30)+MAX(0,AE32-AE33)+MAX(0,AE35-AE36)</f>
        <v>0</v>
      </c>
      <c r="AF38" s="97" t="n">
        <f aca="false">MAX(0,AF23-AF24)+MAX(0,AF26-AF27)+MAX(0,AF29-AF30)+MAX(0,AF32-AF33)+MAX(0,AF35-AF36)</f>
        <v>0</v>
      </c>
      <c r="AG38" s="97" t="n">
        <f aca="false">MAX(0,AG23-AG24)+MAX(0,AG26-AG27)+MAX(0,AG29-AG30)+MAX(0,AG32-AG33)+MAX(0,AG35-AG36)</f>
        <v>0</v>
      </c>
      <c r="AH38" s="97" t="n">
        <f aca="false">MAX(0,AH23-AH24)+MAX(0,AH26-AH27)+MAX(0,AH29-AH30)+MAX(0,AH32-AH33)+MAX(0,AH35-AH36)</f>
        <v>0</v>
      </c>
      <c r="AI38" s="97" t="n">
        <f aca="false">MAX(0,AI23-AI24)+MAX(0,AI26-AI27)+MAX(0,AI29-AI30)+MAX(0,AI32-AI33)+MAX(0,AI35-AI36)</f>
        <v>0</v>
      </c>
      <c r="AJ38" s="97" t="n">
        <f aca="false">MAX(0,AJ23-AJ24)+MAX(0,AJ26-AJ27)+MAX(0,AJ29-AJ30)+MAX(0,AJ32-AJ33)+MAX(0,AJ35-AJ36)</f>
        <v>0</v>
      </c>
      <c r="AK38" s="97" t="n">
        <f aca="false">MAX(0,AK23-AK24)+MAX(0,AK26-AK27)+MAX(0,AK29-AK30)+MAX(0,AK32-AK33)+MAX(0,AK35-AK36)</f>
        <v>0</v>
      </c>
      <c r="AL38" s="97" t="n">
        <f aca="false">MAX(0,AL23-AL24)+MAX(0,AL26-AL27)+MAX(0,AL29-AL30)+MAX(0,AL32-AL33)+MAX(0,AL35-AL36)</f>
        <v>0</v>
      </c>
      <c r="AM38" s="97" t="n">
        <f aca="false">MAX(0,AM23-AM24)+MAX(0,AM26-AM27)+MAX(0,AM29-AM30)+MAX(0,AM32-AM33)+MAX(0,AM35-AM36)</f>
        <v>0</v>
      </c>
      <c r="AN38" s="97" t="n">
        <f aca="false">MAX(0,AN23-AN24)+MAX(0,AN26-AN27)+MAX(0,AN29-AN30)+MAX(0,AN32-AN33)+MAX(0,AN35-AN36)</f>
        <v>0</v>
      </c>
      <c r="AO38" s="80" t="n">
        <f aca="false">MAX(AP38:BA38)</f>
        <v>0</v>
      </c>
      <c r="AP38" s="97" t="n">
        <f aca="false">MAX(0,AP23-AP24)+MAX(0,AP26-AP27)+MAX(0,AP29-AP30)+MAX(0,AP32-AP33)+MAX(0,AP35-AP36)</f>
        <v>0</v>
      </c>
      <c r="AQ38" s="97" t="n">
        <f aca="false">MAX(0,AQ23-AQ24)+MAX(0,AQ26-AQ27)+MAX(0,AQ29-AQ30)+MAX(0,AQ32-AQ33)+MAX(0,AQ35-AQ36)</f>
        <v>0</v>
      </c>
      <c r="AR38" s="97" t="n">
        <f aca="false">MAX(0,AR23-AR24)+MAX(0,AR26-AR27)+MAX(0,AR29-AR30)+MAX(0,AR32-AR33)+MAX(0,AR35-AR36)</f>
        <v>0</v>
      </c>
      <c r="AS38" s="97" t="n">
        <f aca="false">MAX(0,AS23-AS24)+MAX(0,AS26-AS27)+MAX(0,AS29-AS30)+MAX(0,AS32-AS33)+MAX(0,AS35-AS36)</f>
        <v>0</v>
      </c>
      <c r="AT38" s="97" t="n">
        <f aca="false">MAX(0,AT23-AT24)+MAX(0,AT26-AT27)+MAX(0,AT29-AT30)+MAX(0,AT32-AT33)+MAX(0,AT35-AT36)</f>
        <v>0</v>
      </c>
      <c r="AU38" s="97" t="n">
        <f aca="false">MAX(0,AU23-AU24)+MAX(0,AU26-AU27)+MAX(0,AU29-AU30)+MAX(0,AU32-AU33)+MAX(0,AU35-AU36)</f>
        <v>0</v>
      </c>
      <c r="AV38" s="97" t="n">
        <f aca="false">MAX(0,AV23-AV24)+MAX(0,AV26-AV27)+MAX(0,AV29-AV30)+MAX(0,AV32-AV33)+MAX(0,AV35-AV36)</f>
        <v>0</v>
      </c>
      <c r="AW38" s="97" t="n">
        <f aca="false">MAX(0,AW23-AW24)+MAX(0,AW26-AW27)+MAX(0,AW29-AW30)+MAX(0,AW32-AW33)+MAX(0,AW35-AW36)</f>
        <v>0</v>
      </c>
      <c r="AX38" s="97" t="n">
        <f aca="false">MAX(0,AX23-AX24)+MAX(0,AX26-AX27)+MAX(0,AX29-AX30)+MAX(0,AX32-AX33)+MAX(0,AX35-AX36)</f>
        <v>0</v>
      </c>
      <c r="AY38" s="97" t="n">
        <f aca="false">MAX(0,AY23-AY24)+MAX(0,AY26-AY27)+MAX(0,AY29-AY30)+MAX(0,AY32-AY33)+MAX(0,AY35-AY36)</f>
        <v>0</v>
      </c>
      <c r="AZ38" s="97" t="n">
        <f aca="false">MAX(0,AZ23-AZ24)+MAX(0,AZ26-AZ27)+MAX(0,AZ29-AZ30)+MAX(0,AZ32-AZ33)+MAX(0,AZ35-AZ36)</f>
        <v>0</v>
      </c>
      <c r="BA38" s="97" t="n">
        <f aca="false">MAX(0,BA23-BA24)+MAX(0,BA26-BA27)+MAX(0,BA29-BA30)+MAX(0,BA32-BA33)+MAX(0,BA35-BA36)</f>
        <v>0</v>
      </c>
      <c r="BB38" s="80" t="n">
        <f aca="false">MAX(BC38:BN38)</f>
        <v>0</v>
      </c>
      <c r="BC38" s="97" t="n">
        <f aca="false">MAX(0,BC23-BC24)+MAX(0,BC26-BC27)+MAX(0,BC29-BC30)+MAX(0,BC32-BC33)+MAX(0,BC35-BC36)</f>
        <v>0</v>
      </c>
      <c r="BD38" s="97" t="n">
        <f aca="false">MAX(0,BD23-BD24)+MAX(0,BD26-BD27)+MAX(0,BD29-BD30)+MAX(0,BD32-BD33)+MAX(0,BD35-BD36)</f>
        <v>0</v>
      </c>
      <c r="BE38" s="97" t="n">
        <f aca="false">MAX(0,BE23-BE24)+MAX(0,BE26-BE27)+MAX(0,BE29-BE30)+MAX(0,BE32-BE33)+MAX(0,BE35-BE36)</f>
        <v>0</v>
      </c>
      <c r="BF38" s="97" t="n">
        <f aca="false">MAX(0,BF23-BF24)+MAX(0,BF26-BF27)+MAX(0,BF29-BF30)+MAX(0,BF32-BF33)+MAX(0,BF35-BF36)</f>
        <v>0</v>
      </c>
      <c r="BG38" s="97" t="n">
        <f aca="false">MAX(0,BG23-BG24)+MAX(0,BG26-BG27)+MAX(0,BG29-BG30)+MAX(0,BG32-BG33)+MAX(0,BG35-BG36)</f>
        <v>0</v>
      </c>
      <c r="BH38" s="97" t="n">
        <f aca="false">MAX(0,BH23-BH24)+MAX(0,BH26-BH27)+MAX(0,BH29-BH30)+MAX(0,BH32-BH33)+MAX(0,BH35-BH36)</f>
        <v>0</v>
      </c>
      <c r="BI38" s="97" t="n">
        <f aca="false">MAX(0,BI23-BI24)+MAX(0,BI26-BI27)+MAX(0,BI29-BI30)+MAX(0,BI32-BI33)+MAX(0,BI35-BI36)</f>
        <v>0</v>
      </c>
      <c r="BJ38" s="97" t="n">
        <f aca="false">MAX(0,BJ23-BJ24)+MAX(0,BJ26-BJ27)+MAX(0,BJ29-BJ30)+MAX(0,BJ32-BJ33)+MAX(0,BJ35-BJ36)</f>
        <v>0</v>
      </c>
      <c r="BK38" s="97" t="n">
        <f aca="false">MAX(0,BK23-BK24)+MAX(0,BK26-BK27)+MAX(0,BK29-BK30)+MAX(0,BK32-BK33)+MAX(0,BK35-BK36)</f>
        <v>0</v>
      </c>
      <c r="BL38" s="97" t="n">
        <f aca="false">MAX(0,BL23-BL24)+MAX(0,BL26-BL27)+MAX(0,BL29-BL30)+MAX(0,BL32-BL33)+MAX(0,BL35-BL36)</f>
        <v>0</v>
      </c>
      <c r="BM38" s="97" t="n">
        <f aca="false">MAX(0,BM23-BM24)+MAX(0,BM26-BM27)+MAX(0,BM29-BM30)+MAX(0,BM32-BM33)+MAX(0,BM35-BM36)</f>
        <v>0</v>
      </c>
      <c r="BN38" s="97" t="n">
        <f aca="false">MAX(0,BN23-BN24)+MAX(0,BN26-BN27)+MAX(0,BN29-BN30)+MAX(0,BN32-BN33)+MAX(0,BN35-BN36)</f>
        <v>0</v>
      </c>
    </row>
    <row r="39" customFormat="false" ht="15" hidden="false" customHeight="false" outlineLevel="0" collapsed="false">
      <c r="A39" s="66" t="s">
        <v>689</v>
      </c>
      <c r="B39" s="98" t="n">
        <f aca="false">IFERROR(AVERAGE(C39:N39),0)</f>
        <v>0.581395348837209</v>
      </c>
      <c r="C39" s="99" t="n">
        <f aca="false">IFERROR((C23+C26+C29+C32+C35)/(C24+C27+C30+C33+C36),0)</f>
        <v>0.581395348837209</v>
      </c>
      <c r="D39" s="99" t="n">
        <f aca="false">IFERROR((D23+D26+D29+D32+D35)/(D24+D27+D30+D33+D36),0)</f>
        <v>0.581395348837209</v>
      </c>
      <c r="E39" s="99" t="n">
        <f aca="false">IFERROR((E23+E26+E29+E32+E35)/(E24+E27+E30+E33+E36),0)</f>
        <v>0.581395348837209</v>
      </c>
      <c r="F39" s="99" t="n">
        <f aca="false">IFERROR((F23+F26+F29+F32+F35)/(F24+F27+F30+F33+F36),0)</f>
        <v>0.581395348837209</v>
      </c>
      <c r="G39" s="99" t="n">
        <f aca="false">IFERROR((G23+G26+G29+G32+G35)/(G24+G27+G30+G33+G36),0)</f>
        <v>0.581395348837209</v>
      </c>
      <c r="H39" s="99" t="n">
        <f aca="false">IFERROR((H23+H26+H29+H32+H35)/(H24+H27+H30+H33+H36),0)</f>
        <v>0.581395348837209</v>
      </c>
      <c r="I39" s="99" t="n">
        <f aca="false">IFERROR((I23+I26+I29+I32+I35)/(I24+I27+I30+I33+I36),0)</f>
        <v>0.581395348837209</v>
      </c>
      <c r="J39" s="99" t="n">
        <f aca="false">IFERROR((J23+J26+J29+J32+J35)/(J24+J27+J30+J33+J36),0)</f>
        <v>0.581395348837209</v>
      </c>
      <c r="K39" s="99" t="n">
        <f aca="false">IFERROR((K23+K26+K29+K32+K35)/(K24+K27+K30+K33+K36),0)</f>
        <v>0.581395348837209</v>
      </c>
      <c r="L39" s="99" t="n">
        <f aca="false">IFERROR((L23+L26+L29+L32+L35)/(L24+L27+L30+L33+L36),0)</f>
        <v>0.581395348837209</v>
      </c>
      <c r="M39" s="99" t="n">
        <f aca="false">IFERROR((M23+M26+M29+M32+M35)/(M24+M27+M30+M33+M36),0)</f>
        <v>0.581395348837209</v>
      </c>
      <c r="N39" s="99" t="n">
        <f aca="false">IFERROR((N23+N26+N29+N32+N35)/(N24+N27+N30+N33+N36),0)</f>
        <v>0.581395348837209</v>
      </c>
      <c r="O39" s="98" t="n">
        <f aca="false">IFERROR(AVERAGE(P39:AA39),0)</f>
        <v>0.506889763779528</v>
      </c>
      <c r="P39" s="99" t="n">
        <f aca="false">IFERROR((P23+P26+P29+P32+P35)/(P24+P27+P30+P33+P36),0)</f>
        <v>0.506889763779528</v>
      </c>
      <c r="Q39" s="99" t="n">
        <f aca="false">IFERROR((Q23+Q26+Q29+Q32+Q35)/(Q24+Q27+Q30+Q33+Q36),0)</f>
        <v>0.506889763779528</v>
      </c>
      <c r="R39" s="99" t="n">
        <f aca="false">IFERROR((R23+R26+R29+R32+R35)/(R24+R27+R30+R33+R36),0)</f>
        <v>0.506889763779528</v>
      </c>
      <c r="S39" s="99" t="n">
        <f aca="false">IFERROR((S23+S26+S29+S32+S35)/(S24+S27+S30+S33+S36),0)</f>
        <v>0.506889763779528</v>
      </c>
      <c r="T39" s="99" t="n">
        <f aca="false">IFERROR((T23+T26+T29+T32+T35)/(T24+T27+T30+T33+T36),0)</f>
        <v>0.506889763779528</v>
      </c>
      <c r="U39" s="99" t="n">
        <f aca="false">IFERROR((U23+U26+U29+U32+U35)/(U24+U27+U30+U33+U36),0)</f>
        <v>0.506889763779528</v>
      </c>
      <c r="V39" s="99" t="n">
        <f aca="false">IFERROR((V23+V26+V29+V32+V35)/(V24+V27+V30+V33+V36),0)</f>
        <v>0.506889763779528</v>
      </c>
      <c r="W39" s="99" t="n">
        <f aca="false">IFERROR((W23+W26+W29+W32+W35)/(W24+W27+W30+W33+W36),0)</f>
        <v>0.506889763779528</v>
      </c>
      <c r="X39" s="99" t="n">
        <f aca="false">IFERROR((X23+X26+X29+X32+X35)/(X24+X27+X30+X33+X36),0)</f>
        <v>0.506889763779528</v>
      </c>
      <c r="Y39" s="99" t="n">
        <f aca="false">IFERROR((Y23+Y26+Y29+Y32+Y35)/(Y24+Y27+Y30+Y33+Y36),0)</f>
        <v>0.506889763779528</v>
      </c>
      <c r="Z39" s="99" t="n">
        <f aca="false">IFERROR((Z23+Z26+Z29+Z32+Z35)/(Z24+Z27+Z30+Z33+Z36),0)</f>
        <v>0.506889763779528</v>
      </c>
      <c r="AA39" s="99" t="n">
        <f aca="false">IFERROR((AA23+AA26+AA29+AA32+AA35)/(AA24+AA27+AA30+AA33+AA36),0)</f>
        <v>0.506889763779528</v>
      </c>
      <c r="AB39" s="98" t="n">
        <f aca="false">IFERROR(AVERAGE(AC39:AN39),0)</f>
        <v>0.47268262737876</v>
      </c>
      <c r="AC39" s="99" t="n">
        <f aca="false">IFERROR((AC23+AC26+AC29+AC32+AC35)/(AC24+AC27+AC30+AC33+AC36),0)</f>
        <v>0.47268262737876</v>
      </c>
      <c r="AD39" s="99" t="n">
        <f aca="false">IFERROR((AD23+AD26+AD29+AD32+AD35)/(AD24+AD27+AD30+AD33+AD36),0)</f>
        <v>0.47268262737876</v>
      </c>
      <c r="AE39" s="99" t="n">
        <f aca="false">IFERROR((AE23+AE26+AE29+AE32+AE35)/(AE24+AE27+AE30+AE33+AE36),0)</f>
        <v>0.47268262737876</v>
      </c>
      <c r="AF39" s="99" t="n">
        <f aca="false">IFERROR((AF23+AF26+AF29+AF32+AF35)/(AF24+AF27+AF30+AF33+AF36),0)</f>
        <v>0.47268262737876</v>
      </c>
      <c r="AG39" s="99" t="n">
        <f aca="false">IFERROR((AG23+AG26+AG29+AG32+AG35)/(AG24+AG27+AG30+AG33+AG36),0)</f>
        <v>0.47268262737876</v>
      </c>
      <c r="AH39" s="99" t="n">
        <f aca="false">IFERROR((AH23+AH26+AH29+AH32+AH35)/(AH24+AH27+AH30+AH33+AH36),0)</f>
        <v>0.47268262737876</v>
      </c>
      <c r="AI39" s="99" t="n">
        <f aca="false">IFERROR((AI23+AI26+AI29+AI32+AI35)/(AI24+AI27+AI30+AI33+AI36),0)</f>
        <v>0.47268262737876</v>
      </c>
      <c r="AJ39" s="99" t="n">
        <f aca="false">IFERROR((AJ23+AJ26+AJ29+AJ32+AJ35)/(AJ24+AJ27+AJ30+AJ33+AJ36),0)</f>
        <v>0.47268262737876</v>
      </c>
      <c r="AK39" s="99" t="n">
        <f aca="false">IFERROR((AK23+AK26+AK29+AK32+AK35)/(AK24+AK27+AK30+AK33+AK36),0)</f>
        <v>0.47268262737876</v>
      </c>
      <c r="AL39" s="99" t="n">
        <f aca="false">IFERROR((AL23+AL26+AL29+AL32+AL35)/(AL24+AL27+AL30+AL33+AL36),0)</f>
        <v>0.47268262737876</v>
      </c>
      <c r="AM39" s="99" t="n">
        <f aca="false">IFERROR((AM23+AM26+AM29+AM32+AM35)/(AM24+AM27+AM30+AM33+AM36),0)</f>
        <v>0.47268262737876</v>
      </c>
      <c r="AN39" s="99" t="n">
        <f aca="false">IFERROR((AN23+AN26+AN29+AN32+AN35)/(AN24+AN27+AN30+AN33+AN36),0)</f>
        <v>0.47268262737876</v>
      </c>
      <c r="AO39" s="98" t="n">
        <f aca="false">IFERROR(AVERAGE(AP39:BA39),0)</f>
        <v>0.404885467975415</v>
      </c>
      <c r="AP39" s="99" t="n">
        <f aca="false">IFERROR((AP23+AP26+AP29+AP32+AP35)/(AP24+AP27+AP30+AP33+AP36),0)</f>
        <v>0.405460472697637</v>
      </c>
      <c r="AQ39" s="99" t="n">
        <f aca="false">IFERROR((AQ23+AQ26+AQ29+AQ32+AQ35)/(AQ24+AQ27+AQ30+AQ33+AQ36),0)</f>
        <v>0.405460472697637</v>
      </c>
      <c r="AR39" s="99" t="n">
        <f aca="false">IFERROR((AR23+AR26+AR29+AR32+AR35)/(AR24+AR27+AR30+AR33+AR36),0)</f>
        <v>0.405460472697637</v>
      </c>
      <c r="AS39" s="99" t="n">
        <f aca="false">IFERROR((AS23+AS26+AS29+AS32+AS35)/(AS24+AS27+AS30+AS33+AS36),0)</f>
        <v>0.405460472697637</v>
      </c>
      <c r="AT39" s="99" t="n">
        <f aca="false">IFERROR((AT23+AT26+AT29+AT32+AT35)/(AT24+AT27+AT30+AT33+AT36),0)</f>
        <v>0.405460472697637</v>
      </c>
      <c r="AU39" s="99" t="n">
        <f aca="false">IFERROR((AU23+AU26+AU29+AU32+AU35)/(AU24+AU27+AU30+AU33+AU36),0)</f>
        <v>0.405460472697637</v>
      </c>
      <c r="AV39" s="99" t="n">
        <f aca="false">IFERROR((AV23+AV26+AV29+AV32+AV35)/(AV24+AV27+AV30+AV33+AV36),0)</f>
        <v>0.405460472697637</v>
      </c>
      <c r="AW39" s="99" t="n">
        <f aca="false">IFERROR((AW23+AW26+AW29+AW32+AW35)/(AW24+AW27+AW30+AW33+AW36),0)</f>
        <v>0.405460472697637</v>
      </c>
      <c r="AX39" s="99" t="n">
        <f aca="false">IFERROR((AX23+AX26+AX29+AX32+AX35)/(AX24+AX27+AX30+AX33+AX36),0)</f>
        <v>0.405460472697637</v>
      </c>
      <c r="AY39" s="99" t="n">
        <f aca="false">IFERROR((AY23+AY26+AY29+AY32+AY35)/(AY24+AY27+AY30+AY33+AY36),0)</f>
        <v>0.403160453808752</v>
      </c>
      <c r="AZ39" s="99" t="n">
        <f aca="false">IFERROR((AZ23+AZ26+AZ29+AZ32+AZ35)/(AZ24+AZ27+AZ30+AZ33+AZ36),0)</f>
        <v>0.403160453808752</v>
      </c>
      <c r="BA39" s="99" t="n">
        <f aca="false">IFERROR((BA23+BA26+BA29+BA32+BA35)/(BA24+BA27+BA30+BA33+BA36),0)</f>
        <v>0.403160453808752</v>
      </c>
      <c r="BB39" s="98" t="n">
        <f aca="false">IFERROR(AVERAGE(BC39:BN39),0)</f>
        <v>0.368506757544148</v>
      </c>
      <c r="BC39" s="99" t="n">
        <f aca="false">IFERROR((BC23+BC26+BC29+BC32+BC35)/(BC24+BC27+BC30+BC33+BC36),0)</f>
        <v>0.369809033040315</v>
      </c>
      <c r="BD39" s="99" t="n">
        <f aca="false">IFERROR((BD23+BD26+BD29+BD32+BD35)/(BD24+BD27+BD30+BD33+BD36),0)</f>
        <v>0.369809033040315</v>
      </c>
      <c r="BE39" s="99" t="n">
        <f aca="false">IFERROR((BE23+BE26+BE29+BE32+BE35)/(BE24+BE27+BE30+BE33+BE36),0)</f>
        <v>0.368246302444914</v>
      </c>
      <c r="BF39" s="99" t="n">
        <f aca="false">IFERROR((BF23+BF26+BF29+BF32+BF35)/(BF24+BF27+BF30+BF33+BF36),0)</f>
        <v>0.368246302444914</v>
      </c>
      <c r="BG39" s="99" t="n">
        <f aca="false">IFERROR((BG23+BG26+BG29+BG32+BG35)/(BG24+BG27+BG30+BG33+BG36),0)</f>
        <v>0.368246302444914</v>
      </c>
      <c r="BH39" s="99" t="n">
        <f aca="false">IFERROR((BH23+BH26+BH29+BH32+BH35)/(BH24+BH27+BH30+BH33+BH36),0)</f>
        <v>0.368246302444914</v>
      </c>
      <c r="BI39" s="99" t="n">
        <f aca="false">IFERROR((BI23+BI26+BI29+BI32+BI35)/(BI24+BI27+BI30+BI33+BI36),0)</f>
        <v>0.368246302444914</v>
      </c>
      <c r="BJ39" s="99" t="n">
        <f aca="false">IFERROR((BJ23+BJ26+BJ29+BJ32+BJ35)/(BJ24+BJ27+BJ30+BJ33+BJ36),0)</f>
        <v>0.368246302444914</v>
      </c>
      <c r="BK39" s="99" t="n">
        <f aca="false">IFERROR((BK23+BK26+BK29+BK32+BK35)/(BK24+BK27+BK30+BK33+BK36),0)</f>
        <v>0.368246302444914</v>
      </c>
      <c r="BL39" s="99" t="n">
        <f aca="false">IFERROR((BL23+BL26+BL29+BL32+BL35)/(BL24+BL27+BL30+BL33+BL36),0)</f>
        <v>0.368246302444914</v>
      </c>
      <c r="BM39" s="99" t="n">
        <f aca="false">IFERROR((BM23+BM26+BM29+BM32+BM35)/(BM24+BM27+BM30+BM33+BM36),0)</f>
        <v>0.368246302444914</v>
      </c>
      <c r="BN39" s="99" t="n">
        <f aca="false">IFERROR((BN23+BN26+BN29+BN32+BN35)/(BN24+BN27+BN30+BN33+BN36),0)</f>
        <v>0.368246302444914</v>
      </c>
    </row>
    <row r="40" customFormat="false" ht="15" hidden="false" customHeight="false" outlineLevel="0" collapsed="false">
      <c r="A40" s="71" t="s">
        <v>690</v>
      </c>
    </row>
    <row r="42" customFormat="false" ht="16.5" hidden="false" customHeight="true" outlineLevel="0" collapsed="false">
      <c r="A42" s="15" t="s">
        <v>691</v>
      </c>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row>
    <row r="43" customFormat="false" ht="15" hidden="false" customHeight="true" outlineLevel="0" collapsed="false">
      <c r="A43" s="26" t="s">
        <v>481</v>
      </c>
      <c r="B43" s="61" t="s">
        <v>81</v>
      </c>
      <c r="C43" s="62" t="s">
        <v>482</v>
      </c>
      <c r="D43" s="62" t="s">
        <v>483</v>
      </c>
      <c r="E43" s="62" t="s">
        <v>484</v>
      </c>
      <c r="F43" s="62" t="s">
        <v>485</v>
      </c>
      <c r="G43" s="62" t="s">
        <v>486</v>
      </c>
      <c r="H43" s="62" t="s">
        <v>487</v>
      </c>
      <c r="I43" s="62" t="s">
        <v>488</v>
      </c>
      <c r="J43" s="62" t="s">
        <v>489</v>
      </c>
      <c r="K43" s="62" t="s">
        <v>490</v>
      </c>
      <c r="L43" s="62" t="s">
        <v>491</v>
      </c>
      <c r="M43" s="62" t="s">
        <v>492</v>
      </c>
      <c r="N43" s="62" t="s">
        <v>493</v>
      </c>
      <c r="O43" s="61" t="s">
        <v>82</v>
      </c>
      <c r="P43" s="63" t="s">
        <v>494</v>
      </c>
      <c r="Q43" s="63" t="s">
        <v>495</v>
      </c>
      <c r="R43" s="63" t="s">
        <v>496</v>
      </c>
      <c r="S43" s="63" t="s">
        <v>497</v>
      </c>
      <c r="T43" s="63" t="s">
        <v>498</v>
      </c>
      <c r="U43" s="63" t="s">
        <v>499</v>
      </c>
      <c r="V43" s="63" t="s">
        <v>500</v>
      </c>
      <c r="W43" s="63" t="s">
        <v>501</v>
      </c>
      <c r="X43" s="63" t="s">
        <v>502</v>
      </c>
      <c r="Y43" s="63" t="s">
        <v>503</v>
      </c>
      <c r="Z43" s="63" t="s">
        <v>504</v>
      </c>
      <c r="AA43" s="63" t="s">
        <v>505</v>
      </c>
      <c r="AB43" s="61" t="s">
        <v>83</v>
      </c>
      <c r="AC43" s="62" t="s">
        <v>506</v>
      </c>
      <c r="AD43" s="62" t="s">
        <v>507</v>
      </c>
      <c r="AE43" s="62" t="s">
        <v>508</v>
      </c>
      <c r="AF43" s="62" t="s">
        <v>509</v>
      </c>
      <c r="AG43" s="62" t="s">
        <v>510</v>
      </c>
      <c r="AH43" s="62" t="s">
        <v>511</v>
      </c>
      <c r="AI43" s="62" t="s">
        <v>512</v>
      </c>
      <c r="AJ43" s="62" t="s">
        <v>513</v>
      </c>
      <c r="AK43" s="62" t="s">
        <v>514</v>
      </c>
      <c r="AL43" s="62" t="s">
        <v>515</v>
      </c>
      <c r="AM43" s="62" t="s">
        <v>516</v>
      </c>
      <c r="AN43" s="62" t="s">
        <v>517</v>
      </c>
      <c r="AO43" s="61" t="s">
        <v>84</v>
      </c>
      <c r="AP43" s="63" t="s">
        <v>518</v>
      </c>
      <c r="AQ43" s="63" t="s">
        <v>519</v>
      </c>
      <c r="AR43" s="63" t="s">
        <v>520</v>
      </c>
      <c r="AS43" s="63" t="s">
        <v>521</v>
      </c>
      <c r="AT43" s="63" t="s">
        <v>522</v>
      </c>
      <c r="AU43" s="63" t="s">
        <v>523</v>
      </c>
      <c r="AV43" s="63" t="s">
        <v>524</v>
      </c>
      <c r="AW43" s="63" t="s">
        <v>525</v>
      </c>
      <c r="AX43" s="63" t="s">
        <v>526</v>
      </c>
      <c r="AY43" s="63" t="s">
        <v>527</v>
      </c>
      <c r="AZ43" s="63" t="s">
        <v>528</v>
      </c>
      <c r="BA43" s="63" t="s">
        <v>529</v>
      </c>
      <c r="BB43" s="61" t="s">
        <v>85</v>
      </c>
      <c r="BC43" s="62" t="s">
        <v>530</v>
      </c>
      <c r="BD43" s="62" t="s">
        <v>531</v>
      </c>
      <c r="BE43" s="62" t="s">
        <v>532</v>
      </c>
      <c r="BF43" s="62" t="s">
        <v>533</v>
      </c>
      <c r="BG43" s="62" t="s">
        <v>534</v>
      </c>
      <c r="BH43" s="62" t="s">
        <v>535</v>
      </c>
      <c r="BI43" s="62" t="s">
        <v>536</v>
      </c>
      <c r="BJ43" s="62" t="s">
        <v>537</v>
      </c>
      <c r="BK43" s="62" t="s">
        <v>538</v>
      </c>
      <c r="BL43" s="62" t="s">
        <v>539</v>
      </c>
      <c r="BM43" s="62" t="s">
        <v>540</v>
      </c>
      <c r="BN43" s="62" t="s">
        <v>541</v>
      </c>
    </row>
    <row r="44" customFormat="false" ht="15" hidden="false" customHeight="false" outlineLevel="0" collapsed="false">
      <c r="A44" s="12" t="s">
        <v>692</v>
      </c>
      <c r="B44" s="80" t="n">
        <f aca="false">SUM(C44:N44)</f>
        <v>138.569466499555</v>
      </c>
      <c r="C44" s="96" t="n">
        <f aca="false">Acquisitions!C$70+Acquisitions!C$75+Acquisitions!C$80+Acquisitions!C$85+Acquisitions!C$90+Acquisitions!C$95</f>
        <v>11.5474555416296</v>
      </c>
      <c r="D44" s="96" t="n">
        <f aca="false">Acquisitions!D$70+Acquisitions!D$75+Acquisitions!D$80+Acquisitions!D$85+Acquisitions!D$90+Acquisitions!D$95</f>
        <v>11.5474555416296</v>
      </c>
      <c r="E44" s="96" t="n">
        <f aca="false">Acquisitions!E$70+Acquisitions!E$75+Acquisitions!E$80+Acquisitions!E$85+Acquisitions!E$90+Acquisitions!E$95</f>
        <v>11.5474555416296</v>
      </c>
      <c r="F44" s="96" t="n">
        <f aca="false">Acquisitions!F$70+Acquisitions!F$75+Acquisitions!F$80+Acquisitions!F$85+Acquisitions!F$90+Acquisitions!F$95</f>
        <v>11.5474555416296</v>
      </c>
      <c r="G44" s="96" t="n">
        <f aca="false">Acquisitions!G$70+Acquisitions!G$75+Acquisitions!G$80+Acquisitions!G$85+Acquisitions!G$90+Acquisitions!G$95</f>
        <v>11.5474555416296</v>
      </c>
      <c r="H44" s="96" t="n">
        <f aca="false">Acquisitions!H$70+Acquisitions!H$75+Acquisitions!H$80+Acquisitions!H$85+Acquisitions!H$90+Acquisitions!H$95</f>
        <v>11.5474555416296</v>
      </c>
      <c r="I44" s="96" t="n">
        <f aca="false">Acquisitions!I$70+Acquisitions!I$75+Acquisitions!I$80+Acquisitions!I$85+Acquisitions!I$90+Acquisitions!I$95</f>
        <v>11.5474555416296</v>
      </c>
      <c r="J44" s="96" t="n">
        <f aca="false">Acquisitions!J$70+Acquisitions!J$75+Acquisitions!J$80+Acquisitions!J$85+Acquisitions!J$90+Acquisitions!J$95</f>
        <v>11.5474555416296</v>
      </c>
      <c r="K44" s="96" t="n">
        <f aca="false">Acquisitions!K$70+Acquisitions!K$75+Acquisitions!K$80+Acquisitions!K$85+Acquisitions!K$90+Acquisitions!K$95</f>
        <v>11.5474555416296</v>
      </c>
      <c r="L44" s="96" t="n">
        <f aca="false">Acquisitions!L$70+Acquisitions!L$75+Acquisitions!L$80+Acquisitions!L$85+Acquisitions!L$90+Acquisitions!L$95</f>
        <v>11.5474555416296</v>
      </c>
      <c r="M44" s="96" t="n">
        <f aca="false">Acquisitions!M$70+Acquisitions!M$75+Acquisitions!M$80+Acquisitions!M$85+Acquisitions!M$90+Acquisitions!M$95</f>
        <v>11.5474555416296</v>
      </c>
      <c r="N44" s="96" t="n">
        <f aca="false">Acquisitions!N$70+Acquisitions!N$75+Acquisitions!N$80+Acquisitions!N$85+Acquisitions!N$90+Acquisitions!N$95</f>
        <v>11.5474555416296</v>
      </c>
      <c r="O44" s="80" t="n">
        <f aca="false">SUM(P44:AA44)</f>
        <v>212.839155649611</v>
      </c>
      <c r="P44" s="96" t="n">
        <f aca="false">Acquisitions!P$70+Acquisitions!P$75+Acquisitions!P$80+Acquisitions!P$85+Acquisitions!P$90+Acquisitions!P$95</f>
        <v>17.7365963041343</v>
      </c>
      <c r="Q44" s="96" t="n">
        <f aca="false">Acquisitions!Q$70+Acquisitions!Q$75+Acquisitions!Q$80+Acquisitions!Q$85+Acquisitions!Q$90+Acquisitions!Q$95</f>
        <v>17.7365963041343</v>
      </c>
      <c r="R44" s="96" t="n">
        <f aca="false">Acquisitions!R$70+Acquisitions!R$75+Acquisitions!R$80+Acquisitions!R$85+Acquisitions!R$90+Acquisitions!R$95</f>
        <v>17.7365963041343</v>
      </c>
      <c r="S44" s="96" t="n">
        <f aca="false">Acquisitions!S$70+Acquisitions!S$75+Acquisitions!S$80+Acquisitions!S$85+Acquisitions!S$90+Acquisitions!S$95</f>
        <v>17.7365963041343</v>
      </c>
      <c r="T44" s="96" t="n">
        <f aca="false">Acquisitions!T$70+Acquisitions!T$75+Acquisitions!T$80+Acquisitions!T$85+Acquisitions!T$90+Acquisitions!T$95</f>
        <v>17.7365963041343</v>
      </c>
      <c r="U44" s="96" t="n">
        <f aca="false">Acquisitions!U$70+Acquisitions!U$75+Acquisitions!U$80+Acquisitions!U$85+Acquisitions!U$90+Acquisitions!U$95</f>
        <v>17.7365963041343</v>
      </c>
      <c r="V44" s="96" t="n">
        <f aca="false">Acquisitions!V$70+Acquisitions!V$75+Acquisitions!V$80+Acquisitions!V$85+Acquisitions!V$90+Acquisitions!V$95</f>
        <v>17.7365963041343</v>
      </c>
      <c r="W44" s="96" t="n">
        <f aca="false">Acquisitions!W$70+Acquisitions!W$75+Acquisitions!W$80+Acquisitions!W$85+Acquisitions!W$90+Acquisitions!W$95</f>
        <v>17.7365963041343</v>
      </c>
      <c r="X44" s="96" t="n">
        <f aca="false">Acquisitions!X$70+Acquisitions!X$75+Acquisitions!X$80+Acquisitions!X$85+Acquisitions!X$90+Acquisitions!X$95</f>
        <v>17.7365963041343</v>
      </c>
      <c r="Y44" s="96" t="n">
        <f aca="false">Acquisitions!Y$70+Acquisitions!Y$75+Acquisitions!Y$80+Acquisitions!Y$85+Acquisitions!Y$90+Acquisitions!Y$95</f>
        <v>17.7365963041343</v>
      </c>
      <c r="Z44" s="96" t="n">
        <f aca="false">Acquisitions!Z$70+Acquisitions!Z$75+Acquisitions!Z$80+Acquisitions!Z$85+Acquisitions!Z$90+Acquisitions!Z$95</f>
        <v>17.7365963041343</v>
      </c>
      <c r="AA44" s="96" t="n">
        <f aca="false">Acquisitions!AA$70+Acquisitions!AA$75+Acquisitions!AA$80+Acquisitions!AA$85+Acquisitions!AA$90+Acquisitions!AA$95</f>
        <v>17.7365963041343</v>
      </c>
      <c r="AB44" s="80" t="n">
        <f aca="false">SUM(AC44:AN44)</f>
        <v>319.217145569694</v>
      </c>
      <c r="AC44" s="96" t="n">
        <f aca="false">Acquisitions!AC$70+Acquisitions!AC$75+Acquisitions!AC$80+Acquisitions!AC$85+Acquisitions!AC$90+Acquisitions!AC$95</f>
        <v>26.6014287974745</v>
      </c>
      <c r="AD44" s="96" t="n">
        <f aca="false">Acquisitions!AD$70+Acquisitions!AD$75+Acquisitions!AD$80+Acquisitions!AD$85+Acquisitions!AD$90+Acquisitions!AD$95</f>
        <v>26.6014287974745</v>
      </c>
      <c r="AE44" s="96" t="n">
        <f aca="false">Acquisitions!AE$70+Acquisitions!AE$75+Acquisitions!AE$80+Acquisitions!AE$85+Acquisitions!AE$90+Acquisitions!AE$95</f>
        <v>26.6014287974745</v>
      </c>
      <c r="AF44" s="96" t="n">
        <f aca="false">Acquisitions!AF$70+Acquisitions!AF$75+Acquisitions!AF$80+Acquisitions!AF$85+Acquisitions!AF$90+Acquisitions!AF$95</f>
        <v>26.6014287974745</v>
      </c>
      <c r="AG44" s="96" t="n">
        <f aca="false">Acquisitions!AG$70+Acquisitions!AG$75+Acquisitions!AG$80+Acquisitions!AG$85+Acquisitions!AG$90+Acquisitions!AG$95</f>
        <v>26.6014287974745</v>
      </c>
      <c r="AH44" s="96" t="n">
        <f aca="false">Acquisitions!AH$70+Acquisitions!AH$75+Acquisitions!AH$80+Acquisitions!AH$85+Acquisitions!AH$90+Acquisitions!AH$95</f>
        <v>26.6014287974745</v>
      </c>
      <c r="AI44" s="96" t="n">
        <f aca="false">Acquisitions!AI$70+Acquisitions!AI$75+Acquisitions!AI$80+Acquisitions!AI$85+Acquisitions!AI$90+Acquisitions!AI$95</f>
        <v>26.6014287974745</v>
      </c>
      <c r="AJ44" s="96" t="n">
        <f aca="false">Acquisitions!AJ$70+Acquisitions!AJ$75+Acquisitions!AJ$80+Acquisitions!AJ$85+Acquisitions!AJ$90+Acquisitions!AJ$95</f>
        <v>26.6014287974745</v>
      </c>
      <c r="AK44" s="96" t="n">
        <f aca="false">Acquisitions!AK$70+Acquisitions!AK$75+Acquisitions!AK$80+Acquisitions!AK$85+Acquisitions!AK$90+Acquisitions!AK$95</f>
        <v>26.6014287974745</v>
      </c>
      <c r="AL44" s="96" t="n">
        <f aca="false">Acquisitions!AL$70+Acquisitions!AL$75+Acquisitions!AL$80+Acquisitions!AL$85+Acquisitions!AL$90+Acquisitions!AL$95</f>
        <v>26.6014287974745</v>
      </c>
      <c r="AM44" s="96" t="n">
        <f aca="false">Acquisitions!AM$70+Acquisitions!AM$75+Acquisitions!AM$80+Acquisitions!AM$85+Acquisitions!AM$90+Acquisitions!AM$95</f>
        <v>26.6014287974745</v>
      </c>
      <c r="AN44" s="96" t="n">
        <f aca="false">Acquisitions!AN$70+Acquisitions!AN$75+Acquisitions!AN$80+Acquisitions!AN$85+Acquisitions!AN$90+Acquisitions!AN$95</f>
        <v>26.6014287974745</v>
      </c>
      <c r="AO44" s="80" t="n">
        <f aca="false">SUM(AP44:BA44)</f>
        <v>413.98826112562</v>
      </c>
      <c r="AP44" s="96" t="n">
        <f aca="false">Acquisitions!AP$70+Acquisitions!AP$75+Acquisitions!AP$80+Acquisitions!AP$85+Acquisitions!AP$90+Acquisitions!AP$95</f>
        <v>34.4990217604683</v>
      </c>
      <c r="AQ44" s="96" t="n">
        <f aca="false">Acquisitions!AQ$70+Acquisitions!AQ$75+Acquisitions!AQ$80+Acquisitions!AQ$85+Acquisitions!AQ$90+Acquisitions!AQ$95</f>
        <v>34.4990217604683</v>
      </c>
      <c r="AR44" s="96" t="n">
        <f aca="false">Acquisitions!AR$70+Acquisitions!AR$75+Acquisitions!AR$80+Acquisitions!AR$85+Acquisitions!AR$90+Acquisitions!AR$95</f>
        <v>34.4990217604683</v>
      </c>
      <c r="AS44" s="96" t="n">
        <f aca="false">Acquisitions!AS$70+Acquisitions!AS$75+Acquisitions!AS$80+Acquisitions!AS$85+Acquisitions!AS$90+Acquisitions!AS$95</f>
        <v>34.4990217604683</v>
      </c>
      <c r="AT44" s="96" t="n">
        <f aca="false">Acquisitions!AT$70+Acquisitions!AT$75+Acquisitions!AT$80+Acquisitions!AT$85+Acquisitions!AT$90+Acquisitions!AT$95</f>
        <v>34.4990217604683</v>
      </c>
      <c r="AU44" s="96" t="n">
        <f aca="false">Acquisitions!AU$70+Acquisitions!AU$75+Acquisitions!AU$80+Acquisitions!AU$85+Acquisitions!AU$90+Acquisitions!AU$95</f>
        <v>34.4990217604683</v>
      </c>
      <c r="AV44" s="96" t="n">
        <f aca="false">Acquisitions!AV$70+Acquisitions!AV$75+Acquisitions!AV$80+Acquisitions!AV$85+Acquisitions!AV$90+Acquisitions!AV$95</f>
        <v>34.4990217604683</v>
      </c>
      <c r="AW44" s="96" t="n">
        <f aca="false">Acquisitions!AW$70+Acquisitions!AW$75+Acquisitions!AW$80+Acquisitions!AW$85+Acquisitions!AW$90+Acquisitions!AW$95</f>
        <v>34.4990217604683</v>
      </c>
      <c r="AX44" s="96" t="n">
        <f aca="false">Acquisitions!AX$70+Acquisitions!AX$75+Acquisitions!AX$80+Acquisitions!AX$85+Acquisitions!AX$90+Acquisitions!AX$95</f>
        <v>34.4990217604683</v>
      </c>
      <c r="AY44" s="96" t="n">
        <f aca="false">Acquisitions!AY$70+Acquisitions!AY$75+Acquisitions!AY$80+Acquisitions!AY$85+Acquisitions!AY$90+Acquisitions!AY$95</f>
        <v>34.4990217604683</v>
      </c>
      <c r="AZ44" s="96" t="n">
        <f aca="false">Acquisitions!AZ$70+Acquisitions!AZ$75+Acquisitions!AZ$80+Acquisitions!AZ$85+Acquisitions!AZ$90+Acquisitions!AZ$95</f>
        <v>34.4990217604683</v>
      </c>
      <c r="BA44" s="96" t="n">
        <f aca="false">Acquisitions!BA$70+Acquisitions!BA$75+Acquisitions!BA$80+Acquisitions!BA$85+Acquisitions!BA$90+Acquisitions!BA$95</f>
        <v>34.4990217604683</v>
      </c>
      <c r="BB44" s="80" t="n">
        <f aca="false">SUM(BC44:BN44)</f>
        <v>508.584777221678</v>
      </c>
      <c r="BC44" s="96" t="n">
        <f aca="false">Acquisitions!BC$70+Acquisitions!BC$75+Acquisitions!BC$80+Acquisitions!BC$85+Acquisitions!BC$90+Acquisitions!BC$95</f>
        <v>42.3820647684731</v>
      </c>
      <c r="BD44" s="96" t="n">
        <f aca="false">Acquisitions!BD$70+Acquisitions!BD$75+Acquisitions!BD$80+Acquisitions!BD$85+Acquisitions!BD$90+Acquisitions!BD$95</f>
        <v>42.3820647684731</v>
      </c>
      <c r="BE44" s="96" t="n">
        <f aca="false">Acquisitions!BE$70+Acquisitions!BE$75+Acquisitions!BE$80+Acquisitions!BE$85+Acquisitions!BE$90+Acquisitions!BE$95</f>
        <v>42.3820647684731</v>
      </c>
      <c r="BF44" s="96" t="n">
        <f aca="false">Acquisitions!BF$70+Acquisitions!BF$75+Acquisitions!BF$80+Acquisitions!BF$85+Acquisitions!BF$90+Acquisitions!BF$95</f>
        <v>42.3820647684731</v>
      </c>
      <c r="BG44" s="96" t="n">
        <f aca="false">Acquisitions!BG$70+Acquisitions!BG$75+Acquisitions!BG$80+Acquisitions!BG$85+Acquisitions!BG$90+Acquisitions!BG$95</f>
        <v>42.3820647684731</v>
      </c>
      <c r="BH44" s="96" t="n">
        <f aca="false">Acquisitions!BH$70+Acquisitions!BH$75+Acquisitions!BH$80+Acquisitions!BH$85+Acquisitions!BH$90+Acquisitions!BH$95</f>
        <v>42.3820647684731</v>
      </c>
      <c r="BI44" s="96" t="n">
        <f aca="false">Acquisitions!BI$70+Acquisitions!BI$75+Acquisitions!BI$80+Acquisitions!BI$85+Acquisitions!BI$90+Acquisitions!BI$95</f>
        <v>42.3820647684731</v>
      </c>
      <c r="BJ44" s="96" t="n">
        <f aca="false">Acquisitions!BJ$70+Acquisitions!BJ$75+Acquisitions!BJ$80+Acquisitions!BJ$85+Acquisitions!BJ$90+Acquisitions!BJ$95</f>
        <v>42.3820647684731</v>
      </c>
      <c r="BK44" s="96" t="n">
        <f aca="false">Acquisitions!BK$70+Acquisitions!BK$75+Acquisitions!BK$80+Acquisitions!BK$85+Acquisitions!BK$90+Acquisitions!BK$95</f>
        <v>42.3820647684731</v>
      </c>
      <c r="BL44" s="96" t="n">
        <f aca="false">Acquisitions!BL$70+Acquisitions!BL$75+Acquisitions!BL$80+Acquisitions!BL$85+Acquisitions!BL$90+Acquisitions!BL$95</f>
        <v>42.3820647684731</v>
      </c>
      <c r="BM44" s="96" t="n">
        <f aca="false">Acquisitions!BM$70+Acquisitions!BM$75+Acquisitions!BM$80+Acquisitions!BM$85+Acquisitions!BM$90+Acquisitions!BM$95</f>
        <v>42.3820647684731</v>
      </c>
      <c r="BN44" s="96" t="n">
        <f aca="false">Acquisitions!BN$70+Acquisitions!BN$75+Acquisitions!BN$80+Acquisitions!BN$85+Acquisitions!BN$90+Acquisitions!BN$95</f>
        <v>42.3820647684731</v>
      </c>
    </row>
    <row r="45" customFormat="false" ht="15" hidden="false" customHeight="false" outlineLevel="0" collapsed="false">
      <c r="A45" s="12" t="s">
        <v>693</v>
      </c>
      <c r="B45" s="80" t="n">
        <f aca="false">SUM(C45:N45)</f>
        <v>600</v>
      </c>
      <c r="C45" s="81" t="n">
        <f aca="false">Payroll!C$67*'Assumption Setting'!$C$88+Payroll!C$71*'Assumption Setting'!$C$89+Payroll!C$73*'Assumption Setting'!$C$90</f>
        <v>50</v>
      </c>
      <c r="D45" s="81" t="n">
        <f aca="false">Payroll!D$67*'Assumption Setting'!$C$88+Payroll!D$71*'Assumption Setting'!$C$89+Payroll!D$73*'Assumption Setting'!$C$90</f>
        <v>50</v>
      </c>
      <c r="E45" s="81" t="n">
        <f aca="false">Payroll!E$67*'Assumption Setting'!$C$88+Payroll!E$71*'Assumption Setting'!$C$89+Payroll!E$73*'Assumption Setting'!$C$90</f>
        <v>50</v>
      </c>
      <c r="F45" s="81" t="n">
        <f aca="false">Payroll!F$67*'Assumption Setting'!$C$88+Payroll!F$71*'Assumption Setting'!$C$89+Payroll!F$73*'Assumption Setting'!$C$90</f>
        <v>50</v>
      </c>
      <c r="G45" s="81" t="n">
        <f aca="false">Payroll!G$67*'Assumption Setting'!$C$88+Payroll!G$71*'Assumption Setting'!$C$89+Payroll!G$73*'Assumption Setting'!$C$90</f>
        <v>50</v>
      </c>
      <c r="H45" s="81" t="n">
        <f aca="false">Payroll!H$67*'Assumption Setting'!$C$88+Payroll!H$71*'Assumption Setting'!$C$89+Payroll!H$73*'Assumption Setting'!$C$90</f>
        <v>50</v>
      </c>
      <c r="I45" s="81" t="n">
        <f aca="false">Payroll!I$67*'Assumption Setting'!$C$88+Payroll!I$71*'Assumption Setting'!$C$89+Payroll!I$73*'Assumption Setting'!$C$90</f>
        <v>50</v>
      </c>
      <c r="J45" s="81" t="n">
        <f aca="false">Payroll!J$67*'Assumption Setting'!$C$88+Payroll!J$71*'Assumption Setting'!$C$89+Payroll!J$73*'Assumption Setting'!$C$90</f>
        <v>50</v>
      </c>
      <c r="K45" s="81" t="n">
        <f aca="false">Payroll!K$67*'Assumption Setting'!$C$88+Payroll!K$71*'Assumption Setting'!$C$89+Payroll!K$73*'Assumption Setting'!$C$90</f>
        <v>50</v>
      </c>
      <c r="L45" s="81" t="n">
        <f aca="false">Payroll!L$67*'Assumption Setting'!$C$88+Payroll!L$71*'Assumption Setting'!$C$89+Payroll!L$73*'Assumption Setting'!$C$90</f>
        <v>50</v>
      </c>
      <c r="M45" s="81" t="n">
        <f aca="false">Payroll!M$67*'Assumption Setting'!$C$88+Payroll!M$71*'Assumption Setting'!$C$89+Payroll!M$73*'Assumption Setting'!$C$90</f>
        <v>50</v>
      </c>
      <c r="N45" s="81" t="n">
        <f aca="false">Payroll!N$67*'Assumption Setting'!$C$88+Payroll!N$71*'Assumption Setting'!$C$89+Payroll!N$73*'Assumption Setting'!$C$90</f>
        <v>50</v>
      </c>
      <c r="O45" s="80" t="n">
        <f aca="false">SUM(P45:AA45)</f>
        <v>768</v>
      </c>
      <c r="P45" s="81" t="n">
        <f aca="false">Payroll!P$67*'Assumption Setting'!$C$88+Payroll!P$71*'Assumption Setting'!$C$89+Payroll!P$73*'Assumption Setting'!$C$90</f>
        <v>64</v>
      </c>
      <c r="Q45" s="81" t="n">
        <f aca="false">Payroll!Q$67*'Assumption Setting'!$C$88+Payroll!Q$71*'Assumption Setting'!$C$89+Payroll!Q$73*'Assumption Setting'!$C$90</f>
        <v>64</v>
      </c>
      <c r="R45" s="81" t="n">
        <f aca="false">Payroll!R$67*'Assumption Setting'!$C$88+Payroll!R$71*'Assumption Setting'!$C$89+Payroll!R$73*'Assumption Setting'!$C$90</f>
        <v>64</v>
      </c>
      <c r="S45" s="81" t="n">
        <f aca="false">Payroll!S$67*'Assumption Setting'!$C$88+Payroll!S$71*'Assumption Setting'!$C$89+Payroll!S$73*'Assumption Setting'!$C$90</f>
        <v>64</v>
      </c>
      <c r="T45" s="81" t="n">
        <f aca="false">Payroll!T$67*'Assumption Setting'!$C$88+Payroll!T$71*'Assumption Setting'!$C$89+Payroll!T$73*'Assumption Setting'!$C$90</f>
        <v>64</v>
      </c>
      <c r="U45" s="81" t="n">
        <f aca="false">Payroll!U$67*'Assumption Setting'!$C$88+Payroll!U$71*'Assumption Setting'!$C$89+Payroll!U$73*'Assumption Setting'!$C$90</f>
        <v>64</v>
      </c>
      <c r="V45" s="81" t="n">
        <f aca="false">Payroll!V$67*'Assumption Setting'!$C$88+Payroll!V$71*'Assumption Setting'!$C$89+Payroll!V$73*'Assumption Setting'!$C$90</f>
        <v>64</v>
      </c>
      <c r="W45" s="81" t="n">
        <f aca="false">Payroll!W$67*'Assumption Setting'!$C$88+Payroll!W$71*'Assumption Setting'!$C$89+Payroll!W$73*'Assumption Setting'!$C$90</f>
        <v>64</v>
      </c>
      <c r="X45" s="81" t="n">
        <f aca="false">Payroll!X$67*'Assumption Setting'!$C$88+Payroll!X$71*'Assumption Setting'!$C$89+Payroll!X$73*'Assumption Setting'!$C$90</f>
        <v>64</v>
      </c>
      <c r="Y45" s="81" t="n">
        <f aca="false">Payroll!Y$67*'Assumption Setting'!$C$88+Payroll!Y$71*'Assumption Setting'!$C$89+Payroll!Y$73*'Assumption Setting'!$C$90</f>
        <v>64</v>
      </c>
      <c r="Z45" s="81" t="n">
        <f aca="false">Payroll!Z$67*'Assumption Setting'!$C$88+Payroll!Z$71*'Assumption Setting'!$C$89+Payroll!Z$73*'Assumption Setting'!$C$90</f>
        <v>64</v>
      </c>
      <c r="AA45" s="81" t="n">
        <f aca="false">Payroll!AA$67*'Assumption Setting'!$C$88+Payroll!AA$71*'Assumption Setting'!$C$89+Payroll!AA$73*'Assumption Setting'!$C$90</f>
        <v>64</v>
      </c>
      <c r="AB45" s="80" t="n">
        <f aca="false">SUM(AC45:AN45)</f>
        <v>936</v>
      </c>
      <c r="AC45" s="81" t="n">
        <f aca="false">Payroll!AC$67*'Assumption Setting'!$C$88+Payroll!AC$71*'Assumption Setting'!$C$89+Payroll!AC$73*'Assumption Setting'!$C$90</f>
        <v>78</v>
      </c>
      <c r="AD45" s="81" t="n">
        <f aca="false">Payroll!AD$67*'Assumption Setting'!$C$88+Payroll!AD$71*'Assumption Setting'!$C$89+Payroll!AD$73*'Assumption Setting'!$C$90</f>
        <v>78</v>
      </c>
      <c r="AE45" s="81" t="n">
        <f aca="false">Payroll!AE$67*'Assumption Setting'!$C$88+Payroll!AE$71*'Assumption Setting'!$C$89+Payroll!AE$73*'Assumption Setting'!$C$90</f>
        <v>78</v>
      </c>
      <c r="AF45" s="81" t="n">
        <f aca="false">Payroll!AF$67*'Assumption Setting'!$C$88+Payroll!AF$71*'Assumption Setting'!$C$89+Payroll!AF$73*'Assumption Setting'!$C$90</f>
        <v>78</v>
      </c>
      <c r="AG45" s="81" t="n">
        <f aca="false">Payroll!AG$67*'Assumption Setting'!$C$88+Payroll!AG$71*'Assumption Setting'!$C$89+Payroll!AG$73*'Assumption Setting'!$C$90</f>
        <v>78</v>
      </c>
      <c r="AH45" s="81" t="n">
        <f aca="false">Payroll!AH$67*'Assumption Setting'!$C$88+Payroll!AH$71*'Assumption Setting'!$C$89+Payroll!AH$73*'Assumption Setting'!$C$90</f>
        <v>78</v>
      </c>
      <c r="AI45" s="81" t="n">
        <f aca="false">Payroll!AI$67*'Assumption Setting'!$C$88+Payroll!AI$71*'Assumption Setting'!$C$89+Payroll!AI$73*'Assumption Setting'!$C$90</f>
        <v>78</v>
      </c>
      <c r="AJ45" s="81" t="n">
        <f aca="false">Payroll!AJ$67*'Assumption Setting'!$C$88+Payroll!AJ$71*'Assumption Setting'!$C$89+Payroll!AJ$73*'Assumption Setting'!$C$90</f>
        <v>78</v>
      </c>
      <c r="AK45" s="81" t="n">
        <f aca="false">Payroll!AK$67*'Assumption Setting'!$C$88+Payroll!AK$71*'Assumption Setting'!$C$89+Payroll!AK$73*'Assumption Setting'!$C$90</f>
        <v>78</v>
      </c>
      <c r="AL45" s="81" t="n">
        <f aca="false">Payroll!AL$67*'Assumption Setting'!$C$88+Payroll!AL$71*'Assumption Setting'!$C$89+Payroll!AL$73*'Assumption Setting'!$C$90</f>
        <v>78</v>
      </c>
      <c r="AM45" s="81" t="n">
        <f aca="false">Payroll!AM$67*'Assumption Setting'!$C$88+Payroll!AM$71*'Assumption Setting'!$C$89+Payroll!AM$73*'Assumption Setting'!$C$90</f>
        <v>78</v>
      </c>
      <c r="AN45" s="81" t="n">
        <f aca="false">Payroll!AN$67*'Assumption Setting'!$C$88+Payroll!AN$71*'Assumption Setting'!$C$89+Payroll!AN$73*'Assumption Setting'!$C$90</f>
        <v>78</v>
      </c>
      <c r="AO45" s="80" t="n">
        <f aca="false">SUM(AP45:BA45)</f>
        <v>1272</v>
      </c>
      <c r="AP45" s="81" t="n">
        <f aca="false">Payroll!AP$67*'Assumption Setting'!$C$88+Payroll!AP$71*'Assumption Setting'!$C$89+Payroll!AP$73*'Assumption Setting'!$C$90</f>
        <v>106</v>
      </c>
      <c r="AQ45" s="81" t="n">
        <f aca="false">Payroll!AQ$67*'Assumption Setting'!$C$88+Payroll!AQ$71*'Assumption Setting'!$C$89+Payroll!AQ$73*'Assumption Setting'!$C$90</f>
        <v>106</v>
      </c>
      <c r="AR45" s="81" t="n">
        <f aca="false">Payroll!AR$67*'Assumption Setting'!$C$88+Payroll!AR$71*'Assumption Setting'!$C$89+Payroll!AR$73*'Assumption Setting'!$C$90</f>
        <v>106</v>
      </c>
      <c r="AS45" s="81" t="n">
        <f aca="false">Payroll!AS$67*'Assumption Setting'!$C$88+Payroll!AS$71*'Assumption Setting'!$C$89+Payroll!AS$73*'Assumption Setting'!$C$90</f>
        <v>106</v>
      </c>
      <c r="AT45" s="81" t="n">
        <f aca="false">Payroll!AT$67*'Assumption Setting'!$C$88+Payroll!AT$71*'Assumption Setting'!$C$89+Payroll!AT$73*'Assumption Setting'!$C$90</f>
        <v>106</v>
      </c>
      <c r="AU45" s="81" t="n">
        <f aca="false">Payroll!AU$67*'Assumption Setting'!$C$88+Payroll!AU$71*'Assumption Setting'!$C$89+Payroll!AU$73*'Assumption Setting'!$C$90</f>
        <v>106</v>
      </c>
      <c r="AV45" s="81" t="n">
        <f aca="false">Payroll!AV$67*'Assumption Setting'!$C$88+Payroll!AV$71*'Assumption Setting'!$C$89+Payroll!AV$73*'Assumption Setting'!$C$90</f>
        <v>106</v>
      </c>
      <c r="AW45" s="81" t="n">
        <f aca="false">Payroll!AW$67*'Assumption Setting'!$C$88+Payroll!AW$71*'Assumption Setting'!$C$89+Payroll!AW$73*'Assumption Setting'!$C$90</f>
        <v>106</v>
      </c>
      <c r="AX45" s="81" t="n">
        <f aca="false">Payroll!AX$67*'Assumption Setting'!$C$88+Payroll!AX$71*'Assumption Setting'!$C$89+Payroll!AX$73*'Assumption Setting'!$C$90</f>
        <v>106</v>
      </c>
      <c r="AY45" s="81" t="n">
        <f aca="false">Payroll!AY$67*'Assumption Setting'!$C$88+Payroll!AY$71*'Assumption Setting'!$C$89+Payroll!AY$73*'Assumption Setting'!$C$90</f>
        <v>106</v>
      </c>
      <c r="AZ45" s="81" t="n">
        <f aca="false">Payroll!AZ$67*'Assumption Setting'!$C$88+Payroll!AZ$71*'Assumption Setting'!$C$89+Payroll!AZ$73*'Assumption Setting'!$C$90</f>
        <v>106</v>
      </c>
      <c r="BA45" s="81" t="n">
        <f aca="false">Payroll!BA$67*'Assumption Setting'!$C$88+Payroll!BA$71*'Assumption Setting'!$C$89+Payroll!BA$73*'Assumption Setting'!$C$90</f>
        <v>106</v>
      </c>
      <c r="BB45" s="80" t="n">
        <f aca="false">SUM(BC45:BN45)</f>
        <v>1656</v>
      </c>
      <c r="BC45" s="81" t="n">
        <f aca="false">Payroll!BC$67*'Assumption Setting'!$C$88+Payroll!BC$71*'Assumption Setting'!$C$89+Payroll!BC$73*'Assumption Setting'!$C$90</f>
        <v>138</v>
      </c>
      <c r="BD45" s="81" t="n">
        <f aca="false">Payroll!BD$67*'Assumption Setting'!$C$88+Payroll!BD$71*'Assumption Setting'!$C$89+Payroll!BD$73*'Assumption Setting'!$C$90</f>
        <v>138</v>
      </c>
      <c r="BE45" s="81" t="n">
        <f aca="false">Payroll!BE$67*'Assumption Setting'!$C$88+Payroll!BE$71*'Assumption Setting'!$C$89+Payroll!BE$73*'Assumption Setting'!$C$90</f>
        <v>138</v>
      </c>
      <c r="BF45" s="81" t="n">
        <f aca="false">Payroll!BF$67*'Assumption Setting'!$C$88+Payroll!BF$71*'Assumption Setting'!$C$89+Payroll!BF$73*'Assumption Setting'!$C$90</f>
        <v>138</v>
      </c>
      <c r="BG45" s="81" t="n">
        <f aca="false">Payroll!BG$67*'Assumption Setting'!$C$88+Payroll!BG$71*'Assumption Setting'!$C$89+Payroll!BG$73*'Assumption Setting'!$C$90</f>
        <v>138</v>
      </c>
      <c r="BH45" s="81" t="n">
        <f aca="false">Payroll!BH$67*'Assumption Setting'!$C$88+Payroll!BH$71*'Assumption Setting'!$C$89+Payroll!BH$73*'Assumption Setting'!$C$90</f>
        <v>138</v>
      </c>
      <c r="BI45" s="81" t="n">
        <f aca="false">Payroll!BI$67*'Assumption Setting'!$C$88+Payroll!BI$71*'Assumption Setting'!$C$89+Payroll!BI$73*'Assumption Setting'!$C$90</f>
        <v>138</v>
      </c>
      <c r="BJ45" s="81" t="n">
        <f aca="false">Payroll!BJ$67*'Assumption Setting'!$C$88+Payroll!BJ$71*'Assumption Setting'!$C$89+Payroll!BJ$73*'Assumption Setting'!$C$90</f>
        <v>138</v>
      </c>
      <c r="BK45" s="81" t="n">
        <f aca="false">Payroll!BK$67*'Assumption Setting'!$C$88+Payroll!BK$71*'Assumption Setting'!$C$89+Payroll!BK$73*'Assumption Setting'!$C$90</f>
        <v>138</v>
      </c>
      <c r="BL45" s="81" t="n">
        <f aca="false">Payroll!BL$67*'Assumption Setting'!$C$88+Payroll!BL$71*'Assumption Setting'!$C$89+Payroll!BL$73*'Assumption Setting'!$C$90</f>
        <v>138</v>
      </c>
      <c r="BM45" s="81" t="n">
        <f aca="false">Payroll!BM$67*'Assumption Setting'!$C$88+Payroll!BM$71*'Assumption Setting'!$C$89+Payroll!BM$73*'Assumption Setting'!$C$90</f>
        <v>138</v>
      </c>
      <c r="BN45" s="81" t="n">
        <f aca="false">Payroll!BN$67*'Assumption Setting'!$C$88+Payroll!BN$71*'Assumption Setting'!$C$89+Payroll!BN$73*'Assumption Setting'!$C$90</f>
        <v>138</v>
      </c>
    </row>
    <row r="46" customFormat="false" ht="15" hidden="false" customHeight="false" outlineLevel="0" collapsed="false">
      <c r="A46" s="18" t="s">
        <v>694</v>
      </c>
      <c r="B46" s="80" t="n">
        <f aca="false">MAX(C46:N46)</f>
        <v>0</v>
      </c>
      <c r="C46" s="100" t="n">
        <f aca="false">MAX(0,C44-C45)</f>
        <v>0</v>
      </c>
      <c r="D46" s="100" t="n">
        <f aca="false">MAX(0,D44-D45)</f>
        <v>0</v>
      </c>
      <c r="E46" s="100" t="n">
        <f aca="false">MAX(0,E44-E45)</f>
        <v>0</v>
      </c>
      <c r="F46" s="100" t="n">
        <f aca="false">MAX(0,F44-F45)</f>
        <v>0</v>
      </c>
      <c r="G46" s="100" t="n">
        <f aca="false">MAX(0,G44-G45)</f>
        <v>0</v>
      </c>
      <c r="H46" s="100" t="n">
        <f aca="false">MAX(0,H44-H45)</f>
        <v>0</v>
      </c>
      <c r="I46" s="100" t="n">
        <f aca="false">MAX(0,I44-I45)</f>
        <v>0</v>
      </c>
      <c r="J46" s="100" t="n">
        <f aca="false">MAX(0,J44-J45)</f>
        <v>0</v>
      </c>
      <c r="K46" s="100" t="n">
        <f aca="false">MAX(0,K44-K45)</f>
        <v>0</v>
      </c>
      <c r="L46" s="100" t="n">
        <f aca="false">MAX(0,L44-L45)</f>
        <v>0</v>
      </c>
      <c r="M46" s="100" t="n">
        <f aca="false">MAX(0,M44-M45)</f>
        <v>0</v>
      </c>
      <c r="N46" s="100" t="n">
        <f aca="false">MAX(0,N44-N45)</f>
        <v>0</v>
      </c>
      <c r="O46" s="80" t="n">
        <f aca="false">MAX(P46:AA46)</f>
        <v>0</v>
      </c>
      <c r="P46" s="100" t="n">
        <f aca="false">MAX(0,P44-P45)</f>
        <v>0</v>
      </c>
      <c r="Q46" s="100" t="n">
        <f aca="false">MAX(0,Q44-Q45)</f>
        <v>0</v>
      </c>
      <c r="R46" s="100" t="n">
        <f aca="false">MAX(0,R44-R45)</f>
        <v>0</v>
      </c>
      <c r="S46" s="100" t="n">
        <f aca="false">MAX(0,S44-S45)</f>
        <v>0</v>
      </c>
      <c r="T46" s="100" t="n">
        <f aca="false">MAX(0,T44-T45)</f>
        <v>0</v>
      </c>
      <c r="U46" s="100" t="n">
        <f aca="false">MAX(0,U44-U45)</f>
        <v>0</v>
      </c>
      <c r="V46" s="100" t="n">
        <f aca="false">MAX(0,V44-V45)</f>
        <v>0</v>
      </c>
      <c r="W46" s="100" t="n">
        <f aca="false">MAX(0,W44-W45)</f>
        <v>0</v>
      </c>
      <c r="X46" s="100" t="n">
        <f aca="false">MAX(0,X44-X45)</f>
        <v>0</v>
      </c>
      <c r="Y46" s="100" t="n">
        <f aca="false">MAX(0,Y44-Y45)</f>
        <v>0</v>
      </c>
      <c r="Z46" s="100" t="n">
        <f aca="false">MAX(0,Z44-Z45)</f>
        <v>0</v>
      </c>
      <c r="AA46" s="100" t="n">
        <f aca="false">MAX(0,AA44-AA45)</f>
        <v>0</v>
      </c>
      <c r="AB46" s="80" t="n">
        <f aca="false">MAX(AC46:AN46)</f>
        <v>0</v>
      </c>
      <c r="AC46" s="100" t="n">
        <f aca="false">MAX(0,AC44-AC45)</f>
        <v>0</v>
      </c>
      <c r="AD46" s="100" t="n">
        <f aca="false">MAX(0,AD44-AD45)</f>
        <v>0</v>
      </c>
      <c r="AE46" s="100" t="n">
        <f aca="false">MAX(0,AE44-AE45)</f>
        <v>0</v>
      </c>
      <c r="AF46" s="100" t="n">
        <f aca="false">MAX(0,AF44-AF45)</f>
        <v>0</v>
      </c>
      <c r="AG46" s="100" t="n">
        <f aca="false">MAX(0,AG44-AG45)</f>
        <v>0</v>
      </c>
      <c r="AH46" s="100" t="n">
        <f aca="false">MAX(0,AH44-AH45)</f>
        <v>0</v>
      </c>
      <c r="AI46" s="100" t="n">
        <f aca="false">MAX(0,AI44-AI45)</f>
        <v>0</v>
      </c>
      <c r="AJ46" s="100" t="n">
        <f aca="false">MAX(0,AJ44-AJ45)</f>
        <v>0</v>
      </c>
      <c r="AK46" s="100" t="n">
        <f aca="false">MAX(0,AK44-AK45)</f>
        <v>0</v>
      </c>
      <c r="AL46" s="100" t="n">
        <f aca="false">MAX(0,AL44-AL45)</f>
        <v>0</v>
      </c>
      <c r="AM46" s="100" t="n">
        <f aca="false">MAX(0,AM44-AM45)</f>
        <v>0</v>
      </c>
      <c r="AN46" s="100" t="n">
        <f aca="false">MAX(0,AN44-AN45)</f>
        <v>0</v>
      </c>
      <c r="AO46" s="80" t="n">
        <f aca="false">MAX(AP46:BA46)</f>
        <v>0</v>
      </c>
      <c r="AP46" s="100" t="n">
        <f aca="false">MAX(0,AP44-AP45)</f>
        <v>0</v>
      </c>
      <c r="AQ46" s="100" t="n">
        <f aca="false">MAX(0,AQ44-AQ45)</f>
        <v>0</v>
      </c>
      <c r="AR46" s="100" t="n">
        <f aca="false">MAX(0,AR44-AR45)</f>
        <v>0</v>
      </c>
      <c r="AS46" s="100" t="n">
        <f aca="false">MAX(0,AS44-AS45)</f>
        <v>0</v>
      </c>
      <c r="AT46" s="100" t="n">
        <f aca="false">MAX(0,AT44-AT45)</f>
        <v>0</v>
      </c>
      <c r="AU46" s="100" t="n">
        <f aca="false">MAX(0,AU44-AU45)</f>
        <v>0</v>
      </c>
      <c r="AV46" s="100" t="n">
        <f aca="false">MAX(0,AV44-AV45)</f>
        <v>0</v>
      </c>
      <c r="AW46" s="100" t="n">
        <f aca="false">MAX(0,AW44-AW45)</f>
        <v>0</v>
      </c>
      <c r="AX46" s="100" t="n">
        <f aca="false">MAX(0,AX44-AX45)</f>
        <v>0</v>
      </c>
      <c r="AY46" s="100" t="n">
        <f aca="false">MAX(0,AY44-AY45)</f>
        <v>0</v>
      </c>
      <c r="AZ46" s="100" t="n">
        <f aca="false">MAX(0,AZ44-AZ45)</f>
        <v>0</v>
      </c>
      <c r="BA46" s="100" t="n">
        <f aca="false">MAX(0,BA44-BA45)</f>
        <v>0</v>
      </c>
      <c r="BB46" s="80" t="n">
        <f aca="false">MAX(BC46:BN46)</f>
        <v>0</v>
      </c>
      <c r="BC46" s="100" t="n">
        <f aca="false">MAX(0,BC44-BC45)</f>
        <v>0</v>
      </c>
      <c r="BD46" s="100" t="n">
        <f aca="false">MAX(0,BD44-BD45)</f>
        <v>0</v>
      </c>
      <c r="BE46" s="100" t="n">
        <f aca="false">MAX(0,BE44-BE45)</f>
        <v>0</v>
      </c>
      <c r="BF46" s="100" t="n">
        <f aca="false">MAX(0,BF44-BF45)</f>
        <v>0</v>
      </c>
      <c r="BG46" s="100" t="n">
        <f aca="false">MAX(0,BG44-BG45)</f>
        <v>0</v>
      </c>
      <c r="BH46" s="100" t="n">
        <f aca="false">MAX(0,BH44-BH45)</f>
        <v>0</v>
      </c>
      <c r="BI46" s="100" t="n">
        <f aca="false">MAX(0,BI44-BI45)</f>
        <v>0</v>
      </c>
      <c r="BJ46" s="100" t="n">
        <f aca="false">MAX(0,BJ44-BJ45)</f>
        <v>0</v>
      </c>
      <c r="BK46" s="100" t="n">
        <f aca="false">MAX(0,BK44-BK45)</f>
        <v>0</v>
      </c>
      <c r="BL46" s="100" t="n">
        <f aca="false">MAX(0,BL44-BL45)</f>
        <v>0</v>
      </c>
      <c r="BM46" s="100" t="n">
        <f aca="false">MAX(0,BM44-BM45)</f>
        <v>0</v>
      </c>
      <c r="BN46" s="100" t="n">
        <f aca="false">MAX(0,BN44-BN45)</f>
        <v>0</v>
      </c>
    </row>
    <row r="47" customFormat="false" ht="15" hidden="false" customHeight="false" outlineLevel="0" collapsed="false">
      <c r="A47" s="66" t="s">
        <v>695</v>
      </c>
      <c r="B47" s="98" t="n">
        <f aca="false">IFERROR(AVERAGE(C47:N47),0)</f>
        <v>0.230949110832591</v>
      </c>
      <c r="C47" s="99" t="n">
        <f aca="false">IFERROR(C44/C45,0)</f>
        <v>0.230949110832591</v>
      </c>
      <c r="D47" s="99" t="n">
        <f aca="false">IFERROR(D44/D45,0)</f>
        <v>0.230949110832591</v>
      </c>
      <c r="E47" s="99" t="n">
        <f aca="false">IFERROR(E44/E45,0)</f>
        <v>0.230949110832591</v>
      </c>
      <c r="F47" s="99" t="n">
        <f aca="false">IFERROR(F44/F45,0)</f>
        <v>0.230949110832591</v>
      </c>
      <c r="G47" s="99" t="n">
        <f aca="false">IFERROR(G44/G45,0)</f>
        <v>0.230949110832591</v>
      </c>
      <c r="H47" s="99" t="n">
        <f aca="false">IFERROR(H44/H45,0)</f>
        <v>0.230949110832591</v>
      </c>
      <c r="I47" s="99" t="n">
        <f aca="false">IFERROR(I44/I45,0)</f>
        <v>0.230949110832591</v>
      </c>
      <c r="J47" s="99" t="n">
        <f aca="false">IFERROR(J44/J45,0)</f>
        <v>0.230949110832591</v>
      </c>
      <c r="K47" s="99" t="n">
        <f aca="false">IFERROR(K44/K45,0)</f>
        <v>0.230949110832591</v>
      </c>
      <c r="L47" s="99" t="n">
        <f aca="false">IFERROR(L44/L45,0)</f>
        <v>0.230949110832591</v>
      </c>
      <c r="M47" s="99" t="n">
        <f aca="false">IFERROR(M44/M45,0)</f>
        <v>0.230949110832591</v>
      </c>
      <c r="N47" s="99" t="n">
        <f aca="false">IFERROR(N44/N45,0)</f>
        <v>0.230949110832591</v>
      </c>
      <c r="O47" s="98" t="n">
        <f aca="false">IFERROR(AVERAGE(P47:AA47),0)</f>
        <v>0.277134317252098</v>
      </c>
      <c r="P47" s="99" t="n">
        <f aca="false">IFERROR(P44/P45,0)</f>
        <v>0.277134317252098</v>
      </c>
      <c r="Q47" s="99" t="n">
        <f aca="false">IFERROR(Q44/Q45,0)</f>
        <v>0.277134317252098</v>
      </c>
      <c r="R47" s="99" t="n">
        <f aca="false">IFERROR(R44/R45,0)</f>
        <v>0.277134317252098</v>
      </c>
      <c r="S47" s="99" t="n">
        <f aca="false">IFERROR(S44/S45,0)</f>
        <v>0.277134317252098</v>
      </c>
      <c r="T47" s="99" t="n">
        <f aca="false">IFERROR(T44/T45,0)</f>
        <v>0.277134317252098</v>
      </c>
      <c r="U47" s="99" t="n">
        <f aca="false">IFERROR(U44/U45,0)</f>
        <v>0.277134317252098</v>
      </c>
      <c r="V47" s="99" t="n">
        <f aca="false">IFERROR(V44/V45,0)</f>
        <v>0.277134317252098</v>
      </c>
      <c r="W47" s="99" t="n">
        <f aca="false">IFERROR(W44/W45,0)</f>
        <v>0.277134317252098</v>
      </c>
      <c r="X47" s="99" t="n">
        <f aca="false">IFERROR(X44/X45,0)</f>
        <v>0.277134317252098</v>
      </c>
      <c r="Y47" s="99" t="n">
        <f aca="false">IFERROR(Y44/Y45,0)</f>
        <v>0.277134317252098</v>
      </c>
      <c r="Z47" s="99" t="n">
        <f aca="false">IFERROR(Z44/Z45,0)</f>
        <v>0.277134317252098</v>
      </c>
      <c r="AA47" s="99" t="n">
        <f aca="false">IFERROR(AA44/AA45,0)</f>
        <v>0.277134317252098</v>
      </c>
      <c r="AB47" s="98" t="n">
        <f aca="false">IFERROR(AVERAGE(AC47:AN47),0)</f>
        <v>0.341043958941981</v>
      </c>
      <c r="AC47" s="99" t="n">
        <f aca="false">IFERROR(AC44/AC45,0)</f>
        <v>0.341043958941981</v>
      </c>
      <c r="AD47" s="99" t="n">
        <f aca="false">IFERROR(AD44/AD45,0)</f>
        <v>0.341043958941981</v>
      </c>
      <c r="AE47" s="99" t="n">
        <f aca="false">IFERROR(AE44/AE45,0)</f>
        <v>0.341043958941981</v>
      </c>
      <c r="AF47" s="99" t="n">
        <f aca="false">IFERROR(AF44/AF45,0)</f>
        <v>0.341043958941981</v>
      </c>
      <c r="AG47" s="99" t="n">
        <f aca="false">IFERROR(AG44/AG45,0)</f>
        <v>0.341043958941981</v>
      </c>
      <c r="AH47" s="99" t="n">
        <f aca="false">IFERROR(AH44/AH45,0)</f>
        <v>0.341043958941981</v>
      </c>
      <c r="AI47" s="99" t="n">
        <f aca="false">IFERROR(AI44/AI45,0)</f>
        <v>0.341043958941981</v>
      </c>
      <c r="AJ47" s="99" t="n">
        <f aca="false">IFERROR(AJ44/AJ45,0)</f>
        <v>0.341043958941981</v>
      </c>
      <c r="AK47" s="99" t="n">
        <f aca="false">IFERROR(AK44/AK45,0)</f>
        <v>0.341043958941981</v>
      </c>
      <c r="AL47" s="99" t="n">
        <f aca="false">IFERROR(AL44/AL45,0)</f>
        <v>0.341043958941981</v>
      </c>
      <c r="AM47" s="99" t="n">
        <f aca="false">IFERROR(AM44/AM45,0)</f>
        <v>0.341043958941981</v>
      </c>
      <c r="AN47" s="99" t="n">
        <f aca="false">IFERROR(AN44/AN45,0)</f>
        <v>0.341043958941981</v>
      </c>
      <c r="AO47" s="98" t="n">
        <f aca="false">IFERROR(AVERAGE(AP47:BA47),0)</f>
        <v>0.325462469438381</v>
      </c>
      <c r="AP47" s="99" t="n">
        <f aca="false">IFERROR(AP44/AP45,0)</f>
        <v>0.325462469438381</v>
      </c>
      <c r="AQ47" s="99" t="n">
        <f aca="false">IFERROR(AQ44/AQ45,0)</f>
        <v>0.325462469438381</v>
      </c>
      <c r="AR47" s="99" t="n">
        <f aca="false">IFERROR(AR44/AR45,0)</f>
        <v>0.325462469438381</v>
      </c>
      <c r="AS47" s="99" t="n">
        <f aca="false">IFERROR(AS44/AS45,0)</f>
        <v>0.325462469438381</v>
      </c>
      <c r="AT47" s="99" t="n">
        <f aca="false">IFERROR(AT44/AT45,0)</f>
        <v>0.325462469438381</v>
      </c>
      <c r="AU47" s="99" t="n">
        <f aca="false">IFERROR(AU44/AU45,0)</f>
        <v>0.325462469438381</v>
      </c>
      <c r="AV47" s="99" t="n">
        <f aca="false">IFERROR(AV44/AV45,0)</f>
        <v>0.325462469438381</v>
      </c>
      <c r="AW47" s="99" t="n">
        <f aca="false">IFERROR(AW44/AW45,0)</f>
        <v>0.325462469438381</v>
      </c>
      <c r="AX47" s="99" t="n">
        <f aca="false">IFERROR(AX44/AX45,0)</f>
        <v>0.325462469438381</v>
      </c>
      <c r="AY47" s="99" t="n">
        <f aca="false">IFERROR(AY44/AY45,0)</f>
        <v>0.325462469438381</v>
      </c>
      <c r="AZ47" s="99" t="n">
        <f aca="false">IFERROR(AZ44/AZ45,0)</f>
        <v>0.325462469438381</v>
      </c>
      <c r="BA47" s="99" t="n">
        <f aca="false">IFERROR(BA44/BA45,0)</f>
        <v>0.325462469438381</v>
      </c>
      <c r="BB47" s="98" t="n">
        <f aca="false">IFERROR(AVERAGE(BC47:BN47),0)</f>
        <v>0.307116411365747</v>
      </c>
      <c r="BC47" s="99" t="n">
        <f aca="false">IFERROR(BC44/BC45,0)</f>
        <v>0.307116411365747</v>
      </c>
      <c r="BD47" s="99" t="n">
        <f aca="false">IFERROR(BD44/BD45,0)</f>
        <v>0.307116411365747</v>
      </c>
      <c r="BE47" s="99" t="n">
        <f aca="false">IFERROR(BE44/BE45,0)</f>
        <v>0.307116411365747</v>
      </c>
      <c r="BF47" s="99" t="n">
        <f aca="false">IFERROR(BF44/BF45,0)</f>
        <v>0.307116411365747</v>
      </c>
      <c r="BG47" s="99" t="n">
        <f aca="false">IFERROR(BG44/BG45,0)</f>
        <v>0.307116411365747</v>
      </c>
      <c r="BH47" s="99" t="n">
        <f aca="false">IFERROR(BH44/BH45,0)</f>
        <v>0.307116411365747</v>
      </c>
      <c r="BI47" s="99" t="n">
        <f aca="false">IFERROR(BI44/BI45,0)</f>
        <v>0.307116411365747</v>
      </c>
      <c r="BJ47" s="99" t="n">
        <f aca="false">IFERROR(BJ44/BJ45,0)</f>
        <v>0.307116411365747</v>
      </c>
      <c r="BK47" s="99" t="n">
        <f aca="false">IFERROR(BK44/BK45,0)</f>
        <v>0.307116411365747</v>
      </c>
      <c r="BL47" s="99" t="n">
        <f aca="false">IFERROR(BL44/BL45,0)</f>
        <v>0.307116411365747</v>
      </c>
      <c r="BM47" s="99" t="n">
        <f aca="false">IFERROR(BM44/BM45,0)</f>
        <v>0.307116411365747</v>
      </c>
      <c r="BN47" s="99" t="n">
        <f aca="false">IFERROR(BN44/BN45,0)</f>
        <v>0.307116411365747</v>
      </c>
    </row>
    <row r="50" customFormat="false" ht="16.5" hidden="false" customHeight="true" outlineLevel="0" collapsed="false">
      <c r="A50" s="15" t="s">
        <v>696</v>
      </c>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row>
    <row r="51" customFormat="false" ht="15" hidden="false" customHeight="true" outlineLevel="0" collapsed="false">
      <c r="A51" s="26" t="s">
        <v>481</v>
      </c>
      <c r="B51" s="61" t="s">
        <v>81</v>
      </c>
      <c r="C51" s="62" t="s">
        <v>482</v>
      </c>
      <c r="D51" s="62" t="s">
        <v>483</v>
      </c>
      <c r="E51" s="62" t="s">
        <v>484</v>
      </c>
      <c r="F51" s="62" t="s">
        <v>485</v>
      </c>
      <c r="G51" s="62" t="s">
        <v>486</v>
      </c>
      <c r="H51" s="62" t="s">
        <v>487</v>
      </c>
      <c r="I51" s="62" t="s">
        <v>488</v>
      </c>
      <c r="J51" s="62" t="s">
        <v>489</v>
      </c>
      <c r="K51" s="62" t="s">
        <v>490</v>
      </c>
      <c r="L51" s="62" t="s">
        <v>491</v>
      </c>
      <c r="M51" s="62" t="s">
        <v>492</v>
      </c>
      <c r="N51" s="62" t="s">
        <v>493</v>
      </c>
      <c r="O51" s="61" t="s">
        <v>82</v>
      </c>
      <c r="P51" s="63" t="s">
        <v>494</v>
      </c>
      <c r="Q51" s="63" t="s">
        <v>495</v>
      </c>
      <c r="R51" s="63" t="s">
        <v>496</v>
      </c>
      <c r="S51" s="63" t="s">
        <v>497</v>
      </c>
      <c r="T51" s="63" t="s">
        <v>498</v>
      </c>
      <c r="U51" s="63" t="s">
        <v>499</v>
      </c>
      <c r="V51" s="63" t="s">
        <v>500</v>
      </c>
      <c r="W51" s="63" t="s">
        <v>501</v>
      </c>
      <c r="X51" s="63" t="s">
        <v>502</v>
      </c>
      <c r="Y51" s="63" t="s">
        <v>503</v>
      </c>
      <c r="Z51" s="63" t="s">
        <v>504</v>
      </c>
      <c r="AA51" s="63" t="s">
        <v>505</v>
      </c>
      <c r="AB51" s="61" t="s">
        <v>83</v>
      </c>
      <c r="AC51" s="62" t="s">
        <v>506</v>
      </c>
      <c r="AD51" s="62" t="s">
        <v>507</v>
      </c>
      <c r="AE51" s="62" t="s">
        <v>508</v>
      </c>
      <c r="AF51" s="62" t="s">
        <v>509</v>
      </c>
      <c r="AG51" s="62" t="s">
        <v>510</v>
      </c>
      <c r="AH51" s="62" t="s">
        <v>511</v>
      </c>
      <c r="AI51" s="62" t="s">
        <v>512</v>
      </c>
      <c r="AJ51" s="62" t="s">
        <v>513</v>
      </c>
      <c r="AK51" s="62" t="s">
        <v>514</v>
      </c>
      <c r="AL51" s="62" t="s">
        <v>515</v>
      </c>
      <c r="AM51" s="62" t="s">
        <v>516</v>
      </c>
      <c r="AN51" s="62" t="s">
        <v>517</v>
      </c>
      <c r="AO51" s="61" t="s">
        <v>84</v>
      </c>
      <c r="AP51" s="63" t="s">
        <v>518</v>
      </c>
      <c r="AQ51" s="63" t="s">
        <v>519</v>
      </c>
      <c r="AR51" s="63" t="s">
        <v>520</v>
      </c>
      <c r="AS51" s="63" t="s">
        <v>521</v>
      </c>
      <c r="AT51" s="63" t="s">
        <v>522</v>
      </c>
      <c r="AU51" s="63" t="s">
        <v>523</v>
      </c>
      <c r="AV51" s="63" t="s">
        <v>524</v>
      </c>
      <c r="AW51" s="63" t="s">
        <v>525</v>
      </c>
      <c r="AX51" s="63" t="s">
        <v>526</v>
      </c>
      <c r="AY51" s="63" t="s">
        <v>527</v>
      </c>
      <c r="AZ51" s="63" t="s">
        <v>528</v>
      </c>
      <c r="BA51" s="63" t="s">
        <v>529</v>
      </c>
      <c r="BB51" s="61" t="s">
        <v>85</v>
      </c>
      <c r="BC51" s="62" t="s">
        <v>530</v>
      </c>
      <c r="BD51" s="62" t="s">
        <v>531</v>
      </c>
      <c r="BE51" s="62" t="s">
        <v>532</v>
      </c>
      <c r="BF51" s="62" t="s">
        <v>533</v>
      </c>
      <c r="BG51" s="62" t="s">
        <v>534</v>
      </c>
      <c r="BH51" s="62" t="s">
        <v>535</v>
      </c>
      <c r="BI51" s="62" t="s">
        <v>536</v>
      </c>
      <c r="BJ51" s="62" t="s">
        <v>537</v>
      </c>
      <c r="BK51" s="62" t="s">
        <v>538</v>
      </c>
      <c r="BL51" s="62" t="s">
        <v>539</v>
      </c>
      <c r="BM51" s="62" t="s">
        <v>540</v>
      </c>
      <c r="BN51" s="62" t="s">
        <v>541</v>
      </c>
    </row>
    <row r="52" customFormat="false" ht="15" hidden="false" customHeight="false" outlineLevel="0" collapsed="false">
      <c r="A52" s="12" t="s">
        <v>697</v>
      </c>
      <c r="B52" s="80" t="n">
        <f aca="false">SUM(C52:N52)</f>
        <v>8.80999093978338</v>
      </c>
      <c r="C52" s="96" t="n">
        <f aca="false">Acquisitions!C$99</f>
        <v>0</v>
      </c>
      <c r="D52" s="96" t="n">
        <f aca="false">Acquisitions!D$99</f>
        <v>0</v>
      </c>
      <c r="E52" s="96" t="n">
        <f aca="false">Acquisitions!E$99</f>
        <v>0</v>
      </c>
      <c r="F52" s="96" t="n">
        <f aca="false">Acquisitions!F$99</f>
        <v>0.205505564723916</v>
      </c>
      <c r="G52" s="96" t="n">
        <f aca="false">Acquisitions!G$99</f>
        <v>0.863123371840448</v>
      </c>
      <c r="H52" s="96" t="n">
        <f aca="false">Acquisitions!H$99</f>
        <v>1.04579498492837</v>
      </c>
      <c r="I52" s="96" t="n">
        <f aca="false">Acquisitions!I$99</f>
        <v>1.04579498492837</v>
      </c>
      <c r="J52" s="96" t="n">
        <f aca="false">Acquisitions!J$99</f>
        <v>1.12114702532714</v>
      </c>
      <c r="K52" s="96" t="n">
        <f aca="false">Acquisitions!K$99</f>
        <v>1.12114702532714</v>
      </c>
      <c r="L52" s="96" t="n">
        <f aca="false">Acquisitions!L$99</f>
        <v>1.12114702532714</v>
      </c>
      <c r="M52" s="96" t="n">
        <f aca="false">Acquisitions!M$99</f>
        <v>1.12114702532714</v>
      </c>
      <c r="N52" s="96" t="n">
        <f aca="false">Acquisitions!N$99</f>
        <v>1.1651839320537</v>
      </c>
      <c r="O52" s="80" t="n">
        <f aca="false">SUM(P52:AA52)</f>
        <v>21.840464924325</v>
      </c>
      <c r="P52" s="96" t="n">
        <f aca="false">Acquisitions!P$99</f>
        <v>1.38719518181734</v>
      </c>
      <c r="Q52" s="96" t="n">
        <f aca="false">Acquisitions!Q$99</f>
        <v>1.38719518181734</v>
      </c>
      <c r="R52" s="96" t="n">
        <f aca="false">Acquisitions!R$99</f>
        <v>1.38719518181734</v>
      </c>
      <c r="S52" s="96" t="n">
        <f aca="false">Acquisitions!S$99</f>
        <v>1.50835547979519</v>
      </c>
      <c r="T52" s="96" t="n">
        <f aca="false">Acquisitions!T$99</f>
        <v>1.8960684333243</v>
      </c>
      <c r="U52" s="96" t="n">
        <f aca="false">Acquisitions!U$99</f>
        <v>2.00376647597127</v>
      </c>
      <c r="V52" s="96" t="n">
        <f aca="false">Acquisitions!V$99</f>
        <v>2.00376647597127</v>
      </c>
      <c r="W52" s="96" t="n">
        <f aca="false">Acquisitions!W$99</f>
        <v>2.04819191856315</v>
      </c>
      <c r="X52" s="96" t="n">
        <f aca="false">Acquisitions!X$99</f>
        <v>2.04819191856315</v>
      </c>
      <c r="Y52" s="96" t="n">
        <f aca="false">Acquisitions!Y$99</f>
        <v>2.04819191856315</v>
      </c>
      <c r="Z52" s="96" t="n">
        <f aca="false">Acquisitions!Z$99</f>
        <v>2.04819191856315</v>
      </c>
      <c r="AA52" s="96" t="n">
        <f aca="false">Acquisitions!AA$99</f>
        <v>2.0741548395584</v>
      </c>
      <c r="AB52" s="80" t="n">
        <f aca="false">SUM(AC52:AN52)</f>
        <v>36.0087312447977</v>
      </c>
      <c r="AC52" s="96" t="n">
        <f aca="false">Acquisitions!AC$99</f>
        <v>2.32439597667061</v>
      </c>
      <c r="AD52" s="96" t="n">
        <f aca="false">Acquisitions!AD$99</f>
        <v>2.32439597667061</v>
      </c>
      <c r="AE52" s="96" t="n">
        <f aca="false">Acquisitions!AE$99</f>
        <v>2.32439597667061</v>
      </c>
      <c r="AF52" s="96" t="n">
        <f aca="false">Acquisitions!AF$99</f>
        <v>2.51371273839279</v>
      </c>
      <c r="AG52" s="96" t="n">
        <f aca="false">Acquisitions!AG$99</f>
        <v>3.11952637590378</v>
      </c>
      <c r="AH52" s="96" t="n">
        <f aca="false">Acquisitions!AH$99</f>
        <v>3.28780794187905</v>
      </c>
      <c r="AI52" s="96" t="n">
        <f aca="false">Acquisitions!AI$99</f>
        <v>3.28780794187905</v>
      </c>
      <c r="AJ52" s="96" t="n">
        <f aca="false">Acquisitions!AJ$99</f>
        <v>3.35722408784385</v>
      </c>
      <c r="AK52" s="96" t="n">
        <f aca="false">Acquisitions!AK$99</f>
        <v>3.35722408784385</v>
      </c>
      <c r="AL52" s="96" t="n">
        <f aca="false">Acquisitions!AL$99</f>
        <v>3.35722408784385</v>
      </c>
      <c r="AM52" s="96" t="n">
        <f aca="false">Acquisitions!AM$99</f>
        <v>3.35722408784385</v>
      </c>
      <c r="AN52" s="96" t="n">
        <f aca="false">Acquisitions!AN$99</f>
        <v>3.39779196535575</v>
      </c>
      <c r="AO52" s="80" t="n">
        <f aca="false">SUM(AP52:BA52)</f>
        <v>51.1084631185373</v>
      </c>
      <c r="AP52" s="96" t="n">
        <f aca="false">Acquisitions!AP$99</f>
        <v>3.63139561197163</v>
      </c>
      <c r="AQ52" s="96" t="n">
        <f aca="false">Acquisitions!AQ$99</f>
        <v>3.63139561197163</v>
      </c>
      <c r="AR52" s="96" t="n">
        <f aca="false">Acquisitions!AR$99</f>
        <v>3.63139561197163</v>
      </c>
      <c r="AS52" s="96" t="n">
        <f aca="false">Acquisitions!AS$99</f>
        <v>3.80708359102128</v>
      </c>
      <c r="AT52" s="96" t="n">
        <f aca="false">Acquisitions!AT$99</f>
        <v>4.36928512398016</v>
      </c>
      <c r="AU52" s="96" t="n">
        <f aca="false">Acquisitions!AU$99</f>
        <v>4.52545221646874</v>
      </c>
      <c r="AV52" s="96" t="n">
        <f aca="false">Acquisitions!AV$99</f>
        <v>4.52545221646874</v>
      </c>
      <c r="AW52" s="96" t="n">
        <f aca="false">Acquisitions!AW$99</f>
        <v>4.58987114212028</v>
      </c>
      <c r="AX52" s="96" t="n">
        <f aca="false">Acquisitions!AX$99</f>
        <v>4.58987114212028</v>
      </c>
      <c r="AY52" s="96" t="n">
        <f aca="false">Acquisitions!AY$99</f>
        <v>4.58987114212028</v>
      </c>
      <c r="AZ52" s="96" t="n">
        <f aca="false">Acquisitions!AZ$99</f>
        <v>4.58987114212028</v>
      </c>
      <c r="BA52" s="96" t="n">
        <f aca="false">Acquisitions!BA$99</f>
        <v>4.62751856620235</v>
      </c>
      <c r="BB52" s="80" t="n">
        <f aca="false">SUM(BC52:BN52)</f>
        <v>66.5931919772145</v>
      </c>
      <c r="BC52" s="96" t="n">
        <f aca="false">Acquisitions!BC$99</f>
        <v>4.8978865413492</v>
      </c>
      <c r="BD52" s="96" t="n">
        <f aca="false">Acquisitions!BD$99</f>
        <v>4.8978865413492</v>
      </c>
      <c r="BE52" s="96" t="n">
        <f aca="false">Acquisitions!BE$99</f>
        <v>4.8978865413492</v>
      </c>
      <c r="BF52" s="96" t="n">
        <f aca="false">Acquisitions!BF$99</f>
        <v>5.08026541772084</v>
      </c>
      <c r="BG52" s="96" t="n">
        <f aca="false">Acquisitions!BG$99</f>
        <v>5.66387782211008</v>
      </c>
      <c r="BH52" s="96" t="n">
        <f aca="false">Acquisitions!BH$99</f>
        <v>5.82599237888486</v>
      </c>
      <c r="BI52" s="96" t="n">
        <f aca="false">Acquisitions!BI$99</f>
        <v>5.82599237888486</v>
      </c>
      <c r="BJ52" s="96" t="n">
        <f aca="false">Acquisitions!BJ$99</f>
        <v>5.89286463355446</v>
      </c>
      <c r="BK52" s="96" t="n">
        <f aca="false">Acquisitions!BK$99</f>
        <v>5.89286463355446</v>
      </c>
      <c r="BL52" s="96" t="n">
        <f aca="false">Acquisitions!BL$99</f>
        <v>5.89286463355446</v>
      </c>
      <c r="BM52" s="96" t="n">
        <f aca="false">Acquisitions!BM$99</f>
        <v>5.89286463355446</v>
      </c>
      <c r="BN52" s="96" t="n">
        <f aca="false">Acquisitions!BN$99</f>
        <v>5.93194582134839</v>
      </c>
    </row>
    <row r="53" customFormat="false" ht="15" hidden="false" customHeight="false" outlineLevel="0" collapsed="false">
      <c r="A53" s="12" t="s">
        <v>698</v>
      </c>
      <c r="B53" s="80" t="n">
        <f aca="false">SUM(C53:N53)</f>
        <v>6.91183716021438</v>
      </c>
      <c r="C53" s="96" t="n">
        <f aca="false">Acquisitions!C$100</f>
        <v>0</v>
      </c>
      <c r="D53" s="96" t="n">
        <f aca="false">Acquisitions!D$100</f>
        <v>0</v>
      </c>
      <c r="E53" s="96" t="n">
        <f aca="false">Acquisitions!E$100</f>
        <v>0</v>
      </c>
      <c r="F53" s="96" t="n">
        <f aca="false">Acquisitions!F$100</f>
        <v>0</v>
      </c>
      <c r="G53" s="96" t="n">
        <f aca="false">Acquisitions!G$100</f>
        <v>0.205505564723916</v>
      </c>
      <c r="H53" s="96" t="n">
        <f aca="false">Acquisitions!H$100</f>
        <v>0.205505564723916</v>
      </c>
      <c r="I53" s="96" t="n">
        <f aca="false">Acquisitions!I$100</f>
        <v>1.04579498492837</v>
      </c>
      <c r="J53" s="96" t="n">
        <f aca="false">Acquisitions!J$100</f>
        <v>1.04579498492837</v>
      </c>
      <c r="K53" s="96" t="n">
        <f aca="false">Acquisitions!K$100</f>
        <v>1.04579498492837</v>
      </c>
      <c r="L53" s="96" t="n">
        <f aca="false">Acquisitions!L$100</f>
        <v>1.12114702532714</v>
      </c>
      <c r="M53" s="96" t="n">
        <f aca="false">Acquisitions!M$100</f>
        <v>1.12114702532714</v>
      </c>
      <c r="N53" s="96" t="n">
        <f aca="false">Acquisitions!N$100</f>
        <v>1.12114702532714</v>
      </c>
      <c r="O53" s="80" t="n">
        <f aca="false">SUM(P53:AA53)</f>
        <v>20.1181917280329</v>
      </c>
      <c r="P53" s="96" t="n">
        <f aca="false">Acquisitions!P$100</f>
        <v>1.12114702532714</v>
      </c>
      <c r="Q53" s="96" t="n">
        <f aca="false">Acquisitions!Q$100</f>
        <v>1.15996474310833</v>
      </c>
      <c r="R53" s="96" t="n">
        <f aca="false">Acquisitions!R$100</f>
        <v>1.27729863458641</v>
      </c>
      <c r="S53" s="96" t="n">
        <f aca="false">Acquisitions!S$100</f>
        <v>1.38719518181734</v>
      </c>
      <c r="T53" s="96" t="n">
        <f aca="false">Acquisitions!T$100</f>
        <v>1.50835547979519</v>
      </c>
      <c r="U53" s="96" t="n">
        <f aca="false">Acquisitions!U$100</f>
        <v>1.50835547979519</v>
      </c>
      <c r="V53" s="96" t="n">
        <f aca="false">Acquisitions!V$100</f>
        <v>2.00376647597127</v>
      </c>
      <c r="W53" s="96" t="n">
        <f aca="false">Acquisitions!W$100</f>
        <v>2.00376647597127</v>
      </c>
      <c r="X53" s="96" t="n">
        <f aca="false">Acquisitions!X$100</f>
        <v>2.00376647597127</v>
      </c>
      <c r="Y53" s="96" t="n">
        <f aca="false">Acquisitions!Y$100</f>
        <v>2.04819191856315</v>
      </c>
      <c r="Z53" s="96" t="n">
        <f aca="false">Acquisitions!Z$100</f>
        <v>2.04819191856315</v>
      </c>
      <c r="AA53" s="96" t="n">
        <f aca="false">Acquisitions!AA$100</f>
        <v>2.04819191856315</v>
      </c>
      <c r="AB53" s="80" t="n">
        <f aca="false">SUM(AC53:AN53)</f>
        <v>33.6892845557481</v>
      </c>
      <c r="AC53" s="96" t="n">
        <f aca="false">Acquisitions!AC$100</f>
        <v>2.04819191856315</v>
      </c>
      <c r="AD53" s="96" t="n">
        <f aca="false">Acquisitions!AD$100</f>
        <v>2.1078149400375</v>
      </c>
      <c r="AE53" s="96" t="n">
        <f aca="false">Acquisitions!AE$100</f>
        <v>2.24636015452255</v>
      </c>
      <c r="AF53" s="96" t="n">
        <f aca="false">Acquisitions!AF$100</f>
        <v>2.32439597667061</v>
      </c>
      <c r="AG53" s="96" t="n">
        <f aca="false">Acquisitions!AG$100</f>
        <v>2.51371273839279</v>
      </c>
      <c r="AH53" s="96" t="n">
        <f aca="false">Acquisitions!AH$100</f>
        <v>2.51371273839279</v>
      </c>
      <c r="AI53" s="96" t="n">
        <f aca="false">Acquisitions!AI$100</f>
        <v>3.28780794187905</v>
      </c>
      <c r="AJ53" s="96" t="n">
        <f aca="false">Acquisitions!AJ$100</f>
        <v>3.28780794187905</v>
      </c>
      <c r="AK53" s="96" t="n">
        <f aca="false">Acquisitions!AK$100</f>
        <v>3.28780794187905</v>
      </c>
      <c r="AL53" s="96" t="n">
        <f aca="false">Acquisitions!AL$100</f>
        <v>3.35722408784385</v>
      </c>
      <c r="AM53" s="96" t="n">
        <f aca="false">Acquisitions!AM$100</f>
        <v>3.35722408784385</v>
      </c>
      <c r="AN53" s="96" t="n">
        <f aca="false">Acquisitions!AN$100</f>
        <v>3.35722408784385</v>
      </c>
      <c r="AO53" s="80" t="n">
        <f aca="false">SUM(AP53:BA53)</f>
        <v>48.8776216139969</v>
      </c>
      <c r="AP53" s="96" t="n">
        <f aca="false">Acquisitions!AP$100</f>
        <v>3.35722408784385</v>
      </c>
      <c r="AQ53" s="96" t="n">
        <f aca="false">Acquisitions!AQ$100</f>
        <v>3.40193552890175</v>
      </c>
      <c r="AR53" s="96" t="n">
        <f aca="false">Acquisitions!AR$100</f>
        <v>3.52692912747004</v>
      </c>
      <c r="AS53" s="96" t="n">
        <f aca="false">Acquisitions!AS$100</f>
        <v>3.63139561197163</v>
      </c>
      <c r="AT53" s="96" t="n">
        <f aca="false">Acquisitions!AT$100</f>
        <v>3.80708359102128</v>
      </c>
      <c r="AU53" s="96" t="n">
        <f aca="false">Acquisitions!AU$100</f>
        <v>3.80708359102128</v>
      </c>
      <c r="AV53" s="96" t="n">
        <f aca="false">Acquisitions!AV$100</f>
        <v>4.52545221646874</v>
      </c>
      <c r="AW53" s="96" t="n">
        <f aca="false">Acquisitions!AW$100</f>
        <v>4.52545221646874</v>
      </c>
      <c r="AX53" s="96" t="n">
        <f aca="false">Acquisitions!AX$100</f>
        <v>4.52545221646874</v>
      </c>
      <c r="AY53" s="96" t="n">
        <f aca="false">Acquisitions!AY$100</f>
        <v>4.58987114212028</v>
      </c>
      <c r="AZ53" s="96" t="n">
        <f aca="false">Acquisitions!AZ$100</f>
        <v>4.58987114212028</v>
      </c>
      <c r="BA53" s="96" t="n">
        <f aca="false">Acquisitions!BA$100</f>
        <v>4.58987114212028</v>
      </c>
      <c r="BB53" s="80" t="n">
        <f aca="false">SUM(BC53:BN53)</f>
        <v>64.2477110917914</v>
      </c>
      <c r="BC53" s="96" t="n">
        <f aca="false">Acquisitions!BC$100</f>
        <v>4.58987114212028</v>
      </c>
      <c r="BD53" s="96" t="n">
        <f aca="false">Acquisitions!BD$100</f>
        <v>4.64785678603971</v>
      </c>
      <c r="BE53" s="96" t="n">
        <f aca="false">Acquisitions!BE$100</f>
        <v>4.79499474952259</v>
      </c>
      <c r="BF53" s="96" t="n">
        <f aca="false">Acquisitions!BF$100</f>
        <v>4.8978865413492</v>
      </c>
      <c r="BG53" s="96" t="n">
        <f aca="false">Acquisitions!BG$100</f>
        <v>5.08026541772084</v>
      </c>
      <c r="BH53" s="96" t="n">
        <f aca="false">Acquisitions!BH$100</f>
        <v>5.08026541772084</v>
      </c>
      <c r="BI53" s="96" t="n">
        <f aca="false">Acquisitions!BI$100</f>
        <v>5.82599237888486</v>
      </c>
      <c r="BJ53" s="96" t="n">
        <f aca="false">Acquisitions!BJ$100</f>
        <v>5.82599237888486</v>
      </c>
      <c r="BK53" s="96" t="n">
        <f aca="false">Acquisitions!BK$100</f>
        <v>5.82599237888486</v>
      </c>
      <c r="BL53" s="96" t="n">
        <f aca="false">Acquisitions!BL$100</f>
        <v>5.89286463355446</v>
      </c>
      <c r="BM53" s="96" t="n">
        <f aca="false">Acquisitions!BM$100</f>
        <v>5.89286463355446</v>
      </c>
      <c r="BN53" s="96" t="n">
        <f aca="false">Acquisitions!BN$100</f>
        <v>5.89286463355446</v>
      </c>
    </row>
    <row r="54" customFormat="false" ht="15" hidden="false" customHeight="false" outlineLevel="0" collapsed="false">
      <c r="A54" s="66" t="s">
        <v>699</v>
      </c>
      <c r="B54" s="87" t="n">
        <f aca="false">N54</f>
        <v>12.6857810390181</v>
      </c>
      <c r="C54" s="88" t="n">
        <f aca="false">Acquisitions!C$113+Acquisitions!C$115+Acquisitions!C$117+Acquisitions!C$119+Acquisitions!C$121+Acquisitions!C$123+Acquisitions!C$125+Acquisitions!C$127+Acquisitions!C$129+Acquisitions!C$131+Acquisitions!C$133+Acquisitions!C$135+Acquisitions!C$137</f>
        <v>3</v>
      </c>
      <c r="D54" s="88" t="n">
        <f aca="false">Acquisitions!D$113+Acquisitions!D$115+Acquisitions!D$117+Acquisitions!D$119+Acquisitions!D$121+Acquisitions!D$123+Acquisitions!D$125+Acquisitions!D$127+Acquisitions!D$129+Acquisitions!D$131+Acquisitions!D$133+Acquisitions!D$135+Acquisitions!D$137</f>
        <v>4.8</v>
      </c>
      <c r="E54" s="88" t="n">
        <f aca="false">Acquisitions!E$113+Acquisitions!E$115+Acquisitions!E$117+Acquisitions!E$119+Acquisitions!E$121+Acquisitions!E$123+Acquisitions!E$125+Acquisitions!E$127+Acquisitions!E$129+Acquisitions!E$131+Acquisitions!E$133+Acquisitions!E$135+Acquisitions!E$137</f>
        <v>6</v>
      </c>
      <c r="F54" s="88" t="n">
        <f aca="false">Acquisitions!F$113+Acquisitions!F$115+Acquisitions!F$117+Acquisitions!F$119+Acquisitions!F$121+Acquisitions!F$123+Acquisitions!F$125+Acquisitions!F$127+Acquisitions!F$129+Acquisitions!F$131+Acquisitions!F$133+Acquisitions!F$135+Acquisitions!F$137</f>
        <v>6</v>
      </c>
      <c r="G54" s="88" t="n">
        <f aca="false">Acquisitions!G$113+Acquisitions!G$115+Acquisitions!G$117+Acquisitions!G$119+Acquisitions!G$121+Acquisitions!G$123+Acquisitions!G$125+Acquisitions!G$127+Acquisitions!G$129+Acquisitions!G$131+Acquisitions!G$133+Acquisitions!G$135+Acquisitions!G$137</f>
        <v>6.20550556472392</v>
      </c>
      <c r="H54" s="88" t="n">
        <f aca="false">Acquisitions!H$113+Acquisitions!H$115+Acquisitions!H$117+Acquisitions!H$119+Acquisitions!H$121+Acquisitions!H$123+Acquisitions!H$125+Acquisitions!H$127+Acquisitions!H$129+Acquisitions!H$131+Acquisitions!H$133+Acquisitions!H$135+Acquisitions!H$137</f>
        <v>6.41101112944783</v>
      </c>
      <c r="I54" s="88" t="n">
        <f aca="false">Acquisitions!I$113+Acquisitions!I$115+Acquisitions!I$117+Acquisitions!I$119+Acquisitions!I$121+Acquisitions!I$123+Acquisitions!I$125+Acquisitions!I$127+Acquisitions!I$129+Acquisitions!I$131+Acquisitions!I$133+Acquisitions!I$135+Acquisitions!I$137</f>
        <v>7.45680611437621</v>
      </c>
      <c r="J54" s="88" t="n">
        <f aca="false">Acquisitions!J$113+Acquisitions!J$115+Acquisitions!J$117+Acquisitions!J$119+Acquisitions!J$121+Acquisitions!J$123+Acquisitions!J$125+Acquisitions!J$127+Acquisitions!J$129+Acquisitions!J$131+Acquisitions!J$133+Acquisitions!J$135+Acquisitions!J$137</f>
        <v>8.50260109930458</v>
      </c>
      <c r="K54" s="88" t="n">
        <f aca="false">Acquisitions!K$113+Acquisitions!K$115+Acquisitions!K$117+Acquisitions!K$119+Acquisitions!K$121+Acquisitions!K$123+Acquisitions!K$125+Acquisitions!K$127+Acquisitions!K$129+Acquisitions!K$131+Acquisitions!K$133+Acquisitions!K$135+Acquisitions!K$137</f>
        <v>9.54839608423295</v>
      </c>
      <c r="L54" s="88" t="n">
        <f aca="false">Acquisitions!L$113+Acquisitions!L$115+Acquisitions!L$117+Acquisitions!L$119+Acquisitions!L$121+Acquisitions!L$123+Acquisitions!L$125+Acquisitions!L$127+Acquisitions!L$129+Acquisitions!L$131+Acquisitions!L$133+Acquisitions!L$135+Acquisitions!L$137</f>
        <v>10.5941910691613</v>
      </c>
      <c r="M54" s="88" t="n">
        <f aca="false">Acquisitions!M$113+Acquisitions!M$115+Acquisitions!M$117+Acquisitions!M$119+Acquisitions!M$121+Acquisitions!M$123+Acquisitions!M$125+Acquisitions!M$127+Acquisitions!M$129+Acquisitions!M$131+Acquisitions!M$133+Acquisitions!M$135+Acquisitions!M$137</f>
        <v>11.6399860540897</v>
      </c>
      <c r="N54" s="88" t="n">
        <f aca="false">Acquisitions!N$113+Acquisitions!N$115+Acquisitions!N$117+Acquisitions!N$119+Acquisitions!N$121+Acquisitions!N$123+Acquisitions!N$125+Acquisitions!N$127+Acquisitions!N$129+Acquisitions!N$131+Acquisitions!N$133+Acquisitions!N$135+Acquisitions!N$137</f>
        <v>12.6857810390181</v>
      </c>
      <c r="O54" s="87" t="n">
        <f aca="false">AA54</f>
        <v>31.7079430885234</v>
      </c>
      <c r="P54" s="88" t="n">
        <f aca="false">Acquisitions!P$113+Acquisitions!P$115+Acquisitions!P$117+Acquisitions!P$119+Acquisitions!P$121+Acquisitions!P$123+Acquisitions!P$125+Acquisitions!P$127+Acquisitions!P$129+Acquisitions!P$131+Acquisitions!P$133+Acquisitions!P$135+Acquisitions!P$137</f>
        <v>13.8069280643452</v>
      </c>
      <c r="Q54" s="88" t="n">
        <f aca="false">Acquisitions!Q$113+Acquisitions!Q$115+Acquisitions!Q$117+Acquisitions!Q$119+Acquisitions!Q$121+Acquisitions!Q$123+Acquisitions!Q$125+Acquisitions!Q$127+Acquisitions!Q$129+Acquisitions!Q$131+Acquisitions!Q$133+Acquisitions!Q$135+Acquisitions!Q$137</f>
        <v>14.9668928074535</v>
      </c>
      <c r="R54" s="88" t="n">
        <f aca="false">Acquisitions!R$113+Acquisitions!R$115+Acquisitions!R$117+Acquisitions!R$119+Acquisitions!R$121+Acquisitions!R$123+Acquisitions!R$125+Acquisitions!R$127+Acquisitions!R$129+Acquisitions!R$131+Acquisitions!R$133+Acquisitions!R$135+Acquisitions!R$137</f>
        <v>16.24419144204</v>
      </c>
      <c r="S54" s="88" t="n">
        <f aca="false">Acquisitions!S$113+Acquisitions!S$115+Acquisitions!S$117+Acquisitions!S$119+Acquisitions!S$121+Acquisitions!S$123+Acquisitions!S$125+Acquisitions!S$127+Acquisitions!S$129+Acquisitions!S$131+Acquisitions!S$133+Acquisitions!S$135+Acquisitions!S$137</f>
        <v>17.6313866238573</v>
      </c>
      <c r="T54" s="88" t="n">
        <f aca="false">Acquisitions!T$113+Acquisitions!T$115+Acquisitions!T$117+Acquisitions!T$119+Acquisitions!T$121+Acquisitions!T$123+Acquisitions!T$125+Acquisitions!T$127+Acquisitions!T$129+Acquisitions!T$131+Acquisitions!T$133+Acquisitions!T$135+Acquisitions!T$137</f>
        <v>19.1397421036525</v>
      </c>
      <c r="U54" s="88" t="n">
        <f aca="false">Acquisitions!U$113+Acquisitions!U$115+Acquisitions!U$117+Acquisitions!U$119+Acquisitions!U$121+Acquisitions!U$123+Acquisitions!U$125+Acquisitions!U$127+Acquisitions!U$129+Acquisitions!U$131+Acquisitions!U$133+Acquisitions!U$135+Acquisitions!U$137</f>
        <v>20.6480975834477</v>
      </c>
      <c r="V54" s="88" t="n">
        <f aca="false">Acquisitions!V$113+Acquisitions!V$115+Acquisitions!V$117+Acquisitions!V$119+Acquisitions!V$121+Acquisitions!V$123+Acquisitions!V$125+Acquisitions!V$127+Acquisitions!V$129+Acquisitions!V$131+Acquisitions!V$133+Acquisitions!V$135+Acquisitions!V$137</f>
        <v>22.469192446331</v>
      </c>
      <c r="W54" s="88" t="n">
        <f aca="false">Acquisitions!W$113+Acquisitions!W$115+Acquisitions!W$117+Acquisitions!W$119+Acquisitions!W$121+Acquisitions!W$123+Acquisitions!W$125+Acquisitions!W$127+Acquisitions!W$129+Acquisitions!W$131+Acquisitions!W$133+Acquisitions!W$135+Acquisitions!W$137</f>
        <v>24.2902873092144</v>
      </c>
      <c r="X54" s="88" t="n">
        <f aca="false">Acquisitions!X$113+Acquisitions!X$115+Acquisitions!X$117+Acquisitions!X$119+Acquisitions!X$121+Acquisitions!X$123+Acquisitions!X$125+Acquisitions!X$127+Acquisitions!X$129+Acquisitions!X$131+Acquisitions!X$133+Acquisitions!X$135+Acquisitions!X$137</f>
        <v>26.1113821720977</v>
      </c>
      <c r="Y54" s="88" t="n">
        <f aca="false">Acquisitions!Y$113+Acquisitions!Y$115+Acquisitions!Y$117+Acquisitions!Y$119+Acquisitions!Y$121+Acquisitions!Y$123+Acquisitions!Y$125+Acquisitions!Y$127+Acquisitions!Y$129+Acquisitions!Y$131+Acquisitions!Y$133+Acquisitions!Y$135+Acquisitions!Y$137</f>
        <v>27.9769024775729</v>
      </c>
      <c r="Z54" s="88" t="n">
        <f aca="false">Acquisitions!Z$113+Acquisitions!Z$115+Acquisitions!Z$117+Acquisitions!Z$119+Acquisitions!Z$121+Acquisitions!Z$123+Acquisitions!Z$125+Acquisitions!Z$127+Acquisitions!Z$129+Acquisitions!Z$131+Acquisitions!Z$133+Acquisitions!Z$135+Acquisitions!Z$137</f>
        <v>29.8424227830482</v>
      </c>
      <c r="AA54" s="88" t="n">
        <f aca="false">Acquisitions!AA$113+Acquisitions!AA$115+Acquisitions!AA$117+Acquisitions!AA$119+Acquisitions!AA$121+Acquisitions!AA$123+Acquisitions!AA$125+Acquisitions!AA$127+Acquisitions!AA$129+Acquisitions!AA$131+Acquisitions!AA$133+Acquisitions!AA$135+Acquisitions!AA$137</f>
        <v>31.7079430885234</v>
      </c>
      <c r="AB54" s="87" t="n">
        <f aca="false">AN54</f>
        <v>48.2464071294985</v>
      </c>
      <c r="AC54" s="88" t="n">
        <f aca="false">Acquisitions!AC$113+Acquisitions!AC$115+Acquisitions!AC$117+Acquisitions!AC$119+Acquisitions!AC$121+Acquisitions!AC$123+Acquisitions!AC$125+Acquisitions!AC$127+Acquisitions!AC$129+Acquisitions!AC$131+Acquisitions!AC$133+Acquisitions!AC$135+Acquisitions!AC$137</f>
        <v>30.4354810862554</v>
      </c>
      <c r="AD54" s="88" t="n">
        <f aca="false">Acquisitions!AD$113+Acquisitions!AD$115+Acquisitions!AD$117+Acquisitions!AD$119+Acquisitions!AD$121+Acquisitions!AD$123+Acquisitions!AD$125+Acquisitions!AD$127+Acquisitions!AD$129+Acquisitions!AD$131+Acquisitions!AD$133+Acquisitions!AD$135+Acquisitions!AD$137</f>
        <v>30.404374944153</v>
      </c>
      <c r="AE54" s="88" t="n">
        <f aca="false">Acquisitions!AE$113+Acquisitions!AE$115+Acquisitions!AE$117+Acquisitions!AE$119+Acquisitions!AE$121+Acquisitions!AE$123+Acquisitions!AE$125+Acquisitions!AE$127+Acquisitions!AE$129+Acquisitions!AE$131+Acquisitions!AE$133+Acquisitions!AE$135+Acquisitions!AE$137</f>
        <v>31.0980157857613</v>
      </c>
      <c r="AF54" s="88" t="n">
        <f aca="false">Acquisitions!AF$113+Acquisitions!AF$115+Acquisitions!AF$117+Acquisitions!AF$119+Acquisitions!AF$121+Acquisitions!AF$123+Acquisitions!AF$125+Acquisitions!AF$127+Acquisitions!AF$129+Acquisitions!AF$131+Acquisitions!AF$133+Acquisitions!AF$135+Acquisitions!AF$137</f>
        <v>33.0696924495177</v>
      </c>
      <c r="AG54" s="88" t="n">
        <f aca="false">Acquisitions!AG$113+Acquisitions!AG$115+Acquisitions!AG$117+Acquisitions!AG$119+Acquisitions!AG$121+Acquisitions!AG$123+Acquisitions!AG$125+Acquisitions!AG$127+Acquisitions!AG$129+Acquisitions!AG$131+Acquisitions!AG$133+Acquisitions!AG$135+Acquisitions!AG$137</f>
        <v>35.0251803102723</v>
      </c>
      <c r="AH54" s="88" t="n">
        <f aca="false">Acquisitions!AH$113+Acquisitions!AH$115+Acquisitions!AH$117+Acquisitions!AH$119+Acquisitions!AH$121+Acquisitions!AH$123+Acquisitions!AH$125+Acquisitions!AH$127+Acquisitions!AH$129+Acquisitions!AH$131+Acquisitions!AH$133+Acquisitions!AH$135+Acquisitions!AH$137</f>
        <v>36.9806681710269</v>
      </c>
      <c r="AI54" s="88" t="n">
        <f aca="false">Acquisitions!AI$113+Acquisitions!AI$115+Acquisitions!AI$117+Acquisitions!AI$119+Acquisitions!AI$121+Acquisitions!AI$123+Acquisitions!AI$125+Acquisitions!AI$127+Acquisitions!AI$129+Acquisitions!AI$131+Acquisitions!AI$133+Acquisitions!AI$135+Acquisitions!AI$137</f>
        <v>38.9080103423111</v>
      </c>
      <c r="AJ54" s="88" t="n">
        <f aca="false">Acquisitions!AJ$113+Acquisitions!AJ$115+Acquisitions!AJ$117+Acquisitions!AJ$119+Acquisitions!AJ$121+Acquisitions!AJ$123+Acquisitions!AJ$125+Acquisitions!AJ$127+Acquisitions!AJ$129+Acquisitions!AJ$131+Acquisitions!AJ$133+Acquisitions!AJ$135+Acquisitions!AJ$137</f>
        <v>40.8353525135952</v>
      </c>
      <c r="AK54" s="88" t="n">
        <f aca="false">Acquisitions!AK$113+Acquisitions!AK$115+Acquisitions!AK$117+Acquisitions!AK$119+Acquisitions!AK$121+Acquisitions!AK$123+Acquisitions!AK$125+Acquisitions!AK$127+Acquisitions!AK$129+Acquisitions!AK$131+Acquisitions!AK$133+Acquisitions!AK$135+Acquisitions!AK$137</f>
        <v>42.7494836128614</v>
      </c>
      <c r="AL54" s="88" t="n">
        <f aca="false">Acquisitions!AL$113+Acquisitions!AL$115+Acquisitions!AL$117+Acquisitions!AL$119+Acquisitions!AL$121+Acquisitions!AL$123+Acquisitions!AL$125+Acquisitions!AL$127+Acquisitions!AL$129+Acquisitions!AL$131+Acquisitions!AL$133+Acquisitions!AL$135+Acquisitions!AL$137</f>
        <v>44.5817914517404</v>
      </c>
      <c r="AM54" s="88" t="n">
        <f aca="false">Acquisitions!AM$113+Acquisitions!AM$115+Acquisitions!AM$117+Acquisitions!AM$119+Acquisitions!AM$121+Acquisitions!AM$123+Acquisitions!AM$125+Acquisitions!AM$127+Acquisitions!AM$129+Acquisitions!AM$131+Acquisitions!AM$133+Acquisitions!AM$135+Acquisitions!AM$137</f>
        <v>46.4140992906194</v>
      </c>
      <c r="AN54" s="88" t="n">
        <f aca="false">Acquisitions!AN$113+Acquisitions!AN$115+Acquisitions!AN$117+Acquisitions!AN$119+Acquisitions!AN$121+Acquisitions!AN$123+Acquisitions!AN$125+Acquisitions!AN$127+Acquisitions!AN$129+Acquisitions!AN$131+Acquisitions!AN$133+Acquisitions!AN$135+Acquisitions!AN$137</f>
        <v>48.2464071294985</v>
      </c>
      <c r="AO54" s="87" t="n">
        <f aca="false">BA54</f>
        <v>72.5646206114405</v>
      </c>
      <c r="AP54" s="88" t="n">
        <f aca="false">Acquisitions!AP$113+Acquisitions!AP$115+Acquisitions!AP$117+Acquisitions!AP$119+Acquisitions!AP$121+Acquisitions!AP$123+Acquisitions!AP$125+Acquisitions!AP$127+Acquisitions!AP$129+Acquisitions!AP$131+Acquisitions!AP$133+Acquisitions!AP$135+Acquisitions!AP$137</f>
        <v>50.1138324680312</v>
      </c>
      <c r="AQ54" s="88" t="n">
        <f aca="false">Acquisitions!AQ$113+Acquisitions!AQ$115+Acquisitions!AQ$117+Acquisitions!AQ$119+Acquisitions!AQ$121+Acquisitions!AQ$123+Acquisitions!AQ$125+Acquisitions!AQ$127+Acquisitions!AQ$129+Acquisitions!AQ$131+Acquisitions!AQ$133+Acquisitions!AQ$135+Acquisitions!AQ$137</f>
        <v>51.9773607986909</v>
      </c>
      <c r="AR54" s="88" t="n">
        <f aca="false">Acquisitions!AR$113+Acquisitions!AR$115+Acquisitions!AR$117+Acquisitions!AR$119+Acquisitions!AR$121+Acquisitions!AR$123+Acquisitions!AR$125+Acquisitions!AR$127+Acquisitions!AR$129+Acquisitions!AR$131+Acquisitions!AR$133+Acquisitions!AR$135+Acquisitions!AR$137</f>
        <v>53.8518632490518</v>
      </c>
      <c r="AS54" s="88" t="n">
        <f aca="false">Acquisitions!AS$113+Acquisitions!AS$115+Acquisitions!AS$117+Acquisitions!AS$119+Acquisitions!AS$121+Acquisitions!AS$123+Acquisitions!AS$125+Acquisitions!AS$127+Acquisitions!AS$129+Acquisitions!AS$131+Acquisitions!AS$133+Acquisitions!AS$135+Acquisitions!AS$137</f>
        <v>55.8277496004435</v>
      </c>
      <c r="AT54" s="88" t="n">
        <f aca="false">Acquisitions!AT$113+Acquisitions!AT$115+Acquisitions!AT$117+Acquisitions!AT$119+Acquisitions!AT$121+Acquisitions!AT$123+Acquisitions!AT$125+Acquisitions!AT$127+Acquisitions!AT$129+Acquisitions!AT$131+Acquisitions!AT$133+Acquisitions!AT$135+Acquisitions!AT$137</f>
        <v>57.858163632907</v>
      </c>
      <c r="AU54" s="88" t="n">
        <f aca="false">Acquisitions!AU$113+Acquisitions!AU$115+Acquisitions!AU$117+Acquisitions!AU$119+Acquisitions!AU$121+Acquisitions!AU$123+Acquisitions!AU$125+Acquisitions!AU$127+Acquisitions!AU$129+Acquisitions!AU$131+Acquisitions!AU$133+Acquisitions!AU$135+Acquisitions!AU$137</f>
        <v>59.8885776653706</v>
      </c>
      <c r="AV54" s="88" t="n">
        <f aca="false">Acquisitions!AV$113+Acquisitions!AV$115+Acquisitions!AV$117+Acquisitions!AV$119+Acquisitions!AV$121+Acquisitions!AV$123+Acquisitions!AV$125+Acquisitions!AV$127+Acquisitions!AV$129+Acquisitions!AV$131+Acquisitions!AV$133+Acquisitions!AV$135+Acquisitions!AV$137</f>
        <v>62.0455932104691</v>
      </c>
      <c r="AW54" s="88" t="n">
        <f aca="false">Acquisitions!AW$113+Acquisitions!AW$115+Acquisitions!AW$117+Acquisitions!AW$119+Acquisitions!AW$121+Acquisitions!AW$123+Acquisitions!AW$125+Acquisitions!AW$127+Acquisitions!AW$129+Acquisitions!AW$131+Acquisitions!AW$133+Acquisitions!AW$135+Acquisitions!AW$137</f>
        <v>64.2026087555676</v>
      </c>
      <c r="AX54" s="88" t="n">
        <f aca="false">Acquisitions!AX$113+Acquisitions!AX$115+Acquisitions!AX$117+Acquisitions!AX$119+Acquisitions!AX$121+Acquisitions!AX$123+Acquisitions!AX$125+Acquisitions!AX$127+Acquisitions!AX$129+Acquisitions!AX$131+Acquisitions!AX$133+Acquisitions!AX$135+Acquisitions!AX$137</f>
        <v>66.3518354243675</v>
      </c>
      <c r="AY54" s="88" t="n">
        <f aca="false">Acquisitions!AY$113+Acquisitions!AY$115+Acquisitions!AY$117+Acquisitions!AY$119+Acquisitions!AY$121+Acquisitions!AY$123+Acquisitions!AY$125+Acquisitions!AY$127+Acquisitions!AY$129+Acquisitions!AY$131+Acquisitions!AY$133+Acquisitions!AY$135+Acquisitions!AY$137</f>
        <v>68.4227638200585</v>
      </c>
      <c r="AZ54" s="88" t="n">
        <f aca="false">Acquisitions!AZ$113+Acquisitions!AZ$115+Acquisitions!AZ$117+Acquisitions!AZ$119+Acquisitions!AZ$121+Acquisitions!AZ$123+Acquisitions!AZ$125+Acquisitions!AZ$127+Acquisitions!AZ$129+Acquisitions!AZ$131+Acquisitions!AZ$133+Acquisitions!AZ$135+Acquisitions!AZ$137</f>
        <v>70.4936922157495</v>
      </c>
      <c r="BA54" s="88" t="n">
        <f aca="false">Acquisitions!BA$113+Acquisitions!BA$115+Acquisitions!BA$117+Acquisitions!BA$119+Acquisitions!BA$121+Acquisitions!BA$123+Acquisitions!BA$125+Acquisitions!BA$127+Acquisitions!BA$129+Acquisitions!BA$131+Acquisitions!BA$133+Acquisitions!BA$135+Acquisitions!BA$137</f>
        <v>72.5646206114405</v>
      </c>
      <c r="BB54" s="87" t="n">
        <f aca="false">BN54</f>
        <v>98.4458885497838</v>
      </c>
      <c r="BC54" s="88" t="n">
        <f aca="false">Acquisitions!BC$113+Acquisitions!BC$115+Acquisitions!BC$117+Acquisitions!BC$119+Acquisitions!BC$121+Acquisitions!BC$123+Acquisitions!BC$125+Acquisitions!BC$127+Acquisitions!BC$129+Acquisitions!BC$131+Acquisitions!BC$133+Acquisitions!BC$135+Acquisitions!BC$137</f>
        <v>74.6630617748222</v>
      </c>
      <c r="BD54" s="88" t="n">
        <f aca="false">Acquisitions!BD$113+Acquisitions!BD$115+Acquisitions!BD$117+Acquisitions!BD$119+Acquisitions!BD$121+Acquisitions!BD$123+Acquisitions!BD$125+Acquisitions!BD$127+Acquisitions!BD$129+Acquisitions!BD$131+Acquisitions!BD$133+Acquisitions!BD$135+Acquisitions!BD$137</f>
        <v>76.7668827749627</v>
      </c>
      <c r="BE54" s="88" t="n">
        <f aca="false">Acquisitions!BE$113+Acquisitions!BE$115+Acquisitions!BE$117+Acquisitions!BE$119+Acquisitions!BE$121+Acquisitions!BE$123+Acquisitions!BE$125+Acquisitions!BE$127+Acquisitions!BE$129+Acquisitions!BE$131+Acquisitions!BE$133+Acquisitions!BE$135+Acquisitions!BE$137</f>
        <v>78.8930114378873</v>
      </c>
      <c r="BF54" s="88" t="n">
        <f aca="false">Acquisitions!BF$113+Acquisitions!BF$115+Acquisitions!BF$117+Acquisitions!BF$119+Acquisitions!BF$121+Acquisitions!BF$123+Acquisitions!BF$125+Acquisitions!BF$127+Acquisitions!BF$129+Acquisitions!BF$131+Acquisitions!BF$133+Acquisitions!BF$135+Acquisitions!BF$137</f>
        <v>81.1172971232863</v>
      </c>
      <c r="BG54" s="88" t="n">
        <f aca="false">Acquisitions!BG$113+Acquisitions!BG$115+Acquisitions!BG$117+Acquisitions!BG$119+Acquisitions!BG$121+Acquisitions!BG$123+Acquisitions!BG$125+Acquisitions!BG$127+Acquisitions!BG$129+Acquisitions!BG$131+Acquisitions!BG$133+Acquisitions!BG$135+Acquisitions!BG$137</f>
        <v>83.3346449233347</v>
      </c>
      <c r="BH54" s="88" t="n">
        <f aca="false">Acquisitions!BH$113+Acquisitions!BH$115+Acquisitions!BH$117+Acquisitions!BH$119+Acquisitions!BH$121+Acquisitions!BH$123+Acquisitions!BH$125+Acquisitions!BH$127+Acquisitions!BH$129+Acquisitions!BH$131+Acquisitions!BH$133+Acquisitions!BH$135+Acquisitions!BH$137</f>
        <v>85.5519927233831</v>
      </c>
      <c r="BI54" s="88" t="n">
        <f aca="false">Acquisitions!BI$113+Acquisitions!BI$115+Acquisitions!BI$117+Acquisitions!BI$119+Acquisitions!BI$121+Acquisitions!BI$123+Acquisitions!BI$125+Acquisitions!BI$127+Acquisitions!BI$129+Acquisitions!BI$131+Acquisitions!BI$133+Acquisitions!BI$135+Acquisitions!BI$137</f>
        <v>87.7583202071422</v>
      </c>
      <c r="BJ54" s="88" t="n">
        <f aca="false">Acquisitions!BJ$113+Acquisitions!BJ$115+Acquisitions!BJ$117+Acquisitions!BJ$119+Acquisitions!BJ$121+Acquisitions!BJ$123+Acquisitions!BJ$125+Acquisitions!BJ$127+Acquisitions!BJ$129+Acquisitions!BJ$131+Acquisitions!BJ$133+Acquisitions!BJ$135+Acquisitions!BJ$137</f>
        <v>89.9646476909013</v>
      </c>
      <c r="BK54" s="88" t="n">
        <f aca="false">Acquisitions!BK$113+Acquisitions!BK$115+Acquisitions!BK$117+Acquisitions!BK$119+Acquisitions!BK$121+Acquisitions!BK$123+Acquisitions!BK$125+Acquisitions!BK$127+Acquisitions!BK$129+Acquisitions!BK$131+Acquisitions!BK$133+Acquisitions!BK$135+Acquisitions!BK$137</f>
        <v>92.1588048114069</v>
      </c>
      <c r="BL54" s="88" t="n">
        <f aca="false">Acquisitions!BL$113+Acquisitions!BL$115+Acquisitions!BL$117+Acquisitions!BL$119+Acquisitions!BL$121+Acquisitions!BL$123+Acquisitions!BL$125+Acquisitions!BL$127+Acquisitions!BL$129+Acquisitions!BL$131+Acquisitions!BL$133+Acquisitions!BL$135+Acquisitions!BL$137</f>
        <v>94.2544993908658</v>
      </c>
      <c r="BM54" s="88" t="n">
        <f aca="false">Acquisitions!BM$113+Acquisitions!BM$115+Acquisitions!BM$117+Acquisitions!BM$119+Acquisitions!BM$121+Acquisitions!BM$123+Acquisitions!BM$125+Acquisitions!BM$127+Acquisitions!BM$129+Acquisitions!BM$131+Acquisitions!BM$133+Acquisitions!BM$135+Acquisitions!BM$137</f>
        <v>96.3501939703248</v>
      </c>
      <c r="BN54" s="88" t="n">
        <f aca="false">Acquisitions!BN$113+Acquisitions!BN$115+Acquisitions!BN$117+Acquisitions!BN$119+Acquisitions!BN$121+Acquisitions!BN$123+Acquisitions!BN$125+Acquisitions!BN$127+Acquisitions!BN$129+Acquisitions!BN$131+Acquisitions!BN$133+Acquisitions!BN$135+Acquisitions!BN$137</f>
        <v>98.4458885497838</v>
      </c>
    </row>
    <row r="55" customFormat="false" ht="15" hidden="false" customHeight="false" outlineLevel="0" collapsed="false">
      <c r="A55" s="12" t="s">
        <v>700</v>
      </c>
      <c r="B55" s="64" t="n">
        <f aca="false">IFERROR(AVERAGE(C55:N55),0)</f>
        <v>2140.8699304799</v>
      </c>
      <c r="C55" s="76" t="n">
        <f aca="false">Acquisitions!C$153</f>
        <v>0</v>
      </c>
      <c r="D55" s="76" t="n">
        <f aca="false">Acquisitions!D$153</f>
        <v>0</v>
      </c>
      <c r="E55" s="76" t="n">
        <f aca="false">Acquisitions!E$153</f>
        <v>0</v>
      </c>
      <c r="F55" s="76" t="n">
        <f aca="false">Acquisitions!F$153</f>
        <v>10111.6483283149</v>
      </c>
      <c r="G55" s="76" t="n">
        <f aca="false">Acquisitions!G$153</f>
        <v>2407.53531626546</v>
      </c>
      <c r="H55" s="76" t="n">
        <f aca="false">Acquisitions!H$153</f>
        <v>1987.00513001822</v>
      </c>
      <c r="I55" s="76" t="n">
        <f aca="false">Acquisitions!I$153</f>
        <v>1987.00513001822</v>
      </c>
      <c r="J55" s="76" t="n">
        <f aca="false">Acquisitions!J$153</f>
        <v>1853.45896038359</v>
      </c>
      <c r="K55" s="76" t="n">
        <f aca="false">Acquisitions!K$153</f>
        <v>1853.45896038359</v>
      </c>
      <c r="L55" s="76" t="n">
        <f aca="false">Acquisitions!L$153</f>
        <v>1853.45896038359</v>
      </c>
      <c r="M55" s="76" t="n">
        <f aca="false">Acquisitions!M$153</f>
        <v>1853.45896038359</v>
      </c>
      <c r="N55" s="76" t="n">
        <f aca="false">Acquisitions!N$153</f>
        <v>1783.40941960761</v>
      </c>
      <c r="O55" s="64" t="n">
        <f aca="false">IFERROR(AVERAGE(P55:AA55),0)</f>
        <v>3099.88164520165</v>
      </c>
      <c r="P55" s="76" t="n">
        <f aca="false">Acquisitions!P$153</f>
        <v>3951.49873056708</v>
      </c>
      <c r="Q55" s="76" t="n">
        <f aca="false">Acquisitions!Q$153</f>
        <v>3951.49873056708</v>
      </c>
      <c r="R55" s="76" t="n">
        <f aca="false">Acquisitions!R$153</f>
        <v>3951.49873056708</v>
      </c>
      <c r="S55" s="76" t="n">
        <f aca="false">Acquisitions!S$153</f>
        <v>3634.09028801639</v>
      </c>
      <c r="T55" s="76" t="n">
        <f aca="false">Acquisitions!T$153</f>
        <v>2890.98215215235</v>
      </c>
      <c r="U55" s="76" t="n">
        <f aca="false">Acquisitions!U$153</f>
        <v>2735.59821752332</v>
      </c>
      <c r="V55" s="76" t="n">
        <f aca="false">Acquisitions!V$153</f>
        <v>2735.59821752332</v>
      </c>
      <c r="W55" s="76" t="n">
        <f aca="false">Acquisitions!W$153</f>
        <v>2676.26287864928</v>
      </c>
      <c r="X55" s="76" t="n">
        <f aca="false">Acquisitions!X$153</f>
        <v>2676.26287864928</v>
      </c>
      <c r="Y55" s="76" t="n">
        <f aca="false">Acquisitions!Y$153</f>
        <v>2676.26287864928</v>
      </c>
      <c r="Z55" s="76" t="n">
        <f aca="false">Acquisitions!Z$153</f>
        <v>2676.26287864928</v>
      </c>
      <c r="AA55" s="76" t="n">
        <f aca="false">Acquisitions!AA$153</f>
        <v>2642.76316090608</v>
      </c>
      <c r="AB55" s="64" t="n">
        <f aca="false">IFERROR(AVERAGE(AC55:AN55),0)</f>
        <v>3847.18287292173</v>
      </c>
      <c r="AC55" s="76" t="n">
        <f aca="false">Acquisitions!AC$153</f>
        <v>4840.6124055146</v>
      </c>
      <c r="AD55" s="76" t="n">
        <f aca="false">Acquisitions!AD$153</f>
        <v>4840.6124055146</v>
      </c>
      <c r="AE55" s="76" t="n">
        <f aca="false">Acquisitions!AE$153</f>
        <v>4840.6124055146</v>
      </c>
      <c r="AF55" s="76" t="n">
        <f aca="false">Acquisitions!AF$153</f>
        <v>4476.0484474427</v>
      </c>
      <c r="AG55" s="76" t="n">
        <f aca="false">Acquisitions!AG$153</f>
        <v>3606.79752122316</v>
      </c>
      <c r="AH55" s="76" t="n">
        <f aca="false">Acquisitions!AH$153</f>
        <v>3422.1889474388</v>
      </c>
      <c r="AI55" s="76" t="n">
        <f aca="false">Acquisitions!AI$153</f>
        <v>3422.1889474388</v>
      </c>
      <c r="AJ55" s="76" t="n">
        <f aca="false">Acquisitions!AJ$153</f>
        <v>3351.42954583833</v>
      </c>
      <c r="AK55" s="76" t="n">
        <f aca="false">Acquisitions!AK$153</f>
        <v>3351.42954583833</v>
      </c>
      <c r="AL55" s="76" t="n">
        <f aca="false">Acquisitions!AL$153</f>
        <v>3351.42954583833</v>
      </c>
      <c r="AM55" s="76" t="n">
        <f aca="false">Acquisitions!AM$153</f>
        <v>3351.42954583833</v>
      </c>
      <c r="AN55" s="76" t="n">
        <f aca="false">Acquisitions!AN$153</f>
        <v>3311.41521162023</v>
      </c>
      <c r="AO55" s="64" t="n">
        <f aca="false">IFERROR(AVERAGE(AP55:BA55),0)</f>
        <v>3870.99858555855</v>
      </c>
      <c r="AP55" s="76" t="n">
        <f aca="false">Acquisitions!AP$153</f>
        <v>4492.76304300592</v>
      </c>
      <c r="AQ55" s="76" t="n">
        <f aca="false">Acquisitions!AQ$153</f>
        <v>4492.76304300592</v>
      </c>
      <c r="AR55" s="76" t="n">
        <f aca="false">Acquisitions!AR$153</f>
        <v>4492.76304300592</v>
      </c>
      <c r="AS55" s="76" t="n">
        <f aca="false">Acquisitions!AS$153</f>
        <v>4285.4325653573</v>
      </c>
      <c r="AT55" s="76" t="n">
        <f aca="false">Acquisitions!AT$153</f>
        <v>3734.02044889623</v>
      </c>
      <c r="AU55" s="76" t="n">
        <f aca="false">Acquisitions!AU$153</f>
        <v>3605.16457131676</v>
      </c>
      <c r="AV55" s="76" t="n">
        <f aca="false">Acquisitions!AV$153</f>
        <v>3605.16457131676</v>
      </c>
      <c r="AW55" s="76" t="n">
        <f aca="false">Acquisitions!AW$153</f>
        <v>3554.5660204446</v>
      </c>
      <c r="AX55" s="76" t="n">
        <f aca="false">Acquisitions!AX$153</f>
        <v>3554.5660204446</v>
      </c>
      <c r="AY55" s="76" t="n">
        <f aca="false">Acquisitions!AY$153</f>
        <v>3554.5660204446</v>
      </c>
      <c r="AZ55" s="76" t="n">
        <f aca="false">Acquisitions!AZ$153</f>
        <v>3554.5660204446</v>
      </c>
      <c r="BA55" s="76" t="n">
        <f aca="false">Acquisitions!BA$153</f>
        <v>3525.64765901938</v>
      </c>
      <c r="BB55" s="64" t="n">
        <f aca="false">IFERROR(AVERAGE(BC55:BN55),0)</f>
        <v>3893.59661998725</v>
      </c>
      <c r="BC55" s="76" t="n">
        <f aca="false">Acquisitions!BC$153</f>
        <v>4382.80875205547</v>
      </c>
      <c r="BD55" s="76" t="n">
        <f aca="false">Acquisitions!BD$153</f>
        <v>4382.80875205547</v>
      </c>
      <c r="BE55" s="76" t="n">
        <f aca="false">Acquisitions!BE$153</f>
        <v>4382.80875205547</v>
      </c>
      <c r="BF55" s="76" t="n">
        <f aca="false">Acquisitions!BF$153</f>
        <v>4225.46820587782</v>
      </c>
      <c r="BG55" s="76" t="n">
        <f aca="false">Acquisitions!BG$153</f>
        <v>3790.07116223469</v>
      </c>
      <c r="BH55" s="76" t="n">
        <f aca="false">Acquisitions!BH$153</f>
        <v>3684.60832145971</v>
      </c>
      <c r="BI55" s="76" t="n">
        <f aca="false">Acquisitions!BI$153</f>
        <v>3684.60832145971</v>
      </c>
      <c r="BJ55" s="76" t="n">
        <f aca="false">Acquisitions!BJ$153</f>
        <v>3642.79536946563</v>
      </c>
      <c r="BK55" s="76" t="n">
        <f aca="false">Acquisitions!BK$153</f>
        <v>3642.79536946563</v>
      </c>
      <c r="BL55" s="76" t="n">
        <f aca="false">Acquisitions!BL$153</f>
        <v>3642.79536946563</v>
      </c>
      <c r="BM55" s="76" t="n">
        <f aca="false">Acquisitions!BM$153</f>
        <v>3642.79536946563</v>
      </c>
      <c r="BN55" s="76" t="n">
        <f aca="false">Acquisitions!BN$153</f>
        <v>3618.79569478611</v>
      </c>
    </row>
    <row r="58" customFormat="false" ht="16.5" hidden="false" customHeight="true" outlineLevel="0" collapsed="false">
      <c r="A58" s="15" t="s">
        <v>701</v>
      </c>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row>
    <row r="59" customFormat="false" ht="15" hidden="false" customHeight="false" outlineLevel="0" collapsed="false">
      <c r="A59" s="71" t="s">
        <v>702</v>
      </c>
    </row>
    <row r="60" customFormat="false" ht="30" hidden="false" customHeight="true" outlineLevel="0" collapsed="false">
      <c r="A60" s="48" t="s">
        <v>265</v>
      </c>
      <c r="B60" s="48" t="s">
        <v>703</v>
      </c>
      <c r="C60" s="48" t="s">
        <v>270</v>
      </c>
      <c r="D60" s="48" t="s">
        <v>704</v>
      </c>
      <c r="E60" s="48" t="s">
        <v>705</v>
      </c>
      <c r="F60" s="48" t="s">
        <v>706</v>
      </c>
      <c r="G60" s="48" t="s">
        <v>707</v>
      </c>
    </row>
    <row r="61" customFormat="false" ht="15" hidden="false" customHeight="false" outlineLevel="0" collapsed="false">
      <c r="A61" s="49" t="s">
        <v>272</v>
      </c>
      <c r="B61" s="101" t="n">
        <f aca="false">1</f>
        <v>1</v>
      </c>
      <c r="C61" s="101" t="n">
        <f aca="false">'Assumption Setting'!$G$68</f>
        <v>4</v>
      </c>
      <c r="D61" s="101" t="n">
        <f aca="false">B61+C61</f>
        <v>5</v>
      </c>
      <c r="E61" s="101" t="n">
        <f aca="false">'Assumption Setting'!$H$68</f>
        <v>2</v>
      </c>
      <c r="F61" s="102" t="n">
        <f aca="false">D61+E61</f>
        <v>7</v>
      </c>
      <c r="G61" s="103" t="n">
        <f aca="false">EDATE('Assumption Setting'!$C$7,F61-1)</f>
        <v>46478</v>
      </c>
    </row>
    <row r="62" customFormat="false" ht="15" hidden="false" customHeight="false" outlineLevel="0" collapsed="false">
      <c r="A62" s="49" t="s">
        <v>274</v>
      </c>
      <c r="B62" s="101" t="n">
        <f aca="false">1</f>
        <v>1</v>
      </c>
      <c r="C62" s="101" t="n">
        <f aca="false">'Assumption Setting'!$G$69</f>
        <v>5</v>
      </c>
      <c r="D62" s="101" t="n">
        <f aca="false">B62+C62</f>
        <v>6</v>
      </c>
      <c r="E62" s="101" t="n">
        <f aca="false">'Assumption Setting'!$H$69</f>
        <v>1</v>
      </c>
      <c r="F62" s="102" t="n">
        <f aca="false">D62+E62</f>
        <v>7</v>
      </c>
      <c r="G62" s="103" t="n">
        <f aca="false">EDATE('Assumption Setting'!$C$7,F62-1)</f>
        <v>46478</v>
      </c>
    </row>
    <row r="63" customFormat="false" ht="15" hidden="false" customHeight="false" outlineLevel="0" collapsed="false">
      <c r="A63" s="49" t="s">
        <v>276</v>
      </c>
      <c r="B63" s="101" t="n">
        <f aca="false">1</f>
        <v>1</v>
      </c>
      <c r="C63" s="101" t="n">
        <f aca="false">'Assumption Setting'!$G$70</f>
        <v>12</v>
      </c>
      <c r="D63" s="101" t="n">
        <f aca="false">B63+C63</f>
        <v>13</v>
      </c>
      <c r="E63" s="101" t="n">
        <f aca="false">'Assumption Setting'!$H$70</f>
        <v>3</v>
      </c>
      <c r="F63" s="102" t="n">
        <f aca="false">D63+E63</f>
        <v>16</v>
      </c>
      <c r="G63" s="103" t="n">
        <f aca="false">EDATE('Assumption Setting'!$C$7,F63-1)</f>
        <v>46753</v>
      </c>
    </row>
    <row r="64" customFormat="false" ht="15" hidden="false" customHeight="false" outlineLevel="0" collapsed="false">
      <c r="A64" s="49" t="s">
        <v>278</v>
      </c>
      <c r="B64" s="101" t="n">
        <f aca="false">1</f>
        <v>1</v>
      </c>
      <c r="C64" s="101" t="n">
        <f aca="false">'Assumption Setting'!$G$71</f>
        <v>11</v>
      </c>
      <c r="D64" s="101" t="n">
        <f aca="false">B64+C64</f>
        <v>12</v>
      </c>
      <c r="E64" s="101" t="n">
        <f aca="false">'Assumption Setting'!$H$71</f>
        <v>3</v>
      </c>
      <c r="F64" s="102" t="n">
        <f aca="false">D64+E64</f>
        <v>15</v>
      </c>
      <c r="G64" s="103" t="n">
        <f aca="false">EDATE('Assumption Setting'!$C$7,F64-1)</f>
        <v>46722</v>
      </c>
    </row>
    <row r="65" customFormat="false" ht="15" hidden="false" customHeight="false" outlineLevel="0" collapsed="false">
      <c r="A65" s="49" t="s">
        <v>280</v>
      </c>
      <c r="B65" s="101" t="n">
        <f aca="false">1</f>
        <v>1</v>
      </c>
      <c r="C65" s="101" t="n">
        <f aca="false">'Assumption Setting'!$G$72</f>
        <v>7</v>
      </c>
      <c r="D65" s="101" t="n">
        <f aca="false">B65+C65</f>
        <v>8</v>
      </c>
      <c r="E65" s="101" t="n">
        <f aca="false">'Assumption Setting'!$H$72</f>
        <v>2</v>
      </c>
      <c r="F65" s="102" t="n">
        <f aca="false">D65+E65</f>
        <v>10</v>
      </c>
      <c r="G65" s="103" t="n">
        <f aca="false">EDATE('Assumption Setting'!$C$7,F65-1)</f>
        <v>46569</v>
      </c>
    </row>
    <row r="66" customFormat="false" ht="15" hidden="false" customHeight="false" outlineLevel="0" collapsed="false">
      <c r="A66" s="49" t="s">
        <v>282</v>
      </c>
      <c r="B66" s="101" t="n">
        <f aca="false">1</f>
        <v>1</v>
      </c>
      <c r="C66" s="101" t="n">
        <f aca="false">'Assumption Setting'!$G$73</f>
        <v>3</v>
      </c>
      <c r="D66" s="101" t="n">
        <f aca="false">B66+C66</f>
        <v>4</v>
      </c>
      <c r="E66" s="101" t="n">
        <f aca="false">'Assumption Setting'!$H$73</f>
        <v>1</v>
      </c>
      <c r="F66" s="102" t="n">
        <f aca="false">D66+E66</f>
        <v>5</v>
      </c>
      <c r="G66" s="103" t="n">
        <f aca="false">EDATE('Assumption Setting'!$C$7,F66-1)</f>
        <v>46419</v>
      </c>
    </row>
    <row r="68" customFormat="false" ht="15" hidden="false" customHeight="false" outlineLevel="0" collapsed="false">
      <c r="A68" s="71" t="s">
        <v>708</v>
      </c>
    </row>
    <row r="70" customFormat="false" ht="16.5" hidden="false" customHeight="true" outlineLevel="0" collapsed="false">
      <c r="A70" s="15" t="s">
        <v>709</v>
      </c>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row>
    <row r="71" customFormat="false" ht="15" hidden="false" customHeight="true" outlineLevel="0" collapsed="false">
      <c r="A71" s="26" t="s">
        <v>481</v>
      </c>
      <c r="B71" s="61" t="s">
        <v>81</v>
      </c>
      <c r="C71" s="62" t="s">
        <v>482</v>
      </c>
      <c r="D71" s="62" t="s">
        <v>483</v>
      </c>
      <c r="E71" s="62" t="s">
        <v>484</v>
      </c>
      <c r="F71" s="62" t="s">
        <v>485</v>
      </c>
      <c r="G71" s="62" t="s">
        <v>486</v>
      </c>
      <c r="H71" s="62" t="s">
        <v>487</v>
      </c>
      <c r="I71" s="62" t="s">
        <v>488</v>
      </c>
      <c r="J71" s="62" t="s">
        <v>489</v>
      </c>
      <c r="K71" s="62" t="s">
        <v>490</v>
      </c>
      <c r="L71" s="62" t="s">
        <v>491</v>
      </c>
      <c r="M71" s="62" t="s">
        <v>492</v>
      </c>
      <c r="N71" s="62" t="s">
        <v>493</v>
      </c>
      <c r="O71" s="61" t="s">
        <v>82</v>
      </c>
      <c r="P71" s="63" t="s">
        <v>494</v>
      </c>
      <c r="Q71" s="63" t="s">
        <v>495</v>
      </c>
      <c r="R71" s="63" t="s">
        <v>496</v>
      </c>
      <c r="S71" s="63" t="s">
        <v>497</v>
      </c>
      <c r="T71" s="63" t="s">
        <v>498</v>
      </c>
      <c r="U71" s="63" t="s">
        <v>499</v>
      </c>
      <c r="V71" s="63" t="s">
        <v>500</v>
      </c>
      <c r="W71" s="63" t="s">
        <v>501</v>
      </c>
      <c r="X71" s="63" t="s">
        <v>502</v>
      </c>
      <c r="Y71" s="63" t="s">
        <v>503</v>
      </c>
      <c r="Z71" s="63" t="s">
        <v>504</v>
      </c>
      <c r="AA71" s="63" t="s">
        <v>505</v>
      </c>
      <c r="AB71" s="61" t="s">
        <v>83</v>
      </c>
      <c r="AC71" s="62" t="s">
        <v>506</v>
      </c>
      <c r="AD71" s="62" t="s">
        <v>507</v>
      </c>
      <c r="AE71" s="62" t="s">
        <v>508</v>
      </c>
      <c r="AF71" s="62" t="s">
        <v>509</v>
      </c>
      <c r="AG71" s="62" t="s">
        <v>510</v>
      </c>
      <c r="AH71" s="62" t="s">
        <v>511</v>
      </c>
      <c r="AI71" s="62" t="s">
        <v>512</v>
      </c>
      <c r="AJ71" s="62" t="s">
        <v>513</v>
      </c>
      <c r="AK71" s="62" t="s">
        <v>514</v>
      </c>
      <c r="AL71" s="62" t="s">
        <v>515</v>
      </c>
      <c r="AM71" s="62" t="s">
        <v>516</v>
      </c>
      <c r="AN71" s="62" t="s">
        <v>517</v>
      </c>
      <c r="AO71" s="61" t="s">
        <v>84</v>
      </c>
      <c r="AP71" s="63" t="s">
        <v>518</v>
      </c>
      <c r="AQ71" s="63" t="s">
        <v>519</v>
      </c>
      <c r="AR71" s="63" t="s">
        <v>520</v>
      </c>
      <c r="AS71" s="63" t="s">
        <v>521</v>
      </c>
      <c r="AT71" s="63" t="s">
        <v>522</v>
      </c>
      <c r="AU71" s="63" t="s">
        <v>523</v>
      </c>
      <c r="AV71" s="63" t="s">
        <v>524</v>
      </c>
      <c r="AW71" s="63" t="s">
        <v>525</v>
      </c>
      <c r="AX71" s="63" t="s">
        <v>526</v>
      </c>
      <c r="AY71" s="63" t="s">
        <v>527</v>
      </c>
      <c r="AZ71" s="63" t="s">
        <v>528</v>
      </c>
      <c r="BA71" s="63" t="s">
        <v>529</v>
      </c>
      <c r="BB71" s="61" t="s">
        <v>85</v>
      </c>
      <c r="BC71" s="62" t="s">
        <v>530</v>
      </c>
      <c r="BD71" s="62" t="s">
        <v>531</v>
      </c>
      <c r="BE71" s="62" t="s">
        <v>532</v>
      </c>
      <c r="BF71" s="62" t="s">
        <v>533</v>
      </c>
      <c r="BG71" s="62" t="s">
        <v>534</v>
      </c>
      <c r="BH71" s="62" t="s">
        <v>535</v>
      </c>
      <c r="BI71" s="62" t="s">
        <v>536</v>
      </c>
      <c r="BJ71" s="62" t="s">
        <v>537</v>
      </c>
      <c r="BK71" s="62" t="s">
        <v>538</v>
      </c>
      <c r="BL71" s="62" t="s">
        <v>539</v>
      </c>
      <c r="BM71" s="62" t="s">
        <v>540</v>
      </c>
      <c r="BN71" s="62" t="s">
        <v>541</v>
      </c>
    </row>
    <row r="72" customFormat="false" ht="15" hidden="false" customHeight="false" outlineLevel="0" collapsed="false">
      <c r="A72" s="12" t="s">
        <v>710</v>
      </c>
      <c r="B72" s="64" t="n">
        <f aca="false">SUM(C72:N72)</f>
        <v>10140</v>
      </c>
      <c r="C72" s="76" t="n">
        <f aca="false">Acquisitions!C$61</f>
        <v>845</v>
      </c>
      <c r="D72" s="76" t="n">
        <f aca="false">Acquisitions!D$61</f>
        <v>845</v>
      </c>
      <c r="E72" s="76" t="n">
        <f aca="false">Acquisitions!E$61</f>
        <v>845</v>
      </c>
      <c r="F72" s="76" t="n">
        <f aca="false">Acquisitions!F$61</f>
        <v>845</v>
      </c>
      <c r="G72" s="76" t="n">
        <f aca="false">Acquisitions!G$61</f>
        <v>845</v>
      </c>
      <c r="H72" s="76" t="n">
        <f aca="false">Acquisitions!H$61</f>
        <v>845</v>
      </c>
      <c r="I72" s="76" t="n">
        <f aca="false">Acquisitions!I$61</f>
        <v>845</v>
      </c>
      <c r="J72" s="76" t="n">
        <f aca="false">Acquisitions!J$61</f>
        <v>845</v>
      </c>
      <c r="K72" s="76" t="n">
        <f aca="false">Acquisitions!K$61</f>
        <v>845</v>
      </c>
      <c r="L72" s="76" t="n">
        <f aca="false">Acquisitions!L$61</f>
        <v>845</v>
      </c>
      <c r="M72" s="76" t="n">
        <f aca="false">Acquisitions!M$61</f>
        <v>845</v>
      </c>
      <c r="N72" s="76" t="n">
        <f aca="false">Acquisitions!N$61</f>
        <v>845</v>
      </c>
      <c r="O72" s="64" t="n">
        <f aca="false">SUM(P72:AA72)</f>
        <v>37500</v>
      </c>
      <c r="P72" s="76" t="n">
        <f aca="false">Acquisitions!P$61</f>
        <v>3125</v>
      </c>
      <c r="Q72" s="76" t="n">
        <f aca="false">Acquisitions!Q$61</f>
        <v>3125</v>
      </c>
      <c r="R72" s="76" t="n">
        <f aca="false">Acquisitions!R$61</f>
        <v>3125</v>
      </c>
      <c r="S72" s="76" t="n">
        <f aca="false">Acquisitions!S$61</f>
        <v>3125</v>
      </c>
      <c r="T72" s="76" t="n">
        <f aca="false">Acquisitions!T$61</f>
        <v>3125</v>
      </c>
      <c r="U72" s="76" t="n">
        <f aca="false">Acquisitions!U$61</f>
        <v>3125</v>
      </c>
      <c r="V72" s="76" t="n">
        <f aca="false">Acquisitions!V$61</f>
        <v>3125</v>
      </c>
      <c r="W72" s="76" t="n">
        <f aca="false">Acquisitions!W$61</f>
        <v>3125</v>
      </c>
      <c r="X72" s="76" t="n">
        <f aca="false">Acquisitions!X$61</f>
        <v>3125</v>
      </c>
      <c r="Y72" s="76" t="n">
        <f aca="false">Acquisitions!Y$61</f>
        <v>3125</v>
      </c>
      <c r="Z72" s="76" t="n">
        <f aca="false">Acquisitions!Z$61</f>
        <v>3125</v>
      </c>
      <c r="AA72" s="76" t="n">
        <f aca="false">Acquisitions!AA$61</f>
        <v>3125</v>
      </c>
      <c r="AB72" s="64" t="n">
        <f aca="false">SUM(AC72:AN72)</f>
        <v>74520</v>
      </c>
      <c r="AC72" s="76" t="n">
        <f aca="false">Acquisitions!AC$61</f>
        <v>6210</v>
      </c>
      <c r="AD72" s="76" t="n">
        <f aca="false">Acquisitions!AD$61</f>
        <v>6210</v>
      </c>
      <c r="AE72" s="76" t="n">
        <f aca="false">Acquisitions!AE$61</f>
        <v>6210</v>
      </c>
      <c r="AF72" s="76" t="n">
        <f aca="false">Acquisitions!AF$61</f>
        <v>6210</v>
      </c>
      <c r="AG72" s="76" t="n">
        <f aca="false">Acquisitions!AG$61</f>
        <v>6210</v>
      </c>
      <c r="AH72" s="76" t="n">
        <f aca="false">Acquisitions!AH$61</f>
        <v>6210</v>
      </c>
      <c r="AI72" s="76" t="n">
        <f aca="false">Acquisitions!AI$61</f>
        <v>6210</v>
      </c>
      <c r="AJ72" s="76" t="n">
        <f aca="false">Acquisitions!AJ$61</f>
        <v>6210</v>
      </c>
      <c r="AK72" s="76" t="n">
        <f aca="false">Acquisitions!AK$61</f>
        <v>6210</v>
      </c>
      <c r="AL72" s="76" t="n">
        <f aca="false">Acquisitions!AL$61</f>
        <v>6210</v>
      </c>
      <c r="AM72" s="76" t="n">
        <f aca="false">Acquisitions!AM$61</f>
        <v>6210</v>
      </c>
      <c r="AN72" s="76" t="n">
        <f aca="false">Acquisitions!AN$61</f>
        <v>6210</v>
      </c>
      <c r="AO72" s="64" t="n">
        <f aca="false">SUM(AP72:BA72)</f>
        <v>104880</v>
      </c>
      <c r="AP72" s="76" t="n">
        <f aca="false">Acquisitions!AP$61</f>
        <v>8740</v>
      </c>
      <c r="AQ72" s="76" t="n">
        <f aca="false">Acquisitions!AQ$61</f>
        <v>8740</v>
      </c>
      <c r="AR72" s="76" t="n">
        <f aca="false">Acquisitions!AR$61</f>
        <v>8740</v>
      </c>
      <c r="AS72" s="76" t="n">
        <f aca="false">Acquisitions!AS$61</f>
        <v>8740</v>
      </c>
      <c r="AT72" s="76" t="n">
        <f aca="false">Acquisitions!AT$61</f>
        <v>8740</v>
      </c>
      <c r="AU72" s="76" t="n">
        <f aca="false">Acquisitions!AU$61</f>
        <v>8740</v>
      </c>
      <c r="AV72" s="76" t="n">
        <f aca="false">Acquisitions!AV$61</f>
        <v>8740</v>
      </c>
      <c r="AW72" s="76" t="n">
        <f aca="false">Acquisitions!AW$61</f>
        <v>8740</v>
      </c>
      <c r="AX72" s="76" t="n">
        <f aca="false">Acquisitions!AX$61</f>
        <v>8740</v>
      </c>
      <c r="AY72" s="76" t="n">
        <f aca="false">Acquisitions!AY$61</f>
        <v>8740</v>
      </c>
      <c r="AZ72" s="76" t="n">
        <f aca="false">Acquisitions!AZ$61</f>
        <v>8740</v>
      </c>
      <c r="BA72" s="76" t="n">
        <f aca="false">Acquisitions!BA$61</f>
        <v>8740</v>
      </c>
      <c r="BB72" s="64" t="n">
        <f aca="false">SUM(BC72:BN72)</f>
        <v>134640</v>
      </c>
      <c r="BC72" s="76" t="n">
        <f aca="false">Acquisitions!BC$61</f>
        <v>11220</v>
      </c>
      <c r="BD72" s="76" t="n">
        <f aca="false">Acquisitions!BD$61</f>
        <v>11220</v>
      </c>
      <c r="BE72" s="76" t="n">
        <f aca="false">Acquisitions!BE$61</f>
        <v>11220</v>
      </c>
      <c r="BF72" s="76" t="n">
        <f aca="false">Acquisitions!BF$61</f>
        <v>11220</v>
      </c>
      <c r="BG72" s="76" t="n">
        <f aca="false">Acquisitions!BG$61</f>
        <v>11220</v>
      </c>
      <c r="BH72" s="76" t="n">
        <f aca="false">Acquisitions!BH$61</f>
        <v>11220</v>
      </c>
      <c r="BI72" s="76" t="n">
        <f aca="false">Acquisitions!BI$61</f>
        <v>11220</v>
      </c>
      <c r="BJ72" s="76" t="n">
        <f aca="false">Acquisitions!BJ$61</f>
        <v>11220</v>
      </c>
      <c r="BK72" s="76" t="n">
        <f aca="false">Acquisitions!BK$61</f>
        <v>11220</v>
      </c>
      <c r="BL72" s="76" t="n">
        <f aca="false">Acquisitions!BL$61</f>
        <v>11220</v>
      </c>
      <c r="BM72" s="76" t="n">
        <f aca="false">Acquisitions!BM$61</f>
        <v>11220</v>
      </c>
      <c r="BN72" s="76" t="n">
        <f aca="false">Acquisitions!BN$61</f>
        <v>11220</v>
      </c>
    </row>
    <row r="73" customFormat="false" ht="15" hidden="false" customHeight="false" outlineLevel="0" collapsed="false">
      <c r="A73" s="12" t="s">
        <v>95</v>
      </c>
      <c r="B73" s="78" t="n">
        <f aca="false">SUM(C73:N73)</f>
        <v>2776.34207665819</v>
      </c>
      <c r="C73" s="95" t="n">
        <f aca="false">Acquisitions!C$146</f>
        <v>509.574696903097</v>
      </c>
      <c r="D73" s="95" t="n">
        <f aca="false">Acquisitions!D$146</f>
        <v>133.324696903097</v>
      </c>
      <c r="E73" s="95" t="n">
        <f aca="false">Acquisitions!E$146</f>
        <v>149.15803023643</v>
      </c>
      <c r="F73" s="95" t="n">
        <f aca="false">Acquisitions!F$146</f>
        <v>149.15803023643</v>
      </c>
      <c r="G73" s="95" t="n">
        <f aca="false">Acquisitions!G$146</f>
        <v>156.864488913577</v>
      </c>
      <c r="H73" s="95" t="n">
        <f aca="false">Acquisitions!H$146</f>
        <v>164.570947590724</v>
      </c>
      <c r="I73" s="95" t="n">
        <f aca="false">Acquisitions!I$146</f>
        <v>189.631209511224</v>
      </c>
      <c r="J73" s="95" t="n">
        <f aca="false">Acquisitions!J$146</f>
        <v>214.691471431724</v>
      </c>
      <c r="K73" s="95" t="n">
        <f aca="false">Acquisitions!K$146</f>
        <v>239.751733352223</v>
      </c>
      <c r="L73" s="95" t="n">
        <f aca="false">Acquisitions!L$146</f>
        <v>264.811995272723</v>
      </c>
      <c r="M73" s="95" t="n">
        <f aca="false">Acquisitions!M$146</f>
        <v>289.872257193223</v>
      </c>
      <c r="N73" s="95" t="n">
        <f aca="false">Acquisitions!N$146</f>
        <v>314.932519113723</v>
      </c>
      <c r="O73" s="78" t="n">
        <f aca="false">SUM(P73:AA73)</f>
        <v>9995.34199672752</v>
      </c>
      <c r="P73" s="95" t="n">
        <f aca="false">Acquisitions!P$146</f>
        <v>533.369918795857</v>
      </c>
      <c r="Q73" s="95" t="n">
        <f aca="false">Acquisitions!Q$146</f>
        <v>560.834269624318</v>
      </c>
      <c r="R73" s="95" t="n">
        <f aca="false">Acquisitions!R$146</f>
        <v>614.579438638049</v>
      </c>
      <c r="S73" s="95" t="n">
        <f aca="false">Acquisitions!S$146</f>
        <v>673.003284341995</v>
      </c>
      <c r="T73" s="95" t="n">
        <f aca="false">Acquisitions!T$146</f>
        <v>735.97064122011</v>
      </c>
      <c r="U73" s="95" t="n">
        <f aca="false">Acquisitions!U$146</f>
        <v>798.937998098225</v>
      </c>
      <c r="V73" s="95" t="n">
        <f aca="false">Acquisitions!V$146</f>
        <v>859.970690918474</v>
      </c>
      <c r="W73" s="95" t="n">
        <f aca="false">Acquisitions!W$146</f>
        <v>921.003383738723</v>
      </c>
      <c r="X73" s="95" t="n">
        <f aca="false">Acquisitions!X$146</f>
        <v>982.036076558972</v>
      </c>
      <c r="Y73" s="95" t="n">
        <f aca="false">Acquisitions!Y$146</f>
        <v>1043.62408741162</v>
      </c>
      <c r="Z73" s="95" t="n">
        <f aca="false">Acquisitions!Z$146</f>
        <v>1105.21209826427</v>
      </c>
      <c r="AA73" s="95" t="n">
        <f aca="false">Acquisitions!AA$146</f>
        <v>1166.80010911692</v>
      </c>
      <c r="AB73" s="78" t="n">
        <f aca="false">SUM(AC73:AN73)</f>
        <v>22599.0269573184</v>
      </c>
      <c r="AC73" s="95" t="n">
        <f aca="false">Acquisitions!AC$146</f>
        <v>1480.364020849</v>
      </c>
      <c r="AD73" s="95" t="n">
        <f aca="false">Acquisitions!AD$146</f>
        <v>1518.84389343958</v>
      </c>
      <c r="AE73" s="95" t="n">
        <f aca="false">Acquisitions!AE$146</f>
        <v>1581.18004870955</v>
      </c>
      <c r="AF73" s="95" t="n">
        <f aca="false">Acquisitions!AF$146</f>
        <v>1664.72061575844</v>
      </c>
      <c r="AG73" s="95" t="n">
        <f aca="false">Acquisitions!AG$146</f>
        <v>1747.65410269476</v>
      </c>
      <c r="AH73" s="95" t="n">
        <f aca="false">Acquisitions!AH$146</f>
        <v>1830.58758963109</v>
      </c>
      <c r="AI73" s="95" t="n">
        <f aca="false">Acquisitions!AI$146</f>
        <v>1916.44168432078</v>
      </c>
      <c r="AJ73" s="95" t="n">
        <f aca="false">Acquisitions!AJ$146</f>
        <v>2002.29577901047</v>
      </c>
      <c r="AK73" s="95" t="n">
        <f aca="false">Acquisitions!AK$146</f>
        <v>2088.14987370016</v>
      </c>
      <c r="AL73" s="95" t="n">
        <f aca="false">Acquisitions!AL$146</f>
        <v>2172.20649505084</v>
      </c>
      <c r="AM73" s="95" t="n">
        <f aca="false">Acquisitions!AM$146</f>
        <v>2256.26311640153</v>
      </c>
      <c r="AN73" s="95" t="n">
        <f aca="false">Acquisitions!AN$146</f>
        <v>2340.31973775222</v>
      </c>
      <c r="AO73" s="78" t="n">
        <f aca="false">SUM(AP73:BA73)</f>
        <v>37891.3274342762</v>
      </c>
      <c r="AP73" s="95" t="n">
        <f aca="false">Acquisitions!AP$146</f>
        <v>2688.57026220589</v>
      </c>
      <c r="AQ73" s="95" t="n">
        <f aca="false">Acquisitions!AQ$146</f>
        <v>2772.78359531753</v>
      </c>
      <c r="AR73" s="95" t="n">
        <f aca="false">Acquisitions!AR$146</f>
        <v>2854.99671178276</v>
      </c>
      <c r="AS73" s="95" t="n">
        <f aca="false">Acquisitions!AS$146</f>
        <v>2939.58773761633</v>
      </c>
      <c r="AT73" s="95" t="n">
        <f aca="false">Acquisitions!AT$146</f>
        <v>3026.22355149009</v>
      </c>
      <c r="AU73" s="95" t="n">
        <f aca="false">Acquisitions!AU$146</f>
        <v>3112.85936536385</v>
      </c>
      <c r="AV73" s="95" t="n">
        <f aca="false">Acquisitions!AV$146</f>
        <v>3199.91067173298</v>
      </c>
      <c r="AW73" s="95" t="n">
        <f aca="false">Acquisitions!AW$146</f>
        <v>3286.96197810211</v>
      </c>
      <c r="AX73" s="95" t="n">
        <f aca="false">Acquisitions!AX$146</f>
        <v>3374.01328447124</v>
      </c>
      <c r="AY73" s="95" t="n">
        <f aca="false">Acquisitions!AY$146</f>
        <v>3459.57668826785</v>
      </c>
      <c r="AZ73" s="95" t="n">
        <f aca="false">Acquisitions!AZ$146</f>
        <v>3545.14009206446</v>
      </c>
      <c r="BA73" s="95" t="n">
        <f aca="false">Acquisitions!BA$146</f>
        <v>3630.70349586106</v>
      </c>
      <c r="BB73" s="78" t="n">
        <f aca="false">SUM(BC73:BN73)</f>
        <v>53829.1043964639</v>
      </c>
      <c r="BC73" s="95" t="n">
        <f aca="false">Acquisitions!BC$146</f>
        <v>3975.06361146006</v>
      </c>
      <c r="BD73" s="95" t="n">
        <f aca="false">Acquisitions!BD$146</f>
        <v>4061.23687055676</v>
      </c>
      <c r="BE73" s="95" t="n">
        <f aca="false">Acquisitions!BE$146</f>
        <v>4154.23786477838</v>
      </c>
      <c r="BF73" s="95" t="n">
        <f aca="false">Acquisitions!BF$146</f>
        <v>4249.05677490289</v>
      </c>
      <c r="BG73" s="95" t="n">
        <f aca="false">Acquisitions!BG$146</f>
        <v>4343.61551432675</v>
      </c>
      <c r="BH73" s="95" t="n">
        <f aca="false">Acquisitions!BH$146</f>
        <v>4438.17425375062</v>
      </c>
      <c r="BI73" s="95" t="n">
        <f aca="false">Acquisitions!BI$146</f>
        <v>4532.95602926909</v>
      </c>
      <c r="BJ73" s="95" t="n">
        <f aca="false">Acquisitions!BJ$146</f>
        <v>4627.73780478756</v>
      </c>
      <c r="BK73" s="95" t="n">
        <f aca="false">Acquisitions!BK$146</f>
        <v>4722.51958030603</v>
      </c>
      <c r="BL73" s="95" t="n">
        <f aca="false">Acquisitions!BL$146</f>
        <v>4815.34413887397</v>
      </c>
      <c r="BM73" s="95" t="n">
        <f aca="false">Acquisitions!BM$146</f>
        <v>4908.16869744191</v>
      </c>
      <c r="BN73" s="95" t="n">
        <f aca="false">Acquisitions!BN$146</f>
        <v>5000.99325600984</v>
      </c>
    </row>
    <row r="74" customFormat="false" ht="15" hidden="false" customHeight="false" outlineLevel="0" collapsed="false">
      <c r="A74" s="12" t="s">
        <v>711</v>
      </c>
      <c r="B74" s="80" t="n">
        <f aca="false">SUM(C74:N74)</f>
        <v>77.8543563377821</v>
      </c>
      <c r="C74" s="96" t="n">
        <f aca="false">Acquisitions!C$148</f>
        <v>16.2253130295038</v>
      </c>
      <c r="D74" s="96" t="n">
        <f aca="false">Acquisitions!D$148</f>
        <v>3.05656302950383</v>
      </c>
      <c r="E74" s="96" t="n">
        <f aca="false">Acquisitions!E$148</f>
        <v>3.6107296961705</v>
      </c>
      <c r="F74" s="96" t="n">
        <f aca="false">Acquisitions!F$148</f>
        <v>3.6107296961705</v>
      </c>
      <c r="G74" s="96" t="n">
        <f aca="false">Acquisitions!G$148</f>
        <v>3.88045574987064</v>
      </c>
      <c r="H74" s="96" t="n">
        <f aca="false">Acquisitions!H$148</f>
        <v>4.15018180357078</v>
      </c>
      <c r="I74" s="96" t="n">
        <f aca="false">Acquisitions!I$148</f>
        <v>5.02729097078827</v>
      </c>
      <c r="J74" s="96" t="n">
        <f aca="false">Acquisitions!J$148</f>
        <v>5.90440013800576</v>
      </c>
      <c r="K74" s="96" t="n">
        <f aca="false">Acquisitions!K$148</f>
        <v>6.78150930522325</v>
      </c>
      <c r="L74" s="96" t="n">
        <f aca="false">Acquisitions!L$148</f>
        <v>7.65861847244075</v>
      </c>
      <c r="M74" s="96" t="n">
        <f aca="false">Acquisitions!M$148</f>
        <v>8.53572763965824</v>
      </c>
      <c r="N74" s="96" t="n">
        <f aca="false">Acquisitions!N$148</f>
        <v>9.41283680687573</v>
      </c>
      <c r="O74" s="80" t="n">
        <f aca="false">SUM(P74:AA74)</f>
        <v>320.936952736234</v>
      </c>
      <c r="P74" s="96" t="n">
        <f aca="false">Acquisitions!P$148</f>
        <v>14.7617361574287</v>
      </c>
      <c r="Q74" s="96" t="n">
        <f aca="false">Acquisitions!Q$148</f>
        <v>15.8603101905671</v>
      </c>
      <c r="R74" s="96" t="n">
        <f aca="false">Acquisitions!R$148</f>
        <v>18.0101169511164</v>
      </c>
      <c r="S74" s="96" t="n">
        <f aca="false">Acquisitions!S$148</f>
        <v>20.3470707792742</v>
      </c>
      <c r="T74" s="96" t="n">
        <f aca="false">Acquisitions!T$148</f>
        <v>22.8657650543988</v>
      </c>
      <c r="U74" s="96" t="n">
        <f aca="false">Acquisitions!U$148</f>
        <v>25.3844593295234</v>
      </c>
      <c r="V74" s="96" t="n">
        <f aca="false">Acquisitions!V$148</f>
        <v>27.8257670423334</v>
      </c>
      <c r="W74" s="96" t="n">
        <f aca="false">Acquisitions!W$148</f>
        <v>30.2670747551433</v>
      </c>
      <c r="X74" s="96" t="n">
        <f aca="false">Acquisitions!X$148</f>
        <v>32.7083824679533</v>
      </c>
      <c r="Y74" s="96" t="n">
        <f aca="false">Acquisitions!Y$148</f>
        <v>35.1719029020592</v>
      </c>
      <c r="Z74" s="96" t="n">
        <f aca="false">Acquisitions!Z$148</f>
        <v>37.6354233361651</v>
      </c>
      <c r="AA74" s="96" t="n">
        <f aca="false">Acquisitions!AA$148</f>
        <v>40.098943770271</v>
      </c>
      <c r="AB74" s="80" t="n">
        <f aca="false">SUM(AC74:AN74)</f>
        <v>836.922409978429</v>
      </c>
      <c r="AC74" s="96" t="n">
        <f aca="false">Acquisitions!AC$148</f>
        <v>51.61356401313</v>
      </c>
      <c r="AD74" s="96" t="n">
        <f aca="false">Acquisitions!AD$148</f>
        <v>53.3451582797062</v>
      </c>
      <c r="AE74" s="96" t="n">
        <f aca="false">Acquisitions!AE$148</f>
        <v>56.1502852668548</v>
      </c>
      <c r="AF74" s="96" t="n">
        <f aca="false">Acquisitions!AF$148</f>
        <v>59.9096107840548</v>
      </c>
      <c r="AG74" s="96" t="n">
        <f aca="false">Acquisitions!AG$148</f>
        <v>63.6416176961894</v>
      </c>
      <c r="AH74" s="96" t="n">
        <f aca="false">Acquisitions!AH$148</f>
        <v>67.373624608324</v>
      </c>
      <c r="AI74" s="96" t="n">
        <f aca="false">Acquisitions!AI$148</f>
        <v>71.23705886936</v>
      </c>
      <c r="AJ74" s="96" t="n">
        <f aca="false">Acquisitions!AJ$148</f>
        <v>75.1004931303961</v>
      </c>
      <c r="AK74" s="96" t="n">
        <f aca="false">Acquisitions!AK$148</f>
        <v>78.9639273914321</v>
      </c>
      <c r="AL74" s="96" t="n">
        <f aca="false">Acquisitions!AL$148</f>
        <v>82.746475352213</v>
      </c>
      <c r="AM74" s="96" t="n">
        <f aca="false">Acquisitions!AM$148</f>
        <v>86.5290233129939</v>
      </c>
      <c r="AN74" s="96" t="n">
        <f aca="false">Acquisitions!AN$148</f>
        <v>90.3115712737747</v>
      </c>
      <c r="AO74" s="80" t="n">
        <f aca="false">SUM(AP74:BA74)</f>
        <v>1609.42979945287</v>
      </c>
      <c r="AP74" s="96" t="n">
        <f aca="false">Acquisitions!AP$148</f>
        <v>110.66713208855</v>
      </c>
      <c r="AQ74" s="96" t="n">
        <f aca="false">Acquisitions!AQ$148</f>
        <v>114.877798744131</v>
      </c>
      <c r="AR74" s="96" t="n">
        <f aca="false">Acquisitions!AR$148</f>
        <v>118.988454567393</v>
      </c>
      <c r="AS74" s="96" t="n">
        <f aca="false">Acquisitions!AS$148</f>
        <v>123.218005859071</v>
      </c>
      <c r="AT74" s="96" t="n">
        <f aca="false">Acquisitions!AT$148</f>
        <v>127.54979655276</v>
      </c>
      <c r="AU74" s="96" t="n">
        <f aca="false">Acquisitions!AU$148</f>
        <v>131.881587246448</v>
      </c>
      <c r="AV74" s="96" t="n">
        <f aca="false">Acquisitions!AV$148</f>
        <v>136.234152564904</v>
      </c>
      <c r="AW74" s="96" t="n">
        <f aca="false">Acquisitions!AW$148</f>
        <v>140.586717883361</v>
      </c>
      <c r="AX74" s="96" t="n">
        <f aca="false">Acquisitions!AX$148</f>
        <v>144.939283201817</v>
      </c>
      <c r="AY74" s="96" t="n">
        <f aca="false">Acquisitions!AY$148</f>
        <v>149.217453391648</v>
      </c>
      <c r="AZ74" s="96" t="n">
        <f aca="false">Acquisitions!AZ$148</f>
        <v>153.495623581478</v>
      </c>
      <c r="BA74" s="96" t="n">
        <f aca="false">Acquisitions!BA$148</f>
        <v>157.773793771308</v>
      </c>
      <c r="BB74" s="80" t="n">
        <f aca="false">SUM(BC74:BN74)</f>
        <v>2559.61511543828</v>
      </c>
      <c r="BC74" s="96" t="n">
        <f aca="false">Acquisitions!BC$148</f>
        <v>185.213029766367</v>
      </c>
      <c r="BD74" s="96" t="n">
        <f aca="false">Acquisitions!BD$148</f>
        <v>189.952559016686</v>
      </c>
      <c r="BE74" s="96" t="n">
        <f aca="false">Acquisitions!BE$148</f>
        <v>195.067613698875</v>
      </c>
      <c r="BF74" s="96" t="n">
        <f aca="false">Acquisitions!BF$148</f>
        <v>200.282653755723</v>
      </c>
      <c r="BG74" s="96" t="n">
        <f aca="false">Acquisitions!BG$148</f>
        <v>205.483384424035</v>
      </c>
      <c r="BH74" s="96" t="n">
        <f aca="false">Acquisitions!BH$148</f>
        <v>210.684115092348</v>
      </c>
      <c r="BI74" s="96" t="n">
        <f aca="false">Acquisitions!BI$148</f>
        <v>215.897112745864</v>
      </c>
      <c r="BJ74" s="96" t="n">
        <f aca="false">Acquisitions!BJ$148</f>
        <v>221.11011039938</v>
      </c>
      <c r="BK74" s="96" t="n">
        <f aca="false">Acquisitions!BK$148</f>
        <v>226.323108052896</v>
      </c>
      <c r="BL74" s="96" t="n">
        <f aca="false">Acquisitions!BL$148</f>
        <v>231.428458774132</v>
      </c>
      <c r="BM74" s="96" t="n">
        <f aca="false">Acquisitions!BM$148</f>
        <v>236.533809495369</v>
      </c>
      <c r="BN74" s="96" t="n">
        <f aca="false">Acquisitions!BN$148</f>
        <v>241.639160216605</v>
      </c>
    </row>
    <row r="75" customFormat="false" ht="15" hidden="false" customHeight="false" outlineLevel="0" collapsed="false">
      <c r="A75" s="18" t="s">
        <v>712</v>
      </c>
      <c r="B75" s="104" t="n">
        <f aca="false">IFERROR(AVERAGE(C75:N75),0)</f>
        <v>0.0269742810307014</v>
      </c>
      <c r="C75" s="105" t="n">
        <f aca="false">IFERROR(C74/C73,0)</f>
        <v>0.0318408922737177</v>
      </c>
      <c r="D75" s="105" t="n">
        <f aca="false">IFERROR(D74/D73,0)</f>
        <v>0.0229257076933421</v>
      </c>
      <c r="E75" s="105" t="n">
        <f aca="false">IFERROR(E74/E73,0)</f>
        <v>0.0242074106935251</v>
      </c>
      <c r="F75" s="105" t="n">
        <f aca="false">IFERROR(F74/F73,0)</f>
        <v>0.0242074106935251</v>
      </c>
      <c r="G75" s="105" t="n">
        <f aca="false">IFERROR(G74/G73,0)</f>
        <v>0.0247376304015406</v>
      </c>
      <c r="H75" s="105" t="n">
        <f aca="false">IFERROR(H74/H73,0)</f>
        <v>0.025218192301426</v>
      </c>
      <c r="I75" s="105" t="n">
        <f aca="false">IFERROR(I74/I73,0)</f>
        <v>0.0265108838558071</v>
      </c>
      <c r="J75" s="105" t="n">
        <f aca="false">IFERROR(J74/J73,0)</f>
        <v>0.0275017917508823</v>
      </c>
      <c r="K75" s="105" t="n">
        <f aca="false">IFERROR(K74/K73,0)</f>
        <v>0.0282855485981427</v>
      </c>
      <c r="L75" s="105" t="n">
        <f aca="false">IFERROR(L74/L73,0)</f>
        <v>0.0289209650965899</v>
      </c>
      <c r="M75" s="105" t="n">
        <f aca="false">IFERROR(M74/M73,0)</f>
        <v>0.0294465145519894</v>
      </c>
      <c r="N75" s="105" t="n">
        <f aca="false">IFERROR(N74/N73,0)</f>
        <v>0.0298884244579288</v>
      </c>
      <c r="O75" s="104" t="n">
        <f aca="false">IFERROR(AVERAGE(P75:AA75),0)</f>
        <v>0.0315819416986218</v>
      </c>
      <c r="P75" s="105" t="n">
        <f aca="false">IFERROR(P74/P73,0)</f>
        <v>0.0276763567595919</v>
      </c>
      <c r="Q75" s="105" t="n">
        <f aca="false">IFERROR(Q74/Q73,0)</f>
        <v>0.0282798520874827</v>
      </c>
      <c r="R75" s="105" t="n">
        <f aca="false">IFERROR(R74/R73,0)</f>
        <v>0.0293047827812594</v>
      </c>
      <c r="S75" s="105" t="n">
        <f aca="false">IFERROR(S74/S73,0)</f>
        <v>0.0302332414308614</v>
      </c>
      <c r="T75" s="105" t="n">
        <f aca="false">IFERROR(T74/T73,0)</f>
        <v>0.0310688548886833</v>
      </c>
      <c r="U75" s="105" t="n">
        <f aca="false">IFERROR(U74/U73,0)</f>
        <v>0.031772752566467</v>
      </c>
      <c r="V75" s="105" t="n">
        <f aca="false">IFERROR(V74/V73,0)</f>
        <v>0.0323566457975616</v>
      </c>
      <c r="W75" s="105" t="n">
        <f aca="false">IFERROR(W74/W73,0)</f>
        <v>0.032863152611098</v>
      </c>
      <c r="X75" s="105" t="n">
        <f aca="false">IFERROR(X74/X73,0)</f>
        <v>0.0333067015038415</v>
      </c>
      <c r="Y75" s="105" t="n">
        <f aca="false">IFERROR(Y74/Y73,0)</f>
        <v>0.0337016971209356</v>
      </c>
      <c r="Z75" s="105" t="n">
        <f aca="false">IFERROR(Z74/Z73,0)</f>
        <v>0.0340526704288448</v>
      </c>
      <c r="AA75" s="105" t="n">
        <f aca="false">IFERROR(AA74/AA73,0)</f>
        <v>0.0343665924068345</v>
      </c>
      <c r="AB75" s="104" t="n">
        <f aca="false">IFERROR(AVERAGE(AC75:AN75),0)</f>
        <v>0.0368528479842502</v>
      </c>
      <c r="AC75" s="105" t="n">
        <f aca="false">IFERROR(AC74/AC73,0)</f>
        <v>0.0348654542303246</v>
      </c>
      <c r="AD75" s="105" t="n">
        <f aca="false">IFERROR(AD74/AD73,0)</f>
        <v>0.0351222126975146</v>
      </c>
      <c r="AE75" s="105" t="n">
        <f aca="false">IFERROR(AE74/AE73,0)</f>
        <v>0.0355116327913958</v>
      </c>
      <c r="AF75" s="105" t="n">
        <f aca="false">IFERROR(AF74/AF73,0)</f>
        <v>0.0359877869096733</v>
      </c>
      <c r="AG75" s="105" t="n">
        <f aca="false">IFERROR(AG74/AG73,0)</f>
        <v>0.0364154540638553</v>
      </c>
      <c r="AH75" s="105" t="n">
        <f aca="false">IFERROR(AH74/AH73,0)</f>
        <v>0.0368043708970526</v>
      </c>
      <c r="AI75" s="105" t="n">
        <f aca="false">IFERROR(AI74/AI73,0)</f>
        <v>0.0371715244205867</v>
      </c>
      <c r="AJ75" s="105" t="n">
        <f aca="false">IFERROR(AJ74/AJ73,0)</f>
        <v>0.0375071924526109</v>
      </c>
      <c r="AK75" s="105" t="n">
        <f aca="false">IFERROR(AK74/AK73,0)</f>
        <v>0.0378152585626001</v>
      </c>
      <c r="AL75" s="105" t="n">
        <f aca="false">IFERROR(AL74/AL73,0)</f>
        <v>0.0380932823563242</v>
      </c>
      <c r="AM75" s="105" t="n">
        <f aca="false">IFERROR(AM74/AM73,0)</f>
        <v>0.0383505907108021</v>
      </c>
      <c r="AN75" s="105" t="n">
        <f aca="false">IFERROR(AN74/AN73,0)</f>
        <v>0.0385894157182623</v>
      </c>
      <c r="AO75" s="104" t="n">
        <f aca="false">IFERROR(AVERAGE(AP75:BA75),0)</f>
        <v>0.0424074174830342</v>
      </c>
      <c r="AP75" s="105" t="n">
        <f aca="false">IFERROR(AP74/AP73,0)</f>
        <v>0.041162075488312</v>
      </c>
      <c r="AQ75" s="105" t="n">
        <f aca="false">IFERROR(AQ74/AQ73,0)</f>
        <v>0.0414304956716163</v>
      </c>
      <c r="AR75" s="105" t="n">
        <f aca="false">IFERROR(AR74/AR73,0)</f>
        <v>0.0416772650127126</v>
      </c>
      <c r="AS75" s="105" t="n">
        <f aca="false">IFERROR(AS74/AS73,0)</f>
        <v>0.041916764137473</v>
      </c>
      <c r="AT75" s="105" t="n">
        <f aca="false">IFERROR(AT74/AT73,0)</f>
        <v>0.042148173914632</v>
      </c>
      <c r="AU75" s="105" t="n">
        <f aca="false">IFERROR(AU74/AU73,0)</f>
        <v>0.0423667026894524</v>
      </c>
      <c r="AV75" s="105" t="n">
        <f aca="false">IFERROR(AV74/AV73,0)</f>
        <v>0.0425743611433764</v>
      </c>
      <c r="AW75" s="105" t="n">
        <f aca="false">IFERROR(AW74/AW73,0)</f>
        <v>0.0427710204194498</v>
      </c>
      <c r="AX75" s="105" t="n">
        <f aca="false">IFERROR(AX74/AX73,0)</f>
        <v>0.0429575318712864</v>
      </c>
      <c r="AY75" s="105" t="n">
        <f aca="false">IFERROR(AY74/AY73,0)</f>
        <v>0.0431317085404337</v>
      </c>
      <c r="AZ75" s="105" t="n">
        <f aca="false">IFERROR(AZ74/AZ73,0)</f>
        <v>0.0432974775595094</v>
      </c>
      <c r="BA75" s="105" t="n">
        <f aca="false">IFERROR(BA74/BA73,0)</f>
        <v>0.0434554333481562</v>
      </c>
      <c r="BB75" s="104" t="n">
        <f aca="false">IFERROR(AVERAGE(BC75:BN75),0)</f>
        <v>0.0475115323585456</v>
      </c>
      <c r="BC75" s="105" t="n">
        <f aca="false">IFERROR(BC74/BC73,0)</f>
        <v>0.0465937272632318</v>
      </c>
      <c r="BD75" s="105" t="n">
        <f aca="false">IFERROR(BD74/BD73,0)</f>
        <v>0.0467720955637451</v>
      </c>
      <c r="BE75" s="105" t="n">
        <f aca="false">IFERROR(BE74/BE73,0)</f>
        <v>0.0469562938012654</v>
      </c>
      <c r="BF75" s="105" t="n">
        <f aca="false">IFERROR(BF74/BF73,0)</f>
        <v>0.0471357913922674</v>
      </c>
      <c r="BG75" s="105" t="n">
        <f aca="false">IFERROR(BG74/BG73,0)</f>
        <v>0.0473069920084501</v>
      </c>
      <c r="BH75" s="105" t="n">
        <f aca="false">IFERROR(BH74/BH73,0)</f>
        <v>0.0474708975012197</v>
      </c>
      <c r="BI75" s="105" t="n">
        <f aca="false">IFERROR(BI74/BI73,0)</f>
        <v>0.0476283271560161</v>
      </c>
      <c r="BJ75" s="105" t="n">
        <f aca="false">IFERROR(BJ74/BJ73,0)</f>
        <v>0.0477793081039798</v>
      </c>
      <c r="BK75" s="105" t="n">
        <f aca="false">IFERROR(BK74/BK73,0)</f>
        <v>0.0479242286250573</v>
      </c>
      <c r="BL75" s="105" t="n">
        <f aca="false">IFERROR(BL74/BL73,0)</f>
        <v>0.0480606270496484</v>
      </c>
      <c r="BM75" s="105" t="n">
        <f aca="false">IFERROR(BM74/BM73,0)</f>
        <v>0.0481918662695209</v>
      </c>
      <c r="BN75" s="105" t="n">
        <f aca="false">IFERROR(BN74/BN73,0)</f>
        <v>0.0483182335681458</v>
      </c>
    </row>
    <row r="76" customFormat="false" ht="15" hidden="false" customHeight="false" outlineLevel="0" collapsed="false">
      <c r="A76" s="12" t="s">
        <v>713</v>
      </c>
      <c r="B76" s="84" t="n">
        <f aca="false">IFERROR(AVERAGE(C76:N76),0)</f>
        <v>29.4660185141322</v>
      </c>
      <c r="C76" s="106" t="n">
        <f aca="false">Acquisitions!C$150</f>
        <v>9.42971021402098</v>
      </c>
      <c r="D76" s="106" t="n">
        <f aca="false">Acquisitions!D$150</f>
        <v>50.0562227976815</v>
      </c>
      <c r="E76" s="106" t="n">
        <f aca="false">Acquisitions!E$150</f>
        <v>42.3737063902264</v>
      </c>
      <c r="F76" s="106" t="n">
        <f aca="false">Acquisitions!F$150</f>
        <v>42.3737063902264</v>
      </c>
      <c r="G76" s="106" t="n">
        <f aca="false">Acquisitions!G$150</f>
        <v>39.4283583842183</v>
      </c>
      <c r="H76" s="106" t="n">
        <f aca="false">Acquisitions!H$150</f>
        <v>36.8658548568548</v>
      </c>
      <c r="I76" s="106" t="n">
        <f aca="false">Acquisitions!I$150</f>
        <v>30.4338859415591</v>
      </c>
      <c r="J76" s="106" t="n">
        <f aca="false">Acquisitions!J$150</f>
        <v>25.9128779255934</v>
      </c>
      <c r="K76" s="106" t="n">
        <f aca="false">Acquisitions!K$150</f>
        <v>22.5613492680982</v>
      </c>
      <c r="L76" s="106" t="n">
        <f aca="false">Acquisitions!L$150</f>
        <v>19.9774934017884</v>
      </c>
      <c r="M76" s="106" t="n">
        <f aca="false">Acquisitions!M$150</f>
        <v>17.9246581497211</v>
      </c>
      <c r="N76" s="106" t="n">
        <f aca="false">Acquisitions!N$150</f>
        <v>16.254398449598</v>
      </c>
      <c r="O76" s="84" t="n">
        <f aca="false">IFERROR(AVERAGE(P76:AA76),0)</f>
        <v>22.0401932123884</v>
      </c>
      <c r="P76" s="106" t="n">
        <f aca="false">Acquisitions!P$150</f>
        <v>35.9713785924008</v>
      </c>
      <c r="Q76" s="106" t="n">
        <f aca="false">Acquisitions!Q$150</f>
        <v>33.4797991728946</v>
      </c>
      <c r="R76" s="106" t="n">
        <f aca="false">Acquisitions!R$150</f>
        <v>29.4834287551412</v>
      </c>
      <c r="S76" s="106" t="n">
        <f aca="false">Acquisitions!S$150</f>
        <v>26.0971225666981</v>
      </c>
      <c r="T76" s="106" t="n">
        <f aca="false">Acquisitions!T$150</f>
        <v>23.2224899860873</v>
      </c>
      <c r="U76" s="106" t="n">
        <f aca="false">Acquisitions!U$150</f>
        <v>20.9183104161065</v>
      </c>
      <c r="V76" s="106" t="n">
        <f aca="false">Acquisitions!V$150</f>
        <v>19.0830318960175</v>
      </c>
      <c r="W76" s="106" t="n">
        <f aca="false">Acquisitions!W$150</f>
        <v>17.543816318416</v>
      </c>
      <c r="X76" s="106" t="n">
        <f aca="false">Acquisitions!X$150</f>
        <v>16.234370517107</v>
      </c>
      <c r="Y76" s="106" t="n">
        <f aca="false">Acquisitions!Y$150</f>
        <v>15.0972781165307</v>
      </c>
      <c r="Z76" s="106" t="n">
        <f aca="false">Acquisitions!Z$150</f>
        <v>14.1090481501173</v>
      </c>
      <c r="AA76" s="106" t="n">
        <f aca="false">Acquisitions!AA$150</f>
        <v>13.2422440611435</v>
      </c>
      <c r="AB76" s="84" t="n">
        <f aca="false">IFERROR(AVERAGE(AC76:AN76),0)</f>
        <v>16.0118270552528</v>
      </c>
      <c r="AC76" s="106" t="n">
        <f aca="false">Acquisitions!AC$150</f>
        <v>20.9247321057941</v>
      </c>
      <c r="AD76" s="106" t="n">
        <f aca="false">Acquisitions!AD$150</f>
        <v>20.2455112109182</v>
      </c>
      <c r="AE76" s="106" t="n">
        <f aca="false">Acquisitions!AE$150</f>
        <v>19.2340964051614</v>
      </c>
      <c r="AF76" s="106" t="n">
        <f aca="false">Acquisitions!AF$150</f>
        <v>18.0271576774698</v>
      </c>
      <c r="AG76" s="106" t="n">
        <f aca="false">Acquisitions!AG$150</f>
        <v>16.9700274615217</v>
      </c>
      <c r="AH76" s="106" t="n">
        <f aca="false">Acquisitions!AH$150</f>
        <v>16.0300118374003</v>
      </c>
      <c r="AI76" s="106" t="n">
        <f aca="false">Acquisitions!AI$150</f>
        <v>15.1606483639448</v>
      </c>
      <c r="AJ76" s="106" t="n">
        <f aca="false">Acquisitions!AJ$150</f>
        <v>14.3807311374748</v>
      </c>
      <c r="AK76" s="106" t="n">
        <f aca="false">Acquisitions!AK$150</f>
        <v>13.6771312633214</v>
      </c>
      <c r="AL76" s="106" t="n">
        <f aca="false">Acquisitions!AL$150</f>
        <v>13.0519154490019</v>
      </c>
      <c r="AM76" s="106" t="n">
        <f aca="false">Acquisitions!AM$150</f>
        <v>12.4813612664205</v>
      </c>
      <c r="AN76" s="106" t="n">
        <f aca="false">Acquisitions!AN$150</f>
        <v>11.958600484605</v>
      </c>
      <c r="AO76" s="84" t="n">
        <f aca="false">IFERROR(AVERAGE(AP76:BA76),0)</f>
        <v>12.5694970510215</v>
      </c>
      <c r="AP76" s="106" t="n">
        <f aca="false">Acquisitions!AP$150</f>
        <v>15.0451174488534</v>
      </c>
      <c r="AQ76" s="106" t="n">
        <f aca="false">Acquisitions!AQ$150</f>
        <v>14.4936621192444</v>
      </c>
      <c r="AR76" s="106" t="n">
        <f aca="false">Acquisitions!AR$150</f>
        <v>13.9929542412619</v>
      </c>
      <c r="AS76" s="106" t="n">
        <f aca="false">Acquisitions!AS$150</f>
        <v>13.5126354982917</v>
      </c>
      <c r="AT76" s="106" t="n">
        <f aca="false">Acquisitions!AT$150</f>
        <v>13.0537252508379</v>
      </c>
      <c r="AU76" s="106" t="n">
        <f aca="false">Acquisitions!AU$150</f>
        <v>12.6249617915851</v>
      </c>
      <c r="AV76" s="106" t="n">
        <f aca="false">Acquisitions!AV$150</f>
        <v>12.2216049988403</v>
      </c>
      <c r="AW76" s="106" t="n">
        <f aca="false">Acquisitions!AW$150</f>
        <v>11.8432240617594</v>
      </c>
      <c r="AX76" s="106" t="n">
        <f aca="false">Acquisitions!AX$150</f>
        <v>11.4875688855285</v>
      </c>
      <c r="AY76" s="106" t="n">
        <f aca="false">Acquisitions!AY$150</f>
        <v>11.1582121404385</v>
      </c>
      <c r="AZ76" s="106" t="n">
        <f aca="false">Acquisitions!AZ$150</f>
        <v>10.8472148009887</v>
      </c>
      <c r="BA76" s="106" t="n">
        <f aca="false">Acquisitions!BA$150</f>
        <v>10.5530833746281</v>
      </c>
      <c r="BB76" s="84" t="n">
        <f aca="false">IFERROR(AVERAGE(BC76:BN76),0)</f>
        <v>10.5167878385803</v>
      </c>
      <c r="BC76" s="106" t="n">
        <f aca="false">Acquisitions!BC$150</f>
        <v>12.026691657762</v>
      </c>
      <c r="BD76" s="106" t="n">
        <f aca="false">Acquisitions!BD$150</f>
        <v>11.7266122211301</v>
      </c>
      <c r="BE76" s="106" t="n">
        <f aca="false">Acquisitions!BE$150</f>
        <v>11.4191174934789</v>
      </c>
      <c r="BF76" s="106" t="n">
        <f aca="false">Acquisitions!BF$150</f>
        <v>11.1217819328318</v>
      </c>
      <c r="BG76" s="106" t="n">
        <f aca="false">Acquisitions!BG$150</f>
        <v>10.8402925435729</v>
      </c>
      <c r="BH76" s="106" t="n">
        <f aca="false">Acquisitions!BH$150</f>
        <v>10.5727002675244</v>
      </c>
      <c r="BI76" s="106" t="n">
        <f aca="false">Acquisitions!BI$150</f>
        <v>10.3174144928099</v>
      </c>
      <c r="BJ76" s="106" t="n">
        <f aca="false">Acquisitions!BJ$150</f>
        <v>10.0741661969983</v>
      </c>
      <c r="BK76" s="106" t="n">
        <f aca="false">Acquisitions!BK$150</f>
        <v>9.84212358677662</v>
      </c>
      <c r="BL76" s="106" t="n">
        <f aca="false">Acquisitions!BL$150</f>
        <v>9.62500468524477</v>
      </c>
      <c r="BM76" s="106" t="n">
        <f aca="false">Acquisitions!BM$150</f>
        <v>9.41725838159138</v>
      </c>
      <c r="BN76" s="106" t="n">
        <f aca="false">Acquisitions!BN$150</f>
        <v>9.21829060324192</v>
      </c>
    </row>
    <row r="77" customFormat="false" ht="15" hidden="false" customHeight="false" outlineLevel="0" collapsed="false">
      <c r="A77" s="66" t="s">
        <v>714</v>
      </c>
      <c r="B77" s="107" t="n">
        <f aca="false">N77</f>
        <v>58.6587385234798</v>
      </c>
      <c r="C77" s="108" t="n">
        <f aca="false">Acquisitions!C$149</f>
        <v>18.2253130295038</v>
      </c>
      <c r="D77" s="108" t="n">
        <f aca="false">Acquisitions!D$149</f>
        <v>20.1883572772374</v>
      </c>
      <c r="E77" s="108" t="n">
        <f aca="false">Acquisitions!E$149</f>
        <v>22.5877855367737</v>
      </c>
      <c r="F77" s="108" t="n">
        <f aca="false">Acquisitions!F$149</f>
        <v>24.8432481007378</v>
      </c>
      <c r="G77" s="108" t="n">
        <f aca="false">Acquisitions!G$149</f>
        <v>27.2331089645641</v>
      </c>
      <c r="H77" s="108" t="n">
        <f aca="false">Acquisitions!H$149</f>
        <v>29.7493042302611</v>
      </c>
      <c r="I77" s="108" t="n">
        <f aca="false">Acquisitions!I$149</f>
        <v>32.9916369472337</v>
      </c>
      <c r="J77" s="108" t="n">
        <f aca="false">Acquisitions!J$149</f>
        <v>36.9165388684054</v>
      </c>
      <c r="K77" s="108" t="n">
        <f aca="false">Acquisitions!K$149</f>
        <v>41.4830558415243</v>
      </c>
      <c r="L77" s="108" t="n">
        <f aca="false">Acquisitions!L$149</f>
        <v>46.6526909634736</v>
      </c>
      <c r="M77" s="108" t="n">
        <f aca="false">Acquisitions!M$149</f>
        <v>52.3892571453234</v>
      </c>
      <c r="N77" s="108" t="n">
        <f aca="false">Acquisitions!N$149</f>
        <v>58.6587385234798</v>
      </c>
      <c r="O77" s="107" t="n">
        <f aca="false">AA77</f>
        <v>276.769505839904</v>
      </c>
      <c r="P77" s="108" t="n">
        <f aca="false">Acquisitions!P$149</f>
        <v>69.9009503694997</v>
      </c>
      <c r="Q77" s="108" t="n">
        <f aca="false">Acquisitions!Q$149</f>
        <v>81.5672035378968</v>
      </c>
      <c r="R77" s="108" t="n">
        <f aca="false">Acquisitions!R$149</f>
        <v>94.6832882767393</v>
      </c>
      <c r="S77" s="108" t="n">
        <f aca="false">Acquisitions!S$149</f>
        <v>109.349361759409</v>
      </c>
      <c r="T77" s="108" t="n">
        <f aca="false">Acquisitions!T$149</f>
        <v>125.654165108243</v>
      </c>
      <c r="U77" s="108" t="n">
        <f aca="false">Acquisitions!U$149</f>
        <v>143.499374531272</v>
      </c>
      <c r="V77" s="108" t="n">
        <f aca="false">Acquisitions!V$149</f>
        <v>162.715179101729</v>
      </c>
      <c r="W77" s="108" t="n">
        <f aca="false">Acquisitions!W$149</f>
        <v>183.219343110769</v>
      </c>
      <c r="X77" s="108" t="n">
        <f aca="false">Acquisitions!X$149</f>
        <v>204.934564992076</v>
      </c>
      <c r="Y77" s="108" t="n">
        <f aca="false">Acquisitions!Y$149</f>
        <v>227.810393994611</v>
      </c>
      <c r="Z77" s="108" t="n">
        <f aca="false">Acquisitions!Z$149</f>
        <v>251.777193691099</v>
      </c>
      <c r="AA77" s="108" t="n">
        <f aca="false">Acquisitions!AA$149</f>
        <v>276.769505839904</v>
      </c>
      <c r="AB77" s="107" t="n">
        <f aca="false">AN77</f>
        <v>764.292253473293</v>
      </c>
      <c r="AC77" s="108" t="n">
        <f aca="false">Acquisitions!AC$149</f>
        <v>311.77689950264</v>
      </c>
      <c r="AD77" s="108" t="n">
        <f aca="false">Acquisitions!AD$149</f>
        <v>346.415443812188</v>
      </c>
      <c r="AE77" s="108" t="n">
        <f aca="false">Acquisitions!AE$149</f>
        <v>381.780802450311</v>
      </c>
      <c r="AF77" s="108" t="n">
        <f aca="false">Acquisitions!AF$149</f>
        <v>418.783565087347</v>
      </c>
      <c r="AG77" s="108" t="n">
        <f aca="false">Acquisitions!AG$149</f>
        <v>457.298168878296</v>
      </c>
      <c r="AH77" s="108" t="n">
        <f aca="false">Acquisitions!AH$149</f>
        <v>497.233903353922</v>
      </c>
      <c r="AI77" s="108" t="n">
        <f aca="false">Acquisitions!AI$149</f>
        <v>538.636928022047</v>
      </c>
      <c r="AJ77" s="108" t="n">
        <f aca="false">Acquisitions!AJ$149</f>
        <v>581.41920547112</v>
      </c>
      <c r="AK77" s="108" t="n">
        <f aca="false">Acquisitions!AK$149</f>
        <v>625.497980534285</v>
      </c>
      <c r="AL77" s="108" t="n">
        <f aca="false">Acquisitions!AL$149</f>
        <v>670.714577054441</v>
      </c>
      <c r="AM77" s="108" t="n">
        <f aca="false">Acquisitions!AM$149</f>
        <v>717.000725744168</v>
      </c>
      <c r="AN77" s="108" t="n">
        <f aca="false">Acquisitions!AN$149</f>
        <v>764.292253473293</v>
      </c>
      <c r="AO77" s="107" t="n">
        <f aca="false">BA77</f>
        <v>1562.66983878534</v>
      </c>
      <c r="AP77" s="108" t="n">
        <f aca="false">Acquisitions!AP$149</f>
        <v>829.101850353445</v>
      </c>
      <c r="AQ77" s="108" t="n">
        <f aca="false">Acquisitions!AQ$149</f>
        <v>894.233538076369</v>
      </c>
      <c r="AR77" s="108" t="n">
        <f aca="false">Acquisitions!AR$149</f>
        <v>959.56798035918</v>
      </c>
      <c r="AS77" s="108" t="n">
        <f aca="false">Acquisitions!AS$149</f>
        <v>1025.2119073967</v>
      </c>
      <c r="AT77" s="108" t="n">
        <f aca="false">Acquisitions!AT$149</f>
        <v>1091.24898950566</v>
      </c>
      <c r="AU77" s="108" t="n">
        <f aca="false">Acquisitions!AU$149</f>
        <v>1157.65563738177</v>
      </c>
      <c r="AV77" s="108" t="n">
        <f aca="false">Acquisitions!AV$149</f>
        <v>1224.43045170376</v>
      </c>
      <c r="AW77" s="108" t="n">
        <f aca="false">Acquisitions!AW$149</f>
        <v>1291.5513424849</v>
      </c>
      <c r="AX77" s="108" t="n">
        <f aca="false">Acquisitions!AX$149</f>
        <v>1358.99754513762</v>
      </c>
      <c r="AY77" s="108" t="n">
        <f aca="false">Acquisitions!AY$149</f>
        <v>1426.67514582101</v>
      </c>
      <c r="AZ77" s="108" t="n">
        <f aca="false">Acquisitions!AZ$149</f>
        <v>1494.57026065323</v>
      </c>
      <c r="BA77" s="108" t="n">
        <f aca="false">Acquisitions!BA$149</f>
        <v>1562.66983878534</v>
      </c>
      <c r="BB77" s="107" t="n">
        <f aca="false">BN77</f>
        <v>2639.77618222463</v>
      </c>
      <c r="BC77" s="108" t="n">
        <f aca="false">Acquisitions!BC$149</f>
        <v>1654.12267822459</v>
      </c>
      <c r="BD77" s="108" t="n">
        <f aca="false">Acquisitions!BD$149</f>
        <v>1744.8278765478</v>
      </c>
      <c r="BE77" s="108" t="n">
        <f aca="false">Acquisitions!BE$149</f>
        <v>1835.20581765381</v>
      </c>
      <c r="BF77" s="108" t="n">
        <f aca="false">Acquisitions!BF$149</f>
        <v>1925.3761223503</v>
      </c>
      <c r="BG77" s="108" t="n">
        <f aca="false">Acquisitions!BG$149</f>
        <v>2015.33693943332</v>
      </c>
      <c r="BH77" s="108" t="n">
        <f aca="false">Acquisitions!BH$149</f>
        <v>2105.10083815967</v>
      </c>
      <c r="BI77" s="108" t="n">
        <f aca="false">Acquisitions!BI$149</f>
        <v>2194.69190061595</v>
      </c>
      <c r="BJ77" s="108" t="n">
        <f aca="false">Acquisitions!BJ$149</f>
        <v>2284.12049697837</v>
      </c>
      <c r="BK77" s="108" t="n">
        <f aca="false">Acquisitions!BK$149</f>
        <v>2373.39637521257</v>
      </c>
      <c r="BL77" s="108" t="n">
        <f aca="false">Acquisitions!BL$149</f>
        <v>2462.42105147395</v>
      </c>
      <c r="BM77" s="108" t="n">
        <f aca="false">Acquisitions!BM$149</f>
        <v>2551.20959788088</v>
      </c>
      <c r="BN77" s="108" t="n">
        <f aca="false">Acquisitions!BN$149</f>
        <v>2639.77618222463</v>
      </c>
    </row>
    <row r="78" customFormat="false" ht="15" hidden="false" customHeight="false" outlineLevel="0" collapsed="false">
      <c r="A78" s="71" t="s">
        <v>715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589</v>
      </c>
    </row>
    <row r="2" customFormat="false" ht="13.5" hidden="false" customHeight="true" outlineLevel="0" collapsed="false">
      <c r="A2" s="6" t="s">
        <v>716</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717</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311</v>
      </c>
      <c r="B7" s="80" t="n">
        <f aca="false">SUM(C7:N7)</f>
        <v>23.4366579831491</v>
      </c>
      <c r="C7" s="96" t="n">
        <f aca="false">Acquisitions!C$113*'Assumption Setting'!$D$95/'Assumption Setting'!$E$95</f>
        <v>0.833333333333333</v>
      </c>
      <c r="D7" s="96" t="n">
        <f aca="false">Acquisitions!D$113*'Assumption Setting'!$D$95/'Assumption Setting'!$E$95</f>
        <v>1.33333333333333</v>
      </c>
      <c r="E7" s="96" t="n">
        <f aca="false">Acquisitions!E$113*'Assumption Setting'!$D$95/'Assumption Setting'!$E$95</f>
        <v>1.66666666666667</v>
      </c>
      <c r="F7" s="96" t="n">
        <f aca="false">Acquisitions!F$113*'Assumption Setting'!$D$95/'Assumption Setting'!$E$95</f>
        <v>1.66666666666667</v>
      </c>
      <c r="G7" s="96" t="n">
        <f aca="false">Acquisitions!G$113*'Assumption Setting'!$D$95/'Assumption Setting'!$E$95</f>
        <v>1.66666666666667</v>
      </c>
      <c r="H7" s="96" t="n">
        <f aca="false">Acquisitions!H$113*'Assumption Setting'!$D$95/'Assumption Setting'!$E$95</f>
        <v>1.66666666666667</v>
      </c>
      <c r="I7" s="96" t="n">
        <f aca="false">Acquisitions!I$113*'Assumption Setting'!$D$95/'Assumption Setting'!$E$95</f>
        <v>1.88587260237218</v>
      </c>
      <c r="J7" s="96" t="n">
        <f aca="false">Acquisitions!J$113*'Assumption Setting'!$D$95/'Assumption Setting'!$E$95</f>
        <v>2.10507853807769</v>
      </c>
      <c r="K7" s="96" t="n">
        <f aca="false">Acquisitions!K$113*'Assumption Setting'!$D$95/'Assumption Setting'!$E$95</f>
        <v>2.3242844737832</v>
      </c>
      <c r="L7" s="96" t="n">
        <f aca="false">Acquisitions!L$113*'Assumption Setting'!$D$95/'Assumption Setting'!$E$95</f>
        <v>2.54349040948871</v>
      </c>
      <c r="M7" s="96" t="n">
        <f aca="false">Acquisitions!M$113*'Assumption Setting'!$D$95/'Assumption Setting'!$E$95</f>
        <v>2.76269634519422</v>
      </c>
      <c r="N7" s="96" t="n">
        <f aca="false">Acquisitions!N$113*'Assumption Setting'!$D$95/'Assumption Setting'!$E$95</f>
        <v>2.98190228089973</v>
      </c>
      <c r="O7" s="80" t="n">
        <f aca="false">SUM(P7:AA7)</f>
        <v>48.2933549339598</v>
      </c>
      <c r="P7" s="96" t="n">
        <f aca="false">Acquisitions!P$113*'Assumption Setting'!$D$95/'Assumption Setting'!$E$95</f>
        <v>3.11238200453396</v>
      </c>
      <c r="Q7" s="96" t="n">
        <f aca="false">Acquisitions!Q$113*'Assumption Setting'!$D$95/'Assumption Setting'!$E$95</f>
        <v>3.2428617281682</v>
      </c>
      <c r="R7" s="96" t="n">
        <f aca="false">Acquisitions!R$113*'Assumption Setting'!$D$95/'Assumption Setting'!$E$95</f>
        <v>3.38638942416585</v>
      </c>
      <c r="S7" s="96" t="n">
        <f aca="false">Acquisitions!S$113*'Assumption Setting'!$D$95/'Assumption Setting'!$E$95</f>
        <v>3.52991712016351</v>
      </c>
      <c r="T7" s="96" t="n">
        <f aca="false">Acquisitions!T$113*'Assumption Setting'!$D$95/'Assumption Setting'!$E$95</f>
        <v>3.67344481616116</v>
      </c>
      <c r="U7" s="96" t="n">
        <f aca="false">Acquisitions!U$113*'Assumption Setting'!$D$95/'Assumption Setting'!$E$95</f>
        <v>3.81697251215882</v>
      </c>
      <c r="V7" s="96" t="n">
        <f aca="false">Acquisitions!V$113*'Assumption Setting'!$D$95/'Assumption Setting'!$E$95</f>
        <v>4.03742738147574</v>
      </c>
      <c r="W7" s="96" t="n">
        <f aca="false">Acquisitions!W$113*'Assumption Setting'!$D$95/'Assumption Setting'!$E$95</f>
        <v>4.25788225079267</v>
      </c>
      <c r="X7" s="96" t="n">
        <f aca="false">Acquisitions!X$113*'Assumption Setting'!$D$95/'Assumption Setting'!$E$95</f>
        <v>4.47833712010959</v>
      </c>
      <c r="Y7" s="96" t="n">
        <f aca="false">Acquisitions!Y$113*'Assumption Setting'!$D$95/'Assumption Setting'!$E$95</f>
        <v>4.69879198942651</v>
      </c>
      <c r="Z7" s="96" t="n">
        <f aca="false">Acquisitions!Z$113*'Assumption Setting'!$D$95/'Assumption Setting'!$E$95</f>
        <v>4.91924685874344</v>
      </c>
      <c r="AA7" s="96" t="n">
        <f aca="false">Acquisitions!AA$113*'Assumption Setting'!$D$95/'Assumption Setting'!$E$95</f>
        <v>5.13970172806036</v>
      </c>
      <c r="AB7" s="80" t="n">
        <f aca="false">SUM(AC7:AN7)</f>
        <v>55.7302239736396</v>
      </c>
      <c r="AC7" s="96" t="n">
        <f aca="false">Acquisitions!AC$113*'Assumption Setting'!$D$95/'Assumption Setting'!$E$95</f>
        <v>4.49155048495324</v>
      </c>
      <c r="AD7" s="96" t="n">
        <f aca="false">Acquisitions!AD$113*'Assumption Setting'!$D$95/'Assumption Setting'!$E$95</f>
        <v>4.17673257517946</v>
      </c>
      <c r="AE7" s="96" t="n">
        <f aca="false">Acquisitions!AE$113*'Assumption Setting'!$D$95/'Assumption Setting'!$E$95</f>
        <v>4.04541606754745</v>
      </c>
      <c r="AF7" s="96" t="n">
        <f aca="false">Acquisitions!AF$113*'Assumption Setting'!$D$95/'Assumption Setting'!$E$95</f>
        <v>4.24743289324877</v>
      </c>
      <c r="AG7" s="96" t="n">
        <f aca="false">Acquisitions!AG$113*'Assumption Setting'!$D$95/'Assumption Setting'!$E$95</f>
        <v>4.4494497189501</v>
      </c>
      <c r="AH7" s="96" t="n">
        <f aca="false">Acquisitions!AH$113*'Assumption Setting'!$D$95/'Assumption Setting'!$E$95</f>
        <v>4.65146654465143</v>
      </c>
      <c r="AI7" s="96" t="n">
        <f aca="false">Acquisitions!AI$113*'Assumption Setting'!$D$95/'Assumption Setting'!$E$95</f>
        <v>4.73524637423241</v>
      </c>
      <c r="AJ7" s="96" t="n">
        <f aca="false">Acquisitions!AJ$113*'Assumption Setting'!$D$95/'Assumption Setting'!$E$95</f>
        <v>4.81902620381338</v>
      </c>
      <c r="AK7" s="96" t="n">
        <f aca="false">Acquisitions!AK$113*'Assumption Setting'!$D$95/'Assumption Setting'!$E$95</f>
        <v>4.90280603339436</v>
      </c>
      <c r="AL7" s="96" t="n">
        <f aca="false">Acquisitions!AL$113*'Assumption Setting'!$D$95/'Assumption Setting'!$E$95</f>
        <v>4.98658586297534</v>
      </c>
      <c r="AM7" s="96" t="n">
        <f aca="false">Acquisitions!AM$113*'Assumption Setting'!$D$95/'Assumption Setting'!$E$95</f>
        <v>5.07036569255632</v>
      </c>
      <c r="AN7" s="96" t="n">
        <f aca="false">Acquisitions!AN$113*'Assumption Setting'!$D$95/'Assumption Setting'!$E$95</f>
        <v>5.1541455221373</v>
      </c>
      <c r="AO7" s="80" t="n">
        <f aca="false">SUM(AP7:BA7)</f>
        <v>75.6341561389684</v>
      </c>
      <c r="AP7" s="96" t="n">
        <f aca="false">Acquisitions!AP$113*'Assumption Setting'!$D$95/'Assumption Setting'!$E$95</f>
        <v>5.32665156378956</v>
      </c>
      <c r="AQ7" s="96" t="n">
        <f aca="false">Acquisitions!AQ$113*'Assumption Setting'!$D$95/'Assumption Setting'!$E$95</f>
        <v>5.49915760544182</v>
      </c>
      <c r="AR7" s="96" t="n">
        <f aca="false">Acquisitions!AR$113*'Assumption Setting'!$D$95/'Assumption Setting'!$E$95</f>
        <v>5.67124008161759</v>
      </c>
      <c r="AS7" s="96" t="n">
        <f aca="false">Acquisitions!AS$113*'Assumption Setting'!$D$95/'Assumption Setting'!$E$95</f>
        <v>5.84332255779336</v>
      </c>
      <c r="AT7" s="96" t="n">
        <f aca="false">Acquisitions!AT$113*'Assumption Setting'!$D$95/'Assumption Setting'!$E$95</f>
        <v>6.01540503396913</v>
      </c>
      <c r="AU7" s="96" t="n">
        <f aca="false">Acquisitions!AU$113*'Assumption Setting'!$D$95/'Assumption Setting'!$E$95</f>
        <v>6.1874875101449</v>
      </c>
      <c r="AV7" s="96" t="n">
        <f aca="false">Acquisitions!AV$113*'Assumption Setting'!$D$95/'Assumption Setting'!$E$95</f>
        <v>6.37634306849455</v>
      </c>
      <c r="AW7" s="96" t="n">
        <f aca="false">Acquisitions!AW$113*'Assumption Setting'!$D$95/'Assumption Setting'!$E$95</f>
        <v>6.5651986268442</v>
      </c>
      <c r="AX7" s="96" t="n">
        <f aca="false">Acquisitions!AX$113*'Assumption Setting'!$D$95/'Assumption Setting'!$E$95</f>
        <v>6.75405418519385</v>
      </c>
      <c r="AY7" s="96" t="n">
        <f aca="false">Acquisitions!AY$113*'Assumption Setting'!$D$95/'Assumption Setting'!$E$95</f>
        <v>6.9429097435435</v>
      </c>
      <c r="AZ7" s="96" t="n">
        <f aca="false">Acquisitions!AZ$113*'Assumption Setting'!$D$95/'Assumption Setting'!$E$95</f>
        <v>7.13176530189315</v>
      </c>
      <c r="BA7" s="96" t="n">
        <f aca="false">Acquisitions!BA$113*'Assumption Setting'!$D$95/'Assumption Setting'!$E$95</f>
        <v>7.3206208602428</v>
      </c>
      <c r="BB7" s="80" t="n">
        <f aca="false">SUM(BC7:BN7)</f>
        <v>105.226328817071</v>
      </c>
      <c r="BC7" s="96" t="n">
        <f aca="false">Acquisitions!BC$113*'Assumption Setting'!$D$95/'Assumption Setting'!$E$95</f>
        <v>7.54474919768315</v>
      </c>
      <c r="BD7" s="96" t="n">
        <f aca="false">Acquisitions!BD$113*'Assumption Setting'!$D$95/'Assumption Setting'!$E$95</f>
        <v>7.76887753512351</v>
      </c>
      <c r="BE7" s="96" t="n">
        <f aca="false">Acquisitions!BE$113*'Assumption Setting'!$D$95/'Assumption Setting'!$E$95</f>
        <v>7.99254355419542</v>
      </c>
      <c r="BF7" s="96" t="n">
        <f aca="false">Acquisitions!BF$113*'Assumption Setting'!$D$95/'Assumption Setting'!$E$95</f>
        <v>8.21620957326733</v>
      </c>
      <c r="BG7" s="96" t="n">
        <f aca="false">Acquisitions!BG$113*'Assumption Setting'!$D$95/'Assumption Setting'!$E$95</f>
        <v>8.43987559233925</v>
      </c>
      <c r="BH7" s="96" t="n">
        <f aca="false">Acquisitions!BH$113*'Assumption Setting'!$D$95/'Assumption Setting'!$E$95</f>
        <v>8.66354161141116</v>
      </c>
      <c r="BI7" s="96" t="n">
        <f aca="false">Acquisitions!BI$113*'Assumption Setting'!$D$95/'Assumption Setting'!$E$95</f>
        <v>8.88350742496278</v>
      </c>
      <c r="BJ7" s="96" t="n">
        <f aca="false">Acquisitions!BJ$113*'Assumption Setting'!$D$95/'Assumption Setting'!$E$95</f>
        <v>9.1034732385144</v>
      </c>
      <c r="BK7" s="96" t="n">
        <f aca="false">Acquisitions!BK$113*'Assumption Setting'!$D$95/'Assumption Setting'!$E$95</f>
        <v>9.32343905206602</v>
      </c>
      <c r="BL7" s="96" t="n">
        <f aca="false">Acquisitions!BL$113*'Assumption Setting'!$D$95/'Assumption Setting'!$E$95</f>
        <v>9.54340486561764</v>
      </c>
      <c r="BM7" s="96" t="n">
        <f aca="false">Acquisitions!BM$113*'Assumption Setting'!$D$95/'Assumption Setting'!$E$95</f>
        <v>9.76337067916925</v>
      </c>
      <c r="BN7" s="96" t="n">
        <f aca="false">Acquisitions!BN$113*'Assumption Setting'!$D$95/'Assumption Setting'!$E$95</f>
        <v>9.98333649272088</v>
      </c>
    </row>
    <row r="8" customFormat="false" ht="15" hidden="false" customHeight="false" outlineLevel="0" collapsed="false">
      <c r="A8" s="12" t="s">
        <v>314</v>
      </c>
      <c r="B8" s="80" t="n">
        <f aca="false">SUM(C8:N8)</f>
        <v>0</v>
      </c>
      <c r="C8" s="96" t="n">
        <f aca="false">Acquisitions!C$115*'Assumption Setting'!$D$96/'Assumption Setting'!$E$96</f>
        <v>0</v>
      </c>
      <c r="D8" s="96" t="n">
        <f aca="false">Acquisitions!D$115*'Assumption Setting'!$D$96/'Assumption Setting'!$E$96</f>
        <v>0</v>
      </c>
      <c r="E8" s="96" t="n">
        <f aca="false">Acquisitions!E$115*'Assumption Setting'!$D$96/'Assumption Setting'!$E$96</f>
        <v>0</v>
      </c>
      <c r="F8" s="96" t="n">
        <f aca="false">Acquisitions!F$115*'Assumption Setting'!$D$96/'Assumption Setting'!$E$96</f>
        <v>0</v>
      </c>
      <c r="G8" s="96" t="n">
        <f aca="false">Acquisitions!G$115*'Assumption Setting'!$D$96/'Assumption Setting'!$E$96</f>
        <v>0</v>
      </c>
      <c r="H8" s="96" t="n">
        <f aca="false">Acquisitions!H$115*'Assumption Setting'!$D$96/'Assumption Setting'!$E$96</f>
        <v>0</v>
      </c>
      <c r="I8" s="96" t="n">
        <f aca="false">Acquisitions!I$115*'Assumption Setting'!$D$96/'Assumption Setting'!$E$96</f>
        <v>0</v>
      </c>
      <c r="J8" s="96" t="n">
        <f aca="false">Acquisitions!J$115*'Assumption Setting'!$D$96/'Assumption Setting'!$E$96</f>
        <v>0</v>
      </c>
      <c r="K8" s="96" t="n">
        <f aca="false">Acquisitions!K$115*'Assumption Setting'!$D$96/'Assumption Setting'!$E$96</f>
        <v>0</v>
      </c>
      <c r="L8" s="96" t="n">
        <f aca="false">Acquisitions!L$115*'Assumption Setting'!$D$96/'Assumption Setting'!$E$96</f>
        <v>0</v>
      </c>
      <c r="M8" s="96" t="n">
        <f aca="false">Acquisitions!M$115*'Assumption Setting'!$D$96/'Assumption Setting'!$E$96</f>
        <v>0</v>
      </c>
      <c r="N8" s="96" t="n">
        <f aca="false">Acquisitions!N$115*'Assumption Setting'!$D$96/'Assumption Setting'!$E$96</f>
        <v>0</v>
      </c>
      <c r="O8" s="80" t="n">
        <f aca="false">SUM(P8:AA8)</f>
        <v>0</v>
      </c>
      <c r="P8" s="96" t="n">
        <f aca="false">Acquisitions!P$115*'Assumption Setting'!$D$96/'Assumption Setting'!$E$96</f>
        <v>0</v>
      </c>
      <c r="Q8" s="96" t="n">
        <f aca="false">Acquisitions!Q$115*'Assumption Setting'!$D$96/'Assumption Setting'!$E$96</f>
        <v>0</v>
      </c>
      <c r="R8" s="96" t="n">
        <f aca="false">Acquisitions!R$115*'Assumption Setting'!$D$96/'Assumption Setting'!$E$96</f>
        <v>0</v>
      </c>
      <c r="S8" s="96" t="n">
        <f aca="false">Acquisitions!S$115*'Assumption Setting'!$D$96/'Assumption Setting'!$E$96</f>
        <v>0</v>
      </c>
      <c r="T8" s="96" t="n">
        <f aca="false">Acquisitions!T$115*'Assumption Setting'!$D$96/'Assumption Setting'!$E$96</f>
        <v>0</v>
      </c>
      <c r="U8" s="96" t="n">
        <f aca="false">Acquisitions!U$115*'Assumption Setting'!$D$96/'Assumption Setting'!$E$96</f>
        <v>0</v>
      </c>
      <c r="V8" s="96" t="n">
        <f aca="false">Acquisitions!V$115*'Assumption Setting'!$D$96/'Assumption Setting'!$E$96</f>
        <v>0</v>
      </c>
      <c r="W8" s="96" t="n">
        <f aca="false">Acquisitions!W$115*'Assumption Setting'!$D$96/'Assumption Setting'!$E$96</f>
        <v>0</v>
      </c>
      <c r="X8" s="96" t="n">
        <f aca="false">Acquisitions!X$115*'Assumption Setting'!$D$96/'Assumption Setting'!$E$96</f>
        <v>0</v>
      </c>
      <c r="Y8" s="96" t="n">
        <f aca="false">Acquisitions!Y$115*'Assumption Setting'!$D$96/'Assumption Setting'!$E$96</f>
        <v>0</v>
      </c>
      <c r="Z8" s="96" t="n">
        <f aca="false">Acquisitions!Z$115*'Assumption Setting'!$D$96/'Assumption Setting'!$E$96</f>
        <v>0</v>
      </c>
      <c r="AA8" s="96" t="n">
        <f aca="false">Acquisitions!AA$115*'Assumption Setting'!$D$96/'Assumption Setting'!$E$96</f>
        <v>0</v>
      </c>
      <c r="AB8" s="80" t="n">
        <f aca="false">SUM(AC8:AN8)</f>
        <v>4.19771069281544</v>
      </c>
      <c r="AC8" s="96" t="n">
        <f aca="false">Acquisitions!AC$115*'Assumption Setting'!$D$96/'Assumption Setting'!$E$96</f>
        <v>0.0444437016542917</v>
      </c>
      <c r="AD8" s="96" t="n">
        <f aca="false">Acquisitions!AD$115*'Assumption Setting'!$D$96/'Assumption Setting'!$E$96</f>
        <v>0.0888874033085834</v>
      </c>
      <c r="AE8" s="96" t="n">
        <f aca="false">Acquisitions!AE$115*'Assumption Setting'!$D$96/'Assumption Setting'!$E$96</f>
        <v>0.137371441476902</v>
      </c>
      <c r="AF8" s="96" t="n">
        <f aca="false">Acquisitions!AF$115*'Assumption Setting'!$D$96/'Assumption Setting'!$E$96</f>
        <v>0.18585547964522</v>
      </c>
      <c r="AG8" s="96" t="n">
        <f aca="false">Acquisitions!AG$115*'Assumption Setting'!$D$96/'Assumption Setting'!$E$96</f>
        <v>0.234339517813538</v>
      </c>
      <c r="AH8" s="96" t="n">
        <f aca="false">Acquisitions!AH$115*'Assumption Setting'!$D$96/'Assumption Setting'!$E$96</f>
        <v>0.282823555981856</v>
      </c>
      <c r="AI8" s="96" t="n">
        <f aca="false">Acquisitions!AI$115*'Assumption Setting'!$D$96/'Assumption Setting'!$E$96</f>
        <v>0.355540139650614</v>
      </c>
      <c r="AJ8" s="96" t="n">
        <f aca="false">Acquisitions!AJ$115*'Assumption Setting'!$D$96/'Assumption Setting'!$E$96</f>
        <v>0.428256723319371</v>
      </c>
      <c r="AK8" s="96" t="n">
        <f aca="false">Acquisitions!AK$115*'Assumption Setting'!$D$96/'Assumption Setting'!$E$96</f>
        <v>0.500973306988129</v>
      </c>
      <c r="AL8" s="96" t="n">
        <f aca="false">Acquisitions!AL$115*'Assumption Setting'!$D$96/'Assumption Setting'!$E$96</f>
        <v>0.573689890656886</v>
      </c>
      <c r="AM8" s="96" t="n">
        <f aca="false">Acquisitions!AM$115*'Assumption Setting'!$D$96/'Assumption Setting'!$E$96</f>
        <v>0.646406474325644</v>
      </c>
      <c r="AN8" s="96" t="n">
        <f aca="false">Acquisitions!AN$115*'Assumption Setting'!$D$96/'Assumption Setting'!$E$96</f>
        <v>0.719123057994401</v>
      </c>
      <c r="AO8" s="80" t="n">
        <f aca="false">SUM(AP8:BA8)</f>
        <v>14.9402616806889</v>
      </c>
      <c r="AP8" s="96" t="n">
        <f aca="false">Acquisitions!AP$115*'Assumption Setting'!$D$96/'Assumption Setting'!$E$96</f>
        <v>0.791839641663159</v>
      </c>
      <c r="AQ8" s="96" t="n">
        <f aca="false">Acquisitions!AQ$115*'Assumption Setting'!$D$96/'Assumption Setting'!$E$96</f>
        <v>0.864556225331916</v>
      </c>
      <c r="AR8" s="96" t="n">
        <f aca="false">Acquisitions!AR$115*'Assumption Setting'!$D$96/'Assumption Setting'!$E$96</f>
        <v>0.940302666653539</v>
      </c>
      <c r="AS8" s="96" t="n">
        <f aca="false">Acquisitions!AS$115*'Assumption Setting'!$D$96/'Assumption Setting'!$E$96</f>
        <v>1.01604910797516</v>
      </c>
      <c r="AT8" s="96" t="n">
        <f aca="false">Acquisitions!AT$115*'Assumption Setting'!$D$96/'Assumption Setting'!$E$96</f>
        <v>1.09179554929678</v>
      </c>
      <c r="AU8" s="96" t="n">
        <f aca="false">Acquisitions!AU$115*'Assumption Setting'!$D$96/'Assumption Setting'!$E$96</f>
        <v>1.16754199061841</v>
      </c>
      <c r="AV8" s="96" t="n">
        <f aca="false">Acquisitions!AV$115*'Assumption Setting'!$D$96/'Assumption Setting'!$E$96</f>
        <v>1.26577649325838</v>
      </c>
      <c r="AW8" s="96" t="n">
        <f aca="false">Acquisitions!AW$115*'Assumption Setting'!$D$96/'Assumption Setting'!$E$96</f>
        <v>1.36401099589836</v>
      </c>
      <c r="AX8" s="96" t="n">
        <f aca="false">Acquisitions!AX$115*'Assumption Setting'!$D$96/'Assumption Setting'!$E$96</f>
        <v>1.46224549853834</v>
      </c>
      <c r="AY8" s="96" t="n">
        <f aca="false">Acquisitions!AY$115*'Assumption Setting'!$D$96/'Assumption Setting'!$E$96</f>
        <v>1.56048000117832</v>
      </c>
      <c r="AZ8" s="96" t="n">
        <f aca="false">Acquisitions!AZ$115*'Assumption Setting'!$D$96/'Assumption Setting'!$E$96</f>
        <v>1.65871450381829</v>
      </c>
      <c r="BA8" s="96" t="n">
        <f aca="false">Acquisitions!BA$115*'Assumption Setting'!$D$96/'Assumption Setting'!$E$96</f>
        <v>1.75694900645827</v>
      </c>
      <c r="BB8" s="80" t="n">
        <f aca="false">SUM(BC8:BN8)</f>
        <v>25.254318916097</v>
      </c>
      <c r="BC8" s="96" t="n">
        <f aca="false">Acquisitions!BC$115*'Assumption Setting'!$D$96/'Assumption Setting'!$E$96</f>
        <v>1.81073980744396</v>
      </c>
      <c r="BD8" s="96" t="n">
        <f aca="false">Acquisitions!BD$115*'Assumption Setting'!$D$96/'Assumption Setting'!$E$96</f>
        <v>1.86453060842964</v>
      </c>
      <c r="BE8" s="96" t="n">
        <f aca="false">Acquisitions!BE$115*'Assumption Setting'!$D$96/'Assumption Setting'!$E$96</f>
        <v>1.9182104530069</v>
      </c>
      <c r="BF8" s="96" t="n">
        <f aca="false">Acquisitions!BF$115*'Assumption Setting'!$D$96/'Assumption Setting'!$E$96</f>
        <v>1.97189029758416</v>
      </c>
      <c r="BG8" s="96" t="n">
        <f aca="false">Acquisitions!BG$115*'Assumption Setting'!$D$96/'Assumption Setting'!$E$96</f>
        <v>2.02557014216142</v>
      </c>
      <c r="BH8" s="96" t="n">
        <f aca="false">Acquisitions!BH$115*'Assumption Setting'!$D$96/'Assumption Setting'!$E$96</f>
        <v>2.07924998673868</v>
      </c>
      <c r="BI8" s="96" t="n">
        <f aca="false">Acquisitions!BI$115*'Assumption Setting'!$D$96/'Assumption Setting'!$E$96</f>
        <v>2.13204178199107</v>
      </c>
      <c r="BJ8" s="96" t="n">
        <f aca="false">Acquisitions!BJ$115*'Assumption Setting'!$D$96/'Assumption Setting'!$E$96</f>
        <v>2.18483357724346</v>
      </c>
      <c r="BK8" s="96" t="n">
        <f aca="false">Acquisitions!BK$115*'Assumption Setting'!$D$96/'Assumption Setting'!$E$96</f>
        <v>2.23762537249585</v>
      </c>
      <c r="BL8" s="96" t="n">
        <f aca="false">Acquisitions!BL$115*'Assumption Setting'!$D$96/'Assumption Setting'!$E$96</f>
        <v>2.29041716774823</v>
      </c>
      <c r="BM8" s="96" t="n">
        <f aca="false">Acquisitions!BM$115*'Assumption Setting'!$D$96/'Assumption Setting'!$E$96</f>
        <v>2.34320896300062</v>
      </c>
      <c r="BN8" s="96" t="n">
        <f aca="false">Acquisitions!BN$115*'Assumption Setting'!$D$96/'Assumption Setting'!$E$96</f>
        <v>2.39600075825301</v>
      </c>
    </row>
    <row r="9" customFormat="false" ht="15" hidden="false" customHeight="false" outlineLevel="0" collapsed="false">
      <c r="A9" s="12" t="s">
        <v>316</v>
      </c>
      <c r="B9" s="80" t="n">
        <f aca="false">SUM(C9:N9)</f>
        <v>0</v>
      </c>
      <c r="C9" s="96" t="n">
        <f aca="false">Acquisitions!C$117*'Assumption Setting'!$D$97/'Assumption Setting'!$E$97</f>
        <v>0</v>
      </c>
      <c r="D9" s="96" t="n">
        <f aca="false">Acquisitions!D$117*'Assumption Setting'!$D$97/'Assumption Setting'!$E$97</f>
        <v>0</v>
      </c>
      <c r="E9" s="96" t="n">
        <f aca="false">Acquisitions!E$117*'Assumption Setting'!$D$97/'Assumption Setting'!$E$97</f>
        <v>0</v>
      </c>
      <c r="F9" s="96" t="n">
        <f aca="false">Acquisitions!F$117*'Assumption Setting'!$D$97/'Assumption Setting'!$E$97</f>
        <v>0</v>
      </c>
      <c r="G9" s="96" t="n">
        <f aca="false">Acquisitions!G$117*'Assumption Setting'!$D$97/'Assumption Setting'!$E$97</f>
        <v>0</v>
      </c>
      <c r="H9" s="96" t="n">
        <f aca="false">Acquisitions!H$117*'Assumption Setting'!$D$97/'Assumption Setting'!$E$97</f>
        <v>0</v>
      </c>
      <c r="I9" s="96" t="n">
        <f aca="false">Acquisitions!I$117*'Assumption Setting'!$D$97/'Assumption Setting'!$E$97</f>
        <v>0</v>
      </c>
      <c r="J9" s="96" t="n">
        <f aca="false">Acquisitions!J$117*'Assumption Setting'!$D$97/'Assumption Setting'!$E$97</f>
        <v>0</v>
      </c>
      <c r="K9" s="96" t="n">
        <f aca="false">Acquisitions!K$117*'Assumption Setting'!$D$97/'Assumption Setting'!$E$97</f>
        <v>0</v>
      </c>
      <c r="L9" s="96" t="n">
        <f aca="false">Acquisitions!L$117*'Assumption Setting'!$D$97/'Assumption Setting'!$E$97</f>
        <v>0</v>
      </c>
      <c r="M9" s="96" t="n">
        <f aca="false">Acquisitions!M$117*'Assumption Setting'!$D$97/'Assumption Setting'!$E$97</f>
        <v>0</v>
      </c>
      <c r="N9" s="96" t="n">
        <f aca="false">Acquisitions!N$117*'Assumption Setting'!$D$97/'Assumption Setting'!$E$97</f>
        <v>0</v>
      </c>
      <c r="O9" s="80" t="n">
        <f aca="false">SUM(P9:AA9)</f>
        <v>0.500421102526521</v>
      </c>
      <c r="P9" s="96" t="n">
        <f aca="false">Acquisitions!P$117*'Assumption Setting'!$D$97/'Assumption Setting'!$E$97</f>
        <v>0.0052191889453693</v>
      </c>
      <c r="Q9" s="96" t="n">
        <f aca="false">Acquisitions!Q$117*'Assumption Setting'!$D$97/'Assumption Setting'!$E$97</f>
        <v>0.0104383778907386</v>
      </c>
      <c r="R9" s="96" t="n">
        <f aca="false">Acquisitions!R$117*'Assumption Setting'!$D$97/'Assumption Setting'!$E$97</f>
        <v>0.0161794857306448</v>
      </c>
      <c r="S9" s="96" t="n">
        <f aca="false">Acquisitions!S$117*'Assumption Setting'!$D$97/'Assumption Setting'!$E$97</f>
        <v>0.0219205935705511</v>
      </c>
      <c r="T9" s="96" t="n">
        <f aca="false">Acquisitions!T$117*'Assumption Setting'!$D$97/'Assumption Setting'!$E$97</f>
        <v>0.0276617014104573</v>
      </c>
      <c r="U9" s="96" t="n">
        <f aca="false">Acquisitions!U$117*'Assumption Setting'!$D$97/'Assumption Setting'!$E$97</f>
        <v>0.0334028092503635</v>
      </c>
      <c r="V9" s="96" t="n">
        <f aca="false">Acquisitions!V$117*'Assumption Setting'!$D$97/'Assumption Setting'!$E$97</f>
        <v>0.0422210040230404</v>
      </c>
      <c r="W9" s="96" t="n">
        <f aca="false">Acquisitions!W$117*'Assumption Setting'!$D$97/'Assumption Setting'!$E$97</f>
        <v>0.0510391987957174</v>
      </c>
      <c r="X9" s="96" t="n">
        <f aca="false">Acquisitions!X$117*'Assumption Setting'!$D$97/'Assumption Setting'!$E$97</f>
        <v>0.0598573935683943</v>
      </c>
      <c r="Y9" s="96" t="n">
        <f aca="false">Acquisitions!Y$117*'Assumption Setting'!$D$97/'Assumption Setting'!$E$97</f>
        <v>0.0686755883410712</v>
      </c>
      <c r="Z9" s="96" t="n">
        <f aca="false">Acquisitions!Z$117*'Assumption Setting'!$D$97/'Assumption Setting'!$E$97</f>
        <v>0.0774937831137482</v>
      </c>
      <c r="AA9" s="96" t="n">
        <f aca="false">Acquisitions!AA$117*'Assumption Setting'!$D$97/'Assumption Setting'!$E$97</f>
        <v>0.0863119778864251</v>
      </c>
      <c r="AB9" s="80" t="n">
        <f aca="false">SUM(AC9:AN9)</f>
        <v>1.23494108091315</v>
      </c>
      <c r="AC9" s="96" t="n">
        <f aca="false">Acquisitions!AC$117*'Assumption Setting'!$D$97/'Assumption Setting'!$E$97</f>
        <v>0.0885000725501044</v>
      </c>
      <c r="AD9" s="96" t="n">
        <f aca="false">Acquisitions!AD$117*'Assumption Setting'!$D$97/'Assumption Setting'!$E$97</f>
        <v>0.0906881672137837</v>
      </c>
      <c r="AE9" s="96" t="n">
        <f aca="false">Acquisitions!AE$117*'Assumption Setting'!$D$97/'Assumption Setting'!$E$97</f>
        <v>0.0930277324019305</v>
      </c>
      <c r="AF9" s="96" t="n">
        <f aca="false">Acquisitions!AF$117*'Assumption Setting'!$D$97/'Assumption Setting'!$E$97</f>
        <v>0.0953672975900773</v>
      </c>
      <c r="AG9" s="96" t="n">
        <f aca="false">Acquisitions!AG$117*'Assumption Setting'!$D$97/'Assumption Setting'!$E$97</f>
        <v>0.0977068627782241</v>
      </c>
      <c r="AH9" s="96" t="n">
        <f aca="false">Acquisitions!AH$117*'Assumption Setting'!$D$97/'Assumption Setting'!$E$97</f>
        <v>0.100046427966371</v>
      </c>
      <c r="AI9" s="96" t="n">
        <f aca="false">Acquisitions!AI$117*'Assumption Setting'!$D$97/'Assumption Setting'!$E$97</f>
        <v>0.103347663805154</v>
      </c>
      <c r="AJ9" s="96" t="n">
        <f aca="false">Acquisitions!AJ$117*'Assumption Setting'!$D$97/'Assumption Setting'!$E$97</f>
        <v>0.106648899643936</v>
      </c>
      <c r="AK9" s="96" t="n">
        <f aca="false">Acquisitions!AK$117*'Assumption Setting'!$D$97/'Assumption Setting'!$E$97</f>
        <v>0.109950135482719</v>
      </c>
      <c r="AL9" s="96" t="n">
        <f aca="false">Acquisitions!AL$117*'Assumption Setting'!$D$97/'Assumption Setting'!$E$97</f>
        <v>0.113251371321502</v>
      </c>
      <c r="AM9" s="96" t="n">
        <f aca="false">Acquisitions!AM$117*'Assumption Setting'!$D$97/'Assumption Setting'!$E$97</f>
        <v>0.116552607160284</v>
      </c>
      <c r="AN9" s="96" t="n">
        <f aca="false">Acquisitions!AN$117*'Assumption Setting'!$D$97/'Assumption Setting'!$E$97</f>
        <v>0.119853842999067</v>
      </c>
      <c r="AO9" s="80" t="n">
        <f aca="false">SUM(AP9:BA9)</f>
        <v>1.79042516464558</v>
      </c>
      <c r="AP9" s="96" t="n">
        <f aca="false">Acquisitions!AP$117*'Assumption Setting'!$D$97/'Assumption Setting'!$E$97</f>
        <v>0.124565990001478</v>
      </c>
      <c r="AQ9" s="96" t="n">
        <f aca="false">Acquisitions!AQ$117*'Assumption Setting'!$D$97/'Assumption Setting'!$E$97</f>
        <v>0.129278137003889</v>
      </c>
      <c r="AR9" s="96" t="n">
        <f aca="false">Acquisitions!AR$117*'Assumption Setting'!$D$97/'Assumption Setting'!$E$97</f>
        <v>0.133821870862773</v>
      </c>
      <c r="AS9" s="96" t="n">
        <f aca="false">Acquisitions!AS$117*'Assumption Setting'!$D$97/'Assumption Setting'!$E$97</f>
        <v>0.138365604721657</v>
      </c>
      <c r="AT9" s="96" t="n">
        <f aca="false">Acquisitions!AT$117*'Assumption Setting'!$D$97/'Assumption Setting'!$E$97</f>
        <v>0.142909338580541</v>
      </c>
      <c r="AU9" s="96" t="n">
        <f aca="false">Acquisitions!AU$117*'Assumption Setting'!$D$97/'Assumption Setting'!$E$97</f>
        <v>0.147453072439425</v>
      </c>
      <c r="AV9" s="96" t="n">
        <f aca="false">Acquisitions!AV$117*'Assumption Setting'!$D$97/'Assumption Setting'!$E$97</f>
        <v>0.151706058934628</v>
      </c>
      <c r="AW9" s="96" t="n">
        <f aca="false">Acquisitions!AW$117*'Assumption Setting'!$D$97/'Assumption Setting'!$E$97</f>
        <v>0.155959045429832</v>
      </c>
      <c r="AX9" s="96" t="n">
        <f aca="false">Acquisitions!AX$117*'Assumption Setting'!$D$97/'Assumption Setting'!$E$97</f>
        <v>0.160212031925035</v>
      </c>
      <c r="AY9" s="96" t="n">
        <f aca="false">Acquisitions!AY$117*'Assumption Setting'!$D$97/'Assumption Setting'!$E$97</f>
        <v>0.164465018420238</v>
      </c>
      <c r="AZ9" s="96" t="n">
        <f aca="false">Acquisitions!AZ$117*'Assumption Setting'!$D$97/'Assumption Setting'!$E$97</f>
        <v>0.168718004915442</v>
      </c>
      <c r="BA9" s="96" t="n">
        <f aca="false">Acquisitions!BA$117*'Assumption Setting'!$D$97/'Assumption Setting'!$E$97</f>
        <v>0.172970991410645</v>
      </c>
      <c r="BB9" s="80" t="n">
        <f aca="false">SUM(BC9:BN9)</f>
        <v>2.41862798803725</v>
      </c>
      <c r="BC9" s="96" t="n">
        <f aca="false">Acquisitions!BC$117*'Assumption Setting'!$D$97/'Assumption Setting'!$E$97</f>
        <v>0.177223977905848</v>
      </c>
      <c r="BD9" s="96" t="n">
        <f aca="false">Acquisitions!BD$117*'Assumption Setting'!$D$97/'Assumption Setting'!$E$97</f>
        <v>0.181476964401052</v>
      </c>
      <c r="BE9" s="96" t="n">
        <f aca="false">Acquisitions!BE$117*'Assumption Setting'!$D$97/'Assumption Setting'!$E$97</f>
        <v>0.185879871305044</v>
      </c>
      <c r="BF9" s="96" t="n">
        <f aca="false">Acquisitions!BF$117*'Assumption Setting'!$D$97/'Assumption Setting'!$E$97</f>
        <v>0.190282778209037</v>
      </c>
      <c r="BG9" s="96" t="n">
        <f aca="false">Acquisitions!BG$117*'Assumption Setting'!$D$97/'Assumption Setting'!$E$97</f>
        <v>0.194685685113029</v>
      </c>
      <c r="BH9" s="96" t="n">
        <f aca="false">Acquisitions!BH$117*'Assumption Setting'!$D$97/'Assumption Setting'!$E$97</f>
        <v>0.199088592017021</v>
      </c>
      <c r="BI9" s="96" t="n">
        <f aca="false">Acquisitions!BI$117*'Assumption Setting'!$D$97/'Assumption Setting'!$E$97</f>
        <v>0.203634238063883</v>
      </c>
      <c r="BJ9" s="96" t="n">
        <f aca="false">Acquisitions!BJ$117*'Assumption Setting'!$D$97/'Assumption Setting'!$E$97</f>
        <v>0.208179884110744</v>
      </c>
      <c r="BK9" s="96" t="n">
        <f aca="false">Acquisitions!BK$117*'Assumption Setting'!$D$97/'Assumption Setting'!$E$97</f>
        <v>0.212725530157606</v>
      </c>
      <c r="BL9" s="96" t="n">
        <f aca="false">Acquisitions!BL$117*'Assumption Setting'!$D$97/'Assumption Setting'!$E$97</f>
        <v>0.217271176204467</v>
      </c>
      <c r="BM9" s="96" t="n">
        <f aca="false">Acquisitions!BM$117*'Assumption Setting'!$D$97/'Assumption Setting'!$E$97</f>
        <v>0.221816822251329</v>
      </c>
      <c r="BN9" s="96" t="n">
        <f aca="false">Acquisitions!BN$117*'Assumption Setting'!$D$97/'Assumption Setting'!$E$97</f>
        <v>0.22636246829819</v>
      </c>
    </row>
    <row r="10" customFormat="false" ht="15" hidden="false" customHeight="false" outlineLevel="0" collapsed="false">
      <c r="A10" s="12" t="s">
        <v>319</v>
      </c>
      <c r="B10" s="80" t="n">
        <f aca="false">SUM(C10:N10)</f>
        <v>0</v>
      </c>
      <c r="C10" s="96" t="n">
        <f aca="false">Acquisitions!C$119*'Assumption Setting'!$D$98/'Assumption Setting'!$E$98</f>
        <v>0</v>
      </c>
      <c r="D10" s="96" t="n">
        <f aca="false">Acquisitions!D$119*'Assumption Setting'!$D$98/'Assumption Setting'!$E$98</f>
        <v>0</v>
      </c>
      <c r="E10" s="96" t="n">
        <f aca="false">Acquisitions!E$119*'Assumption Setting'!$D$98/'Assumption Setting'!$E$98</f>
        <v>0</v>
      </c>
      <c r="F10" s="96" t="n">
        <f aca="false">Acquisitions!F$119*'Assumption Setting'!$D$98/'Assumption Setting'!$E$98</f>
        <v>0</v>
      </c>
      <c r="G10" s="96" t="n">
        <f aca="false">Acquisitions!G$119*'Assumption Setting'!$D$98/'Assumption Setting'!$E$98</f>
        <v>0</v>
      </c>
      <c r="H10" s="96" t="n">
        <f aca="false">Acquisitions!H$119*'Assumption Setting'!$D$98/'Assumption Setting'!$E$98</f>
        <v>0</v>
      </c>
      <c r="I10" s="96" t="n">
        <f aca="false">Acquisitions!I$119*'Assumption Setting'!$D$98/'Assumption Setting'!$E$98</f>
        <v>0</v>
      </c>
      <c r="J10" s="96" t="n">
        <f aca="false">Acquisitions!J$119*'Assumption Setting'!$D$98/'Assumption Setting'!$E$98</f>
        <v>0</v>
      </c>
      <c r="K10" s="96" t="n">
        <f aca="false">Acquisitions!K$119*'Assumption Setting'!$D$98/'Assumption Setting'!$E$98</f>
        <v>0</v>
      </c>
      <c r="L10" s="96" t="n">
        <f aca="false">Acquisitions!L$119*'Assumption Setting'!$D$98/'Assumption Setting'!$E$98</f>
        <v>0</v>
      </c>
      <c r="M10" s="96" t="n">
        <f aca="false">Acquisitions!M$119*'Assumption Setting'!$D$98/'Assumption Setting'!$E$98</f>
        <v>0</v>
      </c>
      <c r="N10" s="96" t="n">
        <f aca="false">Acquisitions!N$119*'Assumption Setting'!$D$98/'Assumption Setting'!$E$98</f>
        <v>0</v>
      </c>
      <c r="O10" s="80" t="n">
        <f aca="false">SUM(P10:AA10)</f>
        <v>4.37868464710706</v>
      </c>
      <c r="P10" s="96" t="n">
        <f aca="false">Acquisitions!P$119*'Assumption Setting'!$D$98/'Assumption Setting'!$E$98</f>
        <v>0.0456679032719814</v>
      </c>
      <c r="Q10" s="96" t="n">
        <f aca="false">Acquisitions!Q$119*'Assumption Setting'!$D$98/'Assumption Setting'!$E$98</f>
        <v>0.0913358065439627</v>
      </c>
      <c r="R10" s="96" t="n">
        <f aca="false">Acquisitions!R$119*'Assumption Setting'!$D$98/'Assumption Setting'!$E$98</f>
        <v>0.141570500143142</v>
      </c>
      <c r="S10" s="96" t="n">
        <f aca="false">Acquisitions!S$119*'Assumption Setting'!$D$98/'Assumption Setting'!$E$98</f>
        <v>0.191805193742322</v>
      </c>
      <c r="T10" s="96" t="n">
        <f aca="false">Acquisitions!T$119*'Assumption Setting'!$D$98/'Assumption Setting'!$E$98</f>
        <v>0.242039887341501</v>
      </c>
      <c r="U10" s="96" t="n">
        <f aca="false">Acquisitions!U$119*'Assumption Setting'!$D$98/'Assumption Setting'!$E$98</f>
        <v>0.292274580940681</v>
      </c>
      <c r="V10" s="96" t="n">
        <f aca="false">Acquisitions!V$119*'Assumption Setting'!$D$98/'Assumption Setting'!$E$98</f>
        <v>0.369433785201604</v>
      </c>
      <c r="W10" s="96" t="n">
        <f aca="false">Acquisitions!W$119*'Assumption Setting'!$D$98/'Assumption Setting'!$E$98</f>
        <v>0.446592989462527</v>
      </c>
      <c r="X10" s="96" t="n">
        <f aca="false">Acquisitions!X$119*'Assumption Setting'!$D$98/'Assumption Setting'!$E$98</f>
        <v>0.52375219372345</v>
      </c>
      <c r="Y10" s="96" t="n">
        <f aca="false">Acquisitions!Y$119*'Assumption Setting'!$D$98/'Assumption Setting'!$E$98</f>
        <v>0.600911397984373</v>
      </c>
      <c r="Z10" s="96" t="n">
        <f aca="false">Acquisitions!Z$119*'Assumption Setting'!$D$98/'Assumption Setting'!$E$98</f>
        <v>0.678070602245296</v>
      </c>
      <c r="AA10" s="96" t="n">
        <f aca="false">Acquisitions!AA$119*'Assumption Setting'!$D$98/'Assumption Setting'!$E$98</f>
        <v>0.755229806506219</v>
      </c>
      <c r="AB10" s="80" t="n">
        <f aca="false">SUM(AC10:AN10)</f>
        <v>15.1844191050971</v>
      </c>
      <c r="AC10" s="96" t="n">
        <f aca="false">Acquisitions!AC$119*'Assumption Setting'!$D$98/'Assumption Setting'!$E$98</f>
        <v>0.820043538085395</v>
      </c>
      <c r="AD10" s="96" t="n">
        <f aca="false">Acquisitions!AD$119*'Assumption Setting'!$D$98/'Assumption Setting'!$E$98</f>
        <v>0.88485726966457</v>
      </c>
      <c r="AE10" s="96" t="n">
        <f aca="false">Acquisitions!AE$119*'Assumption Setting'!$D$98/'Assumption Setting'!$E$98</f>
        <v>0.955563158660034</v>
      </c>
      <c r="AF10" s="96" t="n">
        <f aca="false">Acquisitions!AF$119*'Assumption Setting'!$D$98/'Assumption Setting'!$E$98</f>
        <v>1.0262690476555</v>
      </c>
      <c r="AG10" s="96" t="n">
        <f aca="false">Acquisitions!AG$119*'Assumption Setting'!$D$98/'Assumption Setting'!$E$98</f>
        <v>1.09697493665096</v>
      </c>
      <c r="AH10" s="96" t="n">
        <f aca="false">Acquisitions!AH$119*'Assumption Setting'!$D$98/'Assumption Setting'!$E$98</f>
        <v>1.16768082564643</v>
      </c>
      <c r="AI10" s="96" t="n">
        <f aca="false">Acquisitions!AI$119*'Assumption Setting'!$D$98/'Assumption Setting'!$E$98</f>
        <v>1.2737258434967</v>
      </c>
      <c r="AJ10" s="96" t="n">
        <f aca="false">Acquisitions!AJ$119*'Assumption Setting'!$D$98/'Assumption Setting'!$E$98</f>
        <v>1.37977086134697</v>
      </c>
      <c r="AK10" s="96" t="n">
        <f aca="false">Acquisitions!AK$119*'Assumption Setting'!$D$98/'Assumption Setting'!$E$98</f>
        <v>1.48581587919724</v>
      </c>
      <c r="AL10" s="96" t="n">
        <f aca="false">Acquisitions!AL$119*'Assumption Setting'!$D$98/'Assumption Setting'!$E$98</f>
        <v>1.59186089704751</v>
      </c>
      <c r="AM10" s="96" t="n">
        <f aca="false">Acquisitions!AM$119*'Assumption Setting'!$D$98/'Assumption Setting'!$E$98</f>
        <v>1.69790591489778</v>
      </c>
      <c r="AN10" s="96" t="n">
        <f aca="false">Acquisitions!AN$119*'Assumption Setting'!$D$98/'Assumption Setting'!$E$98</f>
        <v>1.80395093274806</v>
      </c>
      <c r="AO10" s="80" t="n">
        <f aca="false">SUM(AP10:BA10)</f>
        <v>26.4719546486389</v>
      </c>
      <c r="AP10" s="96" t="n">
        <f aca="false">Acquisitions!AP$119*'Assumption Setting'!$D$98/'Assumption Setting'!$E$98</f>
        <v>1.86432804732635</v>
      </c>
      <c r="AQ10" s="96" t="n">
        <f aca="false">Acquisitions!AQ$119*'Assumption Setting'!$D$98/'Assumption Setting'!$E$98</f>
        <v>1.92470516190464</v>
      </c>
      <c r="AR10" s="96" t="n">
        <f aca="false">Acquisitions!AR$119*'Assumption Setting'!$D$98/'Assumption Setting'!$E$98</f>
        <v>1.98493402856616</v>
      </c>
      <c r="AS10" s="96" t="n">
        <f aca="false">Acquisitions!AS$119*'Assumption Setting'!$D$98/'Assumption Setting'!$E$98</f>
        <v>2.04516289522768</v>
      </c>
      <c r="AT10" s="96" t="n">
        <f aca="false">Acquisitions!AT$119*'Assumption Setting'!$D$98/'Assumption Setting'!$E$98</f>
        <v>2.1053917618892</v>
      </c>
      <c r="AU10" s="96" t="n">
        <f aca="false">Acquisitions!AU$119*'Assumption Setting'!$D$98/'Assumption Setting'!$E$98</f>
        <v>2.16562062855072</v>
      </c>
      <c r="AV10" s="96" t="n">
        <f aca="false">Acquisitions!AV$119*'Assumption Setting'!$D$98/'Assumption Setting'!$E$98</f>
        <v>2.23172007397309</v>
      </c>
      <c r="AW10" s="96" t="n">
        <f aca="false">Acquisitions!AW$119*'Assumption Setting'!$D$98/'Assumption Setting'!$E$98</f>
        <v>2.29781951939547</v>
      </c>
      <c r="AX10" s="96" t="n">
        <f aca="false">Acquisitions!AX$119*'Assumption Setting'!$D$98/'Assumption Setting'!$E$98</f>
        <v>2.36391896481785</v>
      </c>
      <c r="AY10" s="96" t="n">
        <f aca="false">Acquisitions!AY$119*'Assumption Setting'!$D$98/'Assumption Setting'!$E$98</f>
        <v>2.43001841024023</v>
      </c>
      <c r="AZ10" s="96" t="n">
        <f aca="false">Acquisitions!AZ$119*'Assumption Setting'!$D$98/'Assumption Setting'!$E$98</f>
        <v>2.4961178556626</v>
      </c>
      <c r="BA10" s="96" t="n">
        <f aca="false">Acquisitions!BA$119*'Assumption Setting'!$D$98/'Assumption Setting'!$E$98</f>
        <v>2.56221730108498</v>
      </c>
      <c r="BB10" s="80" t="n">
        <f aca="false">SUM(BC10:BN10)</f>
        <v>36.8292150859748</v>
      </c>
      <c r="BC10" s="96" t="n">
        <f aca="false">Acquisitions!BC$119*'Assumption Setting'!$D$98/'Assumption Setting'!$E$98</f>
        <v>2.64066221918911</v>
      </c>
      <c r="BD10" s="96" t="n">
        <f aca="false">Acquisitions!BD$119*'Assumption Setting'!$D$98/'Assumption Setting'!$E$98</f>
        <v>2.71910713729323</v>
      </c>
      <c r="BE10" s="96" t="n">
        <f aca="false">Acquisitions!BE$119*'Assumption Setting'!$D$98/'Assumption Setting'!$E$98</f>
        <v>2.7973902439684</v>
      </c>
      <c r="BF10" s="96" t="n">
        <f aca="false">Acquisitions!BF$119*'Assumption Setting'!$D$98/'Assumption Setting'!$E$98</f>
        <v>2.87567335064357</v>
      </c>
      <c r="BG10" s="96" t="n">
        <f aca="false">Acquisitions!BG$119*'Assumption Setting'!$D$98/'Assumption Setting'!$E$98</f>
        <v>2.95395645731874</v>
      </c>
      <c r="BH10" s="96" t="n">
        <f aca="false">Acquisitions!BH$119*'Assumption Setting'!$D$98/'Assumption Setting'!$E$98</f>
        <v>3.03223956399391</v>
      </c>
      <c r="BI10" s="96" t="n">
        <f aca="false">Acquisitions!BI$119*'Assumption Setting'!$D$98/'Assumption Setting'!$E$98</f>
        <v>3.10922759873697</v>
      </c>
      <c r="BJ10" s="96" t="n">
        <f aca="false">Acquisitions!BJ$119*'Assumption Setting'!$D$98/'Assumption Setting'!$E$98</f>
        <v>3.18621563348004</v>
      </c>
      <c r="BK10" s="96" t="n">
        <f aca="false">Acquisitions!BK$119*'Assumption Setting'!$D$98/'Assumption Setting'!$E$98</f>
        <v>3.26320366822311</v>
      </c>
      <c r="BL10" s="96" t="n">
        <f aca="false">Acquisitions!BL$119*'Assumption Setting'!$D$98/'Assumption Setting'!$E$98</f>
        <v>3.34019170296617</v>
      </c>
      <c r="BM10" s="96" t="n">
        <f aca="false">Acquisitions!BM$119*'Assumption Setting'!$D$98/'Assumption Setting'!$E$98</f>
        <v>3.41717973770924</v>
      </c>
      <c r="BN10" s="96" t="n">
        <f aca="false">Acquisitions!BN$119*'Assumption Setting'!$D$98/'Assumption Setting'!$E$98</f>
        <v>3.49416777245231</v>
      </c>
    </row>
    <row r="11" customFormat="false" ht="15" hidden="false" customHeight="false" outlineLevel="0" collapsed="false">
      <c r="A11" s="12" t="s">
        <v>321</v>
      </c>
      <c r="B11" s="80" t="n">
        <f aca="false">SUM(C11:N11)</f>
        <v>0</v>
      </c>
      <c r="C11" s="96" t="n">
        <f aca="false">Acquisitions!C$121*'Assumption Setting'!$D$99/'Assumption Setting'!$E$99</f>
        <v>0</v>
      </c>
      <c r="D11" s="96" t="n">
        <f aca="false">Acquisitions!D$121*'Assumption Setting'!$D$99/'Assumption Setting'!$E$99</f>
        <v>0</v>
      </c>
      <c r="E11" s="96" t="n">
        <f aca="false">Acquisitions!E$121*'Assumption Setting'!$D$99/'Assumption Setting'!$E$99</f>
        <v>0</v>
      </c>
      <c r="F11" s="96" t="n">
        <f aca="false">Acquisitions!F$121*'Assumption Setting'!$D$99/'Assumption Setting'!$E$99</f>
        <v>0</v>
      </c>
      <c r="G11" s="96" t="n">
        <f aca="false">Acquisitions!G$121*'Assumption Setting'!$D$99/'Assumption Setting'!$E$99</f>
        <v>0</v>
      </c>
      <c r="H11" s="96" t="n">
        <f aca="false">Acquisitions!H$121*'Assumption Setting'!$D$99/'Assumption Setting'!$E$99</f>
        <v>0</v>
      </c>
      <c r="I11" s="96" t="n">
        <f aca="false">Acquisitions!I$121*'Assumption Setting'!$D$99/'Assumption Setting'!$E$99</f>
        <v>0</v>
      </c>
      <c r="J11" s="96" t="n">
        <f aca="false">Acquisitions!J$121*'Assumption Setting'!$D$99/'Assumption Setting'!$E$99</f>
        <v>0</v>
      </c>
      <c r="K11" s="96" t="n">
        <f aca="false">Acquisitions!K$121*'Assumption Setting'!$D$99/'Assumption Setting'!$E$99</f>
        <v>0</v>
      </c>
      <c r="L11" s="96" t="n">
        <f aca="false">Acquisitions!L$121*'Assumption Setting'!$D$99/'Assumption Setting'!$E$99</f>
        <v>0</v>
      </c>
      <c r="M11" s="96" t="n">
        <f aca="false">Acquisitions!M$121*'Assumption Setting'!$D$99/'Assumption Setting'!$E$99</f>
        <v>0</v>
      </c>
      <c r="N11" s="96" t="n">
        <f aca="false">Acquisitions!N$121*'Assumption Setting'!$D$99/'Assumption Setting'!$E$99</f>
        <v>0</v>
      </c>
      <c r="O11" s="80" t="n">
        <f aca="false">SUM(P11:AA11)</f>
        <v>0</v>
      </c>
      <c r="P11" s="96" t="n">
        <f aca="false">Acquisitions!P$121*'Assumption Setting'!$D$99/'Assumption Setting'!$E$99</f>
        <v>0</v>
      </c>
      <c r="Q11" s="96" t="n">
        <f aca="false">Acquisitions!Q$121*'Assumption Setting'!$D$99/'Assumption Setting'!$E$99</f>
        <v>0</v>
      </c>
      <c r="R11" s="96" t="n">
        <f aca="false">Acquisitions!R$121*'Assumption Setting'!$D$99/'Assumption Setting'!$E$99</f>
        <v>0</v>
      </c>
      <c r="S11" s="96" t="n">
        <f aca="false">Acquisitions!S$121*'Assumption Setting'!$D$99/'Assumption Setting'!$E$99</f>
        <v>0</v>
      </c>
      <c r="T11" s="96" t="n">
        <f aca="false">Acquisitions!T$121*'Assumption Setting'!$D$99/'Assumption Setting'!$E$99</f>
        <v>0</v>
      </c>
      <c r="U11" s="96" t="n">
        <f aca="false">Acquisitions!U$121*'Assumption Setting'!$D$99/'Assumption Setting'!$E$99</f>
        <v>0</v>
      </c>
      <c r="V11" s="96" t="n">
        <f aca="false">Acquisitions!V$121*'Assumption Setting'!$D$99/'Assumption Setting'!$E$99</f>
        <v>0</v>
      </c>
      <c r="W11" s="96" t="n">
        <f aca="false">Acquisitions!W$121*'Assumption Setting'!$D$99/'Assumption Setting'!$E$99</f>
        <v>0</v>
      </c>
      <c r="X11" s="96" t="n">
        <f aca="false">Acquisitions!X$121*'Assumption Setting'!$D$99/'Assumption Setting'!$E$99</f>
        <v>0</v>
      </c>
      <c r="Y11" s="96" t="n">
        <f aca="false">Acquisitions!Y$121*'Assumption Setting'!$D$99/'Assumption Setting'!$E$99</f>
        <v>0</v>
      </c>
      <c r="Z11" s="96" t="n">
        <f aca="false">Acquisitions!Z$121*'Assumption Setting'!$D$99/'Assumption Setting'!$E$99</f>
        <v>0</v>
      </c>
      <c r="AA11" s="96" t="n">
        <f aca="false">Acquisitions!AA$121*'Assumption Setting'!$D$99/'Assumption Setting'!$E$99</f>
        <v>0</v>
      </c>
      <c r="AB11" s="80" t="n">
        <f aca="false">SUM(AC11:AN11)</f>
        <v>0.349809224401286</v>
      </c>
      <c r="AC11" s="96" t="n">
        <f aca="false">Acquisitions!AC$121*'Assumption Setting'!$D$99/'Assumption Setting'!$E$99</f>
        <v>0.00370364180452431</v>
      </c>
      <c r="AD11" s="96" t="n">
        <f aca="false">Acquisitions!AD$121*'Assumption Setting'!$D$99/'Assumption Setting'!$E$99</f>
        <v>0.00740728360904862</v>
      </c>
      <c r="AE11" s="96" t="n">
        <f aca="false">Acquisitions!AE$121*'Assumption Setting'!$D$99/'Assumption Setting'!$E$99</f>
        <v>0.0114476201230751</v>
      </c>
      <c r="AF11" s="96" t="n">
        <f aca="false">Acquisitions!AF$121*'Assumption Setting'!$D$99/'Assumption Setting'!$E$99</f>
        <v>0.0154879566371017</v>
      </c>
      <c r="AG11" s="96" t="n">
        <f aca="false">Acquisitions!AG$121*'Assumption Setting'!$D$99/'Assumption Setting'!$E$99</f>
        <v>0.0195282931511282</v>
      </c>
      <c r="AH11" s="96" t="n">
        <f aca="false">Acquisitions!AH$121*'Assumption Setting'!$D$99/'Assumption Setting'!$E$99</f>
        <v>0.0235686296651547</v>
      </c>
      <c r="AI11" s="96" t="n">
        <f aca="false">Acquisitions!AI$121*'Assumption Setting'!$D$99/'Assumption Setting'!$E$99</f>
        <v>0.0296283449708845</v>
      </c>
      <c r="AJ11" s="96" t="n">
        <f aca="false">Acquisitions!AJ$121*'Assumption Setting'!$D$99/'Assumption Setting'!$E$99</f>
        <v>0.0356880602766143</v>
      </c>
      <c r="AK11" s="96" t="n">
        <f aca="false">Acquisitions!AK$121*'Assumption Setting'!$D$99/'Assumption Setting'!$E$99</f>
        <v>0.0417477755823441</v>
      </c>
      <c r="AL11" s="96" t="n">
        <f aca="false">Acquisitions!AL$121*'Assumption Setting'!$D$99/'Assumption Setting'!$E$99</f>
        <v>0.0478074908880739</v>
      </c>
      <c r="AM11" s="96" t="n">
        <f aca="false">Acquisitions!AM$121*'Assumption Setting'!$D$99/'Assumption Setting'!$E$99</f>
        <v>0.0538672061938037</v>
      </c>
      <c r="AN11" s="96" t="n">
        <f aca="false">Acquisitions!AN$121*'Assumption Setting'!$D$99/'Assumption Setting'!$E$99</f>
        <v>0.0599269214995335</v>
      </c>
      <c r="AO11" s="80" t="n">
        <f aca="false">SUM(AP11:BA11)</f>
        <v>0.895212582322791</v>
      </c>
      <c r="AP11" s="96" t="n">
        <f aca="false">Acquisitions!AP$121*'Assumption Setting'!$D$99/'Assumption Setting'!$E$99</f>
        <v>0.0622829950007389</v>
      </c>
      <c r="AQ11" s="96" t="n">
        <f aca="false">Acquisitions!AQ$121*'Assumption Setting'!$D$99/'Assumption Setting'!$E$99</f>
        <v>0.0646390685019444</v>
      </c>
      <c r="AR11" s="96" t="n">
        <f aca="false">Acquisitions!AR$121*'Assumption Setting'!$D$99/'Assumption Setting'!$E$99</f>
        <v>0.0669109354313865</v>
      </c>
      <c r="AS11" s="96" t="n">
        <f aca="false">Acquisitions!AS$121*'Assumption Setting'!$D$99/'Assumption Setting'!$E$99</f>
        <v>0.0691828023608285</v>
      </c>
      <c r="AT11" s="96" t="n">
        <f aca="false">Acquisitions!AT$121*'Assumption Setting'!$D$99/'Assumption Setting'!$E$99</f>
        <v>0.0714546692902705</v>
      </c>
      <c r="AU11" s="96" t="n">
        <f aca="false">Acquisitions!AU$121*'Assumption Setting'!$D$99/'Assumption Setting'!$E$99</f>
        <v>0.0737265362197125</v>
      </c>
      <c r="AV11" s="96" t="n">
        <f aca="false">Acquisitions!AV$121*'Assumption Setting'!$D$99/'Assumption Setting'!$E$99</f>
        <v>0.0758530294673142</v>
      </c>
      <c r="AW11" s="96" t="n">
        <f aca="false">Acquisitions!AW$121*'Assumption Setting'!$D$99/'Assumption Setting'!$E$99</f>
        <v>0.0779795227149159</v>
      </c>
      <c r="AX11" s="96" t="n">
        <f aca="false">Acquisitions!AX$121*'Assumption Setting'!$D$99/'Assumption Setting'!$E$99</f>
        <v>0.0801060159625175</v>
      </c>
      <c r="AY11" s="96" t="n">
        <f aca="false">Acquisitions!AY$121*'Assumption Setting'!$D$99/'Assumption Setting'!$E$99</f>
        <v>0.0822325092101192</v>
      </c>
      <c r="AZ11" s="96" t="n">
        <f aca="false">Acquisitions!AZ$121*'Assumption Setting'!$D$99/'Assumption Setting'!$E$99</f>
        <v>0.0843590024577209</v>
      </c>
      <c r="BA11" s="96" t="n">
        <f aca="false">Acquisitions!BA$121*'Assumption Setting'!$D$99/'Assumption Setting'!$E$99</f>
        <v>0.0864854957053225</v>
      </c>
      <c r="BB11" s="80" t="n">
        <f aca="false">SUM(BC11:BN11)</f>
        <v>1.20931399401862</v>
      </c>
      <c r="BC11" s="96" t="n">
        <f aca="false">Acquisitions!BC$121*'Assumption Setting'!$D$99/'Assumption Setting'!$E$99</f>
        <v>0.0886119889529242</v>
      </c>
      <c r="BD11" s="96" t="n">
        <f aca="false">Acquisitions!BD$121*'Assumption Setting'!$D$99/'Assumption Setting'!$E$99</f>
        <v>0.0907384822005259</v>
      </c>
      <c r="BE11" s="96" t="n">
        <f aca="false">Acquisitions!BE$121*'Assumption Setting'!$D$99/'Assumption Setting'!$E$99</f>
        <v>0.0929399356525221</v>
      </c>
      <c r="BF11" s="96" t="n">
        <f aca="false">Acquisitions!BF$121*'Assumption Setting'!$D$99/'Assumption Setting'!$E$99</f>
        <v>0.0951413891045183</v>
      </c>
      <c r="BG11" s="96" t="n">
        <f aca="false">Acquisitions!BG$121*'Assumption Setting'!$D$99/'Assumption Setting'!$E$99</f>
        <v>0.0973428425565145</v>
      </c>
      <c r="BH11" s="96" t="n">
        <f aca="false">Acquisitions!BH$121*'Assumption Setting'!$D$99/'Assumption Setting'!$E$99</f>
        <v>0.0995442960085107</v>
      </c>
      <c r="BI11" s="96" t="n">
        <f aca="false">Acquisitions!BI$121*'Assumption Setting'!$D$99/'Assumption Setting'!$E$99</f>
        <v>0.101817119031941</v>
      </c>
      <c r="BJ11" s="96" t="n">
        <f aca="false">Acquisitions!BJ$121*'Assumption Setting'!$D$99/'Assumption Setting'!$E$99</f>
        <v>0.104089942055372</v>
      </c>
      <c r="BK11" s="96" t="n">
        <f aca="false">Acquisitions!BK$121*'Assumption Setting'!$D$99/'Assumption Setting'!$E$99</f>
        <v>0.106362765078803</v>
      </c>
      <c r="BL11" s="96" t="n">
        <f aca="false">Acquisitions!BL$121*'Assumption Setting'!$D$99/'Assumption Setting'!$E$99</f>
        <v>0.108635588102234</v>
      </c>
      <c r="BM11" s="96" t="n">
        <f aca="false">Acquisitions!BM$121*'Assumption Setting'!$D$99/'Assumption Setting'!$E$99</f>
        <v>0.110908411125664</v>
      </c>
      <c r="BN11" s="96" t="n">
        <f aca="false">Acquisitions!BN$121*'Assumption Setting'!$D$99/'Assumption Setting'!$E$99</f>
        <v>0.113181234149095</v>
      </c>
    </row>
    <row r="12" customFormat="false" ht="15" hidden="false" customHeight="false" outlineLevel="0" collapsed="false">
      <c r="A12" s="12" t="s">
        <v>323</v>
      </c>
      <c r="B12" s="80" t="n">
        <f aca="false">SUM(C12:N12)</f>
        <v>0</v>
      </c>
      <c r="C12" s="96" t="n">
        <f aca="false">Acquisitions!C$123*'Assumption Setting'!$D$100/'Assumption Setting'!$E$100</f>
        <v>0</v>
      </c>
      <c r="D12" s="96" t="n">
        <f aca="false">Acquisitions!D$123*'Assumption Setting'!$D$100/'Assumption Setting'!$E$100</f>
        <v>0</v>
      </c>
      <c r="E12" s="96" t="n">
        <f aca="false">Acquisitions!E$123*'Assumption Setting'!$D$100/'Assumption Setting'!$E$100</f>
        <v>0</v>
      </c>
      <c r="F12" s="96" t="n">
        <f aca="false">Acquisitions!F$123*'Assumption Setting'!$D$100/'Assumption Setting'!$E$100</f>
        <v>0</v>
      </c>
      <c r="G12" s="96" t="n">
        <f aca="false">Acquisitions!G$123*'Assumption Setting'!$D$100/'Assumption Setting'!$E$100</f>
        <v>0</v>
      </c>
      <c r="H12" s="96" t="n">
        <f aca="false">Acquisitions!H$123*'Assumption Setting'!$D$100/'Assumption Setting'!$E$100</f>
        <v>0</v>
      </c>
      <c r="I12" s="96" t="n">
        <f aca="false">Acquisitions!I$123*'Assumption Setting'!$D$100/'Assumption Setting'!$E$100</f>
        <v>0</v>
      </c>
      <c r="J12" s="96" t="n">
        <f aca="false">Acquisitions!J$123*'Assumption Setting'!$D$100/'Assumption Setting'!$E$100</f>
        <v>0</v>
      </c>
      <c r="K12" s="96" t="n">
        <f aca="false">Acquisitions!K$123*'Assumption Setting'!$D$100/'Assumption Setting'!$E$100</f>
        <v>0</v>
      </c>
      <c r="L12" s="96" t="n">
        <f aca="false">Acquisitions!L$123*'Assumption Setting'!$D$100/'Assumption Setting'!$E$100</f>
        <v>0</v>
      </c>
      <c r="M12" s="96" t="n">
        <f aca="false">Acquisitions!M$123*'Assumption Setting'!$D$100/'Assumption Setting'!$E$100</f>
        <v>0</v>
      </c>
      <c r="N12" s="96" t="n">
        <f aca="false">Acquisitions!N$123*'Assumption Setting'!$D$100/'Assumption Setting'!$E$100</f>
        <v>0</v>
      </c>
      <c r="O12" s="80" t="n">
        <f aca="false">SUM(P12:AA12)</f>
        <v>1.12594748068467</v>
      </c>
      <c r="P12" s="96" t="n">
        <f aca="false">Acquisitions!P$123*'Assumption Setting'!$D$100/'Assumption Setting'!$E$100</f>
        <v>0.0117431751270809</v>
      </c>
      <c r="Q12" s="96" t="n">
        <f aca="false">Acquisitions!Q$123*'Assumption Setting'!$D$100/'Assumption Setting'!$E$100</f>
        <v>0.0234863502541618</v>
      </c>
      <c r="R12" s="96" t="n">
        <f aca="false">Acquisitions!R$123*'Assumption Setting'!$D$100/'Assumption Setting'!$E$100</f>
        <v>0.0364038428939509</v>
      </c>
      <c r="S12" s="96" t="n">
        <f aca="false">Acquisitions!S$123*'Assumption Setting'!$D$100/'Assumption Setting'!$E$100</f>
        <v>0.0493213355337399</v>
      </c>
      <c r="T12" s="96" t="n">
        <f aca="false">Acquisitions!T$123*'Assumption Setting'!$D$100/'Assumption Setting'!$E$100</f>
        <v>0.0622388281735289</v>
      </c>
      <c r="U12" s="96" t="n">
        <f aca="false">Acquisitions!U$123*'Assumption Setting'!$D$100/'Assumption Setting'!$E$100</f>
        <v>0.0751563208133179</v>
      </c>
      <c r="V12" s="96" t="n">
        <f aca="false">Acquisitions!V$123*'Assumption Setting'!$D$100/'Assumption Setting'!$E$100</f>
        <v>0.094997259051841</v>
      </c>
      <c r="W12" s="96" t="n">
        <f aca="false">Acquisitions!W$123*'Assumption Setting'!$D$100/'Assumption Setting'!$E$100</f>
        <v>0.114838197290364</v>
      </c>
      <c r="X12" s="96" t="n">
        <f aca="false">Acquisitions!X$123*'Assumption Setting'!$D$100/'Assumption Setting'!$E$100</f>
        <v>0.134679135528887</v>
      </c>
      <c r="Y12" s="96" t="n">
        <f aca="false">Acquisitions!Y$123*'Assumption Setting'!$D$100/'Assumption Setting'!$E$100</f>
        <v>0.15452007376741</v>
      </c>
      <c r="Z12" s="96" t="n">
        <f aca="false">Acquisitions!Z$123*'Assumption Setting'!$D$100/'Assumption Setting'!$E$100</f>
        <v>0.174361012005933</v>
      </c>
      <c r="AA12" s="96" t="n">
        <f aca="false">Acquisitions!AA$123*'Assumption Setting'!$D$100/'Assumption Setting'!$E$100</f>
        <v>0.194201950244456</v>
      </c>
      <c r="AB12" s="80" t="n">
        <f aca="false">SUM(AC12:AN12)</f>
        <v>3.90456491273926</v>
      </c>
      <c r="AC12" s="96" t="n">
        <f aca="false">Acquisitions!AC$123*'Assumption Setting'!$D$100/'Assumption Setting'!$E$100</f>
        <v>0.210868338364816</v>
      </c>
      <c r="AD12" s="96" t="n">
        <f aca="false">Acquisitions!AD$123*'Assumption Setting'!$D$100/'Assumption Setting'!$E$100</f>
        <v>0.227534726485175</v>
      </c>
      <c r="AE12" s="96" t="n">
        <f aca="false">Acquisitions!AE$123*'Assumption Setting'!$D$100/'Assumption Setting'!$E$100</f>
        <v>0.245716240798294</v>
      </c>
      <c r="AF12" s="96" t="n">
        <f aca="false">Acquisitions!AF$123*'Assumption Setting'!$D$100/'Assumption Setting'!$E$100</f>
        <v>0.263897755111414</v>
      </c>
      <c r="AG12" s="96" t="n">
        <f aca="false">Acquisitions!AG$123*'Assumption Setting'!$D$100/'Assumption Setting'!$E$100</f>
        <v>0.282079269424533</v>
      </c>
      <c r="AH12" s="96" t="n">
        <f aca="false">Acquisitions!AH$123*'Assumption Setting'!$D$100/'Assumption Setting'!$E$100</f>
        <v>0.300260783737652</v>
      </c>
      <c r="AI12" s="96" t="n">
        <f aca="false">Acquisitions!AI$123*'Assumption Setting'!$D$100/'Assumption Setting'!$E$100</f>
        <v>0.327529502613437</v>
      </c>
      <c r="AJ12" s="96" t="n">
        <f aca="false">Acquisitions!AJ$123*'Assumption Setting'!$D$100/'Assumption Setting'!$E$100</f>
        <v>0.354798221489221</v>
      </c>
      <c r="AK12" s="96" t="n">
        <f aca="false">Acquisitions!AK$123*'Assumption Setting'!$D$100/'Assumption Setting'!$E$100</f>
        <v>0.382066940365005</v>
      </c>
      <c r="AL12" s="96" t="n">
        <f aca="false">Acquisitions!AL$123*'Assumption Setting'!$D$100/'Assumption Setting'!$E$100</f>
        <v>0.409335659240789</v>
      </c>
      <c r="AM12" s="96" t="n">
        <f aca="false">Acquisitions!AM$123*'Assumption Setting'!$D$100/'Assumption Setting'!$E$100</f>
        <v>0.436604378116573</v>
      </c>
      <c r="AN12" s="96" t="n">
        <f aca="false">Acquisitions!AN$123*'Assumption Setting'!$D$100/'Assumption Setting'!$E$100</f>
        <v>0.463873096992357</v>
      </c>
      <c r="AO12" s="80" t="n">
        <f aca="false">SUM(AP12:BA12)</f>
        <v>6.80707405250716</v>
      </c>
      <c r="AP12" s="96" t="n">
        <f aca="false">Acquisitions!AP$123*'Assumption Setting'!$D$100/'Assumption Setting'!$E$100</f>
        <v>0.47939864074106</v>
      </c>
      <c r="AQ12" s="96" t="n">
        <f aca="false">Acquisitions!AQ$123*'Assumption Setting'!$D$100/'Assumption Setting'!$E$100</f>
        <v>0.494924184489763</v>
      </c>
      <c r="AR12" s="96" t="n">
        <f aca="false">Acquisitions!AR$123*'Assumption Setting'!$D$100/'Assumption Setting'!$E$100</f>
        <v>0.510411607345583</v>
      </c>
      <c r="AS12" s="96" t="n">
        <f aca="false">Acquisitions!AS$123*'Assumption Setting'!$D$100/'Assumption Setting'!$E$100</f>
        <v>0.525899030201402</v>
      </c>
      <c r="AT12" s="96" t="n">
        <f aca="false">Acquisitions!AT$123*'Assumption Setting'!$D$100/'Assumption Setting'!$E$100</f>
        <v>0.541386453057221</v>
      </c>
      <c r="AU12" s="96" t="n">
        <f aca="false">Acquisitions!AU$123*'Assumption Setting'!$D$100/'Assumption Setting'!$E$100</f>
        <v>0.556873875913041</v>
      </c>
      <c r="AV12" s="96" t="n">
        <f aca="false">Acquisitions!AV$123*'Assumption Setting'!$D$100/'Assumption Setting'!$E$100</f>
        <v>0.573870876164509</v>
      </c>
      <c r="AW12" s="96" t="n">
        <f aca="false">Acquisitions!AW$123*'Assumption Setting'!$D$100/'Assumption Setting'!$E$100</f>
        <v>0.590867876415978</v>
      </c>
      <c r="AX12" s="96" t="n">
        <f aca="false">Acquisitions!AX$123*'Assumption Setting'!$D$100/'Assumption Setting'!$E$100</f>
        <v>0.607864876667447</v>
      </c>
      <c r="AY12" s="96" t="n">
        <f aca="false">Acquisitions!AY$123*'Assumption Setting'!$D$100/'Assumption Setting'!$E$100</f>
        <v>0.624861876918915</v>
      </c>
      <c r="AZ12" s="96" t="n">
        <f aca="false">Acquisitions!AZ$123*'Assumption Setting'!$D$100/'Assumption Setting'!$E$100</f>
        <v>0.641858877170384</v>
      </c>
      <c r="BA12" s="96" t="n">
        <f aca="false">Acquisitions!BA$123*'Assumption Setting'!$D$100/'Assumption Setting'!$E$100</f>
        <v>0.658855877421852</v>
      </c>
      <c r="BB12" s="80" t="n">
        <f aca="false">SUM(BC12:BN12)</f>
        <v>9.47036959353638</v>
      </c>
      <c r="BC12" s="96" t="n">
        <f aca="false">Acquisitions!BC$123*'Assumption Setting'!$D$100/'Assumption Setting'!$E$100</f>
        <v>0.679027427791484</v>
      </c>
      <c r="BD12" s="96" t="n">
        <f aca="false">Acquisitions!BD$123*'Assumption Setting'!$D$100/'Assumption Setting'!$E$100</f>
        <v>0.699198978161117</v>
      </c>
      <c r="BE12" s="96" t="n">
        <f aca="false">Acquisitions!BE$123*'Assumption Setting'!$D$100/'Assumption Setting'!$E$100</f>
        <v>0.719328919877589</v>
      </c>
      <c r="BF12" s="96" t="n">
        <f aca="false">Acquisitions!BF$123*'Assumption Setting'!$D$100/'Assumption Setting'!$E$100</f>
        <v>0.739458861594061</v>
      </c>
      <c r="BG12" s="96" t="n">
        <f aca="false">Acquisitions!BG$123*'Assumption Setting'!$D$100/'Assumption Setting'!$E$100</f>
        <v>0.759588803310533</v>
      </c>
      <c r="BH12" s="96" t="n">
        <f aca="false">Acquisitions!BH$123*'Assumption Setting'!$D$100/'Assumption Setting'!$E$100</f>
        <v>0.779718745027005</v>
      </c>
      <c r="BI12" s="96" t="n">
        <f aca="false">Acquisitions!BI$123*'Assumption Setting'!$D$100/'Assumption Setting'!$E$100</f>
        <v>0.79951566824665</v>
      </c>
      <c r="BJ12" s="96" t="n">
        <f aca="false">Acquisitions!BJ$123*'Assumption Setting'!$D$100/'Assumption Setting'!$E$100</f>
        <v>0.819312591466296</v>
      </c>
      <c r="BK12" s="96" t="n">
        <f aca="false">Acquisitions!BK$123*'Assumption Setting'!$D$100/'Assumption Setting'!$E$100</f>
        <v>0.839109514685942</v>
      </c>
      <c r="BL12" s="96" t="n">
        <f aca="false">Acquisitions!BL$123*'Assumption Setting'!$D$100/'Assumption Setting'!$E$100</f>
        <v>0.858906437905588</v>
      </c>
      <c r="BM12" s="96" t="n">
        <f aca="false">Acquisitions!BM$123*'Assumption Setting'!$D$100/'Assumption Setting'!$E$100</f>
        <v>0.878703361125233</v>
      </c>
      <c r="BN12" s="96" t="n">
        <f aca="false">Acquisitions!BN$123*'Assumption Setting'!$D$100/'Assumption Setting'!$E$100</f>
        <v>0.898500284344879</v>
      </c>
    </row>
    <row r="13" customFormat="false" ht="15" hidden="false" customHeight="false" outlineLevel="0" collapsed="false">
      <c r="A13" s="12" t="s">
        <v>325</v>
      </c>
      <c r="B13" s="78" t="n">
        <f aca="false">SUM(C13:N13)</f>
        <v>0</v>
      </c>
      <c r="C13" s="95" t="n">
        <f aca="false">Acquisitions!C$125*'Assumption Setting'!$D$101/'Assumption Setting'!$E$101</f>
        <v>0</v>
      </c>
      <c r="D13" s="95" t="n">
        <f aca="false">Acquisitions!D$125*'Assumption Setting'!$D$101/'Assumption Setting'!$E$101</f>
        <v>0</v>
      </c>
      <c r="E13" s="95" t="n">
        <f aca="false">Acquisitions!E$125*'Assumption Setting'!$D$101/'Assumption Setting'!$E$101</f>
        <v>0</v>
      </c>
      <c r="F13" s="95" t="n">
        <f aca="false">Acquisitions!F$125*'Assumption Setting'!$D$101/'Assumption Setting'!$E$101</f>
        <v>0</v>
      </c>
      <c r="G13" s="95" t="n">
        <f aca="false">Acquisitions!G$125*'Assumption Setting'!$D$101/'Assumption Setting'!$E$101</f>
        <v>0</v>
      </c>
      <c r="H13" s="95" t="n">
        <f aca="false">Acquisitions!H$125*'Assumption Setting'!$D$101/'Assumption Setting'!$E$101</f>
        <v>0</v>
      </c>
      <c r="I13" s="95" t="n">
        <f aca="false">Acquisitions!I$125*'Assumption Setting'!$D$101/'Assumption Setting'!$E$101</f>
        <v>0</v>
      </c>
      <c r="J13" s="95" t="n">
        <f aca="false">Acquisitions!J$125*'Assumption Setting'!$D$101/'Assumption Setting'!$E$101</f>
        <v>0</v>
      </c>
      <c r="K13" s="95" t="n">
        <f aca="false">Acquisitions!K$125*'Assumption Setting'!$D$101/'Assumption Setting'!$E$101</f>
        <v>0</v>
      </c>
      <c r="L13" s="95" t="n">
        <f aca="false">Acquisitions!L$125*'Assumption Setting'!$D$101/'Assumption Setting'!$E$101</f>
        <v>0</v>
      </c>
      <c r="M13" s="95" t="n">
        <f aca="false">Acquisitions!M$125*'Assumption Setting'!$D$101/'Assumption Setting'!$E$101</f>
        <v>0</v>
      </c>
      <c r="N13" s="95" t="n">
        <f aca="false">Acquisitions!N$125*'Assumption Setting'!$D$101/'Assumption Setting'!$E$101</f>
        <v>0</v>
      </c>
      <c r="O13" s="78" t="n">
        <f aca="false">SUM(P13:AA13)</f>
        <v>1528.44763763413</v>
      </c>
      <c r="P13" s="95" t="n">
        <f aca="false">Acquisitions!P$125*'Assumption Setting'!$D$101/'Assumption Setting'!$E$101</f>
        <v>0</v>
      </c>
      <c r="Q13" s="95" t="n">
        <f aca="false">Acquisitions!Q$125*'Assumption Setting'!$D$101/'Assumption Setting'!$E$101</f>
        <v>0</v>
      </c>
      <c r="R13" s="95" t="n">
        <f aca="false">Acquisitions!R$125*'Assumption Setting'!$D$101/'Assumption Setting'!$E$101</f>
        <v>25.6881955904895</v>
      </c>
      <c r="S13" s="95" t="n">
        <f aca="false">Acquisitions!S$125*'Assumption Setting'!$D$101/'Assumption Setting'!$E$101</f>
        <v>53.945210740028</v>
      </c>
      <c r="T13" s="95" t="n">
        <f aca="false">Acquisitions!T$125*'Assumption Setting'!$D$101/'Assumption Setting'!$E$101</f>
        <v>82.2022258895664</v>
      </c>
      <c r="U13" s="95" t="n">
        <f aca="false">Acquisitions!U$125*'Assumption Setting'!$D$101/'Assumption Setting'!$E$101</f>
        <v>110.459241039105</v>
      </c>
      <c r="V13" s="95" t="n">
        <f aca="false">Acquisitions!V$125*'Assumption Setting'!$D$101/'Assumption Setting'!$E$101</f>
        <v>138.716256188643</v>
      </c>
      <c r="W13" s="95" t="n">
        <f aca="false">Acquisitions!W$125*'Assumption Setting'!$D$101/'Assumption Setting'!$E$101</f>
        <v>166.973271338182</v>
      </c>
      <c r="X13" s="95" t="n">
        <f aca="false">Acquisitions!X$125*'Assumption Setting'!$D$101/'Assumption Setting'!$E$101</f>
        <v>195.23028648772</v>
      </c>
      <c r="Y13" s="95" t="n">
        <f aca="false">Acquisitions!Y$125*'Assumption Setting'!$D$101/'Assumption Setting'!$E$101</f>
        <v>223.487301637259</v>
      </c>
      <c r="Z13" s="95" t="n">
        <f aca="false">Acquisitions!Z$125*'Assumption Setting'!$D$101/'Assumption Setting'!$E$101</f>
        <v>251.744316786797</v>
      </c>
      <c r="AA13" s="95" t="n">
        <f aca="false">Acquisitions!AA$125*'Assumption Setting'!$D$101/'Assumption Setting'!$E$101</f>
        <v>280.001331936336</v>
      </c>
      <c r="AB13" s="78" t="n">
        <f aca="false">SUM(AC13:AN13)</f>
        <v>6574.59406421178</v>
      </c>
      <c r="AC13" s="95" t="n">
        <f aca="false">Acquisitions!AC$125*'Assumption Setting'!$D$101/'Assumption Setting'!$E$101</f>
        <v>308.258347085874</v>
      </c>
      <c r="AD13" s="95" t="n">
        <f aca="false">Acquisitions!AD$125*'Assumption Setting'!$D$101/'Assumption Setting'!$E$101</f>
        <v>336.515362235413</v>
      </c>
      <c r="AE13" s="95" t="n">
        <f aca="false">Acquisitions!AE$125*'Assumption Setting'!$D$101/'Assumption Setting'!$E$101</f>
        <v>379.917414632182</v>
      </c>
      <c r="AF13" s="95" t="n">
        <f aca="false">Acquisitions!AF$125*'Assumption Setting'!$D$101/'Assumption Setting'!$E$101</f>
        <v>427.26510815593</v>
      </c>
      <c r="AG13" s="95" t="n">
        <f aca="false">Acquisitions!AG$125*'Assumption Setting'!$D$101/'Assumption Setting'!$E$101</f>
        <v>474.612801679678</v>
      </c>
      <c r="AH13" s="95" t="n">
        <f aca="false">Acquisitions!AH$125*'Assumption Setting'!$D$101/'Assumption Setting'!$E$101</f>
        <v>521.960495203427</v>
      </c>
      <c r="AI13" s="95" t="n">
        <f aca="false">Acquisitions!AI$125*'Assumption Setting'!$D$101/'Assumption Setting'!$E$101</f>
        <v>569.308188727175</v>
      </c>
      <c r="AJ13" s="95" t="n">
        <f aca="false">Acquisitions!AJ$125*'Assumption Setting'!$D$101/'Assumption Setting'!$E$101</f>
        <v>616.655882250923</v>
      </c>
      <c r="AK13" s="95" t="n">
        <f aca="false">Acquisitions!AK$125*'Assumption Setting'!$D$101/'Assumption Setting'!$E$101</f>
        <v>664.003575774671</v>
      </c>
      <c r="AL13" s="95" t="n">
        <f aca="false">Acquisitions!AL$125*'Assumption Setting'!$D$101/'Assumption Setting'!$E$101</f>
        <v>711.35126929842</v>
      </c>
      <c r="AM13" s="95" t="n">
        <f aca="false">Acquisitions!AM$125*'Assumption Setting'!$D$101/'Assumption Setting'!$E$101</f>
        <v>758.698962822168</v>
      </c>
      <c r="AN13" s="95" t="n">
        <f aca="false">Acquisitions!AN$125*'Assumption Setting'!$D$101/'Assumption Setting'!$E$101</f>
        <v>806.046656345916</v>
      </c>
      <c r="AO13" s="78" t="n">
        <f aca="false">SUM(AP13:BA13)</f>
        <v>13271.9331115949</v>
      </c>
      <c r="AP13" s="95" t="n">
        <f aca="false">Acquisitions!AP$125*'Assumption Setting'!$D$101/'Assumption Setting'!$E$101</f>
        <v>853.394349869664</v>
      </c>
      <c r="AQ13" s="95" t="n">
        <f aca="false">Acquisitions!AQ$125*'Assumption Setting'!$D$101/'Assumption Setting'!$E$101</f>
        <v>900.742043393413</v>
      </c>
      <c r="AR13" s="95" t="n">
        <f aca="false">Acquisitions!AR$125*'Assumption Setting'!$D$101/'Assumption Setting'!$E$101</f>
        <v>946.066136541944</v>
      </c>
      <c r="AS13" s="95" t="n">
        <f aca="false">Acquisitions!AS$125*'Assumption Setting'!$D$101/'Assumption Setting'!$E$101</f>
        <v>991.780255495552</v>
      </c>
      <c r="AT13" s="95" t="n">
        <f aca="false">Acquisitions!AT$125*'Assumption Setting'!$D$101/'Assumption Setting'!$E$101</f>
        <v>1037.49437444916</v>
      </c>
      <c r="AU13" s="95" t="n">
        <f aca="false">Acquisitions!AU$125*'Assumption Setting'!$D$101/'Assumption Setting'!$E$101</f>
        <v>1083.20849340277</v>
      </c>
      <c r="AV13" s="95" t="n">
        <f aca="false">Acquisitions!AV$125*'Assumption Setting'!$D$101/'Assumption Setting'!$E$101</f>
        <v>1128.92261235638</v>
      </c>
      <c r="AW13" s="95" t="n">
        <f aca="false">Acquisitions!AW$125*'Assumption Setting'!$D$101/'Assumption Setting'!$E$101</f>
        <v>1174.63673130999</v>
      </c>
      <c r="AX13" s="95" t="n">
        <f aca="false">Acquisitions!AX$125*'Assumption Setting'!$D$101/'Assumption Setting'!$E$101</f>
        <v>1220.35085026359</v>
      </c>
      <c r="AY13" s="95" t="n">
        <f aca="false">Acquisitions!AY$125*'Assumption Setting'!$D$101/'Assumption Setting'!$E$101</f>
        <v>1266.0649692172</v>
      </c>
      <c r="AZ13" s="95" t="n">
        <f aca="false">Acquisitions!AZ$125*'Assumption Setting'!$D$101/'Assumption Setting'!$E$101</f>
        <v>1311.77908817081</v>
      </c>
      <c r="BA13" s="95" t="n">
        <f aca="false">Acquisitions!BA$125*'Assumption Setting'!$D$101/'Assumption Setting'!$E$101</f>
        <v>1357.49320712442</v>
      </c>
      <c r="BB13" s="78" t="n">
        <f aca="false">SUM(BC13:BN13)</f>
        <v>20225.6215572009</v>
      </c>
      <c r="BC13" s="95" t="n">
        <f aca="false">Acquisitions!BC$125*'Assumption Setting'!$D$101/'Assumption Setting'!$E$101</f>
        <v>1403.20732607803</v>
      </c>
      <c r="BD13" s="95" t="n">
        <f aca="false">Acquisitions!BD$125*'Assumption Setting'!$D$101/'Assumption Setting'!$E$101</f>
        <v>1448.92144503164</v>
      </c>
      <c r="BE13" s="95" t="n">
        <f aca="false">Acquisitions!BE$125*'Assumption Setting'!$D$101/'Assumption Setting'!$E$101</f>
        <v>1501.45152411922</v>
      </c>
      <c r="BF13" s="95" t="n">
        <f aca="false">Acquisitions!BF$125*'Assumption Setting'!$D$101/'Assumption Setting'!$E$101</f>
        <v>1553.8732473392</v>
      </c>
      <c r="BG13" s="95" t="n">
        <f aca="false">Acquisitions!BG$125*'Assumption Setting'!$D$101/'Assumption Setting'!$E$101</f>
        <v>1606.29497055918</v>
      </c>
      <c r="BH13" s="95" t="n">
        <f aca="false">Acquisitions!BH$125*'Assumption Setting'!$D$101/'Assumption Setting'!$E$101</f>
        <v>1658.71669377916</v>
      </c>
      <c r="BI13" s="95" t="n">
        <f aca="false">Acquisitions!BI$125*'Assumption Setting'!$D$101/'Assumption Setting'!$E$101</f>
        <v>1711.13841699914</v>
      </c>
      <c r="BJ13" s="95" t="n">
        <f aca="false">Acquisitions!BJ$125*'Assumption Setting'!$D$101/'Assumption Setting'!$E$101</f>
        <v>1763.56014021911</v>
      </c>
      <c r="BK13" s="95" t="n">
        <f aca="false">Acquisitions!BK$125*'Assumption Setting'!$D$101/'Assumption Setting'!$E$101</f>
        <v>1815.98186343909</v>
      </c>
      <c r="BL13" s="95" t="n">
        <f aca="false">Acquisitions!BL$125*'Assumption Setting'!$D$101/'Assumption Setting'!$E$101</f>
        <v>1868.40358665907</v>
      </c>
      <c r="BM13" s="95" t="n">
        <f aca="false">Acquisitions!BM$125*'Assumption Setting'!$D$101/'Assumption Setting'!$E$101</f>
        <v>1920.82530987905</v>
      </c>
      <c r="BN13" s="95" t="n">
        <f aca="false">Acquisitions!BN$125*'Assumption Setting'!$D$101/'Assumption Setting'!$E$101</f>
        <v>1973.24703309903</v>
      </c>
    </row>
    <row r="14" customFormat="false" ht="15" hidden="false" customHeight="false" outlineLevel="0" collapsed="false">
      <c r="A14" s="12" t="s">
        <v>328</v>
      </c>
      <c r="B14" s="80" t="n">
        <f aca="false">SUM(C14:N14)</f>
        <v>0</v>
      </c>
      <c r="C14" s="96" t="n">
        <f aca="false">Acquisitions!C$127*'Assumption Setting'!$D$102/'Assumption Setting'!$E$102</f>
        <v>0</v>
      </c>
      <c r="D14" s="96" t="n">
        <f aca="false">Acquisitions!D$127*'Assumption Setting'!$D$102/'Assumption Setting'!$E$102</f>
        <v>0</v>
      </c>
      <c r="E14" s="96" t="n">
        <f aca="false">Acquisitions!E$127*'Assumption Setting'!$D$102/'Assumption Setting'!$E$102</f>
        <v>0</v>
      </c>
      <c r="F14" s="96" t="n">
        <f aca="false">Acquisitions!F$127*'Assumption Setting'!$D$102/'Assumption Setting'!$E$102</f>
        <v>0</v>
      </c>
      <c r="G14" s="96" t="n">
        <f aca="false">Acquisitions!G$127*'Assumption Setting'!$D$102/'Assumption Setting'!$E$102</f>
        <v>0</v>
      </c>
      <c r="H14" s="96" t="n">
        <f aca="false">Acquisitions!H$127*'Assumption Setting'!$D$102/'Assumption Setting'!$E$102</f>
        <v>0</v>
      </c>
      <c r="I14" s="96" t="n">
        <f aca="false">Acquisitions!I$127*'Assumption Setting'!$D$102/'Assumption Setting'!$E$102</f>
        <v>0</v>
      </c>
      <c r="J14" s="96" t="n">
        <f aca="false">Acquisitions!J$127*'Assumption Setting'!$D$102/'Assumption Setting'!$E$102</f>
        <v>0</v>
      </c>
      <c r="K14" s="96" t="n">
        <f aca="false">Acquisitions!K$127*'Assumption Setting'!$D$102/'Assumption Setting'!$E$102</f>
        <v>0</v>
      </c>
      <c r="L14" s="96" t="n">
        <f aca="false">Acquisitions!L$127*'Assumption Setting'!$D$102/'Assumption Setting'!$E$102</f>
        <v>0</v>
      </c>
      <c r="M14" s="96" t="n">
        <f aca="false">Acquisitions!M$127*'Assumption Setting'!$D$102/'Assumption Setting'!$E$102</f>
        <v>0</v>
      </c>
      <c r="N14" s="96" t="n">
        <f aca="false">Acquisitions!N$127*'Assumption Setting'!$D$102/'Assumption Setting'!$E$102</f>
        <v>0</v>
      </c>
      <c r="O14" s="80" t="n">
        <f aca="false">SUM(P14:AA14)</f>
        <v>0.131009797511497</v>
      </c>
      <c r="P14" s="96" t="n">
        <f aca="false">Acquisitions!P$127*'Assumption Setting'!$D$102/'Assumption Setting'!$E$102</f>
        <v>0</v>
      </c>
      <c r="Q14" s="96" t="n">
        <f aca="false">Acquisitions!Q$127*'Assumption Setting'!$D$102/'Assumption Setting'!$E$102</f>
        <v>0</v>
      </c>
      <c r="R14" s="96" t="n">
        <f aca="false">Acquisitions!R$127*'Assumption Setting'!$D$102/'Assumption Setting'!$E$102</f>
        <v>0.00220184533632767</v>
      </c>
      <c r="S14" s="96" t="n">
        <f aca="false">Acquisitions!S$127*'Assumption Setting'!$D$102/'Assumption Setting'!$E$102</f>
        <v>0.00462387520628811</v>
      </c>
      <c r="T14" s="96" t="n">
        <f aca="false">Acquisitions!T$127*'Assumption Setting'!$D$102/'Assumption Setting'!$E$102</f>
        <v>0.00704590507624855</v>
      </c>
      <c r="U14" s="96" t="n">
        <f aca="false">Acquisitions!U$127*'Assumption Setting'!$D$102/'Assumption Setting'!$E$102</f>
        <v>0.00946793494620899</v>
      </c>
      <c r="V14" s="96" t="n">
        <f aca="false">Acquisitions!V$127*'Assumption Setting'!$D$102/'Assumption Setting'!$E$102</f>
        <v>0.0118899648161694</v>
      </c>
      <c r="W14" s="96" t="n">
        <f aca="false">Acquisitions!W$127*'Assumption Setting'!$D$102/'Assumption Setting'!$E$102</f>
        <v>0.0143119946861299</v>
      </c>
      <c r="X14" s="96" t="n">
        <f aca="false">Acquisitions!X$127*'Assumption Setting'!$D$102/'Assumption Setting'!$E$102</f>
        <v>0.0167340245560903</v>
      </c>
      <c r="Y14" s="96" t="n">
        <f aca="false">Acquisitions!Y$127*'Assumption Setting'!$D$102/'Assumption Setting'!$E$102</f>
        <v>0.0191560544260508</v>
      </c>
      <c r="Z14" s="96" t="n">
        <f aca="false">Acquisitions!Z$127*'Assumption Setting'!$D$102/'Assumption Setting'!$E$102</f>
        <v>0.0215780842960112</v>
      </c>
      <c r="AA14" s="96" t="n">
        <f aca="false">Acquisitions!AA$127*'Assumption Setting'!$D$102/'Assumption Setting'!$E$102</f>
        <v>0.0240001141659716</v>
      </c>
      <c r="AB14" s="80" t="n">
        <f aca="false">SUM(AC14:AN14)</f>
        <v>0.540197073510222</v>
      </c>
      <c r="AC14" s="96" t="n">
        <f aca="false">Acquisitions!AC$127*'Assumption Setting'!$D$102/'Assumption Setting'!$E$102</f>
        <v>0.0264221440359321</v>
      </c>
      <c r="AD14" s="96" t="n">
        <f aca="false">Acquisitions!AD$127*'Assumption Setting'!$D$102/'Assumption Setting'!$E$102</f>
        <v>0.0288441739058925</v>
      </c>
      <c r="AE14" s="96" t="n">
        <f aca="false">Acquisitions!AE$127*'Assumption Setting'!$D$102/'Assumption Setting'!$E$102</f>
        <v>0.0325643498256156</v>
      </c>
      <c r="AF14" s="96" t="n">
        <f aca="false">Acquisitions!AF$127*'Assumption Setting'!$D$102/'Assumption Setting'!$E$102</f>
        <v>0.0366227235562226</v>
      </c>
      <c r="AG14" s="96" t="n">
        <f aca="false">Acquisitions!AG$127*'Assumption Setting'!$D$102/'Assumption Setting'!$E$102</f>
        <v>0.0406810972868296</v>
      </c>
      <c r="AH14" s="96" t="n">
        <f aca="false">Acquisitions!AH$127*'Assumption Setting'!$D$102/'Assumption Setting'!$E$102</f>
        <v>0.0447394710174366</v>
      </c>
      <c r="AI14" s="96" t="n">
        <f aca="false">Acquisitions!AI$127*'Assumption Setting'!$D$102/'Assumption Setting'!$E$102</f>
        <v>0.0487978447480436</v>
      </c>
      <c r="AJ14" s="96" t="n">
        <f aca="false">Acquisitions!AJ$127*'Assumption Setting'!$D$102/'Assumption Setting'!$E$102</f>
        <v>0.0528562184786506</v>
      </c>
      <c r="AK14" s="96" t="n">
        <f aca="false">Acquisitions!AK$127*'Assumption Setting'!$D$102/'Assumption Setting'!$E$102</f>
        <v>0.0547127468729299</v>
      </c>
      <c r="AL14" s="96" t="n">
        <f aca="false">Acquisitions!AL$127*'Assumption Setting'!$D$102/'Assumption Setting'!$E$102</f>
        <v>0.0563490907335764</v>
      </c>
      <c r="AM14" s="96" t="n">
        <f aca="false">Acquisitions!AM$127*'Assumption Setting'!$D$102/'Assumption Setting'!$E$102</f>
        <v>0.057985434594223</v>
      </c>
      <c r="AN14" s="96" t="n">
        <f aca="false">Acquisitions!AN$127*'Assumption Setting'!$D$102/'Assumption Setting'!$E$102</f>
        <v>0.0596217784548696</v>
      </c>
      <c r="AO14" s="80" t="n">
        <f aca="false">SUM(AP14:BA14)</f>
        <v>0.951059867645279</v>
      </c>
      <c r="AP14" s="96" t="n">
        <f aca="false">Acquisitions!AP$127*'Assumption Setting'!$D$102/'Assumption Setting'!$E$102</f>
        <v>0.0612581223155161</v>
      </c>
      <c r="AQ14" s="96" t="n">
        <f aca="false">Acquisitions!AQ$127*'Assumption Setting'!$D$102/'Assumption Setting'!$E$102</f>
        <v>0.0628944661761627</v>
      </c>
      <c r="AR14" s="96" t="n">
        <f aca="false">Acquisitions!AR$127*'Assumption Setting'!$D$102/'Assumption Setting'!$E$102</f>
        <v>0.066559203912404</v>
      </c>
      <c r="AS14" s="96" t="n">
        <f aca="false">Acquisitions!AS$127*'Assumption Setting'!$D$102/'Assumption Setting'!$E$102</f>
        <v>0.0704775569655705</v>
      </c>
      <c r="AT14" s="96" t="n">
        <f aca="false">Acquisitions!AT$127*'Assumption Setting'!$D$102/'Assumption Setting'!$E$102</f>
        <v>0.0743959100187369</v>
      </c>
      <c r="AU14" s="96" t="n">
        <f aca="false">Acquisitions!AU$127*'Assumption Setting'!$D$102/'Assumption Setting'!$E$102</f>
        <v>0.0783142630719033</v>
      </c>
      <c r="AV14" s="96" t="n">
        <f aca="false">Acquisitions!AV$127*'Assumption Setting'!$D$102/'Assumption Setting'!$E$102</f>
        <v>0.0822326161250698</v>
      </c>
      <c r="AW14" s="96" t="n">
        <f aca="false">Acquisitions!AW$127*'Assumption Setting'!$D$102/'Assumption Setting'!$E$102</f>
        <v>0.0861509691782362</v>
      </c>
      <c r="AX14" s="96" t="n">
        <f aca="false">Acquisitions!AX$127*'Assumption Setting'!$D$102/'Assumption Setting'!$E$102</f>
        <v>0.08877117618164</v>
      </c>
      <c r="AY14" s="96" t="n">
        <f aca="false">Acquisitions!AY$127*'Assumption Setting'!$D$102/'Assumption Setting'!$E$102</f>
        <v>0.0910531853741599</v>
      </c>
      <c r="AZ14" s="96" t="n">
        <f aca="false">Acquisitions!AZ$127*'Assumption Setting'!$D$102/'Assumption Setting'!$E$102</f>
        <v>0.0933351945666798</v>
      </c>
      <c r="BA14" s="96" t="n">
        <f aca="false">Acquisitions!BA$127*'Assumption Setting'!$D$102/'Assumption Setting'!$E$102</f>
        <v>0.0956172037591997</v>
      </c>
      <c r="BB14" s="80" t="n">
        <f aca="false">SUM(BC14:BN14)</f>
        <v>1.42192890512415</v>
      </c>
      <c r="BC14" s="96" t="n">
        <f aca="false">Acquisitions!BC$127*'Assumption Setting'!$D$102/'Assumption Setting'!$E$102</f>
        <v>0.0978992129517195</v>
      </c>
      <c r="BD14" s="96" t="n">
        <f aca="false">Acquisitions!BD$127*'Assumption Setting'!$D$102/'Assumption Setting'!$E$102</f>
        <v>0.100181222144239</v>
      </c>
      <c r="BE14" s="96" t="n">
        <f aca="false">Acquisitions!BE$127*'Assumption Setting'!$D$102/'Assumption Setting'!$E$102</f>
        <v>0.104345602540863</v>
      </c>
      <c r="BF14" s="96" t="n">
        <f aca="false">Acquisitions!BF$127*'Assumption Setting'!$D$102/'Assumption Setting'!$E$102</f>
        <v>0.108838893102575</v>
      </c>
      <c r="BG14" s="96" t="n">
        <f aca="false">Acquisitions!BG$127*'Assumption Setting'!$D$102/'Assumption Setting'!$E$102</f>
        <v>0.113332183664288</v>
      </c>
      <c r="BH14" s="96" t="n">
        <f aca="false">Acquisitions!BH$127*'Assumption Setting'!$D$102/'Assumption Setting'!$E$102</f>
        <v>0.117825474226</v>
      </c>
      <c r="BI14" s="96" t="n">
        <f aca="false">Acquisitions!BI$127*'Assumption Setting'!$D$102/'Assumption Setting'!$E$102</f>
        <v>0.122318764787713</v>
      </c>
      <c r="BJ14" s="96" t="n">
        <f aca="false">Acquisitions!BJ$127*'Assumption Setting'!$D$102/'Assumption Setting'!$E$102</f>
        <v>0.126812055349425</v>
      </c>
      <c r="BK14" s="96" t="n">
        <f aca="false">Acquisitions!BK$127*'Assumption Setting'!$D$102/'Assumption Setting'!$E$102</f>
        <v>0.129276952035543</v>
      </c>
      <c r="BL14" s="96" t="n">
        <f aca="false">Acquisitions!BL$127*'Assumption Setting'!$D$102/'Assumption Setting'!$E$102</f>
        <v>0.131488233404735</v>
      </c>
      <c r="BM14" s="96" t="n">
        <f aca="false">Acquisitions!BM$127*'Assumption Setting'!$D$102/'Assumption Setting'!$E$102</f>
        <v>0.133699514773928</v>
      </c>
      <c r="BN14" s="96" t="n">
        <f aca="false">Acquisitions!BN$127*'Assumption Setting'!$D$102/'Assumption Setting'!$E$102</f>
        <v>0.135910796143121</v>
      </c>
    </row>
    <row r="15" customFormat="false" ht="15" hidden="false" customHeight="false" outlineLevel="0" collapsed="false">
      <c r="A15" s="12" t="s">
        <v>330</v>
      </c>
      <c r="B15" s="80" t="n">
        <f aca="false">SUM(C15:N15)</f>
        <v>0</v>
      </c>
      <c r="C15" s="96" t="n">
        <f aca="false">Acquisitions!C$129*'Assumption Setting'!$D$103/'Assumption Setting'!$E$103</f>
        <v>0</v>
      </c>
      <c r="D15" s="96" t="n">
        <f aca="false">Acquisitions!D$129*'Assumption Setting'!$D$103/'Assumption Setting'!$E$103</f>
        <v>0</v>
      </c>
      <c r="E15" s="96" t="n">
        <f aca="false">Acquisitions!E$129*'Assumption Setting'!$D$103/'Assumption Setting'!$E$103</f>
        <v>0</v>
      </c>
      <c r="F15" s="96" t="n">
        <f aca="false">Acquisitions!F$129*'Assumption Setting'!$D$103/'Assumption Setting'!$E$103</f>
        <v>0</v>
      </c>
      <c r="G15" s="96" t="n">
        <f aca="false">Acquisitions!G$129*'Assumption Setting'!$D$103/'Assumption Setting'!$E$103</f>
        <v>0</v>
      </c>
      <c r="H15" s="96" t="n">
        <f aca="false">Acquisitions!H$129*'Assumption Setting'!$D$103/'Assumption Setting'!$E$103</f>
        <v>0</v>
      </c>
      <c r="I15" s="96" t="n">
        <f aca="false">Acquisitions!I$129*'Assumption Setting'!$D$103/'Assumption Setting'!$E$103</f>
        <v>0</v>
      </c>
      <c r="J15" s="96" t="n">
        <f aca="false">Acquisitions!J$129*'Assumption Setting'!$D$103/'Assumption Setting'!$E$103</f>
        <v>0</v>
      </c>
      <c r="K15" s="96" t="n">
        <f aca="false">Acquisitions!K$129*'Assumption Setting'!$D$103/'Assumption Setting'!$E$103</f>
        <v>0</v>
      </c>
      <c r="L15" s="96" t="n">
        <f aca="false">Acquisitions!L$129*'Assumption Setting'!$D$103/'Assumption Setting'!$E$103</f>
        <v>0</v>
      </c>
      <c r="M15" s="96" t="n">
        <f aca="false">Acquisitions!M$129*'Assumption Setting'!$D$103/'Assumption Setting'!$E$103</f>
        <v>0</v>
      </c>
      <c r="N15" s="96" t="n">
        <f aca="false">Acquisitions!N$129*'Assumption Setting'!$D$103/'Assumption Setting'!$E$103</f>
        <v>0</v>
      </c>
      <c r="O15" s="80" t="n">
        <f aca="false">SUM(P15:AA15)</f>
        <v>0.791196424187077</v>
      </c>
      <c r="P15" s="96" t="n">
        <f aca="false">Acquisitions!P$129*'Assumption Setting'!$D$103/'Assumption Setting'!$E$103</f>
        <v>0</v>
      </c>
      <c r="Q15" s="96" t="n">
        <f aca="false">Acquisitions!Q$129*'Assumption Setting'!$D$103/'Assumption Setting'!$E$103</f>
        <v>0</v>
      </c>
      <c r="R15" s="96" t="n">
        <f aca="false">Acquisitions!R$129*'Assumption Setting'!$D$103/'Assumption Setting'!$E$103</f>
        <v>0</v>
      </c>
      <c r="S15" s="96" t="n">
        <f aca="false">Acquisitions!S$129*'Assumption Setting'!$D$103/'Assumption Setting'!$E$103</f>
        <v>0.0175821427597128</v>
      </c>
      <c r="T15" s="96" t="n">
        <f aca="false">Acquisitions!T$129*'Assumption Setting'!$D$103/'Assumption Setting'!$E$103</f>
        <v>0.0351642855194257</v>
      </c>
      <c r="U15" s="96" t="n">
        <f aca="false">Acquisitions!U$129*'Assumption Setting'!$D$103/'Assumption Setting'!$E$103</f>
        <v>0.0527464282791385</v>
      </c>
      <c r="V15" s="96" t="n">
        <f aca="false">Acquisitions!V$129*'Assumption Setting'!$D$103/'Assumption Setting'!$E$103</f>
        <v>0.0703285710388513</v>
      </c>
      <c r="W15" s="96" t="n">
        <f aca="false">Acquisitions!W$129*'Assumption Setting'!$D$103/'Assumption Setting'!$E$103</f>
        <v>0.0879107137985641</v>
      </c>
      <c r="X15" s="96" t="n">
        <f aca="false">Acquisitions!X$129*'Assumption Setting'!$D$103/'Assumption Setting'!$E$103</f>
        <v>0.105492856558277</v>
      </c>
      <c r="Y15" s="96" t="n">
        <f aca="false">Acquisitions!Y$129*'Assumption Setting'!$D$103/'Assumption Setting'!$E$103</f>
        <v>0.12307499931799</v>
      </c>
      <c r="Z15" s="96" t="n">
        <f aca="false">Acquisitions!Z$129*'Assumption Setting'!$D$103/'Assumption Setting'!$E$103</f>
        <v>0.140657142077703</v>
      </c>
      <c r="AA15" s="96" t="n">
        <f aca="false">Acquisitions!AA$129*'Assumption Setting'!$D$103/'Assumption Setting'!$E$103</f>
        <v>0.158239284837415</v>
      </c>
      <c r="AB15" s="80" t="n">
        <f aca="false">SUM(AC15:AN15)</f>
        <v>3.69932469122618</v>
      </c>
      <c r="AC15" s="96" t="n">
        <f aca="false">Acquisitions!AC$129*'Assumption Setting'!$D$103/'Assumption Setting'!$E$103</f>
        <v>0.175821427597128</v>
      </c>
      <c r="AD15" s="96" t="n">
        <f aca="false">Acquisitions!AD$129*'Assumption Setting'!$D$103/'Assumption Setting'!$E$103</f>
        <v>0.193403570356841</v>
      </c>
      <c r="AE15" s="96" t="n">
        <f aca="false">Acquisitions!AE$129*'Assumption Setting'!$D$103/'Assumption Setting'!$E$103</f>
        <v>0.210985713116554</v>
      </c>
      <c r="AF15" s="96" t="n">
        <f aca="false">Acquisitions!AF$129*'Assumption Setting'!$D$103/'Assumption Setting'!$E$103</f>
        <v>0.240446500197997</v>
      </c>
      <c r="AG15" s="96" t="n">
        <f aca="false">Acquisitions!AG$129*'Assumption Setting'!$D$103/'Assumption Setting'!$E$103</f>
        <v>0.269907287279441</v>
      </c>
      <c r="AH15" s="96" t="n">
        <f aca="false">Acquisitions!AH$129*'Assumption Setting'!$D$103/'Assumption Setting'!$E$103</f>
        <v>0.299368074360884</v>
      </c>
      <c r="AI15" s="96" t="n">
        <f aca="false">Acquisitions!AI$129*'Assumption Setting'!$D$103/'Assumption Setting'!$E$103</f>
        <v>0.328828861442327</v>
      </c>
      <c r="AJ15" s="96" t="n">
        <f aca="false">Acquisitions!AJ$129*'Assumption Setting'!$D$103/'Assumption Setting'!$E$103</f>
        <v>0.358289648523771</v>
      </c>
      <c r="AK15" s="96" t="n">
        <f aca="false">Acquisitions!AK$129*'Assumption Setting'!$D$103/'Assumption Setting'!$E$103</f>
        <v>0.387750435605214</v>
      </c>
      <c r="AL15" s="96" t="n">
        <f aca="false">Acquisitions!AL$129*'Assumption Setting'!$D$103/'Assumption Setting'!$E$103</f>
        <v>0.399629079926944</v>
      </c>
      <c r="AM15" s="96" t="n">
        <f aca="false">Acquisitions!AM$129*'Assumption Setting'!$D$103/'Assumption Setting'!$E$103</f>
        <v>0.411507724248675</v>
      </c>
      <c r="AN15" s="96" t="n">
        <f aca="false">Acquisitions!AN$129*'Assumption Setting'!$D$103/'Assumption Setting'!$E$103</f>
        <v>0.423386368570405</v>
      </c>
      <c r="AO15" s="80" t="n">
        <f aca="false">SUM(AP15:BA15)</f>
        <v>6.68135515023262</v>
      </c>
      <c r="AP15" s="96" t="n">
        <f aca="false">Acquisitions!AP$129*'Assumption Setting'!$D$103/'Assumption Setting'!$E$103</f>
        <v>0.435265012892136</v>
      </c>
      <c r="AQ15" s="96" t="n">
        <f aca="false">Acquisitions!AQ$129*'Assumption Setting'!$D$103/'Assumption Setting'!$E$103</f>
        <v>0.447143657213866</v>
      </c>
      <c r="AR15" s="96" t="n">
        <f aca="false">Acquisitions!AR$129*'Assumption Setting'!$D$103/'Assumption Setting'!$E$103</f>
        <v>0.459022301535597</v>
      </c>
      <c r="AS15" s="96" t="n">
        <f aca="false">Acquisitions!AS$129*'Assumption Setting'!$D$103/'Assumption Setting'!$E$103</f>
        <v>0.487466642217842</v>
      </c>
      <c r="AT15" s="96" t="n">
        <f aca="false">Acquisitions!AT$129*'Assumption Setting'!$D$103/'Assumption Setting'!$E$103</f>
        <v>0.515910982900087</v>
      </c>
      <c r="AU15" s="96" t="n">
        <f aca="false">Acquisitions!AU$129*'Assumption Setting'!$D$103/'Assumption Setting'!$E$103</f>
        <v>0.544355323582332</v>
      </c>
      <c r="AV15" s="96" t="n">
        <f aca="false">Acquisitions!AV$129*'Assumption Setting'!$D$103/'Assumption Setting'!$E$103</f>
        <v>0.572799664264578</v>
      </c>
      <c r="AW15" s="96" t="n">
        <f aca="false">Acquisitions!AW$129*'Assumption Setting'!$D$103/'Assumption Setting'!$E$103</f>
        <v>0.601244004946823</v>
      </c>
      <c r="AX15" s="96" t="n">
        <f aca="false">Acquisitions!AX$129*'Assumption Setting'!$D$103/'Assumption Setting'!$E$103</f>
        <v>0.629688345629068</v>
      </c>
      <c r="AY15" s="96" t="n">
        <f aca="false">Acquisitions!AY$129*'Assumption Setting'!$D$103/'Assumption Setting'!$E$103</f>
        <v>0.646254041989583</v>
      </c>
      <c r="AZ15" s="96" t="n">
        <f aca="false">Acquisitions!AZ$129*'Assumption Setting'!$D$103/'Assumption Setting'!$E$103</f>
        <v>0.662819738350097</v>
      </c>
      <c r="BA15" s="96" t="n">
        <f aca="false">Acquisitions!BA$129*'Assumption Setting'!$D$103/'Assumption Setting'!$E$103</f>
        <v>0.679385434710612</v>
      </c>
      <c r="BB15" s="80" t="n">
        <f aca="false">SUM(BC15:BN15)</f>
        <v>10.0677072684207</v>
      </c>
      <c r="BC15" s="96" t="n">
        <f aca="false">Acquisitions!BC$129*'Assumption Setting'!$D$103/'Assumption Setting'!$E$103</f>
        <v>0.695951131071127</v>
      </c>
      <c r="BD15" s="96" t="n">
        <f aca="false">Acquisitions!BD$129*'Assumption Setting'!$D$103/'Assumption Setting'!$E$103</f>
        <v>0.712516827431641</v>
      </c>
      <c r="BE15" s="96" t="n">
        <f aca="false">Acquisitions!BE$129*'Assumption Setting'!$D$103/'Assumption Setting'!$E$103</f>
        <v>0.729082523792156</v>
      </c>
      <c r="BF15" s="96" t="n">
        <f aca="false">Acquisitions!BF$129*'Assumption Setting'!$D$103/'Assumption Setting'!$E$103</f>
        <v>0.76170048490681</v>
      </c>
      <c r="BG15" s="96" t="n">
        <f aca="false">Acquisitions!BG$129*'Assumption Setting'!$D$103/'Assumption Setting'!$E$103</f>
        <v>0.794318446021463</v>
      </c>
      <c r="BH15" s="96" t="n">
        <f aca="false">Acquisitions!BH$129*'Assumption Setting'!$D$103/'Assumption Setting'!$E$103</f>
        <v>0.826936407136117</v>
      </c>
      <c r="BI15" s="96" t="n">
        <f aca="false">Acquisitions!BI$129*'Assumption Setting'!$D$103/'Assumption Setting'!$E$103</f>
        <v>0.859554368250771</v>
      </c>
      <c r="BJ15" s="96" t="n">
        <f aca="false">Acquisitions!BJ$129*'Assumption Setting'!$D$103/'Assumption Setting'!$E$103</f>
        <v>0.892172329365424</v>
      </c>
      <c r="BK15" s="96" t="n">
        <f aca="false">Acquisitions!BK$129*'Assumption Setting'!$D$103/'Assumption Setting'!$E$103</f>
        <v>0.924790290480078</v>
      </c>
      <c r="BL15" s="96" t="n">
        <f aca="false">Acquisitions!BL$129*'Assumption Setting'!$D$103/'Assumption Setting'!$E$103</f>
        <v>0.940842555234217</v>
      </c>
      <c r="BM15" s="96" t="n">
        <f aca="false">Acquisitions!BM$129*'Assumption Setting'!$D$103/'Assumption Setting'!$E$103</f>
        <v>0.956894819988356</v>
      </c>
      <c r="BN15" s="96" t="n">
        <f aca="false">Acquisitions!BN$129*'Assumption Setting'!$D$103/'Assumption Setting'!$E$103</f>
        <v>0.972947084742495</v>
      </c>
    </row>
    <row r="16" customFormat="false" ht="15" hidden="false" customHeight="false" outlineLevel="0" collapsed="false">
      <c r="A16" s="12" t="s">
        <v>333</v>
      </c>
      <c r="B16" s="80" t="n">
        <f aca="false">SUM(C16:N16)</f>
        <v>0.623366879662545</v>
      </c>
      <c r="C16" s="96" t="n">
        <f aca="false">Acquisitions!C$131*'Assumption Setting'!$D$104/'Assumption Setting'!$E$104</f>
        <v>0</v>
      </c>
      <c r="D16" s="96" t="n">
        <f aca="false">Acquisitions!D$131*'Assumption Setting'!$D$104/'Assumption Setting'!$E$104</f>
        <v>0</v>
      </c>
      <c r="E16" s="96" t="n">
        <f aca="false">Acquisitions!E$131*'Assumption Setting'!$D$104/'Assumption Setting'!$E$104</f>
        <v>0</v>
      </c>
      <c r="F16" s="96" t="n">
        <f aca="false">Acquisitions!F$131*'Assumption Setting'!$D$104/'Assumption Setting'!$E$104</f>
        <v>0</v>
      </c>
      <c r="G16" s="96" t="n">
        <f aca="false">Acquisitions!G$131*'Assumption Setting'!$D$104/'Assumption Setting'!$E$104</f>
        <v>0</v>
      </c>
      <c r="H16" s="96" t="n">
        <f aca="false">Acquisitions!H$131*'Assumption Setting'!$D$104/'Assumption Setting'!$E$104</f>
        <v>0</v>
      </c>
      <c r="I16" s="96" t="n">
        <f aca="false">Acquisitions!I$131*'Assumption Setting'!$D$104/'Assumption Setting'!$E$104</f>
        <v>0.0296841371267879</v>
      </c>
      <c r="J16" s="96" t="n">
        <f aca="false">Acquisitions!J$131*'Assumption Setting'!$D$104/'Assumption Setting'!$E$104</f>
        <v>0.0593682742535758</v>
      </c>
      <c r="K16" s="96" t="n">
        <f aca="false">Acquisitions!K$131*'Assumption Setting'!$D$104/'Assumption Setting'!$E$104</f>
        <v>0.0890524113803636</v>
      </c>
      <c r="L16" s="96" t="n">
        <f aca="false">Acquisitions!L$131*'Assumption Setting'!$D$104/'Assumption Setting'!$E$104</f>
        <v>0.118736548507152</v>
      </c>
      <c r="M16" s="96" t="n">
        <f aca="false">Acquisitions!M$131*'Assumption Setting'!$D$104/'Assumption Setting'!$E$104</f>
        <v>0.148420685633939</v>
      </c>
      <c r="N16" s="96" t="n">
        <f aca="false">Acquisitions!N$131*'Assumption Setting'!$D$104/'Assumption Setting'!$E$104</f>
        <v>0.178104822760727</v>
      </c>
      <c r="O16" s="80" t="n">
        <f aca="false">SUM(P16:AA16)</f>
        <v>4.39268856492524</v>
      </c>
      <c r="P16" s="96" t="n">
        <f aca="false">Acquisitions!P$131*'Assumption Setting'!$D$104/'Assumption Setting'!$E$104</f>
        <v>0.207788959887515</v>
      </c>
      <c r="Q16" s="96" t="n">
        <f aca="false">Acquisitions!Q$131*'Assumption Setting'!$D$104/'Assumption Setting'!$E$104</f>
        <v>0.240441510726982</v>
      </c>
      <c r="R16" s="96" t="n">
        <f aca="false">Acquisitions!R$131*'Assumption Setting'!$D$104/'Assumption Setting'!$E$104</f>
        <v>0.273094061566449</v>
      </c>
      <c r="S16" s="96" t="n">
        <f aca="false">Acquisitions!S$131*'Assumption Setting'!$D$104/'Assumption Setting'!$E$104</f>
        <v>0.305746612405915</v>
      </c>
      <c r="T16" s="96" t="n">
        <f aca="false">Acquisitions!T$131*'Assumption Setting'!$D$104/'Assumption Setting'!$E$104</f>
        <v>0.338399163245382</v>
      </c>
      <c r="U16" s="96" t="n">
        <f aca="false">Acquisitions!U$131*'Assumption Setting'!$D$104/'Assumption Setting'!$E$104</f>
        <v>0.371051714084848</v>
      </c>
      <c r="V16" s="96" t="n">
        <f aca="false">Acquisitions!V$131*'Assumption Setting'!$D$104/'Assumption Setting'!$E$104</f>
        <v>0.391521059727661</v>
      </c>
      <c r="W16" s="96" t="n">
        <f aca="false">Acquisitions!W$131*'Assumption Setting'!$D$104/'Assumption Setting'!$E$104</f>
        <v>0.411990405370473</v>
      </c>
      <c r="X16" s="96" t="n">
        <f aca="false">Acquisitions!X$131*'Assumption Setting'!$D$104/'Assumption Setting'!$E$104</f>
        <v>0.432459751013285</v>
      </c>
      <c r="Y16" s="96" t="n">
        <f aca="false">Acquisitions!Y$131*'Assumption Setting'!$D$104/'Assumption Setting'!$E$104</f>
        <v>0.452929096656097</v>
      </c>
      <c r="Z16" s="96" t="n">
        <f aca="false">Acquisitions!Z$131*'Assumption Setting'!$D$104/'Assumption Setting'!$E$104</f>
        <v>0.473398442298909</v>
      </c>
      <c r="AA16" s="96" t="n">
        <f aca="false">Acquisitions!AA$131*'Assumption Setting'!$D$104/'Assumption Setting'!$E$104</f>
        <v>0.493867787941721</v>
      </c>
      <c r="AB16" s="80" t="n">
        <f aca="false">SUM(AC16:AN16)</f>
        <v>7.83476928037862</v>
      </c>
      <c r="AC16" s="96" t="n">
        <f aca="false">Acquisitions!AC$131*'Assumption Setting'!$D$104/'Assumption Setting'!$E$104</f>
        <v>0.514337133584534</v>
      </c>
      <c r="AD16" s="96" t="n">
        <f aca="false">Acquisitions!AD$131*'Assumption Setting'!$D$104/'Assumption Setting'!$E$104</f>
        <v>0.536397473039176</v>
      </c>
      <c r="AE16" s="96" t="n">
        <f aca="false">Acquisitions!AE$131*'Assumption Setting'!$D$104/'Assumption Setting'!$E$104</f>
        <v>0.558457812493818</v>
      </c>
      <c r="AF16" s="96" t="n">
        <f aca="false">Acquisitions!AF$131*'Assumption Setting'!$D$104/'Assumption Setting'!$E$104</f>
        <v>0.580518151948461</v>
      </c>
      <c r="AG16" s="96" t="n">
        <f aca="false">Acquisitions!AG$131*'Assumption Setting'!$D$104/'Assumption Setting'!$E$104</f>
        <v>0.602578491403103</v>
      </c>
      <c r="AH16" s="96" t="n">
        <f aca="false">Acquisitions!AH$131*'Assumption Setting'!$D$104/'Assumption Setting'!$E$104</f>
        <v>0.624638830857745</v>
      </c>
      <c r="AI16" s="96" t="n">
        <f aca="false">Acquisitions!AI$131*'Assumption Setting'!$D$104/'Assumption Setting'!$E$104</f>
        <v>0.656543992853236</v>
      </c>
      <c r="AJ16" s="96" t="n">
        <f aca="false">Acquisitions!AJ$131*'Assumption Setting'!$D$104/'Assumption Setting'!$E$104</f>
        <v>0.688449154848727</v>
      </c>
      <c r="AK16" s="96" t="n">
        <f aca="false">Acquisitions!AK$131*'Assumption Setting'!$D$104/'Assumption Setting'!$E$104</f>
        <v>0.720354316844218</v>
      </c>
      <c r="AL16" s="96" t="n">
        <f aca="false">Acquisitions!AL$131*'Assumption Setting'!$D$104/'Assumption Setting'!$E$104</f>
        <v>0.752259478839709</v>
      </c>
      <c r="AM16" s="96" t="n">
        <f aca="false">Acquisitions!AM$131*'Assumption Setting'!$D$104/'Assumption Setting'!$E$104</f>
        <v>0.7841646408352</v>
      </c>
      <c r="AN16" s="96" t="n">
        <f aca="false">Acquisitions!AN$131*'Assumption Setting'!$D$104/'Assumption Setting'!$E$104</f>
        <v>0.816069802830691</v>
      </c>
      <c r="AO16" s="80" t="n">
        <f aca="false">SUM(AP16:BA16)</f>
        <v>12.1648400053296</v>
      </c>
      <c r="AP16" s="96" t="n">
        <f aca="false">Acquisitions!AP$131*'Assumption Setting'!$D$104/'Assumption Setting'!$E$104</f>
        <v>0.847974964826182</v>
      </c>
      <c r="AQ16" s="96" t="n">
        <f aca="false">Acquisitions!AQ$131*'Assumption Setting'!$D$104/'Assumption Setting'!$E$104</f>
        <v>0.87873982949571</v>
      </c>
      <c r="AR16" s="96" t="n">
        <f aca="false">Acquisitions!AR$131*'Assumption Setting'!$D$104/'Assumption Setting'!$E$104</f>
        <v>0.909504694165237</v>
      </c>
      <c r="AS16" s="96" t="n">
        <f aca="false">Acquisitions!AS$131*'Assumption Setting'!$D$104/'Assumption Setting'!$E$104</f>
        <v>0.940269558834764</v>
      </c>
      <c r="AT16" s="96" t="n">
        <f aca="false">Acquisitions!AT$131*'Assumption Setting'!$D$104/'Assumption Setting'!$E$104</f>
        <v>0.971034423504292</v>
      </c>
      <c r="AU16" s="96" t="n">
        <f aca="false">Acquisitions!AU$131*'Assumption Setting'!$D$104/'Assumption Setting'!$E$104</f>
        <v>1.00179928817382</v>
      </c>
      <c r="AV16" s="96" t="n">
        <f aca="false">Acquisitions!AV$131*'Assumption Setting'!$D$104/'Assumption Setting'!$E$104</f>
        <v>1.03059555090176</v>
      </c>
      <c r="AW16" s="96" t="n">
        <f aca="false">Acquisitions!AW$131*'Assumption Setting'!$D$104/'Assumption Setting'!$E$104</f>
        <v>1.0593918136297</v>
      </c>
      <c r="AX16" s="96" t="n">
        <f aca="false">Acquisitions!AX$131*'Assumption Setting'!$D$104/'Assumption Setting'!$E$104</f>
        <v>1.08818807635764</v>
      </c>
      <c r="AY16" s="96" t="n">
        <f aca="false">Acquisitions!AY$131*'Assumption Setting'!$D$104/'Assumption Setting'!$E$104</f>
        <v>1.11698433908558</v>
      </c>
      <c r="AZ16" s="96" t="n">
        <f aca="false">Acquisitions!AZ$131*'Assumption Setting'!$D$104/'Assumption Setting'!$E$104</f>
        <v>1.14578060181352</v>
      </c>
      <c r="BA16" s="96" t="n">
        <f aca="false">Acquisitions!BA$131*'Assumption Setting'!$D$104/'Assumption Setting'!$E$104</f>
        <v>1.17457686454146</v>
      </c>
      <c r="BB16" s="80" t="n">
        <f aca="false">SUM(BC16:BN16)</f>
        <v>16.428322271831</v>
      </c>
      <c r="BC16" s="96" t="n">
        <f aca="false">Acquisitions!BC$131*'Assumption Setting'!$D$104/'Assumption Setting'!$E$104</f>
        <v>1.20337312726939</v>
      </c>
      <c r="BD16" s="96" t="n">
        <f aca="false">Acquisitions!BD$131*'Assumption Setting'!$D$104/'Assumption Setting'!$E$104</f>
        <v>1.23318447609851</v>
      </c>
      <c r="BE16" s="96" t="n">
        <f aca="false">Acquisitions!BE$131*'Assumption Setting'!$D$104/'Assumption Setting'!$E$104</f>
        <v>1.26299582492763</v>
      </c>
      <c r="BF16" s="96" t="n">
        <f aca="false">Acquisitions!BF$131*'Assumption Setting'!$D$104/'Assumption Setting'!$E$104</f>
        <v>1.29280717375674</v>
      </c>
      <c r="BG16" s="96" t="n">
        <f aca="false">Acquisitions!BG$131*'Assumption Setting'!$D$104/'Assumption Setting'!$E$104</f>
        <v>1.32261852258586</v>
      </c>
      <c r="BH16" s="96" t="n">
        <f aca="false">Acquisitions!BH$131*'Assumption Setting'!$D$104/'Assumption Setting'!$E$104</f>
        <v>1.35242987141497</v>
      </c>
      <c r="BI16" s="96" t="n">
        <f aca="false">Acquisitions!BI$131*'Assumption Setting'!$D$104/'Assumption Setting'!$E$104</f>
        <v>1.3832076831906</v>
      </c>
      <c r="BJ16" s="96" t="n">
        <f aca="false">Acquisitions!BJ$131*'Assumption Setting'!$D$104/'Assumption Setting'!$E$104</f>
        <v>1.41398549496622</v>
      </c>
      <c r="BK16" s="96" t="n">
        <f aca="false">Acquisitions!BK$131*'Assumption Setting'!$D$104/'Assumption Setting'!$E$104</f>
        <v>1.44476330674184</v>
      </c>
      <c r="BL16" s="96" t="n">
        <f aca="false">Acquisitions!BL$131*'Assumption Setting'!$D$104/'Assumption Setting'!$E$104</f>
        <v>1.47554111851747</v>
      </c>
      <c r="BM16" s="96" t="n">
        <f aca="false">Acquisitions!BM$131*'Assumption Setting'!$D$104/'Assumption Setting'!$E$104</f>
        <v>1.50631893029309</v>
      </c>
      <c r="BN16" s="96" t="n">
        <f aca="false">Acquisitions!BN$131*'Assumption Setting'!$D$104/'Assumption Setting'!$E$104</f>
        <v>1.53709674206872</v>
      </c>
    </row>
    <row r="17" customFormat="false" ht="15" hidden="false" customHeight="false" outlineLevel="0" collapsed="false">
      <c r="A17" s="12" t="s">
        <v>336</v>
      </c>
      <c r="B17" s="80" t="n">
        <f aca="false">SUM(C17:N17)</f>
        <v>0.223772726032709</v>
      </c>
      <c r="C17" s="96" t="n">
        <f aca="false">MIN(Acquisitions!C$133*'Assumption Setting'!$D$105/'Assumption Setting'!$E$105,'Assumption Setting'!$C$117/12)</f>
        <v>0</v>
      </c>
      <c r="D17" s="96" t="n">
        <f aca="false">MIN(Acquisitions!D$133*'Assumption Setting'!$D$105/'Assumption Setting'!$E$105,'Assumption Setting'!$C$117/12)</f>
        <v>0</v>
      </c>
      <c r="E17" s="96" t="n">
        <f aca="false">MIN(Acquisitions!E$133*'Assumption Setting'!$D$105/'Assumption Setting'!$E$105,'Assumption Setting'!$C$117/12)</f>
        <v>0</v>
      </c>
      <c r="F17" s="96" t="n">
        <f aca="false">MIN(Acquisitions!F$133*'Assumption Setting'!$D$105/'Assumption Setting'!$E$105,'Assumption Setting'!$C$117/12)</f>
        <v>0</v>
      </c>
      <c r="G17" s="96" t="n">
        <f aca="false">MIN(Acquisitions!G$133*'Assumption Setting'!$D$105/'Assumption Setting'!$E$105,'Assumption Setting'!$C$117/12)</f>
        <v>0</v>
      </c>
      <c r="H17" s="96" t="n">
        <f aca="false">MIN(Acquisitions!H$133*'Assumption Setting'!$D$105/'Assumption Setting'!$E$105,'Assumption Setting'!$C$117/12)</f>
        <v>0</v>
      </c>
      <c r="I17" s="96" t="n">
        <f aca="false">MIN(Acquisitions!I$133*'Assumption Setting'!$D$105/'Assumption Setting'!$E$105,'Assumption Setting'!$C$117/12)</f>
        <v>0.0106558440967956</v>
      </c>
      <c r="J17" s="96" t="n">
        <f aca="false">MIN(Acquisitions!J$133*'Assumption Setting'!$D$105/'Assumption Setting'!$E$105,'Assumption Setting'!$C$117/12)</f>
        <v>0.0213116881935913</v>
      </c>
      <c r="K17" s="96" t="n">
        <f aca="false">MIN(Acquisitions!K$133*'Assumption Setting'!$D$105/'Assumption Setting'!$E$105,'Assumption Setting'!$C$117/12)</f>
        <v>0.0319675322903869</v>
      </c>
      <c r="L17" s="96" t="n">
        <f aca="false">MIN(Acquisitions!L$133*'Assumption Setting'!$D$105/'Assumption Setting'!$E$105,'Assumption Setting'!$C$117/12)</f>
        <v>0.0426233763871826</v>
      </c>
      <c r="M17" s="96" t="n">
        <f aca="false">MIN(Acquisitions!M$133*'Assumption Setting'!$D$105/'Assumption Setting'!$E$105,'Assumption Setting'!$C$117/12)</f>
        <v>0.0532792204839782</v>
      </c>
      <c r="N17" s="96" t="n">
        <f aca="false">MIN(Acquisitions!N$133*'Assumption Setting'!$D$105/'Assumption Setting'!$E$105,'Assumption Setting'!$C$117/12)</f>
        <v>0.0639350645807739</v>
      </c>
      <c r="O17" s="80" t="n">
        <f aca="false">SUM(P17:AA17)</f>
        <v>1.56297212014319</v>
      </c>
      <c r="P17" s="96" t="n">
        <f aca="false">MIN(Acquisitions!P$133*'Assumption Setting'!$D$105/'Assumption Setting'!$E$105,'Assumption Setting'!$D$117/12)</f>
        <v>0.0745909086775696</v>
      </c>
      <c r="Q17" s="96" t="n">
        <f aca="false">MIN(Acquisitions!Q$133*'Assumption Setting'!$D$105/'Assumption Setting'!$E$105,'Assumption Setting'!$D$117/12)</f>
        <v>0.0863123371840448</v>
      </c>
      <c r="R17" s="96" t="n">
        <f aca="false">MIN(Acquisitions!R$133*'Assumption Setting'!$D$105/'Assumption Setting'!$E$105,'Assumption Setting'!$D$117/12)</f>
        <v>0.09803376569052</v>
      </c>
      <c r="S17" s="96" t="n">
        <f aca="false">MIN(Acquisitions!S$133*'Assumption Setting'!$D$105/'Assumption Setting'!$E$105,'Assumption Setting'!$D$117/12)</f>
        <v>0.109755194196995</v>
      </c>
      <c r="T17" s="96" t="n">
        <f aca="false">MIN(Acquisitions!T$133*'Assumption Setting'!$D$105/'Assumption Setting'!$E$105,'Assumption Setting'!$D$117/12)</f>
        <v>0.12147662270347</v>
      </c>
      <c r="U17" s="96" t="n">
        <f aca="false">MIN(Acquisitions!U$133*'Assumption Setting'!$D$105/'Assumption Setting'!$E$105,'Assumption Setting'!$D$117/12)</f>
        <v>0.133198051209946</v>
      </c>
      <c r="V17" s="96" t="n">
        <f aca="false">MIN(Acquisitions!V$133*'Assumption Setting'!$D$105/'Assumption Setting'!$E$105,'Assumption Setting'!$D$117/12)</f>
        <v>0.140546021440699</v>
      </c>
      <c r="W17" s="96" t="n">
        <f aca="false">MIN(Acquisitions!W$133*'Assumption Setting'!$D$105/'Assumption Setting'!$E$105,'Assumption Setting'!$D$117/12)</f>
        <v>0.147893991671452</v>
      </c>
      <c r="X17" s="96" t="n">
        <f aca="false">MIN(Acquisitions!X$133*'Assumption Setting'!$D$105/'Assumption Setting'!$E$105,'Assumption Setting'!$D$117/12)</f>
        <v>0.155241961902205</v>
      </c>
      <c r="Y17" s="96" t="n">
        <f aca="false">MIN(Acquisitions!Y$133*'Assumption Setting'!$D$105/'Assumption Setting'!$E$105,'Assumption Setting'!$D$117/12)</f>
        <v>0.162589932132958</v>
      </c>
      <c r="Z17" s="96" t="n">
        <f aca="false">MIN(Acquisitions!Z$133*'Assumption Setting'!$D$105/'Assumption Setting'!$E$105,'Assumption Setting'!$D$117/12)</f>
        <v>0.166666666666667</v>
      </c>
      <c r="AA17" s="96" t="n">
        <f aca="false">MIN(Acquisitions!AA$133*'Assumption Setting'!$D$105/'Assumption Setting'!$E$105,'Assumption Setting'!$D$117/12)</f>
        <v>0.166666666666667</v>
      </c>
      <c r="AB17" s="80" t="n">
        <f aca="false">SUM(AC17:AN17)</f>
        <v>2.70940755318983</v>
      </c>
      <c r="AC17" s="96" t="n">
        <f aca="false">MIN(Acquisitions!AC$133*'Assumption Setting'!$D$105/'Assumption Setting'!$E$105,'Assumption Setting'!$E$117/12)</f>
        <v>0.184633842825217</v>
      </c>
      <c r="AD17" s="96" t="n">
        <f aca="false">MIN(Acquisitions!AD$133*'Assumption Setting'!$D$105/'Assumption Setting'!$E$105,'Assumption Setting'!$E$117/12)</f>
        <v>0.192552939039704</v>
      </c>
      <c r="AE17" s="96" t="n">
        <f aca="false">MIN(Acquisitions!AE$133*'Assumption Setting'!$D$105/'Assumption Setting'!$E$105,'Assumption Setting'!$E$117/12)</f>
        <v>0.200472035254191</v>
      </c>
      <c r="AF17" s="96" t="n">
        <f aca="false">MIN(Acquisitions!AF$133*'Assumption Setting'!$D$105/'Assumption Setting'!$E$105,'Assumption Setting'!$E$117/12)</f>
        <v>0.208391131468678</v>
      </c>
      <c r="AG17" s="96" t="n">
        <f aca="false">MIN(Acquisitions!AG$133*'Assumption Setting'!$D$105/'Assumption Setting'!$E$105,'Assumption Setting'!$E$117/12)</f>
        <v>0.216310227683165</v>
      </c>
      <c r="AH17" s="96" t="n">
        <f aca="false">MIN(Acquisitions!AH$133*'Assumption Setting'!$D$105/'Assumption Setting'!$E$105,'Assumption Setting'!$E$117/12)</f>
        <v>0.224229323897652</v>
      </c>
      <c r="AI17" s="96" t="n">
        <f aca="false">MIN(Acquisitions!AI$133*'Assumption Setting'!$D$105/'Assumption Setting'!$E$105,'Assumption Setting'!$E$117/12)</f>
        <v>0.235682458972957</v>
      </c>
      <c r="AJ17" s="96" t="n">
        <f aca="false">MIN(Acquisitions!AJ$133*'Assumption Setting'!$D$105/'Assumption Setting'!$E$105,'Assumption Setting'!$E$117/12)</f>
        <v>0.247135594048261</v>
      </c>
      <c r="AK17" s="96" t="n">
        <f aca="false">MIN(Acquisitions!AK$133*'Assumption Setting'!$D$105/'Assumption Setting'!$E$105,'Assumption Setting'!$E$117/12)</f>
        <v>0.25</v>
      </c>
      <c r="AL17" s="96" t="n">
        <f aca="false">MIN(Acquisitions!AL$133*'Assumption Setting'!$D$105/'Assumption Setting'!$E$105,'Assumption Setting'!$E$117/12)</f>
        <v>0.25</v>
      </c>
      <c r="AM17" s="96" t="n">
        <f aca="false">MIN(Acquisitions!AM$133*'Assumption Setting'!$D$105/'Assumption Setting'!$E$105,'Assumption Setting'!$E$117/12)</f>
        <v>0.25</v>
      </c>
      <c r="AN17" s="96" t="n">
        <f aca="false">MIN(Acquisitions!AN$133*'Assumption Setting'!$D$105/'Assumption Setting'!$E$105,'Assumption Setting'!$E$117/12)</f>
        <v>0.25</v>
      </c>
      <c r="AO17" s="80" t="n">
        <f aca="false">SUM(AP17:BA17)</f>
        <v>3</v>
      </c>
      <c r="AP17" s="96" t="n">
        <f aca="false">MIN(Acquisitions!AP$133*'Assumption Setting'!$D$105/'Assumption Setting'!$E$105,'Assumption Setting'!$F$117/12)</f>
        <v>0.25</v>
      </c>
      <c r="AQ17" s="96" t="n">
        <f aca="false">MIN(Acquisitions!AQ$133*'Assumption Setting'!$D$105/'Assumption Setting'!$E$105,'Assumption Setting'!$F$117/12)</f>
        <v>0.25</v>
      </c>
      <c r="AR17" s="96" t="n">
        <f aca="false">MIN(Acquisitions!AR$133*'Assumption Setting'!$D$105/'Assumption Setting'!$E$105,'Assumption Setting'!$F$117/12)</f>
        <v>0.25</v>
      </c>
      <c r="AS17" s="96" t="n">
        <f aca="false">MIN(Acquisitions!AS$133*'Assumption Setting'!$D$105/'Assumption Setting'!$E$105,'Assumption Setting'!$F$117/12)</f>
        <v>0.25</v>
      </c>
      <c r="AT17" s="96" t="n">
        <f aca="false">MIN(Acquisitions!AT$133*'Assumption Setting'!$D$105/'Assumption Setting'!$E$105,'Assumption Setting'!$F$117/12)</f>
        <v>0.25</v>
      </c>
      <c r="AU17" s="96" t="n">
        <f aca="false">MIN(Acquisitions!AU$133*'Assumption Setting'!$D$105/'Assumption Setting'!$E$105,'Assumption Setting'!$F$117/12)</f>
        <v>0.25</v>
      </c>
      <c r="AV17" s="96" t="n">
        <f aca="false">MIN(Acquisitions!AV$133*'Assumption Setting'!$D$105/'Assumption Setting'!$E$105,'Assumption Setting'!$F$117/12)</f>
        <v>0.25</v>
      </c>
      <c r="AW17" s="96" t="n">
        <f aca="false">MIN(Acquisitions!AW$133*'Assumption Setting'!$D$105/'Assumption Setting'!$E$105,'Assumption Setting'!$F$117/12)</f>
        <v>0.25</v>
      </c>
      <c r="AX17" s="96" t="n">
        <f aca="false">MIN(Acquisitions!AX$133*'Assumption Setting'!$D$105/'Assumption Setting'!$E$105,'Assumption Setting'!$F$117/12)</f>
        <v>0.25</v>
      </c>
      <c r="AY17" s="96" t="n">
        <f aca="false">MIN(Acquisitions!AY$133*'Assumption Setting'!$D$105/'Assumption Setting'!$E$105,'Assumption Setting'!$F$117/12)</f>
        <v>0.25</v>
      </c>
      <c r="AZ17" s="96" t="n">
        <f aca="false">MIN(Acquisitions!AZ$133*'Assumption Setting'!$D$105/'Assumption Setting'!$E$105,'Assumption Setting'!$F$117/12)</f>
        <v>0.25</v>
      </c>
      <c r="BA17" s="96" t="n">
        <f aca="false">MIN(Acquisitions!BA$133*'Assumption Setting'!$D$105/'Assumption Setting'!$E$105,'Assumption Setting'!$F$117/12)</f>
        <v>0.25</v>
      </c>
      <c r="BB17" s="80" t="n">
        <f aca="false">SUM(BC17:BN17)</f>
        <v>3</v>
      </c>
      <c r="BC17" s="96" t="n">
        <f aca="false">MIN(Acquisitions!BC$133*'Assumption Setting'!$D$105/'Assumption Setting'!$E$105,'Assumption Setting'!$G$117/12)</f>
        <v>0.25</v>
      </c>
      <c r="BD17" s="96" t="n">
        <f aca="false">MIN(Acquisitions!BD$133*'Assumption Setting'!$D$105/'Assumption Setting'!$E$105,'Assumption Setting'!$G$117/12)</f>
        <v>0.25</v>
      </c>
      <c r="BE17" s="96" t="n">
        <f aca="false">MIN(Acquisitions!BE$133*'Assumption Setting'!$D$105/'Assumption Setting'!$E$105,'Assumption Setting'!$G$117/12)</f>
        <v>0.25</v>
      </c>
      <c r="BF17" s="96" t="n">
        <f aca="false">MIN(Acquisitions!BF$133*'Assumption Setting'!$D$105/'Assumption Setting'!$E$105,'Assumption Setting'!$G$117/12)</f>
        <v>0.25</v>
      </c>
      <c r="BG17" s="96" t="n">
        <f aca="false">MIN(Acquisitions!BG$133*'Assumption Setting'!$D$105/'Assumption Setting'!$E$105,'Assumption Setting'!$G$117/12)</f>
        <v>0.25</v>
      </c>
      <c r="BH17" s="96" t="n">
        <f aca="false">MIN(Acquisitions!BH$133*'Assumption Setting'!$D$105/'Assumption Setting'!$E$105,'Assumption Setting'!$G$117/12)</f>
        <v>0.25</v>
      </c>
      <c r="BI17" s="96" t="n">
        <f aca="false">MIN(Acquisitions!BI$133*'Assumption Setting'!$D$105/'Assumption Setting'!$E$105,'Assumption Setting'!$G$117/12)</f>
        <v>0.25</v>
      </c>
      <c r="BJ17" s="96" t="n">
        <f aca="false">MIN(Acquisitions!BJ$133*'Assumption Setting'!$D$105/'Assumption Setting'!$E$105,'Assumption Setting'!$G$117/12)</f>
        <v>0.25</v>
      </c>
      <c r="BK17" s="96" t="n">
        <f aca="false">MIN(Acquisitions!BK$133*'Assumption Setting'!$D$105/'Assumption Setting'!$E$105,'Assumption Setting'!$G$117/12)</f>
        <v>0.25</v>
      </c>
      <c r="BL17" s="96" t="n">
        <f aca="false">MIN(Acquisitions!BL$133*'Assumption Setting'!$D$105/'Assumption Setting'!$E$105,'Assumption Setting'!$G$117/12)</f>
        <v>0.25</v>
      </c>
      <c r="BM17" s="96" t="n">
        <f aca="false">MIN(Acquisitions!BM$133*'Assumption Setting'!$D$105/'Assumption Setting'!$E$105,'Assumption Setting'!$G$117/12)</f>
        <v>0.25</v>
      </c>
      <c r="BN17" s="96" t="n">
        <f aca="false">MIN(Acquisitions!BN$133*'Assumption Setting'!$D$105/'Assumption Setting'!$E$105,'Assumption Setting'!$G$117/12)</f>
        <v>0.25</v>
      </c>
    </row>
    <row r="18" customFormat="false" ht="15" hidden="false" customHeight="false" outlineLevel="0" collapsed="false">
      <c r="A18" s="12" t="s">
        <v>339</v>
      </c>
      <c r="B18" s="80" t="n">
        <f aca="false">SUM(C18:N18)</f>
        <v>0</v>
      </c>
      <c r="C18" s="96" t="n">
        <f aca="false">Acquisitions!C$135*'Assumption Setting'!$D$106/'Assumption Setting'!$E$106</f>
        <v>0</v>
      </c>
      <c r="D18" s="96" t="n">
        <f aca="false">Acquisitions!D$135*'Assumption Setting'!$D$106/'Assumption Setting'!$E$106</f>
        <v>0</v>
      </c>
      <c r="E18" s="96" t="n">
        <f aca="false">Acquisitions!E$135*'Assumption Setting'!$D$106/'Assumption Setting'!$E$106</f>
        <v>0</v>
      </c>
      <c r="F18" s="96" t="n">
        <f aca="false">Acquisitions!F$135*'Assumption Setting'!$D$106/'Assumption Setting'!$E$106</f>
        <v>0</v>
      </c>
      <c r="G18" s="96" t="n">
        <f aca="false">Acquisitions!G$135*'Assumption Setting'!$D$106/'Assumption Setting'!$E$106</f>
        <v>0</v>
      </c>
      <c r="H18" s="96" t="n">
        <f aca="false">Acquisitions!H$135*'Assumption Setting'!$D$106/'Assumption Setting'!$E$106</f>
        <v>0</v>
      </c>
      <c r="I18" s="96" t="n">
        <f aca="false">Acquisitions!I$135*'Assumption Setting'!$D$106/'Assumption Setting'!$E$106</f>
        <v>0</v>
      </c>
      <c r="J18" s="96" t="n">
        <f aca="false">Acquisitions!J$135*'Assumption Setting'!$D$106/'Assumption Setting'!$E$106</f>
        <v>0</v>
      </c>
      <c r="K18" s="96" t="n">
        <f aca="false">Acquisitions!K$135*'Assumption Setting'!$D$106/'Assumption Setting'!$E$106</f>
        <v>0</v>
      </c>
      <c r="L18" s="96" t="n">
        <f aca="false">Acquisitions!L$135*'Assumption Setting'!$D$106/'Assumption Setting'!$E$106</f>
        <v>0</v>
      </c>
      <c r="M18" s="96" t="n">
        <f aca="false">Acquisitions!M$135*'Assumption Setting'!$D$106/'Assumption Setting'!$E$106</f>
        <v>0</v>
      </c>
      <c r="N18" s="96" t="n">
        <f aca="false">Acquisitions!N$135*'Assumption Setting'!$D$106/'Assumption Setting'!$E$106</f>
        <v>0</v>
      </c>
      <c r="O18" s="80" t="n">
        <f aca="false">SUM(P18:AA18)</f>
        <v>1.63961200721212</v>
      </c>
      <c r="P18" s="96" t="n">
        <f aca="false">Acquisitions!P$135*'Assumption Setting'!$D$106/'Assumption Setting'!$E$106</f>
        <v>0.0188380100996923</v>
      </c>
      <c r="Q18" s="96" t="n">
        <f aca="false">Acquisitions!Q$135*'Assumption Setting'!$D$106/'Assumption Setting'!$E$106</f>
        <v>0.0376760201993846</v>
      </c>
      <c r="R18" s="96" t="n">
        <f aca="false">Acquisitions!R$135*'Assumption Setting'!$D$106/'Assumption Setting'!$E$106</f>
        <v>0.0583978313090462</v>
      </c>
      <c r="S18" s="96" t="n">
        <f aca="false">Acquisitions!S$135*'Assumption Setting'!$D$106/'Assumption Setting'!$E$106</f>
        <v>0.0791196424187077</v>
      </c>
      <c r="T18" s="96" t="n">
        <f aca="false">Acquisitions!T$135*'Assumption Setting'!$D$106/'Assumption Setting'!$E$106</f>
        <v>0.0998414535283692</v>
      </c>
      <c r="U18" s="96" t="n">
        <f aca="false">Acquisitions!U$135*'Assumption Setting'!$D$106/'Assumption Setting'!$E$106</f>
        <v>0.120563264638031</v>
      </c>
      <c r="V18" s="96" t="n">
        <f aca="false">Acquisitions!V$135*'Assumption Setting'!$D$106/'Assumption Setting'!$E$106</f>
        <v>0.141285075747692</v>
      </c>
      <c r="W18" s="96" t="n">
        <f aca="false">Acquisitions!W$135*'Assumption Setting'!$D$106/'Assumption Setting'!$E$106</f>
        <v>0.162006886857354</v>
      </c>
      <c r="X18" s="96" t="n">
        <f aca="false">Acquisitions!X$135*'Assumption Setting'!$D$106/'Assumption Setting'!$E$106</f>
        <v>0.182728697967015</v>
      </c>
      <c r="Y18" s="96" t="n">
        <f aca="false">Acquisitions!Y$135*'Assumption Setting'!$D$106/'Assumption Setting'!$E$106</f>
        <v>0.214556869724646</v>
      </c>
      <c r="Z18" s="96" t="n">
        <f aca="false">Acquisitions!Z$135*'Assumption Setting'!$D$106/'Assumption Setting'!$E$106</f>
        <v>0.246385041482277</v>
      </c>
      <c r="AA18" s="96" t="n">
        <f aca="false">Acquisitions!AA$135*'Assumption Setting'!$D$106/'Assumption Setting'!$E$106</f>
        <v>0.278213213239908</v>
      </c>
      <c r="AB18" s="80" t="n">
        <f aca="false">SUM(AC18:AN18)</f>
        <v>4.44480902649732</v>
      </c>
      <c r="AC18" s="96" t="n">
        <f aca="false">Acquisitions!AC$135*'Assumption Setting'!$D$106/'Assumption Setting'!$E$106</f>
        <v>0.291203374897846</v>
      </c>
      <c r="AD18" s="96" t="n">
        <f aca="false">Acquisitions!AD$135*'Assumption Setting'!$D$106/'Assumption Setting'!$E$106</f>
        <v>0.304193536555785</v>
      </c>
      <c r="AE18" s="96" t="n">
        <f aca="false">Acquisitions!AE$135*'Assumption Setting'!$D$106/'Assumption Setting'!$E$106</f>
        <v>0.318193367363538</v>
      </c>
      <c r="AF18" s="96" t="n">
        <f aca="false">Acquisitions!AF$135*'Assumption Setting'!$D$106/'Assumption Setting'!$E$106</f>
        <v>0.332193198171292</v>
      </c>
      <c r="AG18" s="96" t="n">
        <f aca="false">Acquisitions!AG$135*'Assumption Setting'!$D$106/'Assumption Setting'!$E$106</f>
        <v>0.346193028979046</v>
      </c>
      <c r="AH18" s="96" t="n">
        <f aca="false">Acquisitions!AH$135*'Assumption Setting'!$D$106/'Assumption Setting'!$E$106</f>
        <v>0.3601928597868</v>
      </c>
      <c r="AI18" s="96" t="n">
        <f aca="false">Acquisitions!AI$135*'Assumption Setting'!$D$106/'Assumption Setting'!$E$106</f>
        <v>0.374192690594554</v>
      </c>
      <c r="AJ18" s="96" t="n">
        <f aca="false">Acquisitions!AJ$135*'Assumption Setting'!$D$106/'Assumption Setting'!$E$106</f>
        <v>0.388192521402308</v>
      </c>
      <c r="AK18" s="96" t="n">
        <f aca="false">Acquisitions!AK$135*'Assumption Setting'!$D$106/'Assumption Setting'!$E$106</f>
        <v>0.402192352210062</v>
      </c>
      <c r="AL18" s="96" t="n">
        <f aca="false">Acquisitions!AL$135*'Assumption Setting'!$D$106/'Assumption Setting'!$E$106</f>
        <v>0.422439858861046</v>
      </c>
      <c r="AM18" s="96" t="n">
        <f aca="false">Acquisitions!AM$135*'Assumption Setting'!$D$106/'Assumption Setting'!$E$106</f>
        <v>0.442687365512031</v>
      </c>
      <c r="AN18" s="96" t="n">
        <f aca="false">Acquisitions!AN$135*'Assumption Setting'!$D$106/'Assumption Setting'!$E$106</f>
        <v>0.462934872163015</v>
      </c>
      <c r="AO18" s="80" t="n">
        <f aca="false">SUM(AP18:BA18)</f>
        <v>7.08722739182802</v>
      </c>
      <c r="AP18" s="96" t="n">
        <f aca="false">Acquisitions!AP$135*'Assumption Setting'!$D$106/'Assumption Setting'!$E$106</f>
        <v>0.483182378814</v>
      </c>
      <c r="AQ18" s="96" t="n">
        <f aca="false">Acquisitions!AQ$135*'Assumption Setting'!$D$106/'Assumption Setting'!$E$106</f>
        <v>0.503429885464985</v>
      </c>
      <c r="AR18" s="96" t="n">
        <f aca="false">Acquisitions!AR$135*'Assumption Setting'!$D$106/'Assumption Setting'!$E$106</f>
        <v>0.522953741889877</v>
      </c>
      <c r="AS18" s="96" t="n">
        <f aca="false">Acquisitions!AS$135*'Assumption Setting'!$D$106/'Assumption Setting'!$E$106</f>
        <v>0.54247759831477</v>
      </c>
      <c r="AT18" s="96" t="n">
        <f aca="false">Acquisitions!AT$135*'Assumption Setting'!$D$106/'Assumption Setting'!$E$106</f>
        <v>0.562001454739662</v>
      </c>
      <c r="AU18" s="96" t="n">
        <f aca="false">Acquisitions!AU$135*'Assumption Setting'!$D$106/'Assumption Setting'!$E$106</f>
        <v>0.581525311164554</v>
      </c>
      <c r="AV18" s="96" t="n">
        <f aca="false">Acquisitions!AV$135*'Assumption Setting'!$D$106/'Assumption Setting'!$E$106</f>
        <v>0.601049167589447</v>
      </c>
      <c r="AW18" s="96" t="n">
        <f aca="false">Acquisitions!AW$135*'Assumption Setting'!$D$106/'Assumption Setting'!$E$106</f>
        <v>0.620573024014339</v>
      </c>
      <c r="AX18" s="96" t="n">
        <f aca="false">Acquisitions!AX$135*'Assumption Setting'!$D$106/'Assumption Setting'!$E$106</f>
        <v>0.640096880439232</v>
      </c>
      <c r="AY18" s="96" t="n">
        <f aca="false">Acquisitions!AY$135*'Assumption Setting'!$D$106/'Assumption Setting'!$E$106</f>
        <v>0.658371431785809</v>
      </c>
      <c r="AZ18" s="96" t="n">
        <f aca="false">Acquisitions!AZ$135*'Assumption Setting'!$D$106/'Assumption Setting'!$E$106</f>
        <v>0.676645983132385</v>
      </c>
      <c r="BA18" s="96" t="n">
        <f aca="false">Acquisitions!BA$135*'Assumption Setting'!$D$106/'Assumption Setting'!$E$106</f>
        <v>0.694920534478963</v>
      </c>
      <c r="BB18" s="80" t="n">
        <f aca="false">SUM(BC18:BN18)</f>
        <v>9.80357182141599</v>
      </c>
      <c r="BC18" s="96" t="n">
        <f aca="false">Acquisitions!BC$135*'Assumption Setting'!$D$106/'Assumption Setting'!$E$106</f>
        <v>0.713195085825539</v>
      </c>
      <c r="BD18" s="96" t="n">
        <f aca="false">Acquisitions!BD$135*'Assumption Setting'!$D$106/'Assumption Setting'!$E$106</f>
        <v>0.731469637172116</v>
      </c>
      <c r="BE18" s="96" t="n">
        <f aca="false">Acquisitions!BE$135*'Assumption Setting'!$D$106/'Assumption Setting'!$E$106</f>
        <v>0.750388377775209</v>
      </c>
      <c r="BF18" s="96" t="n">
        <f aca="false">Acquisitions!BF$135*'Assumption Setting'!$D$106/'Assumption Setting'!$E$106</f>
        <v>0.769307118378301</v>
      </c>
      <c r="BG18" s="96" t="n">
        <f aca="false">Acquisitions!BG$135*'Assumption Setting'!$D$106/'Assumption Setting'!$E$106</f>
        <v>0.788225858981393</v>
      </c>
      <c r="BH18" s="96" t="n">
        <f aca="false">Acquisitions!BH$135*'Assumption Setting'!$D$106/'Assumption Setting'!$E$106</f>
        <v>0.807144599584486</v>
      </c>
      <c r="BI18" s="96" t="n">
        <f aca="false">Acquisitions!BI$135*'Assumption Setting'!$D$106/'Assumption Setting'!$E$106</f>
        <v>0.826063340187578</v>
      </c>
      <c r="BJ18" s="96" t="n">
        <f aca="false">Acquisitions!BJ$135*'Assumption Setting'!$D$106/'Assumption Setting'!$E$106</f>
        <v>0.84498208079067</v>
      </c>
      <c r="BK18" s="96" t="n">
        <f aca="false">Acquisitions!BK$135*'Assumption Setting'!$D$106/'Assumption Setting'!$E$106</f>
        <v>0.863900821393762</v>
      </c>
      <c r="BL18" s="96" t="n">
        <f aca="false">Acquisitions!BL$135*'Assumption Setting'!$D$106/'Assumption Setting'!$E$106</f>
        <v>0.88343289425137</v>
      </c>
      <c r="BM18" s="96" t="n">
        <f aca="false">Acquisitions!BM$135*'Assumption Setting'!$D$106/'Assumption Setting'!$E$106</f>
        <v>0.902964967108978</v>
      </c>
      <c r="BN18" s="96" t="n">
        <f aca="false">Acquisitions!BN$135*'Assumption Setting'!$D$106/'Assumption Setting'!$E$106</f>
        <v>0.922497039966585</v>
      </c>
    </row>
    <row r="19" customFormat="false" ht="15" hidden="false" customHeight="false" outlineLevel="0" collapsed="false">
      <c r="A19" s="12" t="s">
        <v>341</v>
      </c>
      <c r="B19" s="78" t="n">
        <f aca="false">SUM(C19:N19)</f>
        <v>701.182512377287</v>
      </c>
      <c r="C19" s="95" t="n">
        <f aca="false">Acquisitions!C$137*'Assumption Setting'!$D$107/'Assumption Setting'!$E$107</f>
        <v>18.75</v>
      </c>
      <c r="D19" s="95" t="n">
        <f aca="false">Acquisitions!D$137*'Assumption Setting'!$D$107/'Assumption Setting'!$E$107</f>
        <v>30</v>
      </c>
      <c r="E19" s="95" t="n">
        <f aca="false">Acquisitions!E$137*'Assumption Setting'!$D$107/'Assumption Setting'!$E$107</f>
        <v>37.5</v>
      </c>
      <c r="F19" s="95" t="n">
        <f aca="false">Acquisitions!F$137*'Assumption Setting'!$D$107/'Assumption Setting'!$E$107</f>
        <v>37.5</v>
      </c>
      <c r="G19" s="95" t="n">
        <f aca="false">Acquisitions!G$137*'Assumption Setting'!$D$107/'Assumption Setting'!$E$107</f>
        <v>45.2064586771469</v>
      </c>
      <c r="H19" s="95" t="n">
        <f aca="false">Acquisitions!H$137*'Assumption Setting'!$D$107/'Assumption Setting'!$E$107</f>
        <v>52.9129173542937</v>
      </c>
      <c r="I19" s="95" t="n">
        <f aca="false">Acquisitions!I$137*'Assumption Setting'!$D$107/'Assumption Setting'!$E$107</f>
        <v>60.6193760314406</v>
      </c>
      <c r="J19" s="95" t="n">
        <f aca="false">Acquisitions!J$137*'Assumption Setting'!$D$107/'Assumption Setting'!$E$107</f>
        <v>68.3258347085874</v>
      </c>
      <c r="K19" s="95" t="n">
        <f aca="false">Acquisitions!K$137*'Assumption Setting'!$D$107/'Assumption Setting'!$E$107</f>
        <v>76.0322933857343</v>
      </c>
      <c r="L19" s="95" t="n">
        <f aca="false">Acquisitions!L$137*'Assumption Setting'!$D$107/'Assumption Setting'!$E$107</f>
        <v>83.7387520628811</v>
      </c>
      <c r="M19" s="95" t="n">
        <f aca="false">Acquisitions!M$137*'Assumption Setting'!$D$107/'Assumption Setting'!$E$107</f>
        <v>91.445210740028</v>
      </c>
      <c r="N19" s="95" t="n">
        <f aca="false">Acquisitions!N$137*'Assumption Setting'!$D$107/'Assumption Setting'!$E$107</f>
        <v>99.1516694171748</v>
      </c>
      <c r="O19" s="78" t="n">
        <f aca="false">SUM(P19:AA19)</f>
        <v>2005.35283936281</v>
      </c>
      <c r="P19" s="95" t="n">
        <f aca="false">Acquisitions!P$137*'Assumption Setting'!$D$107/'Assumption Setting'!$E$107</f>
        <v>106.858128094322</v>
      </c>
      <c r="Q19" s="95" t="n">
        <f aca="false">Acquisitions!Q$137*'Assumption Setting'!$D$107/'Assumption Setting'!$E$107</f>
        <v>115.335232639183</v>
      </c>
      <c r="R19" s="95" t="n">
        <f aca="false">Acquisitions!R$137*'Assumption Setting'!$D$107/'Assumption Setting'!$E$107</f>
        <v>123.812337184045</v>
      </c>
      <c r="S19" s="95" t="n">
        <f aca="false">Acquisitions!S$137*'Assumption Setting'!$D$107/'Assumption Setting'!$E$107</f>
        <v>132.289441728906</v>
      </c>
      <c r="T19" s="95" t="n">
        <f aca="false">Acquisitions!T$137*'Assumption Setting'!$D$107/'Assumption Setting'!$E$107</f>
        <v>145.310057447937</v>
      </c>
      <c r="U19" s="95" t="n">
        <f aca="false">Acquisitions!U$137*'Assumption Setting'!$D$107/'Assumption Setting'!$E$107</f>
        <v>158.330673166968</v>
      </c>
      <c r="V19" s="95" t="n">
        <f aca="false">Acquisitions!V$137*'Assumption Setting'!$D$107/'Assumption Setting'!$E$107</f>
        <v>171.351288885999</v>
      </c>
      <c r="W19" s="95" t="n">
        <f aca="false">Acquisitions!W$137*'Assumption Setting'!$D$107/'Assumption Setting'!$E$107</f>
        <v>184.371904605029</v>
      </c>
      <c r="X19" s="95" t="n">
        <f aca="false">Acquisitions!X$137*'Assumption Setting'!$D$107/'Assumption Setting'!$E$107</f>
        <v>197.39252032406</v>
      </c>
      <c r="Y19" s="95" t="n">
        <f aca="false">Acquisitions!Y$137*'Assumption Setting'!$D$107/'Assumption Setting'!$E$107</f>
        <v>210.413136043091</v>
      </c>
      <c r="Z19" s="95" t="n">
        <f aca="false">Acquisitions!Z$137*'Assumption Setting'!$D$107/'Assumption Setting'!$E$107</f>
        <v>223.433751762122</v>
      </c>
      <c r="AA19" s="95" t="n">
        <f aca="false">Acquisitions!AA$137*'Assumption Setting'!$D$107/'Assumption Setting'!$E$107</f>
        <v>236.454367481152</v>
      </c>
      <c r="AB19" s="78" t="n">
        <f aca="false">SUM(AC19:AN19)</f>
        <v>3485.57924612007</v>
      </c>
      <c r="AC19" s="95" t="n">
        <f aca="false">Acquisitions!AC$137*'Assumption Setting'!$D$107/'Assumption Setting'!$E$107</f>
        <v>230.724983200183</v>
      </c>
      <c r="AD19" s="95" t="n">
        <f aca="false">Acquisitions!AD$137*'Assumption Setting'!$D$107/'Assumption Setting'!$E$107</f>
        <v>233.679291257308</v>
      </c>
      <c r="AE19" s="95" t="n">
        <f aca="false">Acquisitions!AE$137*'Assumption Setting'!$D$107/'Assumption Setting'!$E$107</f>
        <v>240.383599314432</v>
      </c>
      <c r="AF19" s="95" t="n">
        <f aca="false">Acquisitions!AF$137*'Assumption Setting'!$D$107/'Assumption Setting'!$E$107</f>
        <v>254.587907371557</v>
      </c>
      <c r="AG19" s="95" t="n">
        <f aca="false">Acquisitions!AG$137*'Assumption Setting'!$D$107/'Assumption Setting'!$E$107</f>
        <v>268.185135316116</v>
      </c>
      <c r="AH19" s="95" t="n">
        <f aca="false">Acquisitions!AH$137*'Assumption Setting'!$D$107/'Assumption Setting'!$E$107</f>
        <v>281.782363260676</v>
      </c>
      <c r="AI19" s="95" t="n">
        <f aca="false">Acquisitions!AI$137*'Assumption Setting'!$D$107/'Assumption Setting'!$E$107</f>
        <v>295.379591205235</v>
      </c>
      <c r="AJ19" s="95" t="n">
        <f aca="false">Acquisitions!AJ$137*'Assumption Setting'!$D$107/'Assumption Setting'!$E$107</f>
        <v>308.976819149794</v>
      </c>
      <c r="AK19" s="95" t="n">
        <f aca="false">Acquisitions!AK$137*'Assumption Setting'!$D$107/'Assumption Setting'!$E$107</f>
        <v>322.574047094354</v>
      </c>
      <c r="AL19" s="95" t="n">
        <f aca="false">Acquisitions!AL$137*'Assumption Setting'!$D$107/'Assumption Setting'!$E$107</f>
        <v>336.171275038913</v>
      </c>
      <c r="AM19" s="95" t="n">
        <f aca="false">Acquisitions!AM$137*'Assumption Setting'!$D$107/'Assumption Setting'!$E$107</f>
        <v>349.768502983473</v>
      </c>
      <c r="AN19" s="95" t="n">
        <f aca="false">Acquisitions!AN$137*'Assumption Setting'!$D$107/'Assumption Setting'!$E$107</f>
        <v>363.365730928032</v>
      </c>
      <c r="AO19" s="78" t="n">
        <f aca="false">SUM(AP19:BA19)</f>
        <v>5502.30743119948</v>
      </c>
      <c r="AP19" s="95" t="n">
        <f aca="false">Acquisitions!AP$137*'Assumption Setting'!$D$107/'Assumption Setting'!$E$107</f>
        <v>376.962958872592</v>
      </c>
      <c r="AQ19" s="95" t="n">
        <f aca="false">Acquisitions!AQ$137*'Assumption Setting'!$D$107/'Assumption Setting'!$E$107</f>
        <v>390.677194558674</v>
      </c>
      <c r="AR19" s="95" t="n">
        <f aca="false">Acquisitions!AR$137*'Assumption Setting'!$D$107/'Assumption Setting'!$E$107</f>
        <v>404.391430244757</v>
      </c>
      <c r="AS19" s="95" t="n">
        <f aca="false">Acquisitions!AS$137*'Assumption Setting'!$D$107/'Assumption Setting'!$E$107</f>
        <v>418.105665930839</v>
      </c>
      <c r="AT19" s="95" t="n">
        <f aca="false">Acquisitions!AT$137*'Assumption Setting'!$D$107/'Assumption Setting'!$E$107</f>
        <v>433.864689657114</v>
      </c>
      <c r="AU19" s="95" t="n">
        <f aca="false">Acquisitions!AU$137*'Assumption Setting'!$D$107/'Assumption Setting'!$E$107</f>
        <v>449.623713383389</v>
      </c>
      <c r="AV19" s="95" t="n">
        <f aca="false">Acquisitions!AV$137*'Assumption Setting'!$D$107/'Assumption Setting'!$E$107</f>
        <v>465.382737109665</v>
      </c>
      <c r="AW19" s="95" t="n">
        <f aca="false">Acquisitions!AW$137*'Assumption Setting'!$D$107/'Assumption Setting'!$E$107</f>
        <v>481.14176083594</v>
      </c>
      <c r="AX19" s="95" t="n">
        <f aca="false">Acquisitions!AX$137*'Assumption Setting'!$D$107/'Assumption Setting'!$E$107</f>
        <v>496.900784562215</v>
      </c>
      <c r="AY19" s="95" t="n">
        <f aca="false">Acquisitions!AY$137*'Assumption Setting'!$D$107/'Assumption Setting'!$E$107</f>
        <v>512.65980828849</v>
      </c>
      <c r="AZ19" s="95" t="n">
        <f aca="false">Acquisitions!AZ$137*'Assumption Setting'!$D$107/'Assumption Setting'!$E$107</f>
        <v>528.418832014765</v>
      </c>
      <c r="BA19" s="95" t="n">
        <f aca="false">Acquisitions!BA$137*'Assumption Setting'!$D$107/'Assumption Setting'!$E$107</f>
        <v>544.17785574104</v>
      </c>
      <c r="BB19" s="78" t="n">
        <f aca="false">SUM(BC19:BN19)</f>
        <v>7747.82652814013</v>
      </c>
      <c r="BC19" s="95" t="n">
        <f aca="false">Acquisitions!BC$137*'Assumption Setting'!$D$107/'Assumption Setting'!$E$107</f>
        <v>559.936879467315</v>
      </c>
      <c r="BD19" s="95" t="n">
        <f aca="false">Acquisitions!BD$137*'Assumption Setting'!$D$107/'Assumption Setting'!$E$107</f>
        <v>575.663396433309</v>
      </c>
      <c r="BE19" s="95" t="n">
        <f aca="false">Acquisitions!BE$137*'Assumption Setting'!$D$107/'Assumption Setting'!$E$107</f>
        <v>591.389913399303</v>
      </c>
      <c r="BF19" s="95" t="n">
        <f aca="false">Acquisitions!BF$137*'Assumption Setting'!$D$107/'Assumption Setting'!$E$107</f>
        <v>607.116430365296</v>
      </c>
      <c r="BG19" s="95" t="n">
        <f aca="false">Acquisitions!BG$137*'Assumption Setting'!$D$107/'Assumption Setting'!$E$107</f>
        <v>622.582776630645</v>
      </c>
      <c r="BH19" s="95" t="n">
        <f aca="false">Acquisitions!BH$137*'Assumption Setting'!$D$107/'Assumption Setting'!$E$107</f>
        <v>638.049122895993</v>
      </c>
      <c r="BI19" s="95" t="n">
        <f aca="false">Acquisitions!BI$137*'Assumption Setting'!$D$107/'Assumption Setting'!$E$107</f>
        <v>653.515469161341</v>
      </c>
      <c r="BJ19" s="95" t="n">
        <f aca="false">Acquisitions!BJ$137*'Assumption Setting'!$D$107/'Assumption Setting'!$E$107</f>
        <v>668.98181542669</v>
      </c>
      <c r="BK19" s="95" t="n">
        <f aca="false">Acquisitions!BK$137*'Assumption Setting'!$D$107/'Assumption Setting'!$E$107</f>
        <v>684.448161692038</v>
      </c>
      <c r="BL19" s="95" t="n">
        <f aca="false">Acquisitions!BL$137*'Assumption Setting'!$D$107/'Assumption Setting'!$E$107</f>
        <v>699.914507957386</v>
      </c>
      <c r="BM19" s="95" t="n">
        <f aca="false">Acquisitions!BM$137*'Assumption Setting'!$D$107/'Assumption Setting'!$E$107</f>
        <v>715.380854222735</v>
      </c>
      <c r="BN19" s="95" t="n">
        <f aca="false">Acquisitions!BN$137*'Assumption Setting'!$D$107/'Assumption Setting'!$E$107</f>
        <v>730.847200488083</v>
      </c>
    </row>
    <row r="20" customFormat="false" ht="15" hidden="false" customHeight="false" outlineLevel="0" collapsed="false">
      <c r="A20" s="12" t="s">
        <v>718</v>
      </c>
      <c r="B20" s="80" t="n">
        <f aca="false">SUM(C20:N20)</f>
        <v>1</v>
      </c>
      <c r="C20" s="96" t="n">
        <f aca="false">1</f>
        <v>1</v>
      </c>
      <c r="D20" s="96" t="n">
        <f aca="false">0</f>
        <v>0</v>
      </c>
      <c r="E20" s="96" t="n">
        <f aca="false">0</f>
        <v>0</v>
      </c>
      <c r="F20" s="96" t="n">
        <f aca="false">0</f>
        <v>0</v>
      </c>
      <c r="G20" s="96" t="n">
        <f aca="false">0</f>
        <v>0</v>
      </c>
      <c r="H20" s="96" t="n">
        <f aca="false">0</f>
        <v>0</v>
      </c>
      <c r="I20" s="96" t="n">
        <f aca="false">0</f>
        <v>0</v>
      </c>
      <c r="J20" s="96" t="n">
        <f aca="false">0</f>
        <v>0</v>
      </c>
      <c r="K20" s="96" t="n">
        <f aca="false">0</f>
        <v>0</v>
      </c>
      <c r="L20" s="96" t="n">
        <f aca="false">0</f>
        <v>0</v>
      </c>
      <c r="M20" s="96" t="n">
        <f aca="false">0</f>
        <v>0</v>
      </c>
      <c r="N20" s="96" t="n">
        <f aca="false">0</f>
        <v>0</v>
      </c>
      <c r="O20" s="80" t="n">
        <f aca="false">SUM(P20:AA20)</f>
        <v>0</v>
      </c>
      <c r="P20" s="96" t="n">
        <f aca="false">0</f>
        <v>0</v>
      </c>
      <c r="Q20" s="96" t="n">
        <f aca="false">0</f>
        <v>0</v>
      </c>
      <c r="R20" s="96" t="n">
        <f aca="false">0</f>
        <v>0</v>
      </c>
      <c r="S20" s="96" t="n">
        <f aca="false">0</f>
        <v>0</v>
      </c>
      <c r="T20" s="96" t="n">
        <f aca="false">0</f>
        <v>0</v>
      </c>
      <c r="U20" s="96" t="n">
        <f aca="false">0</f>
        <v>0</v>
      </c>
      <c r="V20" s="96" t="n">
        <f aca="false">0</f>
        <v>0</v>
      </c>
      <c r="W20" s="96" t="n">
        <f aca="false">0</f>
        <v>0</v>
      </c>
      <c r="X20" s="96" t="n">
        <f aca="false">0</f>
        <v>0</v>
      </c>
      <c r="Y20" s="96" t="n">
        <f aca="false">0</f>
        <v>0</v>
      </c>
      <c r="Z20" s="96" t="n">
        <f aca="false">0</f>
        <v>0</v>
      </c>
      <c r="AA20" s="96" t="n">
        <f aca="false">0</f>
        <v>0</v>
      </c>
      <c r="AB20" s="80" t="n">
        <f aca="false">SUM(AC20:AN20)</f>
        <v>0</v>
      </c>
      <c r="AC20" s="96" t="n">
        <f aca="false">0</f>
        <v>0</v>
      </c>
      <c r="AD20" s="96" t="n">
        <f aca="false">0</f>
        <v>0</v>
      </c>
      <c r="AE20" s="96" t="n">
        <f aca="false">0</f>
        <v>0</v>
      </c>
      <c r="AF20" s="96" t="n">
        <f aca="false">0</f>
        <v>0</v>
      </c>
      <c r="AG20" s="96" t="n">
        <f aca="false">0</f>
        <v>0</v>
      </c>
      <c r="AH20" s="96" t="n">
        <f aca="false">0</f>
        <v>0</v>
      </c>
      <c r="AI20" s="96" t="n">
        <f aca="false">0</f>
        <v>0</v>
      </c>
      <c r="AJ20" s="96" t="n">
        <f aca="false">0</f>
        <v>0</v>
      </c>
      <c r="AK20" s="96" t="n">
        <f aca="false">0</f>
        <v>0</v>
      </c>
      <c r="AL20" s="96" t="n">
        <f aca="false">0</f>
        <v>0</v>
      </c>
      <c r="AM20" s="96" t="n">
        <f aca="false">0</f>
        <v>0</v>
      </c>
      <c r="AN20" s="96" t="n">
        <f aca="false">0</f>
        <v>0</v>
      </c>
      <c r="AO20" s="80" t="n">
        <f aca="false">SUM(AP20:BA20)</f>
        <v>0</v>
      </c>
      <c r="AP20" s="96" t="n">
        <f aca="false">0</f>
        <v>0</v>
      </c>
      <c r="AQ20" s="96" t="n">
        <f aca="false">0</f>
        <v>0</v>
      </c>
      <c r="AR20" s="96" t="n">
        <f aca="false">0</f>
        <v>0</v>
      </c>
      <c r="AS20" s="96" t="n">
        <f aca="false">0</f>
        <v>0</v>
      </c>
      <c r="AT20" s="96" t="n">
        <f aca="false">0</f>
        <v>0</v>
      </c>
      <c r="AU20" s="96" t="n">
        <f aca="false">0</f>
        <v>0</v>
      </c>
      <c r="AV20" s="96" t="n">
        <f aca="false">0</f>
        <v>0</v>
      </c>
      <c r="AW20" s="96" t="n">
        <f aca="false">0</f>
        <v>0</v>
      </c>
      <c r="AX20" s="96" t="n">
        <f aca="false">0</f>
        <v>0</v>
      </c>
      <c r="AY20" s="96" t="n">
        <f aca="false">0</f>
        <v>0</v>
      </c>
      <c r="AZ20" s="96" t="n">
        <f aca="false">0</f>
        <v>0</v>
      </c>
      <c r="BA20" s="96" t="n">
        <f aca="false">0</f>
        <v>0</v>
      </c>
      <c r="BB20" s="80" t="n">
        <f aca="false">SUM(BC20:BN20)</f>
        <v>0</v>
      </c>
      <c r="BC20" s="96" t="n">
        <f aca="false">0</f>
        <v>0</v>
      </c>
      <c r="BD20" s="96" t="n">
        <f aca="false">0</f>
        <v>0</v>
      </c>
      <c r="BE20" s="96" t="n">
        <f aca="false">0</f>
        <v>0</v>
      </c>
      <c r="BF20" s="96" t="n">
        <f aca="false">0</f>
        <v>0</v>
      </c>
      <c r="BG20" s="96" t="n">
        <f aca="false">0</f>
        <v>0</v>
      </c>
      <c r="BH20" s="96" t="n">
        <f aca="false">0</f>
        <v>0</v>
      </c>
      <c r="BI20" s="96" t="n">
        <f aca="false">0</f>
        <v>0</v>
      </c>
      <c r="BJ20" s="96" t="n">
        <f aca="false">0</f>
        <v>0</v>
      </c>
      <c r="BK20" s="96" t="n">
        <f aca="false">0</f>
        <v>0</v>
      </c>
      <c r="BL20" s="96" t="n">
        <f aca="false">0</f>
        <v>0</v>
      </c>
      <c r="BM20" s="96" t="n">
        <f aca="false">0</f>
        <v>0</v>
      </c>
      <c r="BN20" s="96" t="n">
        <f aca="false">0</f>
        <v>0</v>
      </c>
    </row>
    <row r="21" customFormat="false" ht="15" hidden="false" customHeight="false" outlineLevel="0" collapsed="false">
      <c r="A21" s="18" t="s">
        <v>719</v>
      </c>
      <c r="B21" s="80" t="n">
        <f aca="false">SUM(C21:N21)</f>
        <v>23.4366579831491</v>
      </c>
      <c r="C21" s="83" t="n">
        <f aca="false">C7+C8+C10+C12</f>
        <v>0.833333333333333</v>
      </c>
      <c r="D21" s="83" t="n">
        <f aca="false">D7+D8+D10+D12</f>
        <v>1.33333333333333</v>
      </c>
      <c r="E21" s="83" t="n">
        <f aca="false">E7+E8+E10+E12</f>
        <v>1.66666666666667</v>
      </c>
      <c r="F21" s="83" t="n">
        <f aca="false">F7+F8+F10+F12</f>
        <v>1.66666666666667</v>
      </c>
      <c r="G21" s="83" t="n">
        <f aca="false">G7+G8+G10+G12</f>
        <v>1.66666666666667</v>
      </c>
      <c r="H21" s="83" t="n">
        <f aca="false">H7+H8+H10+H12</f>
        <v>1.66666666666667</v>
      </c>
      <c r="I21" s="83" t="n">
        <f aca="false">I7+I8+I10+I12</f>
        <v>1.88587260237218</v>
      </c>
      <c r="J21" s="83" t="n">
        <f aca="false">J7+J8+J10+J12</f>
        <v>2.10507853807769</v>
      </c>
      <c r="K21" s="83" t="n">
        <f aca="false">K7+K8+K10+K12</f>
        <v>2.3242844737832</v>
      </c>
      <c r="L21" s="83" t="n">
        <f aca="false">L7+L8+L10+L12</f>
        <v>2.54349040948871</v>
      </c>
      <c r="M21" s="83" t="n">
        <f aca="false">M7+M8+M10+M12</f>
        <v>2.76269634519422</v>
      </c>
      <c r="N21" s="83" t="n">
        <f aca="false">N7+N8+N10+N12</f>
        <v>2.98190228089973</v>
      </c>
      <c r="O21" s="80" t="n">
        <f aca="false">SUM(P21:AA21)</f>
        <v>53.7979870617515</v>
      </c>
      <c r="P21" s="83" t="n">
        <f aca="false">P7+P8+P10+P12</f>
        <v>3.16979308293303</v>
      </c>
      <c r="Q21" s="83" t="n">
        <f aca="false">Q7+Q8+Q10+Q12</f>
        <v>3.35768388496632</v>
      </c>
      <c r="R21" s="83" t="n">
        <f aca="false">R7+R8+R10+R12</f>
        <v>3.56436376720294</v>
      </c>
      <c r="S21" s="83" t="n">
        <f aca="false">S7+S8+S10+S12</f>
        <v>3.77104364943957</v>
      </c>
      <c r="T21" s="83" t="n">
        <f aca="false">T7+T8+T10+T12</f>
        <v>3.97772353167619</v>
      </c>
      <c r="U21" s="83" t="n">
        <f aca="false">U7+U8+U10+U12</f>
        <v>4.18440341391282</v>
      </c>
      <c r="V21" s="83" t="n">
        <f aca="false">V7+V8+V10+V12</f>
        <v>4.50185842572919</v>
      </c>
      <c r="W21" s="83" t="n">
        <f aca="false">W7+W8+W10+W12</f>
        <v>4.81931343754556</v>
      </c>
      <c r="X21" s="83" t="n">
        <f aca="false">X7+X8+X10+X12</f>
        <v>5.13676844936193</v>
      </c>
      <c r="Y21" s="83" t="n">
        <f aca="false">Y7+Y8+Y10+Y12</f>
        <v>5.4542234611783</v>
      </c>
      <c r="Z21" s="83" t="n">
        <f aca="false">Z7+Z8+Z10+Z12</f>
        <v>5.77167847299466</v>
      </c>
      <c r="AA21" s="83" t="n">
        <f aca="false">AA7+AA8+AA10+AA12</f>
        <v>6.08913348481103</v>
      </c>
      <c r="AB21" s="80" t="n">
        <f aca="false">SUM(AC21:AN21)</f>
        <v>79.0169186842914</v>
      </c>
      <c r="AC21" s="83" t="n">
        <f aca="false">AC7+AC8+AC10+AC12</f>
        <v>5.56690606305774</v>
      </c>
      <c r="AD21" s="83" t="n">
        <f aca="false">AD7+AD8+AD10+AD12</f>
        <v>5.37801197463779</v>
      </c>
      <c r="AE21" s="83" t="n">
        <f aca="false">AE7+AE8+AE10+AE12</f>
        <v>5.38406690848268</v>
      </c>
      <c r="AF21" s="83" t="n">
        <f aca="false">AF7+AF8+AF10+AF12</f>
        <v>5.72345517566091</v>
      </c>
      <c r="AG21" s="83" t="n">
        <f aca="false">AG7+AG8+AG10+AG12</f>
        <v>6.06284344283913</v>
      </c>
      <c r="AH21" s="83" t="n">
        <f aca="false">AH7+AH8+AH10+AH12</f>
        <v>6.40223171001736</v>
      </c>
      <c r="AI21" s="83" t="n">
        <f aca="false">AI7+AI8+AI10+AI12</f>
        <v>6.69204185999315</v>
      </c>
      <c r="AJ21" s="83" t="n">
        <f aca="false">AJ7+AJ8+AJ10+AJ12</f>
        <v>6.98185200996895</v>
      </c>
      <c r="AK21" s="83" t="n">
        <f aca="false">AK7+AK8+AK10+AK12</f>
        <v>7.27166215994474</v>
      </c>
      <c r="AL21" s="83" t="n">
        <f aca="false">AL7+AL8+AL10+AL12</f>
        <v>7.56147230992053</v>
      </c>
      <c r="AM21" s="83" t="n">
        <f aca="false">AM7+AM8+AM10+AM12</f>
        <v>7.85128245989632</v>
      </c>
      <c r="AN21" s="83" t="n">
        <f aca="false">AN7+AN8+AN10+AN12</f>
        <v>8.14109260987211</v>
      </c>
      <c r="AO21" s="80" t="n">
        <f aca="false">SUM(AP21:BA21)</f>
        <v>123.853446520803</v>
      </c>
      <c r="AP21" s="83" t="n">
        <f aca="false">AP7+AP8+AP10+AP12</f>
        <v>8.46221789352012</v>
      </c>
      <c r="AQ21" s="83" t="n">
        <f aca="false">AQ7+AQ8+AQ10+AQ12</f>
        <v>8.78334317716813</v>
      </c>
      <c r="AR21" s="83" t="n">
        <f aca="false">AR7+AR8+AR10+AR12</f>
        <v>9.10688838418286</v>
      </c>
      <c r="AS21" s="83" t="n">
        <f aca="false">AS7+AS8+AS10+AS12</f>
        <v>9.4304335911976</v>
      </c>
      <c r="AT21" s="83" t="n">
        <f aca="false">AT7+AT8+AT10+AT12</f>
        <v>9.75397879821233</v>
      </c>
      <c r="AU21" s="83" t="n">
        <f aca="false">AU7+AU8+AU10+AU12</f>
        <v>10.0775240052271</v>
      </c>
      <c r="AV21" s="83" t="n">
        <f aca="false">AV7+AV8+AV10+AV12</f>
        <v>10.4477105118905</v>
      </c>
      <c r="AW21" s="83" t="n">
        <f aca="false">AW7+AW8+AW10+AW12</f>
        <v>10.817897018554</v>
      </c>
      <c r="AX21" s="83" t="n">
        <f aca="false">AX7+AX8+AX10+AX12</f>
        <v>11.1880835252175</v>
      </c>
      <c r="AY21" s="83" t="n">
        <f aca="false">AY7+AY8+AY10+AY12</f>
        <v>11.558270031881</v>
      </c>
      <c r="AZ21" s="83" t="n">
        <f aca="false">AZ7+AZ8+AZ10+AZ12</f>
        <v>11.9284565385444</v>
      </c>
      <c r="BA21" s="83" t="n">
        <f aca="false">BA7+BA8+BA10+BA12</f>
        <v>12.2986430452079</v>
      </c>
      <c r="BB21" s="80" t="n">
        <f aca="false">SUM(BC21:BN21)</f>
        <v>176.780232412679</v>
      </c>
      <c r="BC21" s="83" t="n">
        <f aca="false">BC7+BC8+BC10+BC12</f>
        <v>12.6751786521077</v>
      </c>
      <c r="BD21" s="83" t="n">
        <f aca="false">BD7+BD8+BD10+BD12</f>
        <v>13.0517142590075</v>
      </c>
      <c r="BE21" s="83" t="n">
        <f aca="false">BE7+BE8+BE10+BE12</f>
        <v>13.4274731710483</v>
      </c>
      <c r="BF21" s="83" t="n">
        <f aca="false">BF7+BF8+BF10+BF12</f>
        <v>13.8032320830891</v>
      </c>
      <c r="BG21" s="83" t="n">
        <f aca="false">BG7+BG8+BG10+BG12</f>
        <v>14.1789909951299</v>
      </c>
      <c r="BH21" s="83" t="n">
        <f aca="false">BH7+BH8+BH10+BH12</f>
        <v>14.5547499071707</v>
      </c>
      <c r="BI21" s="83" t="n">
        <f aca="false">BI7+BI8+BI10+BI12</f>
        <v>14.9242924739375</v>
      </c>
      <c r="BJ21" s="83" t="n">
        <f aca="false">BJ7+BJ8+BJ10+BJ12</f>
        <v>15.2938350407042</v>
      </c>
      <c r="BK21" s="83" t="n">
        <f aca="false">BK7+BK8+BK10+BK12</f>
        <v>15.6633776074709</v>
      </c>
      <c r="BL21" s="83" t="n">
        <f aca="false">BL7+BL8+BL10+BL12</f>
        <v>16.0329201742376</v>
      </c>
      <c r="BM21" s="83" t="n">
        <f aca="false">BM7+BM8+BM10+BM12</f>
        <v>16.4024627410044</v>
      </c>
      <c r="BN21" s="83" t="n">
        <f aca="false">BN7+BN8+BN10+BN12</f>
        <v>16.7720053077711</v>
      </c>
    </row>
    <row r="23" customFormat="false" ht="16.5" hidden="false" customHeight="true" outlineLevel="0" collapsed="false">
      <c r="A23" s="15" t="s">
        <v>720</v>
      </c>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row>
    <row r="24" customFormat="false" ht="15" hidden="false" customHeight="true" outlineLevel="0" collapsed="false">
      <c r="A24" s="26" t="s">
        <v>481</v>
      </c>
      <c r="B24" s="61" t="s">
        <v>81</v>
      </c>
      <c r="C24" s="62" t="s">
        <v>482</v>
      </c>
      <c r="D24" s="62" t="s">
        <v>483</v>
      </c>
      <c r="E24" s="62" t="s">
        <v>484</v>
      </c>
      <c r="F24" s="62" t="s">
        <v>485</v>
      </c>
      <c r="G24" s="62" t="s">
        <v>486</v>
      </c>
      <c r="H24" s="62" t="s">
        <v>487</v>
      </c>
      <c r="I24" s="62" t="s">
        <v>488</v>
      </c>
      <c r="J24" s="62" t="s">
        <v>489</v>
      </c>
      <c r="K24" s="62" t="s">
        <v>490</v>
      </c>
      <c r="L24" s="62" t="s">
        <v>491</v>
      </c>
      <c r="M24" s="62" t="s">
        <v>492</v>
      </c>
      <c r="N24" s="62" t="s">
        <v>493</v>
      </c>
      <c r="O24" s="61" t="s">
        <v>82</v>
      </c>
      <c r="P24" s="63" t="s">
        <v>494</v>
      </c>
      <c r="Q24" s="63" t="s">
        <v>495</v>
      </c>
      <c r="R24" s="63" t="s">
        <v>496</v>
      </c>
      <c r="S24" s="63" t="s">
        <v>497</v>
      </c>
      <c r="T24" s="63" t="s">
        <v>498</v>
      </c>
      <c r="U24" s="63" t="s">
        <v>499</v>
      </c>
      <c r="V24" s="63" t="s">
        <v>500</v>
      </c>
      <c r="W24" s="63" t="s">
        <v>501</v>
      </c>
      <c r="X24" s="63" t="s">
        <v>502</v>
      </c>
      <c r="Y24" s="63" t="s">
        <v>503</v>
      </c>
      <c r="Z24" s="63" t="s">
        <v>504</v>
      </c>
      <c r="AA24" s="63" t="s">
        <v>505</v>
      </c>
      <c r="AB24" s="61" t="s">
        <v>83</v>
      </c>
      <c r="AC24" s="62" t="s">
        <v>506</v>
      </c>
      <c r="AD24" s="62" t="s">
        <v>507</v>
      </c>
      <c r="AE24" s="62" t="s">
        <v>508</v>
      </c>
      <c r="AF24" s="62" t="s">
        <v>509</v>
      </c>
      <c r="AG24" s="62" t="s">
        <v>510</v>
      </c>
      <c r="AH24" s="62" t="s">
        <v>511</v>
      </c>
      <c r="AI24" s="62" t="s">
        <v>512</v>
      </c>
      <c r="AJ24" s="62" t="s">
        <v>513</v>
      </c>
      <c r="AK24" s="62" t="s">
        <v>514</v>
      </c>
      <c r="AL24" s="62" t="s">
        <v>515</v>
      </c>
      <c r="AM24" s="62" t="s">
        <v>516</v>
      </c>
      <c r="AN24" s="62" t="s">
        <v>517</v>
      </c>
      <c r="AO24" s="61" t="s">
        <v>84</v>
      </c>
      <c r="AP24" s="63" t="s">
        <v>518</v>
      </c>
      <c r="AQ24" s="63" t="s">
        <v>519</v>
      </c>
      <c r="AR24" s="63" t="s">
        <v>520</v>
      </c>
      <c r="AS24" s="63" t="s">
        <v>521</v>
      </c>
      <c r="AT24" s="63" t="s">
        <v>522</v>
      </c>
      <c r="AU24" s="63" t="s">
        <v>523</v>
      </c>
      <c r="AV24" s="63" t="s">
        <v>524</v>
      </c>
      <c r="AW24" s="63" t="s">
        <v>525</v>
      </c>
      <c r="AX24" s="63" t="s">
        <v>526</v>
      </c>
      <c r="AY24" s="63" t="s">
        <v>527</v>
      </c>
      <c r="AZ24" s="63" t="s">
        <v>528</v>
      </c>
      <c r="BA24" s="63" t="s">
        <v>529</v>
      </c>
      <c r="BB24" s="61" t="s">
        <v>85</v>
      </c>
      <c r="BC24" s="62" t="s">
        <v>530</v>
      </c>
      <c r="BD24" s="62" t="s">
        <v>531</v>
      </c>
      <c r="BE24" s="62" t="s">
        <v>532</v>
      </c>
      <c r="BF24" s="62" t="s">
        <v>533</v>
      </c>
      <c r="BG24" s="62" t="s">
        <v>534</v>
      </c>
      <c r="BH24" s="62" t="s">
        <v>535</v>
      </c>
      <c r="BI24" s="62" t="s">
        <v>536</v>
      </c>
      <c r="BJ24" s="62" t="s">
        <v>537</v>
      </c>
      <c r="BK24" s="62" t="s">
        <v>538</v>
      </c>
      <c r="BL24" s="62" t="s">
        <v>539</v>
      </c>
      <c r="BM24" s="62" t="s">
        <v>540</v>
      </c>
      <c r="BN24" s="62" t="s">
        <v>541</v>
      </c>
    </row>
    <row r="25" customFormat="false" ht="15" hidden="false" customHeight="false" outlineLevel="0" collapsed="false">
      <c r="A25" s="12" t="s">
        <v>721</v>
      </c>
      <c r="B25" s="64" t="n">
        <f aca="false">SUM(C25:N25)</f>
        <v>82028.3029410217</v>
      </c>
      <c r="C25" s="65" t="n">
        <f aca="false">(C7+C8)*'Assumption Setting'!$C$121</f>
        <v>2916.66666666667</v>
      </c>
      <c r="D25" s="65" t="n">
        <f aca="false">(D7+D8)*'Assumption Setting'!$C$121</f>
        <v>4666.66666666667</v>
      </c>
      <c r="E25" s="65" t="n">
        <f aca="false">(E7+E8)*'Assumption Setting'!$C$121</f>
        <v>5833.33333333333</v>
      </c>
      <c r="F25" s="65" t="n">
        <f aca="false">(F7+F8)*'Assumption Setting'!$C$121</f>
        <v>5833.33333333333</v>
      </c>
      <c r="G25" s="65" t="n">
        <f aca="false">(G7+G8)*'Assumption Setting'!$C$121</f>
        <v>5833.33333333333</v>
      </c>
      <c r="H25" s="65" t="n">
        <f aca="false">(H7+H8)*'Assumption Setting'!$C$121</f>
        <v>5833.33333333333</v>
      </c>
      <c r="I25" s="65" t="n">
        <f aca="false">(I7+I8)*'Assumption Setting'!$C$121</f>
        <v>6600.55410830262</v>
      </c>
      <c r="J25" s="65" t="n">
        <f aca="false">(J7+J8)*'Assumption Setting'!$C$121</f>
        <v>7367.77488327191</v>
      </c>
      <c r="K25" s="65" t="n">
        <f aca="false">(K7+K8)*'Assumption Setting'!$C$121</f>
        <v>8134.9956582412</v>
      </c>
      <c r="L25" s="65" t="n">
        <f aca="false">(L7+L8)*'Assumption Setting'!$C$121</f>
        <v>8902.21643321048</v>
      </c>
      <c r="M25" s="65" t="n">
        <f aca="false">(M7+M8)*'Assumption Setting'!$C$121</f>
        <v>9669.43720817977</v>
      </c>
      <c r="N25" s="65" t="n">
        <f aca="false">(N7+N8)*'Assumption Setting'!$C$121</f>
        <v>10436.6579831491</v>
      </c>
      <c r="O25" s="64" t="n">
        <f aca="false">SUM(P25:AA25)</f>
        <v>183514.748749047</v>
      </c>
      <c r="P25" s="65" t="n">
        <f aca="false">(P7+P8)*'Assumption Setting'!$D$121</f>
        <v>11827.0516172291</v>
      </c>
      <c r="Q25" s="65" t="n">
        <f aca="false">(Q7+Q8)*'Assumption Setting'!$D$121</f>
        <v>12322.8745670391</v>
      </c>
      <c r="R25" s="65" t="n">
        <f aca="false">(R7+R8)*'Assumption Setting'!$D$121</f>
        <v>12868.2798118302</v>
      </c>
      <c r="S25" s="65" t="n">
        <f aca="false">(S7+S8)*'Assumption Setting'!$D$121</f>
        <v>13413.6850566213</v>
      </c>
      <c r="T25" s="65" t="n">
        <f aca="false">(T7+T8)*'Assumption Setting'!$D$121</f>
        <v>13959.0903014124</v>
      </c>
      <c r="U25" s="65" t="n">
        <f aca="false">(U7+U8)*'Assumption Setting'!$D$121</f>
        <v>14504.4955462035</v>
      </c>
      <c r="V25" s="65" t="n">
        <f aca="false">(V7+V8)*'Assumption Setting'!$D$121</f>
        <v>15342.2240496078</v>
      </c>
      <c r="W25" s="65" t="n">
        <f aca="false">(W7+W8)*'Assumption Setting'!$D$121</f>
        <v>16179.9525530121</v>
      </c>
      <c r="X25" s="65" t="n">
        <f aca="false">(X7+X8)*'Assumption Setting'!$D$121</f>
        <v>17017.6810564164</v>
      </c>
      <c r="Y25" s="65" t="n">
        <f aca="false">(Y7+Y8)*'Assumption Setting'!$D$121</f>
        <v>17855.4095598207</v>
      </c>
      <c r="Z25" s="65" t="n">
        <f aca="false">(Z7+Z8)*'Assumption Setting'!$D$121</f>
        <v>18693.1380632251</v>
      </c>
      <c r="AA25" s="65" t="n">
        <f aca="false">(AA7+AA8)*'Assumption Setting'!$D$121</f>
        <v>19530.8665666294</v>
      </c>
      <c r="AB25" s="64" t="n">
        <f aca="false">SUM(AC25:AN25)</f>
        <v>251697.325599111</v>
      </c>
      <c r="AC25" s="65" t="n">
        <f aca="false">(AC7+AC8)*'Assumption Setting'!$E$121</f>
        <v>19051.1755837516</v>
      </c>
      <c r="AD25" s="65" t="n">
        <f aca="false">(AD7+AD8)*'Assumption Setting'!$E$121</f>
        <v>17915.6039096498</v>
      </c>
      <c r="AE25" s="65" t="n">
        <f aca="false">(AE7+AE8)*'Assumption Setting'!$E$121</f>
        <v>17567.7075379023</v>
      </c>
      <c r="AF25" s="65" t="n">
        <f aca="false">(AF7+AF8)*'Assumption Setting'!$E$121</f>
        <v>18619.8111661548</v>
      </c>
      <c r="AG25" s="65" t="n">
        <f aca="false">(AG7+AG8)*'Assumption Setting'!$E$121</f>
        <v>19671.9147944073</v>
      </c>
      <c r="AH25" s="65" t="n">
        <f aca="false">(AH7+AH8)*'Assumption Setting'!$E$121</f>
        <v>20724.0184226598</v>
      </c>
      <c r="AI25" s="65" t="n">
        <f aca="false">(AI7+AI8)*'Assumption Setting'!$E$121</f>
        <v>21381.3033583087</v>
      </c>
      <c r="AJ25" s="65" t="n">
        <f aca="false">(AJ7+AJ8)*'Assumption Setting'!$E$121</f>
        <v>22038.5882939576</v>
      </c>
      <c r="AK25" s="65" t="n">
        <f aca="false">(AK7+AK8)*'Assumption Setting'!$E$121</f>
        <v>22695.8732296065</v>
      </c>
      <c r="AL25" s="65" t="n">
        <f aca="false">(AL7+AL8)*'Assumption Setting'!$E$121</f>
        <v>23353.1581652554</v>
      </c>
      <c r="AM25" s="65" t="n">
        <f aca="false">(AM7+AM8)*'Assumption Setting'!$E$121</f>
        <v>24010.4431009043</v>
      </c>
      <c r="AN25" s="65" t="n">
        <f aca="false">(AN7+AN8)*'Assumption Setting'!$E$121</f>
        <v>24667.7280365531</v>
      </c>
      <c r="AO25" s="64" t="n">
        <f aca="false">SUM(AP25:BA25)</f>
        <v>407584.880188458</v>
      </c>
      <c r="AP25" s="65" t="n">
        <f aca="false">(AP7+AP8)*'Assumption Setting'!$F$121</f>
        <v>27533.2104245372</v>
      </c>
      <c r="AQ25" s="65" t="n">
        <f aca="false">(AQ7+AQ8)*'Assumption Setting'!$F$121</f>
        <v>28636.7122384818</v>
      </c>
      <c r="AR25" s="65" t="n">
        <f aca="false">(AR7+AR8)*'Assumption Setting'!$F$121</f>
        <v>29751.9423672201</v>
      </c>
      <c r="AS25" s="65" t="n">
        <f aca="false">(AS7+AS8)*'Assumption Setting'!$F$121</f>
        <v>30867.1724959583</v>
      </c>
      <c r="AT25" s="65" t="n">
        <f aca="false">(AT7+AT8)*'Assumption Setting'!$F$121</f>
        <v>31982.4026246966</v>
      </c>
      <c r="AU25" s="65" t="n">
        <f aca="false">(AU7+AU8)*'Assumption Setting'!$F$121</f>
        <v>33097.6327534349</v>
      </c>
      <c r="AV25" s="65" t="n">
        <f aca="false">(AV7+AV8)*'Assumption Setting'!$F$121</f>
        <v>34389.5380278882</v>
      </c>
      <c r="AW25" s="65" t="n">
        <f aca="false">(AW7+AW8)*'Assumption Setting'!$F$121</f>
        <v>35681.4433023415</v>
      </c>
      <c r="AX25" s="65" t="n">
        <f aca="false">(AX7+AX8)*'Assumption Setting'!$F$121</f>
        <v>36973.3485767948</v>
      </c>
      <c r="AY25" s="65" t="n">
        <f aca="false">(AY7+AY8)*'Assumption Setting'!$F$121</f>
        <v>38265.2538512482</v>
      </c>
      <c r="AZ25" s="65" t="n">
        <f aca="false">(AZ7+AZ8)*'Assumption Setting'!$F$121</f>
        <v>39557.1591257015</v>
      </c>
      <c r="BA25" s="65" t="n">
        <f aca="false">(BA7+BA8)*'Assumption Setting'!$F$121</f>
        <v>40849.0644001548</v>
      </c>
      <c r="BB25" s="64" t="n">
        <f aca="false">SUM(BC25:BN25)</f>
        <v>626307.109119205</v>
      </c>
      <c r="BC25" s="65" t="n">
        <f aca="false">(BC7+BC8)*'Assumption Setting'!$G$121</f>
        <v>44906.3472246101</v>
      </c>
      <c r="BD25" s="65" t="n">
        <f aca="false">(BD7+BD8)*'Assumption Setting'!$G$121</f>
        <v>46240.3590890552</v>
      </c>
      <c r="BE25" s="65" t="n">
        <f aca="false">(BE7+BE8)*'Assumption Setting'!$G$121</f>
        <v>47571.6192345712</v>
      </c>
      <c r="BF25" s="65" t="n">
        <f aca="false">(BF7+BF8)*'Assumption Setting'!$G$121</f>
        <v>48902.8793800872</v>
      </c>
      <c r="BG25" s="65" t="n">
        <f aca="false">(BG7+BG8)*'Assumption Setting'!$G$121</f>
        <v>50234.1395256032</v>
      </c>
      <c r="BH25" s="65" t="n">
        <f aca="false">(BH7+BH8)*'Assumption Setting'!$G$121</f>
        <v>51565.3996711192</v>
      </c>
      <c r="BI25" s="65" t="n">
        <f aca="false">(BI7+BI8)*'Assumption Setting'!$G$121</f>
        <v>52874.6361933784</v>
      </c>
      <c r="BJ25" s="65" t="n">
        <f aca="false">(BJ7+BJ8)*'Assumption Setting'!$G$121</f>
        <v>54183.8727156377</v>
      </c>
      <c r="BK25" s="65" t="n">
        <f aca="false">(BK7+BK8)*'Assumption Setting'!$G$121</f>
        <v>55493.1092378969</v>
      </c>
      <c r="BL25" s="65" t="n">
        <f aca="false">(BL7+BL8)*'Assumption Setting'!$G$121</f>
        <v>56802.3457601562</v>
      </c>
      <c r="BM25" s="65" t="n">
        <f aca="false">(BM7+BM8)*'Assumption Setting'!$G$121</f>
        <v>58111.5822824154</v>
      </c>
      <c r="BN25" s="65" t="n">
        <f aca="false">(BN7+BN8)*'Assumption Setting'!$G$121</f>
        <v>59420.8188046747</v>
      </c>
    </row>
    <row r="26" customFormat="false" ht="15" hidden="false" customHeight="false" outlineLevel="0" collapsed="false">
      <c r="A26" s="12" t="s">
        <v>316</v>
      </c>
      <c r="B26" s="64" t="n">
        <f aca="false">SUM(C26:N26)</f>
        <v>0</v>
      </c>
      <c r="C26" s="65" t="n">
        <f aca="false">C9*'Assumption Setting'!$C$122</f>
        <v>0</v>
      </c>
      <c r="D26" s="65" t="n">
        <f aca="false">D9*'Assumption Setting'!$C$122</f>
        <v>0</v>
      </c>
      <c r="E26" s="65" t="n">
        <f aca="false">E9*'Assumption Setting'!$C$122</f>
        <v>0</v>
      </c>
      <c r="F26" s="65" t="n">
        <f aca="false">F9*'Assumption Setting'!$C$122</f>
        <v>0</v>
      </c>
      <c r="G26" s="65" t="n">
        <f aca="false">G9*'Assumption Setting'!$C$122</f>
        <v>0</v>
      </c>
      <c r="H26" s="65" t="n">
        <f aca="false">H9*'Assumption Setting'!$C$122</f>
        <v>0</v>
      </c>
      <c r="I26" s="65" t="n">
        <f aca="false">I9*'Assumption Setting'!$C$122</f>
        <v>0</v>
      </c>
      <c r="J26" s="65" t="n">
        <f aca="false">J9*'Assumption Setting'!$C$122</f>
        <v>0</v>
      </c>
      <c r="K26" s="65" t="n">
        <f aca="false">K9*'Assumption Setting'!$C$122</f>
        <v>0</v>
      </c>
      <c r="L26" s="65" t="n">
        <f aca="false">L9*'Assumption Setting'!$C$122</f>
        <v>0</v>
      </c>
      <c r="M26" s="65" t="n">
        <f aca="false">M9*'Assumption Setting'!$C$122</f>
        <v>0</v>
      </c>
      <c r="N26" s="65" t="n">
        <f aca="false">N9*'Assumption Setting'!$C$122</f>
        <v>0</v>
      </c>
      <c r="O26" s="64" t="n">
        <f aca="false">SUM(P26:AA26)</f>
        <v>4003.36882021217</v>
      </c>
      <c r="P26" s="65" t="n">
        <f aca="false">P9*'Assumption Setting'!$D$122</f>
        <v>41.7535115629544</v>
      </c>
      <c r="Q26" s="65" t="n">
        <f aca="false">Q9*'Assumption Setting'!$D$122</f>
        <v>83.5070231259088</v>
      </c>
      <c r="R26" s="65" t="n">
        <f aca="false">R9*'Assumption Setting'!$D$122</f>
        <v>129.435885845159</v>
      </c>
      <c r="S26" s="65" t="n">
        <f aca="false">S9*'Assumption Setting'!$D$122</f>
        <v>175.364748564408</v>
      </c>
      <c r="T26" s="65" t="n">
        <f aca="false">T9*'Assumption Setting'!$D$122</f>
        <v>221.293611283658</v>
      </c>
      <c r="U26" s="65" t="n">
        <f aca="false">U9*'Assumption Setting'!$D$122</f>
        <v>267.222474002908</v>
      </c>
      <c r="V26" s="65" t="n">
        <f aca="false">V9*'Assumption Setting'!$D$122</f>
        <v>337.768032184324</v>
      </c>
      <c r="W26" s="65" t="n">
        <f aca="false">W9*'Assumption Setting'!$D$122</f>
        <v>408.313590365739</v>
      </c>
      <c r="X26" s="65" t="n">
        <f aca="false">X9*'Assumption Setting'!$D$122</f>
        <v>478.859148547154</v>
      </c>
      <c r="Y26" s="65" t="n">
        <f aca="false">Y9*'Assumption Setting'!$D$122</f>
        <v>549.40470672857</v>
      </c>
      <c r="Z26" s="65" t="n">
        <f aca="false">Z9*'Assumption Setting'!$D$122</f>
        <v>619.950264909985</v>
      </c>
      <c r="AA26" s="65" t="n">
        <f aca="false">AA9*'Assumption Setting'!$D$122</f>
        <v>690.495823091401</v>
      </c>
      <c r="AB26" s="64" t="n">
        <f aca="false">SUM(AC26:AN26)</f>
        <v>11731.940268675</v>
      </c>
      <c r="AC26" s="65" t="n">
        <f aca="false">AC9*'Assumption Setting'!$E$122</f>
        <v>840.750689225992</v>
      </c>
      <c r="AD26" s="65" t="n">
        <f aca="false">AD9*'Assumption Setting'!$E$122</f>
        <v>861.537588530945</v>
      </c>
      <c r="AE26" s="65" t="n">
        <f aca="false">AE9*'Assumption Setting'!$E$122</f>
        <v>883.76345781834</v>
      </c>
      <c r="AF26" s="65" t="n">
        <f aca="false">AF9*'Assumption Setting'!$E$122</f>
        <v>905.989327105735</v>
      </c>
      <c r="AG26" s="65" t="n">
        <f aca="false">AG9*'Assumption Setting'!$E$122</f>
        <v>928.215196393129</v>
      </c>
      <c r="AH26" s="65" t="n">
        <f aca="false">AH9*'Assumption Setting'!$E$122</f>
        <v>950.441065680524</v>
      </c>
      <c r="AI26" s="65" t="n">
        <f aca="false">AI9*'Assumption Setting'!$E$122</f>
        <v>981.80280614896</v>
      </c>
      <c r="AJ26" s="65" t="n">
        <f aca="false">AJ9*'Assumption Setting'!$E$122</f>
        <v>1013.16454661739</v>
      </c>
      <c r="AK26" s="65" t="n">
        <f aca="false">AK9*'Assumption Setting'!$E$122</f>
        <v>1044.52628708583</v>
      </c>
      <c r="AL26" s="65" t="n">
        <f aca="false">AL9*'Assumption Setting'!$E$122</f>
        <v>1075.88802755427</v>
      </c>
      <c r="AM26" s="65" t="n">
        <f aca="false">AM9*'Assumption Setting'!$E$122</f>
        <v>1107.2497680227</v>
      </c>
      <c r="AN26" s="65" t="n">
        <f aca="false">AN9*'Assumption Setting'!$E$122</f>
        <v>1138.61150849114</v>
      </c>
      <c r="AO26" s="64" t="n">
        <f aca="false">SUM(AP26:BA26)</f>
        <v>19694.6768111014</v>
      </c>
      <c r="AP26" s="65" t="n">
        <f aca="false">AP9*'Assumption Setting'!$F$122</f>
        <v>1370.22589001626</v>
      </c>
      <c r="AQ26" s="65" t="n">
        <f aca="false">AQ9*'Assumption Setting'!$F$122</f>
        <v>1422.05950704278</v>
      </c>
      <c r="AR26" s="65" t="n">
        <f aca="false">AR9*'Assumption Setting'!$F$122</f>
        <v>1472.0405794905</v>
      </c>
      <c r="AS26" s="65" t="n">
        <f aca="false">AS9*'Assumption Setting'!$F$122</f>
        <v>1522.02165193823</v>
      </c>
      <c r="AT26" s="65" t="n">
        <f aca="false">AT9*'Assumption Setting'!$F$122</f>
        <v>1572.00272438595</v>
      </c>
      <c r="AU26" s="65" t="n">
        <f aca="false">AU9*'Assumption Setting'!$F$122</f>
        <v>1621.98379683368</v>
      </c>
      <c r="AV26" s="65" t="n">
        <f aca="false">AV9*'Assumption Setting'!$F$122</f>
        <v>1668.76664828091</v>
      </c>
      <c r="AW26" s="65" t="n">
        <f aca="false">AW9*'Assumption Setting'!$F$122</f>
        <v>1715.54949972815</v>
      </c>
      <c r="AX26" s="65" t="n">
        <f aca="false">AX9*'Assumption Setting'!$F$122</f>
        <v>1762.33235117539</v>
      </c>
      <c r="AY26" s="65" t="n">
        <f aca="false">AY9*'Assumption Setting'!$F$122</f>
        <v>1809.11520262262</v>
      </c>
      <c r="AZ26" s="65" t="n">
        <f aca="false">AZ9*'Assumption Setting'!$F$122</f>
        <v>1855.89805406986</v>
      </c>
      <c r="BA26" s="65" t="n">
        <f aca="false">BA9*'Assumption Setting'!$F$122</f>
        <v>1902.6809055171</v>
      </c>
      <c r="BB26" s="64" t="n">
        <f aca="false">SUM(BC26:BN26)</f>
        <v>29023.535856447</v>
      </c>
      <c r="BC26" s="65" t="n">
        <f aca="false">BC9*'Assumption Setting'!$G$122</f>
        <v>2126.68773487018</v>
      </c>
      <c r="BD26" s="65" t="n">
        <f aca="false">BD9*'Assumption Setting'!$G$122</f>
        <v>2177.72357281262</v>
      </c>
      <c r="BE26" s="65" t="n">
        <f aca="false">BE9*'Assumption Setting'!$G$122</f>
        <v>2230.55845566053</v>
      </c>
      <c r="BF26" s="65" t="n">
        <f aca="false">BF9*'Assumption Setting'!$G$122</f>
        <v>2283.39333850844</v>
      </c>
      <c r="BG26" s="65" t="n">
        <f aca="false">BG9*'Assumption Setting'!$G$122</f>
        <v>2336.22822135635</v>
      </c>
      <c r="BH26" s="65" t="n">
        <f aca="false">BH9*'Assumption Setting'!$G$122</f>
        <v>2389.06310420426</v>
      </c>
      <c r="BI26" s="65" t="n">
        <f aca="false">BI9*'Assumption Setting'!$G$122</f>
        <v>2443.61085676659</v>
      </c>
      <c r="BJ26" s="65" t="n">
        <f aca="false">BJ9*'Assumption Setting'!$G$122</f>
        <v>2498.15860932893</v>
      </c>
      <c r="BK26" s="65" t="n">
        <f aca="false">BK9*'Assumption Setting'!$G$122</f>
        <v>2552.70636189127</v>
      </c>
      <c r="BL26" s="65" t="n">
        <f aca="false">BL9*'Assumption Setting'!$G$122</f>
        <v>2607.25411445361</v>
      </c>
      <c r="BM26" s="65" t="n">
        <f aca="false">BM9*'Assumption Setting'!$G$122</f>
        <v>2661.80186701594</v>
      </c>
      <c r="BN26" s="65" t="n">
        <f aca="false">BN9*'Assumption Setting'!$G$122</f>
        <v>2716.34961957828</v>
      </c>
    </row>
    <row r="27" customFormat="false" ht="15" hidden="false" customHeight="false" outlineLevel="0" collapsed="false">
      <c r="A27" s="12" t="s">
        <v>319</v>
      </c>
      <c r="B27" s="64" t="n">
        <f aca="false">SUM(C27:N27)</f>
        <v>0</v>
      </c>
      <c r="C27" s="65" t="n">
        <f aca="false">C10*'Assumption Setting'!$C$123</f>
        <v>0</v>
      </c>
      <c r="D27" s="65" t="n">
        <f aca="false">D10*'Assumption Setting'!$C$123</f>
        <v>0</v>
      </c>
      <c r="E27" s="65" t="n">
        <f aca="false">E10*'Assumption Setting'!$C$123</f>
        <v>0</v>
      </c>
      <c r="F27" s="65" t="n">
        <f aca="false">F10*'Assumption Setting'!$C$123</f>
        <v>0</v>
      </c>
      <c r="G27" s="65" t="n">
        <f aca="false">G10*'Assumption Setting'!$C$123</f>
        <v>0</v>
      </c>
      <c r="H27" s="65" t="n">
        <f aca="false">H10*'Assumption Setting'!$C$123</f>
        <v>0</v>
      </c>
      <c r="I27" s="65" t="n">
        <f aca="false">I10*'Assumption Setting'!$C$123</f>
        <v>0</v>
      </c>
      <c r="J27" s="65" t="n">
        <f aca="false">J10*'Assumption Setting'!$C$123</f>
        <v>0</v>
      </c>
      <c r="K27" s="65" t="n">
        <f aca="false">K10*'Assumption Setting'!$C$123</f>
        <v>0</v>
      </c>
      <c r="L27" s="65" t="n">
        <f aca="false">L10*'Assumption Setting'!$C$123</f>
        <v>0</v>
      </c>
      <c r="M27" s="65" t="n">
        <f aca="false">M10*'Assumption Setting'!$C$123</f>
        <v>0</v>
      </c>
      <c r="N27" s="65" t="n">
        <f aca="false">N10*'Assumption Setting'!$C$123</f>
        <v>0</v>
      </c>
      <c r="O27" s="64" t="n">
        <f aca="false">SUM(P27:AA27)</f>
        <v>11384.5800824784</v>
      </c>
      <c r="P27" s="65" t="n">
        <f aca="false">P10*'Assumption Setting'!$D$123</f>
        <v>118.736548507152</v>
      </c>
      <c r="Q27" s="65" t="n">
        <f aca="false">Q10*'Assumption Setting'!$D$123</f>
        <v>237.473097014303</v>
      </c>
      <c r="R27" s="65" t="n">
        <f aca="false">R10*'Assumption Setting'!$D$123</f>
        <v>368.08330037217</v>
      </c>
      <c r="S27" s="65" t="n">
        <f aca="false">S10*'Assumption Setting'!$D$123</f>
        <v>498.693503730037</v>
      </c>
      <c r="T27" s="65" t="n">
        <f aca="false">T10*'Assumption Setting'!$D$123</f>
        <v>629.303707087903</v>
      </c>
      <c r="U27" s="65" t="n">
        <f aca="false">U10*'Assumption Setting'!$D$123</f>
        <v>759.91391044577</v>
      </c>
      <c r="V27" s="65" t="n">
        <f aca="false">V10*'Assumption Setting'!$D$123</f>
        <v>960.52784152417</v>
      </c>
      <c r="W27" s="65" t="n">
        <f aca="false">W10*'Assumption Setting'!$D$123</f>
        <v>1161.14177260257</v>
      </c>
      <c r="X27" s="65" t="n">
        <f aca="false">X10*'Assumption Setting'!$D$123</f>
        <v>1361.75570368097</v>
      </c>
      <c r="Y27" s="65" t="n">
        <f aca="false">Y10*'Assumption Setting'!$D$123</f>
        <v>1562.36963475937</v>
      </c>
      <c r="Z27" s="65" t="n">
        <f aca="false">Z10*'Assumption Setting'!$D$123</f>
        <v>1762.98356583777</v>
      </c>
      <c r="AA27" s="65" t="n">
        <f aca="false">AA10*'Assumption Setting'!$D$123</f>
        <v>1963.59749691617</v>
      </c>
      <c r="AB27" s="64" t="n">
        <f aca="false">SUM(AC27:AN27)</f>
        <v>44034.8154047817</v>
      </c>
      <c r="AC27" s="65" t="n">
        <f aca="false">AC10*'Assumption Setting'!$E$123</f>
        <v>2378.12626044765</v>
      </c>
      <c r="AD27" s="65" t="n">
        <f aca="false">AD10*'Assumption Setting'!$E$123</f>
        <v>2566.08608202725</v>
      </c>
      <c r="AE27" s="65" t="n">
        <f aca="false">AE10*'Assumption Setting'!$E$123</f>
        <v>2771.1331601141</v>
      </c>
      <c r="AF27" s="65" t="n">
        <f aca="false">AF10*'Assumption Setting'!$E$123</f>
        <v>2976.18023820095</v>
      </c>
      <c r="AG27" s="65" t="n">
        <f aca="false">AG10*'Assumption Setting'!$E$123</f>
        <v>3181.22731628779</v>
      </c>
      <c r="AH27" s="65" t="n">
        <f aca="false">AH10*'Assumption Setting'!$E$123</f>
        <v>3386.27439437464</v>
      </c>
      <c r="AI27" s="65" t="n">
        <f aca="false">AI10*'Assumption Setting'!$E$123</f>
        <v>3693.80494614042</v>
      </c>
      <c r="AJ27" s="65" t="n">
        <f aca="false">AJ10*'Assumption Setting'!$E$123</f>
        <v>4001.33549790621</v>
      </c>
      <c r="AK27" s="65" t="n">
        <f aca="false">AK10*'Assumption Setting'!$E$123</f>
        <v>4308.866049672</v>
      </c>
      <c r="AL27" s="65" t="n">
        <f aca="false">AL10*'Assumption Setting'!$E$123</f>
        <v>4616.39660143779</v>
      </c>
      <c r="AM27" s="65" t="n">
        <f aca="false">AM10*'Assumption Setting'!$E$123</f>
        <v>4923.92715320357</v>
      </c>
      <c r="AN27" s="65" t="n">
        <f aca="false">AN10*'Assumption Setting'!$E$123</f>
        <v>5231.45770496936</v>
      </c>
      <c r="AO27" s="64" t="n">
        <f aca="false">SUM(AP27:BA27)</f>
        <v>82063.0594107807</v>
      </c>
      <c r="AP27" s="65" t="n">
        <f aca="false">AP10*'Assumption Setting'!$F$123</f>
        <v>5779.41694671167</v>
      </c>
      <c r="AQ27" s="65" t="n">
        <f aca="false">AQ10*'Assumption Setting'!$F$123</f>
        <v>5966.58600190437</v>
      </c>
      <c r="AR27" s="65" t="n">
        <f aca="false">AR10*'Assumption Setting'!$F$123</f>
        <v>6153.29548855508</v>
      </c>
      <c r="AS27" s="65" t="n">
        <f aca="false">AS10*'Assumption Setting'!$F$123</f>
        <v>6340.00497520579</v>
      </c>
      <c r="AT27" s="65" t="n">
        <f aca="false">AT10*'Assumption Setting'!$F$123</f>
        <v>6526.71446185651</v>
      </c>
      <c r="AU27" s="65" t="n">
        <f aca="false">AU10*'Assumption Setting'!$F$123</f>
        <v>6713.42394850722</v>
      </c>
      <c r="AV27" s="65" t="n">
        <f aca="false">AV10*'Assumption Setting'!$F$123</f>
        <v>6918.33222931659</v>
      </c>
      <c r="AW27" s="65" t="n">
        <f aca="false">AW10*'Assumption Setting'!$F$123</f>
        <v>7123.24051012596</v>
      </c>
      <c r="AX27" s="65" t="n">
        <f aca="false">AX10*'Assumption Setting'!$F$123</f>
        <v>7328.14879093533</v>
      </c>
      <c r="AY27" s="65" t="n">
        <f aca="false">AY10*'Assumption Setting'!$F$123</f>
        <v>7533.0570717447</v>
      </c>
      <c r="AZ27" s="65" t="n">
        <f aca="false">AZ10*'Assumption Setting'!$F$123</f>
        <v>7737.96535255407</v>
      </c>
      <c r="BA27" s="65" t="n">
        <f aca="false">BA10*'Assumption Setting'!$F$123</f>
        <v>7942.87363336344</v>
      </c>
      <c r="BB27" s="64" t="n">
        <f aca="false">SUM(BC27:BN27)</f>
        <v>121536.409783717</v>
      </c>
      <c r="BC27" s="65" t="n">
        <f aca="false">BC10*'Assumption Setting'!$G$123</f>
        <v>8714.18532332405</v>
      </c>
      <c r="BD27" s="65" t="n">
        <f aca="false">BD10*'Assumption Setting'!$G$123</f>
        <v>8973.05355306767</v>
      </c>
      <c r="BE27" s="65" t="n">
        <f aca="false">BE10*'Assumption Setting'!$G$123</f>
        <v>9231.38780509572</v>
      </c>
      <c r="BF27" s="65" t="n">
        <f aca="false">BF10*'Assumption Setting'!$G$123</f>
        <v>9489.72205712378</v>
      </c>
      <c r="BG27" s="65" t="n">
        <f aca="false">BG10*'Assumption Setting'!$G$123</f>
        <v>9748.05630915184</v>
      </c>
      <c r="BH27" s="65" t="n">
        <f aca="false">BH10*'Assumption Setting'!$G$123</f>
        <v>10006.3905611799</v>
      </c>
      <c r="BI27" s="65" t="n">
        <f aca="false">BI10*'Assumption Setting'!$G$123</f>
        <v>10260.451075832</v>
      </c>
      <c r="BJ27" s="65" t="n">
        <f aca="false">BJ10*'Assumption Setting'!$G$123</f>
        <v>10514.5115904841</v>
      </c>
      <c r="BK27" s="65" t="n">
        <f aca="false">BK10*'Assumption Setting'!$G$123</f>
        <v>10768.5721051363</v>
      </c>
      <c r="BL27" s="65" t="n">
        <f aca="false">BL10*'Assumption Setting'!$G$123</f>
        <v>11022.6326197884</v>
      </c>
      <c r="BM27" s="65" t="n">
        <f aca="false">BM10*'Assumption Setting'!$G$123</f>
        <v>11276.6931344405</v>
      </c>
      <c r="BN27" s="65" t="n">
        <f aca="false">BN10*'Assumption Setting'!$G$123</f>
        <v>11530.7536490926</v>
      </c>
    </row>
    <row r="28" customFormat="false" ht="15" hidden="false" customHeight="false" outlineLevel="0" collapsed="false">
      <c r="A28" s="12" t="s">
        <v>321</v>
      </c>
      <c r="B28" s="64" t="n">
        <f aca="false">SUM(C28:N28)</f>
        <v>0</v>
      </c>
      <c r="C28" s="65" t="n">
        <f aca="false">C11*'Assumption Setting'!$C$124</f>
        <v>0</v>
      </c>
      <c r="D28" s="65" t="n">
        <f aca="false">D11*'Assumption Setting'!$C$124</f>
        <v>0</v>
      </c>
      <c r="E28" s="65" t="n">
        <f aca="false">E11*'Assumption Setting'!$C$124</f>
        <v>0</v>
      </c>
      <c r="F28" s="65" t="n">
        <f aca="false">F11*'Assumption Setting'!$C$124</f>
        <v>0</v>
      </c>
      <c r="G28" s="65" t="n">
        <f aca="false">G11*'Assumption Setting'!$C$124</f>
        <v>0</v>
      </c>
      <c r="H28" s="65" t="n">
        <f aca="false">H11*'Assumption Setting'!$C$124</f>
        <v>0</v>
      </c>
      <c r="I28" s="65" t="n">
        <f aca="false">I11*'Assumption Setting'!$C$124</f>
        <v>0</v>
      </c>
      <c r="J28" s="65" t="n">
        <f aca="false">J11*'Assumption Setting'!$C$124</f>
        <v>0</v>
      </c>
      <c r="K28" s="65" t="n">
        <f aca="false">K11*'Assumption Setting'!$C$124</f>
        <v>0</v>
      </c>
      <c r="L28" s="65" t="n">
        <f aca="false">L11*'Assumption Setting'!$C$124</f>
        <v>0</v>
      </c>
      <c r="M28" s="65" t="n">
        <f aca="false">M11*'Assumption Setting'!$C$124</f>
        <v>0</v>
      </c>
      <c r="N28" s="65" t="n">
        <f aca="false">N11*'Assumption Setting'!$C$124</f>
        <v>0</v>
      </c>
      <c r="O28" s="64" t="n">
        <f aca="false">SUM(P28:AA28)</f>
        <v>0</v>
      </c>
      <c r="P28" s="65" t="n">
        <f aca="false">P11*'Assumption Setting'!$D$124</f>
        <v>0</v>
      </c>
      <c r="Q28" s="65" t="n">
        <f aca="false">Q11*'Assumption Setting'!$D$124</f>
        <v>0</v>
      </c>
      <c r="R28" s="65" t="n">
        <f aca="false">R11*'Assumption Setting'!$D$124</f>
        <v>0</v>
      </c>
      <c r="S28" s="65" t="n">
        <f aca="false">S11*'Assumption Setting'!$D$124</f>
        <v>0</v>
      </c>
      <c r="T28" s="65" t="n">
        <f aca="false">T11*'Assumption Setting'!$D$124</f>
        <v>0</v>
      </c>
      <c r="U28" s="65" t="n">
        <f aca="false">U11*'Assumption Setting'!$D$124</f>
        <v>0</v>
      </c>
      <c r="V28" s="65" t="n">
        <f aca="false">V11*'Assumption Setting'!$D$124</f>
        <v>0</v>
      </c>
      <c r="W28" s="65" t="n">
        <f aca="false">W11*'Assumption Setting'!$D$124</f>
        <v>0</v>
      </c>
      <c r="X28" s="65" t="n">
        <f aca="false">X11*'Assumption Setting'!$D$124</f>
        <v>0</v>
      </c>
      <c r="Y28" s="65" t="n">
        <f aca="false">Y11*'Assumption Setting'!$D$124</f>
        <v>0</v>
      </c>
      <c r="Z28" s="65" t="n">
        <f aca="false">Z11*'Assumption Setting'!$D$124</f>
        <v>0</v>
      </c>
      <c r="AA28" s="65" t="n">
        <f aca="false">AA11*'Assumption Setting'!$D$124</f>
        <v>0</v>
      </c>
      <c r="AB28" s="64" t="n">
        <f aca="false">SUM(AC28:AN28)</f>
        <v>2098.85534640772</v>
      </c>
      <c r="AC28" s="65" t="n">
        <f aca="false">AC11*'Assumption Setting'!$E$124</f>
        <v>22.2218508271459</v>
      </c>
      <c r="AD28" s="65" t="n">
        <f aca="false">AD11*'Assumption Setting'!$E$124</f>
        <v>44.4437016542917</v>
      </c>
      <c r="AE28" s="65" t="n">
        <f aca="false">AE11*'Assumption Setting'!$E$124</f>
        <v>68.6857207384508</v>
      </c>
      <c r="AF28" s="65" t="n">
        <f aca="false">AF11*'Assumption Setting'!$E$124</f>
        <v>92.9277398226099</v>
      </c>
      <c r="AG28" s="65" t="n">
        <f aca="false">AG11*'Assumption Setting'!$E$124</f>
        <v>117.169758906769</v>
      </c>
      <c r="AH28" s="65" t="n">
        <f aca="false">AH11*'Assumption Setting'!$E$124</f>
        <v>141.411777990928</v>
      </c>
      <c r="AI28" s="65" t="n">
        <f aca="false">AI11*'Assumption Setting'!$E$124</f>
        <v>177.770069825307</v>
      </c>
      <c r="AJ28" s="65" t="n">
        <f aca="false">AJ11*'Assumption Setting'!$E$124</f>
        <v>214.128361659686</v>
      </c>
      <c r="AK28" s="65" t="n">
        <f aca="false">AK11*'Assumption Setting'!$E$124</f>
        <v>250.486653494064</v>
      </c>
      <c r="AL28" s="65" t="n">
        <f aca="false">AL11*'Assumption Setting'!$E$124</f>
        <v>286.844945328443</v>
      </c>
      <c r="AM28" s="65" t="n">
        <f aca="false">AM11*'Assumption Setting'!$E$124</f>
        <v>323.203237162822</v>
      </c>
      <c r="AN28" s="65" t="n">
        <f aca="false">AN11*'Assumption Setting'!$E$124</f>
        <v>359.561528997201</v>
      </c>
      <c r="AO28" s="64" t="n">
        <f aca="false">SUM(AP28:BA28)</f>
        <v>5818.88178509814</v>
      </c>
      <c r="AP28" s="65" t="n">
        <f aca="false">AP11*'Assumption Setting'!$F$124</f>
        <v>404.839467504803</v>
      </c>
      <c r="AQ28" s="65" t="n">
        <f aca="false">AQ11*'Assumption Setting'!$F$124</f>
        <v>420.153945262639</v>
      </c>
      <c r="AR28" s="65" t="n">
        <f aca="false">AR11*'Assumption Setting'!$F$124</f>
        <v>434.921080304012</v>
      </c>
      <c r="AS28" s="65" t="n">
        <f aca="false">AS11*'Assumption Setting'!$F$124</f>
        <v>449.688215345385</v>
      </c>
      <c r="AT28" s="65" t="n">
        <f aca="false">AT11*'Assumption Setting'!$F$124</f>
        <v>464.455350386758</v>
      </c>
      <c r="AU28" s="65" t="n">
        <f aca="false">AU11*'Assumption Setting'!$F$124</f>
        <v>479.222485428131</v>
      </c>
      <c r="AV28" s="65" t="n">
        <f aca="false">AV11*'Assumption Setting'!$F$124</f>
        <v>493.044691537542</v>
      </c>
      <c r="AW28" s="65" t="n">
        <f aca="false">AW11*'Assumption Setting'!$F$124</f>
        <v>506.866897646953</v>
      </c>
      <c r="AX28" s="65" t="n">
        <f aca="false">AX11*'Assumption Setting'!$F$124</f>
        <v>520.689103756364</v>
      </c>
      <c r="AY28" s="65" t="n">
        <f aca="false">AY11*'Assumption Setting'!$F$124</f>
        <v>534.511309865775</v>
      </c>
      <c r="AZ28" s="65" t="n">
        <f aca="false">AZ11*'Assumption Setting'!$F$124</f>
        <v>548.333515975186</v>
      </c>
      <c r="BA28" s="65" t="n">
        <f aca="false">BA11*'Assumption Setting'!$F$124</f>
        <v>562.155722084597</v>
      </c>
      <c r="BB28" s="64" t="n">
        <f aca="false">SUM(BC28:BN28)</f>
        <v>8465.19795813037</v>
      </c>
      <c r="BC28" s="65" t="n">
        <f aca="false">BC11*'Assumption Setting'!$G$124</f>
        <v>620.28392267047</v>
      </c>
      <c r="BD28" s="65" t="n">
        <f aca="false">BD11*'Assumption Setting'!$G$124</f>
        <v>635.169375403681</v>
      </c>
      <c r="BE28" s="65" t="n">
        <f aca="false">BE11*'Assumption Setting'!$G$124</f>
        <v>650.579549567655</v>
      </c>
      <c r="BF28" s="65" t="n">
        <f aca="false">BF11*'Assumption Setting'!$G$124</f>
        <v>665.989723731628</v>
      </c>
      <c r="BG28" s="65" t="n">
        <f aca="false">BG11*'Assumption Setting'!$G$124</f>
        <v>681.399897895601</v>
      </c>
      <c r="BH28" s="65" t="n">
        <f aca="false">BH11*'Assumption Setting'!$G$124</f>
        <v>696.810072059575</v>
      </c>
      <c r="BI28" s="65" t="n">
        <f aca="false">BI11*'Assumption Setting'!$G$124</f>
        <v>712.71983322359</v>
      </c>
      <c r="BJ28" s="65" t="n">
        <f aca="false">BJ11*'Assumption Setting'!$G$124</f>
        <v>728.629594387605</v>
      </c>
      <c r="BK28" s="65" t="n">
        <f aca="false">BK11*'Assumption Setting'!$G$124</f>
        <v>744.53935555162</v>
      </c>
      <c r="BL28" s="65" t="n">
        <f aca="false">BL11*'Assumption Setting'!$G$124</f>
        <v>760.449116715635</v>
      </c>
      <c r="BM28" s="65" t="n">
        <f aca="false">BM11*'Assumption Setting'!$G$124</f>
        <v>776.35887787965</v>
      </c>
      <c r="BN28" s="65" t="n">
        <f aca="false">BN11*'Assumption Setting'!$G$124</f>
        <v>792.268639043665</v>
      </c>
    </row>
    <row r="29" customFormat="false" ht="15" hidden="false" customHeight="false" outlineLevel="0" collapsed="false">
      <c r="A29" s="12" t="s">
        <v>323</v>
      </c>
      <c r="B29" s="64" t="n">
        <f aca="false">SUM(C29:N29)</f>
        <v>0</v>
      </c>
      <c r="C29" s="65" t="n">
        <f aca="false">C12*'Assumption Setting'!$C$125</f>
        <v>0</v>
      </c>
      <c r="D29" s="65" t="n">
        <f aca="false">D12*'Assumption Setting'!$C$125</f>
        <v>0</v>
      </c>
      <c r="E29" s="65" t="n">
        <f aca="false">E12*'Assumption Setting'!$C$125</f>
        <v>0</v>
      </c>
      <c r="F29" s="65" t="n">
        <f aca="false">F12*'Assumption Setting'!$C$125</f>
        <v>0</v>
      </c>
      <c r="G29" s="65" t="n">
        <f aca="false">G12*'Assumption Setting'!$C$125</f>
        <v>0</v>
      </c>
      <c r="H29" s="65" t="n">
        <f aca="false">H12*'Assumption Setting'!$C$125</f>
        <v>0</v>
      </c>
      <c r="I29" s="65" t="n">
        <f aca="false">I12*'Assumption Setting'!$C$125</f>
        <v>0</v>
      </c>
      <c r="J29" s="65" t="n">
        <f aca="false">J12*'Assumption Setting'!$C$125</f>
        <v>0</v>
      </c>
      <c r="K29" s="65" t="n">
        <f aca="false">K12*'Assumption Setting'!$C$125</f>
        <v>0</v>
      </c>
      <c r="L29" s="65" t="n">
        <f aca="false">L12*'Assumption Setting'!$C$125</f>
        <v>0</v>
      </c>
      <c r="M29" s="65" t="n">
        <f aca="false">M12*'Assumption Setting'!$C$125</f>
        <v>0</v>
      </c>
      <c r="N29" s="65" t="n">
        <f aca="false">N12*'Assumption Setting'!$C$125</f>
        <v>0</v>
      </c>
      <c r="O29" s="64" t="n">
        <f aca="false">SUM(P29:AA29)</f>
        <v>3152.65294591708</v>
      </c>
      <c r="P29" s="65" t="n">
        <f aca="false">P12*'Assumption Setting'!$D$125</f>
        <v>32.8808903558266</v>
      </c>
      <c r="Q29" s="65" t="n">
        <f aca="false">Q12*'Assumption Setting'!$D$125</f>
        <v>65.7617807116532</v>
      </c>
      <c r="R29" s="65" t="n">
        <f aca="false">R12*'Assumption Setting'!$D$125</f>
        <v>101.930760103062</v>
      </c>
      <c r="S29" s="65" t="n">
        <f aca="false">S12*'Assumption Setting'!$D$125</f>
        <v>138.099739494472</v>
      </c>
      <c r="T29" s="65" t="n">
        <f aca="false">T12*'Assumption Setting'!$D$125</f>
        <v>174.268718885881</v>
      </c>
      <c r="U29" s="65" t="n">
        <f aca="false">U12*'Assumption Setting'!$D$125</f>
        <v>210.43769827729</v>
      </c>
      <c r="V29" s="65" t="n">
        <f aca="false">V12*'Assumption Setting'!$D$125</f>
        <v>265.992325345155</v>
      </c>
      <c r="W29" s="65" t="n">
        <f aca="false">W12*'Assumption Setting'!$D$125</f>
        <v>321.546952413019</v>
      </c>
      <c r="X29" s="65" t="n">
        <f aca="false">X12*'Assumption Setting'!$D$125</f>
        <v>377.101579480884</v>
      </c>
      <c r="Y29" s="65" t="n">
        <f aca="false">Y12*'Assumption Setting'!$D$125</f>
        <v>432.656206548749</v>
      </c>
      <c r="Z29" s="65" t="n">
        <f aca="false">Z12*'Assumption Setting'!$D$125</f>
        <v>488.210833616613</v>
      </c>
      <c r="AA29" s="65" t="n">
        <f aca="false">AA12*'Assumption Setting'!$D$125</f>
        <v>543.765460684478</v>
      </c>
      <c r="AB29" s="64" t="n">
        <f aca="false">SUM(AC29:AN29)</f>
        <v>12104.1512294917</v>
      </c>
      <c r="AC29" s="65" t="n">
        <f aca="false">AC12*'Assumption Setting'!$E$125</f>
        <v>653.691848930929</v>
      </c>
      <c r="AD29" s="65" t="n">
        <f aca="false">AD12*'Assumption Setting'!$E$125</f>
        <v>705.357652104043</v>
      </c>
      <c r="AE29" s="65" t="n">
        <f aca="false">AE12*'Assumption Setting'!$E$125</f>
        <v>761.720346474713</v>
      </c>
      <c r="AF29" s="65" t="n">
        <f aca="false">AF12*'Assumption Setting'!$E$125</f>
        <v>818.083040845383</v>
      </c>
      <c r="AG29" s="65" t="n">
        <f aca="false">AG12*'Assumption Setting'!$E$125</f>
        <v>874.445735216053</v>
      </c>
      <c r="AH29" s="65" t="n">
        <f aca="false">AH12*'Assumption Setting'!$E$125</f>
        <v>930.808429586723</v>
      </c>
      <c r="AI29" s="65" t="n">
        <f aca="false">AI12*'Assumption Setting'!$E$125</f>
        <v>1015.34145810165</v>
      </c>
      <c r="AJ29" s="65" t="n">
        <f aca="false">AJ12*'Assumption Setting'!$E$125</f>
        <v>1099.87448661658</v>
      </c>
      <c r="AK29" s="65" t="n">
        <f aca="false">AK12*'Assumption Setting'!$E$125</f>
        <v>1184.40751513151</v>
      </c>
      <c r="AL29" s="65" t="n">
        <f aca="false">AL12*'Assumption Setting'!$E$125</f>
        <v>1268.94054364645</v>
      </c>
      <c r="AM29" s="65" t="n">
        <f aca="false">AM12*'Assumption Setting'!$E$125</f>
        <v>1353.47357216138</v>
      </c>
      <c r="AN29" s="65" t="n">
        <f aca="false">AN12*'Assumption Setting'!$E$125</f>
        <v>1438.00660067631</v>
      </c>
      <c r="AO29" s="64" t="n">
        <f aca="false">SUM(AP29:BA29)</f>
        <v>22463.3443732736</v>
      </c>
      <c r="AP29" s="65" t="n">
        <f aca="false">AP12*'Assumption Setting'!$F$125</f>
        <v>1582.0155144455</v>
      </c>
      <c r="AQ29" s="65" t="n">
        <f aca="false">AQ12*'Assumption Setting'!$F$125</f>
        <v>1633.24980881622</v>
      </c>
      <c r="AR29" s="65" t="n">
        <f aca="false">AR12*'Assumption Setting'!$F$125</f>
        <v>1684.35830424042</v>
      </c>
      <c r="AS29" s="65" t="n">
        <f aca="false">AS12*'Assumption Setting'!$F$125</f>
        <v>1735.46679966463</v>
      </c>
      <c r="AT29" s="65" t="n">
        <f aca="false">AT12*'Assumption Setting'!$F$125</f>
        <v>1786.57529508883</v>
      </c>
      <c r="AU29" s="65" t="n">
        <f aca="false">AU12*'Assumption Setting'!$F$125</f>
        <v>1837.68379051303</v>
      </c>
      <c r="AV29" s="65" t="n">
        <f aca="false">AV12*'Assumption Setting'!$F$125</f>
        <v>1893.77389134288</v>
      </c>
      <c r="AW29" s="65" t="n">
        <f aca="false">AW12*'Assumption Setting'!$F$125</f>
        <v>1949.86399217273</v>
      </c>
      <c r="AX29" s="65" t="n">
        <f aca="false">AX12*'Assumption Setting'!$F$125</f>
        <v>2005.95409300257</v>
      </c>
      <c r="AY29" s="65" t="n">
        <f aca="false">AY12*'Assumption Setting'!$F$125</f>
        <v>2062.04419383242</v>
      </c>
      <c r="AZ29" s="65" t="n">
        <f aca="false">AZ12*'Assumption Setting'!$F$125</f>
        <v>2118.13429466227</v>
      </c>
      <c r="BA29" s="65" t="n">
        <f aca="false">BA12*'Assumption Setting'!$F$125</f>
        <v>2174.22439549211</v>
      </c>
      <c r="BB29" s="64" t="n">
        <f aca="false">SUM(BC29:BN29)</f>
        <v>33146.2935773773</v>
      </c>
      <c r="BC29" s="65" t="n">
        <f aca="false">BC12*'Assumption Setting'!$G$125</f>
        <v>2376.5959972702</v>
      </c>
      <c r="BD29" s="65" t="n">
        <f aca="false">BD12*'Assumption Setting'!$G$125</f>
        <v>2447.19642356391</v>
      </c>
      <c r="BE29" s="65" t="n">
        <f aca="false">BE12*'Assumption Setting'!$G$125</f>
        <v>2517.65121957156</v>
      </c>
      <c r="BF29" s="65" t="n">
        <f aca="false">BF12*'Assumption Setting'!$G$125</f>
        <v>2588.10601557921</v>
      </c>
      <c r="BG29" s="65" t="n">
        <f aca="false">BG12*'Assumption Setting'!$G$125</f>
        <v>2658.56081158686</v>
      </c>
      <c r="BH29" s="65" t="n">
        <f aca="false">BH12*'Assumption Setting'!$G$125</f>
        <v>2729.01560759452</v>
      </c>
      <c r="BI29" s="65" t="n">
        <f aca="false">BI12*'Assumption Setting'!$G$125</f>
        <v>2798.30483886328</v>
      </c>
      <c r="BJ29" s="65" t="n">
        <f aca="false">BJ12*'Assumption Setting'!$G$125</f>
        <v>2867.59407013204</v>
      </c>
      <c r="BK29" s="65" t="n">
        <f aca="false">BK12*'Assumption Setting'!$G$125</f>
        <v>2936.8833014008</v>
      </c>
      <c r="BL29" s="65" t="n">
        <f aca="false">BL12*'Assumption Setting'!$G$125</f>
        <v>3006.17253266956</v>
      </c>
      <c r="BM29" s="65" t="n">
        <f aca="false">BM12*'Assumption Setting'!$G$125</f>
        <v>3075.46176393832</v>
      </c>
      <c r="BN29" s="65" t="n">
        <f aca="false">BN12*'Assumption Setting'!$G$125</f>
        <v>3144.75099520708</v>
      </c>
    </row>
    <row r="30" customFormat="false" ht="15" hidden="false" customHeight="false" outlineLevel="0" collapsed="false">
      <c r="A30" s="12" t="s">
        <v>325</v>
      </c>
      <c r="B30" s="64" t="n">
        <f aca="false">SUM(C30:N30)</f>
        <v>0</v>
      </c>
      <c r="C30" s="65" t="n">
        <f aca="false">C13*'Assumption Setting'!$C$126</f>
        <v>0</v>
      </c>
      <c r="D30" s="65" t="n">
        <f aca="false">D13*'Assumption Setting'!$C$126</f>
        <v>0</v>
      </c>
      <c r="E30" s="65" t="n">
        <f aca="false">E13*'Assumption Setting'!$C$126</f>
        <v>0</v>
      </c>
      <c r="F30" s="65" t="n">
        <f aca="false">F13*'Assumption Setting'!$C$126</f>
        <v>0</v>
      </c>
      <c r="G30" s="65" t="n">
        <f aca="false">G13*'Assumption Setting'!$C$126</f>
        <v>0</v>
      </c>
      <c r="H30" s="65" t="n">
        <f aca="false">H13*'Assumption Setting'!$C$126</f>
        <v>0</v>
      </c>
      <c r="I30" s="65" t="n">
        <f aca="false">I13*'Assumption Setting'!$C$126</f>
        <v>0</v>
      </c>
      <c r="J30" s="65" t="n">
        <f aca="false">J13*'Assumption Setting'!$C$126</f>
        <v>0</v>
      </c>
      <c r="K30" s="65" t="n">
        <f aca="false">K13*'Assumption Setting'!$C$126</f>
        <v>0</v>
      </c>
      <c r="L30" s="65" t="n">
        <f aca="false">L13*'Assumption Setting'!$C$126</f>
        <v>0</v>
      </c>
      <c r="M30" s="65" t="n">
        <f aca="false">M13*'Assumption Setting'!$C$126</f>
        <v>0</v>
      </c>
      <c r="N30" s="65" t="n">
        <f aca="false">N13*'Assumption Setting'!$C$126</f>
        <v>0</v>
      </c>
      <c r="O30" s="64" t="n">
        <f aca="false">SUM(P30:AA30)</f>
        <v>12227.581101073</v>
      </c>
      <c r="P30" s="65" t="n">
        <f aca="false">P13*'Assumption Setting'!$D$126</f>
        <v>0</v>
      </c>
      <c r="Q30" s="65" t="n">
        <f aca="false">Q13*'Assumption Setting'!$D$126</f>
        <v>0</v>
      </c>
      <c r="R30" s="65" t="n">
        <f aca="false">R13*'Assumption Setting'!$D$126</f>
        <v>205.505564723916</v>
      </c>
      <c r="S30" s="65" t="n">
        <f aca="false">S13*'Assumption Setting'!$D$126</f>
        <v>431.561685920224</v>
      </c>
      <c r="T30" s="65" t="n">
        <f aca="false">T13*'Assumption Setting'!$D$126</f>
        <v>657.617807116532</v>
      </c>
      <c r="U30" s="65" t="n">
        <f aca="false">U13*'Assumption Setting'!$D$126</f>
        <v>883.673928312839</v>
      </c>
      <c r="V30" s="65" t="n">
        <f aca="false">V13*'Assumption Setting'!$D$126</f>
        <v>1109.73004950915</v>
      </c>
      <c r="W30" s="65" t="n">
        <f aca="false">W13*'Assumption Setting'!$D$126</f>
        <v>1335.78617070545</v>
      </c>
      <c r="X30" s="65" t="n">
        <f aca="false">X13*'Assumption Setting'!$D$126</f>
        <v>1561.84229190176</v>
      </c>
      <c r="Y30" s="65" t="n">
        <f aca="false">Y13*'Assumption Setting'!$D$126</f>
        <v>1787.89841309807</v>
      </c>
      <c r="Z30" s="65" t="n">
        <f aca="false">Z13*'Assumption Setting'!$D$126</f>
        <v>2013.95453429438</v>
      </c>
      <c r="AA30" s="65" t="n">
        <f aca="false">AA13*'Assumption Setting'!$D$126</f>
        <v>2240.01065549069</v>
      </c>
      <c r="AB30" s="64" t="n">
        <f aca="false">SUM(AC30:AN30)</f>
        <v>46022.1584494824</v>
      </c>
      <c r="AC30" s="65" t="n">
        <f aca="false">AC13*'Assumption Setting'!$E$126</f>
        <v>2157.80842960112</v>
      </c>
      <c r="AD30" s="65" t="n">
        <f aca="false">AD13*'Assumption Setting'!$E$126</f>
        <v>2355.60753564789</v>
      </c>
      <c r="AE30" s="65" t="n">
        <f aca="false">AE13*'Assumption Setting'!$E$126</f>
        <v>2659.42190242527</v>
      </c>
      <c r="AF30" s="65" t="n">
        <f aca="false">AF13*'Assumption Setting'!$E$126</f>
        <v>2990.85575709151</v>
      </c>
      <c r="AG30" s="65" t="n">
        <f aca="false">AG13*'Assumption Setting'!$E$126</f>
        <v>3322.28961175775</v>
      </c>
      <c r="AH30" s="65" t="n">
        <f aca="false">AH13*'Assumption Setting'!$E$126</f>
        <v>3653.72346642399</v>
      </c>
      <c r="AI30" s="65" t="n">
        <f aca="false">AI13*'Assumption Setting'!$E$126</f>
        <v>3985.15732109022</v>
      </c>
      <c r="AJ30" s="65" t="n">
        <f aca="false">AJ13*'Assumption Setting'!$E$126</f>
        <v>4316.59117575646</v>
      </c>
      <c r="AK30" s="65" t="n">
        <f aca="false">AK13*'Assumption Setting'!$E$126</f>
        <v>4648.0250304227</v>
      </c>
      <c r="AL30" s="65" t="n">
        <f aca="false">AL13*'Assumption Setting'!$E$126</f>
        <v>4979.45888508894</v>
      </c>
      <c r="AM30" s="65" t="n">
        <f aca="false">AM13*'Assumption Setting'!$E$126</f>
        <v>5310.89273975517</v>
      </c>
      <c r="AN30" s="65" t="n">
        <f aca="false">AN13*'Assumption Setting'!$E$126</f>
        <v>5642.32659442141</v>
      </c>
      <c r="AO30" s="64" t="n">
        <f aca="false">SUM(AP30:BA30)</f>
        <v>86267.5652253668</v>
      </c>
      <c r="AP30" s="65" t="n">
        <f aca="false">AP13*'Assumption Setting'!$F$126</f>
        <v>5547.06327415282</v>
      </c>
      <c r="AQ30" s="65" t="n">
        <f aca="false">AQ13*'Assumption Setting'!$F$126</f>
        <v>5854.82328205718</v>
      </c>
      <c r="AR30" s="65" t="n">
        <f aca="false">AR13*'Assumption Setting'!$F$126</f>
        <v>6149.42988752264</v>
      </c>
      <c r="AS30" s="65" t="n">
        <f aca="false">AS13*'Assumption Setting'!$F$126</f>
        <v>6446.57166072109</v>
      </c>
      <c r="AT30" s="65" t="n">
        <f aca="false">AT13*'Assumption Setting'!$F$126</f>
        <v>6743.71343391954</v>
      </c>
      <c r="AU30" s="65" t="n">
        <f aca="false">AU13*'Assumption Setting'!$F$126</f>
        <v>7040.855207118</v>
      </c>
      <c r="AV30" s="65" t="n">
        <f aca="false">AV13*'Assumption Setting'!$F$126</f>
        <v>7337.99698031645</v>
      </c>
      <c r="AW30" s="65" t="n">
        <f aca="false">AW13*'Assumption Setting'!$F$126</f>
        <v>7635.13875351491</v>
      </c>
      <c r="AX30" s="65" t="n">
        <f aca="false">AX13*'Assumption Setting'!$F$126</f>
        <v>7932.28052671336</v>
      </c>
      <c r="AY30" s="65" t="n">
        <f aca="false">AY13*'Assumption Setting'!$F$126</f>
        <v>8229.42229991181</v>
      </c>
      <c r="AZ30" s="65" t="n">
        <f aca="false">AZ13*'Assumption Setting'!$F$126</f>
        <v>8526.56407311027</v>
      </c>
      <c r="BA30" s="65" t="n">
        <f aca="false">BA13*'Assumption Setting'!$F$126</f>
        <v>8823.70584630872</v>
      </c>
      <c r="BB30" s="64" t="n">
        <f aca="false">SUM(BC30:BN30)</f>
        <v>121353.729343205</v>
      </c>
      <c r="BC30" s="65" t="n">
        <f aca="false">BC13*'Assumption Setting'!$G$126</f>
        <v>8419.24395646816</v>
      </c>
      <c r="BD30" s="65" t="n">
        <f aca="false">BD13*'Assumption Setting'!$G$126</f>
        <v>8693.52867018981</v>
      </c>
      <c r="BE30" s="65" t="n">
        <f aca="false">BE13*'Assumption Setting'!$G$126</f>
        <v>9008.70914471531</v>
      </c>
      <c r="BF30" s="65" t="n">
        <f aca="false">BF13*'Assumption Setting'!$G$126</f>
        <v>9323.23948403519</v>
      </c>
      <c r="BG30" s="65" t="n">
        <f aca="false">BG13*'Assumption Setting'!$G$126</f>
        <v>9637.76982335506</v>
      </c>
      <c r="BH30" s="65" t="n">
        <f aca="false">BH13*'Assumption Setting'!$G$126</f>
        <v>9952.30016267494</v>
      </c>
      <c r="BI30" s="65" t="n">
        <f aca="false">BI13*'Assumption Setting'!$G$126</f>
        <v>10266.8305019948</v>
      </c>
      <c r="BJ30" s="65" t="n">
        <f aca="false">BJ13*'Assumption Setting'!$G$126</f>
        <v>10581.3608413147</v>
      </c>
      <c r="BK30" s="65" t="n">
        <f aca="false">BK13*'Assumption Setting'!$G$126</f>
        <v>10895.8911806346</v>
      </c>
      <c r="BL30" s="65" t="n">
        <f aca="false">BL13*'Assumption Setting'!$G$126</f>
        <v>11210.4215199544</v>
      </c>
      <c r="BM30" s="65" t="n">
        <f aca="false">BM13*'Assumption Setting'!$G$126</f>
        <v>11524.9518592743</v>
      </c>
      <c r="BN30" s="65" t="n">
        <f aca="false">BN13*'Assumption Setting'!$G$126</f>
        <v>11839.4821985942</v>
      </c>
    </row>
    <row r="31" customFormat="false" ht="15" hidden="false" customHeight="false" outlineLevel="0" collapsed="false">
      <c r="A31" s="12" t="s">
        <v>328</v>
      </c>
      <c r="B31" s="64" t="n">
        <f aca="false">SUM(C31:N31)</f>
        <v>0</v>
      </c>
      <c r="C31" s="65" t="n">
        <f aca="false">C14*'Assumption Setting'!$C$127</f>
        <v>0</v>
      </c>
      <c r="D31" s="65" t="n">
        <f aca="false">D14*'Assumption Setting'!$C$127</f>
        <v>0</v>
      </c>
      <c r="E31" s="65" t="n">
        <f aca="false">E14*'Assumption Setting'!$C$127</f>
        <v>0</v>
      </c>
      <c r="F31" s="65" t="n">
        <f aca="false">F14*'Assumption Setting'!$C$127</f>
        <v>0</v>
      </c>
      <c r="G31" s="65" t="n">
        <f aca="false">G14*'Assumption Setting'!$C$127</f>
        <v>0</v>
      </c>
      <c r="H31" s="65" t="n">
        <f aca="false">H14*'Assumption Setting'!$C$127</f>
        <v>0</v>
      </c>
      <c r="I31" s="65" t="n">
        <f aca="false">I14*'Assumption Setting'!$C$127</f>
        <v>0</v>
      </c>
      <c r="J31" s="65" t="n">
        <f aca="false">J14*'Assumption Setting'!$C$127</f>
        <v>0</v>
      </c>
      <c r="K31" s="65" t="n">
        <f aca="false">K14*'Assumption Setting'!$C$127</f>
        <v>0</v>
      </c>
      <c r="L31" s="65" t="n">
        <f aca="false">L14*'Assumption Setting'!$C$127</f>
        <v>0</v>
      </c>
      <c r="M31" s="65" t="n">
        <f aca="false">M14*'Assumption Setting'!$C$127</f>
        <v>0</v>
      </c>
      <c r="N31" s="65" t="n">
        <f aca="false">N14*'Assumption Setting'!$C$127</f>
        <v>0</v>
      </c>
      <c r="O31" s="64" t="n">
        <f aca="false">SUM(P31:AA31)</f>
        <v>786.058785068979</v>
      </c>
      <c r="P31" s="65" t="n">
        <f aca="false">P14*'Assumption Setting'!$D$127</f>
        <v>0</v>
      </c>
      <c r="Q31" s="65" t="n">
        <f aca="false">Q14*'Assumption Setting'!$D$127</f>
        <v>0</v>
      </c>
      <c r="R31" s="65" t="n">
        <f aca="false">R14*'Assumption Setting'!$D$127</f>
        <v>13.211072017966</v>
      </c>
      <c r="S31" s="65" t="n">
        <f aca="false">S14*'Assumption Setting'!$D$127</f>
        <v>27.7432512377287</v>
      </c>
      <c r="T31" s="65" t="n">
        <f aca="false">T14*'Assumption Setting'!$D$127</f>
        <v>42.2754304574913</v>
      </c>
      <c r="U31" s="65" t="n">
        <f aca="false">U14*'Assumption Setting'!$D$127</f>
        <v>56.8076096772539</v>
      </c>
      <c r="V31" s="65" t="n">
        <f aca="false">V14*'Assumption Setting'!$D$127</f>
        <v>71.3397888970166</v>
      </c>
      <c r="W31" s="65" t="n">
        <f aca="false">W14*'Assumption Setting'!$D$127</f>
        <v>85.8719681167792</v>
      </c>
      <c r="X31" s="65" t="n">
        <f aca="false">X14*'Assumption Setting'!$D$127</f>
        <v>100.404147336542</v>
      </c>
      <c r="Y31" s="65" t="n">
        <f aca="false">Y14*'Assumption Setting'!$D$127</f>
        <v>114.936326556305</v>
      </c>
      <c r="Z31" s="65" t="n">
        <f aca="false">Z14*'Assumption Setting'!$D$127</f>
        <v>129.468505776067</v>
      </c>
      <c r="AA31" s="65" t="n">
        <f aca="false">AA14*'Assumption Setting'!$D$127</f>
        <v>144.00068499583</v>
      </c>
      <c r="AB31" s="64" t="n">
        <f aca="false">SUM(AC31:AN31)</f>
        <v>3673.34009986951</v>
      </c>
      <c r="AC31" s="65" t="n">
        <f aca="false">AC14*'Assumption Setting'!$E$127</f>
        <v>179.670579444338</v>
      </c>
      <c r="AD31" s="65" t="n">
        <f aca="false">AD14*'Assumption Setting'!$E$127</f>
        <v>196.140382560069</v>
      </c>
      <c r="AE31" s="65" t="n">
        <f aca="false">AE14*'Assumption Setting'!$E$127</f>
        <v>221.437578814186</v>
      </c>
      <c r="AF31" s="65" t="n">
        <f aca="false">AF14*'Assumption Setting'!$E$127</f>
        <v>249.034520182314</v>
      </c>
      <c r="AG31" s="65" t="n">
        <f aca="false">AG14*'Assumption Setting'!$E$127</f>
        <v>276.631461550441</v>
      </c>
      <c r="AH31" s="65" t="n">
        <f aca="false">AH14*'Assumption Setting'!$E$127</f>
        <v>304.228402918569</v>
      </c>
      <c r="AI31" s="65" t="n">
        <f aca="false">AI14*'Assumption Setting'!$E$127</f>
        <v>331.825344286696</v>
      </c>
      <c r="AJ31" s="65" t="n">
        <f aca="false">AJ14*'Assumption Setting'!$E$127</f>
        <v>359.422285654824</v>
      </c>
      <c r="AK31" s="65" t="n">
        <f aca="false">AK14*'Assumption Setting'!$E$127</f>
        <v>372.046678735923</v>
      </c>
      <c r="AL31" s="65" t="n">
        <f aca="false">AL14*'Assumption Setting'!$E$127</f>
        <v>383.17381698832</v>
      </c>
      <c r="AM31" s="65" t="n">
        <f aca="false">AM14*'Assumption Setting'!$E$127</f>
        <v>394.300955240716</v>
      </c>
      <c r="AN31" s="65" t="n">
        <f aca="false">AN14*'Assumption Setting'!$E$127</f>
        <v>405.428093493113</v>
      </c>
      <c r="AO31" s="64" t="n">
        <f aca="false">SUM(AP31:BA31)</f>
        <v>6847.63104704601</v>
      </c>
      <c r="AP31" s="65" t="n">
        <f aca="false">AP14*'Assumption Setting'!$F$127</f>
        <v>441.058480671716</v>
      </c>
      <c r="AQ31" s="65" t="n">
        <f aca="false">AQ14*'Assumption Setting'!$F$127</f>
        <v>452.840156468371</v>
      </c>
      <c r="AR31" s="65" t="n">
        <f aca="false">AR14*'Assumption Setting'!$F$127</f>
        <v>479.226268169309</v>
      </c>
      <c r="AS31" s="65" t="n">
        <f aca="false">AS14*'Assumption Setting'!$F$127</f>
        <v>507.438410152107</v>
      </c>
      <c r="AT31" s="65" t="n">
        <f aca="false">AT14*'Assumption Setting'!$F$127</f>
        <v>535.650552134906</v>
      </c>
      <c r="AU31" s="65" t="n">
        <f aca="false">AU14*'Assumption Setting'!$F$127</f>
        <v>563.862694117704</v>
      </c>
      <c r="AV31" s="65" t="n">
        <f aca="false">AV14*'Assumption Setting'!$F$127</f>
        <v>592.074836100502</v>
      </c>
      <c r="AW31" s="65" t="n">
        <f aca="false">AW14*'Assumption Setting'!$F$127</f>
        <v>620.286978083301</v>
      </c>
      <c r="AX31" s="65" t="n">
        <f aca="false">AX14*'Assumption Setting'!$F$127</f>
        <v>639.152468507808</v>
      </c>
      <c r="AY31" s="65" t="n">
        <f aca="false">AY14*'Assumption Setting'!$F$127</f>
        <v>655.582934693951</v>
      </c>
      <c r="AZ31" s="65" t="n">
        <f aca="false">AZ14*'Assumption Setting'!$F$127</f>
        <v>672.013400880094</v>
      </c>
      <c r="BA31" s="65" t="n">
        <f aca="false">BA14*'Assumption Setting'!$F$127</f>
        <v>688.443867066237</v>
      </c>
      <c r="BB31" s="64" t="n">
        <f aca="false">SUM(BC31:BN31)</f>
        <v>10806.6596789435</v>
      </c>
      <c r="BC31" s="65" t="n">
        <f aca="false">BC14*'Assumption Setting'!$G$127</f>
        <v>744.034018433068</v>
      </c>
      <c r="BD31" s="65" t="n">
        <f aca="false">BD14*'Assumption Setting'!$G$127</f>
        <v>761.37728829622</v>
      </c>
      <c r="BE31" s="65" t="n">
        <f aca="false">BE14*'Assumption Setting'!$G$127</f>
        <v>793.026579310557</v>
      </c>
      <c r="BF31" s="65" t="n">
        <f aca="false">BF14*'Assumption Setting'!$G$127</f>
        <v>827.175587579571</v>
      </c>
      <c r="BG31" s="65" t="n">
        <f aca="false">BG14*'Assumption Setting'!$G$127</f>
        <v>861.324595848586</v>
      </c>
      <c r="BH31" s="65" t="n">
        <f aca="false">BH14*'Assumption Setting'!$G$127</f>
        <v>895.473604117601</v>
      </c>
      <c r="BI31" s="65" t="n">
        <f aca="false">BI14*'Assumption Setting'!$G$127</f>
        <v>929.622612386616</v>
      </c>
      <c r="BJ31" s="65" t="n">
        <f aca="false">BJ14*'Assumption Setting'!$G$127</f>
        <v>963.771620655631</v>
      </c>
      <c r="BK31" s="65" t="n">
        <f aca="false">BK14*'Assumption Setting'!$G$127</f>
        <v>982.504835470126</v>
      </c>
      <c r="BL31" s="65" t="n">
        <f aca="false">BL14*'Assumption Setting'!$G$127</f>
        <v>999.31057387599</v>
      </c>
      <c r="BM31" s="65" t="n">
        <f aca="false">BM14*'Assumption Setting'!$G$127</f>
        <v>1016.11631228185</v>
      </c>
      <c r="BN31" s="65" t="n">
        <f aca="false">BN14*'Assumption Setting'!$G$127</f>
        <v>1032.92205068772</v>
      </c>
    </row>
    <row r="32" customFormat="false" ht="15" hidden="false" customHeight="false" outlineLevel="0" collapsed="false">
      <c r="A32" s="12" t="s">
        <v>330</v>
      </c>
      <c r="B32" s="64" t="n">
        <f aca="false">SUM(C32:N32)</f>
        <v>0</v>
      </c>
      <c r="C32" s="65" t="n">
        <f aca="false">C15*'Assumption Setting'!$C$128</f>
        <v>0</v>
      </c>
      <c r="D32" s="65" t="n">
        <f aca="false">D15*'Assumption Setting'!$C$128</f>
        <v>0</v>
      </c>
      <c r="E32" s="65" t="n">
        <f aca="false">E15*'Assumption Setting'!$C$128</f>
        <v>0</v>
      </c>
      <c r="F32" s="65" t="n">
        <f aca="false">F15*'Assumption Setting'!$C$128</f>
        <v>0</v>
      </c>
      <c r="G32" s="65" t="n">
        <f aca="false">G15*'Assumption Setting'!$C$128</f>
        <v>0</v>
      </c>
      <c r="H32" s="65" t="n">
        <f aca="false">H15*'Assumption Setting'!$C$128</f>
        <v>0</v>
      </c>
      <c r="I32" s="65" t="n">
        <f aca="false">I15*'Assumption Setting'!$C$128</f>
        <v>0</v>
      </c>
      <c r="J32" s="65" t="n">
        <f aca="false">J15*'Assumption Setting'!$C$128</f>
        <v>0</v>
      </c>
      <c r="K32" s="65" t="n">
        <f aca="false">K15*'Assumption Setting'!$C$128</f>
        <v>0</v>
      </c>
      <c r="L32" s="65" t="n">
        <f aca="false">L15*'Assumption Setting'!$C$128</f>
        <v>0</v>
      </c>
      <c r="M32" s="65" t="n">
        <f aca="false">M15*'Assumption Setting'!$C$128</f>
        <v>0</v>
      </c>
      <c r="N32" s="65" t="n">
        <f aca="false">N15*'Assumption Setting'!$C$128</f>
        <v>0</v>
      </c>
      <c r="O32" s="64" t="n">
        <f aca="false">SUM(P32:AA32)</f>
        <v>12659.1427869932</v>
      </c>
      <c r="P32" s="65" t="n">
        <f aca="false">P15*'Assumption Setting'!$D$128</f>
        <v>0</v>
      </c>
      <c r="Q32" s="65" t="n">
        <f aca="false">Q15*'Assumption Setting'!$D$128</f>
        <v>0</v>
      </c>
      <c r="R32" s="65" t="n">
        <f aca="false">R15*'Assumption Setting'!$D$128</f>
        <v>0</v>
      </c>
      <c r="S32" s="65" t="n">
        <f aca="false">S15*'Assumption Setting'!$D$128</f>
        <v>281.314284155405</v>
      </c>
      <c r="T32" s="65" t="n">
        <f aca="false">T15*'Assumption Setting'!$D$128</f>
        <v>562.628568310811</v>
      </c>
      <c r="U32" s="65" t="n">
        <f aca="false">U15*'Assumption Setting'!$D$128</f>
        <v>843.942852466216</v>
      </c>
      <c r="V32" s="65" t="n">
        <f aca="false">V15*'Assumption Setting'!$D$128</f>
        <v>1125.25713662162</v>
      </c>
      <c r="W32" s="65" t="n">
        <f aca="false">W15*'Assumption Setting'!$D$128</f>
        <v>1406.57142077703</v>
      </c>
      <c r="X32" s="65" t="n">
        <f aca="false">X15*'Assumption Setting'!$D$128</f>
        <v>1687.88570493243</v>
      </c>
      <c r="Y32" s="65" t="n">
        <f aca="false">Y15*'Assumption Setting'!$D$128</f>
        <v>1969.19998908784</v>
      </c>
      <c r="Z32" s="65" t="n">
        <f aca="false">Z15*'Assumption Setting'!$D$128</f>
        <v>2250.51427324324</v>
      </c>
      <c r="AA32" s="65" t="n">
        <f aca="false">AA15*'Assumption Setting'!$D$128</f>
        <v>2531.82855739865</v>
      </c>
      <c r="AB32" s="64" t="n">
        <f aca="false">SUM(AC32:AN32)</f>
        <v>66587.8444420713</v>
      </c>
      <c r="AC32" s="65" t="n">
        <f aca="false">AC15*'Assumption Setting'!$E$128</f>
        <v>3164.78569674831</v>
      </c>
      <c r="AD32" s="65" t="n">
        <f aca="false">AD15*'Assumption Setting'!$E$128</f>
        <v>3481.26426642314</v>
      </c>
      <c r="AE32" s="65" t="n">
        <f aca="false">AE15*'Assumption Setting'!$E$128</f>
        <v>3797.74283609797</v>
      </c>
      <c r="AF32" s="65" t="n">
        <f aca="false">AF15*'Assumption Setting'!$E$128</f>
        <v>4328.03700356395</v>
      </c>
      <c r="AG32" s="65" t="n">
        <f aca="false">AG15*'Assumption Setting'!$E$128</f>
        <v>4858.33117102993</v>
      </c>
      <c r="AH32" s="65" t="n">
        <f aca="false">AH15*'Assumption Setting'!$E$128</f>
        <v>5388.62533849591</v>
      </c>
      <c r="AI32" s="65" t="n">
        <f aca="false">AI15*'Assumption Setting'!$E$128</f>
        <v>5918.91950596189</v>
      </c>
      <c r="AJ32" s="65" t="n">
        <f aca="false">AJ15*'Assumption Setting'!$E$128</f>
        <v>6449.21367342787</v>
      </c>
      <c r="AK32" s="65" t="n">
        <f aca="false">AK15*'Assumption Setting'!$E$128</f>
        <v>6979.50784089385</v>
      </c>
      <c r="AL32" s="65" t="n">
        <f aca="false">AL15*'Assumption Setting'!$E$128</f>
        <v>7193.323438685</v>
      </c>
      <c r="AM32" s="65" t="n">
        <f aca="false">AM15*'Assumption Setting'!$E$128</f>
        <v>7407.13903647615</v>
      </c>
      <c r="AN32" s="65" t="n">
        <f aca="false">AN15*'Assumption Setting'!$E$128</f>
        <v>7620.9546342673</v>
      </c>
      <c r="AO32" s="64" t="n">
        <f aca="false">SUM(AP32:BA32)</f>
        <v>133627.103004652</v>
      </c>
      <c r="AP32" s="65" t="n">
        <f aca="false">AP15*'Assumption Setting'!$F$128</f>
        <v>8705.30025784272</v>
      </c>
      <c r="AQ32" s="65" t="n">
        <f aca="false">AQ15*'Assumption Setting'!$F$128</f>
        <v>8942.87314427733</v>
      </c>
      <c r="AR32" s="65" t="n">
        <f aca="false">AR15*'Assumption Setting'!$F$128</f>
        <v>9180.44603071194</v>
      </c>
      <c r="AS32" s="65" t="n">
        <f aca="false">AS15*'Assumption Setting'!$F$128</f>
        <v>9749.33284435684</v>
      </c>
      <c r="AT32" s="65" t="n">
        <f aca="false">AT15*'Assumption Setting'!$F$128</f>
        <v>10318.2196580017</v>
      </c>
      <c r="AU32" s="65" t="n">
        <f aca="false">AU15*'Assumption Setting'!$F$128</f>
        <v>10887.1064716466</v>
      </c>
      <c r="AV32" s="65" t="n">
        <f aca="false">AV15*'Assumption Setting'!$F$128</f>
        <v>11455.9932852916</v>
      </c>
      <c r="AW32" s="65" t="n">
        <f aca="false">AW15*'Assumption Setting'!$F$128</f>
        <v>12024.8800989365</v>
      </c>
      <c r="AX32" s="65" t="n">
        <f aca="false">AX15*'Assumption Setting'!$F$128</f>
        <v>12593.7669125814</v>
      </c>
      <c r="AY32" s="65" t="n">
        <f aca="false">AY15*'Assumption Setting'!$F$128</f>
        <v>12925.0808397917</v>
      </c>
      <c r="AZ32" s="65" t="n">
        <f aca="false">AZ15*'Assumption Setting'!$F$128</f>
        <v>13256.394767002</v>
      </c>
      <c r="BA32" s="65" t="n">
        <f aca="false">BA15*'Assumption Setting'!$F$128</f>
        <v>13587.7086942122</v>
      </c>
      <c r="BB32" s="64" t="n">
        <f aca="false">SUM(BC32:BN32)</f>
        <v>221489.559905254</v>
      </c>
      <c r="BC32" s="65" t="n">
        <f aca="false">BC15*'Assumption Setting'!$G$128</f>
        <v>15310.9248835648</v>
      </c>
      <c r="BD32" s="65" t="n">
        <f aca="false">BD15*'Assumption Setting'!$G$128</f>
        <v>15675.3702034961</v>
      </c>
      <c r="BE32" s="65" t="n">
        <f aca="false">BE15*'Assumption Setting'!$G$128</f>
        <v>16039.8155234274</v>
      </c>
      <c r="BF32" s="65" t="n">
        <f aca="false">BF15*'Assumption Setting'!$G$128</f>
        <v>16757.4106679498</v>
      </c>
      <c r="BG32" s="65" t="n">
        <f aca="false">BG15*'Assumption Setting'!$G$128</f>
        <v>17475.0058124722</v>
      </c>
      <c r="BH32" s="65" t="n">
        <f aca="false">BH15*'Assumption Setting'!$G$128</f>
        <v>18192.6009569946</v>
      </c>
      <c r="BI32" s="65" t="n">
        <f aca="false">BI15*'Assumption Setting'!$G$128</f>
        <v>18910.196101517</v>
      </c>
      <c r="BJ32" s="65" t="n">
        <f aca="false">BJ15*'Assumption Setting'!$G$128</f>
        <v>19627.7912460393</v>
      </c>
      <c r="BK32" s="65" t="n">
        <f aca="false">BK15*'Assumption Setting'!$G$128</f>
        <v>20345.3863905617</v>
      </c>
      <c r="BL32" s="65" t="n">
        <f aca="false">BL15*'Assumption Setting'!$G$128</f>
        <v>20698.5362151528</v>
      </c>
      <c r="BM32" s="65" t="n">
        <f aca="false">BM15*'Assumption Setting'!$G$128</f>
        <v>21051.6860397438</v>
      </c>
      <c r="BN32" s="65" t="n">
        <f aca="false">BN15*'Assumption Setting'!$G$128</f>
        <v>21404.8358643349</v>
      </c>
    </row>
    <row r="33" customFormat="false" ht="15" hidden="false" customHeight="false" outlineLevel="0" collapsed="false">
      <c r="A33" s="12" t="s">
        <v>722</v>
      </c>
      <c r="B33" s="64" t="n">
        <f aca="false">SUM(C33:N33)</f>
        <v>6233.66879662545</v>
      </c>
      <c r="C33" s="65" t="n">
        <f aca="false">C16*'Assumption Setting'!$C$129</f>
        <v>0</v>
      </c>
      <c r="D33" s="65" t="n">
        <f aca="false">D16*'Assumption Setting'!$C$129</f>
        <v>0</v>
      </c>
      <c r="E33" s="65" t="n">
        <f aca="false">E16*'Assumption Setting'!$C$129</f>
        <v>0</v>
      </c>
      <c r="F33" s="65" t="n">
        <f aca="false">F16*'Assumption Setting'!$C$129</f>
        <v>0</v>
      </c>
      <c r="G33" s="65" t="n">
        <f aca="false">G16*'Assumption Setting'!$C$129</f>
        <v>0</v>
      </c>
      <c r="H33" s="65" t="n">
        <f aca="false">H16*'Assumption Setting'!$C$129</f>
        <v>0</v>
      </c>
      <c r="I33" s="65" t="n">
        <f aca="false">I16*'Assumption Setting'!$C$129</f>
        <v>296.841371267879</v>
      </c>
      <c r="J33" s="65" t="n">
        <f aca="false">J16*'Assumption Setting'!$C$129</f>
        <v>593.682742535758</v>
      </c>
      <c r="K33" s="65" t="n">
        <f aca="false">K16*'Assumption Setting'!$C$129</f>
        <v>890.524113803636</v>
      </c>
      <c r="L33" s="65" t="n">
        <f aca="false">L16*'Assumption Setting'!$C$129</f>
        <v>1187.36548507152</v>
      </c>
      <c r="M33" s="65" t="n">
        <f aca="false">M16*'Assumption Setting'!$C$129</f>
        <v>1484.20685633939</v>
      </c>
      <c r="N33" s="65" t="n">
        <f aca="false">N16*'Assumption Setting'!$C$129</f>
        <v>1781.04822760727</v>
      </c>
      <c r="O33" s="64" t="n">
        <f aca="false">SUM(P33:AA33)</f>
        <v>52712.2627791029</v>
      </c>
      <c r="P33" s="65" t="n">
        <f aca="false">P16*'Assumption Setting'!$D$129</f>
        <v>2493.46751865018</v>
      </c>
      <c r="Q33" s="65" t="n">
        <f aca="false">Q16*'Assumption Setting'!$D$129</f>
        <v>2885.29812872378</v>
      </c>
      <c r="R33" s="65" t="n">
        <f aca="false">R16*'Assumption Setting'!$D$129</f>
        <v>3277.12873879738</v>
      </c>
      <c r="S33" s="65" t="n">
        <f aca="false">S16*'Assumption Setting'!$D$129</f>
        <v>3668.95934887098</v>
      </c>
      <c r="T33" s="65" t="n">
        <f aca="false">T16*'Assumption Setting'!$D$129</f>
        <v>4060.78995894458</v>
      </c>
      <c r="U33" s="65" t="n">
        <f aca="false">U16*'Assumption Setting'!$D$129</f>
        <v>4452.62056901818</v>
      </c>
      <c r="V33" s="65" t="n">
        <f aca="false">V16*'Assumption Setting'!$D$129</f>
        <v>4698.25271673193</v>
      </c>
      <c r="W33" s="65" t="n">
        <f aca="false">W16*'Assumption Setting'!$D$129</f>
        <v>4943.88486444567</v>
      </c>
      <c r="X33" s="65" t="n">
        <f aca="false">X16*'Assumption Setting'!$D$129</f>
        <v>5189.51701215942</v>
      </c>
      <c r="Y33" s="65" t="n">
        <f aca="false">Y16*'Assumption Setting'!$D$129</f>
        <v>5435.14915987317</v>
      </c>
      <c r="Z33" s="65" t="n">
        <f aca="false">Z16*'Assumption Setting'!$D$129</f>
        <v>5680.78130758691</v>
      </c>
      <c r="AA33" s="65" t="n">
        <f aca="false">AA16*'Assumption Setting'!$D$129</f>
        <v>5926.41345530066</v>
      </c>
      <c r="AB33" s="64" t="n">
        <f aca="false">SUM(AC33:AN33)</f>
        <v>109686.769925301</v>
      </c>
      <c r="AC33" s="65" t="n">
        <f aca="false">AC16*'Assumption Setting'!$E$129</f>
        <v>7200.71987018347</v>
      </c>
      <c r="AD33" s="65" t="n">
        <f aca="false">AD16*'Assumption Setting'!$E$129</f>
        <v>7509.56462254846</v>
      </c>
      <c r="AE33" s="65" t="n">
        <f aca="false">AE16*'Assumption Setting'!$E$129</f>
        <v>7818.40937491345</v>
      </c>
      <c r="AF33" s="65" t="n">
        <f aca="false">AF16*'Assumption Setting'!$E$129</f>
        <v>8127.25412727845</v>
      </c>
      <c r="AG33" s="65" t="n">
        <f aca="false">AG16*'Assumption Setting'!$E$129</f>
        <v>8436.09887964344</v>
      </c>
      <c r="AH33" s="65" t="n">
        <f aca="false">AH16*'Assumption Setting'!$E$129</f>
        <v>8744.94363200843</v>
      </c>
      <c r="AI33" s="65" t="n">
        <f aca="false">AI16*'Assumption Setting'!$E$129</f>
        <v>9191.61589994531</v>
      </c>
      <c r="AJ33" s="65" t="n">
        <f aca="false">AJ16*'Assumption Setting'!$E$129</f>
        <v>9638.28816788218</v>
      </c>
      <c r="AK33" s="65" t="n">
        <f aca="false">AK16*'Assumption Setting'!$E$129</f>
        <v>10084.9604358191</v>
      </c>
      <c r="AL33" s="65" t="n">
        <f aca="false">AL16*'Assumption Setting'!$E$129</f>
        <v>10531.6327037559</v>
      </c>
      <c r="AM33" s="65" t="n">
        <f aca="false">AM16*'Assumption Setting'!$E$129</f>
        <v>10978.3049716928</v>
      </c>
      <c r="AN33" s="65" t="n">
        <f aca="false">AN16*'Assumption Setting'!$E$129</f>
        <v>11424.9772396297</v>
      </c>
      <c r="AO33" s="64" t="n">
        <f aca="false">SUM(AP33:BA33)</f>
        <v>194637.440085274</v>
      </c>
      <c r="AP33" s="65" t="n">
        <f aca="false">AP16*'Assumption Setting'!$F$129</f>
        <v>13567.5994372189</v>
      </c>
      <c r="AQ33" s="65" t="n">
        <f aca="false">AQ16*'Assumption Setting'!$F$129</f>
        <v>14059.8372719314</v>
      </c>
      <c r="AR33" s="65" t="n">
        <f aca="false">AR16*'Assumption Setting'!$F$129</f>
        <v>14552.0751066438</v>
      </c>
      <c r="AS33" s="65" t="n">
        <f aca="false">AS16*'Assumption Setting'!$F$129</f>
        <v>15044.3129413562</v>
      </c>
      <c r="AT33" s="65" t="n">
        <f aca="false">AT16*'Assumption Setting'!$F$129</f>
        <v>15536.5507760687</v>
      </c>
      <c r="AU33" s="65" t="n">
        <f aca="false">AU16*'Assumption Setting'!$F$129</f>
        <v>16028.7886107811</v>
      </c>
      <c r="AV33" s="65" t="n">
        <f aca="false">AV16*'Assumption Setting'!$F$129</f>
        <v>16489.5288144281</v>
      </c>
      <c r="AW33" s="65" t="n">
        <f aca="false">AW16*'Assumption Setting'!$F$129</f>
        <v>16950.2690180752</v>
      </c>
      <c r="AX33" s="65" t="n">
        <f aca="false">AX16*'Assumption Setting'!$F$129</f>
        <v>17411.0092217222</v>
      </c>
      <c r="AY33" s="65" t="n">
        <f aca="false">AY16*'Assumption Setting'!$F$129</f>
        <v>17871.7494253692</v>
      </c>
      <c r="AZ33" s="65" t="n">
        <f aca="false">AZ16*'Assumption Setting'!$F$129</f>
        <v>18332.4896290163</v>
      </c>
      <c r="BA33" s="65" t="n">
        <f aca="false">BA16*'Assumption Setting'!$F$129</f>
        <v>18793.2298326633</v>
      </c>
      <c r="BB33" s="64" t="n">
        <f aca="false">SUM(BC33:BN33)</f>
        <v>295709.800892959</v>
      </c>
      <c r="BC33" s="65" t="n">
        <f aca="false">BC16*'Assumption Setting'!$G$129</f>
        <v>21660.7162908491</v>
      </c>
      <c r="BD33" s="65" t="n">
        <f aca="false">BD16*'Assumption Setting'!$G$129</f>
        <v>22197.3205697732</v>
      </c>
      <c r="BE33" s="65" t="n">
        <f aca="false">BE16*'Assumption Setting'!$G$129</f>
        <v>22733.9248486973</v>
      </c>
      <c r="BF33" s="65" t="n">
        <f aca="false">BF16*'Assumption Setting'!$G$129</f>
        <v>23270.5291276213</v>
      </c>
      <c r="BG33" s="65" t="n">
        <f aca="false">BG16*'Assumption Setting'!$G$129</f>
        <v>23807.1334065454</v>
      </c>
      <c r="BH33" s="65" t="n">
        <f aca="false">BH16*'Assumption Setting'!$G$129</f>
        <v>24343.7376854695</v>
      </c>
      <c r="BI33" s="65" t="n">
        <f aca="false">BI16*'Assumption Setting'!$G$129</f>
        <v>24897.7382974307</v>
      </c>
      <c r="BJ33" s="65" t="n">
        <f aca="false">BJ16*'Assumption Setting'!$G$129</f>
        <v>25451.738909392</v>
      </c>
      <c r="BK33" s="65" t="n">
        <f aca="false">BK16*'Assumption Setting'!$G$129</f>
        <v>26005.7395213532</v>
      </c>
      <c r="BL33" s="65" t="n">
        <f aca="false">BL16*'Assumption Setting'!$G$129</f>
        <v>26559.7401333144</v>
      </c>
      <c r="BM33" s="65" t="n">
        <f aca="false">BM16*'Assumption Setting'!$G$129</f>
        <v>27113.7407452757</v>
      </c>
      <c r="BN33" s="65" t="n">
        <f aca="false">BN16*'Assumption Setting'!$G$129</f>
        <v>27667.7413572369</v>
      </c>
    </row>
    <row r="34" customFormat="false" ht="15" hidden="false" customHeight="false" outlineLevel="0" collapsed="false">
      <c r="A34" s="12" t="s">
        <v>339</v>
      </c>
      <c r="B34" s="64" t="n">
        <f aca="false">SUM(C34:N34)</f>
        <v>0</v>
      </c>
      <c r="C34" s="65" t="n">
        <f aca="false">C18*'Assumption Setting'!$C$130</f>
        <v>0</v>
      </c>
      <c r="D34" s="65" t="n">
        <f aca="false">D18*'Assumption Setting'!$C$130</f>
        <v>0</v>
      </c>
      <c r="E34" s="65" t="n">
        <f aca="false">E18*'Assumption Setting'!$C$130</f>
        <v>0</v>
      </c>
      <c r="F34" s="65" t="n">
        <f aca="false">F18*'Assumption Setting'!$C$130</f>
        <v>0</v>
      </c>
      <c r="G34" s="65" t="n">
        <f aca="false">G18*'Assumption Setting'!$C$130</f>
        <v>0</v>
      </c>
      <c r="H34" s="65" t="n">
        <f aca="false">H18*'Assumption Setting'!$C$130</f>
        <v>0</v>
      </c>
      <c r="I34" s="65" t="n">
        <f aca="false">I18*'Assumption Setting'!$C$130</f>
        <v>0</v>
      </c>
      <c r="J34" s="65" t="n">
        <f aca="false">J18*'Assumption Setting'!$C$130</f>
        <v>0</v>
      </c>
      <c r="K34" s="65" t="n">
        <f aca="false">K18*'Assumption Setting'!$C$130</f>
        <v>0</v>
      </c>
      <c r="L34" s="65" t="n">
        <f aca="false">L18*'Assumption Setting'!$C$130</f>
        <v>0</v>
      </c>
      <c r="M34" s="65" t="n">
        <f aca="false">M18*'Assumption Setting'!$C$130</f>
        <v>0</v>
      </c>
      <c r="N34" s="65" t="n">
        <f aca="false">N18*'Assumption Setting'!$C$130</f>
        <v>0</v>
      </c>
      <c r="O34" s="64" t="n">
        <f aca="false">SUM(P34:AA34)</f>
        <v>29513.0161298182</v>
      </c>
      <c r="P34" s="65" t="n">
        <f aca="false">P18*'Assumption Setting'!$D$130</f>
        <v>339.084181794462</v>
      </c>
      <c r="Q34" s="65" t="n">
        <f aca="false">Q18*'Assumption Setting'!$D$130</f>
        <v>678.168363588923</v>
      </c>
      <c r="R34" s="65" t="n">
        <f aca="false">R18*'Assumption Setting'!$D$130</f>
        <v>1051.16096356283</v>
      </c>
      <c r="S34" s="65" t="n">
        <f aca="false">S18*'Assumption Setting'!$D$130</f>
        <v>1424.15356353674</v>
      </c>
      <c r="T34" s="65" t="n">
        <f aca="false">T18*'Assumption Setting'!$D$130</f>
        <v>1797.14616351065</v>
      </c>
      <c r="U34" s="65" t="n">
        <f aca="false">U18*'Assumption Setting'!$D$130</f>
        <v>2170.13876348455</v>
      </c>
      <c r="V34" s="65" t="n">
        <f aca="false">V18*'Assumption Setting'!$D$130</f>
        <v>2543.13136345846</v>
      </c>
      <c r="W34" s="65" t="n">
        <f aca="false">W18*'Assumption Setting'!$D$130</f>
        <v>2916.12396343237</v>
      </c>
      <c r="X34" s="65" t="n">
        <f aca="false">X18*'Assumption Setting'!$D$130</f>
        <v>3289.11656340628</v>
      </c>
      <c r="Y34" s="65" t="n">
        <f aca="false">Y18*'Assumption Setting'!$D$130</f>
        <v>3862.02365504363</v>
      </c>
      <c r="Z34" s="65" t="n">
        <f aca="false">Z18*'Assumption Setting'!$D$130</f>
        <v>4434.93074668098</v>
      </c>
      <c r="AA34" s="65" t="n">
        <f aca="false">AA18*'Assumption Setting'!$D$130</f>
        <v>5007.83783831834</v>
      </c>
      <c r="AB34" s="64" t="n">
        <f aca="false">SUM(AC34:AN34)</f>
        <v>93340.9895564438</v>
      </c>
      <c r="AC34" s="65" t="n">
        <f aca="false">AC18*'Assumption Setting'!$E$130</f>
        <v>6115.27087285477</v>
      </c>
      <c r="AD34" s="65" t="n">
        <f aca="false">AD18*'Assumption Setting'!$E$130</f>
        <v>6388.06426767148</v>
      </c>
      <c r="AE34" s="65" t="n">
        <f aca="false">AE18*'Assumption Setting'!$E$130</f>
        <v>6682.06071463431</v>
      </c>
      <c r="AF34" s="65" t="n">
        <f aca="false">AF18*'Assumption Setting'!$E$130</f>
        <v>6976.05716159714</v>
      </c>
      <c r="AG34" s="65" t="n">
        <f aca="false">AG18*'Assumption Setting'!$E$130</f>
        <v>7270.05360855997</v>
      </c>
      <c r="AH34" s="65" t="n">
        <f aca="false">AH18*'Assumption Setting'!$E$130</f>
        <v>7564.0500555228</v>
      </c>
      <c r="AI34" s="65" t="n">
        <f aca="false">AI18*'Assumption Setting'!$E$130</f>
        <v>7858.04650248563</v>
      </c>
      <c r="AJ34" s="65" t="n">
        <f aca="false">AJ18*'Assumption Setting'!$E$130</f>
        <v>8152.04294944846</v>
      </c>
      <c r="AK34" s="65" t="n">
        <f aca="false">AK18*'Assumption Setting'!$E$130</f>
        <v>8446.03939641129</v>
      </c>
      <c r="AL34" s="65" t="n">
        <f aca="false">AL18*'Assumption Setting'!$E$130</f>
        <v>8871.23703608197</v>
      </c>
      <c r="AM34" s="65" t="n">
        <f aca="false">AM18*'Assumption Setting'!$E$130</f>
        <v>9296.43467575265</v>
      </c>
      <c r="AN34" s="65" t="n">
        <f aca="false">AN18*'Assumption Setting'!$E$130</f>
        <v>9721.63231542332</v>
      </c>
      <c r="AO34" s="64" t="n">
        <f aca="false">SUM(AP34:BA34)</f>
        <v>170093.457403873</v>
      </c>
      <c r="AP34" s="65" t="n">
        <f aca="false">AP18*'Assumption Setting'!$F$130</f>
        <v>11596.377091536</v>
      </c>
      <c r="AQ34" s="65" t="n">
        <f aca="false">AQ18*'Assumption Setting'!$F$130</f>
        <v>12082.3172511596</v>
      </c>
      <c r="AR34" s="65" t="n">
        <f aca="false">AR18*'Assumption Setting'!$F$130</f>
        <v>12550.8898053571</v>
      </c>
      <c r="AS34" s="65" t="n">
        <f aca="false">AS18*'Assumption Setting'!$F$130</f>
        <v>13019.4623595545</v>
      </c>
      <c r="AT34" s="65" t="n">
        <f aca="false">AT18*'Assumption Setting'!$F$130</f>
        <v>13488.0349137519</v>
      </c>
      <c r="AU34" s="65" t="n">
        <f aca="false">AU18*'Assumption Setting'!$F$130</f>
        <v>13956.6074679493</v>
      </c>
      <c r="AV34" s="65" t="n">
        <f aca="false">AV18*'Assumption Setting'!$F$130</f>
        <v>14425.1800221467</v>
      </c>
      <c r="AW34" s="65" t="n">
        <f aca="false">AW18*'Assumption Setting'!$F$130</f>
        <v>14893.7525763441</v>
      </c>
      <c r="AX34" s="65" t="n">
        <f aca="false">AX18*'Assumption Setting'!$F$130</f>
        <v>15362.3251305416</v>
      </c>
      <c r="AY34" s="65" t="n">
        <f aca="false">AY18*'Assumption Setting'!$F$130</f>
        <v>15800.9143628594</v>
      </c>
      <c r="AZ34" s="65" t="n">
        <f aca="false">AZ18*'Assumption Setting'!$F$130</f>
        <v>16239.5035951773</v>
      </c>
      <c r="BA34" s="65" t="n">
        <f aca="false">BA18*'Assumption Setting'!$F$130</f>
        <v>16678.0928274951</v>
      </c>
      <c r="BB34" s="64" t="n">
        <f aca="false">SUM(BC34:BN34)</f>
        <v>254892.867356816</v>
      </c>
      <c r="BC34" s="65" t="n">
        <f aca="false">BC18*'Assumption Setting'!$G$130</f>
        <v>18543.072231464</v>
      </c>
      <c r="BD34" s="65" t="n">
        <f aca="false">BD18*'Assumption Setting'!$G$130</f>
        <v>19018.210566475</v>
      </c>
      <c r="BE34" s="65" t="n">
        <f aca="false">BE18*'Assumption Setting'!$G$130</f>
        <v>19510.0978221554</v>
      </c>
      <c r="BF34" s="65" t="n">
        <f aca="false">BF18*'Assumption Setting'!$G$130</f>
        <v>20001.9850778358</v>
      </c>
      <c r="BG34" s="65" t="n">
        <f aca="false">BG18*'Assumption Setting'!$G$130</f>
        <v>20493.8723335162</v>
      </c>
      <c r="BH34" s="65" t="n">
        <f aca="false">BH18*'Assumption Setting'!$G$130</f>
        <v>20985.7595891966</v>
      </c>
      <c r="BI34" s="65" t="n">
        <f aca="false">BI18*'Assumption Setting'!$G$130</f>
        <v>21477.646844877</v>
      </c>
      <c r="BJ34" s="65" t="n">
        <f aca="false">BJ18*'Assumption Setting'!$G$130</f>
        <v>21969.5341005574</v>
      </c>
      <c r="BK34" s="65" t="n">
        <f aca="false">BK18*'Assumption Setting'!$G$130</f>
        <v>22461.4213562378</v>
      </c>
      <c r="BL34" s="65" t="n">
        <f aca="false">BL18*'Assumption Setting'!$G$130</f>
        <v>22969.2552505356</v>
      </c>
      <c r="BM34" s="65" t="n">
        <f aca="false">BM18*'Assumption Setting'!$G$130</f>
        <v>23477.0891448334</v>
      </c>
      <c r="BN34" s="65" t="n">
        <f aca="false">BN18*'Assumption Setting'!$G$130</f>
        <v>23984.9230391312</v>
      </c>
    </row>
    <row r="35" customFormat="false" ht="15" hidden="false" customHeight="false" outlineLevel="0" collapsed="false">
      <c r="A35" s="12" t="s">
        <v>341</v>
      </c>
      <c r="B35" s="64" t="n">
        <f aca="false">SUM(C35:N35)</f>
        <v>12621.2852227912</v>
      </c>
      <c r="C35" s="65" t="n">
        <f aca="false">C19*'Assumption Setting'!$C$131</f>
        <v>337.5</v>
      </c>
      <c r="D35" s="65" t="n">
        <f aca="false">D19*'Assumption Setting'!$C$131</f>
        <v>540</v>
      </c>
      <c r="E35" s="65" t="n">
        <f aca="false">E19*'Assumption Setting'!$C$131</f>
        <v>675</v>
      </c>
      <c r="F35" s="65" t="n">
        <f aca="false">F19*'Assumption Setting'!$C$131</f>
        <v>675</v>
      </c>
      <c r="G35" s="65" t="n">
        <f aca="false">G19*'Assumption Setting'!$C$131</f>
        <v>813.716256188644</v>
      </c>
      <c r="H35" s="65" t="n">
        <f aca="false">H19*'Assumption Setting'!$C$131</f>
        <v>952.432512377287</v>
      </c>
      <c r="I35" s="65" t="n">
        <f aca="false">I19*'Assumption Setting'!$C$131</f>
        <v>1091.14876856593</v>
      </c>
      <c r="J35" s="65" t="n">
        <f aca="false">J19*'Assumption Setting'!$C$131</f>
        <v>1229.86502475457</v>
      </c>
      <c r="K35" s="65" t="n">
        <f aca="false">K19*'Assumption Setting'!$C$131</f>
        <v>1368.58128094322</v>
      </c>
      <c r="L35" s="65" t="n">
        <f aca="false">L19*'Assumption Setting'!$C$131</f>
        <v>1507.29753713186</v>
      </c>
      <c r="M35" s="65" t="n">
        <f aca="false">M19*'Assumption Setting'!$C$131</f>
        <v>1646.0137933205</v>
      </c>
      <c r="N35" s="65" t="n">
        <f aca="false">N19*'Assumption Setting'!$C$131</f>
        <v>1784.73004950915</v>
      </c>
      <c r="O35" s="64" t="n">
        <f aca="false">SUM(P35:AA35)</f>
        <v>40107.0567872563</v>
      </c>
      <c r="P35" s="65" t="n">
        <f aca="false">P19*'Assumption Setting'!$D$131</f>
        <v>2137.16256188643</v>
      </c>
      <c r="Q35" s="65" t="n">
        <f aca="false">Q19*'Assumption Setting'!$D$131</f>
        <v>2306.70465278366</v>
      </c>
      <c r="R35" s="65" t="n">
        <f aca="false">R19*'Assumption Setting'!$D$131</f>
        <v>2476.2467436809</v>
      </c>
      <c r="S35" s="65" t="n">
        <f aca="false">S19*'Assumption Setting'!$D$131</f>
        <v>2645.78883457813</v>
      </c>
      <c r="T35" s="65" t="n">
        <f aca="false">T19*'Assumption Setting'!$D$131</f>
        <v>2906.20114895874</v>
      </c>
      <c r="U35" s="65" t="n">
        <f aca="false">U19*'Assumption Setting'!$D$131</f>
        <v>3166.61346333936</v>
      </c>
      <c r="V35" s="65" t="n">
        <f aca="false">V19*'Assumption Setting'!$D$131</f>
        <v>3427.02577771997</v>
      </c>
      <c r="W35" s="65" t="n">
        <f aca="false">W19*'Assumption Setting'!$D$131</f>
        <v>3687.43809210059</v>
      </c>
      <c r="X35" s="65" t="n">
        <f aca="false">X19*'Assumption Setting'!$D$131</f>
        <v>3947.8504064812</v>
      </c>
      <c r="Y35" s="65" t="n">
        <f aca="false">Y19*'Assumption Setting'!$D$131</f>
        <v>4208.26272086182</v>
      </c>
      <c r="Z35" s="65" t="n">
        <f aca="false">Z19*'Assumption Setting'!$D$131</f>
        <v>4468.67503524243</v>
      </c>
      <c r="AA35" s="65" t="n">
        <f aca="false">AA19*'Assumption Setting'!$D$131</f>
        <v>4729.08734962305</v>
      </c>
      <c r="AB35" s="64" t="n">
        <f aca="false">SUM(AC35:AN35)</f>
        <v>76682.7434146416</v>
      </c>
      <c r="AC35" s="65" t="n">
        <f aca="false">AC19*'Assumption Setting'!$E$131</f>
        <v>5075.94963040403</v>
      </c>
      <c r="AD35" s="65" t="n">
        <f aca="false">AD19*'Assumption Setting'!$E$131</f>
        <v>5140.94440766077</v>
      </c>
      <c r="AE35" s="65" t="n">
        <f aca="false">AE19*'Assumption Setting'!$E$131</f>
        <v>5288.43918491751</v>
      </c>
      <c r="AF35" s="65" t="n">
        <f aca="false">AF19*'Assumption Setting'!$E$131</f>
        <v>5600.93396217425</v>
      </c>
      <c r="AG35" s="65" t="n">
        <f aca="false">AG19*'Assumption Setting'!$E$131</f>
        <v>5900.07297695455</v>
      </c>
      <c r="AH35" s="65" t="n">
        <f aca="false">AH19*'Assumption Setting'!$E$131</f>
        <v>6199.21199173486</v>
      </c>
      <c r="AI35" s="65" t="n">
        <f aca="false">AI19*'Assumption Setting'!$E$131</f>
        <v>6498.35100651517</v>
      </c>
      <c r="AJ35" s="65" t="n">
        <f aca="false">AJ19*'Assumption Setting'!$E$131</f>
        <v>6797.49002129548</v>
      </c>
      <c r="AK35" s="65" t="n">
        <f aca="false">AK19*'Assumption Setting'!$E$131</f>
        <v>7096.62903607578</v>
      </c>
      <c r="AL35" s="65" t="n">
        <f aca="false">AL19*'Assumption Setting'!$E$131</f>
        <v>7395.76805085609</v>
      </c>
      <c r="AM35" s="65" t="n">
        <f aca="false">AM19*'Assumption Setting'!$E$131</f>
        <v>7694.9070656364</v>
      </c>
      <c r="AN35" s="65" t="n">
        <f aca="false">AN19*'Assumption Setting'!$E$131</f>
        <v>7994.04608041671</v>
      </c>
      <c r="AO35" s="64" t="n">
        <f aca="false">SUM(AP35:BA35)</f>
        <v>132055.378348788</v>
      </c>
      <c r="AP35" s="65" t="n">
        <f aca="false">AP19*'Assumption Setting'!$F$131</f>
        <v>9047.1110129422</v>
      </c>
      <c r="AQ35" s="65" t="n">
        <f aca="false">AQ19*'Assumption Setting'!$F$131</f>
        <v>9376.25266940818</v>
      </c>
      <c r="AR35" s="65" t="n">
        <f aca="false">AR19*'Assumption Setting'!$F$131</f>
        <v>9705.39432587416</v>
      </c>
      <c r="AS35" s="65" t="n">
        <f aca="false">AS19*'Assumption Setting'!$F$131</f>
        <v>10034.5359823401</v>
      </c>
      <c r="AT35" s="65" t="n">
        <f aca="false">AT19*'Assumption Setting'!$F$131</f>
        <v>10412.7525517707</v>
      </c>
      <c r="AU35" s="65" t="n">
        <f aca="false">AU19*'Assumption Setting'!$F$131</f>
        <v>10790.9691212013</v>
      </c>
      <c r="AV35" s="65" t="n">
        <f aca="false">AV19*'Assumption Setting'!$F$131</f>
        <v>11169.1856906319</v>
      </c>
      <c r="AW35" s="65" t="n">
        <f aca="false">AW19*'Assumption Setting'!$F$131</f>
        <v>11547.4022600626</v>
      </c>
      <c r="AX35" s="65" t="n">
        <f aca="false">AX19*'Assumption Setting'!$F$131</f>
        <v>11925.6188294932</v>
      </c>
      <c r="AY35" s="65" t="n">
        <f aca="false">AY19*'Assumption Setting'!$F$131</f>
        <v>12303.8353989238</v>
      </c>
      <c r="AZ35" s="65" t="n">
        <f aca="false">AZ19*'Assumption Setting'!$F$131</f>
        <v>12682.0519683544</v>
      </c>
      <c r="BA35" s="65" t="n">
        <f aca="false">BA19*'Assumption Setting'!$F$131</f>
        <v>13060.268537785</v>
      </c>
      <c r="BB35" s="64" t="n">
        <f aca="false">SUM(BC35:BN35)</f>
        <v>201443.489731643</v>
      </c>
      <c r="BC35" s="65" t="n">
        <f aca="false">BC19*'Assumption Setting'!$G$131</f>
        <v>14558.3588661502</v>
      </c>
      <c r="BD35" s="65" t="n">
        <f aca="false">BD19*'Assumption Setting'!$G$131</f>
        <v>14967.248307266</v>
      </c>
      <c r="BE35" s="65" t="n">
        <f aca="false">BE19*'Assumption Setting'!$G$131</f>
        <v>15376.1377483819</v>
      </c>
      <c r="BF35" s="65" t="n">
        <f aca="false">BF19*'Assumption Setting'!$G$131</f>
        <v>15785.0271894977</v>
      </c>
      <c r="BG35" s="65" t="n">
        <f aca="false">BG19*'Assumption Setting'!$G$131</f>
        <v>16187.1521923968</v>
      </c>
      <c r="BH35" s="65" t="n">
        <f aca="false">BH19*'Assumption Setting'!$G$131</f>
        <v>16589.2771952958</v>
      </c>
      <c r="BI35" s="65" t="n">
        <f aca="false">BI19*'Assumption Setting'!$G$131</f>
        <v>16991.4021981949</v>
      </c>
      <c r="BJ35" s="65" t="n">
        <f aca="false">BJ19*'Assumption Setting'!$G$131</f>
        <v>17393.5272010939</v>
      </c>
      <c r="BK35" s="65" t="n">
        <f aca="false">BK19*'Assumption Setting'!$G$131</f>
        <v>17795.652203993</v>
      </c>
      <c r="BL35" s="65" t="n">
        <f aca="false">BL19*'Assumption Setting'!$G$131</f>
        <v>18197.777206892</v>
      </c>
      <c r="BM35" s="65" t="n">
        <f aca="false">BM19*'Assumption Setting'!$G$131</f>
        <v>18599.9022097911</v>
      </c>
      <c r="BN35" s="65" t="n">
        <f aca="false">BN19*'Assumption Setting'!$G$131</f>
        <v>19002.0272126902</v>
      </c>
    </row>
    <row r="36" customFormat="false" ht="15" hidden="false" customHeight="false" outlineLevel="0" collapsed="false">
      <c r="A36" s="12" t="s">
        <v>723</v>
      </c>
      <c r="B36" s="64" t="n">
        <f aca="false">SUM(C36:N36)</f>
        <v>1118.86363016354</v>
      </c>
      <c r="C36" s="65" t="n">
        <f aca="false">C17*'Assumption Setting'!$C$132</f>
        <v>0</v>
      </c>
      <c r="D36" s="65" t="n">
        <f aca="false">D17*'Assumption Setting'!$C$132</f>
        <v>0</v>
      </c>
      <c r="E36" s="65" t="n">
        <f aca="false">E17*'Assumption Setting'!$C$132</f>
        <v>0</v>
      </c>
      <c r="F36" s="65" t="n">
        <f aca="false">F17*'Assumption Setting'!$C$132</f>
        <v>0</v>
      </c>
      <c r="G36" s="65" t="n">
        <f aca="false">G17*'Assumption Setting'!$C$132</f>
        <v>0</v>
      </c>
      <c r="H36" s="65" t="n">
        <f aca="false">H17*'Assumption Setting'!$C$132</f>
        <v>0</v>
      </c>
      <c r="I36" s="65" t="n">
        <f aca="false">I17*'Assumption Setting'!$C$132</f>
        <v>53.2792204839782</v>
      </c>
      <c r="J36" s="65" t="n">
        <f aca="false">J17*'Assumption Setting'!$C$132</f>
        <v>106.558440967956</v>
      </c>
      <c r="K36" s="65" t="n">
        <f aca="false">K17*'Assumption Setting'!$C$132</f>
        <v>159.837661451935</v>
      </c>
      <c r="L36" s="65" t="n">
        <f aca="false">L17*'Assumption Setting'!$C$132</f>
        <v>213.116881935913</v>
      </c>
      <c r="M36" s="65" t="n">
        <f aca="false">M17*'Assumption Setting'!$C$132</f>
        <v>266.396102419891</v>
      </c>
      <c r="N36" s="65" t="n">
        <f aca="false">N17*'Assumption Setting'!$C$132</f>
        <v>319.67532290387</v>
      </c>
      <c r="O36" s="64" t="n">
        <f aca="false">SUM(P36:AA36)</f>
        <v>10940.8048410023</v>
      </c>
      <c r="P36" s="65" t="n">
        <f aca="false">P17*'Assumption Setting'!$D$132</f>
        <v>522.136360742987</v>
      </c>
      <c r="Q36" s="65" t="n">
        <f aca="false">Q17*'Assumption Setting'!$D$132</f>
        <v>604.186360288313</v>
      </c>
      <c r="R36" s="65" t="n">
        <f aca="false">R17*'Assumption Setting'!$D$132</f>
        <v>686.23635983364</v>
      </c>
      <c r="S36" s="65" t="n">
        <f aca="false">S17*'Assumption Setting'!$D$132</f>
        <v>768.286359378966</v>
      </c>
      <c r="T36" s="65" t="n">
        <f aca="false">T17*'Assumption Setting'!$D$132</f>
        <v>850.336358924293</v>
      </c>
      <c r="U36" s="65" t="n">
        <f aca="false">U17*'Assumption Setting'!$D$132</f>
        <v>932.386358469619</v>
      </c>
      <c r="V36" s="65" t="n">
        <f aca="false">V17*'Assumption Setting'!$D$132</f>
        <v>983.822150084891</v>
      </c>
      <c r="W36" s="65" t="n">
        <f aca="false">W17*'Assumption Setting'!$D$132</f>
        <v>1035.25794170016</v>
      </c>
      <c r="X36" s="65" t="n">
        <f aca="false">X17*'Assumption Setting'!$D$132</f>
        <v>1086.69373331543</v>
      </c>
      <c r="Y36" s="65" t="n">
        <f aca="false">Y17*'Assumption Setting'!$D$132</f>
        <v>1138.12952493071</v>
      </c>
      <c r="Z36" s="65" t="n">
        <f aca="false">Z17*'Assumption Setting'!$D$132</f>
        <v>1166.66666666667</v>
      </c>
      <c r="AA36" s="65" t="n">
        <f aca="false">AA17*'Assumption Setting'!$D$132</f>
        <v>1166.66666666667</v>
      </c>
      <c r="AB36" s="64" t="n">
        <f aca="false">SUM(AC36:AN36)</f>
        <v>24384.6679787084</v>
      </c>
      <c r="AC36" s="65" t="n">
        <f aca="false">AC17*'Assumption Setting'!$E$132</f>
        <v>1661.70458542695</v>
      </c>
      <c r="AD36" s="65" t="n">
        <f aca="false">AD17*'Assumption Setting'!$E$132</f>
        <v>1732.97645135734</v>
      </c>
      <c r="AE36" s="65" t="n">
        <f aca="false">AE17*'Assumption Setting'!$E$132</f>
        <v>1804.24831728772</v>
      </c>
      <c r="AF36" s="65" t="n">
        <f aca="false">AF17*'Assumption Setting'!$E$132</f>
        <v>1875.5201832181</v>
      </c>
      <c r="AG36" s="65" t="n">
        <f aca="false">AG17*'Assumption Setting'!$E$132</f>
        <v>1946.79204914849</v>
      </c>
      <c r="AH36" s="65" t="n">
        <f aca="false">AH17*'Assumption Setting'!$E$132</f>
        <v>2018.06391507887</v>
      </c>
      <c r="AI36" s="65" t="n">
        <f aca="false">AI17*'Assumption Setting'!$E$132</f>
        <v>2121.14213075661</v>
      </c>
      <c r="AJ36" s="65" t="n">
        <f aca="false">AJ17*'Assumption Setting'!$E$132</f>
        <v>2224.22034643435</v>
      </c>
      <c r="AK36" s="65" t="n">
        <f aca="false">AK17*'Assumption Setting'!$E$132</f>
        <v>2250</v>
      </c>
      <c r="AL36" s="65" t="n">
        <f aca="false">AL17*'Assumption Setting'!$E$132</f>
        <v>2250</v>
      </c>
      <c r="AM36" s="65" t="n">
        <f aca="false">AM17*'Assumption Setting'!$E$132</f>
        <v>2250</v>
      </c>
      <c r="AN36" s="65" t="n">
        <f aca="false">AN17*'Assumption Setting'!$E$132</f>
        <v>2250</v>
      </c>
      <c r="AO36" s="64" t="n">
        <f aca="false">SUM(AP36:BA36)</f>
        <v>33000</v>
      </c>
      <c r="AP36" s="65" t="n">
        <f aca="false">AP17*'Assumption Setting'!$F$132</f>
        <v>2750</v>
      </c>
      <c r="AQ36" s="65" t="n">
        <f aca="false">AQ17*'Assumption Setting'!$F$132</f>
        <v>2750</v>
      </c>
      <c r="AR36" s="65" t="n">
        <f aca="false">AR17*'Assumption Setting'!$F$132</f>
        <v>2750</v>
      </c>
      <c r="AS36" s="65" t="n">
        <f aca="false">AS17*'Assumption Setting'!$F$132</f>
        <v>2750</v>
      </c>
      <c r="AT36" s="65" t="n">
        <f aca="false">AT17*'Assumption Setting'!$F$132</f>
        <v>2750</v>
      </c>
      <c r="AU36" s="65" t="n">
        <f aca="false">AU17*'Assumption Setting'!$F$132</f>
        <v>2750</v>
      </c>
      <c r="AV36" s="65" t="n">
        <f aca="false">AV17*'Assumption Setting'!$F$132</f>
        <v>2750</v>
      </c>
      <c r="AW36" s="65" t="n">
        <f aca="false">AW17*'Assumption Setting'!$F$132</f>
        <v>2750</v>
      </c>
      <c r="AX36" s="65" t="n">
        <f aca="false">AX17*'Assumption Setting'!$F$132</f>
        <v>2750</v>
      </c>
      <c r="AY36" s="65" t="n">
        <f aca="false">AY17*'Assumption Setting'!$F$132</f>
        <v>2750</v>
      </c>
      <c r="AZ36" s="65" t="n">
        <f aca="false">AZ17*'Assumption Setting'!$F$132</f>
        <v>2750</v>
      </c>
      <c r="BA36" s="65" t="n">
        <f aca="false">BA17*'Assumption Setting'!$F$132</f>
        <v>2750</v>
      </c>
      <c r="BB36" s="64" t="n">
        <f aca="false">SUM(BC36:BN36)</f>
        <v>39000</v>
      </c>
      <c r="BC36" s="65" t="n">
        <f aca="false">BC17*'Assumption Setting'!$G$132</f>
        <v>3250</v>
      </c>
      <c r="BD36" s="65" t="n">
        <f aca="false">BD17*'Assumption Setting'!$G$132</f>
        <v>3250</v>
      </c>
      <c r="BE36" s="65" t="n">
        <f aca="false">BE17*'Assumption Setting'!$G$132</f>
        <v>3250</v>
      </c>
      <c r="BF36" s="65" t="n">
        <f aca="false">BF17*'Assumption Setting'!$G$132</f>
        <v>3250</v>
      </c>
      <c r="BG36" s="65" t="n">
        <f aca="false">BG17*'Assumption Setting'!$G$132</f>
        <v>3250</v>
      </c>
      <c r="BH36" s="65" t="n">
        <f aca="false">BH17*'Assumption Setting'!$G$132</f>
        <v>3250</v>
      </c>
      <c r="BI36" s="65" t="n">
        <f aca="false">BI17*'Assumption Setting'!$G$132</f>
        <v>3250</v>
      </c>
      <c r="BJ36" s="65" t="n">
        <f aca="false">BJ17*'Assumption Setting'!$G$132</f>
        <v>3250</v>
      </c>
      <c r="BK36" s="65" t="n">
        <f aca="false">BK17*'Assumption Setting'!$G$132</f>
        <v>3250</v>
      </c>
      <c r="BL36" s="65" t="n">
        <f aca="false">BL17*'Assumption Setting'!$G$132</f>
        <v>3250</v>
      </c>
      <c r="BM36" s="65" t="n">
        <f aca="false">BM17*'Assumption Setting'!$G$132</f>
        <v>3250</v>
      </c>
      <c r="BN36" s="65" t="n">
        <f aca="false">BN17*'Assumption Setting'!$G$132</f>
        <v>3250</v>
      </c>
    </row>
    <row r="37" customFormat="false" ht="15" hidden="false" customHeight="false" outlineLevel="0" collapsed="false">
      <c r="A37" s="69" t="s">
        <v>724</v>
      </c>
      <c r="B37" s="64" t="n">
        <f aca="false">SUM(C37:N37)</f>
        <v>102002.120590602</v>
      </c>
      <c r="C37" s="70" t="n">
        <f aca="false">SUM(C25:C36)</f>
        <v>3254.16666666667</v>
      </c>
      <c r="D37" s="70" t="n">
        <f aca="false">SUM(D25:D36)</f>
        <v>5206.66666666667</v>
      </c>
      <c r="E37" s="70" t="n">
        <f aca="false">SUM(E25:E36)</f>
        <v>6508.33333333333</v>
      </c>
      <c r="F37" s="70" t="n">
        <f aca="false">SUM(F25:F36)</f>
        <v>6508.33333333333</v>
      </c>
      <c r="G37" s="70" t="n">
        <f aca="false">SUM(G25:G36)</f>
        <v>6647.04958952198</v>
      </c>
      <c r="H37" s="70" t="n">
        <f aca="false">SUM(H25:H36)</f>
        <v>6785.76584571062</v>
      </c>
      <c r="I37" s="70" t="n">
        <f aca="false">SUM(I25:I36)</f>
        <v>8041.82346862041</v>
      </c>
      <c r="J37" s="70" t="n">
        <f aca="false">SUM(J25:J36)</f>
        <v>9297.8810915302</v>
      </c>
      <c r="K37" s="70" t="n">
        <f aca="false">SUM(K25:K36)</f>
        <v>10553.93871444</v>
      </c>
      <c r="L37" s="70" t="n">
        <f aca="false">SUM(L25:L36)</f>
        <v>11809.9963373498</v>
      </c>
      <c r="M37" s="70" t="n">
        <f aca="false">SUM(M25:M36)</f>
        <v>13066.0539602596</v>
      </c>
      <c r="N37" s="70" t="n">
        <f aca="false">SUM(N25:N36)</f>
        <v>14322.1115831693</v>
      </c>
      <c r="O37" s="64" t="n">
        <f aca="false">SUM(P37:AA37)</f>
        <v>361001.27380797</v>
      </c>
      <c r="P37" s="70" t="n">
        <f aca="false">SUM(P25:P36)</f>
        <v>17512.2731907291</v>
      </c>
      <c r="Q37" s="70" t="n">
        <f aca="false">SUM(Q25:Q36)</f>
        <v>19183.9739732757</v>
      </c>
      <c r="R37" s="70" t="n">
        <f aca="false">SUM(R25:R36)</f>
        <v>21177.2192007673</v>
      </c>
      <c r="S37" s="70" t="n">
        <f aca="false">SUM(S25:S36)</f>
        <v>23473.6503760884</v>
      </c>
      <c r="T37" s="70" t="n">
        <f aca="false">SUM(T25:T36)</f>
        <v>25860.951774893</v>
      </c>
      <c r="U37" s="70" t="n">
        <f aca="false">SUM(U25:U36)</f>
        <v>28248.2531736975</v>
      </c>
      <c r="V37" s="70" t="n">
        <f aca="false">SUM(V25:V36)</f>
        <v>30865.0712316845</v>
      </c>
      <c r="W37" s="70" t="n">
        <f aca="false">SUM(W25:W36)</f>
        <v>33481.8892896715</v>
      </c>
      <c r="X37" s="70" t="n">
        <f aca="false">SUM(X25:X36)</f>
        <v>36098.7073476585</v>
      </c>
      <c r="Y37" s="70" t="n">
        <f aca="false">SUM(Y25:Y36)</f>
        <v>38915.439897309</v>
      </c>
      <c r="Z37" s="70" t="n">
        <f aca="false">SUM(Z25:Z36)</f>
        <v>41709.2737970801</v>
      </c>
      <c r="AA37" s="70" t="n">
        <f aca="false">SUM(AA25:AA36)</f>
        <v>44474.5705551153</v>
      </c>
      <c r="AB37" s="64" t="n">
        <f aca="false">SUM(AC37:AN37)</f>
        <v>742045.601714985</v>
      </c>
      <c r="AC37" s="70" t="n">
        <f aca="false">SUM(AC25:AC36)</f>
        <v>48501.8758978463</v>
      </c>
      <c r="AD37" s="70" t="n">
        <f aca="false">SUM(AD25:AD36)</f>
        <v>48897.5908678354</v>
      </c>
      <c r="AE37" s="70" t="n">
        <f aca="false">SUM(AE25:AE36)</f>
        <v>50324.7701321383</v>
      </c>
      <c r="AF37" s="70" t="n">
        <f aca="false">SUM(AF25:AF36)</f>
        <v>53560.6842272352</v>
      </c>
      <c r="AG37" s="70" t="n">
        <f aca="false">SUM(AG25:AG36)</f>
        <v>56783.2425598556</v>
      </c>
      <c r="AH37" s="70" t="n">
        <f aca="false">SUM(AH25:AH36)</f>
        <v>60005.800892476</v>
      </c>
      <c r="AI37" s="70" t="n">
        <f aca="false">SUM(AI25:AI36)</f>
        <v>63155.0803495666</v>
      </c>
      <c r="AJ37" s="70" t="n">
        <f aca="false">SUM(AJ25:AJ36)</f>
        <v>66304.3598066571</v>
      </c>
      <c r="AK37" s="70" t="n">
        <f aca="false">SUM(AK25:AK36)</f>
        <v>69361.3681533485</v>
      </c>
      <c r="AL37" s="70" t="n">
        <f aca="false">SUM(AL25:AL36)</f>
        <v>72205.8222146785</v>
      </c>
      <c r="AM37" s="70" t="n">
        <f aca="false">SUM(AM25:AM36)</f>
        <v>75050.2762760086</v>
      </c>
      <c r="AN37" s="70" t="n">
        <f aca="false">SUM(AN25:AN36)</f>
        <v>77894.7303373387</v>
      </c>
      <c r="AO37" s="64" t="n">
        <f aca="false">SUM(AP37:BA37)</f>
        <v>1294153.41768371</v>
      </c>
      <c r="AP37" s="70" t="n">
        <f aca="false">SUM(AP25:AP36)</f>
        <v>88324.2177975798</v>
      </c>
      <c r="AQ37" s="70" t="n">
        <f aca="false">SUM(AQ25:AQ36)</f>
        <v>91597.7052768098</v>
      </c>
      <c r="AR37" s="70" t="n">
        <f aca="false">SUM(AR25:AR36)</f>
        <v>94864.019244089</v>
      </c>
      <c r="AS37" s="70" t="n">
        <f aca="false">SUM(AS25:AS36)</f>
        <v>98466.0083365932</v>
      </c>
      <c r="AT37" s="70" t="n">
        <f aca="false">SUM(AT25:AT36)</f>
        <v>102117.072342062</v>
      </c>
      <c r="AU37" s="70" t="n">
        <f aca="false">SUM(AU25:AU36)</f>
        <v>105768.136347531</v>
      </c>
      <c r="AV37" s="70" t="n">
        <f aca="false">SUM(AV25:AV36)</f>
        <v>109583.415117281</v>
      </c>
      <c r="AW37" s="70" t="n">
        <f aca="false">SUM(AW25:AW36)</f>
        <v>113398.693887032</v>
      </c>
      <c r="AX37" s="70" t="n">
        <f aca="false">SUM(AX25:AX36)</f>
        <v>117204.626005224</v>
      </c>
      <c r="AY37" s="70" t="n">
        <f aca="false">SUM(AY25:AY36)</f>
        <v>120740.566890863</v>
      </c>
      <c r="AZ37" s="70" t="n">
        <f aca="false">SUM(AZ25:AZ36)</f>
        <v>124276.507776503</v>
      </c>
      <c r="BA37" s="70" t="n">
        <f aca="false">SUM(BA25:BA36)</f>
        <v>127812.448662143</v>
      </c>
      <c r="BB37" s="64" t="n">
        <f aca="false">SUM(BC37:BN37)</f>
        <v>1963174.6532037</v>
      </c>
      <c r="BC37" s="70" t="n">
        <f aca="false">SUM(BC25:BC36)</f>
        <v>141230.450449674</v>
      </c>
      <c r="BD37" s="70" t="n">
        <f aca="false">SUM(BD25:BD36)</f>
        <v>145036.557619399</v>
      </c>
      <c r="BE37" s="70" t="n">
        <f aca="false">SUM(BE25:BE36)</f>
        <v>148913.507931154</v>
      </c>
      <c r="BF37" s="70" t="n">
        <f aca="false">SUM(BF25:BF36)</f>
        <v>153145.45764955</v>
      </c>
      <c r="BG37" s="70" t="n">
        <f aca="false">SUM(BG25:BG36)</f>
        <v>157370.642929728</v>
      </c>
      <c r="BH37" s="70" t="n">
        <f aca="false">SUM(BH25:BH36)</f>
        <v>161595.828209906</v>
      </c>
      <c r="BI37" s="70" t="n">
        <f aca="false">SUM(BI25:BI36)</f>
        <v>165813.159354465</v>
      </c>
      <c r="BJ37" s="70" t="n">
        <f aca="false">SUM(BJ25:BJ36)</f>
        <v>170030.490499023</v>
      </c>
      <c r="BK37" s="70" t="n">
        <f aca="false">SUM(BK25:BK36)</f>
        <v>174232.405850127</v>
      </c>
      <c r="BL37" s="70" t="n">
        <f aca="false">SUM(BL25:BL36)</f>
        <v>178083.895043509</v>
      </c>
      <c r="BM37" s="70" t="n">
        <f aca="false">SUM(BM25:BM36)</f>
        <v>181935.38423689</v>
      </c>
      <c r="BN37" s="70" t="n">
        <f aca="false">SUM(BN25:BN36)</f>
        <v>185786.873430271</v>
      </c>
    </row>
    <row r="39" customFormat="false" ht="16.5" hidden="false" customHeight="true" outlineLevel="0" collapsed="false">
      <c r="A39" s="15" t="s">
        <v>725</v>
      </c>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row>
    <row r="40" customFormat="false" ht="15" hidden="false" customHeight="true" outlineLevel="0" collapsed="false">
      <c r="A40" s="26" t="s">
        <v>481</v>
      </c>
      <c r="B40" s="61" t="s">
        <v>81</v>
      </c>
      <c r="C40" s="62" t="s">
        <v>482</v>
      </c>
      <c r="D40" s="62" t="s">
        <v>483</v>
      </c>
      <c r="E40" s="62" t="s">
        <v>484</v>
      </c>
      <c r="F40" s="62" t="s">
        <v>485</v>
      </c>
      <c r="G40" s="62" t="s">
        <v>486</v>
      </c>
      <c r="H40" s="62" t="s">
        <v>487</v>
      </c>
      <c r="I40" s="62" t="s">
        <v>488</v>
      </c>
      <c r="J40" s="62" t="s">
        <v>489</v>
      </c>
      <c r="K40" s="62" t="s">
        <v>490</v>
      </c>
      <c r="L40" s="62" t="s">
        <v>491</v>
      </c>
      <c r="M40" s="62" t="s">
        <v>492</v>
      </c>
      <c r="N40" s="62" t="s">
        <v>493</v>
      </c>
      <c r="O40" s="61" t="s">
        <v>82</v>
      </c>
      <c r="P40" s="63" t="s">
        <v>494</v>
      </c>
      <c r="Q40" s="63" t="s">
        <v>495</v>
      </c>
      <c r="R40" s="63" t="s">
        <v>496</v>
      </c>
      <c r="S40" s="63" t="s">
        <v>497</v>
      </c>
      <c r="T40" s="63" t="s">
        <v>498</v>
      </c>
      <c r="U40" s="63" t="s">
        <v>499</v>
      </c>
      <c r="V40" s="63" t="s">
        <v>500</v>
      </c>
      <c r="W40" s="63" t="s">
        <v>501</v>
      </c>
      <c r="X40" s="63" t="s">
        <v>502</v>
      </c>
      <c r="Y40" s="63" t="s">
        <v>503</v>
      </c>
      <c r="Z40" s="63" t="s">
        <v>504</v>
      </c>
      <c r="AA40" s="63" t="s">
        <v>505</v>
      </c>
      <c r="AB40" s="61" t="s">
        <v>83</v>
      </c>
      <c r="AC40" s="62" t="s">
        <v>506</v>
      </c>
      <c r="AD40" s="62" t="s">
        <v>507</v>
      </c>
      <c r="AE40" s="62" t="s">
        <v>508</v>
      </c>
      <c r="AF40" s="62" t="s">
        <v>509</v>
      </c>
      <c r="AG40" s="62" t="s">
        <v>510</v>
      </c>
      <c r="AH40" s="62" t="s">
        <v>511</v>
      </c>
      <c r="AI40" s="62" t="s">
        <v>512</v>
      </c>
      <c r="AJ40" s="62" t="s">
        <v>513</v>
      </c>
      <c r="AK40" s="62" t="s">
        <v>514</v>
      </c>
      <c r="AL40" s="62" t="s">
        <v>515</v>
      </c>
      <c r="AM40" s="62" t="s">
        <v>516</v>
      </c>
      <c r="AN40" s="62" t="s">
        <v>517</v>
      </c>
      <c r="AO40" s="61" t="s">
        <v>84</v>
      </c>
      <c r="AP40" s="63" t="s">
        <v>518</v>
      </c>
      <c r="AQ40" s="63" t="s">
        <v>519</v>
      </c>
      <c r="AR40" s="63" t="s">
        <v>520</v>
      </c>
      <c r="AS40" s="63" t="s">
        <v>521</v>
      </c>
      <c r="AT40" s="63" t="s">
        <v>522</v>
      </c>
      <c r="AU40" s="63" t="s">
        <v>523</v>
      </c>
      <c r="AV40" s="63" t="s">
        <v>524</v>
      </c>
      <c r="AW40" s="63" t="s">
        <v>525</v>
      </c>
      <c r="AX40" s="63" t="s">
        <v>526</v>
      </c>
      <c r="AY40" s="63" t="s">
        <v>527</v>
      </c>
      <c r="AZ40" s="63" t="s">
        <v>528</v>
      </c>
      <c r="BA40" s="63" t="s">
        <v>529</v>
      </c>
      <c r="BB40" s="61" t="s">
        <v>85</v>
      </c>
      <c r="BC40" s="62" t="s">
        <v>530</v>
      </c>
      <c r="BD40" s="62" t="s">
        <v>531</v>
      </c>
      <c r="BE40" s="62" t="s">
        <v>532</v>
      </c>
      <c r="BF40" s="62" t="s">
        <v>533</v>
      </c>
      <c r="BG40" s="62" t="s">
        <v>534</v>
      </c>
      <c r="BH40" s="62" t="s">
        <v>535</v>
      </c>
      <c r="BI40" s="62" t="s">
        <v>536</v>
      </c>
      <c r="BJ40" s="62" t="s">
        <v>537</v>
      </c>
      <c r="BK40" s="62" t="s">
        <v>538</v>
      </c>
      <c r="BL40" s="62" t="s">
        <v>539</v>
      </c>
      <c r="BM40" s="62" t="s">
        <v>540</v>
      </c>
      <c r="BN40" s="62" t="s">
        <v>541</v>
      </c>
    </row>
    <row r="41" customFormat="false" ht="15" hidden="false" customHeight="false" outlineLevel="0" collapsed="false">
      <c r="A41" s="12" t="s">
        <v>726</v>
      </c>
      <c r="B41" s="78" t="n">
        <f aca="false">SUM(C41:N41)</f>
        <v>77.8543563377821</v>
      </c>
      <c r="C41" s="95" t="n">
        <f aca="false">Acquisitions!C$148</f>
        <v>16.2253130295038</v>
      </c>
      <c r="D41" s="95" t="n">
        <f aca="false">Acquisitions!D$148</f>
        <v>3.05656302950383</v>
      </c>
      <c r="E41" s="95" t="n">
        <f aca="false">Acquisitions!E$148</f>
        <v>3.6107296961705</v>
      </c>
      <c r="F41" s="95" t="n">
        <f aca="false">Acquisitions!F$148</f>
        <v>3.6107296961705</v>
      </c>
      <c r="G41" s="95" t="n">
        <f aca="false">Acquisitions!G$148</f>
        <v>3.88045574987064</v>
      </c>
      <c r="H41" s="95" t="n">
        <f aca="false">Acquisitions!H$148</f>
        <v>4.15018180357078</v>
      </c>
      <c r="I41" s="95" t="n">
        <f aca="false">Acquisitions!I$148</f>
        <v>5.02729097078827</v>
      </c>
      <c r="J41" s="95" t="n">
        <f aca="false">Acquisitions!J$148</f>
        <v>5.90440013800576</v>
      </c>
      <c r="K41" s="95" t="n">
        <f aca="false">Acquisitions!K$148</f>
        <v>6.78150930522325</v>
      </c>
      <c r="L41" s="95" t="n">
        <f aca="false">Acquisitions!L$148</f>
        <v>7.65861847244075</v>
      </c>
      <c r="M41" s="95" t="n">
        <f aca="false">Acquisitions!M$148</f>
        <v>8.53572763965824</v>
      </c>
      <c r="N41" s="95" t="n">
        <f aca="false">Acquisitions!N$148</f>
        <v>9.41283680687573</v>
      </c>
      <c r="O41" s="78" t="n">
        <f aca="false">SUM(P41:AA41)</f>
        <v>320.936952736234</v>
      </c>
      <c r="P41" s="95" t="n">
        <f aca="false">Acquisitions!P$148</f>
        <v>14.7617361574287</v>
      </c>
      <c r="Q41" s="95" t="n">
        <f aca="false">Acquisitions!Q$148</f>
        <v>15.8603101905671</v>
      </c>
      <c r="R41" s="95" t="n">
        <f aca="false">Acquisitions!R$148</f>
        <v>18.0101169511164</v>
      </c>
      <c r="S41" s="95" t="n">
        <f aca="false">Acquisitions!S$148</f>
        <v>20.3470707792742</v>
      </c>
      <c r="T41" s="95" t="n">
        <f aca="false">Acquisitions!T$148</f>
        <v>22.8657650543988</v>
      </c>
      <c r="U41" s="95" t="n">
        <f aca="false">Acquisitions!U$148</f>
        <v>25.3844593295234</v>
      </c>
      <c r="V41" s="95" t="n">
        <f aca="false">Acquisitions!V$148</f>
        <v>27.8257670423334</v>
      </c>
      <c r="W41" s="95" t="n">
        <f aca="false">Acquisitions!W$148</f>
        <v>30.2670747551433</v>
      </c>
      <c r="X41" s="95" t="n">
        <f aca="false">Acquisitions!X$148</f>
        <v>32.7083824679533</v>
      </c>
      <c r="Y41" s="95" t="n">
        <f aca="false">Acquisitions!Y$148</f>
        <v>35.1719029020592</v>
      </c>
      <c r="Z41" s="95" t="n">
        <f aca="false">Acquisitions!Z$148</f>
        <v>37.6354233361651</v>
      </c>
      <c r="AA41" s="95" t="n">
        <f aca="false">Acquisitions!AA$148</f>
        <v>40.098943770271</v>
      </c>
      <c r="AB41" s="78" t="n">
        <f aca="false">SUM(AC41:AN41)</f>
        <v>836.922409978429</v>
      </c>
      <c r="AC41" s="95" t="n">
        <f aca="false">Acquisitions!AC$148</f>
        <v>51.61356401313</v>
      </c>
      <c r="AD41" s="95" t="n">
        <f aca="false">Acquisitions!AD$148</f>
        <v>53.3451582797062</v>
      </c>
      <c r="AE41" s="95" t="n">
        <f aca="false">Acquisitions!AE$148</f>
        <v>56.1502852668548</v>
      </c>
      <c r="AF41" s="95" t="n">
        <f aca="false">Acquisitions!AF$148</f>
        <v>59.9096107840548</v>
      </c>
      <c r="AG41" s="95" t="n">
        <f aca="false">Acquisitions!AG$148</f>
        <v>63.6416176961894</v>
      </c>
      <c r="AH41" s="95" t="n">
        <f aca="false">Acquisitions!AH$148</f>
        <v>67.373624608324</v>
      </c>
      <c r="AI41" s="95" t="n">
        <f aca="false">Acquisitions!AI$148</f>
        <v>71.23705886936</v>
      </c>
      <c r="AJ41" s="95" t="n">
        <f aca="false">Acquisitions!AJ$148</f>
        <v>75.1004931303961</v>
      </c>
      <c r="AK41" s="95" t="n">
        <f aca="false">Acquisitions!AK$148</f>
        <v>78.9639273914321</v>
      </c>
      <c r="AL41" s="95" t="n">
        <f aca="false">Acquisitions!AL$148</f>
        <v>82.746475352213</v>
      </c>
      <c r="AM41" s="95" t="n">
        <f aca="false">Acquisitions!AM$148</f>
        <v>86.5290233129939</v>
      </c>
      <c r="AN41" s="95" t="n">
        <f aca="false">Acquisitions!AN$148</f>
        <v>90.3115712737747</v>
      </c>
      <c r="AO41" s="78" t="n">
        <f aca="false">SUM(AP41:BA41)</f>
        <v>1609.42979945287</v>
      </c>
      <c r="AP41" s="95" t="n">
        <f aca="false">Acquisitions!AP$148</f>
        <v>110.66713208855</v>
      </c>
      <c r="AQ41" s="95" t="n">
        <f aca="false">Acquisitions!AQ$148</f>
        <v>114.877798744131</v>
      </c>
      <c r="AR41" s="95" t="n">
        <f aca="false">Acquisitions!AR$148</f>
        <v>118.988454567393</v>
      </c>
      <c r="AS41" s="95" t="n">
        <f aca="false">Acquisitions!AS$148</f>
        <v>123.218005859071</v>
      </c>
      <c r="AT41" s="95" t="n">
        <f aca="false">Acquisitions!AT$148</f>
        <v>127.54979655276</v>
      </c>
      <c r="AU41" s="95" t="n">
        <f aca="false">Acquisitions!AU$148</f>
        <v>131.881587246448</v>
      </c>
      <c r="AV41" s="95" t="n">
        <f aca="false">Acquisitions!AV$148</f>
        <v>136.234152564904</v>
      </c>
      <c r="AW41" s="95" t="n">
        <f aca="false">Acquisitions!AW$148</f>
        <v>140.586717883361</v>
      </c>
      <c r="AX41" s="95" t="n">
        <f aca="false">Acquisitions!AX$148</f>
        <v>144.939283201817</v>
      </c>
      <c r="AY41" s="95" t="n">
        <f aca="false">Acquisitions!AY$148</f>
        <v>149.217453391648</v>
      </c>
      <c r="AZ41" s="95" t="n">
        <f aca="false">Acquisitions!AZ$148</f>
        <v>153.495623581478</v>
      </c>
      <c r="BA41" s="95" t="n">
        <f aca="false">Acquisitions!BA$148</f>
        <v>157.773793771308</v>
      </c>
      <c r="BB41" s="78" t="n">
        <f aca="false">SUM(BC41:BN41)</f>
        <v>2559.61511543828</v>
      </c>
      <c r="BC41" s="95" t="n">
        <f aca="false">Acquisitions!BC$148</f>
        <v>185.213029766367</v>
      </c>
      <c r="BD41" s="95" t="n">
        <f aca="false">Acquisitions!BD$148</f>
        <v>189.952559016686</v>
      </c>
      <c r="BE41" s="95" t="n">
        <f aca="false">Acquisitions!BE$148</f>
        <v>195.067613698875</v>
      </c>
      <c r="BF41" s="95" t="n">
        <f aca="false">Acquisitions!BF$148</f>
        <v>200.282653755723</v>
      </c>
      <c r="BG41" s="95" t="n">
        <f aca="false">Acquisitions!BG$148</f>
        <v>205.483384424035</v>
      </c>
      <c r="BH41" s="95" t="n">
        <f aca="false">Acquisitions!BH$148</f>
        <v>210.684115092348</v>
      </c>
      <c r="BI41" s="95" t="n">
        <f aca="false">Acquisitions!BI$148</f>
        <v>215.897112745864</v>
      </c>
      <c r="BJ41" s="95" t="n">
        <f aca="false">Acquisitions!BJ$148</f>
        <v>221.11011039938</v>
      </c>
      <c r="BK41" s="95" t="n">
        <f aca="false">Acquisitions!BK$148</f>
        <v>226.323108052896</v>
      </c>
      <c r="BL41" s="95" t="n">
        <f aca="false">Acquisitions!BL$148</f>
        <v>231.428458774132</v>
      </c>
      <c r="BM41" s="95" t="n">
        <f aca="false">Acquisitions!BM$148</f>
        <v>236.533809495369</v>
      </c>
      <c r="BN41" s="95" t="n">
        <f aca="false">Acquisitions!BN$148</f>
        <v>241.639160216605</v>
      </c>
    </row>
    <row r="42" customFormat="false" ht="15" hidden="false" customHeight="false" outlineLevel="0" collapsed="false">
      <c r="A42" s="12" t="s">
        <v>727</v>
      </c>
      <c r="B42" s="78" t="n">
        <f aca="false">N42</f>
        <v>58.6587385234798</v>
      </c>
      <c r="C42" s="95" t="n">
        <f aca="false">Acquisitions!C$149</f>
        <v>18.2253130295038</v>
      </c>
      <c r="D42" s="95" t="n">
        <f aca="false">Acquisitions!D$149</f>
        <v>20.1883572772374</v>
      </c>
      <c r="E42" s="95" t="n">
        <f aca="false">Acquisitions!E$149</f>
        <v>22.5877855367737</v>
      </c>
      <c r="F42" s="95" t="n">
        <f aca="false">Acquisitions!F$149</f>
        <v>24.8432481007378</v>
      </c>
      <c r="G42" s="95" t="n">
        <f aca="false">Acquisitions!G$149</f>
        <v>27.2331089645641</v>
      </c>
      <c r="H42" s="95" t="n">
        <f aca="false">Acquisitions!H$149</f>
        <v>29.7493042302611</v>
      </c>
      <c r="I42" s="95" t="n">
        <f aca="false">Acquisitions!I$149</f>
        <v>32.9916369472337</v>
      </c>
      <c r="J42" s="95" t="n">
        <f aca="false">Acquisitions!J$149</f>
        <v>36.9165388684054</v>
      </c>
      <c r="K42" s="95" t="n">
        <f aca="false">Acquisitions!K$149</f>
        <v>41.4830558415243</v>
      </c>
      <c r="L42" s="95" t="n">
        <f aca="false">Acquisitions!L$149</f>
        <v>46.6526909634736</v>
      </c>
      <c r="M42" s="95" t="n">
        <f aca="false">Acquisitions!M$149</f>
        <v>52.3892571453234</v>
      </c>
      <c r="N42" s="95" t="n">
        <f aca="false">Acquisitions!N$149</f>
        <v>58.6587385234798</v>
      </c>
      <c r="O42" s="78" t="n">
        <f aca="false">AA42</f>
        <v>276.769505839904</v>
      </c>
      <c r="P42" s="95" t="n">
        <f aca="false">Acquisitions!P$149</f>
        <v>69.9009503694997</v>
      </c>
      <c r="Q42" s="95" t="n">
        <f aca="false">Acquisitions!Q$149</f>
        <v>81.5672035378968</v>
      </c>
      <c r="R42" s="95" t="n">
        <f aca="false">Acquisitions!R$149</f>
        <v>94.6832882767393</v>
      </c>
      <c r="S42" s="95" t="n">
        <f aca="false">Acquisitions!S$149</f>
        <v>109.349361759409</v>
      </c>
      <c r="T42" s="95" t="n">
        <f aca="false">Acquisitions!T$149</f>
        <v>125.654165108243</v>
      </c>
      <c r="U42" s="95" t="n">
        <f aca="false">Acquisitions!U$149</f>
        <v>143.499374531272</v>
      </c>
      <c r="V42" s="95" t="n">
        <f aca="false">Acquisitions!V$149</f>
        <v>162.715179101729</v>
      </c>
      <c r="W42" s="95" t="n">
        <f aca="false">Acquisitions!W$149</f>
        <v>183.219343110769</v>
      </c>
      <c r="X42" s="95" t="n">
        <f aca="false">Acquisitions!X$149</f>
        <v>204.934564992076</v>
      </c>
      <c r="Y42" s="95" t="n">
        <f aca="false">Acquisitions!Y$149</f>
        <v>227.810393994611</v>
      </c>
      <c r="Z42" s="95" t="n">
        <f aca="false">Acquisitions!Z$149</f>
        <v>251.777193691099</v>
      </c>
      <c r="AA42" s="95" t="n">
        <f aca="false">Acquisitions!AA$149</f>
        <v>276.769505839904</v>
      </c>
      <c r="AB42" s="78" t="n">
        <f aca="false">AN42</f>
        <v>764.292253473293</v>
      </c>
      <c r="AC42" s="95" t="n">
        <f aca="false">Acquisitions!AC$149</f>
        <v>311.77689950264</v>
      </c>
      <c r="AD42" s="95" t="n">
        <f aca="false">Acquisitions!AD$149</f>
        <v>346.415443812188</v>
      </c>
      <c r="AE42" s="95" t="n">
        <f aca="false">Acquisitions!AE$149</f>
        <v>381.780802450311</v>
      </c>
      <c r="AF42" s="95" t="n">
        <f aca="false">Acquisitions!AF$149</f>
        <v>418.783565087347</v>
      </c>
      <c r="AG42" s="95" t="n">
        <f aca="false">Acquisitions!AG$149</f>
        <v>457.298168878296</v>
      </c>
      <c r="AH42" s="95" t="n">
        <f aca="false">Acquisitions!AH$149</f>
        <v>497.233903353922</v>
      </c>
      <c r="AI42" s="95" t="n">
        <f aca="false">Acquisitions!AI$149</f>
        <v>538.636928022047</v>
      </c>
      <c r="AJ42" s="95" t="n">
        <f aca="false">Acquisitions!AJ$149</f>
        <v>581.41920547112</v>
      </c>
      <c r="AK42" s="95" t="n">
        <f aca="false">Acquisitions!AK$149</f>
        <v>625.497980534285</v>
      </c>
      <c r="AL42" s="95" t="n">
        <f aca="false">Acquisitions!AL$149</f>
        <v>670.714577054441</v>
      </c>
      <c r="AM42" s="95" t="n">
        <f aca="false">Acquisitions!AM$149</f>
        <v>717.000725744168</v>
      </c>
      <c r="AN42" s="95" t="n">
        <f aca="false">Acquisitions!AN$149</f>
        <v>764.292253473293</v>
      </c>
      <c r="AO42" s="78" t="n">
        <f aca="false">BA42</f>
        <v>1562.66983878534</v>
      </c>
      <c r="AP42" s="95" t="n">
        <f aca="false">Acquisitions!AP$149</f>
        <v>829.101850353445</v>
      </c>
      <c r="AQ42" s="95" t="n">
        <f aca="false">Acquisitions!AQ$149</f>
        <v>894.233538076369</v>
      </c>
      <c r="AR42" s="95" t="n">
        <f aca="false">Acquisitions!AR$149</f>
        <v>959.56798035918</v>
      </c>
      <c r="AS42" s="95" t="n">
        <f aca="false">Acquisitions!AS$149</f>
        <v>1025.2119073967</v>
      </c>
      <c r="AT42" s="95" t="n">
        <f aca="false">Acquisitions!AT$149</f>
        <v>1091.24898950566</v>
      </c>
      <c r="AU42" s="95" t="n">
        <f aca="false">Acquisitions!AU$149</f>
        <v>1157.65563738177</v>
      </c>
      <c r="AV42" s="95" t="n">
        <f aca="false">Acquisitions!AV$149</f>
        <v>1224.43045170376</v>
      </c>
      <c r="AW42" s="95" t="n">
        <f aca="false">Acquisitions!AW$149</f>
        <v>1291.5513424849</v>
      </c>
      <c r="AX42" s="95" t="n">
        <f aca="false">Acquisitions!AX$149</f>
        <v>1358.99754513762</v>
      </c>
      <c r="AY42" s="95" t="n">
        <f aca="false">Acquisitions!AY$149</f>
        <v>1426.67514582101</v>
      </c>
      <c r="AZ42" s="95" t="n">
        <f aca="false">Acquisitions!AZ$149</f>
        <v>1494.57026065323</v>
      </c>
      <c r="BA42" s="95" t="n">
        <f aca="false">Acquisitions!BA$149</f>
        <v>1562.66983878534</v>
      </c>
      <c r="BB42" s="78" t="n">
        <f aca="false">BN42</f>
        <v>2639.77618222463</v>
      </c>
      <c r="BC42" s="95" t="n">
        <f aca="false">Acquisitions!BC$149</f>
        <v>1654.12267822459</v>
      </c>
      <c r="BD42" s="95" t="n">
        <f aca="false">Acquisitions!BD$149</f>
        <v>1744.8278765478</v>
      </c>
      <c r="BE42" s="95" t="n">
        <f aca="false">Acquisitions!BE$149</f>
        <v>1835.20581765381</v>
      </c>
      <c r="BF42" s="95" t="n">
        <f aca="false">Acquisitions!BF$149</f>
        <v>1925.3761223503</v>
      </c>
      <c r="BG42" s="95" t="n">
        <f aca="false">Acquisitions!BG$149</f>
        <v>2015.33693943332</v>
      </c>
      <c r="BH42" s="95" t="n">
        <f aca="false">Acquisitions!BH$149</f>
        <v>2105.10083815967</v>
      </c>
      <c r="BI42" s="95" t="n">
        <f aca="false">Acquisitions!BI$149</f>
        <v>2194.69190061595</v>
      </c>
      <c r="BJ42" s="95" t="n">
        <f aca="false">Acquisitions!BJ$149</f>
        <v>2284.12049697837</v>
      </c>
      <c r="BK42" s="95" t="n">
        <f aca="false">Acquisitions!BK$149</f>
        <v>2373.39637521257</v>
      </c>
      <c r="BL42" s="95" t="n">
        <f aca="false">Acquisitions!BL$149</f>
        <v>2462.42105147395</v>
      </c>
      <c r="BM42" s="95" t="n">
        <f aca="false">Acquisitions!BM$149</f>
        <v>2551.20959788088</v>
      </c>
      <c r="BN42" s="95" t="n">
        <f aca="false">Acquisitions!BN$149</f>
        <v>2639.77618222463</v>
      </c>
    </row>
    <row r="43" customFormat="false" ht="15" hidden="false" customHeight="false" outlineLevel="0" collapsed="false">
      <c r="A43" s="12" t="s">
        <v>728</v>
      </c>
      <c r="B43" s="84" t="n">
        <f aca="false">IFERROR(AVERAGE(C43:N43),0)</f>
        <v>18</v>
      </c>
      <c r="C43" s="85" t="n">
        <f aca="false">'Assumption Setting'!$C$134*(1-'Assumption Setting'!$C$136)+'Assumption Setting'!$C$135*'Assumption Setting'!$C$136</f>
        <v>18</v>
      </c>
      <c r="D43" s="85" t="n">
        <f aca="false">'Assumption Setting'!$C$134*(1-'Assumption Setting'!$C$136)+'Assumption Setting'!$C$135*'Assumption Setting'!$C$136</f>
        <v>18</v>
      </c>
      <c r="E43" s="85" t="n">
        <f aca="false">'Assumption Setting'!$C$134*(1-'Assumption Setting'!$C$136)+'Assumption Setting'!$C$135*'Assumption Setting'!$C$136</f>
        <v>18</v>
      </c>
      <c r="F43" s="85" t="n">
        <f aca="false">'Assumption Setting'!$C$134*(1-'Assumption Setting'!$C$136)+'Assumption Setting'!$C$135*'Assumption Setting'!$C$136</f>
        <v>18</v>
      </c>
      <c r="G43" s="85" t="n">
        <f aca="false">'Assumption Setting'!$C$134*(1-'Assumption Setting'!$C$136)+'Assumption Setting'!$C$135*'Assumption Setting'!$C$136</f>
        <v>18</v>
      </c>
      <c r="H43" s="85" t="n">
        <f aca="false">'Assumption Setting'!$C$134*(1-'Assumption Setting'!$C$136)+'Assumption Setting'!$C$135*'Assumption Setting'!$C$136</f>
        <v>18</v>
      </c>
      <c r="I43" s="85" t="n">
        <f aca="false">'Assumption Setting'!$C$134*(1-'Assumption Setting'!$C$136)+'Assumption Setting'!$C$135*'Assumption Setting'!$C$136</f>
        <v>18</v>
      </c>
      <c r="J43" s="85" t="n">
        <f aca="false">'Assumption Setting'!$C$134*(1-'Assumption Setting'!$C$136)+'Assumption Setting'!$C$135*'Assumption Setting'!$C$136</f>
        <v>18</v>
      </c>
      <c r="K43" s="85" t="n">
        <f aca="false">'Assumption Setting'!$C$134*(1-'Assumption Setting'!$C$136)+'Assumption Setting'!$C$135*'Assumption Setting'!$C$136</f>
        <v>18</v>
      </c>
      <c r="L43" s="85" t="n">
        <f aca="false">'Assumption Setting'!$C$134*(1-'Assumption Setting'!$C$136)+'Assumption Setting'!$C$135*'Assumption Setting'!$C$136</f>
        <v>18</v>
      </c>
      <c r="M43" s="85" t="n">
        <f aca="false">'Assumption Setting'!$C$134*(1-'Assumption Setting'!$C$136)+'Assumption Setting'!$C$135*'Assumption Setting'!$C$136</f>
        <v>18</v>
      </c>
      <c r="N43" s="85" t="n">
        <f aca="false">'Assumption Setting'!$C$134*(1-'Assumption Setting'!$C$136)+'Assumption Setting'!$C$135*'Assumption Setting'!$C$136</f>
        <v>18</v>
      </c>
      <c r="O43" s="84" t="n">
        <f aca="false">IFERROR(AVERAGE(P43:AA43),0)</f>
        <v>18</v>
      </c>
      <c r="P43" s="85" t="n">
        <f aca="false">'Assumption Setting'!$C$134*(1-'Assumption Setting'!$C$136)+'Assumption Setting'!$C$135*'Assumption Setting'!$C$136</f>
        <v>18</v>
      </c>
      <c r="Q43" s="85" t="n">
        <f aca="false">'Assumption Setting'!$C$134*(1-'Assumption Setting'!$C$136)+'Assumption Setting'!$C$135*'Assumption Setting'!$C$136</f>
        <v>18</v>
      </c>
      <c r="R43" s="85" t="n">
        <f aca="false">'Assumption Setting'!$C$134*(1-'Assumption Setting'!$C$136)+'Assumption Setting'!$C$135*'Assumption Setting'!$C$136</f>
        <v>18</v>
      </c>
      <c r="S43" s="85" t="n">
        <f aca="false">'Assumption Setting'!$C$134*(1-'Assumption Setting'!$C$136)+'Assumption Setting'!$C$135*'Assumption Setting'!$C$136</f>
        <v>18</v>
      </c>
      <c r="T43" s="85" t="n">
        <f aca="false">'Assumption Setting'!$C$134*(1-'Assumption Setting'!$C$136)+'Assumption Setting'!$C$135*'Assumption Setting'!$C$136</f>
        <v>18</v>
      </c>
      <c r="U43" s="85" t="n">
        <f aca="false">'Assumption Setting'!$C$134*(1-'Assumption Setting'!$C$136)+'Assumption Setting'!$C$135*'Assumption Setting'!$C$136</f>
        <v>18</v>
      </c>
      <c r="V43" s="85" t="n">
        <f aca="false">'Assumption Setting'!$C$134*(1-'Assumption Setting'!$C$136)+'Assumption Setting'!$C$135*'Assumption Setting'!$C$136</f>
        <v>18</v>
      </c>
      <c r="W43" s="85" t="n">
        <f aca="false">'Assumption Setting'!$C$134*(1-'Assumption Setting'!$C$136)+'Assumption Setting'!$C$135*'Assumption Setting'!$C$136</f>
        <v>18</v>
      </c>
      <c r="X43" s="85" t="n">
        <f aca="false">'Assumption Setting'!$C$134*(1-'Assumption Setting'!$C$136)+'Assumption Setting'!$C$135*'Assumption Setting'!$C$136</f>
        <v>18</v>
      </c>
      <c r="Y43" s="85" t="n">
        <f aca="false">'Assumption Setting'!$C$134*(1-'Assumption Setting'!$C$136)+'Assumption Setting'!$C$135*'Assumption Setting'!$C$136</f>
        <v>18</v>
      </c>
      <c r="Z43" s="85" t="n">
        <f aca="false">'Assumption Setting'!$C$134*(1-'Assumption Setting'!$C$136)+'Assumption Setting'!$C$135*'Assumption Setting'!$C$136</f>
        <v>18</v>
      </c>
      <c r="AA43" s="85" t="n">
        <f aca="false">'Assumption Setting'!$C$134*(1-'Assumption Setting'!$C$136)+'Assumption Setting'!$C$135*'Assumption Setting'!$C$136</f>
        <v>18</v>
      </c>
      <c r="AB43" s="84" t="n">
        <f aca="false">IFERROR(AVERAGE(AC43:AN43),0)</f>
        <v>18</v>
      </c>
      <c r="AC43" s="85" t="n">
        <f aca="false">'Assumption Setting'!$C$134*(1-'Assumption Setting'!$C$136)+'Assumption Setting'!$C$135*'Assumption Setting'!$C$136</f>
        <v>18</v>
      </c>
      <c r="AD43" s="85" t="n">
        <f aca="false">'Assumption Setting'!$C$134*(1-'Assumption Setting'!$C$136)+'Assumption Setting'!$C$135*'Assumption Setting'!$C$136</f>
        <v>18</v>
      </c>
      <c r="AE43" s="85" t="n">
        <f aca="false">'Assumption Setting'!$C$134*(1-'Assumption Setting'!$C$136)+'Assumption Setting'!$C$135*'Assumption Setting'!$C$136</f>
        <v>18</v>
      </c>
      <c r="AF43" s="85" t="n">
        <f aca="false">'Assumption Setting'!$C$134*(1-'Assumption Setting'!$C$136)+'Assumption Setting'!$C$135*'Assumption Setting'!$C$136</f>
        <v>18</v>
      </c>
      <c r="AG43" s="85" t="n">
        <f aca="false">'Assumption Setting'!$C$134*(1-'Assumption Setting'!$C$136)+'Assumption Setting'!$C$135*'Assumption Setting'!$C$136</f>
        <v>18</v>
      </c>
      <c r="AH43" s="85" t="n">
        <f aca="false">'Assumption Setting'!$C$134*(1-'Assumption Setting'!$C$136)+'Assumption Setting'!$C$135*'Assumption Setting'!$C$136</f>
        <v>18</v>
      </c>
      <c r="AI43" s="85" t="n">
        <f aca="false">'Assumption Setting'!$C$134*(1-'Assumption Setting'!$C$136)+'Assumption Setting'!$C$135*'Assumption Setting'!$C$136</f>
        <v>18</v>
      </c>
      <c r="AJ43" s="85" t="n">
        <f aca="false">'Assumption Setting'!$C$134*(1-'Assumption Setting'!$C$136)+'Assumption Setting'!$C$135*'Assumption Setting'!$C$136</f>
        <v>18</v>
      </c>
      <c r="AK43" s="85" t="n">
        <f aca="false">'Assumption Setting'!$C$134*(1-'Assumption Setting'!$C$136)+'Assumption Setting'!$C$135*'Assumption Setting'!$C$136</f>
        <v>18</v>
      </c>
      <c r="AL43" s="85" t="n">
        <f aca="false">'Assumption Setting'!$C$134*(1-'Assumption Setting'!$C$136)+'Assumption Setting'!$C$135*'Assumption Setting'!$C$136</f>
        <v>18</v>
      </c>
      <c r="AM43" s="85" t="n">
        <f aca="false">'Assumption Setting'!$C$134*(1-'Assumption Setting'!$C$136)+'Assumption Setting'!$C$135*'Assumption Setting'!$C$136</f>
        <v>18</v>
      </c>
      <c r="AN43" s="85" t="n">
        <f aca="false">'Assumption Setting'!$C$134*(1-'Assumption Setting'!$C$136)+'Assumption Setting'!$C$135*'Assumption Setting'!$C$136</f>
        <v>18</v>
      </c>
      <c r="AO43" s="84" t="n">
        <f aca="false">IFERROR(AVERAGE(AP43:BA43),0)</f>
        <v>18</v>
      </c>
      <c r="AP43" s="85" t="n">
        <f aca="false">'Assumption Setting'!$C$134*(1-'Assumption Setting'!$C$136)+'Assumption Setting'!$C$135*'Assumption Setting'!$C$136</f>
        <v>18</v>
      </c>
      <c r="AQ43" s="85" t="n">
        <f aca="false">'Assumption Setting'!$C$134*(1-'Assumption Setting'!$C$136)+'Assumption Setting'!$C$135*'Assumption Setting'!$C$136</f>
        <v>18</v>
      </c>
      <c r="AR43" s="85" t="n">
        <f aca="false">'Assumption Setting'!$C$134*(1-'Assumption Setting'!$C$136)+'Assumption Setting'!$C$135*'Assumption Setting'!$C$136</f>
        <v>18</v>
      </c>
      <c r="AS43" s="85" t="n">
        <f aca="false">'Assumption Setting'!$C$134*(1-'Assumption Setting'!$C$136)+'Assumption Setting'!$C$135*'Assumption Setting'!$C$136</f>
        <v>18</v>
      </c>
      <c r="AT43" s="85" t="n">
        <f aca="false">'Assumption Setting'!$C$134*(1-'Assumption Setting'!$C$136)+'Assumption Setting'!$C$135*'Assumption Setting'!$C$136</f>
        <v>18</v>
      </c>
      <c r="AU43" s="85" t="n">
        <f aca="false">'Assumption Setting'!$C$134*(1-'Assumption Setting'!$C$136)+'Assumption Setting'!$C$135*'Assumption Setting'!$C$136</f>
        <v>18</v>
      </c>
      <c r="AV43" s="85" t="n">
        <f aca="false">'Assumption Setting'!$C$134*(1-'Assumption Setting'!$C$136)+'Assumption Setting'!$C$135*'Assumption Setting'!$C$136</f>
        <v>18</v>
      </c>
      <c r="AW43" s="85" t="n">
        <f aca="false">'Assumption Setting'!$C$134*(1-'Assumption Setting'!$C$136)+'Assumption Setting'!$C$135*'Assumption Setting'!$C$136</f>
        <v>18</v>
      </c>
      <c r="AX43" s="85" t="n">
        <f aca="false">'Assumption Setting'!$C$134*(1-'Assumption Setting'!$C$136)+'Assumption Setting'!$C$135*'Assumption Setting'!$C$136</f>
        <v>18</v>
      </c>
      <c r="AY43" s="85" t="n">
        <f aca="false">'Assumption Setting'!$C$134*(1-'Assumption Setting'!$C$136)+'Assumption Setting'!$C$135*'Assumption Setting'!$C$136</f>
        <v>18</v>
      </c>
      <c r="AZ43" s="85" t="n">
        <f aca="false">'Assumption Setting'!$C$134*(1-'Assumption Setting'!$C$136)+'Assumption Setting'!$C$135*'Assumption Setting'!$C$136</f>
        <v>18</v>
      </c>
      <c r="BA43" s="85" t="n">
        <f aca="false">'Assumption Setting'!$C$134*(1-'Assumption Setting'!$C$136)+'Assumption Setting'!$C$135*'Assumption Setting'!$C$136</f>
        <v>18</v>
      </c>
      <c r="BB43" s="84" t="n">
        <f aca="false">IFERROR(AVERAGE(BC43:BN43),0)</f>
        <v>18</v>
      </c>
      <c r="BC43" s="85" t="n">
        <f aca="false">'Assumption Setting'!$C$134*(1-'Assumption Setting'!$C$136)+'Assumption Setting'!$C$135*'Assumption Setting'!$C$136</f>
        <v>18</v>
      </c>
      <c r="BD43" s="85" t="n">
        <f aca="false">'Assumption Setting'!$C$134*(1-'Assumption Setting'!$C$136)+'Assumption Setting'!$C$135*'Assumption Setting'!$C$136</f>
        <v>18</v>
      </c>
      <c r="BE43" s="85" t="n">
        <f aca="false">'Assumption Setting'!$C$134*(1-'Assumption Setting'!$C$136)+'Assumption Setting'!$C$135*'Assumption Setting'!$C$136</f>
        <v>18</v>
      </c>
      <c r="BF43" s="85" t="n">
        <f aca="false">'Assumption Setting'!$C$134*(1-'Assumption Setting'!$C$136)+'Assumption Setting'!$C$135*'Assumption Setting'!$C$136</f>
        <v>18</v>
      </c>
      <c r="BG43" s="85" t="n">
        <f aca="false">'Assumption Setting'!$C$134*(1-'Assumption Setting'!$C$136)+'Assumption Setting'!$C$135*'Assumption Setting'!$C$136</f>
        <v>18</v>
      </c>
      <c r="BH43" s="85" t="n">
        <f aca="false">'Assumption Setting'!$C$134*(1-'Assumption Setting'!$C$136)+'Assumption Setting'!$C$135*'Assumption Setting'!$C$136</f>
        <v>18</v>
      </c>
      <c r="BI43" s="85" t="n">
        <f aca="false">'Assumption Setting'!$C$134*(1-'Assumption Setting'!$C$136)+'Assumption Setting'!$C$135*'Assumption Setting'!$C$136</f>
        <v>18</v>
      </c>
      <c r="BJ43" s="85" t="n">
        <f aca="false">'Assumption Setting'!$C$134*(1-'Assumption Setting'!$C$136)+'Assumption Setting'!$C$135*'Assumption Setting'!$C$136</f>
        <v>18</v>
      </c>
      <c r="BK43" s="85" t="n">
        <f aca="false">'Assumption Setting'!$C$134*(1-'Assumption Setting'!$C$136)+'Assumption Setting'!$C$135*'Assumption Setting'!$C$136</f>
        <v>18</v>
      </c>
      <c r="BL43" s="85" t="n">
        <f aca="false">'Assumption Setting'!$C$134*(1-'Assumption Setting'!$C$136)+'Assumption Setting'!$C$135*'Assumption Setting'!$C$136</f>
        <v>18</v>
      </c>
      <c r="BM43" s="85" t="n">
        <f aca="false">'Assumption Setting'!$C$134*(1-'Assumption Setting'!$C$136)+'Assumption Setting'!$C$135*'Assumption Setting'!$C$136</f>
        <v>18</v>
      </c>
      <c r="BN43" s="85" t="n">
        <f aca="false">'Assumption Setting'!$C$134*(1-'Assumption Setting'!$C$136)+'Assumption Setting'!$C$135*'Assumption Setting'!$C$136</f>
        <v>18</v>
      </c>
    </row>
    <row r="44" customFormat="false" ht="15" hidden="false" customHeight="false" outlineLevel="0" collapsed="false">
      <c r="A44" s="12" t="s">
        <v>729</v>
      </c>
      <c r="B44" s="64" t="n">
        <f aca="false">SUM(C44:N44)</f>
        <v>1401.37841408008</v>
      </c>
      <c r="C44" s="65" t="n">
        <f aca="false">C41*C43</f>
        <v>292.055634531069</v>
      </c>
      <c r="D44" s="65" t="n">
        <f aca="false">D41*D43</f>
        <v>55.0181345310689</v>
      </c>
      <c r="E44" s="65" t="n">
        <f aca="false">E41*E43</f>
        <v>64.993134531069</v>
      </c>
      <c r="F44" s="65" t="n">
        <f aca="false">F41*F43</f>
        <v>64.993134531069</v>
      </c>
      <c r="G44" s="65" t="n">
        <f aca="false">G41*G43</f>
        <v>69.8482034976715</v>
      </c>
      <c r="H44" s="65" t="n">
        <f aca="false">H41*H43</f>
        <v>74.703272464274</v>
      </c>
      <c r="I44" s="65" t="n">
        <f aca="false">I41*I43</f>
        <v>90.4912374741888</v>
      </c>
      <c r="J44" s="65" t="n">
        <f aca="false">J41*J43</f>
        <v>106.279202484104</v>
      </c>
      <c r="K44" s="65" t="n">
        <f aca="false">K41*K43</f>
        <v>122.067167494019</v>
      </c>
      <c r="L44" s="65" t="n">
        <f aca="false">L41*L43</f>
        <v>137.855132503933</v>
      </c>
      <c r="M44" s="65" t="n">
        <f aca="false">M41*M43</f>
        <v>153.643097513848</v>
      </c>
      <c r="N44" s="65" t="n">
        <f aca="false">N41*N43</f>
        <v>169.431062523763</v>
      </c>
      <c r="O44" s="64" t="n">
        <f aca="false">SUM(P44:AA44)</f>
        <v>5776.86514925221</v>
      </c>
      <c r="P44" s="65" t="n">
        <f aca="false">P41*P43</f>
        <v>265.711250833716</v>
      </c>
      <c r="Q44" s="65" t="n">
        <f aca="false">Q41*Q43</f>
        <v>285.485583430208</v>
      </c>
      <c r="R44" s="65" t="n">
        <f aca="false">R41*R43</f>
        <v>324.182105120094</v>
      </c>
      <c r="S44" s="65" t="n">
        <f aca="false">S41*S43</f>
        <v>366.247274026935</v>
      </c>
      <c r="T44" s="65" t="n">
        <f aca="false">T41*T43</f>
        <v>411.583770979178</v>
      </c>
      <c r="U44" s="65" t="n">
        <f aca="false">U41*U43</f>
        <v>456.920267931421</v>
      </c>
      <c r="V44" s="65" t="n">
        <f aca="false">V41*V43</f>
        <v>500.863806762</v>
      </c>
      <c r="W44" s="65" t="n">
        <f aca="false">W41*W43</f>
        <v>544.80734559258</v>
      </c>
      <c r="X44" s="65" t="n">
        <f aca="false">X41*X43</f>
        <v>588.750884423159</v>
      </c>
      <c r="Y44" s="65" t="n">
        <f aca="false">Y41*Y43</f>
        <v>633.094252237066</v>
      </c>
      <c r="Z44" s="65" t="n">
        <f aca="false">Z41*Z43</f>
        <v>677.437620050972</v>
      </c>
      <c r="AA44" s="65" t="n">
        <f aca="false">AA41*AA43</f>
        <v>721.780987864878</v>
      </c>
      <c r="AB44" s="64" t="n">
        <f aca="false">SUM(AC44:AN44)</f>
        <v>15064.6033796117</v>
      </c>
      <c r="AC44" s="65" t="n">
        <f aca="false">AC41*AC43</f>
        <v>929.044152236341</v>
      </c>
      <c r="AD44" s="65" t="n">
        <f aca="false">AD41*AD43</f>
        <v>960.212849034711</v>
      </c>
      <c r="AE44" s="65" t="n">
        <f aca="false">AE41*AE43</f>
        <v>1010.70513480339</v>
      </c>
      <c r="AF44" s="65" t="n">
        <f aca="false">AF41*AF43</f>
        <v>1078.37299411299</v>
      </c>
      <c r="AG44" s="65" t="n">
        <f aca="false">AG41*AG43</f>
        <v>1145.54911853141</v>
      </c>
      <c r="AH44" s="65" t="n">
        <f aca="false">AH41*AH43</f>
        <v>1212.72524294983</v>
      </c>
      <c r="AI44" s="65" t="n">
        <f aca="false">AI41*AI43</f>
        <v>1282.26705964848</v>
      </c>
      <c r="AJ44" s="65" t="n">
        <f aca="false">AJ41*AJ43</f>
        <v>1351.80887634713</v>
      </c>
      <c r="AK44" s="65" t="n">
        <f aca="false">AK41*AK43</f>
        <v>1421.35069304578</v>
      </c>
      <c r="AL44" s="65" t="n">
        <f aca="false">AL41*AL43</f>
        <v>1489.43655633983</v>
      </c>
      <c r="AM44" s="65" t="n">
        <f aca="false">AM41*AM43</f>
        <v>1557.52241963389</v>
      </c>
      <c r="AN44" s="65" t="n">
        <f aca="false">AN41*AN43</f>
        <v>1625.60828292795</v>
      </c>
      <c r="AO44" s="64" t="n">
        <f aca="false">SUM(AP44:BA44)</f>
        <v>28969.7363901516</v>
      </c>
      <c r="AP44" s="65" t="n">
        <f aca="false">AP41*AP43</f>
        <v>1992.00837759389</v>
      </c>
      <c r="AQ44" s="65" t="n">
        <f aca="false">AQ41*AQ43</f>
        <v>2067.80037739436</v>
      </c>
      <c r="AR44" s="65" t="n">
        <f aca="false">AR41*AR43</f>
        <v>2141.79218221307</v>
      </c>
      <c r="AS44" s="65" t="n">
        <f aca="false">AS41*AS43</f>
        <v>2217.92410546329</v>
      </c>
      <c r="AT44" s="65" t="n">
        <f aca="false">AT41*AT43</f>
        <v>2295.89633794967</v>
      </c>
      <c r="AU44" s="65" t="n">
        <f aca="false">AU41*AU43</f>
        <v>2373.86857043606</v>
      </c>
      <c r="AV44" s="65" t="n">
        <f aca="false">AV41*AV43</f>
        <v>2452.21474616828</v>
      </c>
      <c r="AW44" s="65" t="n">
        <f aca="false">AW41*AW43</f>
        <v>2530.56092190049</v>
      </c>
      <c r="AX44" s="65" t="n">
        <f aca="false">AX41*AX43</f>
        <v>2608.90709763271</v>
      </c>
      <c r="AY44" s="65" t="n">
        <f aca="false">AY41*AY43</f>
        <v>2685.91416104966</v>
      </c>
      <c r="AZ44" s="65" t="n">
        <f aca="false">AZ41*AZ43</f>
        <v>2762.9212244666</v>
      </c>
      <c r="BA44" s="65" t="n">
        <f aca="false">BA41*BA43</f>
        <v>2839.92828788355</v>
      </c>
      <c r="BB44" s="64" t="n">
        <f aca="false">SUM(BC44:BN44)</f>
        <v>46073.072077889</v>
      </c>
      <c r="BC44" s="65" t="n">
        <f aca="false">BC41*BC43</f>
        <v>3333.83453579461</v>
      </c>
      <c r="BD44" s="65" t="n">
        <f aca="false">BD41*BD43</f>
        <v>3419.14606230034</v>
      </c>
      <c r="BE44" s="65" t="n">
        <f aca="false">BE41*BE43</f>
        <v>3511.21704657975</v>
      </c>
      <c r="BF44" s="65" t="n">
        <f aca="false">BF41*BF43</f>
        <v>3605.08776760301</v>
      </c>
      <c r="BG44" s="65" t="n">
        <f aca="false">BG41*BG43</f>
        <v>3698.70091963264</v>
      </c>
      <c r="BH44" s="65" t="n">
        <f aca="false">BH41*BH43</f>
        <v>3792.31407166226</v>
      </c>
      <c r="BI44" s="65" t="n">
        <f aca="false">BI41*BI43</f>
        <v>3886.14802942555</v>
      </c>
      <c r="BJ44" s="65" t="n">
        <f aca="false">BJ41*BJ43</f>
        <v>3979.98198718884</v>
      </c>
      <c r="BK44" s="65" t="n">
        <f aca="false">BK41*BK43</f>
        <v>4073.81594495213</v>
      </c>
      <c r="BL44" s="65" t="n">
        <f aca="false">BL41*BL43</f>
        <v>4165.71225793438</v>
      </c>
      <c r="BM44" s="65" t="n">
        <f aca="false">BM41*BM43</f>
        <v>4257.60857091664</v>
      </c>
      <c r="BN44" s="65" t="n">
        <f aca="false">BN41*BN43</f>
        <v>4349.50488389889</v>
      </c>
    </row>
    <row r="45" customFormat="false" ht="15" hidden="false" customHeight="false" outlineLevel="0" collapsed="false">
      <c r="A45" s="12" t="s">
        <v>730</v>
      </c>
      <c r="B45" s="64" t="n">
        <f aca="false">SUM(C45:N45)</f>
        <v>739.944995653431</v>
      </c>
      <c r="C45" s="65" t="n">
        <f aca="false">(C44)/12</f>
        <v>24.3379695442557</v>
      </c>
      <c r="D45" s="65" t="n">
        <f aca="false">(C44+D44)/12</f>
        <v>28.9228140885115</v>
      </c>
      <c r="E45" s="65" t="n">
        <f aca="false">(C44+D44+E44)/12</f>
        <v>34.3389086327672</v>
      </c>
      <c r="F45" s="65" t="n">
        <f aca="false">(C44+D44+E44+F44)/12</f>
        <v>39.755003177023</v>
      </c>
      <c r="G45" s="65" t="n">
        <f aca="false">(C44+D44+E44+F44+G44)/12</f>
        <v>45.5756868018289</v>
      </c>
      <c r="H45" s="65" t="n">
        <f aca="false">(C44+D44+E44+F44+G44+H44)/12</f>
        <v>51.8009595071851</v>
      </c>
      <c r="I45" s="65" t="n">
        <f aca="false">(C44+D44+E44+F44+G44+H44+I44)/12</f>
        <v>59.3418959633675</v>
      </c>
      <c r="J45" s="65" t="n">
        <f aca="false">(C44+D44+E44+F44+G44+H44+I44+J44)/12</f>
        <v>68.1984961703762</v>
      </c>
      <c r="K45" s="65" t="n">
        <f aca="false">(C44+D44+E44+F44+G44+H44+I44+J44+K44)/12</f>
        <v>78.370760128211</v>
      </c>
      <c r="L45" s="65" t="n">
        <f aca="false">(C44+D44+E44+F44+G44+H44+I44+J44+K44+L44)/12</f>
        <v>89.8586878368722</v>
      </c>
      <c r="M45" s="65" t="n">
        <f aca="false">(C44+D44+E44+F44+G44+H44+I44+J44+K44+L44+M44)/12</f>
        <v>102.66227929636</v>
      </c>
      <c r="N45" s="65" t="n">
        <f aca="false">(C44+D44+E44+F44+G44+H44+I44+J44+K44+L44+M44+N44)/12</f>
        <v>116.781534506673</v>
      </c>
      <c r="O45" s="64" t="n">
        <f aca="false">SUM(P45:AA45)</f>
        <v>3279.61650837991</v>
      </c>
      <c r="P45" s="65" t="n">
        <f aca="false">(D44+E44+F44+G44+H44+I44+J44+K44+L44+M44+N44+P44)/12</f>
        <v>114.58616919856</v>
      </c>
      <c r="Q45" s="65" t="n">
        <f aca="false">(E44+F44+G44+H44+I44+J44+K44+L44+M44+N44+P44+Q44)/12</f>
        <v>133.791789940155</v>
      </c>
      <c r="R45" s="65" t="n">
        <f aca="false">(F44+G44+H44+I44+J44+K44+L44+M44+N44+P44+Q44+R44)/12</f>
        <v>155.390870822574</v>
      </c>
      <c r="S45" s="65" t="n">
        <f aca="false">(G44+H44+I44+J44+K44+L44+M44+N44+P44+Q44+R44+S44)/12</f>
        <v>180.49538244723</v>
      </c>
      <c r="T45" s="65" t="n">
        <f aca="false">(H44+I44+J44+K44+L44+M44+N44+P44+Q44+R44+S44+T44)/12</f>
        <v>208.973346404022</v>
      </c>
      <c r="U45" s="65" t="n">
        <f aca="false">(I44+J44+K44+L44+M44+N44+P44+Q44+R44+S44+T44+U44)/12</f>
        <v>240.824762692951</v>
      </c>
      <c r="V45" s="65" t="n">
        <f aca="false">(J44+K44+L44+M44+N44+P44+Q44+R44+S44+T44+U44+V44)/12</f>
        <v>275.022476800268</v>
      </c>
      <c r="W45" s="65" t="n">
        <f aca="false">(K44+L44+M44+N44+P44+Q44+R44+S44+T44+U44+V44+W44)/12</f>
        <v>311.566488725975</v>
      </c>
      <c r="X45" s="65" t="n">
        <f aca="false">(L44+M44+N44+P44+Q44+R44+S44+T44+U44+V44+W44+X44)/12</f>
        <v>350.45679847007</v>
      </c>
      <c r="Y45" s="65" t="n">
        <f aca="false">(M44+N44+P44+Q44+R44+S44+T44+U44+V44+W44+X44+Y44)/12</f>
        <v>391.726725114497</v>
      </c>
      <c r="Z45" s="65" t="n">
        <f aca="false">(N44+P44+Q44+R44+S44+T44+U44+V44+W44+X44+Y44+Z44)/12</f>
        <v>435.376268659258</v>
      </c>
      <c r="AA45" s="65" t="n">
        <f aca="false">(P44+Q44+R44+S44+T44+U44+V44+W44+X44+Y44+Z44+AA44)/12</f>
        <v>481.405429104351</v>
      </c>
      <c r="AB45" s="64" t="n">
        <f aca="false">SUM(AC45:AN45)</f>
        <v>10535.6621770651</v>
      </c>
      <c r="AC45" s="65" t="n">
        <f aca="false">(Q44+R44+S44+T44+U44+V44+W44+X44+Y44+Z44+AA44+AC44)/12</f>
        <v>536.683170887903</v>
      </c>
      <c r="AD45" s="65" t="n">
        <f aca="false">(R44+S44+T44+U44+V44+W44+X44+Y44+Z44+AA44+AC44+AD44)/12</f>
        <v>592.910443021611</v>
      </c>
      <c r="AE45" s="65" t="n">
        <f aca="false">(S44+T44+U44+V44+W44+X44+Y44+Z44+AA44+AC44+AD44+AE44)/12</f>
        <v>650.120695495219</v>
      </c>
      <c r="AF45" s="65" t="n">
        <f aca="false">(T44+U44+V44+W44+X44+Y44+Z44+AA44+AC44+AD44+AE44+AF44)/12</f>
        <v>709.46450550239</v>
      </c>
      <c r="AG45" s="65" t="n">
        <f aca="false">(U44+V44+W44+X44+Y44+Z44+AA44+AC44+AD44+AE44+AF44+AG44)/12</f>
        <v>770.628284465076</v>
      </c>
      <c r="AH45" s="65" t="n">
        <f aca="false">(V44+W44+X44+Y44+Z44+AA44+AC44+AD44+AE44+AF44+AG44+AH44)/12</f>
        <v>833.612032383277</v>
      </c>
      <c r="AI45" s="65" t="n">
        <f aca="false">(W44+X44+Y44+Z44+AA44+AC44+AD44+AE44+AF44+AG44+AH44+AI44)/12</f>
        <v>898.728970123817</v>
      </c>
      <c r="AJ45" s="65" t="n">
        <f aca="false">(X44+Y44+Z44+AA44+AC44+AD44+AE44+AF44+AG44+AH44+AI44+AJ44)/12</f>
        <v>965.979097686696</v>
      </c>
      <c r="AK45" s="65" t="n">
        <f aca="false">(Y44+Z44+AA44+AC44+AD44+AE44+AF44+AG44+AH44+AI44+AJ44+AK44)/12</f>
        <v>1035.36241507191</v>
      </c>
      <c r="AL45" s="65" t="n">
        <f aca="false">(Z44+AA44+AC44+AD44+AE44+AF44+AG44+AH44+AI44+AJ44+AK44+AL44)/12</f>
        <v>1106.72427374715</v>
      </c>
      <c r="AM45" s="65" t="n">
        <f aca="false">(AA44+AC44+AD44+AE44+AF44+AG44+AH44+AI44+AJ44+AK44+AL44+AM44)/12</f>
        <v>1180.06467371239</v>
      </c>
      <c r="AN45" s="65" t="n">
        <f aca="false">(AC44+AD44+AE44+AF44+AG44+AH44+AI44+AJ44+AK44+AL44+AM44+AN44)/12</f>
        <v>1255.38361496764</v>
      </c>
      <c r="AO45" s="64" t="n">
        <f aca="false">SUM(AP45:BA45)</f>
        <v>22457.5089991309</v>
      </c>
      <c r="AP45" s="65" t="n">
        <f aca="false">(AD44+AE44+AF44+AG44+AH44+AI44+AJ44+AK44+AL44+AM44+AN44+AP44)/12</f>
        <v>1343.96396708077</v>
      </c>
      <c r="AQ45" s="65" t="n">
        <f aca="false">(AE44+AF44+AG44+AH44+AI44+AJ44+AK44+AL44+AM44+AN44+AP44+AQ44)/12</f>
        <v>1436.26292777741</v>
      </c>
      <c r="AR45" s="65" t="n">
        <f aca="false">(AF44+AG44+AH44+AI44+AJ44+AK44+AL44+AM44+AN44+AP44+AQ44+AR44)/12</f>
        <v>1530.52018172822</v>
      </c>
      <c r="AS45" s="65" t="n">
        <f aca="false">(AG44+AH44+AI44+AJ44+AK44+AL44+AM44+AN44+AP44+AQ44+AR44+AS44)/12</f>
        <v>1625.48277434074</v>
      </c>
      <c r="AT45" s="65" t="n">
        <f aca="false">(AH44+AI44+AJ44+AK44+AL44+AM44+AN44+AP44+AQ44+AR44+AS44+AT44)/12</f>
        <v>1721.3450426256</v>
      </c>
      <c r="AU45" s="65" t="n">
        <f aca="false">(AI44+AJ44+AK44+AL44+AM44+AN44+AP44+AQ44+AR44+AS44+AT44+AU44)/12</f>
        <v>1818.10698658278</v>
      </c>
      <c r="AV45" s="65" t="n">
        <f aca="false">(AJ44+AK44+AL44+AM44+AN44+AP44+AQ44+AR44+AS44+AT44+AU44+AV44)/12</f>
        <v>1915.6026271261</v>
      </c>
      <c r="AW45" s="65" t="n">
        <f aca="false">(AK44+AL44+AM44+AN44+AP44+AQ44+AR44+AS44+AT44+AU44+AV44+AW44)/12</f>
        <v>2013.83196425555</v>
      </c>
      <c r="AX45" s="65" t="n">
        <f aca="false">(AL44+AM44+AN44+AP44+AQ44+AR44+AS44+AT44+AU44+AV44+AW44+AX44)/12</f>
        <v>2112.79499797113</v>
      </c>
      <c r="AY45" s="65" t="n">
        <f aca="false">(AM44+AN44+AP44+AQ44+AR44+AS44+AT44+AU44+AV44+AW44+AX44+AY44)/12</f>
        <v>2212.50146503028</v>
      </c>
      <c r="AZ45" s="65" t="n">
        <f aca="false">(AN44+AP44+AQ44+AR44+AS44+AT44+AU44+AV44+AW44+AX44+AY44+AZ44)/12</f>
        <v>2312.951365433</v>
      </c>
      <c r="BA45" s="65" t="n">
        <f aca="false">(AP44+AQ44+AR44+AS44+AT44+AU44+AV44+AW44+AX44+AY44+AZ44+BA44)/12</f>
        <v>2414.1446991793</v>
      </c>
      <c r="BB45" s="64" t="n">
        <f aca="false">SUM(BC45:BN45)</f>
        <v>38048.5429894998</v>
      </c>
      <c r="BC45" s="65" t="n">
        <f aca="false">(AQ44+AR44+AS44+AT44+AU44+AV44+AW44+AX44+AY44+AZ44+BA44+BC44)/12</f>
        <v>2525.96354569603</v>
      </c>
      <c r="BD45" s="65" t="n">
        <f aca="false">(AR44+AS44+AT44+AU44+AV44+AW44+AX44+AY44+AZ44+BA44+BC44+BD44)/12</f>
        <v>2638.57568610486</v>
      </c>
      <c r="BE45" s="65" t="n">
        <f aca="false">(AS44+AT44+AU44+AV44+AW44+AX44+AY44+AZ44+BA44+BC44+BD44+BE44)/12</f>
        <v>2752.69442480208</v>
      </c>
      <c r="BF45" s="65" t="n">
        <f aca="false">(AT44+AU44+AV44+AW44+AX44+AY44+AZ44+BA44+BC44+BD44+BE44+BF44)/12</f>
        <v>2868.29139664706</v>
      </c>
      <c r="BG45" s="65" t="n">
        <f aca="false">(AU44+AV44+AW44+AX44+AY44+AZ44+BA44+BC44+BD44+BE44+BF44+BG44)/12</f>
        <v>2985.19177845397</v>
      </c>
      <c r="BH45" s="65" t="n">
        <f aca="false">(AV44+AW44+AX44+AY44+AZ44+BA44+BC44+BD44+BE44+BF44+BG44+BH44)/12</f>
        <v>3103.39557022282</v>
      </c>
      <c r="BI45" s="65" t="n">
        <f aca="false">(AW44+AX44+AY44+AZ44+BA44+BC44+BD44+BE44+BF44+BG44+BH44+BI44)/12</f>
        <v>3222.89001049426</v>
      </c>
      <c r="BJ45" s="65" t="n">
        <f aca="false">(AX44+AY44+AZ44+BA44+BC44+BD44+BE44+BF44+BG44+BH44+BI44+BJ44)/12</f>
        <v>3343.67509926829</v>
      </c>
      <c r="BK45" s="65" t="n">
        <f aca="false">(AY44+AZ44+BA44+BC44+BD44+BE44+BF44+BG44+BH44+BI44+BJ44+BK44)/12</f>
        <v>3465.75083654491</v>
      </c>
      <c r="BL45" s="65" t="n">
        <f aca="false">(AZ44+BA44+BC44+BD44+BE44+BF44+BG44+BH44+BI44+BJ44+BK44+BL44)/12</f>
        <v>3589.06734461864</v>
      </c>
      <c r="BM45" s="65" t="n">
        <f aca="false">(BA44+BC44+BD44+BE44+BF44+BG44+BH44+BI44+BJ44+BK44+BL44+BM44)/12</f>
        <v>3713.62462348947</v>
      </c>
      <c r="BN45" s="65" t="n">
        <f aca="false">(BC44+BD44+BE44+BF44+BG44+BH44+BI44+BJ44+BK44+BL44+BM44+BN44)/12</f>
        <v>3839.42267315742</v>
      </c>
    </row>
    <row r="46" customFormat="false" ht="15" hidden="false" customHeight="false" outlineLevel="0" collapsed="false">
      <c r="A46" s="12" t="s">
        <v>731</v>
      </c>
      <c r="B46" s="64" t="n">
        <f aca="false">N46</f>
        <v>661.433418426646</v>
      </c>
      <c r="C46" s="65" t="n">
        <f aca="false">C44-C45</f>
        <v>267.717664986813</v>
      </c>
      <c r="D46" s="65" t="n">
        <f aca="false">C46+D44-D45</f>
        <v>293.812985429371</v>
      </c>
      <c r="E46" s="65" t="n">
        <f aca="false">D46+E44-E45</f>
        <v>324.467211327672</v>
      </c>
      <c r="F46" s="65" t="n">
        <f aca="false">E46+F44-F45</f>
        <v>349.705342681718</v>
      </c>
      <c r="G46" s="65" t="n">
        <f aca="false">F46+G44-G45</f>
        <v>373.977859377561</v>
      </c>
      <c r="H46" s="65" t="n">
        <f aca="false">G46+H44-H45</f>
        <v>396.88017233465</v>
      </c>
      <c r="I46" s="65" t="n">
        <f aca="false">H46+I44-I45</f>
        <v>428.029513845471</v>
      </c>
      <c r="J46" s="65" t="n">
        <f aca="false">I46+J44-J45</f>
        <v>466.110220159199</v>
      </c>
      <c r="K46" s="65" t="n">
        <f aca="false">J46+K44-K45</f>
        <v>509.806627525006</v>
      </c>
      <c r="L46" s="65" t="n">
        <f aca="false">K46+L44-L45</f>
        <v>557.803072192067</v>
      </c>
      <c r="M46" s="65" t="n">
        <f aca="false">L46+M44-M45</f>
        <v>608.783890409556</v>
      </c>
      <c r="N46" s="65" t="n">
        <f aca="false">M46+N44-N45</f>
        <v>661.433418426646</v>
      </c>
      <c r="O46" s="64" t="n">
        <f aca="false">AA46</f>
        <v>3158.68205929894</v>
      </c>
      <c r="P46" s="65" t="n">
        <f aca="false">N46+P44-P45</f>
        <v>812.558500061802</v>
      </c>
      <c r="Q46" s="65" t="n">
        <f aca="false">P46+Q44-Q45</f>
        <v>964.252293551855</v>
      </c>
      <c r="R46" s="65" t="n">
        <f aca="false">Q46+R44-R45</f>
        <v>1133.04352784938</v>
      </c>
      <c r="S46" s="65" t="n">
        <f aca="false">R46+S44-S45</f>
        <v>1318.79541942908</v>
      </c>
      <c r="T46" s="65" t="n">
        <f aca="false">S46+T44-T45</f>
        <v>1521.40584400424</v>
      </c>
      <c r="U46" s="65" t="n">
        <f aca="false">T46+U44-U45</f>
        <v>1737.50134924271</v>
      </c>
      <c r="V46" s="65" t="n">
        <f aca="false">U46+V44-V45</f>
        <v>1963.34267920444</v>
      </c>
      <c r="W46" s="65" t="n">
        <f aca="false">V46+W44-W45</f>
        <v>2196.58353607104</v>
      </c>
      <c r="X46" s="65" t="n">
        <f aca="false">W46+X44-X45</f>
        <v>2434.87762202413</v>
      </c>
      <c r="Y46" s="65" t="n">
        <f aca="false">X46+Y44-Y45</f>
        <v>2676.2451491467</v>
      </c>
      <c r="Z46" s="65" t="n">
        <f aca="false">Y46+Z44-Z45</f>
        <v>2918.30650053842</v>
      </c>
      <c r="AA46" s="65" t="n">
        <f aca="false">Z46+AA44-AA45</f>
        <v>3158.68205929894</v>
      </c>
      <c r="AB46" s="64" t="n">
        <f aca="false">AN46</f>
        <v>7687.62326184559</v>
      </c>
      <c r="AC46" s="65" t="n">
        <f aca="false">AA46+AC44-AC45</f>
        <v>3551.04304064738</v>
      </c>
      <c r="AD46" s="65" t="n">
        <f aca="false">AC46+AD44-AD45</f>
        <v>3918.34544666048</v>
      </c>
      <c r="AE46" s="65" t="n">
        <f aca="false">AD46+AE44-AE45</f>
        <v>4278.92988596865</v>
      </c>
      <c r="AF46" s="65" t="n">
        <f aca="false">AE46+AF44-AF45</f>
        <v>4647.83837457925</v>
      </c>
      <c r="AG46" s="65" t="n">
        <f aca="false">AF46+AG44-AG45</f>
        <v>5022.75920864558</v>
      </c>
      <c r="AH46" s="65" t="n">
        <f aca="false">AG46+AH44-AH45</f>
        <v>5401.87241921214</v>
      </c>
      <c r="AI46" s="65" t="n">
        <f aca="false">AH46+AI44-AI45</f>
        <v>5785.4105087368</v>
      </c>
      <c r="AJ46" s="65" t="n">
        <f aca="false">AI46+AJ44-AJ45</f>
        <v>6171.24028739723</v>
      </c>
      <c r="AK46" s="65" t="n">
        <f aca="false">AJ46+AK44-AK45</f>
        <v>6557.2285653711</v>
      </c>
      <c r="AL46" s="65" t="n">
        <f aca="false">AK46+AL44-AL45</f>
        <v>6939.94084796379</v>
      </c>
      <c r="AM46" s="65" t="n">
        <f aca="false">AL46+AM44-AM45</f>
        <v>7317.39859388529</v>
      </c>
      <c r="AN46" s="65" t="n">
        <f aca="false">AM46+AN44-AN45</f>
        <v>7687.62326184559</v>
      </c>
      <c r="AO46" s="64" t="n">
        <f aca="false">BA46</f>
        <v>14199.8506528663</v>
      </c>
      <c r="AP46" s="65" t="n">
        <f aca="false">AN46+AP44-AP45</f>
        <v>8335.66767235871</v>
      </c>
      <c r="AQ46" s="65" t="n">
        <f aca="false">AP46+AQ44-AQ45</f>
        <v>8967.20512197566</v>
      </c>
      <c r="AR46" s="65" t="n">
        <f aca="false">AQ46+AR44-AR45</f>
        <v>9578.47712246052</v>
      </c>
      <c r="AS46" s="65" t="n">
        <f aca="false">AR46+AS44-AS45</f>
        <v>10170.9184535831</v>
      </c>
      <c r="AT46" s="65" t="n">
        <f aca="false">AS46+AT44-AT45</f>
        <v>10745.4697489071</v>
      </c>
      <c r="AU46" s="65" t="n">
        <f aca="false">AT46+AU44-AU45</f>
        <v>11301.2313327604</v>
      </c>
      <c r="AV46" s="65" t="n">
        <f aca="false">AU46+AV44-AV45</f>
        <v>11837.8434518026</v>
      </c>
      <c r="AW46" s="65" t="n">
        <f aca="false">AV46+AW44-AW45</f>
        <v>12354.5724094475</v>
      </c>
      <c r="AX46" s="65" t="n">
        <f aca="false">AW46+AX44-AX45</f>
        <v>12850.6845091091</v>
      </c>
      <c r="AY46" s="65" t="n">
        <f aca="false">AX46+AY44-AY45</f>
        <v>13324.0972051285</v>
      </c>
      <c r="AZ46" s="65" t="n">
        <f aca="false">AY46+AZ44-AZ45</f>
        <v>13774.0670641621</v>
      </c>
      <c r="BA46" s="65" t="n">
        <f aca="false">AZ46+BA44-BA45</f>
        <v>14199.8506528663</v>
      </c>
      <c r="BB46" s="64" t="n">
        <f aca="false">BN46</f>
        <v>22224.3797412555</v>
      </c>
      <c r="BC46" s="65" t="n">
        <f aca="false">BA46+BC44-BC45</f>
        <v>15007.7216429649</v>
      </c>
      <c r="BD46" s="65" t="n">
        <f aca="false">BC46+BD44-BD45</f>
        <v>15788.2920191604</v>
      </c>
      <c r="BE46" s="65" t="n">
        <f aca="false">BD46+BE44-BE45</f>
        <v>16546.8146409381</v>
      </c>
      <c r="BF46" s="65" t="n">
        <f aca="false">BE46+BF44-BF45</f>
        <v>17283.611011894</v>
      </c>
      <c r="BG46" s="65" t="n">
        <f aca="false">BF46+BG44-BG45</f>
        <v>17997.1201530727</v>
      </c>
      <c r="BH46" s="65" t="n">
        <f aca="false">BG46+BH44-BH45</f>
        <v>18686.0386545121</v>
      </c>
      <c r="BI46" s="65" t="n">
        <f aca="false">BH46+BI44-BI45</f>
        <v>19349.2966734434</v>
      </c>
      <c r="BJ46" s="65" t="n">
        <f aca="false">BI46+BJ44-BJ45</f>
        <v>19985.603561364</v>
      </c>
      <c r="BK46" s="65" t="n">
        <f aca="false">BJ46+BK44-BK45</f>
        <v>20593.6686697712</v>
      </c>
      <c r="BL46" s="65" t="n">
        <f aca="false">BK46+BL44-BL45</f>
        <v>21170.3135830869</v>
      </c>
      <c r="BM46" s="65" t="n">
        <f aca="false">BL46+BM44-BM45</f>
        <v>21714.2975305141</v>
      </c>
      <c r="BN46" s="65" t="n">
        <f aca="false">BM46+BN44-BN45</f>
        <v>22224.3797412555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590</v>
      </c>
    </row>
    <row r="2" customFormat="false" ht="13.5" hidden="false" customHeight="true" outlineLevel="0" collapsed="false">
      <c r="A2" s="6" t="s">
        <v>732</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733</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8" t="s">
        <v>734</v>
      </c>
      <c r="B7" s="64" t="n">
        <f aca="false">SUM(C7:N7)</f>
        <v>94649.5881638129</v>
      </c>
      <c r="C7" s="77" t="n">
        <f aca="false">'Revenue Streams'!C$25+'Revenue Streams'!C$26+'Revenue Streams'!C$27+'Revenue Streams'!C$28+'Revenue Streams'!C$29+'Revenue Streams'!C$35</f>
        <v>3254.16666666667</v>
      </c>
      <c r="D7" s="77" t="n">
        <f aca="false">'Revenue Streams'!D$25+'Revenue Streams'!D$26+'Revenue Streams'!D$27+'Revenue Streams'!D$28+'Revenue Streams'!D$29+'Revenue Streams'!D$35</f>
        <v>5206.66666666667</v>
      </c>
      <c r="E7" s="77" t="n">
        <f aca="false">'Revenue Streams'!E$25+'Revenue Streams'!E$26+'Revenue Streams'!E$27+'Revenue Streams'!E$28+'Revenue Streams'!E$29+'Revenue Streams'!E$35</f>
        <v>6508.33333333333</v>
      </c>
      <c r="F7" s="77" t="n">
        <f aca="false">'Revenue Streams'!F$25+'Revenue Streams'!F$26+'Revenue Streams'!F$27+'Revenue Streams'!F$28+'Revenue Streams'!F$29+'Revenue Streams'!F$35</f>
        <v>6508.33333333333</v>
      </c>
      <c r="G7" s="77" t="n">
        <f aca="false">'Revenue Streams'!G$25+'Revenue Streams'!G$26+'Revenue Streams'!G$27+'Revenue Streams'!G$28+'Revenue Streams'!G$29+'Revenue Streams'!G$35</f>
        <v>6647.04958952198</v>
      </c>
      <c r="H7" s="77" t="n">
        <f aca="false">'Revenue Streams'!H$25+'Revenue Streams'!H$26+'Revenue Streams'!H$27+'Revenue Streams'!H$28+'Revenue Streams'!H$29+'Revenue Streams'!H$35</f>
        <v>6785.76584571062</v>
      </c>
      <c r="I7" s="77" t="n">
        <f aca="false">'Revenue Streams'!I$25+'Revenue Streams'!I$26+'Revenue Streams'!I$27+'Revenue Streams'!I$28+'Revenue Streams'!I$29+'Revenue Streams'!I$35</f>
        <v>7691.70287686855</v>
      </c>
      <c r="J7" s="77" t="n">
        <f aca="false">'Revenue Streams'!J$25+'Revenue Streams'!J$26+'Revenue Streams'!J$27+'Revenue Streams'!J$28+'Revenue Streams'!J$29+'Revenue Streams'!J$35</f>
        <v>8597.63990802648</v>
      </c>
      <c r="K7" s="77" t="n">
        <f aca="false">'Revenue Streams'!K$25+'Revenue Streams'!K$26+'Revenue Streams'!K$27+'Revenue Streams'!K$28+'Revenue Streams'!K$29+'Revenue Streams'!K$35</f>
        <v>9503.57693918441</v>
      </c>
      <c r="L7" s="77" t="n">
        <f aca="false">'Revenue Streams'!L$25+'Revenue Streams'!L$26+'Revenue Streams'!L$27+'Revenue Streams'!L$28+'Revenue Streams'!L$29+'Revenue Streams'!L$35</f>
        <v>10409.5139703423</v>
      </c>
      <c r="M7" s="77" t="n">
        <f aca="false">'Revenue Streams'!M$25+'Revenue Streams'!M$26+'Revenue Streams'!M$27+'Revenue Streams'!M$28+'Revenue Streams'!M$29+'Revenue Streams'!M$35</f>
        <v>11315.4510015003</v>
      </c>
      <c r="N7" s="77" t="n">
        <f aca="false">'Revenue Streams'!N$25+'Revenue Streams'!N$26+'Revenue Streams'!N$27+'Revenue Streams'!N$28+'Revenue Streams'!N$29+'Revenue Streams'!N$35</f>
        <v>12221.3880326582</v>
      </c>
      <c r="O7" s="64" t="n">
        <f aca="false">SUM(P7:AA7)</f>
        <v>242162.407384911</v>
      </c>
      <c r="P7" s="77" t="n">
        <f aca="false">'Revenue Streams'!P$25+'Revenue Streams'!P$26+'Revenue Streams'!P$27+'Revenue Streams'!P$28+'Revenue Streams'!P$29+'Revenue Streams'!P$35</f>
        <v>14157.5851295414</v>
      </c>
      <c r="Q7" s="77" t="n">
        <f aca="false">'Revenue Streams'!Q$25+'Revenue Streams'!Q$26+'Revenue Streams'!Q$27+'Revenue Streams'!Q$28+'Revenue Streams'!Q$29+'Revenue Streams'!Q$35</f>
        <v>15016.3211206747</v>
      </c>
      <c r="R7" s="77" t="n">
        <f aca="false">'Revenue Streams'!R$25+'Revenue Streams'!R$26+'Revenue Streams'!R$27+'Revenue Streams'!R$28+'Revenue Streams'!R$29+'Revenue Streams'!R$35</f>
        <v>15943.9765018315</v>
      </c>
      <c r="S7" s="77" t="n">
        <f aca="false">'Revenue Streams'!S$25+'Revenue Streams'!S$26+'Revenue Streams'!S$27+'Revenue Streams'!S$28+'Revenue Streams'!S$29+'Revenue Streams'!S$35</f>
        <v>16871.6318829884</v>
      </c>
      <c r="T7" s="77" t="n">
        <f aca="false">'Revenue Streams'!T$25+'Revenue Streams'!T$26+'Revenue Streams'!T$27+'Revenue Streams'!T$28+'Revenue Streams'!T$29+'Revenue Streams'!T$35</f>
        <v>17890.1574876286</v>
      </c>
      <c r="U7" s="77" t="n">
        <f aca="false">'Revenue Streams'!U$25+'Revenue Streams'!U$26+'Revenue Streams'!U$27+'Revenue Streams'!U$28+'Revenue Streams'!U$29+'Revenue Streams'!U$35</f>
        <v>18908.6830922688</v>
      </c>
      <c r="V7" s="77" t="n">
        <f aca="false">'Revenue Streams'!V$25+'Revenue Streams'!V$26+'Revenue Streams'!V$27+'Revenue Streams'!V$28+'Revenue Streams'!V$29+'Revenue Streams'!V$35</f>
        <v>20333.5380263814</v>
      </c>
      <c r="W7" s="77" t="n">
        <f aca="false">'Revenue Streams'!W$25+'Revenue Streams'!W$26+'Revenue Streams'!W$27+'Revenue Streams'!W$28+'Revenue Streams'!W$29+'Revenue Streams'!W$35</f>
        <v>21758.392960494</v>
      </c>
      <c r="X7" s="77" t="n">
        <f aca="false">'Revenue Streams'!X$25+'Revenue Streams'!X$26+'Revenue Streams'!X$27+'Revenue Streams'!X$28+'Revenue Streams'!X$29+'Revenue Streams'!X$35</f>
        <v>23183.2478946067</v>
      </c>
      <c r="Y7" s="77" t="n">
        <f aca="false">'Revenue Streams'!Y$25+'Revenue Streams'!Y$26+'Revenue Streams'!Y$27+'Revenue Streams'!Y$28+'Revenue Streams'!Y$29+'Revenue Streams'!Y$35</f>
        <v>24608.1028287192</v>
      </c>
      <c r="Z7" s="77" t="n">
        <f aca="false">'Revenue Streams'!Z$25+'Revenue Streams'!Z$26+'Revenue Streams'!Z$27+'Revenue Streams'!Z$28+'Revenue Streams'!Z$29+'Revenue Streams'!Z$35</f>
        <v>26032.9577628319</v>
      </c>
      <c r="AA7" s="77" t="n">
        <f aca="false">'Revenue Streams'!AA$25+'Revenue Streams'!AA$26+'Revenue Streams'!AA$27+'Revenue Streams'!AA$28+'Revenue Streams'!AA$29+'Revenue Streams'!AA$35</f>
        <v>27457.8126969445</v>
      </c>
      <c r="AB7" s="64" t="n">
        <f aca="false">SUM(AC7:AN7)</f>
        <v>398349.831263109</v>
      </c>
      <c r="AC7" s="77" t="n">
        <f aca="false">'Revenue Streams'!AC$25+'Revenue Streams'!AC$26+'Revenue Streams'!AC$27+'Revenue Streams'!AC$28+'Revenue Streams'!AC$29+'Revenue Streams'!AC$35</f>
        <v>28021.9158635874</v>
      </c>
      <c r="AD7" s="77" t="n">
        <f aca="false">'Revenue Streams'!AD$25+'Revenue Streams'!AD$26+'Revenue Streams'!AD$27+'Revenue Streams'!AD$28+'Revenue Streams'!AD$29+'Revenue Streams'!AD$35</f>
        <v>27233.9733416271</v>
      </c>
      <c r="AE7" s="77" t="n">
        <f aca="false">'Revenue Streams'!AE$25+'Revenue Streams'!AE$26+'Revenue Streams'!AE$27+'Revenue Streams'!AE$28+'Revenue Streams'!AE$29+'Revenue Streams'!AE$35</f>
        <v>27341.4494079654</v>
      </c>
      <c r="AF7" s="77" t="n">
        <f aca="false">'Revenue Streams'!AF$25+'Revenue Streams'!AF$26+'Revenue Streams'!AF$27+'Revenue Streams'!AF$28+'Revenue Streams'!AF$29+'Revenue Streams'!AF$35</f>
        <v>29013.9254743037</v>
      </c>
      <c r="AG7" s="77" t="n">
        <f aca="false">'Revenue Streams'!AG$25+'Revenue Streams'!AG$26+'Revenue Streams'!AG$27+'Revenue Streams'!AG$28+'Revenue Streams'!AG$29+'Revenue Streams'!AG$35</f>
        <v>30673.0457781656</v>
      </c>
      <c r="AH7" s="77" t="n">
        <f aca="false">'Revenue Streams'!AH$25+'Revenue Streams'!AH$26+'Revenue Streams'!AH$27+'Revenue Streams'!AH$28+'Revenue Streams'!AH$29+'Revenue Streams'!AH$35</f>
        <v>32332.1660820275</v>
      </c>
      <c r="AI7" s="77" t="n">
        <f aca="false">'Revenue Streams'!AI$25+'Revenue Streams'!AI$26+'Revenue Streams'!AI$27+'Revenue Streams'!AI$28+'Revenue Streams'!AI$29+'Revenue Streams'!AI$35</f>
        <v>33748.3736450402</v>
      </c>
      <c r="AJ7" s="77" t="n">
        <f aca="false">'Revenue Streams'!AJ$25+'Revenue Streams'!AJ$26+'Revenue Streams'!AJ$27+'Revenue Streams'!AJ$28+'Revenue Streams'!AJ$29+'Revenue Streams'!AJ$35</f>
        <v>35164.5812080529</v>
      </c>
      <c r="AK7" s="77" t="n">
        <f aca="false">'Revenue Streams'!AK$25+'Revenue Streams'!AK$26+'Revenue Streams'!AK$27+'Revenue Streams'!AK$28+'Revenue Streams'!AK$29+'Revenue Streams'!AK$35</f>
        <v>36580.7887710657</v>
      </c>
      <c r="AL7" s="77" t="n">
        <f aca="false">'Revenue Streams'!AL$25+'Revenue Streams'!AL$26+'Revenue Streams'!AL$27+'Revenue Streams'!AL$28+'Revenue Streams'!AL$29+'Revenue Streams'!AL$35</f>
        <v>37996.9963340784</v>
      </c>
      <c r="AM7" s="77" t="n">
        <f aca="false">'Revenue Streams'!AM$25+'Revenue Streams'!AM$26+'Revenue Streams'!AM$27+'Revenue Streams'!AM$28+'Revenue Streams'!AM$29+'Revenue Streams'!AM$35</f>
        <v>39413.2038970911</v>
      </c>
      <c r="AN7" s="77" t="n">
        <f aca="false">'Revenue Streams'!AN$25+'Revenue Streams'!AN$26+'Revenue Streams'!AN$27+'Revenue Streams'!AN$28+'Revenue Streams'!AN$29+'Revenue Streams'!AN$35</f>
        <v>40829.4114601039</v>
      </c>
      <c r="AO7" s="64" t="n">
        <f aca="false">SUM(AP7:BA7)</f>
        <v>669680.220917499</v>
      </c>
      <c r="AP7" s="77" t="n">
        <f aca="false">'Revenue Streams'!AP$25+'Revenue Streams'!AP$26+'Revenue Streams'!AP$27+'Revenue Streams'!AP$28+'Revenue Streams'!AP$29+'Revenue Streams'!AP$35</f>
        <v>45716.8192561576</v>
      </c>
      <c r="AQ7" s="77" t="n">
        <f aca="false">'Revenue Streams'!AQ$25+'Revenue Streams'!AQ$26+'Revenue Streams'!AQ$27+'Revenue Streams'!AQ$28+'Revenue Streams'!AQ$29+'Revenue Streams'!AQ$35</f>
        <v>47455.014170916</v>
      </c>
      <c r="AR7" s="77" t="n">
        <f aca="false">'Revenue Streams'!AR$25+'Revenue Streams'!AR$26+'Revenue Streams'!AR$27+'Revenue Streams'!AR$28+'Revenue Streams'!AR$29+'Revenue Streams'!AR$35</f>
        <v>49201.9521456842</v>
      </c>
      <c r="AS7" s="77" t="n">
        <f aca="false">'Revenue Streams'!AS$25+'Revenue Streams'!AS$26+'Revenue Streams'!AS$27+'Revenue Streams'!AS$28+'Revenue Streams'!AS$29+'Revenue Streams'!AS$35</f>
        <v>50948.8901204525</v>
      </c>
      <c r="AT7" s="77" t="n">
        <f aca="false">'Revenue Streams'!AT$25+'Revenue Streams'!AT$26+'Revenue Streams'!AT$27+'Revenue Streams'!AT$28+'Revenue Streams'!AT$29+'Revenue Streams'!AT$35</f>
        <v>52744.9030081854</v>
      </c>
      <c r="AU7" s="77" t="n">
        <f aca="false">'Revenue Streams'!AU$25+'Revenue Streams'!AU$26+'Revenue Streams'!AU$27+'Revenue Streams'!AU$28+'Revenue Streams'!AU$29+'Revenue Streams'!AU$35</f>
        <v>54540.9158959183</v>
      </c>
      <c r="AV7" s="77" t="n">
        <f aca="false">'Revenue Streams'!AV$25+'Revenue Streams'!AV$26+'Revenue Streams'!AV$27+'Revenue Streams'!AV$28+'Revenue Streams'!AV$29+'Revenue Streams'!AV$35</f>
        <v>56532.6411789981</v>
      </c>
      <c r="AW7" s="77" t="n">
        <f aca="false">'Revenue Streams'!AW$25+'Revenue Streams'!AW$26+'Revenue Streams'!AW$27+'Revenue Streams'!AW$28+'Revenue Streams'!AW$29+'Revenue Streams'!AW$35</f>
        <v>58524.3664620779</v>
      </c>
      <c r="AX7" s="77" t="n">
        <f aca="false">'Revenue Streams'!AX$25+'Revenue Streams'!AX$26+'Revenue Streams'!AX$27+'Revenue Streams'!AX$28+'Revenue Streams'!AX$29+'Revenue Streams'!AX$35</f>
        <v>60516.0917451576</v>
      </c>
      <c r="AY7" s="77" t="n">
        <f aca="false">'Revenue Streams'!AY$25+'Revenue Streams'!AY$26+'Revenue Streams'!AY$27+'Revenue Streams'!AY$28+'Revenue Streams'!AY$29+'Revenue Streams'!AY$35</f>
        <v>62507.8170282374</v>
      </c>
      <c r="AZ7" s="77" t="n">
        <f aca="false">'Revenue Streams'!AZ$25+'Revenue Streams'!AZ$26+'Revenue Streams'!AZ$27+'Revenue Streams'!AZ$28+'Revenue Streams'!AZ$29+'Revenue Streams'!AZ$35</f>
        <v>64499.5423113172</v>
      </c>
      <c r="BA7" s="77" t="n">
        <f aca="false">'Revenue Streams'!BA$25+'Revenue Streams'!BA$26+'Revenue Streams'!BA$27+'Revenue Streams'!BA$28+'Revenue Streams'!BA$29+'Revenue Streams'!BA$35</f>
        <v>66491.267594397</v>
      </c>
      <c r="BB7" s="64" t="n">
        <f aca="false">SUM(BC7:BN7)</f>
        <v>1019922.03602652</v>
      </c>
      <c r="BC7" s="77" t="n">
        <f aca="false">'Revenue Streams'!BC$25+'Revenue Streams'!BC$26+'Revenue Streams'!BC$27+'Revenue Streams'!BC$28+'Revenue Streams'!BC$29+'Revenue Streams'!BC$35</f>
        <v>73302.4590688952</v>
      </c>
      <c r="BD7" s="77" t="n">
        <f aca="false">'Revenue Streams'!BD$25+'Revenue Streams'!BD$26+'Revenue Streams'!BD$27+'Revenue Streams'!BD$28+'Revenue Streams'!BD$29+'Revenue Streams'!BD$35</f>
        <v>75440.7503211691</v>
      </c>
      <c r="BE7" s="77" t="n">
        <f aca="false">'Revenue Streams'!BE$25+'Revenue Streams'!BE$26+'Revenue Streams'!BE$27+'Revenue Streams'!BE$28+'Revenue Streams'!BE$29+'Revenue Streams'!BE$35</f>
        <v>77577.9340128485</v>
      </c>
      <c r="BF7" s="77" t="n">
        <f aca="false">'Revenue Streams'!BF$25+'Revenue Streams'!BF$26+'Revenue Streams'!BF$27+'Revenue Streams'!BF$28+'Revenue Streams'!BF$29+'Revenue Streams'!BF$35</f>
        <v>79715.117704528</v>
      </c>
      <c r="BG7" s="77" t="n">
        <f aca="false">'Revenue Streams'!BG$25+'Revenue Streams'!BG$26+'Revenue Streams'!BG$27+'Revenue Streams'!BG$28+'Revenue Streams'!BG$29+'Revenue Streams'!BG$35</f>
        <v>81845.5369579906</v>
      </c>
      <c r="BH7" s="77" t="n">
        <f aca="false">'Revenue Streams'!BH$25+'Revenue Streams'!BH$26+'Revenue Streams'!BH$27+'Revenue Streams'!BH$28+'Revenue Streams'!BH$29+'Revenue Streams'!BH$35</f>
        <v>83975.9562114533</v>
      </c>
      <c r="BI7" s="77" t="n">
        <f aca="false">'Revenue Streams'!BI$25+'Revenue Streams'!BI$26+'Revenue Streams'!BI$27+'Revenue Streams'!BI$28+'Revenue Streams'!BI$29+'Revenue Streams'!BI$35</f>
        <v>86081.1249962588</v>
      </c>
      <c r="BJ7" s="77" t="n">
        <f aca="false">'Revenue Streams'!BJ$25+'Revenue Streams'!BJ$26+'Revenue Streams'!BJ$27+'Revenue Streams'!BJ$28+'Revenue Streams'!BJ$29+'Revenue Streams'!BJ$35</f>
        <v>88186.2937810643</v>
      </c>
      <c r="BK7" s="77" t="n">
        <f aca="false">'Revenue Streams'!BK$25+'Revenue Streams'!BK$26+'Revenue Streams'!BK$27+'Revenue Streams'!BK$28+'Revenue Streams'!BK$29+'Revenue Streams'!BK$35</f>
        <v>90291.4625658699</v>
      </c>
      <c r="BL7" s="77" t="n">
        <f aca="false">'Revenue Streams'!BL$25+'Revenue Streams'!BL$26+'Revenue Streams'!BL$27+'Revenue Streams'!BL$28+'Revenue Streams'!BL$29+'Revenue Streams'!BL$35</f>
        <v>92396.6313506754</v>
      </c>
      <c r="BM7" s="77" t="n">
        <f aca="false">'Revenue Streams'!BM$25+'Revenue Streams'!BM$26+'Revenue Streams'!BM$27+'Revenue Streams'!BM$28+'Revenue Streams'!BM$29+'Revenue Streams'!BM$35</f>
        <v>94501.8001354809</v>
      </c>
      <c r="BN7" s="77" t="n">
        <f aca="false">'Revenue Streams'!BN$25+'Revenue Streams'!BN$26+'Revenue Streams'!BN$27+'Revenue Streams'!BN$28+'Revenue Streams'!BN$29+'Revenue Streams'!BN$35</f>
        <v>96606.9689202865</v>
      </c>
    </row>
    <row r="8" customFormat="false" ht="15" hidden="false" customHeight="false" outlineLevel="0" collapsed="false">
      <c r="A8" s="12" t="s">
        <v>735</v>
      </c>
      <c r="B8" s="64" t="n">
        <f aca="false">SUM(C8:N8)</f>
        <v>82028.3029410217</v>
      </c>
      <c r="C8" s="76" t="n">
        <f aca="false">'Revenue Streams'!C$25</f>
        <v>2916.66666666667</v>
      </c>
      <c r="D8" s="76" t="n">
        <f aca="false">'Revenue Streams'!D$25</f>
        <v>4666.66666666667</v>
      </c>
      <c r="E8" s="76" t="n">
        <f aca="false">'Revenue Streams'!E$25</f>
        <v>5833.33333333333</v>
      </c>
      <c r="F8" s="76" t="n">
        <f aca="false">'Revenue Streams'!F$25</f>
        <v>5833.33333333333</v>
      </c>
      <c r="G8" s="76" t="n">
        <f aca="false">'Revenue Streams'!G$25</f>
        <v>5833.33333333333</v>
      </c>
      <c r="H8" s="76" t="n">
        <f aca="false">'Revenue Streams'!H$25</f>
        <v>5833.33333333333</v>
      </c>
      <c r="I8" s="76" t="n">
        <f aca="false">'Revenue Streams'!I$25</f>
        <v>6600.55410830262</v>
      </c>
      <c r="J8" s="76" t="n">
        <f aca="false">'Revenue Streams'!J$25</f>
        <v>7367.77488327191</v>
      </c>
      <c r="K8" s="76" t="n">
        <f aca="false">'Revenue Streams'!K$25</f>
        <v>8134.9956582412</v>
      </c>
      <c r="L8" s="76" t="n">
        <f aca="false">'Revenue Streams'!L$25</f>
        <v>8902.21643321048</v>
      </c>
      <c r="M8" s="76" t="n">
        <f aca="false">'Revenue Streams'!M$25</f>
        <v>9669.43720817977</v>
      </c>
      <c r="N8" s="76" t="n">
        <f aca="false">'Revenue Streams'!N$25</f>
        <v>10436.6579831491</v>
      </c>
      <c r="O8" s="64" t="n">
        <f aca="false">SUM(P8:AA8)</f>
        <v>183514.748749047</v>
      </c>
      <c r="P8" s="76" t="n">
        <f aca="false">'Revenue Streams'!P$25</f>
        <v>11827.0516172291</v>
      </c>
      <c r="Q8" s="76" t="n">
        <f aca="false">'Revenue Streams'!Q$25</f>
        <v>12322.8745670391</v>
      </c>
      <c r="R8" s="76" t="n">
        <f aca="false">'Revenue Streams'!R$25</f>
        <v>12868.2798118302</v>
      </c>
      <c r="S8" s="76" t="n">
        <f aca="false">'Revenue Streams'!S$25</f>
        <v>13413.6850566213</v>
      </c>
      <c r="T8" s="76" t="n">
        <f aca="false">'Revenue Streams'!T$25</f>
        <v>13959.0903014124</v>
      </c>
      <c r="U8" s="76" t="n">
        <f aca="false">'Revenue Streams'!U$25</f>
        <v>14504.4955462035</v>
      </c>
      <c r="V8" s="76" t="n">
        <f aca="false">'Revenue Streams'!V$25</f>
        <v>15342.2240496078</v>
      </c>
      <c r="W8" s="76" t="n">
        <f aca="false">'Revenue Streams'!W$25</f>
        <v>16179.9525530121</v>
      </c>
      <c r="X8" s="76" t="n">
        <f aca="false">'Revenue Streams'!X$25</f>
        <v>17017.6810564164</v>
      </c>
      <c r="Y8" s="76" t="n">
        <f aca="false">'Revenue Streams'!Y$25</f>
        <v>17855.4095598207</v>
      </c>
      <c r="Z8" s="76" t="n">
        <f aca="false">'Revenue Streams'!Z$25</f>
        <v>18693.1380632251</v>
      </c>
      <c r="AA8" s="76" t="n">
        <f aca="false">'Revenue Streams'!AA$25</f>
        <v>19530.8665666294</v>
      </c>
      <c r="AB8" s="64" t="n">
        <f aca="false">SUM(AC8:AN8)</f>
        <v>251697.325599111</v>
      </c>
      <c r="AC8" s="76" t="n">
        <f aca="false">'Revenue Streams'!AC$25</f>
        <v>19051.1755837516</v>
      </c>
      <c r="AD8" s="76" t="n">
        <f aca="false">'Revenue Streams'!AD$25</f>
        <v>17915.6039096498</v>
      </c>
      <c r="AE8" s="76" t="n">
        <f aca="false">'Revenue Streams'!AE$25</f>
        <v>17567.7075379023</v>
      </c>
      <c r="AF8" s="76" t="n">
        <f aca="false">'Revenue Streams'!AF$25</f>
        <v>18619.8111661548</v>
      </c>
      <c r="AG8" s="76" t="n">
        <f aca="false">'Revenue Streams'!AG$25</f>
        <v>19671.9147944073</v>
      </c>
      <c r="AH8" s="76" t="n">
        <f aca="false">'Revenue Streams'!AH$25</f>
        <v>20724.0184226598</v>
      </c>
      <c r="AI8" s="76" t="n">
        <f aca="false">'Revenue Streams'!AI$25</f>
        <v>21381.3033583087</v>
      </c>
      <c r="AJ8" s="76" t="n">
        <f aca="false">'Revenue Streams'!AJ$25</f>
        <v>22038.5882939576</v>
      </c>
      <c r="AK8" s="76" t="n">
        <f aca="false">'Revenue Streams'!AK$25</f>
        <v>22695.8732296065</v>
      </c>
      <c r="AL8" s="76" t="n">
        <f aca="false">'Revenue Streams'!AL$25</f>
        <v>23353.1581652554</v>
      </c>
      <c r="AM8" s="76" t="n">
        <f aca="false">'Revenue Streams'!AM$25</f>
        <v>24010.4431009043</v>
      </c>
      <c r="AN8" s="76" t="n">
        <f aca="false">'Revenue Streams'!AN$25</f>
        <v>24667.7280365531</v>
      </c>
      <c r="AO8" s="64" t="n">
        <f aca="false">SUM(AP8:BA8)</f>
        <v>407584.880188458</v>
      </c>
      <c r="AP8" s="76" t="n">
        <f aca="false">'Revenue Streams'!AP$25</f>
        <v>27533.2104245372</v>
      </c>
      <c r="AQ8" s="76" t="n">
        <f aca="false">'Revenue Streams'!AQ$25</f>
        <v>28636.7122384818</v>
      </c>
      <c r="AR8" s="76" t="n">
        <f aca="false">'Revenue Streams'!AR$25</f>
        <v>29751.9423672201</v>
      </c>
      <c r="AS8" s="76" t="n">
        <f aca="false">'Revenue Streams'!AS$25</f>
        <v>30867.1724959583</v>
      </c>
      <c r="AT8" s="76" t="n">
        <f aca="false">'Revenue Streams'!AT$25</f>
        <v>31982.4026246966</v>
      </c>
      <c r="AU8" s="76" t="n">
        <f aca="false">'Revenue Streams'!AU$25</f>
        <v>33097.6327534349</v>
      </c>
      <c r="AV8" s="76" t="n">
        <f aca="false">'Revenue Streams'!AV$25</f>
        <v>34389.5380278882</v>
      </c>
      <c r="AW8" s="76" t="n">
        <f aca="false">'Revenue Streams'!AW$25</f>
        <v>35681.4433023415</v>
      </c>
      <c r="AX8" s="76" t="n">
        <f aca="false">'Revenue Streams'!AX$25</f>
        <v>36973.3485767948</v>
      </c>
      <c r="AY8" s="76" t="n">
        <f aca="false">'Revenue Streams'!AY$25</f>
        <v>38265.2538512482</v>
      </c>
      <c r="AZ8" s="76" t="n">
        <f aca="false">'Revenue Streams'!AZ$25</f>
        <v>39557.1591257015</v>
      </c>
      <c r="BA8" s="76" t="n">
        <f aca="false">'Revenue Streams'!BA$25</f>
        <v>40849.0644001548</v>
      </c>
      <c r="BB8" s="64" t="n">
        <f aca="false">SUM(BC8:BN8)</f>
        <v>626307.109119205</v>
      </c>
      <c r="BC8" s="76" t="n">
        <f aca="false">'Revenue Streams'!BC$25</f>
        <v>44906.3472246101</v>
      </c>
      <c r="BD8" s="76" t="n">
        <f aca="false">'Revenue Streams'!BD$25</f>
        <v>46240.3590890552</v>
      </c>
      <c r="BE8" s="76" t="n">
        <f aca="false">'Revenue Streams'!BE$25</f>
        <v>47571.6192345712</v>
      </c>
      <c r="BF8" s="76" t="n">
        <f aca="false">'Revenue Streams'!BF$25</f>
        <v>48902.8793800872</v>
      </c>
      <c r="BG8" s="76" t="n">
        <f aca="false">'Revenue Streams'!BG$25</f>
        <v>50234.1395256032</v>
      </c>
      <c r="BH8" s="76" t="n">
        <f aca="false">'Revenue Streams'!BH$25</f>
        <v>51565.3996711192</v>
      </c>
      <c r="BI8" s="76" t="n">
        <f aca="false">'Revenue Streams'!BI$25</f>
        <v>52874.6361933784</v>
      </c>
      <c r="BJ8" s="76" t="n">
        <f aca="false">'Revenue Streams'!BJ$25</f>
        <v>54183.8727156377</v>
      </c>
      <c r="BK8" s="76" t="n">
        <f aca="false">'Revenue Streams'!BK$25</f>
        <v>55493.1092378969</v>
      </c>
      <c r="BL8" s="76" t="n">
        <f aca="false">'Revenue Streams'!BL$25</f>
        <v>56802.3457601562</v>
      </c>
      <c r="BM8" s="76" t="n">
        <f aca="false">'Revenue Streams'!BM$25</f>
        <v>58111.5822824154</v>
      </c>
      <c r="BN8" s="76" t="n">
        <f aca="false">'Revenue Streams'!BN$25</f>
        <v>59420.8188046747</v>
      </c>
    </row>
    <row r="9" customFormat="false" ht="15" hidden="false" customHeight="false" outlineLevel="0" collapsed="false">
      <c r="A9" s="12" t="s">
        <v>736</v>
      </c>
      <c r="B9" s="64" t="n">
        <f aca="false">SUM(C9:N9)</f>
        <v>0</v>
      </c>
      <c r="C9" s="76" t="n">
        <f aca="false">'Revenue Streams'!C$26</f>
        <v>0</v>
      </c>
      <c r="D9" s="76" t="n">
        <f aca="false">'Revenue Streams'!D$26</f>
        <v>0</v>
      </c>
      <c r="E9" s="76" t="n">
        <f aca="false">'Revenue Streams'!E$26</f>
        <v>0</v>
      </c>
      <c r="F9" s="76" t="n">
        <f aca="false">'Revenue Streams'!F$26</f>
        <v>0</v>
      </c>
      <c r="G9" s="76" t="n">
        <f aca="false">'Revenue Streams'!G$26</f>
        <v>0</v>
      </c>
      <c r="H9" s="76" t="n">
        <f aca="false">'Revenue Streams'!H$26</f>
        <v>0</v>
      </c>
      <c r="I9" s="76" t="n">
        <f aca="false">'Revenue Streams'!I$26</f>
        <v>0</v>
      </c>
      <c r="J9" s="76" t="n">
        <f aca="false">'Revenue Streams'!J$26</f>
        <v>0</v>
      </c>
      <c r="K9" s="76" t="n">
        <f aca="false">'Revenue Streams'!K$26</f>
        <v>0</v>
      </c>
      <c r="L9" s="76" t="n">
        <f aca="false">'Revenue Streams'!L$26</f>
        <v>0</v>
      </c>
      <c r="M9" s="76" t="n">
        <f aca="false">'Revenue Streams'!M$26</f>
        <v>0</v>
      </c>
      <c r="N9" s="76" t="n">
        <f aca="false">'Revenue Streams'!N$26</f>
        <v>0</v>
      </c>
      <c r="O9" s="64" t="n">
        <f aca="false">SUM(P9:AA9)</f>
        <v>4003.36882021217</v>
      </c>
      <c r="P9" s="76" t="n">
        <f aca="false">'Revenue Streams'!P$26</f>
        <v>41.7535115629544</v>
      </c>
      <c r="Q9" s="76" t="n">
        <f aca="false">'Revenue Streams'!Q$26</f>
        <v>83.5070231259088</v>
      </c>
      <c r="R9" s="76" t="n">
        <f aca="false">'Revenue Streams'!R$26</f>
        <v>129.435885845159</v>
      </c>
      <c r="S9" s="76" t="n">
        <f aca="false">'Revenue Streams'!S$26</f>
        <v>175.364748564408</v>
      </c>
      <c r="T9" s="76" t="n">
        <f aca="false">'Revenue Streams'!T$26</f>
        <v>221.293611283658</v>
      </c>
      <c r="U9" s="76" t="n">
        <f aca="false">'Revenue Streams'!U$26</f>
        <v>267.222474002908</v>
      </c>
      <c r="V9" s="76" t="n">
        <f aca="false">'Revenue Streams'!V$26</f>
        <v>337.768032184324</v>
      </c>
      <c r="W9" s="76" t="n">
        <f aca="false">'Revenue Streams'!W$26</f>
        <v>408.313590365739</v>
      </c>
      <c r="X9" s="76" t="n">
        <f aca="false">'Revenue Streams'!X$26</f>
        <v>478.859148547154</v>
      </c>
      <c r="Y9" s="76" t="n">
        <f aca="false">'Revenue Streams'!Y$26</f>
        <v>549.40470672857</v>
      </c>
      <c r="Z9" s="76" t="n">
        <f aca="false">'Revenue Streams'!Z$26</f>
        <v>619.950264909985</v>
      </c>
      <c r="AA9" s="76" t="n">
        <f aca="false">'Revenue Streams'!AA$26</f>
        <v>690.495823091401</v>
      </c>
      <c r="AB9" s="64" t="n">
        <f aca="false">SUM(AC9:AN9)</f>
        <v>11731.940268675</v>
      </c>
      <c r="AC9" s="76" t="n">
        <f aca="false">'Revenue Streams'!AC$26</f>
        <v>840.750689225992</v>
      </c>
      <c r="AD9" s="76" t="n">
        <f aca="false">'Revenue Streams'!AD$26</f>
        <v>861.537588530945</v>
      </c>
      <c r="AE9" s="76" t="n">
        <f aca="false">'Revenue Streams'!AE$26</f>
        <v>883.76345781834</v>
      </c>
      <c r="AF9" s="76" t="n">
        <f aca="false">'Revenue Streams'!AF$26</f>
        <v>905.989327105735</v>
      </c>
      <c r="AG9" s="76" t="n">
        <f aca="false">'Revenue Streams'!AG$26</f>
        <v>928.215196393129</v>
      </c>
      <c r="AH9" s="76" t="n">
        <f aca="false">'Revenue Streams'!AH$26</f>
        <v>950.441065680524</v>
      </c>
      <c r="AI9" s="76" t="n">
        <f aca="false">'Revenue Streams'!AI$26</f>
        <v>981.80280614896</v>
      </c>
      <c r="AJ9" s="76" t="n">
        <f aca="false">'Revenue Streams'!AJ$26</f>
        <v>1013.16454661739</v>
      </c>
      <c r="AK9" s="76" t="n">
        <f aca="false">'Revenue Streams'!AK$26</f>
        <v>1044.52628708583</v>
      </c>
      <c r="AL9" s="76" t="n">
        <f aca="false">'Revenue Streams'!AL$26</f>
        <v>1075.88802755427</v>
      </c>
      <c r="AM9" s="76" t="n">
        <f aca="false">'Revenue Streams'!AM$26</f>
        <v>1107.2497680227</v>
      </c>
      <c r="AN9" s="76" t="n">
        <f aca="false">'Revenue Streams'!AN$26</f>
        <v>1138.61150849114</v>
      </c>
      <c r="AO9" s="64" t="n">
        <f aca="false">SUM(AP9:BA9)</f>
        <v>19694.6768111014</v>
      </c>
      <c r="AP9" s="76" t="n">
        <f aca="false">'Revenue Streams'!AP$26</f>
        <v>1370.22589001626</v>
      </c>
      <c r="AQ9" s="76" t="n">
        <f aca="false">'Revenue Streams'!AQ$26</f>
        <v>1422.05950704278</v>
      </c>
      <c r="AR9" s="76" t="n">
        <f aca="false">'Revenue Streams'!AR$26</f>
        <v>1472.0405794905</v>
      </c>
      <c r="AS9" s="76" t="n">
        <f aca="false">'Revenue Streams'!AS$26</f>
        <v>1522.02165193823</v>
      </c>
      <c r="AT9" s="76" t="n">
        <f aca="false">'Revenue Streams'!AT$26</f>
        <v>1572.00272438595</v>
      </c>
      <c r="AU9" s="76" t="n">
        <f aca="false">'Revenue Streams'!AU$26</f>
        <v>1621.98379683368</v>
      </c>
      <c r="AV9" s="76" t="n">
        <f aca="false">'Revenue Streams'!AV$26</f>
        <v>1668.76664828091</v>
      </c>
      <c r="AW9" s="76" t="n">
        <f aca="false">'Revenue Streams'!AW$26</f>
        <v>1715.54949972815</v>
      </c>
      <c r="AX9" s="76" t="n">
        <f aca="false">'Revenue Streams'!AX$26</f>
        <v>1762.33235117539</v>
      </c>
      <c r="AY9" s="76" t="n">
        <f aca="false">'Revenue Streams'!AY$26</f>
        <v>1809.11520262262</v>
      </c>
      <c r="AZ9" s="76" t="n">
        <f aca="false">'Revenue Streams'!AZ$26</f>
        <v>1855.89805406986</v>
      </c>
      <c r="BA9" s="76" t="n">
        <f aca="false">'Revenue Streams'!BA$26</f>
        <v>1902.6809055171</v>
      </c>
      <c r="BB9" s="64" t="n">
        <f aca="false">SUM(BC9:BN9)</f>
        <v>29023.535856447</v>
      </c>
      <c r="BC9" s="76" t="n">
        <f aca="false">'Revenue Streams'!BC$26</f>
        <v>2126.68773487018</v>
      </c>
      <c r="BD9" s="76" t="n">
        <f aca="false">'Revenue Streams'!BD$26</f>
        <v>2177.72357281262</v>
      </c>
      <c r="BE9" s="76" t="n">
        <f aca="false">'Revenue Streams'!BE$26</f>
        <v>2230.55845566053</v>
      </c>
      <c r="BF9" s="76" t="n">
        <f aca="false">'Revenue Streams'!BF$26</f>
        <v>2283.39333850844</v>
      </c>
      <c r="BG9" s="76" t="n">
        <f aca="false">'Revenue Streams'!BG$26</f>
        <v>2336.22822135635</v>
      </c>
      <c r="BH9" s="76" t="n">
        <f aca="false">'Revenue Streams'!BH$26</f>
        <v>2389.06310420426</v>
      </c>
      <c r="BI9" s="76" t="n">
        <f aca="false">'Revenue Streams'!BI$26</f>
        <v>2443.61085676659</v>
      </c>
      <c r="BJ9" s="76" t="n">
        <f aca="false">'Revenue Streams'!BJ$26</f>
        <v>2498.15860932893</v>
      </c>
      <c r="BK9" s="76" t="n">
        <f aca="false">'Revenue Streams'!BK$26</f>
        <v>2552.70636189127</v>
      </c>
      <c r="BL9" s="76" t="n">
        <f aca="false">'Revenue Streams'!BL$26</f>
        <v>2607.25411445361</v>
      </c>
      <c r="BM9" s="76" t="n">
        <f aca="false">'Revenue Streams'!BM$26</f>
        <v>2661.80186701594</v>
      </c>
      <c r="BN9" s="76" t="n">
        <f aca="false">'Revenue Streams'!BN$26</f>
        <v>2716.34961957828</v>
      </c>
    </row>
    <row r="10" customFormat="false" ht="15" hidden="false" customHeight="false" outlineLevel="0" collapsed="false">
      <c r="A10" s="12" t="s">
        <v>737</v>
      </c>
      <c r="B10" s="64" t="n">
        <f aca="false">SUM(C10:N10)</f>
        <v>0</v>
      </c>
      <c r="C10" s="76" t="n">
        <f aca="false">'Revenue Streams'!C$27</f>
        <v>0</v>
      </c>
      <c r="D10" s="76" t="n">
        <f aca="false">'Revenue Streams'!D$27</f>
        <v>0</v>
      </c>
      <c r="E10" s="76" t="n">
        <f aca="false">'Revenue Streams'!E$27</f>
        <v>0</v>
      </c>
      <c r="F10" s="76" t="n">
        <f aca="false">'Revenue Streams'!F$27</f>
        <v>0</v>
      </c>
      <c r="G10" s="76" t="n">
        <f aca="false">'Revenue Streams'!G$27</f>
        <v>0</v>
      </c>
      <c r="H10" s="76" t="n">
        <f aca="false">'Revenue Streams'!H$27</f>
        <v>0</v>
      </c>
      <c r="I10" s="76" t="n">
        <f aca="false">'Revenue Streams'!I$27</f>
        <v>0</v>
      </c>
      <c r="J10" s="76" t="n">
        <f aca="false">'Revenue Streams'!J$27</f>
        <v>0</v>
      </c>
      <c r="K10" s="76" t="n">
        <f aca="false">'Revenue Streams'!K$27</f>
        <v>0</v>
      </c>
      <c r="L10" s="76" t="n">
        <f aca="false">'Revenue Streams'!L$27</f>
        <v>0</v>
      </c>
      <c r="M10" s="76" t="n">
        <f aca="false">'Revenue Streams'!M$27</f>
        <v>0</v>
      </c>
      <c r="N10" s="76" t="n">
        <f aca="false">'Revenue Streams'!N$27</f>
        <v>0</v>
      </c>
      <c r="O10" s="64" t="n">
        <f aca="false">SUM(P10:AA10)</f>
        <v>11384.5800824784</v>
      </c>
      <c r="P10" s="76" t="n">
        <f aca="false">'Revenue Streams'!P$27</f>
        <v>118.736548507152</v>
      </c>
      <c r="Q10" s="76" t="n">
        <f aca="false">'Revenue Streams'!Q$27</f>
        <v>237.473097014303</v>
      </c>
      <c r="R10" s="76" t="n">
        <f aca="false">'Revenue Streams'!R$27</f>
        <v>368.08330037217</v>
      </c>
      <c r="S10" s="76" t="n">
        <f aca="false">'Revenue Streams'!S$27</f>
        <v>498.693503730037</v>
      </c>
      <c r="T10" s="76" t="n">
        <f aca="false">'Revenue Streams'!T$27</f>
        <v>629.303707087903</v>
      </c>
      <c r="U10" s="76" t="n">
        <f aca="false">'Revenue Streams'!U$27</f>
        <v>759.91391044577</v>
      </c>
      <c r="V10" s="76" t="n">
        <f aca="false">'Revenue Streams'!V$27</f>
        <v>960.52784152417</v>
      </c>
      <c r="W10" s="76" t="n">
        <f aca="false">'Revenue Streams'!W$27</f>
        <v>1161.14177260257</v>
      </c>
      <c r="X10" s="76" t="n">
        <f aca="false">'Revenue Streams'!X$27</f>
        <v>1361.75570368097</v>
      </c>
      <c r="Y10" s="76" t="n">
        <f aca="false">'Revenue Streams'!Y$27</f>
        <v>1562.36963475937</v>
      </c>
      <c r="Z10" s="76" t="n">
        <f aca="false">'Revenue Streams'!Z$27</f>
        <v>1762.98356583777</v>
      </c>
      <c r="AA10" s="76" t="n">
        <f aca="false">'Revenue Streams'!AA$27</f>
        <v>1963.59749691617</v>
      </c>
      <c r="AB10" s="64" t="n">
        <f aca="false">SUM(AC10:AN10)</f>
        <v>44034.8154047817</v>
      </c>
      <c r="AC10" s="76" t="n">
        <f aca="false">'Revenue Streams'!AC$27</f>
        <v>2378.12626044765</v>
      </c>
      <c r="AD10" s="76" t="n">
        <f aca="false">'Revenue Streams'!AD$27</f>
        <v>2566.08608202725</v>
      </c>
      <c r="AE10" s="76" t="n">
        <f aca="false">'Revenue Streams'!AE$27</f>
        <v>2771.1331601141</v>
      </c>
      <c r="AF10" s="76" t="n">
        <f aca="false">'Revenue Streams'!AF$27</f>
        <v>2976.18023820095</v>
      </c>
      <c r="AG10" s="76" t="n">
        <f aca="false">'Revenue Streams'!AG$27</f>
        <v>3181.22731628779</v>
      </c>
      <c r="AH10" s="76" t="n">
        <f aca="false">'Revenue Streams'!AH$27</f>
        <v>3386.27439437464</v>
      </c>
      <c r="AI10" s="76" t="n">
        <f aca="false">'Revenue Streams'!AI$27</f>
        <v>3693.80494614042</v>
      </c>
      <c r="AJ10" s="76" t="n">
        <f aca="false">'Revenue Streams'!AJ$27</f>
        <v>4001.33549790621</v>
      </c>
      <c r="AK10" s="76" t="n">
        <f aca="false">'Revenue Streams'!AK$27</f>
        <v>4308.866049672</v>
      </c>
      <c r="AL10" s="76" t="n">
        <f aca="false">'Revenue Streams'!AL$27</f>
        <v>4616.39660143779</v>
      </c>
      <c r="AM10" s="76" t="n">
        <f aca="false">'Revenue Streams'!AM$27</f>
        <v>4923.92715320357</v>
      </c>
      <c r="AN10" s="76" t="n">
        <f aca="false">'Revenue Streams'!AN$27</f>
        <v>5231.45770496936</v>
      </c>
      <c r="AO10" s="64" t="n">
        <f aca="false">SUM(AP10:BA10)</f>
        <v>82063.0594107807</v>
      </c>
      <c r="AP10" s="76" t="n">
        <f aca="false">'Revenue Streams'!AP$27</f>
        <v>5779.41694671167</v>
      </c>
      <c r="AQ10" s="76" t="n">
        <f aca="false">'Revenue Streams'!AQ$27</f>
        <v>5966.58600190437</v>
      </c>
      <c r="AR10" s="76" t="n">
        <f aca="false">'Revenue Streams'!AR$27</f>
        <v>6153.29548855508</v>
      </c>
      <c r="AS10" s="76" t="n">
        <f aca="false">'Revenue Streams'!AS$27</f>
        <v>6340.00497520579</v>
      </c>
      <c r="AT10" s="76" t="n">
        <f aca="false">'Revenue Streams'!AT$27</f>
        <v>6526.71446185651</v>
      </c>
      <c r="AU10" s="76" t="n">
        <f aca="false">'Revenue Streams'!AU$27</f>
        <v>6713.42394850722</v>
      </c>
      <c r="AV10" s="76" t="n">
        <f aca="false">'Revenue Streams'!AV$27</f>
        <v>6918.33222931659</v>
      </c>
      <c r="AW10" s="76" t="n">
        <f aca="false">'Revenue Streams'!AW$27</f>
        <v>7123.24051012596</v>
      </c>
      <c r="AX10" s="76" t="n">
        <f aca="false">'Revenue Streams'!AX$27</f>
        <v>7328.14879093533</v>
      </c>
      <c r="AY10" s="76" t="n">
        <f aca="false">'Revenue Streams'!AY$27</f>
        <v>7533.0570717447</v>
      </c>
      <c r="AZ10" s="76" t="n">
        <f aca="false">'Revenue Streams'!AZ$27</f>
        <v>7737.96535255407</v>
      </c>
      <c r="BA10" s="76" t="n">
        <f aca="false">'Revenue Streams'!BA$27</f>
        <v>7942.87363336344</v>
      </c>
      <c r="BB10" s="64" t="n">
        <f aca="false">SUM(BC10:BN10)</f>
        <v>121536.409783717</v>
      </c>
      <c r="BC10" s="76" t="n">
        <f aca="false">'Revenue Streams'!BC$27</f>
        <v>8714.18532332405</v>
      </c>
      <c r="BD10" s="76" t="n">
        <f aca="false">'Revenue Streams'!BD$27</f>
        <v>8973.05355306767</v>
      </c>
      <c r="BE10" s="76" t="n">
        <f aca="false">'Revenue Streams'!BE$27</f>
        <v>9231.38780509572</v>
      </c>
      <c r="BF10" s="76" t="n">
        <f aca="false">'Revenue Streams'!BF$27</f>
        <v>9489.72205712378</v>
      </c>
      <c r="BG10" s="76" t="n">
        <f aca="false">'Revenue Streams'!BG$27</f>
        <v>9748.05630915184</v>
      </c>
      <c r="BH10" s="76" t="n">
        <f aca="false">'Revenue Streams'!BH$27</f>
        <v>10006.3905611799</v>
      </c>
      <c r="BI10" s="76" t="n">
        <f aca="false">'Revenue Streams'!BI$27</f>
        <v>10260.451075832</v>
      </c>
      <c r="BJ10" s="76" t="n">
        <f aca="false">'Revenue Streams'!BJ$27</f>
        <v>10514.5115904841</v>
      </c>
      <c r="BK10" s="76" t="n">
        <f aca="false">'Revenue Streams'!BK$27</f>
        <v>10768.5721051363</v>
      </c>
      <c r="BL10" s="76" t="n">
        <f aca="false">'Revenue Streams'!BL$27</f>
        <v>11022.6326197884</v>
      </c>
      <c r="BM10" s="76" t="n">
        <f aca="false">'Revenue Streams'!BM$27</f>
        <v>11276.6931344405</v>
      </c>
      <c r="BN10" s="76" t="n">
        <f aca="false">'Revenue Streams'!BN$27</f>
        <v>11530.7536490926</v>
      </c>
    </row>
    <row r="11" customFormat="false" ht="15" hidden="false" customHeight="false" outlineLevel="0" collapsed="false">
      <c r="A11" s="12" t="s">
        <v>738</v>
      </c>
      <c r="B11" s="64" t="n">
        <f aca="false">SUM(C11:N11)</f>
        <v>0</v>
      </c>
      <c r="C11" s="76" t="n">
        <f aca="false">'Revenue Streams'!C$28</f>
        <v>0</v>
      </c>
      <c r="D11" s="76" t="n">
        <f aca="false">'Revenue Streams'!D$28</f>
        <v>0</v>
      </c>
      <c r="E11" s="76" t="n">
        <f aca="false">'Revenue Streams'!E$28</f>
        <v>0</v>
      </c>
      <c r="F11" s="76" t="n">
        <f aca="false">'Revenue Streams'!F$28</f>
        <v>0</v>
      </c>
      <c r="G11" s="76" t="n">
        <f aca="false">'Revenue Streams'!G$28</f>
        <v>0</v>
      </c>
      <c r="H11" s="76" t="n">
        <f aca="false">'Revenue Streams'!H$28</f>
        <v>0</v>
      </c>
      <c r="I11" s="76" t="n">
        <f aca="false">'Revenue Streams'!I$28</f>
        <v>0</v>
      </c>
      <c r="J11" s="76" t="n">
        <f aca="false">'Revenue Streams'!J$28</f>
        <v>0</v>
      </c>
      <c r="K11" s="76" t="n">
        <f aca="false">'Revenue Streams'!K$28</f>
        <v>0</v>
      </c>
      <c r="L11" s="76" t="n">
        <f aca="false">'Revenue Streams'!L$28</f>
        <v>0</v>
      </c>
      <c r="M11" s="76" t="n">
        <f aca="false">'Revenue Streams'!M$28</f>
        <v>0</v>
      </c>
      <c r="N11" s="76" t="n">
        <f aca="false">'Revenue Streams'!N$28</f>
        <v>0</v>
      </c>
      <c r="O11" s="64" t="n">
        <f aca="false">SUM(P11:AA11)</f>
        <v>0</v>
      </c>
      <c r="P11" s="76" t="n">
        <f aca="false">'Revenue Streams'!P$28</f>
        <v>0</v>
      </c>
      <c r="Q11" s="76" t="n">
        <f aca="false">'Revenue Streams'!Q$28</f>
        <v>0</v>
      </c>
      <c r="R11" s="76" t="n">
        <f aca="false">'Revenue Streams'!R$28</f>
        <v>0</v>
      </c>
      <c r="S11" s="76" t="n">
        <f aca="false">'Revenue Streams'!S$28</f>
        <v>0</v>
      </c>
      <c r="T11" s="76" t="n">
        <f aca="false">'Revenue Streams'!T$28</f>
        <v>0</v>
      </c>
      <c r="U11" s="76" t="n">
        <f aca="false">'Revenue Streams'!U$28</f>
        <v>0</v>
      </c>
      <c r="V11" s="76" t="n">
        <f aca="false">'Revenue Streams'!V$28</f>
        <v>0</v>
      </c>
      <c r="W11" s="76" t="n">
        <f aca="false">'Revenue Streams'!W$28</f>
        <v>0</v>
      </c>
      <c r="X11" s="76" t="n">
        <f aca="false">'Revenue Streams'!X$28</f>
        <v>0</v>
      </c>
      <c r="Y11" s="76" t="n">
        <f aca="false">'Revenue Streams'!Y$28</f>
        <v>0</v>
      </c>
      <c r="Z11" s="76" t="n">
        <f aca="false">'Revenue Streams'!Z$28</f>
        <v>0</v>
      </c>
      <c r="AA11" s="76" t="n">
        <f aca="false">'Revenue Streams'!AA$28</f>
        <v>0</v>
      </c>
      <c r="AB11" s="64" t="n">
        <f aca="false">SUM(AC11:AN11)</f>
        <v>2098.85534640772</v>
      </c>
      <c r="AC11" s="76" t="n">
        <f aca="false">'Revenue Streams'!AC$28</f>
        <v>22.2218508271459</v>
      </c>
      <c r="AD11" s="76" t="n">
        <f aca="false">'Revenue Streams'!AD$28</f>
        <v>44.4437016542917</v>
      </c>
      <c r="AE11" s="76" t="n">
        <f aca="false">'Revenue Streams'!AE$28</f>
        <v>68.6857207384508</v>
      </c>
      <c r="AF11" s="76" t="n">
        <f aca="false">'Revenue Streams'!AF$28</f>
        <v>92.9277398226099</v>
      </c>
      <c r="AG11" s="76" t="n">
        <f aca="false">'Revenue Streams'!AG$28</f>
        <v>117.169758906769</v>
      </c>
      <c r="AH11" s="76" t="n">
        <f aca="false">'Revenue Streams'!AH$28</f>
        <v>141.411777990928</v>
      </c>
      <c r="AI11" s="76" t="n">
        <f aca="false">'Revenue Streams'!AI$28</f>
        <v>177.770069825307</v>
      </c>
      <c r="AJ11" s="76" t="n">
        <f aca="false">'Revenue Streams'!AJ$28</f>
        <v>214.128361659686</v>
      </c>
      <c r="AK11" s="76" t="n">
        <f aca="false">'Revenue Streams'!AK$28</f>
        <v>250.486653494064</v>
      </c>
      <c r="AL11" s="76" t="n">
        <f aca="false">'Revenue Streams'!AL$28</f>
        <v>286.844945328443</v>
      </c>
      <c r="AM11" s="76" t="n">
        <f aca="false">'Revenue Streams'!AM$28</f>
        <v>323.203237162822</v>
      </c>
      <c r="AN11" s="76" t="n">
        <f aca="false">'Revenue Streams'!AN$28</f>
        <v>359.561528997201</v>
      </c>
      <c r="AO11" s="64" t="n">
        <f aca="false">SUM(AP11:BA11)</f>
        <v>5818.88178509814</v>
      </c>
      <c r="AP11" s="76" t="n">
        <f aca="false">'Revenue Streams'!AP$28</f>
        <v>404.839467504803</v>
      </c>
      <c r="AQ11" s="76" t="n">
        <f aca="false">'Revenue Streams'!AQ$28</f>
        <v>420.153945262639</v>
      </c>
      <c r="AR11" s="76" t="n">
        <f aca="false">'Revenue Streams'!AR$28</f>
        <v>434.921080304012</v>
      </c>
      <c r="AS11" s="76" t="n">
        <f aca="false">'Revenue Streams'!AS$28</f>
        <v>449.688215345385</v>
      </c>
      <c r="AT11" s="76" t="n">
        <f aca="false">'Revenue Streams'!AT$28</f>
        <v>464.455350386758</v>
      </c>
      <c r="AU11" s="76" t="n">
        <f aca="false">'Revenue Streams'!AU$28</f>
        <v>479.222485428131</v>
      </c>
      <c r="AV11" s="76" t="n">
        <f aca="false">'Revenue Streams'!AV$28</f>
        <v>493.044691537542</v>
      </c>
      <c r="AW11" s="76" t="n">
        <f aca="false">'Revenue Streams'!AW$28</f>
        <v>506.866897646953</v>
      </c>
      <c r="AX11" s="76" t="n">
        <f aca="false">'Revenue Streams'!AX$28</f>
        <v>520.689103756364</v>
      </c>
      <c r="AY11" s="76" t="n">
        <f aca="false">'Revenue Streams'!AY$28</f>
        <v>534.511309865775</v>
      </c>
      <c r="AZ11" s="76" t="n">
        <f aca="false">'Revenue Streams'!AZ$28</f>
        <v>548.333515975186</v>
      </c>
      <c r="BA11" s="76" t="n">
        <f aca="false">'Revenue Streams'!BA$28</f>
        <v>562.155722084597</v>
      </c>
      <c r="BB11" s="64" t="n">
        <f aca="false">SUM(BC11:BN11)</f>
        <v>8465.19795813037</v>
      </c>
      <c r="BC11" s="76" t="n">
        <f aca="false">'Revenue Streams'!BC$28</f>
        <v>620.28392267047</v>
      </c>
      <c r="BD11" s="76" t="n">
        <f aca="false">'Revenue Streams'!BD$28</f>
        <v>635.169375403681</v>
      </c>
      <c r="BE11" s="76" t="n">
        <f aca="false">'Revenue Streams'!BE$28</f>
        <v>650.579549567655</v>
      </c>
      <c r="BF11" s="76" t="n">
        <f aca="false">'Revenue Streams'!BF$28</f>
        <v>665.989723731628</v>
      </c>
      <c r="BG11" s="76" t="n">
        <f aca="false">'Revenue Streams'!BG$28</f>
        <v>681.399897895601</v>
      </c>
      <c r="BH11" s="76" t="n">
        <f aca="false">'Revenue Streams'!BH$28</f>
        <v>696.810072059575</v>
      </c>
      <c r="BI11" s="76" t="n">
        <f aca="false">'Revenue Streams'!BI$28</f>
        <v>712.71983322359</v>
      </c>
      <c r="BJ11" s="76" t="n">
        <f aca="false">'Revenue Streams'!BJ$28</f>
        <v>728.629594387605</v>
      </c>
      <c r="BK11" s="76" t="n">
        <f aca="false">'Revenue Streams'!BK$28</f>
        <v>744.53935555162</v>
      </c>
      <c r="BL11" s="76" t="n">
        <f aca="false">'Revenue Streams'!BL$28</f>
        <v>760.449116715635</v>
      </c>
      <c r="BM11" s="76" t="n">
        <f aca="false">'Revenue Streams'!BM$28</f>
        <v>776.35887787965</v>
      </c>
      <c r="BN11" s="76" t="n">
        <f aca="false">'Revenue Streams'!BN$28</f>
        <v>792.268639043665</v>
      </c>
    </row>
    <row r="12" customFormat="false" ht="15" hidden="false" customHeight="false" outlineLevel="0" collapsed="false">
      <c r="A12" s="12" t="s">
        <v>739</v>
      </c>
      <c r="B12" s="64" t="n">
        <f aca="false">SUM(C12:N12)</f>
        <v>0</v>
      </c>
      <c r="C12" s="76" t="n">
        <f aca="false">'Revenue Streams'!C$29</f>
        <v>0</v>
      </c>
      <c r="D12" s="76" t="n">
        <f aca="false">'Revenue Streams'!D$29</f>
        <v>0</v>
      </c>
      <c r="E12" s="76" t="n">
        <f aca="false">'Revenue Streams'!E$29</f>
        <v>0</v>
      </c>
      <c r="F12" s="76" t="n">
        <f aca="false">'Revenue Streams'!F$29</f>
        <v>0</v>
      </c>
      <c r="G12" s="76" t="n">
        <f aca="false">'Revenue Streams'!G$29</f>
        <v>0</v>
      </c>
      <c r="H12" s="76" t="n">
        <f aca="false">'Revenue Streams'!H$29</f>
        <v>0</v>
      </c>
      <c r="I12" s="76" t="n">
        <f aca="false">'Revenue Streams'!I$29</f>
        <v>0</v>
      </c>
      <c r="J12" s="76" t="n">
        <f aca="false">'Revenue Streams'!J$29</f>
        <v>0</v>
      </c>
      <c r="K12" s="76" t="n">
        <f aca="false">'Revenue Streams'!K$29</f>
        <v>0</v>
      </c>
      <c r="L12" s="76" t="n">
        <f aca="false">'Revenue Streams'!L$29</f>
        <v>0</v>
      </c>
      <c r="M12" s="76" t="n">
        <f aca="false">'Revenue Streams'!M$29</f>
        <v>0</v>
      </c>
      <c r="N12" s="76" t="n">
        <f aca="false">'Revenue Streams'!N$29</f>
        <v>0</v>
      </c>
      <c r="O12" s="64" t="n">
        <f aca="false">SUM(P12:AA12)</f>
        <v>3152.65294591708</v>
      </c>
      <c r="P12" s="76" t="n">
        <f aca="false">'Revenue Streams'!P$29</f>
        <v>32.8808903558266</v>
      </c>
      <c r="Q12" s="76" t="n">
        <f aca="false">'Revenue Streams'!Q$29</f>
        <v>65.7617807116532</v>
      </c>
      <c r="R12" s="76" t="n">
        <f aca="false">'Revenue Streams'!R$29</f>
        <v>101.930760103062</v>
      </c>
      <c r="S12" s="76" t="n">
        <f aca="false">'Revenue Streams'!S$29</f>
        <v>138.099739494472</v>
      </c>
      <c r="T12" s="76" t="n">
        <f aca="false">'Revenue Streams'!T$29</f>
        <v>174.268718885881</v>
      </c>
      <c r="U12" s="76" t="n">
        <f aca="false">'Revenue Streams'!U$29</f>
        <v>210.43769827729</v>
      </c>
      <c r="V12" s="76" t="n">
        <f aca="false">'Revenue Streams'!V$29</f>
        <v>265.992325345155</v>
      </c>
      <c r="W12" s="76" t="n">
        <f aca="false">'Revenue Streams'!W$29</f>
        <v>321.546952413019</v>
      </c>
      <c r="X12" s="76" t="n">
        <f aca="false">'Revenue Streams'!X$29</f>
        <v>377.101579480884</v>
      </c>
      <c r="Y12" s="76" t="n">
        <f aca="false">'Revenue Streams'!Y$29</f>
        <v>432.656206548749</v>
      </c>
      <c r="Z12" s="76" t="n">
        <f aca="false">'Revenue Streams'!Z$29</f>
        <v>488.210833616613</v>
      </c>
      <c r="AA12" s="76" t="n">
        <f aca="false">'Revenue Streams'!AA$29</f>
        <v>543.765460684478</v>
      </c>
      <c r="AB12" s="64" t="n">
        <f aca="false">SUM(AC12:AN12)</f>
        <v>12104.1512294917</v>
      </c>
      <c r="AC12" s="76" t="n">
        <f aca="false">'Revenue Streams'!AC$29</f>
        <v>653.691848930929</v>
      </c>
      <c r="AD12" s="76" t="n">
        <f aca="false">'Revenue Streams'!AD$29</f>
        <v>705.357652104043</v>
      </c>
      <c r="AE12" s="76" t="n">
        <f aca="false">'Revenue Streams'!AE$29</f>
        <v>761.720346474713</v>
      </c>
      <c r="AF12" s="76" t="n">
        <f aca="false">'Revenue Streams'!AF$29</f>
        <v>818.083040845383</v>
      </c>
      <c r="AG12" s="76" t="n">
        <f aca="false">'Revenue Streams'!AG$29</f>
        <v>874.445735216053</v>
      </c>
      <c r="AH12" s="76" t="n">
        <f aca="false">'Revenue Streams'!AH$29</f>
        <v>930.808429586723</v>
      </c>
      <c r="AI12" s="76" t="n">
        <f aca="false">'Revenue Streams'!AI$29</f>
        <v>1015.34145810165</v>
      </c>
      <c r="AJ12" s="76" t="n">
        <f aca="false">'Revenue Streams'!AJ$29</f>
        <v>1099.87448661658</v>
      </c>
      <c r="AK12" s="76" t="n">
        <f aca="false">'Revenue Streams'!AK$29</f>
        <v>1184.40751513151</v>
      </c>
      <c r="AL12" s="76" t="n">
        <f aca="false">'Revenue Streams'!AL$29</f>
        <v>1268.94054364645</v>
      </c>
      <c r="AM12" s="76" t="n">
        <f aca="false">'Revenue Streams'!AM$29</f>
        <v>1353.47357216138</v>
      </c>
      <c r="AN12" s="76" t="n">
        <f aca="false">'Revenue Streams'!AN$29</f>
        <v>1438.00660067631</v>
      </c>
      <c r="AO12" s="64" t="n">
        <f aca="false">SUM(AP12:BA12)</f>
        <v>22463.3443732736</v>
      </c>
      <c r="AP12" s="76" t="n">
        <f aca="false">'Revenue Streams'!AP$29</f>
        <v>1582.0155144455</v>
      </c>
      <c r="AQ12" s="76" t="n">
        <f aca="false">'Revenue Streams'!AQ$29</f>
        <v>1633.24980881622</v>
      </c>
      <c r="AR12" s="76" t="n">
        <f aca="false">'Revenue Streams'!AR$29</f>
        <v>1684.35830424042</v>
      </c>
      <c r="AS12" s="76" t="n">
        <f aca="false">'Revenue Streams'!AS$29</f>
        <v>1735.46679966463</v>
      </c>
      <c r="AT12" s="76" t="n">
        <f aca="false">'Revenue Streams'!AT$29</f>
        <v>1786.57529508883</v>
      </c>
      <c r="AU12" s="76" t="n">
        <f aca="false">'Revenue Streams'!AU$29</f>
        <v>1837.68379051303</v>
      </c>
      <c r="AV12" s="76" t="n">
        <f aca="false">'Revenue Streams'!AV$29</f>
        <v>1893.77389134288</v>
      </c>
      <c r="AW12" s="76" t="n">
        <f aca="false">'Revenue Streams'!AW$29</f>
        <v>1949.86399217273</v>
      </c>
      <c r="AX12" s="76" t="n">
        <f aca="false">'Revenue Streams'!AX$29</f>
        <v>2005.95409300257</v>
      </c>
      <c r="AY12" s="76" t="n">
        <f aca="false">'Revenue Streams'!AY$29</f>
        <v>2062.04419383242</v>
      </c>
      <c r="AZ12" s="76" t="n">
        <f aca="false">'Revenue Streams'!AZ$29</f>
        <v>2118.13429466227</v>
      </c>
      <c r="BA12" s="76" t="n">
        <f aca="false">'Revenue Streams'!BA$29</f>
        <v>2174.22439549211</v>
      </c>
      <c r="BB12" s="64" t="n">
        <f aca="false">SUM(BC12:BN12)</f>
        <v>33146.2935773773</v>
      </c>
      <c r="BC12" s="76" t="n">
        <f aca="false">'Revenue Streams'!BC$29</f>
        <v>2376.5959972702</v>
      </c>
      <c r="BD12" s="76" t="n">
        <f aca="false">'Revenue Streams'!BD$29</f>
        <v>2447.19642356391</v>
      </c>
      <c r="BE12" s="76" t="n">
        <f aca="false">'Revenue Streams'!BE$29</f>
        <v>2517.65121957156</v>
      </c>
      <c r="BF12" s="76" t="n">
        <f aca="false">'Revenue Streams'!BF$29</f>
        <v>2588.10601557921</v>
      </c>
      <c r="BG12" s="76" t="n">
        <f aca="false">'Revenue Streams'!BG$29</f>
        <v>2658.56081158686</v>
      </c>
      <c r="BH12" s="76" t="n">
        <f aca="false">'Revenue Streams'!BH$29</f>
        <v>2729.01560759452</v>
      </c>
      <c r="BI12" s="76" t="n">
        <f aca="false">'Revenue Streams'!BI$29</f>
        <v>2798.30483886328</v>
      </c>
      <c r="BJ12" s="76" t="n">
        <f aca="false">'Revenue Streams'!BJ$29</f>
        <v>2867.59407013204</v>
      </c>
      <c r="BK12" s="76" t="n">
        <f aca="false">'Revenue Streams'!BK$29</f>
        <v>2936.8833014008</v>
      </c>
      <c r="BL12" s="76" t="n">
        <f aca="false">'Revenue Streams'!BL$29</f>
        <v>3006.17253266956</v>
      </c>
      <c r="BM12" s="76" t="n">
        <f aca="false">'Revenue Streams'!BM$29</f>
        <v>3075.46176393832</v>
      </c>
      <c r="BN12" s="76" t="n">
        <f aca="false">'Revenue Streams'!BN$29</f>
        <v>3144.75099520708</v>
      </c>
    </row>
    <row r="13" customFormat="false" ht="15" hidden="false" customHeight="false" outlineLevel="0" collapsed="false">
      <c r="A13" s="12" t="s">
        <v>740</v>
      </c>
      <c r="B13" s="64" t="n">
        <f aca="false">SUM(C13:N13)</f>
        <v>12621.2852227912</v>
      </c>
      <c r="C13" s="76" t="n">
        <f aca="false">'Revenue Streams'!C$35</f>
        <v>337.5</v>
      </c>
      <c r="D13" s="76" t="n">
        <f aca="false">'Revenue Streams'!D$35</f>
        <v>540</v>
      </c>
      <c r="E13" s="76" t="n">
        <f aca="false">'Revenue Streams'!E$35</f>
        <v>675</v>
      </c>
      <c r="F13" s="76" t="n">
        <f aca="false">'Revenue Streams'!F$35</f>
        <v>675</v>
      </c>
      <c r="G13" s="76" t="n">
        <f aca="false">'Revenue Streams'!G$35</f>
        <v>813.716256188644</v>
      </c>
      <c r="H13" s="76" t="n">
        <f aca="false">'Revenue Streams'!H$35</f>
        <v>952.432512377287</v>
      </c>
      <c r="I13" s="76" t="n">
        <f aca="false">'Revenue Streams'!I$35</f>
        <v>1091.14876856593</v>
      </c>
      <c r="J13" s="76" t="n">
        <f aca="false">'Revenue Streams'!J$35</f>
        <v>1229.86502475457</v>
      </c>
      <c r="K13" s="76" t="n">
        <f aca="false">'Revenue Streams'!K$35</f>
        <v>1368.58128094322</v>
      </c>
      <c r="L13" s="76" t="n">
        <f aca="false">'Revenue Streams'!L$35</f>
        <v>1507.29753713186</v>
      </c>
      <c r="M13" s="76" t="n">
        <f aca="false">'Revenue Streams'!M$35</f>
        <v>1646.0137933205</v>
      </c>
      <c r="N13" s="76" t="n">
        <f aca="false">'Revenue Streams'!N$35</f>
        <v>1784.73004950915</v>
      </c>
      <c r="O13" s="64" t="n">
        <f aca="false">SUM(P13:AA13)</f>
        <v>40107.0567872563</v>
      </c>
      <c r="P13" s="76" t="n">
        <f aca="false">'Revenue Streams'!P$35</f>
        <v>2137.16256188643</v>
      </c>
      <c r="Q13" s="76" t="n">
        <f aca="false">'Revenue Streams'!Q$35</f>
        <v>2306.70465278366</v>
      </c>
      <c r="R13" s="76" t="n">
        <f aca="false">'Revenue Streams'!R$35</f>
        <v>2476.2467436809</v>
      </c>
      <c r="S13" s="76" t="n">
        <f aca="false">'Revenue Streams'!S$35</f>
        <v>2645.78883457813</v>
      </c>
      <c r="T13" s="76" t="n">
        <f aca="false">'Revenue Streams'!T$35</f>
        <v>2906.20114895874</v>
      </c>
      <c r="U13" s="76" t="n">
        <f aca="false">'Revenue Streams'!U$35</f>
        <v>3166.61346333936</v>
      </c>
      <c r="V13" s="76" t="n">
        <f aca="false">'Revenue Streams'!V$35</f>
        <v>3427.02577771997</v>
      </c>
      <c r="W13" s="76" t="n">
        <f aca="false">'Revenue Streams'!W$35</f>
        <v>3687.43809210059</v>
      </c>
      <c r="X13" s="76" t="n">
        <f aca="false">'Revenue Streams'!X$35</f>
        <v>3947.8504064812</v>
      </c>
      <c r="Y13" s="76" t="n">
        <f aca="false">'Revenue Streams'!Y$35</f>
        <v>4208.26272086182</v>
      </c>
      <c r="Z13" s="76" t="n">
        <f aca="false">'Revenue Streams'!Z$35</f>
        <v>4468.67503524243</v>
      </c>
      <c r="AA13" s="76" t="n">
        <f aca="false">'Revenue Streams'!AA$35</f>
        <v>4729.08734962305</v>
      </c>
      <c r="AB13" s="64" t="n">
        <f aca="false">SUM(AC13:AN13)</f>
        <v>76682.7434146416</v>
      </c>
      <c r="AC13" s="76" t="n">
        <f aca="false">'Revenue Streams'!AC$35</f>
        <v>5075.94963040403</v>
      </c>
      <c r="AD13" s="76" t="n">
        <f aca="false">'Revenue Streams'!AD$35</f>
        <v>5140.94440766077</v>
      </c>
      <c r="AE13" s="76" t="n">
        <f aca="false">'Revenue Streams'!AE$35</f>
        <v>5288.43918491751</v>
      </c>
      <c r="AF13" s="76" t="n">
        <f aca="false">'Revenue Streams'!AF$35</f>
        <v>5600.93396217425</v>
      </c>
      <c r="AG13" s="76" t="n">
        <f aca="false">'Revenue Streams'!AG$35</f>
        <v>5900.07297695455</v>
      </c>
      <c r="AH13" s="76" t="n">
        <f aca="false">'Revenue Streams'!AH$35</f>
        <v>6199.21199173486</v>
      </c>
      <c r="AI13" s="76" t="n">
        <f aca="false">'Revenue Streams'!AI$35</f>
        <v>6498.35100651517</v>
      </c>
      <c r="AJ13" s="76" t="n">
        <f aca="false">'Revenue Streams'!AJ$35</f>
        <v>6797.49002129548</v>
      </c>
      <c r="AK13" s="76" t="n">
        <f aca="false">'Revenue Streams'!AK$35</f>
        <v>7096.62903607578</v>
      </c>
      <c r="AL13" s="76" t="n">
        <f aca="false">'Revenue Streams'!AL$35</f>
        <v>7395.76805085609</v>
      </c>
      <c r="AM13" s="76" t="n">
        <f aca="false">'Revenue Streams'!AM$35</f>
        <v>7694.9070656364</v>
      </c>
      <c r="AN13" s="76" t="n">
        <f aca="false">'Revenue Streams'!AN$35</f>
        <v>7994.04608041671</v>
      </c>
      <c r="AO13" s="64" t="n">
        <f aca="false">SUM(AP13:BA13)</f>
        <v>132055.378348788</v>
      </c>
      <c r="AP13" s="76" t="n">
        <f aca="false">'Revenue Streams'!AP$35</f>
        <v>9047.1110129422</v>
      </c>
      <c r="AQ13" s="76" t="n">
        <f aca="false">'Revenue Streams'!AQ$35</f>
        <v>9376.25266940818</v>
      </c>
      <c r="AR13" s="76" t="n">
        <f aca="false">'Revenue Streams'!AR$35</f>
        <v>9705.39432587416</v>
      </c>
      <c r="AS13" s="76" t="n">
        <f aca="false">'Revenue Streams'!AS$35</f>
        <v>10034.5359823401</v>
      </c>
      <c r="AT13" s="76" t="n">
        <f aca="false">'Revenue Streams'!AT$35</f>
        <v>10412.7525517707</v>
      </c>
      <c r="AU13" s="76" t="n">
        <f aca="false">'Revenue Streams'!AU$35</f>
        <v>10790.9691212013</v>
      </c>
      <c r="AV13" s="76" t="n">
        <f aca="false">'Revenue Streams'!AV$35</f>
        <v>11169.1856906319</v>
      </c>
      <c r="AW13" s="76" t="n">
        <f aca="false">'Revenue Streams'!AW$35</f>
        <v>11547.4022600626</v>
      </c>
      <c r="AX13" s="76" t="n">
        <f aca="false">'Revenue Streams'!AX$35</f>
        <v>11925.6188294932</v>
      </c>
      <c r="AY13" s="76" t="n">
        <f aca="false">'Revenue Streams'!AY$35</f>
        <v>12303.8353989238</v>
      </c>
      <c r="AZ13" s="76" t="n">
        <f aca="false">'Revenue Streams'!AZ$35</f>
        <v>12682.0519683544</v>
      </c>
      <c r="BA13" s="76" t="n">
        <f aca="false">'Revenue Streams'!BA$35</f>
        <v>13060.268537785</v>
      </c>
      <c r="BB13" s="64" t="n">
        <f aca="false">SUM(BC13:BN13)</f>
        <v>201443.489731643</v>
      </c>
      <c r="BC13" s="76" t="n">
        <f aca="false">'Revenue Streams'!BC$35</f>
        <v>14558.3588661502</v>
      </c>
      <c r="BD13" s="76" t="n">
        <f aca="false">'Revenue Streams'!BD$35</f>
        <v>14967.248307266</v>
      </c>
      <c r="BE13" s="76" t="n">
        <f aca="false">'Revenue Streams'!BE$35</f>
        <v>15376.1377483819</v>
      </c>
      <c r="BF13" s="76" t="n">
        <f aca="false">'Revenue Streams'!BF$35</f>
        <v>15785.0271894977</v>
      </c>
      <c r="BG13" s="76" t="n">
        <f aca="false">'Revenue Streams'!BG$35</f>
        <v>16187.1521923968</v>
      </c>
      <c r="BH13" s="76" t="n">
        <f aca="false">'Revenue Streams'!BH$35</f>
        <v>16589.2771952958</v>
      </c>
      <c r="BI13" s="76" t="n">
        <f aca="false">'Revenue Streams'!BI$35</f>
        <v>16991.4021981949</v>
      </c>
      <c r="BJ13" s="76" t="n">
        <f aca="false">'Revenue Streams'!BJ$35</f>
        <v>17393.5272010939</v>
      </c>
      <c r="BK13" s="76" t="n">
        <f aca="false">'Revenue Streams'!BK$35</f>
        <v>17795.652203993</v>
      </c>
      <c r="BL13" s="76" t="n">
        <f aca="false">'Revenue Streams'!BL$35</f>
        <v>18197.777206892</v>
      </c>
      <c r="BM13" s="76" t="n">
        <f aca="false">'Revenue Streams'!BM$35</f>
        <v>18599.9022097911</v>
      </c>
      <c r="BN13" s="76" t="n">
        <f aca="false">'Revenue Streams'!BN$35</f>
        <v>19002.0272126902</v>
      </c>
    </row>
    <row r="14" customFormat="false" ht="15" hidden="false" customHeight="false" outlineLevel="0" collapsed="false">
      <c r="A14" s="18" t="s">
        <v>741</v>
      </c>
      <c r="B14" s="64" t="n">
        <f aca="false">SUM(C14:N14)</f>
        <v>0</v>
      </c>
      <c r="C14" s="77" t="n">
        <f aca="false">'Revenue Streams'!C$30+'Revenue Streams'!C$31+'Revenue Streams'!C$32</f>
        <v>0</v>
      </c>
      <c r="D14" s="77" t="n">
        <f aca="false">'Revenue Streams'!D$30+'Revenue Streams'!D$31+'Revenue Streams'!D$32</f>
        <v>0</v>
      </c>
      <c r="E14" s="77" t="n">
        <f aca="false">'Revenue Streams'!E$30+'Revenue Streams'!E$31+'Revenue Streams'!E$32</f>
        <v>0</v>
      </c>
      <c r="F14" s="77" t="n">
        <f aca="false">'Revenue Streams'!F$30+'Revenue Streams'!F$31+'Revenue Streams'!F$32</f>
        <v>0</v>
      </c>
      <c r="G14" s="77" t="n">
        <f aca="false">'Revenue Streams'!G$30+'Revenue Streams'!G$31+'Revenue Streams'!G$32</f>
        <v>0</v>
      </c>
      <c r="H14" s="77" t="n">
        <f aca="false">'Revenue Streams'!H$30+'Revenue Streams'!H$31+'Revenue Streams'!H$32</f>
        <v>0</v>
      </c>
      <c r="I14" s="77" t="n">
        <f aca="false">'Revenue Streams'!I$30+'Revenue Streams'!I$31+'Revenue Streams'!I$32</f>
        <v>0</v>
      </c>
      <c r="J14" s="77" t="n">
        <f aca="false">'Revenue Streams'!J$30+'Revenue Streams'!J$31+'Revenue Streams'!J$32</f>
        <v>0</v>
      </c>
      <c r="K14" s="77" t="n">
        <f aca="false">'Revenue Streams'!K$30+'Revenue Streams'!K$31+'Revenue Streams'!K$32</f>
        <v>0</v>
      </c>
      <c r="L14" s="77" t="n">
        <f aca="false">'Revenue Streams'!L$30+'Revenue Streams'!L$31+'Revenue Streams'!L$32</f>
        <v>0</v>
      </c>
      <c r="M14" s="77" t="n">
        <f aca="false">'Revenue Streams'!M$30+'Revenue Streams'!M$31+'Revenue Streams'!M$32</f>
        <v>0</v>
      </c>
      <c r="N14" s="77" t="n">
        <f aca="false">'Revenue Streams'!N$30+'Revenue Streams'!N$31+'Revenue Streams'!N$32</f>
        <v>0</v>
      </c>
      <c r="O14" s="64" t="n">
        <f aca="false">SUM(P14:AA14)</f>
        <v>25672.7826731352</v>
      </c>
      <c r="P14" s="77" t="n">
        <f aca="false">'Revenue Streams'!P$30+'Revenue Streams'!P$31+'Revenue Streams'!P$32</f>
        <v>0</v>
      </c>
      <c r="Q14" s="77" t="n">
        <f aca="false">'Revenue Streams'!Q$30+'Revenue Streams'!Q$31+'Revenue Streams'!Q$32</f>
        <v>0</v>
      </c>
      <c r="R14" s="77" t="n">
        <f aca="false">'Revenue Streams'!R$30+'Revenue Streams'!R$31+'Revenue Streams'!R$32</f>
        <v>218.716636741882</v>
      </c>
      <c r="S14" s="77" t="n">
        <f aca="false">'Revenue Streams'!S$30+'Revenue Streams'!S$31+'Revenue Streams'!S$32</f>
        <v>740.619221313358</v>
      </c>
      <c r="T14" s="77" t="n">
        <f aca="false">'Revenue Streams'!T$30+'Revenue Streams'!T$31+'Revenue Streams'!T$32</f>
        <v>1262.52180588483</v>
      </c>
      <c r="U14" s="77" t="n">
        <f aca="false">'Revenue Streams'!U$30+'Revenue Streams'!U$31+'Revenue Streams'!U$32</f>
        <v>1784.42439045631</v>
      </c>
      <c r="V14" s="77" t="n">
        <f aca="false">'Revenue Streams'!V$30+'Revenue Streams'!V$31+'Revenue Streams'!V$32</f>
        <v>2306.32697502778</v>
      </c>
      <c r="W14" s="77" t="n">
        <f aca="false">'Revenue Streams'!W$30+'Revenue Streams'!W$31+'Revenue Streams'!W$32</f>
        <v>2828.22955959926</v>
      </c>
      <c r="X14" s="77" t="n">
        <f aca="false">'Revenue Streams'!X$30+'Revenue Streams'!X$31+'Revenue Streams'!X$32</f>
        <v>3350.13214417074</v>
      </c>
      <c r="Y14" s="77" t="n">
        <f aca="false">'Revenue Streams'!Y$30+'Revenue Streams'!Y$31+'Revenue Streams'!Y$32</f>
        <v>3872.03472874221</v>
      </c>
      <c r="Z14" s="77" t="n">
        <f aca="false">'Revenue Streams'!Z$30+'Revenue Streams'!Z$31+'Revenue Streams'!Z$32</f>
        <v>4393.93731331369</v>
      </c>
      <c r="AA14" s="77" t="n">
        <f aca="false">'Revenue Streams'!AA$30+'Revenue Streams'!AA$31+'Revenue Streams'!AA$32</f>
        <v>4915.83989788516</v>
      </c>
      <c r="AB14" s="64" t="n">
        <f aca="false">SUM(AC14:AN14)</f>
        <v>116283.342991423</v>
      </c>
      <c r="AC14" s="77" t="n">
        <f aca="false">'Revenue Streams'!AC$30+'Revenue Streams'!AC$31+'Revenue Streams'!AC$32</f>
        <v>5502.26470579377</v>
      </c>
      <c r="AD14" s="77" t="n">
        <f aca="false">'Revenue Streams'!AD$30+'Revenue Streams'!AD$31+'Revenue Streams'!AD$32</f>
        <v>6033.0121846311</v>
      </c>
      <c r="AE14" s="77" t="n">
        <f aca="false">'Revenue Streams'!AE$30+'Revenue Streams'!AE$31+'Revenue Streams'!AE$32</f>
        <v>6678.60231733743</v>
      </c>
      <c r="AF14" s="77" t="n">
        <f aca="false">'Revenue Streams'!AF$30+'Revenue Streams'!AF$31+'Revenue Streams'!AF$32</f>
        <v>7567.92728083777</v>
      </c>
      <c r="AG14" s="77" t="n">
        <f aca="false">'Revenue Streams'!AG$30+'Revenue Streams'!AG$31+'Revenue Streams'!AG$32</f>
        <v>8457.25224433812</v>
      </c>
      <c r="AH14" s="77" t="n">
        <f aca="false">'Revenue Streams'!AH$30+'Revenue Streams'!AH$31+'Revenue Streams'!AH$32</f>
        <v>9346.57720783846</v>
      </c>
      <c r="AI14" s="77" t="n">
        <f aca="false">'Revenue Streams'!AI$30+'Revenue Streams'!AI$31+'Revenue Streams'!AI$32</f>
        <v>10235.9021713388</v>
      </c>
      <c r="AJ14" s="77" t="n">
        <f aca="false">'Revenue Streams'!AJ$30+'Revenue Streams'!AJ$31+'Revenue Streams'!AJ$32</f>
        <v>11125.2271348392</v>
      </c>
      <c r="AK14" s="77" t="n">
        <f aca="false">'Revenue Streams'!AK$30+'Revenue Streams'!AK$31+'Revenue Streams'!AK$32</f>
        <v>11999.5795500525</v>
      </c>
      <c r="AL14" s="77" t="n">
        <f aca="false">'Revenue Streams'!AL$30+'Revenue Streams'!AL$31+'Revenue Streams'!AL$32</f>
        <v>12555.9561407623</v>
      </c>
      <c r="AM14" s="77" t="n">
        <f aca="false">'Revenue Streams'!AM$30+'Revenue Streams'!AM$31+'Revenue Streams'!AM$32</f>
        <v>13112.332731472</v>
      </c>
      <c r="AN14" s="77" t="n">
        <f aca="false">'Revenue Streams'!AN$30+'Revenue Streams'!AN$31+'Revenue Streams'!AN$32</f>
        <v>13668.7093221818</v>
      </c>
      <c r="AO14" s="64" t="n">
        <f aca="false">SUM(AP14:BA14)</f>
        <v>226742.299277065</v>
      </c>
      <c r="AP14" s="77" t="n">
        <f aca="false">'Revenue Streams'!AP$30+'Revenue Streams'!AP$31+'Revenue Streams'!AP$32</f>
        <v>14693.4220126673</v>
      </c>
      <c r="AQ14" s="77" t="n">
        <f aca="false">'Revenue Streams'!AQ$30+'Revenue Streams'!AQ$31+'Revenue Streams'!AQ$32</f>
        <v>15250.5365828029</v>
      </c>
      <c r="AR14" s="77" t="n">
        <f aca="false">'Revenue Streams'!AR$30+'Revenue Streams'!AR$31+'Revenue Streams'!AR$32</f>
        <v>15809.1021864039</v>
      </c>
      <c r="AS14" s="77" t="n">
        <f aca="false">'Revenue Streams'!AS$30+'Revenue Streams'!AS$31+'Revenue Streams'!AS$32</f>
        <v>16703.34291523</v>
      </c>
      <c r="AT14" s="77" t="n">
        <f aca="false">'Revenue Streams'!AT$30+'Revenue Streams'!AT$31+'Revenue Streams'!AT$32</f>
        <v>17597.5836440562</v>
      </c>
      <c r="AU14" s="77" t="n">
        <f aca="false">'Revenue Streams'!AU$30+'Revenue Streams'!AU$31+'Revenue Streams'!AU$32</f>
        <v>18491.8243728824</v>
      </c>
      <c r="AV14" s="77" t="n">
        <f aca="false">'Revenue Streams'!AV$30+'Revenue Streams'!AV$31+'Revenue Streams'!AV$32</f>
        <v>19386.0651017085</v>
      </c>
      <c r="AW14" s="77" t="n">
        <f aca="false">'Revenue Streams'!AW$30+'Revenue Streams'!AW$31+'Revenue Streams'!AW$32</f>
        <v>20280.3058305347</v>
      </c>
      <c r="AX14" s="77" t="n">
        <f aca="false">'Revenue Streams'!AX$30+'Revenue Streams'!AX$31+'Revenue Streams'!AX$32</f>
        <v>21165.1999078025</v>
      </c>
      <c r="AY14" s="77" t="n">
        <f aca="false">'Revenue Streams'!AY$30+'Revenue Streams'!AY$31+'Revenue Streams'!AY$32</f>
        <v>21810.0860743974</v>
      </c>
      <c r="AZ14" s="77" t="n">
        <f aca="false">'Revenue Streams'!AZ$30+'Revenue Streams'!AZ$31+'Revenue Streams'!AZ$32</f>
        <v>22454.9722409923</v>
      </c>
      <c r="BA14" s="77" t="n">
        <f aca="false">'Revenue Streams'!BA$30+'Revenue Streams'!BA$31+'Revenue Streams'!BA$32</f>
        <v>23099.8584075872</v>
      </c>
      <c r="BB14" s="64" t="n">
        <f aca="false">SUM(BC14:BN14)</f>
        <v>353649.948927403</v>
      </c>
      <c r="BC14" s="77" t="n">
        <f aca="false">'Revenue Streams'!BC$30+'Revenue Streams'!BC$31+'Revenue Streams'!BC$32</f>
        <v>24474.202858466</v>
      </c>
      <c r="BD14" s="77" t="n">
        <f aca="false">'Revenue Streams'!BD$30+'Revenue Streams'!BD$31+'Revenue Streams'!BD$32</f>
        <v>25130.2761619821</v>
      </c>
      <c r="BE14" s="77" t="n">
        <f aca="false">'Revenue Streams'!BE$30+'Revenue Streams'!BE$31+'Revenue Streams'!BE$32</f>
        <v>25841.5512474533</v>
      </c>
      <c r="BF14" s="77" t="n">
        <f aca="false">'Revenue Streams'!BF$30+'Revenue Streams'!BF$31+'Revenue Streams'!BF$32</f>
        <v>26907.8257395646</v>
      </c>
      <c r="BG14" s="77" t="n">
        <f aca="false">'Revenue Streams'!BG$30+'Revenue Streams'!BG$31+'Revenue Streams'!BG$32</f>
        <v>27974.1002316758</v>
      </c>
      <c r="BH14" s="77" t="n">
        <f aca="false">'Revenue Streams'!BH$30+'Revenue Streams'!BH$31+'Revenue Streams'!BH$32</f>
        <v>29040.3747237871</v>
      </c>
      <c r="BI14" s="77" t="n">
        <f aca="false">'Revenue Streams'!BI$30+'Revenue Streams'!BI$31+'Revenue Streams'!BI$32</f>
        <v>30106.6492158984</v>
      </c>
      <c r="BJ14" s="77" t="n">
        <f aca="false">'Revenue Streams'!BJ$30+'Revenue Streams'!BJ$31+'Revenue Streams'!BJ$32</f>
        <v>31172.9237080096</v>
      </c>
      <c r="BK14" s="77" t="n">
        <f aca="false">'Revenue Streams'!BK$30+'Revenue Streams'!BK$31+'Revenue Streams'!BK$32</f>
        <v>32223.7824066664</v>
      </c>
      <c r="BL14" s="77" t="n">
        <f aca="false">'Revenue Streams'!BL$30+'Revenue Streams'!BL$31+'Revenue Streams'!BL$32</f>
        <v>32908.2683089832</v>
      </c>
      <c r="BM14" s="77" t="n">
        <f aca="false">'Revenue Streams'!BM$30+'Revenue Streams'!BM$31+'Revenue Streams'!BM$32</f>
        <v>33592.7542113</v>
      </c>
      <c r="BN14" s="77" t="n">
        <f aca="false">'Revenue Streams'!BN$30+'Revenue Streams'!BN$31+'Revenue Streams'!BN$32</f>
        <v>34277.2401136168</v>
      </c>
    </row>
    <row r="15" customFormat="false" ht="15" hidden="false" customHeight="false" outlineLevel="0" collapsed="false">
      <c r="A15" s="12" t="s">
        <v>742</v>
      </c>
      <c r="B15" s="64" t="n">
        <f aca="false">SUM(C15:N15)</f>
        <v>0</v>
      </c>
      <c r="C15" s="76" t="n">
        <f aca="false">'Revenue Streams'!C$30</f>
        <v>0</v>
      </c>
      <c r="D15" s="76" t="n">
        <f aca="false">'Revenue Streams'!D$30</f>
        <v>0</v>
      </c>
      <c r="E15" s="76" t="n">
        <f aca="false">'Revenue Streams'!E$30</f>
        <v>0</v>
      </c>
      <c r="F15" s="76" t="n">
        <f aca="false">'Revenue Streams'!F$30</f>
        <v>0</v>
      </c>
      <c r="G15" s="76" t="n">
        <f aca="false">'Revenue Streams'!G$30</f>
        <v>0</v>
      </c>
      <c r="H15" s="76" t="n">
        <f aca="false">'Revenue Streams'!H$30</f>
        <v>0</v>
      </c>
      <c r="I15" s="76" t="n">
        <f aca="false">'Revenue Streams'!I$30</f>
        <v>0</v>
      </c>
      <c r="J15" s="76" t="n">
        <f aca="false">'Revenue Streams'!J$30</f>
        <v>0</v>
      </c>
      <c r="K15" s="76" t="n">
        <f aca="false">'Revenue Streams'!K$30</f>
        <v>0</v>
      </c>
      <c r="L15" s="76" t="n">
        <f aca="false">'Revenue Streams'!L$30</f>
        <v>0</v>
      </c>
      <c r="M15" s="76" t="n">
        <f aca="false">'Revenue Streams'!M$30</f>
        <v>0</v>
      </c>
      <c r="N15" s="76" t="n">
        <f aca="false">'Revenue Streams'!N$30</f>
        <v>0</v>
      </c>
      <c r="O15" s="64" t="n">
        <f aca="false">SUM(P15:AA15)</f>
        <v>12227.581101073</v>
      </c>
      <c r="P15" s="76" t="n">
        <f aca="false">'Revenue Streams'!P$30</f>
        <v>0</v>
      </c>
      <c r="Q15" s="76" t="n">
        <f aca="false">'Revenue Streams'!Q$30</f>
        <v>0</v>
      </c>
      <c r="R15" s="76" t="n">
        <f aca="false">'Revenue Streams'!R$30</f>
        <v>205.505564723916</v>
      </c>
      <c r="S15" s="76" t="n">
        <f aca="false">'Revenue Streams'!S$30</f>
        <v>431.561685920224</v>
      </c>
      <c r="T15" s="76" t="n">
        <f aca="false">'Revenue Streams'!T$30</f>
        <v>657.617807116532</v>
      </c>
      <c r="U15" s="76" t="n">
        <f aca="false">'Revenue Streams'!U$30</f>
        <v>883.673928312839</v>
      </c>
      <c r="V15" s="76" t="n">
        <f aca="false">'Revenue Streams'!V$30</f>
        <v>1109.73004950915</v>
      </c>
      <c r="W15" s="76" t="n">
        <f aca="false">'Revenue Streams'!W$30</f>
        <v>1335.78617070545</v>
      </c>
      <c r="X15" s="76" t="n">
        <f aca="false">'Revenue Streams'!X$30</f>
        <v>1561.84229190176</v>
      </c>
      <c r="Y15" s="76" t="n">
        <f aca="false">'Revenue Streams'!Y$30</f>
        <v>1787.89841309807</v>
      </c>
      <c r="Z15" s="76" t="n">
        <f aca="false">'Revenue Streams'!Z$30</f>
        <v>2013.95453429438</v>
      </c>
      <c r="AA15" s="76" t="n">
        <f aca="false">'Revenue Streams'!AA$30</f>
        <v>2240.01065549069</v>
      </c>
      <c r="AB15" s="64" t="n">
        <f aca="false">SUM(AC15:AN15)</f>
        <v>46022.1584494824</v>
      </c>
      <c r="AC15" s="76" t="n">
        <f aca="false">'Revenue Streams'!AC$30</f>
        <v>2157.80842960112</v>
      </c>
      <c r="AD15" s="76" t="n">
        <f aca="false">'Revenue Streams'!AD$30</f>
        <v>2355.60753564789</v>
      </c>
      <c r="AE15" s="76" t="n">
        <f aca="false">'Revenue Streams'!AE$30</f>
        <v>2659.42190242527</v>
      </c>
      <c r="AF15" s="76" t="n">
        <f aca="false">'Revenue Streams'!AF$30</f>
        <v>2990.85575709151</v>
      </c>
      <c r="AG15" s="76" t="n">
        <f aca="false">'Revenue Streams'!AG$30</f>
        <v>3322.28961175775</v>
      </c>
      <c r="AH15" s="76" t="n">
        <f aca="false">'Revenue Streams'!AH$30</f>
        <v>3653.72346642399</v>
      </c>
      <c r="AI15" s="76" t="n">
        <f aca="false">'Revenue Streams'!AI$30</f>
        <v>3985.15732109022</v>
      </c>
      <c r="AJ15" s="76" t="n">
        <f aca="false">'Revenue Streams'!AJ$30</f>
        <v>4316.59117575646</v>
      </c>
      <c r="AK15" s="76" t="n">
        <f aca="false">'Revenue Streams'!AK$30</f>
        <v>4648.0250304227</v>
      </c>
      <c r="AL15" s="76" t="n">
        <f aca="false">'Revenue Streams'!AL$30</f>
        <v>4979.45888508894</v>
      </c>
      <c r="AM15" s="76" t="n">
        <f aca="false">'Revenue Streams'!AM$30</f>
        <v>5310.89273975517</v>
      </c>
      <c r="AN15" s="76" t="n">
        <f aca="false">'Revenue Streams'!AN$30</f>
        <v>5642.32659442141</v>
      </c>
      <c r="AO15" s="64" t="n">
        <f aca="false">SUM(AP15:BA15)</f>
        <v>86267.5652253668</v>
      </c>
      <c r="AP15" s="76" t="n">
        <f aca="false">'Revenue Streams'!AP$30</f>
        <v>5547.06327415282</v>
      </c>
      <c r="AQ15" s="76" t="n">
        <f aca="false">'Revenue Streams'!AQ$30</f>
        <v>5854.82328205718</v>
      </c>
      <c r="AR15" s="76" t="n">
        <f aca="false">'Revenue Streams'!AR$30</f>
        <v>6149.42988752264</v>
      </c>
      <c r="AS15" s="76" t="n">
        <f aca="false">'Revenue Streams'!AS$30</f>
        <v>6446.57166072109</v>
      </c>
      <c r="AT15" s="76" t="n">
        <f aca="false">'Revenue Streams'!AT$30</f>
        <v>6743.71343391954</v>
      </c>
      <c r="AU15" s="76" t="n">
        <f aca="false">'Revenue Streams'!AU$30</f>
        <v>7040.855207118</v>
      </c>
      <c r="AV15" s="76" t="n">
        <f aca="false">'Revenue Streams'!AV$30</f>
        <v>7337.99698031645</v>
      </c>
      <c r="AW15" s="76" t="n">
        <f aca="false">'Revenue Streams'!AW$30</f>
        <v>7635.13875351491</v>
      </c>
      <c r="AX15" s="76" t="n">
        <f aca="false">'Revenue Streams'!AX$30</f>
        <v>7932.28052671336</v>
      </c>
      <c r="AY15" s="76" t="n">
        <f aca="false">'Revenue Streams'!AY$30</f>
        <v>8229.42229991181</v>
      </c>
      <c r="AZ15" s="76" t="n">
        <f aca="false">'Revenue Streams'!AZ$30</f>
        <v>8526.56407311027</v>
      </c>
      <c r="BA15" s="76" t="n">
        <f aca="false">'Revenue Streams'!BA$30</f>
        <v>8823.70584630872</v>
      </c>
      <c r="BB15" s="64" t="n">
        <f aca="false">SUM(BC15:BN15)</f>
        <v>121353.729343205</v>
      </c>
      <c r="BC15" s="76" t="n">
        <f aca="false">'Revenue Streams'!BC$30</f>
        <v>8419.24395646816</v>
      </c>
      <c r="BD15" s="76" t="n">
        <f aca="false">'Revenue Streams'!BD$30</f>
        <v>8693.52867018981</v>
      </c>
      <c r="BE15" s="76" t="n">
        <f aca="false">'Revenue Streams'!BE$30</f>
        <v>9008.70914471531</v>
      </c>
      <c r="BF15" s="76" t="n">
        <f aca="false">'Revenue Streams'!BF$30</f>
        <v>9323.23948403519</v>
      </c>
      <c r="BG15" s="76" t="n">
        <f aca="false">'Revenue Streams'!BG$30</f>
        <v>9637.76982335506</v>
      </c>
      <c r="BH15" s="76" t="n">
        <f aca="false">'Revenue Streams'!BH$30</f>
        <v>9952.30016267494</v>
      </c>
      <c r="BI15" s="76" t="n">
        <f aca="false">'Revenue Streams'!BI$30</f>
        <v>10266.8305019948</v>
      </c>
      <c r="BJ15" s="76" t="n">
        <f aca="false">'Revenue Streams'!BJ$30</f>
        <v>10581.3608413147</v>
      </c>
      <c r="BK15" s="76" t="n">
        <f aca="false">'Revenue Streams'!BK$30</f>
        <v>10895.8911806346</v>
      </c>
      <c r="BL15" s="76" t="n">
        <f aca="false">'Revenue Streams'!BL$30</f>
        <v>11210.4215199544</v>
      </c>
      <c r="BM15" s="76" t="n">
        <f aca="false">'Revenue Streams'!BM$30</f>
        <v>11524.9518592743</v>
      </c>
      <c r="BN15" s="76" t="n">
        <f aca="false">'Revenue Streams'!BN$30</f>
        <v>11839.4821985942</v>
      </c>
    </row>
    <row r="16" customFormat="false" ht="15" hidden="false" customHeight="false" outlineLevel="0" collapsed="false">
      <c r="A16" s="12" t="s">
        <v>743</v>
      </c>
      <c r="B16" s="64" t="n">
        <f aca="false">SUM(C16:N16)</f>
        <v>0</v>
      </c>
      <c r="C16" s="76" t="n">
        <f aca="false">'Revenue Streams'!C$31</f>
        <v>0</v>
      </c>
      <c r="D16" s="76" t="n">
        <f aca="false">'Revenue Streams'!D$31</f>
        <v>0</v>
      </c>
      <c r="E16" s="76" t="n">
        <f aca="false">'Revenue Streams'!E$31</f>
        <v>0</v>
      </c>
      <c r="F16" s="76" t="n">
        <f aca="false">'Revenue Streams'!F$31</f>
        <v>0</v>
      </c>
      <c r="G16" s="76" t="n">
        <f aca="false">'Revenue Streams'!G$31</f>
        <v>0</v>
      </c>
      <c r="H16" s="76" t="n">
        <f aca="false">'Revenue Streams'!H$31</f>
        <v>0</v>
      </c>
      <c r="I16" s="76" t="n">
        <f aca="false">'Revenue Streams'!I$31</f>
        <v>0</v>
      </c>
      <c r="J16" s="76" t="n">
        <f aca="false">'Revenue Streams'!J$31</f>
        <v>0</v>
      </c>
      <c r="K16" s="76" t="n">
        <f aca="false">'Revenue Streams'!K$31</f>
        <v>0</v>
      </c>
      <c r="L16" s="76" t="n">
        <f aca="false">'Revenue Streams'!L$31</f>
        <v>0</v>
      </c>
      <c r="M16" s="76" t="n">
        <f aca="false">'Revenue Streams'!M$31</f>
        <v>0</v>
      </c>
      <c r="N16" s="76" t="n">
        <f aca="false">'Revenue Streams'!N$31</f>
        <v>0</v>
      </c>
      <c r="O16" s="64" t="n">
        <f aca="false">SUM(P16:AA16)</f>
        <v>786.058785068979</v>
      </c>
      <c r="P16" s="76" t="n">
        <f aca="false">'Revenue Streams'!P$31</f>
        <v>0</v>
      </c>
      <c r="Q16" s="76" t="n">
        <f aca="false">'Revenue Streams'!Q$31</f>
        <v>0</v>
      </c>
      <c r="R16" s="76" t="n">
        <f aca="false">'Revenue Streams'!R$31</f>
        <v>13.211072017966</v>
      </c>
      <c r="S16" s="76" t="n">
        <f aca="false">'Revenue Streams'!S$31</f>
        <v>27.7432512377287</v>
      </c>
      <c r="T16" s="76" t="n">
        <f aca="false">'Revenue Streams'!T$31</f>
        <v>42.2754304574913</v>
      </c>
      <c r="U16" s="76" t="n">
        <f aca="false">'Revenue Streams'!U$31</f>
        <v>56.8076096772539</v>
      </c>
      <c r="V16" s="76" t="n">
        <f aca="false">'Revenue Streams'!V$31</f>
        <v>71.3397888970166</v>
      </c>
      <c r="W16" s="76" t="n">
        <f aca="false">'Revenue Streams'!W$31</f>
        <v>85.8719681167792</v>
      </c>
      <c r="X16" s="76" t="n">
        <f aca="false">'Revenue Streams'!X$31</f>
        <v>100.404147336542</v>
      </c>
      <c r="Y16" s="76" t="n">
        <f aca="false">'Revenue Streams'!Y$31</f>
        <v>114.936326556305</v>
      </c>
      <c r="Z16" s="76" t="n">
        <f aca="false">'Revenue Streams'!Z$31</f>
        <v>129.468505776067</v>
      </c>
      <c r="AA16" s="76" t="n">
        <f aca="false">'Revenue Streams'!AA$31</f>
        <v>144.00068499583</v>
      </c>
      <c r="AB16" s="64" t="n">
        <f aca="false">SUM(AC16:AN16)</f>
        <v>3673.34009986951</v>
      </c>
      <c r="AC16" s="76" t="n">
        <f aca="false">'Revenue Streams'!AC$31</f>
        <v>179.670579444338</v>
      </c>
      <c r="AD16" s="76" t="n">
        <f aca="false">'Revenue Streams'!AD$31</f>
        <v>196.140382560069</v>
      </c>
      <c r="AE16" s="76" t="n">
        <f aca="false">'Revenue Streams'!AE$31</f>
        <v>221.437578814186</v>
      </c>
      <c r="AF16" s="76" t="n">
        <f aca="false">'Revenue Streams'!AF$31</f>
        <v>249.034520182314</v>
      </c>
      <c r="AG16" s="76" t="n">
        <f aca="false">'Revenue Streams'!AG$31</f>
        <v>276.631461550441</v>
      </c>
      <c r="AH16" s="76" t="n">
        <f aca="false">'Revenue Streams'!AH$31</f>
        <v>304.228402918569</v>
      </c>
      <c r="AI16" s="76" t="n">
        <f aca="false">'Revenue Streams'!AI$31</f>
        <v>331.825344286696</v>
      </c>
      <c r="AJ16" s="76" t="n">
        <f aca="false">'Revenue Streams'!AJ$31</f>
        <v>359.422285654824</v>
      </c>
      <c r="AK16" s="76" t="n">
        <f aca="false">'Revenue Streams'!AK$31</f>
        <v>372.046678735923</v>
      </c>
      <c r="AL16" s="76" t="n">
        <f aca="false">'Revenue Streams'!AL$31</f>
        <v>383.17381698832</v>
      </c>
      <c r="AM16" s="76" t="n">
        <f aca="false">'Revenue Streams'!AM$31</f>
        <v>394.300955240716</v>
      </c>
      <c r="AN16" s="76" t="n">
        <f aca="false">'Revenue Streams'!AN$31</f>
        <v>405.428093493113</v>
      </c>
      <c r="AO16" s="64" t="n">
        <f aca="false">SUM(AP16:BA16)</f>
        <v>6847.63104704601</v>
      </c>
      <c r="AP16" s="76" t="n">
        <f aca="false">'Revenue Streams'!AP$31</f>
        <v>441.058480671716</v>
      </c>
      <c r="AQ16" s="76" t="n">
        <f aca="false">'Revenue Streams'!AQ$31</f>
        <v>452.840156468371</v>
      </c>
      <c r="AR16" s="76" t="n">
        <f aca="false">'Revenue Streams'!AR$31</f>
        <v>479.226268169309</v>
      </c>
      <c r="AS16" s="76" t="n">
        <f aca="false">'Revenue Streams'!AS$31</f>
        <v>507.438410152107</v>
      </c>
      <c r="AT16" s="76" t="n">
        <f aca="false">'Revenue Streams'!AT$31</f>
        <v>535.650552134906</v>
      </c>
      <c r="AU16" s="76" t="n">
        <f aca="false">'Revenue Streams'!AU$31</f>
        <v>563.862694117704</v>
      </c>
      <c r="AV16" s="76" t="n">
        <f aca="false">'Revenue Streams'!AV$31</f>
        <v>592.074836100502</v>
      </c>
      <c r="AW16" s="76" t="n">
        <f aca="false">'Revenue Streams'!AW$31</f>
        <v>620.286978083301</v>
      </c>
      <c r="AX16" s="76" t="n">
        <f aca="false">'Revenue Streams'!AX$31</f>
        <v>639.152468507808</v>
      </c>
      <c r="AY16" s="76" t="n">
        <f aca="false">'Revenue Streams'!AY$31</f>
        <v>655.582934693951</v>
      </c>
      <c r="AZ16" s="76" t="n">
        <f aca="false">'Revenue Streams'!AZ$31</f>
        <v>672.013400880094</v>
      </c>
      <c r="BA16" s="76" t="n">
        <f aca="false">'Revenue Streams'!BA$31</f>
        <v>688.443867066237</v>
      </c>
      <c r="BB16" s="64" t="n">
        <f aca="false">SUM(BC16:BN16)</f>
        <v>10806.6596789435</v>
      </c>
      <c r="BC16" s="76" t="n">
        <f aca="false">'Revenue Streams'!BC$31</f>
        <v>744.034018433068</v>
      </c>
      <c r="BD16" s="76" t="n">
        <f aca="false">'Revenue Streams'!BD$31</f>
        <v>761.37728829622</v>
      </c>
      <c r="BE16" s="76" t="n">
        <f aca="false">'Revenue Streams'!BE$31</f>
        <v>793.026579310557</v>
      </c>
      <c r="BF16" s="76" t="n">
        <f aca="false">'Revenue Streams'!BF$31</f>
        <v>827.175587579571</v>
      </c>
      <c r="BG16" s="76" t="n">
        <f aca="false">'Revenue Streams'!BG$31</f>
        <v>861.324595848586</v>
      </c>
      <c r="BH16" s="76" t="n">
        <f aca="false">'Revenue Streams'!BH$31</f>
        <v>895.473604117601</v>
      </c>
      <c r="BI16" s="76" t="n">
        <f aca="false">'Revenue Streams'!BI$31</f>
        <v>929.622612386616</v>
      </c>
      <c r="BJ16" s="76" t="n">
        <f aca="false">'Revenue Streams'!BJ$31</f>
        <v>963.771620655631</v>
      </c>
      <c r="BK16" s="76" t="n">
        <f aca="false">'Revenue Streams'!BK$31</f>
        <v>982.504835470126</v>
      </c>
      <c r="BL16" s="76" t="n">
        <f aca="false">'Revenue Streams'!BL$31</f>
        <v>999.31057387599</v>
      </c>
      <c r="BM16" s="76" t="n">
        <f aca="false">'Revenue Streams'!BM$31</f>
        <v>1016.11631228185</v>
      </c>
      <c r="BN16" s="76" t="n">
        <f aca="false">'Revenue Streams'!BN$31</f>
        <v>1032.92205068772</v>
      </c>
    </row>
    <row r="17" customFormat="false" ht="15" hidden="false" customHeight="false" outlineLevel="0" collapsed="false">
      <c r="A17" s="12" t="s">
        <v>744</v>
      </c>
      <c r="B17" s="64" t="n">
        <f aca="false">SUM(C17:N17)</f>
        <v>0</v>
      </c>
      <c r="C17" s="76" t="n">
        <f aca="false">'Revenue Streams'!C$32</f>
        <v>0</v>
      </c>
      <c r="D17" s="76" t="n">
        <f aca="false">'Revenue Streams'!D$32</f>
        <v>0</v>
      </c>
      <c r="E17" s="76" t="n">
        <f aca="false">'Revenue Streams'!E$32</f>
        <v>0</v>
      </c>
      <c r="F17" s="76" t="n">
        <f aca="false">'Revenue Streams'!F$32</f>
        <v>0</v>
      </c>
      <c r="G17" s="76" t="n">
        <f aca="false">'Revenue Streams'!G$32</f>
        <v>0</v>
      </c>
      <c r="H17" s="76" t="n">
        <f aca="false">'Revenue Streams'!H$32</f>
        <v>0</v>
      </c>
      <c r="I17" s="76" t="n">
        <f aca="false">'Revenue Streams'!I$32</f>
        <v>0</v>
      </c>
      <c r="J17" s="76" t="n">
        <f aca="false">'Revenue Streams'!J$32</f>
        <v>0</v>
      </c>
      <c r="K17" s="76" t="n">
        <f aca="false">'Revenue Streams'!K$32</f>
        <v>0</v>
      </c>
      <c r="L17" s="76" t="n">
        <f aca="false">'Revenue Streams'!L$32</f>
        <v>0</v>
      </c>
      <c r="M17" s="76" t="n">
        <f aca="false">'Revenue Streams'!M$32</f>
        <v>0</v>
      </c>
      <c r="N17" s="76" t="n">
        <f aca="false">'Revenue Streams'!N$32</f>
        <v>0</v>
      </c>
      <c r="O17" s="64" t="n">
        <f aca="false">SUM(P17:AA17)</f>
        <v>12659.1427869932</v>
      </c>
      <c r="P17" s="76" t="n">
        <f aca="false">'Revenue Streams'!P$32</f>
        <v>0</v>
      </c>
      <c r="Q17" s="76" t="n">
        <f aca="false">'Revenue Streams'!Q$32</f>
        <v>0</v>
      </c>
      <c r="R17" s="76" t="n">
        <f aca="false">'Revenue Streams'!R$32</f>
        <v>0</v>
      </c>
      <c r="S17" s="76" t="n">
        <f aca="false">'Revenue Streams'!S$32</f>
        <v>281.314284155405</v>
      </c>
      <c r="T17" s="76" t="n">
        <f aca="false">'Revenue Streams'!T$32</f>
        <v>562.628568310811</v>
      </c>
      <c r="U17" s="76" t="n">
        <f aca="false">'Revenue Streams'!U$32</f>
        <v>843.942852466216</v>
      </c>
      <c r="V17" s="76" t="n">
        <f aca="false">'Revenue Streams'!V$32</f>
        <v>1125.25713662162</v>
      </c>
      <c r="W17" s="76" t="n">
        <f aca="false">'Revenue Streams'!W$32</f>
        <v>1406.57142077703</v>
      </c>
      <c r="X17" s="76" t="n">
        <f aca="false">'Revenue Streams'!X$32</f>
        <v>1687.88570493243</v>
      </c>
      <c r="Y17" s="76" t="n">
        <f aca="false">'Revenue Streams'!Y$32</f>
        <v>1969.19998908784</v>
      </c>
      <c r="Z17" s="76" t="n">
        <f aca="false">'Revenue Streams'!Z$32</f>
        <v>2250.51427324324</v>
      </c>
      <c r="AA17" s="76" t="n">
        <f aca="false">'Revenue Streams'!AA$32</f>
        <v>2531.82855739865</v>
      </c>
      <c r="AB17" s="64" t="n">
        <f aca="false">SUM(AC17:AN17)</f>
        <v>66587.8444420713</v>
      </c>
      <c r="AC17" s="76" t="n">
        <f aca="false">'Revenue Streams'!AC$32</f>
        <v>3164.78569674831</v>
      </c>
      <c r="AD17" s="76" t="n">
        <f aca="false">'Revenue Streams'!AD$32</f>
        <v>3481.26426642314</v>
      </c>
      <c r="AE17" s="76" t="n">
        <f aca="false">'Revenue Streams'!AE$32</f>
        <v>3797.74283609797</v>
      </c>
      <c r="AF17" s="76" t="n">
        <f aca="false">'Revenue Streams'!AF$32</f>
        <v>4328.03700356395</v>
      </c>
      <c r="AG17" s="76" t="n">
        <f aca="false">'Revenue Streams'!AG$32</f>
        <v>4858.33117102993</v>
      </c>
      <c r="AH17" s="76" t="n">
        <f aca="false">'Revenue Streams'!AH$32</f>
        <v>5388.62533849591</v>
      </c>
      <c r="AI17" s="76" t="n">
        <f aca="false">'Revenue Streams'!AI$32</f>
        <v>5918.91950596189</v>
      </c>
      <c r="AJ17" s="76" t="n">
        <f aca="false">'Revenue Streams'!AJ$32</f>
        <v>6449.21367342787</v>
      </c>
      <c r="AK17" s="76" t="n">
        <f aca="false">'Revenue Streams'!AK$32</f>
        <v>6979.50784089385</v>
      </c>
      <c r="AL17" s="76" t="n">
        <f aca="false">'Revenue Streams'!AL$32</f>
        <v>7193.323438685</v>
      </c>
      <c r="AM17" s="76" t="n">
        <f aca="false">'Revenue Streams'!AM$32</f>
        <v>7407.13903647615</v>
      </c>
      <c r="AN17" s="76" t="n">
        <f aca="false">'Revenue Streams'!AN$32</f>
        <v>7620.9546342673</v>
      </c>
      <c r="AO17" s="64" t="n">
        <f aca="false">SUM(AP17:BA17)</f>
        <v>133627.103004652</v>
      </c>
      <c r="AP17" s="76" t="n">
        <f aca="false">'Revenue Streams'!AP$32</f>
        <v>8705.30025784272</v>
      </c>
      <c r="AQ17" s="76" t="n">
        <f aca="false">'Revenue Streams'!AQ$32</f>
        <v>8942.87314427733</v>
      </c>
      <c r="AR17" s="76" t="n">
        <f aca="false">'Revenue Streams'!AR$32</f>
        <v>9180.44603071194</v>
      </c>
      <c r="AS17" s="76" t="n">
        <f aca="false">'Revenue Streams'!AS$32</f>
        <v>9749.33284435684</v>
      </c>
      <c r="AT17" s="76" t="n">
        <f aca="false">'Revenue Streams'!AT$32</f>
        <v>10318.2196580017</v>
      </c>
      <c r="AU17" s="76" t="n">
        <f aca="false">'Revenue Streams'!AU$32</f>
        <v>10887.1064716466</v>
      </c>
      <c r="AV17" s="76" t="n">
        <f aca="false">'Revenue Streams'!AV$32</f>
        <v>11455.9932852916</v>
      </c>
      <c r="AW17" s="76" t="n">
        <f aca="false">'Revenue Streams'!AW$32</f>
        <v>12024.8800989365</v>
      </c>
      <c r="AX17" s="76" t="n">
        <f aca="false">'Revenue Streams'!AX$32</f>
        <v>12593.7669125814</v>
      </c>
      <c r="AY17" s="76" t="n">
        <f aca="false">'Revenue Streams'!AY$32</f>
        <v>12925.0808397917</v>
      </c>
      <c r="AZ17" s="76" t="n">
        <f aca="false">'Revenue Streams'!AZ$32</f>
        <v>13256.394767002</v>
      </c>
      <c r="BA17" s="76" t="n">
        <f aca="false">'Revenue Streams'!BA$32</f>
        <v>13587.7086942122</v>
      </c>
      <c r="BB17" s="64" t="n">
        <f aca="false">SUM(BC17:BN17)</f>
        <v>221489.559905254</v>
      </c>
      <c r="BC17" s="76" t="n">
        <f aca="false">'Revenue Streams'!BC$32</f>
        <v>15310.9248835648</v>
      </c>
      <c r="BD17" s="76" t="n">
        <f aca="false">'Revenue Streams'!BD$32</f>
        <v>15675.3702034961</v>
      </c>
      <c r="BE17" s="76" t="n">
        <f aca="false">'Revenue Streams'!BE$32</f>
        <v>16039.8155234274</v>
      </c>
      <c r="BF17" s="76" t="n">
        <f aca="false">'Revenue Streams'!BF$32</f>
        <v>16757.4106679498</v>
      </c>
      <c r="BG17" s="76" t="n">
        <f aca="false">'Revenue Streams'!BG$32</f>
        <v>17475.0058124722</v>
      </c>
      <c r="BH17" s="76" t="n">
        <f aca="false">'Revenue Streams'!BH$32</f>
        <v>18192.6009569946</v>
      </c>
      <c r="BI17" s="76" t="n">
        <f aca="false">'Revenue Streams'!BI$32</f>
        <v>18910.196101517</v>
      </c>
      <c r="BJ17" s="76" t="n">
        <f aca="false">'Revenue Streams'!BJ$32</f>
        <v>19627.7912460393</v>
      </c>
      <c r="BK17" s="76" t="n">
        <f aca="false">'Revenue Streams'!BK$32</f>
        <v>20345.3863905617</v>
      </c>
      <c r="BL17" s="76" t="n">
        <f aca="false">'Revenue Streams'!BL$32</f>
        <v>20698.5362151528</v>
      </c>
      <c r="BM17" s="76" t="n">
        <f aca="false">'Revenue Streams'!BM$32</f>
        <v>21051.6860397438</v>
      </c>
      <c r="BN17" s="76" t="n">
        <f aca="false">'Revenue Streams'!BN$32</f>
        <v>21404.8358643349</v>
      </c>
    </row>
    <row r="18" customFormat="false" ht="15" hidden="false" customHeight="false" outlineLevel="0" collapsed="false">
      <c r="A18" s="18" t="s">
        <v>745</v>
      </c>
      <c r="B18" s="64" t="n">
        <f aca="false">SUM(C18:N18)</f>
        <v>7352.532426789</v>
      </c>
      <c r="C18" s="77" t="n">
        <f aca="false">'Revenue Streams'!C$33+'Revenue Streams'!C$34+'Revenue Streams'!C$36</f>
        <v>0</v>
      </c>
      <c r="D18" s="77" t="n">
        <f aca="false">'Revenue Streams'!D$33+'Revenue Streams'!D$34+'Revenue Streams'!D$36</f>
        <v>0</v>
      </c>
      <c r="E18" s="77" t="n">
        <f aca="false">'Revenue Streams'!E$33+'Revenue Streams'!E$34+'Revenue Streams'!E$36</f>
        <v>0</v>
      </c>
      <c r="F18" s="77" t="n">
        <f aca="false">'Revenue Streams'!F$33+'Revenue Streams'!F$34+'Revenue Streams'!F$36</f>
        <v>0</v>
      </c>
      <c r="G18" s="77" t="n">
        <f aca="false">'Revenue Streams'!G$33+'Revenue Streams'!G$34+'Revenue Streams'!G$36</f>
        <v>0</v>
      </c>
      <c r="H18" s="77" t="n">
        <f aca="false">'Revenue Streams'!H$33+'Revenue Streams'!H$34+'Revenue Streams'!H$36</f>
        <v>0</v>
      </c>
      <c r="I18" s="77" t="n">
        <f aca="false">'Revenue Streams'!I$33+'Revenue Streams'!I$34+'Revenue Streams'!I$36</f>
        <v>350.120591751857</v>
      </c>
      <c r="J18" s="77" t="n">
        <f aca="false">'Revenue Streams'!J$33+'Revenue Streams'!J$34+'Revenue Streams'!J$36</f>
        <v>700.241183503714</v>
      </c>
      <c r="K18" s="77" t="n">
        <f aca="false">'Revenue Streams'!K$33+'Revenue Streams'!K$34+'Revenue Streams'!K$36</f>
        <v>1050.36177525557</v>
      </c>
      <c r="L18" s="77" t="n">
        <f aca="false">'Revenue Streams'!L$33+'Revenue Streams'!L$34+'Revenue Streams'!L$36</f>
        <v>1400.48236700743</v>
      </c>
      <c r="M18" s="77" t="n">
        <f aca="false">'Revenue Streams'!M$33+'Revenue Streams'!M$34+'Revenue Streams'!M$36</f>
        <v>1750.60295875929</v>
      </c>
      <c r="N18" s="77" t="n">
        <f aca="false">'Revenue Streams'!N$33+'Revenue Streams'!N$34+'Revenue Streams'!N$36</f>
        <v>2100.72355051114</v>
      </c>
      <c r="O18" s="64" t="n">
        <f aca="false">SUM(P18:AA18)</f>
        <v>93166.0837499234</v>
      </c>
      <c r="P18" s="77" t="n">
        <f aca="false">'Revenue Streams'!P$33+'Revenue Streams'!P$34+'Revenue Streams'!P$36</f>
        <v>3354.68806118763</v>
      </c>
      <c r="Q18" s="77" t="n">
        <f aca="false">'Revenue Streams'!Q$33+'Revenue Streams'!Q$34+'Revenue Streams'!Q$36</f>
        <v>4167.65285260102</v>
      </c>
      <c r="R18" s="77" t="n">
        <f aca="false">'Revenue Streams'!R$33+'Revenue Streams'!R$34+'Revenue Streams'!R$36</f>
        <v>5014.52606219385</v>
      </c>
      <c r="S18" s="77" t="n">
        <f aca="false">'Revenue Streams'!S$33+'Revenue Streams'!S$34+'Revenue Streams'!S$36</f>
        <v>5861.39927178669</v>
      </c>
      <c r="T18" s="77" t="n">
        <f aca="false">'Revenue Streams'!T$33+'Revenue Streams'!T$34+'Revenue Streams'!T$36</f>
        <v>6708.27248137952</v>
      </c>
      <c r="U18" s="77" t="n">
        <f aca="false">'Revenue Streams'!U$33+'Revenue Streams'!U$34+'Revenue Streams'!U$36</f>
        <v>7555.14569097236</v>
      </c>
      <c r="V18" s="77" t="n">
        <f aca="false">'Revenue Streams'!V$33+'Revenue Streams'!V$34+'Revenue Streams'!V$36</f>
        <v>8225.20623027528</v>
      </c>
      <c r="W18" s="77" t="n">
        <f aca="false">'Revenue Streams'!W$33+'Revenue Streams'!W$34+'Revenue Streams'!W$36</f>
        <v>8895.26676957821</v>
      </c>
      <c r="X18" s="77" t="n">
        <f aca="false">'Revenue Streams'!X$33+'Revenue Streams'!X$34+'Revenue Streams'!X$36</f>
        <v>9565.32730888113</v>
      </c>
      <c r="Y18" s="77" t="n">
        <f aca="false">'Revenue Streams'!Y$33+'Revenue Streams'!Y$34+'Revenue Streams'!Y$36</f>
        <v>10435.3023398475</v>
      </c>
      <c r="Z18" s="77" t="n">
        <f aca="false">'Revenue Streams'!Z$33+'Revenue Streams'!Z$34+'Revenue Streams'!Z$36</f>
        <v>11282.3787209346</v>
      </c>
      <c r="AA18" s="77" t="n">
        <f aca="false">'Revenue Streams'!AA$33+'Revenue Streams'!AA$34+'Revenue Streams'!AA$36</f>
        <v>12100.9179602857</v>
      </c>
      <c r="AB18" s="64" t="n">
        <f aca="false">SUM(AC18:AN18)</f>
        <v>227412.427460453</v>
      </c>
      <c r="AC18" s="77" t="n">
        <f aca="false">'Revenue Streams'!AC$33+'Revenue Streams'!AC$34+'Revenue Streams'!AC$36</f>
        <v>14977.6953284652</v>
      </c>
      <c r="AD18" s="77" t="n">
        <f aca="false">'Revenue Streams'!AD$33+'Revenue Streams'!AD$34+'Revenue Streams'!AD$36</f>
        <v>15630.6053415773</v>
      </c>
      <c r="AE18" s="77" t="n">
        <f aca="false">'Revenue Streams'!AE$33+'Revenue Streams'!AE$34+'Revenue Streams'!AE$36</f>
        <v>16304.7184068355</v>
      </c>
      <c r="AF18" s="77" t="n">
        <f aca="false">'Revenue Streams'!AF$33+'Revenue Streams'!AF$34+'Revenue Streams'!AF$36</f>
        <v>16978.8314720937</v>
      </c>
      <c r="AG18" s="77" t="n">
        <f aca="false">'Revenue Streams'!AG$33+'Revenue Streams'!AG$34+'Revenue Streams'!AG$36</f>
        <v>17652.9445373519</v>
      </c>
      <c r="AH18" s="77" t="n">
        <f aca="false">'Revenue Streams'!AH$33+'Revenue Streams'!AH$34+'Revenue Streams'!AH$36</f>
        <v>18327.0576026101</v>
      </c>
      <c r="AI18" s="77" t="n">
        <f aca="false">'Revenue Streams'!AI$33+'Revenue Streams'!AI$34+'Revenue Streams'!AI$36</f>
        <v>19170.8045331875</v>
      </c>
      <c r="AJ18" s="77" t="n">
        <f aca="false">'Revenue Streams'!AJ$33+'Revenue Streams'!AJ$34+'Revenue Streams'!AJ$36</f>
        <v>20014.551463765</v>
      </c>
      <c r="AK18" s="77" t="n">
        <f aca="false">'Revenue Streams'!AK$33+'Revenue Streams'!AK$34+'Revenue Streams'!AK$36</f>
        <v>20780.9998322303</v>
      </c>
      <c r="AL18" s="77" t="n">
        <f aca="false">'Revenue Streams'!AL$33+'Revenue Streams'!AL$34+'Revenue Streams'!AL$36</f>
        <v>21652.8697398379</v>
      </c>
      <c r="AM18" s="77" t="n">
        <f aca="false">'Revenue Streams'!AM$33+'Revenue Streams'!AM$34+'Revenue Streams'!AM$36</f>
        <v>22524.7396474455</v>
      </c>
      <c r="AN18" s="77" t="n">
        <f aca="false">'Revenue Streams'!AN$33+'Revenue Streams'!AN$34+'Revenue Streams'!AN$36</f>
        <v>23396.609555053</v>
      </c>
      <c r="AO18" s="64" t="n">
        <f aca="false">SUM(AP18:BA18)</f>
        <v>397730.897489147</v>
      </c>
      <c r="AP18" s="77" t="n">
        <f aca="false">'Revenue Streams'!AP$33+'Revenue Streams'!AP$34+'Revenue Streams'!AP$36</f>
        <v>27913.9765287549</v>
      </c>
      <c r="AQ18" s="77" t="n">
        <f aca="false">'Revenue Streams'!AQ$33+'Revenue Streams'!AQ$34+'Revenue Streams'!AQ$36</f>
        <v>28892.154523091</v>
      </c>
      <c r="AR18" s="77" t="n">
        <f aca="false">'Revenue Streams'!AR$33+'Revenue Streams'!AR$34+'Revenue Streams'!AR$36</f>
        <v>29852.9649120008</v>
      </c>
      <c r="AS18" s="77" t="n">
        <f aca="false">'Revenue Streams'!AS$33+'Revenue Streams'!AS$34+'Revenue Streams'!AS$36</f>
        <v>30813.7753009107</v>
      </c>
      <c r="AT18" s="77" t="n">
        <f aca="false">'Revenue Streams'!AT$33+'Revenue Streams'!AT$34+'Revenue Streams'!AT$36</f>
        <v>31774.5856898206</v>
      </c>
      <c r="AU18" s="77" t="n">
        <f aca="false">'Revenue Streams'!AU$33+'Revenue Streams'!AU$34+'Revenue Streams'!AU$36</f>
        <v>32735.3960787304</v>
      </c>
      <c r="AV18" s="77" t="n">
        <f aca="false">'Revenue Streams'!AV$33+'Revenue Streams'!AV$34+'Revenue Streams'!AV$36</f>
        <v>33664.7088365749</v>
      </c>
      <c r="AW18" s="77" t="n">
        <f aca="false">'Revenue Streams'!AW$33+'Revenue Streams'!AW$34+'Revenue Streams'!AW$36</f>
        <v>34594.0215944193</v>
      </c>
      <c r="AX18" s="77" t="n">
        <f aca="false">'Revenue Streams'!AX$33+'Revenue Streams'!AX$34+'Revenue Streams'!AX$36</f>
        <v>35523.3343522638</v>
      </c>
      <c r="AY18" s="77" t="n">
        <f aca="false">'Revenue Streams'!AY$33+'Revenue Streams'!AY$34+'Revenue Streams'!AY$36</f>
        <v>36422.6637882286</v>
      </c>
      <c r="AZ18" s="77" t="n">
        <f aca="false">'Revenue Streams'!AZ$33+'Revenue Streams'!AZ$34+'Revenue Streams'!AZ$36</f>
        <v>37321.9932241935</v>
      </c>
      <c r="BA18" s="77" t="n">
        <f aca="false">'Revenue Streams'!BA$33+'Revenue Streams'!BA$34+'Revenue Streams'!BA$36</f>
        <v>38221.3226601584</v>
      </c>
      <c r="BB18" s="64" t="n">
        <f aca="false">SUM(BC18:BN18)</f>
        <v>589602.668249774</v>
      </c>
      <c r="BC18" s="77" t="n">
        <f aca="false">'Revenue Streams'!BC$33+'Revenue Streams'!BC$34+'Revenue Streams'!BC$36</f>
        <v>43453.7885223131</v>
      </c>
      <c r="BD18" s="77" t="n">
        <f aca="false">'Revenue Streams'!BD$33+'Revenue Streams'!BD$34+'Revenue Streams'!BD$36</f>
        <v>44465.5311362482</v>
      </c>
      <c r="BE18" s="77" t="n">
        <f aca="false">'Revenue Streams'!BE$33+'Revenue Streams'!BE$34+'Revenue Streams'!BE$36</f>
        <v>45494.0226708527</v>
      </c>
      <c r="BF18" s="77" t="n">
        <f aca="false">'Revenue Streams'!BF$33+'Revenue Streams'!BF$34+'Revenue Streams'!BF$36</f>
        <v>46522.5142054572</v>
      </c>
      <c r="BG18" s="77" t="n">
        <f aca="false">'Revenue Streams'!BG$33+'Revenue Streams'!BG$34+'Revenue Streams'!BG$36</f>
        <v>47551.0057400616</v>
      </c>
      <c r="BH18" s="77" t="n">
        <f aca="false">'Revenue Streams'!BH$33+'Revenue Streams'!BH$34+'Revenue Streams'!BH$36</f>
        <v>48579.4972746661</v>
      </c>
      <c r="BI18" s="77" t="n">
        <f aca="false">'Revenue Streams'!BI$33+'Revenue Streams'!BI$34+'Revenue Streams'!BI$36</f>
        <v>49625.3851423077</v>
      </c>
      <c r="BJ18" s="77" t="n">
        <f aca="false">'Revenue Streams'!BJ$33+'Revenue Streams'!BJ$34+'Revenue Streams'!BJ$36</f>
        <v>50671.2730099494</v>
      </c>
      <c r="BK18" s="77" t="n">
        <f aca="false">'Revenue Streams'!BK$33+'Revenue Streams'!BK$34+'Revenue Streams'!BK$36</f>
        <v>51717.160877591</v>
      </c>
      <c r="BL18" s="77" t="n">
        <f aca="false">'Revenue Streams'!BL$33+'Revenue Streams'!BL$34+'Revenue Streams'!BL$36</f>
        <v>52778.9953838501</v>
      </c>
      <c r="BM18" s="77" t="n">
        <f aca="false">'Revenue Streams'!BM$33+'Revenue Streams'!BM$34+'Revenue Streams'!BM$36</f>
        <v>53840.8298901091</v>
      </c>
      <c r="BN18" s="77" t="n">
        <f aca="false">'Revenue Streams'!BN$33+'Revenue Streams'!BN$34+'Revenue Streams'!BN$36</f>
        <v>54902.6643963681</v>
      </c>
    </row>
    <row r="19" customFormat="false" ht="15" hidden="false" customHeight="false" outlineLevel="0" collapsed="false">
      <c r="A19" s="12" t="s">
        <v>746</v>
      </c>
      <c r="B19" s="64" t="n">
        <f aca="false">SUM(C19:N19)</f>
        <v>6233.66879662545</v>
      </c>
      <c r="C19" s="76" t="n">
        <f aca="false">'Revenue Streams'!C$33</f>
        <v>0</v>
      </c>
      <c r="D19" s="76" t="n">
        <f aca="false">'Revenue Streams'!D$33</f>
        <v>0</v>
      </c>
      <c r="E19" s="76" t="n">
        <f aca="false">'Revenue Streams'!E$33</f>
        <v>0</v>
      </c>
      <c r="F19" s="76" t="n">
        <f aca="false">'Revenue Streams'!F$33</f>
        <v>0</v>
      </c>
      <c r="G19" s="76" t="n">
        <f aca="false">'Revenue Streams'!G$33</f>
        <v>0</v>
      </c>
      <c r="H19" s="76" t="n">
        <f aca="false">'Revenue Streams'!H$33</f>
        <v>0</v>
      </c>
      <c r="I19" s="76" t="n">
        <f aca="false">'Revenue Streams'!I$33</f>
        <v>296.841371267879</v>
      </c>
      <c r="J19" s="76" t="n">
        <f aca="false">'Revenue Streams'!J$33</f>
        <v>593.682742535758</v>
      </c>
      <c r="K19" s="76" t="n">
        <f aca="false">'Revenue Streams'!K$33</f>
        <v>890.524113803636</v>
      </c>
      <c r="L19" s="76" t="n">
        <f aca="false">'Revenue Streams'!L$33</f>
        <v>1187.36548507152</v>
      </c>
      <c r="M19" s="76" t="n">
        <f aca="false">'Revenue Streams'!M$33</f>
        <v>1484.20685633939</v>
      </c>
      <c r="N19" s="76" t="n">
        <f aca="false">'Revenue Streams'!N$33</f>
        <v>1781.04822760727</v>
      </c>
      <c r="O19" s="64" t="n">
        <f aca="false">SUM(P19:AA19)</f>
        <v>52712.2627791029</v>
      </c>
      <c r="P19" s="76" t="n">
        <f aca="false">'Revenue Streams'!P$33</f>
        <v>2493.46751865018</v>
      </c>
      <c r="Q19" s="76" t="n">
        <f aca="false">'Revenue Streams'!Q$33</f>
        <v>2885.29812872378</v>
      </c>
      <c r="R19" s="76" t="n">
        <f aca="false">'Revenue Streams'!R$33</f>
        <v>3277.12873879738</v>
      </c>
      <c r="S19" s="76" t="n">
        <f aca="false">'Revenue Streams'!S$33</f>
        <v>3668.95934887098</v>
      </c>
      <c r="T19" s="76" t="n">
        <f aca="false">'Revenue Streams'!T$33</f>
        <v>4060.78995894458</v>
      </c>
      <c r="U19" s="76" t="n">
        <f aca="false">'Revenue Streams'!U$33</f>
        <v>4452.62056901818</v>
      </c>
      <c r="V19" s="76" t="n">
        <f aca="false">'Revenue Streams'!V$33</f>
        <v>4698.25271673193</v>
      </c>
      <c r="W19" s="76" t="n">
        <f aca="false">'Revenue Streams'!W$33</f>
        <v>4943.88486444567</v>
      </c>
      <c r="X19" s="76" t="n">
        <f aca="false">'Revenue Streams'!X$33</f>
        <v>5189.51701215942</v>
      </c>
      <c r="Y19" s="76" t="n">
        <f aca="false">'Revenue Streams'!Y$33</f>
        <v>5435.14915987317</v>
      </c>
      <c r="Z19" s="76" t="n">
        <f aca="false">'Revenue Streams'!Z$33</f>
        <v>5680.78130758691</v>
      </c>
      <c r="AA19" s="76" t="n">
        <f aca="false">'Revenue Streams'!AA$33</f>
        <v>5926.41345530066</v>
      </c>
      <c r="AB19" s="64" t="n">
        <f aca="false">SUM(AC19:AN19)</f>
        <v>109686.769925301</v>
      </c>
      <c r="AC19" s="76" t="n">
        <f aca="false">'Revenue Streams'!AC$33</f>
        <v>7200.71987018347</v>
      </c>
      <c r="AD19" s="76" t="n">
        <f aca="false">'Revenue Streams'!AD$33</f>
        <v>7509.56462254846</v>
      </c>
      <c r="AE19" s="76" t="n">
        <f aca="false">'Revenue Streams'!AE$33</f>
        <v>7818.40937491345</v>
      </c>
      <c r="AF19" s="76" t="n">
        <f aca="false">'Revenue Streams'!AF$33</f>
        <v>8127.25412727845</v>
      </c>
      <c r="AG19" s="76" t="n">
        <f aca="false">'Revenue Streams'!AG$33</f>
        <v>8436.09887964344</v>
      </c>
      <c r="AH19" s="76" t="n">
        <f aca="false">'Revenue Streams'!AH$33</f>
        <v>8744.94363200843</v>
      </c>
      <c r="AI19" s="76" t="n">
        <f aca="false">'Revenue Streams'!AI$33</f>
        <v>9191.61589994531</v>
      </c>
      <c r="AJ19" s="76" t="n">
        <f aca="false">'Revenue Streams'!AJ$33</f>
        <v>9638.28816788218</v>
      </c>
      <c r="AK19" s="76" t="n">
        <f aca="false">'Revenue Streams'!AK$33</f>
        <v>10084.9604358191</v>
      </c>
      <c r="AL19" s="76" t="n">
        <f aca="false">'Revenue Streams'!AL$33</f>
        <v>10531.6327037559</v>
      </c>
      <c r="AM19" s="76" t="n">
        <f aca="false">'Revenue Streams'!AM$33</f>
        <v>10978.3049716928</v>
      </c>
      <c r="AN19" s="76" t="n">
        <f aca="false">'Revenue Streams'!AN$33</f>
        <v>11424.9772396297</v>
      </c>
      <c r="AO19" s="64" t="n">
        <f aca="false">SUM(AP19:BA19)</f>
        <v>194637.440085274</v>
      </c>
      <c r="AP19" s="76" t="n">
        <f aca="false">'Revenue Streams'!AP$33</f>
        <v>13567.5994372189</v>
      </c>
      <c r="AQ19" s="76" t="n">
        <f aca="false">'Revenue Streams'!AQ$33</f>
        <v>14059.8372719314</v>
      </c>
      <c r="AR19" s="76" t="n">
        <f aca="false">'Revenue Streams'!AR$33</f>
        <v>14552.0751066438</v>
      </c>
      <c r="AS19" s="76" t="n">
        <f aca="false">'Revenue Streams'!AS$33</f>
        <v>15044.3129413562</v>
      </c>
      <c r="AT19" s="76" t="n">
        <f aca="false">'Revenue Streams'!AT$33</f>
        <v>15536.5507760687</v>
      </c>
      <c r="AU19" s="76" t="n">
        <f aca="false">'Revenue Streams'!AU$33</f>
        <v>16028.7886107811</v>
      </c>
      <c r="AV19" s="76" t="n">
        <f aca="false">'Revenue Streams'!AV$33</f>
        <v>16489.5288144281</v>
      </c>
      <c r="AW19" s="76" t="n">
        <f aca="false">'Revenue Streams'!AW$33</f>
        <v>16950.2690180752</v>
      </c>
      <c r="AX19" s="76" t="n">
        <f aca="false">'Revenue Streams'!AX$33</f>
        <v>17411.0092217222</v>
      </c>
      <c r="AY19" s="76" t="n">
        <f aca="false">'Revenue Streams'!AY$33</f>
        <v>17871.7494253692</v>
      </c>
      <c r="AZ19" s="76" t="n">
        <f aca="false">'Revenue Streams'!AZ$33</f>
        <v>18332.4896290163</v>
      </c>
      <c r="BA19" s="76" t="n">
        <f aca="false">'Revenue Streams'!BA$33</f>
        <v>18793.2298326633</v>
      </c>
      <c r="BB19" s="64" t="n">
        <f aca="false">SUM(BC19:BN19)</f>
        <v>295709.800892959</v>
      </c>
      <c r="BC19" s="76" t="n">
        <f aca="false">'Revenue Streams'!BC$33</f>
        <v>21660.7162908491</v>
      </c>
      <c r="BD19" s="76" t="n">
        <f aca="false">'Revenue Streams'!BD$33</f>
        <v>22197.3205697732</v>
      </c>
      <c r="BE19" s="76" t="n">
        <f aca="false">'Revenue Streams'!BE$33</f>
        <v>22733.9248486973</v>
      </c>
      <c r="BF19" s="76" t="n">
        <f aca="false">'Revenue Streams'!BF$33</f>
        <v>23270.5291276213</v>
      </c>
      <c r="BG19" s="76" t="n">
        <f aca="false">'Revenue Streams'!BG$33</f>
        <v>23807.1334065454</v>
      </c>
      <c r="BH19" s="76" t="n">
        <f aca="false">'Revenue Streams'!BH$33</f>
        <v>24343.7376854695</v>
      </c>
      <c r="BI19" s="76" t="n">
        <f aca="false">'Revenue Streams'!BI$33</f>
        <v>24897.7382974307</v>
      </c>
      <c r="BJ19" s="76" t="n">
        <f aca="false">'Revenue Streams'!BJ$33</f>
        <v>25451.738909392</v>
      </c>
      <c r="BK19" s="76" t="n">
        <f aca="false">'Revenue Streams'!BK$33</f>
        <v>26005.7395213532</v>
      </c>
      <c r="BL19" s="76" t="n">
        <f aca="false">'Revenue Streams'!BL$33</f>
        <v>26559.7401333144</v>
      </c>
      <c r="BM19" s="76" t="n">
        <f aca="false">'Revenue Streams'!BM$33</f>
        <v>27113.7407452757</v>
      </c>
      <c r="BN19" s="76" t="n">
        <f aca="false">'Revenue Streams'!BN$33</f>
        <v>27667.7413572369</v>
      </c>
    </row>
    <row r="20" customFormat="false" ht="15" hidden="false" customHeight="false" outlineLevel="0" collapsed="false">
      <c r="A20" s="12" t="s">
        <v>747</v>
      </c>
      <c r="B20" s="64" t="n">
        <f aca="false">SUM(C20:N20)</f>
        <v>0</v>
      </c>
      <c r="C20" s="76" t="n">
        <f aca="false">'Revenue Streams'!C$34</f>
        <v>0</v>
      </c>
      <c r="D20" s="76" t="n">
        <f aca="false">'Revenue Streams'!D$34</f>
        <v>0</v>
      </c>
      <c r="E20" s="76" t="n">
        <f aca="false">'Revenue Streams'!E$34</f>
        <v>0</v>
      </c>
      <c r="F20" s="76" t="n">
        <f aca="false">'Revenue Streams'!F$34</f>
        <v>0</v>
      </c>
      <c r="G20" s="76" t="n">
        <f aca="false">'Revenue Streams'!G$34</f>
        <v>0</v>
      </c>
      <c r="H20" s="76" t="n">
        <f aca="false">'Revenue Streams'!H$34</f>
        <v>0</v>
      </c>
      <c r="I20" s="76" t="n">
        <f aca="false">'Revenue Streams'!I$34</f>
        <v>0</v>
      </c>
      <c r="J20" s="76" t="n">
        <f aca="false">'Revenue Streams'!J$34</f>
        <v>0</v>
      </c>
      <c r="K20" s="76" t="n">
        <f aca="false">'Revenue Streams'!K$34</f>
        <v>0</v>
      </c>
      <c r="L20" s="76" t="n">
        <f aca="false">'Revenue Streams'!L$34</f>
        <v>0</v>
      </c>
      <c r="M20" s="76" t="n">
        <f aca="false">'Revenue Streams'!M$34</f>
        <v>0</v>
      </c>
      <c r="N20" s="76" t="n">
        <f aca="false">'Revenue Streams'!N$34</f>
        <v>0</v>
      </c>
      <c r="O20" s="64" t="n">
        <f aca="false">SUM(P20:AA20)</f>
        <v>29513.0161298182</v>
      </c>
      <c r="P20" s="76" t="n">
        <f aca="false">'Revenue Streams'!P$34</f>
        <v>339.084181794462</v>
      </c>
      <c r="Q20" s="76" t="n">
        <f aca="false">'Revenue Streams'!Q$34</f>
        <v>678.168363588923</v>
      </c>
      <c r="R20" s="76" t="n">
        <f aca="false">'Revenue Streams'!R$34</f>
        <v>1051.16096356283</v>
      </c>
      <c r="S20" s="76" t="n">
        <f aca="false">'Revenue Streams'!S$34</f>
        <v>1424.15356353674</v>
      </c>
      <c r="T20" s="76" t="n">
        <f aca="false">'Revenue Streams'!T$34</f>
        <v>1797.14616351065</v>
      </c>
      <c r="U20" s="76" t="n">
        <f aca="false">'Revenue Streams'!U$34</f>
        <v>2170.13876348455</v>
      </c>
      <c r="V20" s="76" t="n">
        <f aca="false">'Revenue Streams'!V$34</f>
        <v>2543.13136345846</v>
      </c>
      <c r="W20" s="76" t="n">
        <f aca="false">'Revenue Streams'!W$34</f>
        <v>2916.12396343237</v>
      </c>
      <c r="X20" s="76" t="n">
        <f aca="false">'Revenue Streams'!X$34</f>
        <v>3289.11656340628</v>
      </c>
      <c r="Y20" s="76" t="n">
        <f aca="false">'Revenue Streams'!Y$34</f>
        <v>3862.02365504363</v>
      </c>
      <c r="Z20" s="76" t="n">
        <f aca="false">'Revenue Streams'!Z$34</f>
        <v>4434.93074668098</v>
      </c>
      <c r="AA20" s="76" t="n">
        <f aca="false">'Revenue Streams'!AA$34</f>
        <v>5007.83783831834</v>
      </c>
      <c r="AB20" s="64" t="n">
        <f aca="false">SUM(AC20:AN20)</f>
        <v>93340.9895564438</v>
      </c>
      <c r="AC20" s="76" t="n">
        <f aca="false">'Revenue Streams'!AC$34</f>
        <v>6115.27087285477</v>
      </c>
      <c r="AD20" s="76" t="n">
        <f aca="false">'Revenue Streams'!AD$34</f>
        <v>6388.06426767148</v>
      </c>
      <c r="AE20" s="76" t="n">
        <f aca="false">'Revenue Streams'!AE$34</f>
        <v>6682.06071463431</v>
      </c>
      <c r="AF20" s="76" t="n">
        <f aca="false">'Revenue Streams'!AF$34</f>
        <v>6976.05716159714</v>
      </c>
      <c r="AG20" s="76" t="n">
        <f aca="false">'Revenue Streams'!AG$34</f>
        <v>7270.05360855997</v>
      </c>
      <c r="AH20" s="76" t="n">
        <f aca="false">'Revenue Streams'!AH$34</f>
        <v>7564.0500555228</v>
      </c>
      <c r="AI20" s="76" t="n">
        <f aca="false">'Revenue Streams'!AI$34</f>
        <v>7858.04650248563</v>
      </c>
      <c r="AJ20" s="76" t="n">
        <f aca="false">'Revenue Streams'!AJ$34</f>
        <v>8152.04294944846</v>
      </c>
      <c r="AK20" s="76" t="n">
        <f aca="false">'Revenue Streams'!AK$34</f>
        <v>8446.03939641129</v>
      </c>
      <c r="AL20" s="76" t="n">
        <f aca="false">'Revenue Streams'!AL$34</f>
        <v>8871.23703608197</v>
      </c>
      <c r="AM20" s="76" t="n">
        <f aca="false">'Revenue Streams'!AM$34</f>
        <v>9296.43467575265</v>
      </c>
      <c r="AN20" s="76" t="n">
        <f aca="false">'Revenue Streams'!AN$34</f>
        <v>9721.63231542332</v>
      </c>
      <c r="AO20" s="64" t="n">
        <f aca="false">SUM(AP20:BA20)</f>
        <v>170093.457403873</v>
      </c>
      <c r="AP20" s="76" t="n">
        <f aca="false">'Revenue Streams'!AP$34</f>
        <v>11596.377091536</v>
      </c>
      <c r="AQ20" s="76" t="n">
        <f aca="false">'Revenue Streams'!AQ$34</f>
        <v>12082.3172511596</v>
      </c>
      <c r="AR20" s="76" t="n">
        <f aca="false">'Revenue Streams'!AR$34</f>
        <v>12550.8898053571</v>
      </c>
      <c r="AS20" s="76" t="n">
        <f aca="false">'Revenue Streams'!AS$34</f>
        <v>13019.4623595545</v>
      </c>
      <c r="AT20" s="76" t="n">
        <f aca="false">'Revenue Streams'!AT$34</f>
        <v>13488.0349137519</v>
      </c>
      <c r="AU20" s="76" t="n">
        <f aca="false">'Revenue Streams'!AU$34</f>
        <v>13956.6074679493</v>
      </c>
      <c r="AV20" s="76" t="n">
        <f aca="false">'Revenue Streams'!AV$34</f>
        <v>14425.1800221467</v>
      </c>
      <c r="AW20" s="76" t="n">
        <f aca="false">'Revenue Streams'!AW$34</f>
        <v>14893.7525763441</v>
      </c>
      <c r="AX20" s="76" t="n">
        <f aca="false">'Revenue Streams'!AX$34</f>
        <v>15362.3251305416</v>
      </c>
      <c r="AY20" s="76" t="n">
        <f aca="false">'Revenue Streams'!AY$34</f>
        <v>15800.9143628594</v>
      </c>
      <c r="AZ20" s="76" t="n">
        <f aca="false">'Revenue Streams'!AZ$34</f>
        <v>16239.5035951773</v>
      </c>
      <c r="BA20" s="76" t="n">
        <f aca="false">'Revenue Streams'!BA$34</f>
        <v>16678.0928274951</v>
      </c>
      <c r="BB20" s="64" t="n">
        <f aca="false">SUM(BC20:BN20)</f>
        <v>254892.867356816</v>
      </c>
      <c r="BC20" s="76" t="n">
        <f aca="false">'Revenue Streams'!BC$34</f>
        <v>18543.072231464</v>
      </c>
      <c r="BD20" s="76" t="n">
        <f aca="false">'Revenue Streams'!BD$34</f>
        <v>19018.210566475</v>
      </c>
      <c r="BE20" s="76" t="n">
        <f aca="false">'Revenue Streams'!BE$34</f>
        <v>19510.0978221554</v>
      </c>
      <c r="BF20" s="76" t="n">
        <f aca="false">'Revenue Streams'!BF$34</f>
        <v>20001.9850778358</v>
      </c>
      <c r="BG20" s="76" t="n">
        <f aca="false">'Revenue Streams'!BG$34</f>
        <v>20493.8723335162</v>
      </c>
      <c r="BH20" s="76" t="n">
        <f aca="false">'Revenue Streams'!BH$34</f>
        <v>20985.7595891966</v>
      </c>
      <c r="BI20" s="76" t="n">
        <f aca="false">'Revenue Streams'!BI$34</f>
        <v>21477.646844877</v>
      </c>
      <c r="BJ20" s="76" t="n">
        <f aca="false">'Revenue Streams'!BJ$34</f>
        <v>21969.5341005574</v>
      </c>
      <c r="BK20" s="76" t="n">
        <f aca="false">'Revenue Streams'!BK$34</f>
        <v>22461.4213562378</v>
      </c>
      <c r="BL20" s="76" t="n">
        <f aca="false">'Revenue Streams'!BL$34</f>
        <v>22969.2552505356</v>
      </c>
      <c r="BM20" s="76" t="n">
        <f aca="false">'Revenue Streams'!BM$34</f>
        <v>23477.0891448334</v>
      </c>
      <c r="BN20" s="76" t="n">
        <f aca="false">'Revenue Streams'!BN$34</f>
        <v>23984.9230391312</v>
      </c>
    </row>
    <row r="21" customFormat="false" ht="15" hidden="false" customHeight="false" outlineLevel="0" collapsed="false">
      <c r="A21" s="12" t="s">
        <v>748</v>
      </c>
      <c r="B21" s="64" t="n">
        <f aca="false">SUM(C21:N21)</f>
        <v>1118.86363016354</v>
      </c>
      <c r="C21" s="76" t="n">
        <f aca="false">'Revenue Streams'!C$36</f>
        <v>0</v>
      </c>
      <c r="D21" s="76" t="n">
        <f aca="false">'Revenue Streams'!D$36</f>
        <v>0</v>
      </c>
      <c r="E21" s="76" t="n">
        <f aca="false">'Revenue Streams'!E$36</f>
        <v>0</v>
      </c>
      <c r="F21" s="76" t="n">
        <f aca="false">'Revenue Streams'!F$36</f>
        <v>0</v>
      </c>
      <c r="G21" s="76" t="n">
        <f aca="false">'Revenue Streams'!G$36</f>
        <v>0</v>
      </c>
      <c r="H21" s="76" t="n">
        <f aca="false">'Revenue Streams'!H$36</f>
        <v>0</v>
      </c>
      <c r="I21" s="76" t="n">
        <f aca="false">'Revenue Streams'!I$36</f>
        <v>53.2792204839782</v>
      </c>
      <c r="J21" s="76" t="n">
        <f aca="false">'Revenue Streams'!J$36</f>
        <v>106.558440967956</v>
      </c>
      <c r="K21" s="76" t="n">
        <f aca="false">'Revenue Streams'!K$36</f>
        <v>159.837661451935</v>
      </c>
      <c r="L21" s="76" t="n">
        <f aca="false">'Revenue Streams'!L$36</f>
        <v>213.116881935913</v>
      </c>
      <c r="M21" s="76" t="n">
        <f aca="false">'Revenue Streams'!M$36</f>
        <v>266.396102419891</v>
      </c>
      <c r="N21" s="76" t="n">
        <f aca="false">'Revenue Streams'!N$36</f>
        <v>319.67532290387</v>
      </c>
      <c r="O21" s="64" t="n">
        <f aca="false">SUM(P21:AA21)</f>
        <v>10940.8048410023</v>
      </c>
      <c r="P21" s="76" t="n">
        <f aca="false">'Revenue Streams'!P$36</f>
        <v>522.136360742987</v>
      </c>
      <c r="Q21" s="76" t="n">
        <f aca="false">'Revenue Streams'!Q$36</f>
        <v>604.186360288313</v>
      </c>
      <c r="R21" s="76" t="n">
        <f aca="false">'Revenue Streams'!R$36</f>
        <v>686.23635983364</v>
      </c>
      <c r="S21" s="76" t="n">
        <f aca="false">'Revenue Streams'!S$36</f>
        <v>768.286359378966</v>
      </c>
      <c r="T21" s="76" t="n">
        <f aca="false">'Revenue Streams'!T$36</f>
        <v>850.336358924293</v>
      </c>
      <c r="U21" s="76" t="n">
        <f aca="false">'Revenue Streams'!U$36</f>
        <v>932.386358469619</v>
      </c>
      <c r="V21" s="76" t="n">
        <f aca="false">'Revenue Streams'!V$36</f>
        <v>983.822150084891</v>
      </c>
      <c r="W21" s="76" t="n">
        <f aca="false">'Revenue Streams'!W$36</f>
        <v>1035.25794170016</v>
      </c>
      <c r="X21" s="76" t="n">
        <f aca="false">'Revenue Streams'!X$36</f>
        <v>1086.69373331543</v>
      </c>
      <c r="Y21" s="76" t="n">
        <f aca="false">'Revenue Streams'!Y$36</f>
        <v>1138.12952493071</v>
      </c>
      <c r="Z21" s="76" t="n">
        <f aca="false">'Revenue Streams'!Z$36</f>
        <v>1166.66666666667</v>
      </c>
      <c r="AA21" s="76" t="n">
        <f aca="false">'Revenue Streams'!AA$36</f>
        <v>1166.66666666667</v>
      </c>
      <c r="AB21" s="64" t="n">
        <f aca="false">SUM(AC21:AN21)</f>
        <v>24384.6679787084</v>
      </c>
      <c r="AC21" s="76" t="n">
        <f aca="false">'Revenue Streams'!AC$36</f>
        <v>1661.70458542695</v>
      </c>
      <c r="AD21" s="76" t="n">
        <f aca="false">'Revenue Streams'!AD$36</f>
        <v>1732.97645135734</v>
      </c>
      <c r="AE21" s="76" t="n">
        <f aca="false">'Revenue Streams'!AE$36</f>
        <v>1804.24831728772</v>
      </c>
      <c r="AF21" s="76" t="n">
        <f aca="false">'Revenue Streams'!AF$36</f>
        <v>1875.5201832181</v>
      </c>
      <c r="AG21" s="76" t="n">
        <f aca="false">'Revenue Streams'!AG$36</f>
        <v>1946.79204914849</v>
      </c>
      <c r="AH21" s="76" t="n">
        <f aca="false">'Revenue Streams'!AH$36</f>
        <v>2018.06391507887</v>
      </c>
      <c r="AI21" s="76" t="n">
        <f aca="false">'Revenue Streams'!AI$36</f>
        <v>2121.14213075661</v>
      </c>
      <c r="AJ21" s="76" t="n">
        <f aca="false">'Revenue Streams'!AJ$36</f>
        <v>2224.22034643435</v>
      </c>
      <c r="AK21" s="76" t="n">
        <f aca="false">'Revenue Streams'!AK$36</f>
        <v>2250</v>
      </c>
      <c r="AL21" s="76" t="n">
        <f aca="false">'Revenue Streams'!AL$36</f>
        <v>2250</v>
      </c>
      <c r="AM21" s="76" t="n">
        <f aca="false">'Revenue Streams'!AM$36</f>
        <v>2250</v>
      </c>
      <c r="AN21" s="76" t="n">
        <f aca="false">'Revenue Streams'!AN$36</f>
        <v>2250</v>
      </c>
      <c r="AO21" s="64" t="n">
        <f aca="false">SUM(AP21:BA21)</f>
        <v>33000</v>
      </c>
      <c r="AP21" s="76" t="n">
        <f aca="false">'Revenue Streams'!AP$36</f>
        <v>2750</v>
      </c>
      <c r="AQ21" s="76" t="n">
        <f aca="false">'Revenue Streams'!AQ$36</f>
        <v>2750</v>
      </c>
      <c r="AR21" s="76" t="n">
        <f aca="false">'Revenue Streams'!AR$36</f>
        <v>2750</v>
      </c>
      <c r="AS21" s="76" t="n">
        <f aca="false">'Revenue Streams'!AS$36</f>
        <v>2750</v>
      </c>
      <c r="AT21" s="76" t="n">
        <f aca="false">'Revenue Streams'!AT$36</f>
        <v>2750</v>
      </c>
      <c r="AU21" s="76" t="n">
        <f aca="false">'Revenue Streams'!AU$36</f>
        <v>2750</v>
      </c>
      <c r="AV21" s="76" t="n">
        <f aca="false">'Revenue Streams'!AV$36</f>
        <v>2750</v>
      </c>
      <c r="AW21" s="76" t="n">
        <f aca="false">'Revenue Streams'!AW$36</f>
        <v>2750</v>
      </c>
      <c r="AX21" s="76" t="n">
        <f aca="false">'Revenue Streams'!AX$36</f>
        <v>2750</v>
      </c>
      <c r="AY21" s="76" t="n">
        <f aca="false">'Revenue Streams'!AY$36</f>
        <v>2750</v>
      </c>
      <c r="AZ21" s="76" t="n">
        <f aca="false">'Revenue Streams'!AZ$36</f>
        <v>2750</v>
      </c>
      <c r="BA21" s="76" t="n">
        <f aca="false">'Revenue Streams'!BA$36</f>
        <v>2750</v>
      </c>
      <c r="BB21" s="64" t="n">
        <f aca="false">SUM(BC21:BN21)</f>
        <v>39000</v>
      </c>
      <c r="BC21" s="76" t="n">
        <f aca="false">'Revenue Streams'!BC$36</f>
        <v>3250</v>
      </c>
      <c r="BD21" s="76" t="n">
        <f aca="false">'Revenue Streams'!BD$36</f>
        <v>3250</v>
      </c>
      <c r="BE21" s="76" t="n">
        <f aca="false">'Revenue Streams'!BE$36</f>
        <v>3250</v>
      </c>
      <c r="BF21" s="76" t="n">
        <f aca="false">'Revenue Streams'!BF$36</f>
        <v>3250</v>
      </c>
      <c r="BG21" s="76" t="n">
        <f aca="false">'Revenue Streams'!BG$36</f>
        <v>3250</v>
      </c>
      <c r="BH21" s="76" t="n">
        <f aca="false">'Revenue Streams'!BH$36</f>
        <v>3250</v>
      </c>
      <c r="BI21" s="76" t="n">
        <f aca="false">'Revenue Streams'!BI$36</f>
        <v>3250</v>
      </c>
      <c r="BJ21" s="76" t="n">
        <f aca="false">'Revenue Streams'!BJ$36</f>
        <v>3250</v>
      </c>
      <c r="BK21" s="76" t="n">
        <f aca="false">'Revenue Streams'!BK$36</f>
        <v>3250</v>
      </c>
      <c r="BL21" s="76" t="n">
        <f aca="false">'Revenue Streams'!BL$36</f>
        <v>3250</v>
      </c>
      <c r="BM21" s="76" t="n">
        <f aca="false">'Revenue Streams'!BM$36</f>
        <v>3250</v>
      </c>
      <c r="BN21" s="76" t="n">
        <f aca="false">'Revenue Streams'!BN$36</f>
        <v>3250</v>
      </c>
    </row>
    <row r="22" customFormat="false" ht="15" hidden="false" customHeight="false" outlineLevel="0" collapsed="false">
      <c r="A22" s="18" t="s">
        <v>749</v>
      </c>
      <c r="B22" s="64" t="n">
        <f aca="false">SUM(C22:N22)</f>
        <v>739.944995653431</v>
      </c>
      <c r="C22" s="77" t="n">
        <f aca="false">'Revenue Streams'!C$45</f>
        <v>24.3379695442557</v>
      </c>
      <c r="D22" s="77" t="n">
        <f aca="false">'Revenue Streams'!D$45</f>
        <v>28.9228140885115</v>
      </c>
      <c r="E22" s="77" t="n">
        <f aca="false">'Revenue Streams'!E$45</f>
        <v>34.3389086327672</v>
      </c>
      <c r="F22" s="77" t="n">
        <f aca="false">'Revenue Streams'!F$45</f>
        <v>39.755003177023</v>
      </c>
      <c r="G22" s="77" t="n">
        <f aca="false">'Revenue Streams'!G$45</f>
        <v>45.5756868018289</v>
      </c>
      <c r="H22" s="77" t="n">
        <f aca="false">'Revenue Streams'!H$45</f>
        <v>51.8009595071851</v>
      </c>
      <c r="I22" s="77" t="n">
        <f aca="false">'Revenue Streams'!I$45</f>
        <v>59.3418959633675</v>
      </c>
      <c r="J22" s="77" t="n">
        <f aca="false">'Revenue Streams'!J$45</f>
        <v>68.1984961703762</v>
      </c>
      <c r="K22" s="77" t="n">
        <f aca="false">'Revenue Streams'!K$45</f>
        <v>78.370760128211</v>
      </c>
      <c r="L22" s="77" t="n">
        <f aca="false">'Revenue Streams'!L$45</f>
        <v>89.8586878368722</v>
      </c>
      <c r="M22" s="77" t="n">
        <f aca="false">'Revenue Streams'!M$45</f>
        <v>102.66227929636</v>
      </c>
      <c r="N22" s="77" t="n">
        <f aca="false">'Revenue Streams'!N$45</f>
        <v>116.781534506673</v>
      </c>
      <c r="O22" s="64" t="n">
        <f aca="false">SUM(P22:AA22)</f>
        <v>3279.61650837991</v>
      </c>
      <c r="P22" s="77" t="n">
        <f aca="false">'Revenue Streams'!P$45</f>
        <v>114.58616919856</v>
      </c>
      <c r="Q22" s="77" t="n">
        <f aca="false">'Revenue Streams'!Q$45</f>
        <v>133.791789940155</v>
      </c>
      <c r="R22" s="77" t="n">
        <f aca="false">'Revenue Streams'!R$45</f>
        <v>155.390870822574</v>
      </c>
      <c r="S22" s="77" t="n">
        <f aca="false">'Revenue Streams'!S$45</f>
        <v>180.49538244723</v>
      </c>
      <c r="T22" s="77" t="n">
        <f aca="false">'Revenue Streams'!T$45</f>
        <v>208.973346404022</v>
      </c>
      <c r="U22" s="77" t="n">
        <f aca="false">'Revenue Streams'!U$45</f>
        <v>240.824762692951</v>
      </c>
      <c r="V22" s="77" t="n">
        <f aca="false">'Revenue Streams'!V$45</f>
        <v>275.022476800268</v>
      </c>
      <c r="W22" s="77" t="n">
        <f aca="false">'Revenue Streams'!W$45</f>
        <v>311.566488725975</v>
      </c>
      <c r="X22" s="77" t="n">
        <f aca="false">'Revenue Streams'!X$45</f>
        <v>350.45679847007</v>
      </c>
      <c r="Y22" s="77" t="n">
        <f aca="false">'Revenue Streams'!Y$45</f>
        <v>391.726725114497</v>
      </c>
      <c r="Z22" s="77" t="n">
        <f aca="false">'Revenue Streams'!Z$45</f>
        <v>435.376268659258</v>
      </c>
      <c r="AA22" s="77" t="n">
        <f aca="false">'Revenue Streams'!AA$45</f>
        <v>481.405429104351</v>
      </c>
      <c r="AB22" s="64" t="n">
        <f aca="false">SUM(AC22:AN22)</f>
        <v>10535.6621770651</v>
      </c>
      <c r="AC22" s="77" t="n">
        <f aca="false">'Revenue Streams'!AC$45</f>
        <v>536.683170887903</v>
      </c>
      <c r="AD22" s="77" t="n">
        <f aca="false">'Revenue Streams'!AD$45</f>
        <v>592.910443021611</v>
      </c>
      <c r="AE22" s="77" t="n">
        <f aca="false">'Revenue Streams'!AE$45</f>
        <v>650.120695495219</v>
      </c>
      <c r="AF22" s="77" t="n">
        <f aca="false">'Revenue Streams'!AF$45</f>
        <v>709.46450550239</v>
      </c>
      <c r="AG22" s="77" t="n">
        <f aca="false">'Revenue Streams'!AG$45</f>
        <v>770.628284465076</v>
      </c>
      <c r="AH22" s="77" t="n">
        <f aca="false">'Revenue Streams'!AH$45</f>
        <v>833.612032383277</v>
      </c>
      <c r="AI22" s="77" t="n">
        <f aca="false">'Revenue Streams'!AI$45</f>
        <v>898.728970123817</v>
      </c>
      <c r="AJ22" s="77" t="n">
        <f aca="false">'Revenue Streams'!AJ$45</f>
        <v>965.979097686696</v>
      </c>
      <c r="AK22" s="77" t="n">
        <f aca="false">'Revenue Streams'!AK$45</f>
        <v>1035.36241507191</v>
      </c>
      <c r="AL22" s="77" t="n">
        <f aca="false">'Revenue Streams'!AL$45</f>
        <v>1106.72427374715</v>
      </c>
      <c r="AM22" s="77" t="n">
        <f aca="false">'Revenue Streams'!AM$45</f>
        <v>1180.06467371239</v>
      </c>
      <c r="AN22" s="77" t="n">
        <f aca="false">'Revenue Streams'!AN$45</f>
        <v>1255.38361496764</v>
      </c>
      <c r="AO22" s="64" t="n">
        <f aca="false">SUM(AP22:BA22)</f>
        <v>22457.5089991309</v>
      </c>
      <c r="AP22" s="77" t="n">
        <f aca="false">'Revenue Streams'!AP$45</f>
        <v>1343.96396708077</v>
      </c>
      <c r="AQ22" s="77" t="n">
        <f aca="false">'Revenue Streams'!AQ$45</f>
        <v>1436.26292777741</v>
      </c>
      <c r="AR22" s="77" t="n">
        <f aca="false">'Revenue Streams'!AR$45</f>
        <v>1530.52018172822</v>
      </c>
      <c r="AS22" s="77" t="n">
        <f aca="false">'Revenue Streams'!AS$45</f>
        <v>1625.48277434074</v>
      </c>
      <c r="AT22" s="77" t="n">
        <f aca="false">'Revenue Streams'!AT$45</f>
        <v>1721.3450426256</v>
      </c>
      <c r="AU22" s="77" t="n">
        <f aca="false">'Revenue Streams'!AU$45</f>
        <v>1818.10698658278</v>
      </c>
      <c r="AV22" s="77" t="n">
        <f aca="false">'Revenue Streams'!AV$45</f>
        <v>1915.6026271261</v>
      </c>
      <c r="AW22" s="77" t="n">
        <f aca="false">'Revenue Streams'!AW$45</f>
        <v>2013.83196425555</v>
      </c>
      <c r="AX22" s="77" t="n">
        <f aca="false">'Revenue Streams'!AX$45</f>
        <v>2112.79499797113</v>
      </c>
      <c r="AY22" s="77" t="n">
        <f aca="false">'Revenue Streams'!AY$45</f>
        <v>2212.50146503028</v>
      </c>
      <c r="AZ22" s="77" t="n">
        <f aca="false">'Revenue Streams'!AZ$45</f>
        <v>2312.951365433</v>
      </c>
      <c r="BA22" s="77" t="n">
        <f aca="false">'Revenue Streams'!BA$45</f>
        <v>2414.1446991793</v>
      </c>
      <c r="BB22" s="64" t="n">
        <f aca="false">SUM(BC22:BN22)</f>
        <v>38048.5429894998</v>
      </c>
      <c r="BC22" s="77" t="n">
        <f aca="false">'Revenue Streams'!BC$45</f>
        <v>2525.96354569603</v>
      </c>
      <c r="BD22" s="77" t="n">
        <f aca="false">'Revenue Streams'!BD$45</f>
        <v>2638.57568610486</v>
      </c>
      <c r="BE22" s="77" t="n">
        <f aca="false">'Revenue Streams'!BE$45</f>
        <v>2752.69442480208</v>
      </c>
      <c r="BF22" s="77" t="n">
        <f aca="false">'Revenue Streams'!BF$45</f>
        <v>2868.29139664706</v>
      </c>
      <c r="BG22" s="77" t="n">
        <f aca="false">'Revenue Streams'!BG$45</f>
        <v>2985.19177845397</v>
      </c>
      <c r="BH22" s="77" t="n">
        <f aca="false">'Revenue Streams'!BH$45</f>
        <v>3103.39557022282</v>
      </c>
      <c r="BI22" s="77" t="n">
        <f aca="false">'Revenue Streams'!BI$45</f>
        <v>3222.89001049426</v>
      </c>
      <c r="BJ22" s="77" t="n">
        <f aca="false">'Revenue Streams'!BJ$45</f>
        <v>3343.67509926829</v>
      </c>
      <c r="BK22" s="77" t="n">
        <f aca="false">'Revenue Streams'!BK$45</f>
        <v>3465.75083654491</v>
      </c>
      <c r="BL22" s="77" t="n">
        <f aca="false">'Revenue Streams'!BL$45</f>
        <v>3589.06734461864</v>
      </c>
      <c r="BM22" s="77" t="n">
        <f aca="false">'Revenue Streams'!BM$45</f>
        <v>3713.62462348947</v>
      </c>
      <c r="BN22" s="77" t="n">
        <f aca="false">'Revenue Streams'!BN$45</f>
        <v>3839.42267315742</v>
      </c>
    </row>
    <row r="23" customFormat="false" ht="15" hidden="false" customHeight="false" outlineLevel="0" collapsed="false">
      <c r="A23" s="12" t="s">
        <v>750</v>
      </c>
      <c r="B23" s="64" t="n">
        <f aca="false">SUM(C23:N23)</f>
        <v>739.944995653431</v>
      </c>
      <c r="C23" s="76" t="n">
        <f aca="false">'Revenue Streams'!C$45</f>
        <v>24.3379695442557</v>
      </c>
      <c r="D23" s="76" t="n">
        <f aca="false">'Revenue Streams'!D$45</f>
        <v>28.9228140885115</v>
      </c>
      <c r="E23" s="76" t="n">
        <f aca="false">'Revenue Streams'!E$45</f>
        <v>34.3389086327672</v>
      </c>
      <c r="F23" s="76" t="n">
        <f aca="false">'Revenue Streams'!F$45</f>
        <v>39.755003177023</v>
      </c>
      <c r="G23" s="76" t="n">
        <f aca="false">'Revenue Streams'!G$45</f>
        <v>45.5756868018289</v>
      </c>
      <c r="H23" s="76" t="n">
        <f aca="false">'Revenue Streams'!H$45</f>
        <v>51.8009595071851</v>
      </c>
      <c r="I23" s="76" t="n">
        <f aca="false">'Revenue Streams'!I$45</f>
        <v>59.3418959633675</v>
      </c>
      <c r="J23" s="76" t="n">
        <f aca="false">'Revenue Streams'!J$45</f>
        <v>68.1984961703762</v>
      </c>
      <c r="K23" s="76" t="n">
        <f aca="false">'Revenue Streams'!K$45</f>
        <v>78.370760128211</v>
      </c>
      <c r="L23" s="76" t="n">
        <f aca="false">'Revenue Streams'!L$45</f>
        <v>89.8586878368722</v>
      </c>
      <c r="M23" s="76" t="n">
        <f aca="false">'Revenue Streams'!M$45</f>
        <v>102.66227929636</v>
      </c>
      <c r="N23" s="76" t="n">
        <f aca="false">'Revenue Streams'!N$45</f>
        <v>116.781534506673</v>
      </c>
      <c r="O23" s="64" t="n">
        <f aca="false">SUM(P23:AA23)</f>
        <v>3279.61650837991</v>
      </c>
      <c r="P23" s="76" t="n">
        <f aca="false">'Revenue Streams'!P$45</f>
        <v>114.58616919856</v>
      </c>
      <c r="Q23" s="76" t="n">
        <f aca="false">'Revenue Streams'!Q$45</f>
        <v>133.791789940155</v>
      </c>
      <c r="R23" s="76" t="n">
        <f aca="false">'Revenue Streams'!R$45</f>
        <v>155.390870822574</v>
      </c>
      <c r="S23" s="76" t="n">
        <f aca="false">'Revenue Streams'!S$45</f>
        <v>180.49538244723</v>
      </c>
      <c r="T23" s="76" t="n">
        <f aca="false">'Revenue Streams'!T$45</f>
        <v>208.973346404022</v>
      </c>
      <c r="U23" s="76" t="n">
        <f aca="false">'Revenue Streams'!U$45</f>
        <v>240.824762692951</v>
      </c>
      <c r="V23" s="76" t="n">
        <f aca="false">'Revenue Streams'!V$45</f>
        <v>275.022476800268</v>
      </c>
      <c r="W23" s="76" t="n">
        <f aca="false">'Revenue Streams'!W$45</f>
        <v>311.566488725975</v>
      </c>
      <c r="X23" s="76" t="n">
        <f aca="false">'Revenue Streams'!X$45</f>
        <v>350.45679847007</v>
      </c>
      <c r="Y23" s="76" t="n">
        <f aca="false">'Revenue Streams'!Y$45</f>
        <v>391.726725114497</v>
      </c>
      <c r="Z23" s="76" t="n">
        <f aca="false">'Revenue Streams'!Z$45</f>
        <v>435.376268659258</v>
      </c>
      <c r="AA23" s="76" t="n">
        <f aca="false">'Revenue Streams'!AA$45</f>
        <v>481.405429104351</v>
      </c>
      <c r="AB23" s="64" t="n">
        <f aca="false">SUM(AC23:AN23)</f>
        <v>10535.6621770651</v>
      </c>
      <c r="AC23" s="76" t="n">
        <f aca="false">'Revenue Streams'!AC$45</f>
        <v>536.683170887903</v>
      </c>
      <c r="AD23" s="76" t="n">
        <f aca="false">'Revenue Streams'!AD$45</f>
        <v>592.910443021611</v>
      </c>
      <c r="AE23" s="76" t="n">
        <f aca="false">'Revenue Streams'!AE$45</f>
        <v>650.120695495219</v>
      </c>
      <c r="AF23" s="76" t="n">
        <f aca="false">'Revenue Streams'!AF$45</f>
        <v>709.46450550239</v>
      </c>
      <c r="AG23" s="76" t="n">
        <f aca="false">'Revenue Streams'!AG$45</f>
        <v>770.628284465076</v>
      </c>
      <c r="AH23" s="76" t="n">
        <f aca="false">'Revenue Streams'!AH$45</f>
        <v>833.612032383277</v>
      </c>
      <c r="AI23" s="76" t="n">
        <f aca="false">'Revenue Streams'!AI$45</f>
        <v>898.728970123817</v>
      </c>
      <c r="AJ23" s="76" t="n">
        <f aca="false">'Revenue Streams'!AJ$45</f>
        <v>965.979097686696</v>
      </c>
      <c r="AK23" s="76" t="n">
        <f aca="false">'Revenue Streams'!AK$45</f>
        <v>1035.36241507191</v>
      </c>
      <c r="AL23" s="76" t="n">
        <f aca="false">'Revenue Streams'!AL$45</f>
        <v>1106.72427374715</v>
      </c>
      <c r="AM23" s="76" t="n">
        <f aca="false">'Revenue Streams'!AM$45</f>
        <v>1180.06467371239</v>
      </c>
      <c r="AN23" s="76" t="n">
        <f aca="false">'Revenue Streams'!AN$45</f>
        <v>1255.38361496764</v>
      </c>
      <c r="AO23" s="64" t="n">
        <f aca="false">SUM(AP23:BA23)</f>
        <v>22457.5089991309</v>
      </c>
      <c r="AP23" s="76" t="n">
        <f aca="false">'Revenue Streams'!AP$45</f>
        <v>1343.96396708077</v>
      </c>
      <c r="AQ23" s="76" t="n">
        <f aca="false">'Revenue Streams'!AQ$45</f>
        <v>1436.26292777741</v>
      </c>
      <c r="AR23" s="76" t="n">
        <f aca="false">'Revenue Streams'!AR$45</f>
        <v>1530.52018172822</v>
      </c>
      <c r="AS23" s="76" t="n">
        <f aca="false">'Revenue Streams'!AS$45</f>
        <v>1625.48277434074</v>
      </c>
      <c r="AT23" s="76" t="n">
        <f aca="false">'Revenue Streams'!AT$45</f>
        <v>1721.3450426256</v>
      </c>
      <c r="AU23" s="76" t="n">
        <f aca="false">'Revenue Streams'!AU$45</f>
        <v>1818.10698658278</v>
      </c>
      <c r="AV23" s="76" t="n">
        <f aca="false">'Revenue Streams'!AV$45</f>
        <v>1915.6026271261</v>
      </c>
      <c r="AW23" s="76" t="n">
        <f aca="false">'Revenue Streams'!AW$45</f>
        <v>2013.83196425555</v>
      </c>
      <c r="AX23" s="76" t="n">
        <f aca="false">'Revenue Streams'!AX$45</f>
        <v>2112.79499797113</v>
      </c>
      <c r="AY23" s="76" t="n">
        <f aca="false">'Revenue Streams'!AY$45</f>
        <v>2212.50146503028</v>
      </c>
      <c r="AZ23" s="76" t="n">
        <f aca="false">'Revenue Streams'!AZ$45</f>
        <v>2312.951365433</v>
      </c>
      <c r="BA23" s="76" t="n">
        <f aca="false">'Revenue Streams'!BA$45</f>
        <v>2414.1446991793</v>
      </c>
      <c r="BB23" s="64" t="n">
        <f aca="false">SUM(BC23:BN23)</f>
        <v>38048.5429894998</v>
      </c>
      <c r="BC23" s="76" t="n">
        <f aca="false">'Revenue Streams'!BC$45</f>
        <v>2525.96354569603</v>
      </c>
      <c r="BD23" s="76" t="n">
        <f aca="false">'Revenue Streams'!BD$45</f>
        <v>2638.57568610486</v>
      </c>
      <c r="BE23" s="76" t="n">
        <f aca="false">'Revenue Streams'!BE$45</f>
        <v>2752.69442480208</v>
      </c>
      <c r="BF23" s="76" t="n">
        <f aca="false">'Revenue Streams'!BF$45</f>
        <v>2868.29139664706</v>
      </c>
      <c r="BG23" s="76" t="n">
        <f aca="false">'Revenue Streams'!BG$45</f>
        <v>2985.19177845397</v>
      </c>
      <c r="BH23" s="76" t="n">
        <f aca="false">'Revenue Streams'!BH$45</f>
        <v>3103.39557022282</v>
      </c>
      <c r="BI23" s="76" t="n">
        <f aca="false">'Revenue Streams'!BI$45</f>
        <v>3222.89001049426</v>
      </c>
      <c r="BJ23" s="76" t="n">
        <f aca="false">'Revenue Streams'!BJ$45</f>
        <v>3343.67509926829</v>
      </c>
      <c r="BK23" s="76" t="n">
        <f aca="false">'Revenue Streams'!BK$45</f>
        <v>3465.75083654491</v>
      </c>
      <c r="BL23" s="76" t="n">
        <f aca="false">'Revenue Streams'!BL$45</f>
        <v>3589.06734461864</v>
      </c>
      <c r="BM23" s="76" t="n">
        <f aca="false">'Revenue Streams'!BM$45</f>
        <v>3713.62462348947</v>
      </c>
      <c r="BN23" s="76" t="n">
        <f aca="false">'Revenue Streams'!BN$45</f>
        <v>3839.42267315742</v>
      </c>
    </row>
    <row r="25" customFormat="false" ht="15" hidden="false" customHeight="false" outlineLevel="0" collapsed="false">
      <c r="A25" s="66" t="s">
        <v>86</v>
      </c>
      <c r="B25" s="67" t="n">
        <f aca="false">SUM(C25:N25)</f>
        <v>102742.065586255</v>
      </c>
      <c r="C25" s="68" t="n">
        <f aca="false">C7+C14+C18+C22</f>
        <v>3278.50463621092</v>
      </c>
      <c r="D25" s="68" t="n">
        <f aca="false">D7+D14+D18+D22</f>
        <v>5235.58948075518</v>
      </c>
      <c r="E25" s="68" t="n">
        <f aca="false">E7+E14+E18+E22</f>
        <v>6542.6722419661</v>
      </c>
      <c r="F25" s="68" t="n">
        <f aca="false">F7+F14+F18+F22</f>
        <v>6548.08833651036</v>
      </c>
      <c r="G25" s="68" t="n">
        <f aca="false">G7+G14+G18+G22</f>
        <v>6692.62527632381</v>
      </c>
      <c r="H25" s="68" t="n">
        <f aca="false">H7+H14+H18+H22</f>
        <v>6837.56680521781</v>
      </c>
      <c r="I25" s="68" t="n">
        <f aca="false">I7+I14+I18+I22</f>
        <v>8101.16536458378</v>
      </c>
      <c r="J25" s="68" t="n">
        <f aca="false">J7+J14+J18+J22</f>
        <v>9366.07958770057</v>
      </c>
      <c r="K25" s="68" t="n">
        <f aca="false">K7+K14+K18+K22</f>
        <v>10632.3094745682</v>
      </c>
      <c r="L25" s="68" t="n">
        <f aca="false">L7+L14+L18+L22</f>
        <v>11899.8550251866</v>
      </c>
      <c r="M25" s="68" t="n">
        <f aca="false">M7+M14+M18+M22</f>
        <v>13168.7162395559</v>
      </c>
      <c r="N25" s="68" t="n">
        <f aca="false">N7+N14+N18+N22</f>
        <v>14438.893117676</v>
      </c>
      <c r="O25" s="67" t="n">
        <f aca="false">SUM(P25:AA25)</f>
        <v>364280.89031635</v>
      </c>
      <c r="P25" s="68" t="n">
        <f aca="false">P7+P14+P18+P22</f>
        <v>17626.8593599276</v>
      </c>
      <c r="Q25" s="68" t="n">
        <f aca="false">Q7+Q14+Q18+Q22</f>
        <v>19317.7657632158</v>
      </c>
      <c r="R25" s="68" t="n">
        <f aca="false">R7+R14+R18+R22</f>
        <v>21332.6100715898</v>
      </c>
      <c r="S25" s="68" t="n">
        <f aca="false">S7+S14+S18+S22</f>
        <v>23654.1457585356</v>
      </c>
      <c r="T25" s="68" t="n">
        <f aca="false">T7+T14+T18+T22</f>
        <v>26069.925121297</v>
      </c>
      <c r="U25" s="68" t="n">
        <f aca="false">U7+U14+U18+U22</f>
        <v>28489.0779363905</v>
      </c>
      <c r="V25" s="68" t="n">
        <f aca="false">V7+V14+V18+V22</f>
        <v>31140.0937084848</v>
      </c>
      <c r="W25" s="68" t="n">
        <f aca="false">W7+W14+W18+W22</f>
        <v>33793.4557783975</v>
      </c>
      <c r="X25" s="68" t="n">
        <f aca="false">X7+X14+X18+X22</f>
        <v>36449.1641461286</v>
      </c>
      <c r="Y25" s="68" t="n">
        <f aca="false">Y7+Y14+Y18+Y22</f>
        <v>39307.1666224235</v>
      </c>
      <c r="Z25" s="68" t="n">
        <f aca="false">Z7+Z14+Z18+Z22</f>
        <v>42144.6500657394</v>
      </c>
      <c r="AA25" s="68" t="n">
        <f aca="false">AA7+AA14+AA18+AA22</f>
        <v>44955.9759842196</v>
      </c>
      <c r="AB25" s="67" t="n">
        <f aca="false">SUM(AC25:AN25)</f>
        <v>752581.26389205</v>
      </c>
      <c r="AC25" s="68" t="n">
        <f aca="false">AC7+AC14+AC18+AC22</f>
        <v>49038.5590687342</v>
      </c>
      <c r="AD25" s="68" t="n">
        <f aca="false">AD7+AD14+AD18+AD22</f>
        <v>49490.5013108571</v>
      </c>
      <c r="AE25" s="68" t="n">
        <f aca="false">AE7+AE14+AE18+AE22</f>
        <v>50974.8908276335</v>
      </c>
      <c r="AF25" s="68" t="n">
        <f aca="false">AF7+AF14+AF18+AF22</f>
        <v>54270.1487327375</v>
      </c>
      <c r="AG25" s="68" t="n">
        <f aca="false">AG7+AG14+AG18+AG22</f>
        <v>57553.8708443207</v>
      </c>
      <c r="AH25" s="68" t="n">
        <f aca="false">AH7+AH14+AH18+AH22</f>
        <v>60839.4129248593</v>
      </c>
      <c r="AI25" s="68" t="n">
        <f aca="false">AI7+AI14+AI18+AI22</f>
        <v>64053.8093196904</v>
      </c>
      <c r="AJ25" s="68" t="n">
        <f aca="false">AJ7+AJ14+AJ18+AJ22</f>
        <v>67270.3389043438</v>
      </c>
      <c r="AK25" s="68" t="n">
        <f aca="false">AK7+AK14+AK18+AK22</f>
        <v>70396.7305684204</v>
      </c>
      <c r="AL25" s="68" t="n">
        <f aca="false">AL7+AL14+AL18+AL22</f>
        <v>73312.5464884257</v>
      </c>
      <c r="AM25" s="68" t="n">
        <f aca="false">AM7+AM14+AM18+AM22</f>
        <v>76230.340949721</v>
      </c>
      <c r="AN25" s="68" t="n">
        <f aca="false">AN7+AN14+AN18+AN22</f>
        <v>79150.1139523063</v>
      </c>
      <c r="AO25" s="67" t="n">
        <f aca="false">SUM(AP25:BA25)</f>
        <v>1316610.92668284</v>
      </c>
      <c r="AP25" s="68" t="n">
        <f aca="false">AP7+AP14+AP18+AP22</f>
        <v>89668.1817646606</v>
      </c>
      <c r="AQ25" s="68" t="n">
        <f aca="false">AQ7+AQ14+AQ18+AQ22</f>
        <v>93033.9682045873</v>
      </c>
      <c r="AR25" s="68" t="n">
        <f aca="false">AR7+AR14+AR18+AR22</f>
        <v>96394.5394258172</v>
      </c>
      <c r="AS25" s="68" t="n">
        <f aca="false">AS7+AS14+AS18+AS22</f>
        <v>100091.491110934</v>
      </c>
      <c r="AT25" s="68" t="n">
        <f aca="false">AT7+AT14+AT18+AT22</f>
        <v>103838.417384688</v>
      </c>
      <c r="AU25" s="68" t="n">
        <f aca="false">AU7+AU14+AU18+AU22</f>
        <v>107586.243334114</v>
      </c>
      <c r="AV25" s="68" t="n">
        <f aca="false">AV7+AV14+AV18+AV22</f>
        <v>111499.017744408</v>
      </c>
      <c r="AW25" s="68" t="n">
        <f aca="false">AW7+AW14+AW18+AW22</f>
        <v>115412.525851287</v>
      </c>
      <c r="AX25" s="68" t="n">
        <f aca="false">AX7+AX14+AX18+AX22</f>
        <v>119317.421003195</v>
      </c>
      <c r="AY25" s="68" t="n">
        <f aca="false">AY7+AY14+AY18+AY22</f>
        <v>122953.068355894</v>
      </c>
      <c r="AZ25" s="68" t="n">
        <f aca="false">AZ7+AZ14+AZ18+AZ22</f>
        <v>126589.459141936</v>
      </c>
      <c r="BA25" s="68" t="n">
        <f aca="false">BA7+BA14+BA18+BA22</f>
        <v>130226.593361322</v>
      </c>
      <c r="BB25" s="67" t="n">
        <f aca="false">SUM(BC25:BN25)</f>
        <v>2001223.1961932</v>
      </c>
      <c r="BC25" s="68" t="n">
        <f aca="false">BC7+BC14+BC18+BC22</f>
        <v>143756.41399537</v>
      </c>
      <c r="BD25" s="68" t="n">
        <f aca="false">BD7+BD14+BD18+BD22</f>
        <v>147675.133305504</v>
      </c>
      <c r="BE25" s="68" t="n">
        <f aca="false">BE7+BE14+BE18+BE22</f>
        <v>151666.202355957</v>
      </c>
      <c r="BF25" s="68" t="n">
        <f aca="false">BF7+BF14+BF18+BF22</f>
        <v>156013.749046197</v>
      </c>
      <c r="BG25" s="68" t="n">
        <f aca="false">BG7+BG14+BG18+BG22</f>
        <v>160355.834708182</v>
      </c>
      <c r="BH25" s="68" t="n">
        <f aca="false">BH7+BH14+BH18+BH22</f>
        <v>164699.223780129</v>
      </c>
      <c r="BI25" s="68" t="n">
        <f aca="false">BI7+BI14+BI18+BI22</f>
        <v>169036.049364959</v>
      </c>
      <c r="BJ25" s="68" t="n">
        <f aca="false">BJ7+BJ14+BJ18+BJ22</f>
        <v>173374.165598292</v>
      </c>
      <c r="BK25" s="68" t="n">
        <f aca="false">BK7+BK14+BK18+BK22</f>
        <v>177698.156686672</v>
      </c>
      <c r="BL25" s="68" t="n">
        <f aca="false">BL7+BL14+BL18+BL22</f>
        <v>181672.962388127</v>
      </c>
      <c r="BM25" s="68" t="n">
        <f aca="false">BM7+BM14+BM18+BM22</f>
        <v>185649.00886038</v>
      </c>
      <c r="BN25" s="68" t="n">
        <f aca="false">BN7+BN14+BN18+BN22</f>
        <v>189626.296103429</v>
      </c>
    </row>
    <row r="26" customFormat="false" ht="15" hidden="false" customHeight="false" outlineLevel="0" collapsed="false">
      <c r="A26" s="12" t="s">
        <v>751</v>
      </c>
      <c r="B26" s="89" t="n">
        <f aca="false">IFERROR(AVERAGE(C26:N26),0)</f>
        <v>0.992994506686027</v>
      </c>
      <c r="C26" s="90" t="n">
        <f aca="false">IFERROR('Revenue Streams'!C$37/C25,0)</f>
        <v>0.992576502935075</v>
      </c>
      <c r="D26" s="90" t="n">
        <f aca="false">IFERROR('Revenue Streams'!D$37/D25,0)</f>
        <v>0.994475729200155</v>
      </c>
      <c r="E26" s="90" t="n">
        <f aca="false">IFERROR('Revenue Streams'!E$37/E25,0)</f>
        <v>0.994751546866048</v>
      </c>
      <c r="F26" s="90" t="n">
        <f aca="false">IFERROR('Revenue Streams'!F$37/F25,0)</f>
        <v>0.993928761932645</v>
      </c>
      <c r="G26" s="90" t="n">
        <f aca="false">IFERROR('Revenue Streams'!G$37/G25,0)</f>
        <v>0.993190163064551</v>
      </c>
      <c r="H26" s="90" t="n">
        <f aca="false">IFERROR('Revenue Streams'!H$37/H25,0)</f>
        <v>0.99242406531697</v>
      </c>
      <c r="I26" s="90" t="n">
        <f aca="false">IFERROR('Revenue Streams'!I$37/I25,0)</f>
        <v>0.992674893883441</v>
      </c>
      <c r="J26" s="90" t="n">
        <f aca="false">IFERROR('Revenue Streams'!J$37/J25,0)</f>
        <v>0.992718565379272</v>
      </c>
      <c r="K26" s="90" t="n">
        <f aca="false">IFERROR('Revenue Streams'!K$37/K25,0)</f>
        <v>0.99262899934246</v>
      </c>
      <c r="L26" s="90" t="n">
        <f aca="false">IFERROR('Revenue Streams'!L$37/L25,0)</f>
        <v>0.992448757766655</v>
      </c>
      <c r="M26" s="90" t="n">
        <f aca="false">IFERROR('Revenue Streams'!M$37/M25,0)</f>
        <v>0.992204078406065</v>
      </c>
      <c r="N26" s="90" t="n">
        <f aca="false">IFERROR('Revenue Streams'!N$37/N25,0)</f>
        <v>0.991912016138986</v>
      </c>
      <c r="O26" s="89" t="n">
        <f aca="false">IFERROR(AVERAGE(P26:AA26),0)</f>
        <v>0.991376538105269</v>
      </c>
      <c r="P26" s="90" t="n">
        <f aca="false">IFERROR('Revenue Streams'!P$37/P25,0)</f>
        <v>0.993499342857466</v>
      </c>
      <c r="Q26" s="90" t="n">
        <f aca="false">IFERROR('Revenue Streams'!Q$37/Q25,0)</f>
        <v>0.993074158182676</v>
      </c>
      <c r="R26" s="90" t="n">
        <f aca="false">IFERROR('Revenue Streams'!R$37/R25,0)</f>
        <v>0.992715805974932</v>
      </c>
      <c r="S26" s="90" t="n">
        <f aca="false">IFERROR('Revenue Streams'!S$37/S25,0)</f>
        <v>0.992369397555518</v>
      </c>
      <c r="T26" s="90" t="n">
        <f aca="false">IFERROR('Revenue Streams'!T$37/T25,0)</f>
        <v>0.991984121725255</v>
      </c>
      <c r="U26" s="90" t="n">
        <f aca="false">IFERROR('Revenue Streams'!U$37/U25,0)</f>
        <v>0.991546768792214</v>
      </c>
      <c r="V26" s="90" t="n">
        <f aca="false">IFERROR('Revenue Streams'!V$37/V25,0)</f>
        <v>0.991168219358141</v>
      </c>
      <c r="W26" s="90" t="n">
        <f aca="false">IFERROR('Revenue Streams'!W$37/W25,0)</f>
        <v>0.990780271459389</v>
      </c>
      <c r="X26" s="90" t="n">
        <f aca="false">IFERROR('Revenue Streams'!X$37/X25,0)</f>
        <v>0.990385052533302</v>
      </c>
      <c r="Y26" s="90" t="n">
        <f aca="false">IFERROR('Revenue Streams'!Y$37/Y25,0)</f>
        <v>0.990034216180542</v>
      </c>
      <c r="Z26" s="90" t="n">
        <f aca="false">IFERROR('Revenue Streams'!Z$37/Z25,0)</f>
        <v>0.989669477193899</v>
      </c>
      <c r="AA26" s="90" t="n">
        <f aca="false">IFERROR('Revenue Streams'!AA$37/AA25,0)</f>
        <v>0.9892916254499</v>
      </c>
      <c r="AB26" s="89" t="n">
        <f aca="false">IFERROR(AVERAGE(AC26:AN26),0)</f>
        <v>0.986218537415284</v>
      </c>
      <c r="AC26" s="90" t="n">
        <f aca="false">IFERROR('Revenue Streams'!AC$37/AC25,0)</f>
        <v>0.989055894359872</v>
      </c>
      <c r="AD26" s="90" t="n">
        <f aca="false">IFERROR('Revenue Streams'!AD$37/AD25,0)</f>
        <v>0.98801971232222</v>
      </c>
      <c r="AE26" s="90" t="n">
        <f aca="false">IFERROR('Revenue Streams'!AE$37/AE25,0)</f>
        <v>0.987246256246168</v>
      </c>
      <c r="AF26" s="90" t="n">
        <f aca="false">IFERROR('Revenue Streams'!AF$37/AF25,0)</f>
        <v>0.986927168580351</v>
      </c>
      <c r="AG26" s="90" t="n">
        <f aca="false">IFERROR('Revenue Streams'!AG$37/AG25,0)</f>
        <v>0.986610313552158</v>
      </c>
      <c r="AH26" s="90" t="n">
        <f aca="false">IFERROR('Revenue Streams'!AH$37/AH25,0)</f>
        <v>0.986298157850194</v>
      </c>
      <c r="AI26" s="90" t="n">
        <f aca="false">IFERROR('Revenue Streams'!AI$37/AI25,0)</f>
        <v>0.985969156562754</v>
      </c>
      <c r="AJ26" s="90" t="n">
        <f aca="false">IFERROR('Revenue Streams'!AJ$37/AJ25,0)</f>
        <v>0.985640341442901</v>
      </c>
      <c r="AK26" s="90" t="n">
        <f aca="false">IFERROR('Revenue Streams'!AK$37/AK25,0)</f>
        <v>0.985292464483622</v>
      </c>
      <c r="AL26" s="90" t="n">
        <f aca="false">IFERROR('Revenue Streams'!AL$37/AL25,0)</f>
        <v>0.984904026298938</v>
      </c>
      <c r="AM26" s="90" t="n">
        <f aca="false">IFERROR('Revenue Streams'!AM$37/AM25,0)</f>
        <v>0.984519750810367</v>
      </c>
      <c r="AN26" s="90" t="n">
        <f aca="false">IFERROR('Revenue Streams'!AN$37/AN25,0)</f>
        <v>0.984139206473864</v>
      </c>
      <c r="AO26" s="89" t="n">
        <f aca="false">IFERROR(AVERAGE(AP26:BA26),0)</f>
        <v>0.983069927851443</v>
      </c>
      <c r="AP26" s="90" t="n">
        <f aca="false">IFERROR('Revenue Streams'!AP$37/AP25,0)</f>
        <v>0.985011807526018</v>
      </c>
      <c r="AQ26" s="90" t="n">
        <f aca="false">IFERROR('Revenue Streams'!AQ$37/AQ25,0)</f>
        <v>0.984561951344277</v>
      </c>
      <c r="AR26" s="90" t="n">
        <f aca="false">IFERROR('Revenue Streams'!AR$37/AR25,0)</f>
        <v>0.984122335239684</v>
      </c>
      <c r="AS26" s="90" t="n">
        <f aca="false">IFERROR('Revenue Streams'!AS$37/AS25,0)</f>
        <v>0.983760030385209</v>
      </c>
      <c r="AT26" s="90" t="n">
        <f aca="false">IFERROR('Revenue Streams'!AT$37/AT25,0)</f>
        <v>0.983422849789317</v>
      </c>
      <c r="AU26" s="90" t="n">
        <f aca="false">IFERROR('Revenue Streams'!AU$37/AU25,0)</f>
        <v>0.98310093437377</v>
      </c>
      <c r="AV26" s="90" t="n">
        <f aca="false">IFERROR('Revenue Streams'!AV$37/AV25,0)</f>
        <v>0.982819556029477</v>
      </c>
      <c r="AW26" s="90" t="n">
        <f aca="false">IFERROR('Revenue Streams'!AW$37/AW25,0)</f>
        <v>0.982551010391624</v>
      </c>
      <c r="AX26" s="90" t="n">
        <f aca="false">IFERROR('Revenue Streams'!AX$37/AX25,0)</f>
        <v>0.982292652822973</v>
      </c>
      <c r="AY26" s="90" t="n">
        <f aca="false">IFERROR('Revenue Streams'!AY$37/AY25,0)</f>
        <v>0.982005317194476</v>
      </c>
      <c r="AZ26" s="90" t="n">
        <f aca="false">IFERROR('Revenue Streams'!AZ$37/AZ25,0)</f>
        <v>0.981728720691984</v>
      </c>
      <c r="BA26" s="90" t="n">
        <f aca="false">IFERROR('Revenue Streams'!BA$37/BA25,0)</f>
        <v>0.981461968428514</v>
      </c>
      <c r="BB26" s="89" t="n">
        <f aca="false">IFERROR(AVERAGE(BC26:BN26),0)</f>
        <v>0.981058819206992</v>
      </c>
      <c r="BC26" s="90" t="n">
        <f aca="false">IFERROR('Revenue Streams'!BC$37/BC25,0)</f>
        <v>0.982428863690372</v>
      </c>
      <c r="BD26" s="90" t="n">
        <f aca="false">IFERROR('Revenue Streams'!BD$37/BD25,0)</f>
        <v>0.982132566079041</v>
      </c>
      <c r="BE26" s="90" t="n">
        <f aca="false">IFERROR('Revenue Streams'!BE$37/BE25,0)</f>
        <v>0.981850310866612</v>
      </c>
      <c r="BF26" s="90" t="n">
        <f aca="false">IFERROR('Revenue Streams'!BF$37/BF25,0)</f>
        <v>0.98161513703643</v>
      </c>
      <c r="BG26" s="90" t="n">
        <f aca="false">IFERROR('Revenue Streams'!BG$37/BG25,0)</f>
        <v>0.981383952857802</v>
      </c>
      <c r="BH26" s="90" t="n">
        <f aca="false">IFERROR('Revenue Streams'!BH$37/BH25,0)</f>
        <v>0.981157193707447</v>
      </c>
      <c r="BI26" s="90" t="n">
        <f aca="false">IFERROR('Revenue Streams'!BI$37/BI25,0)</f>
        <v>0.9809337119354</v>
      </c>
      <c r="BJ26" s="90" t="n">
        <f aca="false">IFERROR('Revenue Streams'!BJ$37/BJ25,0)</f>
        <v>0.980714109926761</v>
      </c>
      <c r="BK26" s="90" t="n">
        <f aca="false">IFERROR('Revenue Streams'!BK$37/BK25,0)</f>
        <v>0.980496416501067</v>
      </c>
      <c r="BL26" s="90" t="n">
        <f aca="false">IFERROR('Revenue Streams'!BL$37/BL25,0)</f>
        <v>0.980244350631819</v>
      </c>
      <c r="BM26" s="90" t="n">
        <f aca="false">IFERROR('Revenue Streams'!BM$37/BM25,0)</f>
        <v>0.979996528684501</v>
      </c>
      <c r="BN26" s="90" t="n">
        <f aca="false">IFERROR('Revenue Streams'!BN$37/BN25,0)</f>
        <v>0.979752688566657</v>
      </c>
    </row>
    <row r="27" customFormat="false" ht="15" hidden="false" customHeight="false" outlineLevel="0" collapsed="false">
      <c r="A27" s="12" t="s">
        <v>752</v>
      </c>
      <c r="B27" s="89" t="n">
        <f aca="false">IFERROR(AVERAGE(C27:N27),0)</f>
        <v>0.140799145242101</v>
      </c>
      <c r="C27" s="90" t="n">
        <f aca="false">0</f>
        <v>0</v>
      </c>
      <c r="D27" s="90" t="n">
        <f aca="false">IFERROR(D25/C25-1,0)</f>
        <v>0.596944357780785</v>
      </c>
      <c r="E27" s="90" t="n">
        <f aca="false">IFERROR(E25/D25-1,0)</f>
        <v>0.249653408850228</v>
      </c>
      <c r="F27" s="90" t="n">
        <f aca="false">IFERROR(F25/E25-1,0)</f>
        <v>0.000827810769660209</v>
      </c>
      <c r="G27" s="90" t="n">
        <f aca="false">IFERROR(G25/F25-1,0)</f>
        <v>0.0220731505724427</v>
      </c>
      <c r="H27" s="90" t="n">
        <f aca="false">IFERROR(H25/G25-1,0)</f>
        <v>0.0216569018747774</v>
      </c>
      <c r="I27" s="90" t="n">
        <f aca="false">IFERROR(I25/H25-1,0)</f>
        <v>0.184802371276535</v>
      </c>
      <c r="J27" s="90" t="n">
        <f aca="false">IFERROR(J25/I25-1,0)</f>
        <v>0.156139785597598</v>
      </c>
      <c r="K27" s="90" t="n">
        <f aca="false">IFERROR(K25/J25-1,0)</f>
        <v>0.135193158995832</v>
      </c>
      <c r="L27" s="90" t="n">
        <f aca="false">IFERROR(L25/K25-1,0)</f>
        <v>0.119216389783456</v>
      </c>
      <c r="M27" s="90" t="n">
        <f aca="false">IFERROR(M25/L25-1,0)</f>
        <v>0.106628291830755</v>
      </c>
      <c r="N27" s="90" t="n">
        <f aca="false">IFERROR(N25/M25-1,0)</f>
        <v>0.0964541155731467</v>
      </c>
      <c r="O27" s="89" t="n">
        <f aca="false">IFERROR(AVERAGE(P27:AA27),0)</f>
        <v>0.099909994366517</v>
      </c>
      <c r="P27" s="90" t="n">
        <f aca="false">IFERROR(P25/N25-1,0)</f>
        <v>0.22079020990528</v>
      </c>
      <c r="Q27" s="90" t="n">
        <f aca="false">IFERROR(Q25/P25-1,0)</f>
        <v>0.0959278319955448</v>
      </c>
      <c r="R27" s="90" t="n">
        <f aca="false">IFERROR(R25/Q25-1,0)</f>
        <v>0.10430006932844</v>
      </c>
      <c r="S27" s="90" t="n">
        <f aca="false">IFERROR(S25/R25-1,0)</f>
        <v>0.108825674830928</v>
      </c>
      <c r="T27" s="90" t="n">
        <f aca="false">IFERROR(T25/S25-1,0)</f>
        <v>0.102129216054636</v>
      </c>
      <c r="U27" s="90" t="n">
        <f aca="false">IFERROR(U25/T25-1,0)</f>
        <v>0.0927947742019875</v>
      </c>
      <c r="V27" s="90" t="n">
        <f aca="false">IFERROR(V25/U25-1,0)</f>
        <v>0.0930537582863662</v>
      </c>
      <c r="W27" s="90" t="n">
        <f aca="false">IFERROR(W25/V25-1,0)</f>
        <v>0.0852072602848253</v>
      </c>
      <c r="X27" s="90" t="n">
        <f aca="false">IFERROR(X25/W25-1,0)</f>
        <v>0.0785864690828326</v>
      </c>
      <c r="Y27" s="90" t="n">
        <f aca="false">IFERROR(Y25/X25-1,0)</f>
        <v>0.0784106451614866</v>
      </c>
      <c r="Z27" s="90" t="n">
        <f aca="false">IFERROR(Z25/Y25-1,0)</f>
        <v>0.0721874326524774</v>
      </c>
      <c r="AA27" s="90" t="n">
        <f aca="false">IFERROR(AA25/Z25-1,0)</f>
        <v>0.0667065906133999</v>
      </c>
      <c r="AB27" s="89" t="n">
        <f aca="false">IFERROR(AVERAGE(AC27:AN27),0)</f>
        <v>0.0484422336961545</v>
      </c>
      <c r="AC27" s="90" t="n">
        <f aca="false">IFERROR(AC25/AA25-1,0)</f>
        <v>0.0908129118573171</v>
      </c>
      <c r="AD27" s="90" t="n">
        <f aca="false">IFERROR(AD25/AC25-1,0)</f>
        <v>0.00921605876488663</v>
      </c>
      <c r="AE27" s="90" t="n">
        <f aca="false">IFERROR(AE25/AD25-1,0)</f>
        <v>0.0299934225247143</v>
      </c>
      <c r="AF27" s="90" t="n">
        <f aca="false">IFERROR(AF25/AE25-1,0)</f>
        <v>0.064644727072523</v>
      </c>
      <c r="AG27" s="90" t="n">
        <f aca="false">IFERROR(AG25/AF25-1,0)</f>
        <v>0.0605069672418692</v>
      </c>
      <c r="AH27" s="90" t="n">
        <f aca="false">IFERROR(AH25/AG25-1,0)</f>
        <v>0.0570863789409719</v>
      </c>
      <c r="AI27" s="90" t="n">
        <f aca="false">IFERROR(AI25/AH25-1,0)</f>
        <v>0.0528341126302625</v>
      </c>
      <c r="AJ27" s="90" t="n">
        <f aca="false">IFERROR(AJ25/AI25-1,0)</f>
        <v>0.0502160545768606</v>
      </c>
      <c r="AK27" s="90" t="n">
        <f aca="false">IFERROR(AK25/AJ25-1,0)</f>
        <v>0.0464750395939324</v>
      </c>
      <c r="AL27" s="90" t="n">
        <f aca="false">IFERROR(AL25/AK25-1,0)</f>
        <v>0.0414197633393123</v>
      </c>
      <c r="AM27" s="90" t="n">
        <f aca="false">IFERROR(AM25/AL25-1,0)</f>
        <v>0.0397993877044764</v>
      </c>
      <c r="AN27" s="90" t="n">
        <f aca="false">IFERROR(AN25/AM25-1,0)</f>
        <v>0.0383019801067281</v>
      </c>
      <c r="AO27" s="89" t="n">
        <f aca="false">IFERROR(AVERAGE(AP27:BA27),0)</f>
        <v>0.0427087758028341</v>
      </c>
      <c r="AP27" s="90" t="n">
        <f aca="false">IFERROR(AP25/AN25-1,0)</f>
        <v>0.132887589001984</v>
      </c>
      <c r="AQ27" s="90" t="n">
        <f aca="false">IFERROR(AQ25/AP25-1,0)</f>
        <v>0.0375360175001693</v>
      </c>
      <c r="AR27" s="90" t="n">
        <f aca="false">IFERROR(AR25/AQ25-1,0)</f>
        <v>0.0361219808859472</v>
      </c>
      <c r="AS27" s="90" t="n">
        <f aca="false">IFERROR(AS25/AR25-1,0)</f>
        <v>0.0383522936790615</v>
      </c>
      <c r="AT27" s="90" t="n">
        <f aca="false">IFERROR(AT25/AS25-1,0)</f>
        <v>0.0374350130282399</v>
      </c>
      <c r="AU27" s="90" t="n">
        <f aca="false">IFERROR(AU25/AT25-1,0)</f>
        <v>0.0360928647009478</v>
      </c>
      <c r="AV27" s="90" t="n">
        <f aca="false">IFERROR(AV25/AU25-1,0)</f>
        <v>0.0363687241884858</v>
      </c>
      <c r="AW27" s="90" t="n">
        <f aca="false">IFERROR(AW25/AV25-1,0)</f>
        <v>0.0350990366197743</v>
      </c>
      <c r="AX27" s="90" t="n">
        <f aca="false">IFERROR(AX25/AW25-1,0)</f>
        <v>0.0338342404613801</v>
      </c>
      <c r="AY27" s="90" t="n">
        <f aca="false">IFERROR(AY25/AX25-1,0)</f>
        <v>0.0304703816268486</v>
      </c>
      <c r="AZ27" s="90" t="n">
        <f aca="false">IFERROR(AZ25/AY25-1,0)</f>
        <v>0.029575437479255</v>
      </c>
      <c r="BA27" s="90" t="n">
        <f aca="false">IFERROR(BA25/AZ25-1,0)</f>
        <v>0.0287317304619159</v>
      </c>
      <c r="BB27" s="89" t="n">
        <f aca="false">IFERROR(AVERAGE(BC27:BN27),0)</f>
        <v>0.0320313417962081</v>
      </c>
      <c r="BC27" s="90" t="n">
        <f aca="false">IFERROR(BC25/BA25-1,0)</f>
        <v>0.103894452621587</v>
      </c>
      <c r="BD27" s="90" t="n">
        <f aca="false">IFERROR(BD25/BC25-1,0)</f>
        <v>0.027259439778875</v>
      </c>
      <c r="BE27" s="90" t="n">
        <f aca="false">IFERROR(BE25/BD25-1,0)</f>
        <v>0.0270260060791396</v>
      </c>
      <c r="BF27" s="90" t="n">
        <f aca="false">IFERROR(BF25/BE25-1,0)</f>
        <v>0.0286652307680031</v>
      </c>
      <c r="BG27" s="90" t="n">
        <f aca="false">IFERROR(BG25/BF25-1,0)</f>
        <v>0.0278314295280451</v>
      </c>
      <c r="BH27" s="90" t="n">
        <f aca="false">IFERROR(BH25/BG25-1,0)</f>
        <v>0.0270859434572579</v>
      </c>
      <c r="BI27" s="90" t="n">
        <f aca="false">IFERROR(BI25/BH25-1,0)</f>
        <v>0.0263317912816607</v>
      </c>
      <c r="BJ27" s="90" t="n">
        <f aca="false">IFERROR(BJ25/BI25-1,0)</f>
        <v>0.0256638524718842</v>
      </c>
      <c r="BK27" s="90" t="n">
        <f aca="false">IFERROR(BK25/BJ25-1,0)</f>
        <v>0.0249402272446937</v>
      </c>
      <c r="BL27" s="90" t="n">
        <f aca="false">IFERROR(BL25/BK25-1,0)</f>
        <v>0.0223683001307871</v>
      </c>
      <c r="BM27" s="90" t="n">
        <f aca="false">IFERROR(BM25/BL25-1,0)</f>
        <v>0.0218857358848907</v>
      </c>
      <c r="BN27" s="90" t="n">
        <f aca="false">IFERROR(BN25/BM25-1,0)</f>
        <v>0.0214236923076732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7" topLeftCell="C38" activePane="bottomRight" state="frozen"/>
      <selection pane="topLeft" activeCell="A1" activeCellId="0" sqref="A1"/>
      <selection pane="topRight" activeCell="C1" activeCellId="0" sqref="C1"/>
      <selection pane="bottomLeft" activeCell="A38" activeCellId="0" sqref="A38"/>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591</v>
      </c>
    </row>
    <row r="2" customFormat="false" ht="13.5" hidden="false" customHeight="true" outlineLevel="0" collapsed="false">
      <c r="A2" s="6" t="s">
        <v>753</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754</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25.5" hidden="false" customHeight="true" outlineLevel="0" collapsed="false">
      <c r="A6" s="109" t="s">
        <v>755</v>
      </c>
      <c r="B6" s="109" t="s">
        <v>756</v>
      </c>
      <c r="C6" s="109" t="s">
        <v>757</v>
      </c>
      <c r="D6" s="109" t="s">
        <v>758</v>
      </c>
      <c r="E6" s="109" t="s">
        <v>224</v>
      </c>
      <c r="F6" s="109" t="s">
        <v>225</v>
      </c>
      <c r="G6" s="109" t="s">
        <v>226</v>
      </c>
      <c r="H6" s="109" t="s">
        <v>227</v>
      </c>
      <c r="I6" s="109" t="s">
        <v>759</v>
      </c>
      <c r="J6" s="109" t="s">
        <v>224</v>
      </c>
      <c r="K6" s="109" t="s">
        <v>225</v>
      </c>
      <c r="L6" s="109" t="s">
        <v>226</v>
      </c>
      <c r="M6" s="109" t="s">
        <v>227</v>
      </c>
    </row>
    <row r="7" customFormat="false" ht="15" hidden="false" customHeight="false" outlineLevel="0" collapsed="false">
      <c r="A7" s="49" t="s">
        <v>760</v>
      </c>
      <c r="B7" s="22" t="s">
        <v>671</v>
      </c>
      <c r="C7" s="110" t="n">
        <v>1</v>
      </c>
      <c r="D7" s="111" t="n">
        <v>900</v>
      </c>
      <c r="E7" s="111" t="n">
        <v>1400</v>
      </c>
      <c r="F7" s="111" t="n">
        <v>1700</v>
      </c>
      <c r="G7" s="111" t="n">
        <v>1900</v>
      </c>
      <c r="H7" s="111" t="n">
        <v>2000</v>
      </c>
      <c r="I7" s="110" t="n">
        <v>1</v>
      </c>
      <c r="J7" s="110" t="n">
        <v>1</v>
      </c>
      <c r="K7" s="110" t="n">
        <v>1</v>
      </c>
      <c r="L7" s="110" t="n">
        <v>1</v>
      </c>
      <c r="M7" s="110" t="n">
        <v>1</v>
      </c>
    </row>
    <row r="8" customFormat="false" ht="15" hidden="false" customHeight="false" outlineLevel="0" collapsed="false">
      <c r="A8" s="49" t="s">
        <v>761</v>
      </c>
      <c r="B8" s="22" t="s">
        <v>671</v>
      </c>
      <c r="C8" s="110" t="n">
        <v>1</v>
      </c>
      <c r="D8" s="111" t="n">
        <v>900</v>
      </c>
      <c r="E8" s="111" t="n">
        <v>1400</v>
      </c>
      <c r="F8" s="111" t="n">
        <v>1700</v>
      </c>
      <c r="G8" s="111" t="n">
        <v>1900</v>
      </c>
      <c r="H8" s="111" t="n">
        <v>2000</v>
      </c>
      <c r="I8" s="110" t="n">
        <v>1</v>
      </c>
      <c r="J8" s="110" t="n">
        <v>1</v>
      </c>
      <c r="K8" s="110" t="n">
        <v>1</v>
      </c>
      <c r="L8" s="110" t="n">
        <v>1</v>
      </c>
      <c r="M8" s="110" t="n">
        <v>1</v>
      </c>
    </row>
    <row r="9" customFormat="false" ht="15" hidden="false" customHeight="false" outlineLevel="0" collapsed="false">
      <c r="A9" s="49" t="s">
        <v>762</v>
      </c>
      <c r="B9" s="22" t="s">
        <v>671</v>
      </c>
      <c r="C9" s="110" t="n">
        <v>1</v>
      </c>
      <c r="D9" s="111" t="n">
        <v>800</v>
      </c>
      <c r="E9" s="111" t="n">
        <v>1300</v>
      </c>
      <c r="F9" s="111" t="n">
        <v>1600</v>
      </c>
      <c r="G9" s="111" t="n">
        <v>1800</v>
      </c>
      <c r="H9" s="111" t="n">
        <v>1900</v>
      </c>
      <c r="I9" s="110" t="n">
        <v>1</v>
      </c>
      <c r="J9" s="110" t="n">
        <v>1</v>
      </c>
      <c r="K9" s="110" t="n">
        <v>1</v>
      </c>
      <c r="L9" s="110" t="n">
        <v>1</v>
      </c>
      <c r="M9" s="110" t="n">
        <v>1</v>
      </c>
    </row>
    <row r="10" customFormat="false" ht="15" hidden="false" customHeight="false" outlineLevel="0" collapsed="false">
      <c r="A10" s="49" t="s">
        <v>763</v>
      </c>
      <c r="B10" s="22" t="s">
        <v>299</v>
      </c>
      <c r="C10" s="110" t="n">
        <v>1</v>
      </c>
      <c r="D10" s="111" t="n">
        <v>600</v>
      </c>
      <c r="E10" s="111" t="n">
        <v>800</v>
      </c>
      <c r="F10" s="111" t="n">
        <v>1000</v>
      </c>
      <c r="G10" s="111" t="n">
        <v>1100</v>
      </c>
      <c r="H10" s="111" t="n">
        <v>1200</v>
      </c>
      <c r="I10" s="110" t="n">
        <v>1</v>
      </c>
      <c r="J10" s="110" t="n">
        <v>1</v>
      </c>
      <c r="K10" s="110" t="n">
        <v>1</v>
      </c>
      <c r="L10" s="110" t="n">
        <v>2</v>
      </c>
      <c r="M10" s="110" t="n">
        <v>3</v>
      </c>
    </row>
    <row r="11" customFormat="false" ht="15" hidden="false" customHeight="false" outlineLevel="0" collapsed="false">
      <c r="A11" s="49" t="s">
        <v>764</v>
      </c>
      <c r="B11" s="22" t="s">
        <v>299</v>
      </c>
      <c r="C11" s="110" t="n">
        <v>1</v>
      </c>
      <c r="D11" s="111" t="n">
        <v>600</v>
      </c>
      <c r="E11" s="111" t="n">
        <v>800</v>
      </c>
      <c r="F11" s="111" t="n">
        <v>1000</v>
      </c>
      <c r="G11" s="111" t="n">
        <v>1100</v>
      </c>
      <c r="H11" s="111" t="n">
        <v>1200</v>
      </c>
      <c r="I11" s="110" t="n">
        <v>1</v>
      </c>
      <c r="J11" s="110" t="n">
        <v>1</v>
      </c>
      <c r="K11" s="110" t="n">
        <v>1</v>
      </c>
      <c r="L11" s="110" t="n">
        <v>2</v>
      </c>
      <c r="M11" s="110" t="n">
        <v>2</v>
      </c>
    </row>
    <row r="12" customFormat="false" ht="15" hidden="false" customHeight="false" outlineLevel="0" collapsed="false">
      <c r="A12" s="49" t="s">
        <v>765</v>
      </c>
      <c r="B12" s="22" t="s">
        <v>299</v>
      </c>
      <c r="C12" s="110" t="n">
        <v>13</v>
      </c>
      <c r="D12" s="111" t="n">
        <v>0</v>
      </c>
      <c r="E12" s="111" t="n">
        <v>900</v>
      </c>
      <c r="F12" s="111" t="n">
        <v>1100</v>
      </c>
      <c r="G12" s="111" t="n">
        <v>1200</v>
      </c>
      <c r="H12" s="111" t="n">
        <v>1300</v>
      </c>
      <c r="I12" s="110" t="n">
        <v>0</v>
      </c>
      <c r="J12" s="110" t="n">
        <v>1</v>
      </c>
      <c r="K12" s="110" t="n">
        <v>1</v>
      </c>
      <c r="L12" s="110" t="n">
        <v>1</v>
      </c>
      <c r="M12" s="110" t="n">
        <v>1</v>
      </c>
    </row>
    <row r="13" customFormat="false" ht="15" hidden="false" customHeight="false" outlineLevel="0" collapsed="false">
      <c r="A13" s="49" t="s">
        <v>766</v>
      </c>
      <c r="B13" s="22" t="s">
        <v>299</v>
      </c>
      <c r="C13" s="110" t="n">
        <v>25</v>
      </c>
      <c r="D13" s="111" t="n">
        <v>0</v>
      </c>
      <c r="E13" s="111" t="n">
        <v>0</v>
      </c>
      <c r="F13" s="111" t="n">
        <v>2200</v>
      </c>
      <c r="G13" s="111" t="n">
        <v>2400</v>
      </c>
      <c r="H13" s="111" t="n">
        <v>2500</v>
      </c>
      <c r="I13" s="110" t="n">
        <v>0</v>
      </c>
      <c r="J13" s="110" t="n">
        <v>0</v>
      </c>
      <c r="K13" s="110" t="n">
        <v>1</v>
      </c>
      <c r="L13" s="110" t="n">
        <v>1</v>
      </c>
      <c r="M13" s="110" t="n">
        <v>1</v>
      </c>
    </row>
    <row r="14" customFormat="false" ht="15" hidden="false" customHeight="false" outlineLevel="0" collapsed="false">
      <c r="A14" s="49" t="s">
        <v>767</v>
      </c>
      <c r="B14" s="22" t="s">
        <v>299</v>
      </c>
      <c r="C14" s="110" t="n">
        <v>49</v>
      </c>
      <c r="D14" s="111" t="n">
        <v>0</v>
      </c>
      <c r="E14" s="111" t="n">
        <v>0</v>
      </c>
      <c r="F14" s="111" t="n">
        <v>0</v>
      </c>
      <c r="G14" s="111" t="n">
        <v>0</v>
      </c>
      <c r="H14" s="111" t="n">
        <v>1000</v>
      </c>
      <c r="I14" s="110" t="n">
        <v>0</v>
      </c>
      <c r="J14" s="110" t="n">
        <v>0</v>
      </c>
      <c r="K14" s="110" t="n">
        <v>0</v>
      </c>
      <c r="L14" s="110" t="n">
        <v>0</v>
      </c>
      <c r="M14" s="110" t="n">
        <v>1</v>
      </c>
    </row>
    <row r="15" customFormat="false" ht="15" hidden="false" customHeight="false" outlineLevel="0" collapsed="false">
      <c r="A15" s="49" t="s">
        <v>768</v>
      </c>
      <c r="B15" s="22" t="s">
        <v>298</v>
      </c>
      <c r="C15" s="110" t="n">
        <v>1</v>
      </c>
      <c r="D15" s="111" t="n">
        <v>600</v>
      </c>
      <c r="E15" s="111" t="n">
        <v>800</v>
      </c>
      <c r="F15" s="111" t="n">
        <v>1000</v>
      </c>
      <c r="G15" s="111" t="n">
        <v>1100</v>
      </c>
      <c r="H15" s="111" t="n">
        <v>1200</v>
      </c>
      <c r="I15" s="110" t="n">
        <v>1</v>
      </c>
      <c r="J15" s="110" t="n">
        <v>1</v>
      </c>
      <c r="K15" s="110" t="n">
        <v>1</v>
      </c>
      <c r="L15" s="110" t="n">
        <v>1</v>
      </c>
      <c r="M15" s="110" t="n">
        <v>1</v>
      </c>
    </row>
    <row r="16" customFormat="false" ht="15" hidden="false" customHeight="false" outlineLevel="0" collapsed="false">
      <c r="A16" s="49" t="s">
        <v>769</v>
      </c>
      <c r="B16" s="22" t="s">
        <v>298</v>
      </c>
      <c r="C16" s="110" t="n">
        <v>49</v>
      </c>
      <c r="D16" s="111" t="n">
        <v>0</v>
      </c>
      <c r="E16" s="111" t="n">
        <v>0</v>
      </c>
      <c r="F16" s="111" t="n">
        <v>0</v>
      </c>
      <c r="G16" s="111" t="n">
        <v>0</v>
      </c>
      <c r="H16" s="111" t="n">
        <v>800</v>
      </c>
      <c r="I16" s="110" t="n">
        <v>0</v>
      </c>
      <c r="J16" s="110" t="n">
        <v>0</v>
      </c>
      <c r="K16" s="110" t="n">
        <v>0</v>
      </c>
      <c r="L16" s="110" t="n">
        <v>0</v>
      </c>
      <c r="M16" s="110" t="n">
        <v>1</v>
      </c>
    </row>
    <row r="17" customFormat="false" ht="15" hidden="false" customHeight="false" outlineLevel="0" collapsed="false">
      <c r="A17" s="49" t="s">
        <v>770</v>
      </c>
      <c r="B17" s="22" t="s">
        <v>672</v>
      </c>
      <c r="C17" s="110" t="n">
        <v>13</v>
      </c>
      <c r="D17" s="111" t="n">
        <v>0</v>
      </c>
      <c r="E17" s="111" t="n">
        <v>900</v>
      </c>
      <c r="F17" s="111" t="n">
        <v>1100</v>
      </c>
      <c r="G17" s="111" t="n">
        <v>1200</v>
      </c>
      <c r="H17" s="111" t="n">
        <v>1300</v>
      </c>
      <c r="I17" s="110" t="n">
        <v>0</v>
      </c>
      <c r="J17" s="110" t="n">
        <v>1</v>
      </c>
      <c r="K17" s="110" t="n">
        <v>2</v>
      </c>
      <c r="L17" s="110" t="n">
        <v>2</v>
      </c>
      <c r="M17" s="110" t="n">
        <v>2</v>
      </c>
    </row>
    <row r="18" customFormat="false" ht="15" hidden="false" customHeight="false" outlineLevel="0" collapsed="false">
      <c r="A18" s="49" t="s">
        <v>771</v>
      </c>
      <c r="B18" s="22" t="s">
        <v>672</v>
      </c>
      <c r="C18" s="110" t="n">
        <v>37</v>
      </c>
      <c r="D18" s="111" t="n">
        <v>0</v>
      </c>
      <c r="E18" s="111" t="n">
        <v>0</v>
      </c>
      <c r="F18" s="111" t="n">
        <v>0</v>
      </c>
      <c r="G18" s="111" t="n">
        <v>1300</v>
      </c>
      <c r="H18" s="111" t="n">
        <v>1400</v>
      </c>
      <c r="I18" s="110" t="n">
        <v>0</v>
      </c>
      <c r="J18" s="110" t="n">
        <v>0</v>
      </c>
      <c r="K18" s="110" t="n">
        <v>0</v>
      </c>
      <c r="L18" s="110" t="n">
        <v>1</v>
      </c>
      <c r="M18" s="110" t="n">
        <v>1</v>
      </c>
    </row>
    <row r="19" customFormat="false" ht="15" hidden="false" customHeight="false" outlineLevel="0" collapsed="false">
      <c r="A19" s="49" t="s">
        <v>772</v>
      </c>
      <c r="B19" s="22" t="s">
        <v>296</v>
      </c>
      <c r="C19" s="110" t="n">
        <v>13</v>
      </c>
      <c r="D19" s="111" t="n">
        <v>0</v>
      </c>
      <c r="E19" s="111" t="n">
        <v>900</v>
      </c>
      <c r="F19" s="111" t="n">
        <v>1200</v>
      </c>
      <c r="G19" s="111" t="n">
        <v>1300</v>
      </c>
      <c r="H19" s="111" t="n">
        <v>1400</v>
      </c>
      <c r="I19" s="110" t="n">
        <v>0</v>
      </c>
      <c r="J19" s="110" t="n">
        <v>1</v>
      </c>
      <c r="K19" s="110" t="n">
        <v>1</v>
      </c>
      <c r="L19" s="110" t="n">
        <v>1</v>
      </c>
      <c r="M19" s="110" t="n">
        <v>1</v>
      </c>
    </row>
    <row r="20" customFormat="false" ht="15" hidden="false" customHeight="false" outlineLevel="0" collapsed="false">
      <c r="A20" s="49" t="s">
        <v>773</v>
      </c>
      <c r="B20" s="22" t="s">
        <v>296</v>
      </c>
      <c r="C20" s="110" t="n">
        <v>25</v>
      </c>
      <c r="D20" s="111" t="n">
        <v>0</v>
      </c>
      <c r="E20" s="111" t="n">
        <v>0</v>
      </c>
      <c r="F20" s="111" t="n">
        <v>900</v>
      </c>
      <c r="G20" s="111" t="n">
        <v>1000</v>
      </c>
      <c r="H20" s="111" t="n">
        <v>1100</v>
      </c>
      <c r="I20" s="110" t="n">
        <v>0</v>
      </c>
      <c r="J20" s="110" t="n">
        <v>0</v>
      </c>
      <c r="K20" s="110" t="n">
        <v>1</v>
      </c>
      <c r="L20" s="110" t="n">
        <v>1</v>
      </c>
      <c r="M20" s="110" t="n">
        <v>1</v>
      </c>
    </row>
    <row r="21" customFormat="false" ht="15" hidden="false" customHeight="false" outlineLevel="0" collapsed="false">
      <c r="A21" s="49" t="s">
        <v>774</v>
      </c>
      <c r="B21" s="22" t="s">
        <v>296</v>
      </c>
      <c r="C21" s="110" t="n">
        <v>37</v>
      </c>
      <c r="D21" s="111" t="n">
        <v>0</v>
      </c>
      <c r="E21" s="111" t="n">
        <v>0</v>
      </c>
      <c r="F21" s="111" t="n">
        <v>0</v>
      </c>
      <c r="G21" s="111" t="n">
        <v>800</v>
      </c>
      <c r="H21" s="111" t="n">
        <v>900</v>
      </c>
      <c r="I21" s="110" t="n">
        <v>0</v>
      </c>
      <c r="J21" s="110" t="n">
        <v>0</v>
      </c>
      <c r="K21" s="110" t="n">
        <v>0</v>
      </c>
      <c r="L21" s="110" t="n">
        <v>1</v>
      </c>
      <c r="M21" s="110" t="n">
        <v>2</v>
      </c>
    </row>
    <row r="22" customFormat="false" ht="15" hidden="false" customHeight="false" outlineLevel="0" collapsed="false">
      <c r="A22" s="18" t="s">
        <v>775</v>
      </c>
      <c r="I22" s="112" t="n">
        <f aca="false">SUM(I7:I21)</f>
        <v>6</v>
      </c>
      <c r="J22" s="112" t="n">
        <f aca="false">SUM(J7:J21)</f>
        <v>9</v>
      </c>
      <c r="K22" s="112" t="n">
        <f aca="false">SUM(K7:K21)</f>
        <v>12</v>
      </c>
      <c r="L22" s="112" t="n">
        <f aca="false">SUM(L7:L21)</f>
        <v>16</v>
      </c>
      <c r="M22" s="112" t="n">
        <f aca="false">SUM(M7:M21)</f>
        <v>20</v>
      </c>
    </row>
    <row r="23" customFormat="false" ht="15" hidden="false" customHeight="false" outlineLevel="0" collapsed="false">
      <c r="A23" s="113" t="s">
        <v>776</v>
      </c>
      <c r="I23" s="114" t="n">
        <v>6</v>
      </c>
      <c r="J23" s="114" t="n">
        <v>9</v>
      </c>
      <c r="K23" s="114" t="n">
        <v>12</v>
      </c>
      <c r="L23" s="114" t="n">
        <v>16</v>
      </c>
      <c r="M23" s="114" t="n">
        <v>20</v>
      </c>
    </row>
    <row r="24" customFormat="false" ht="15" hidden="false" customHeight="false" outlineLevel="0" collapsed="false">
      <c r="A24" s="18" t="s">
        <v>777</v>
      </c>
      <c r="I24" s="115" t="n">
        <f aca="false">I23-I22</f>
        <v>0</v>
      </c>
      <c r="J24" s="115" t="n">
        <f aca="false">J23-J22</f>
        <v>0</v>
      </c>
      <c r="K24" s="115" t="n">
        <f aca="false">K23-K22</f>
        <v>0</v>
      </c>
      <c r="L24" s="115" t="n">
        <f aca="false">L23-L22</f>
        <v>0</v>
      </c>
      <c r="M24" s="115" t="n">
        <f aca="false">M23-M22</f>
        <v>0</v>
      </c>
    </row>
    <row r="26" customFormat="false" ht="15" hidden="false" customHeight="false" outlineLevel="0" collapsed="false">
      <c r="A26" s="12" t="s">
        <v>778</v>
      </c>
      <c r="B26" s="22" t="s">
        <v>779</v>
      </c>
      <c r="C26" s="50" t="n">
        <v>0.155</v>
      </c>
    </row>
    <row r="28" customFormat="false" ht="16.5" hidden="false" customHeight="true" outlineLevel="0" collapsed="false">
      <c r="A28" s="15" t="s">
        <v>780</v>
      </c>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row>
    <row r="29" customFormat="false" ht="15" hidden="false" customHeight="true" outlineLevel="0" collapsed="false">
      <c r="A29" s="26" t="s">
        <v>481</v>
      </c>
      <c r="B29" s="61" t="s">
        <v>81</v>
      </c>
      <c r="C29" s="62" t="s">
        <v>482</v>
      </c>
      <c r="D29" s="62" t="s">
        <v>483</v>
      </c>
      <c r="E29" s="62" t="s">
        <v>484</v>
      </c>
      <c r="F29" s="62" t="s">
        <v>485</v>
      </c>
      <c r="G29" s="62" t="s">
        <v>486</v>
      </c>
      <c r="H29" s="62" t="s">
        <v>487</v>
      </c>
      <c r="I29" s="62" t="s">
        <v>488</v>
      </c>
      <c r="J29" s="62" t="s">
        <v>489</v>
      </c>
      <c r="K29" s="62" t="s">
        <v>490</v>
      </c>
      <c r="L29" s="62" t="s">
        <v>491</v>
      </c>
      <c r="M29" s="62" t="s">
        <v>492</v>
      </c>
      <c r="N29" s="62" t="s">
        <v>493</v>
      </c>
      <c r="O29" s="61" t="s">
        <v>82</v>
      </c>
      <c r="P29" s="63" t="s">
        <v>494</v>
      </c>
      <c r="Q29" s="63" t="s">
        <v>495</v>
      </c>
      <c r="R29" s="63" t="s">
        <v>496</v>
      </c>
      <c r="S29" s="63" t="s">
        <v>497</v>
      </c>
      <c r="T29" s="63" t="s">
        <v>498</v>
      </c>
      <c r="U29" s="63" t="s">
        <v>499</v>
      </c>
      <c r="V29" s="63" t="s">
        <v>500</v>
      </c>
      <c r="W29" s="63" t="s">
        <v>501</v>
      </c>
      <c r="X29" s="63" t="s">
        <v>502</v>
      </c>
      <c r="Y29" s="63" t="s">
        <v>503</v>
      </c>
      <c r="Z29" s="63" t="s">
        <v>504</v>
      </c>
      <c r="AA29" s="63" t="s">
        <v>505</v>
      </c>
      <c r="AB29" s="61" t="s">
        <v>83</v>
      </c>
      <c r="AC29" s="62" t="s">
        <v>506</v>
      </c>
      <c r="AD29" s="62" t="s">
        <v>507</v>
      </c>
      <c r="AE29" s="62" t="s">
        <v>508</v>
      </c>
      <c r="AF29" s="62" t="s">
        <v>509</v>
      </c>
      <c r="AG29" s="62" t="s">
        <v>510</v>
      </c>
      <c r="AH29" s="62" t="s">
        <v>511</v>
      </c>
      <c r="AI29" s="62" t="s">
        <v>512</v>
      </c>
      <c r="AJ29" s="62" t="s">
        <v>513</v>
      </c>
      <c r="AK29" s="62" t="s">
        <v>514</v>
      </c>
      <c r="AL29" s="62" t="s">
        <v>515</v>
      </c>
      <c r="AM29" s="62" t="s">
        <v>516</v>
      </c>
      <c r="AN29" s="62" t="s">
        <v>517</v>
      </c>
      <c r="AO29" s="61" t="s">
        <v>84</v>
      </c>
      <c r="AP29" s="63" t="s">
        <v>518</v>
      </c>
      <c r="AQ29" s="63" t="s">
        <v>519</v>
      </c>
      <c r="AR29" s="63" t="s">
        <v>520</v>
      </c>
      <c r="AS29" s="63" t="s">
        <v>521</v>
      </c>
      <c r="AT29" s="63" t="s">
        <v>522</v>
      </c>
      <c r="AU29" s="63" t="s">
        <v>523</v>
      </c>
      <c r="AV29" s="63" t="s">
        <v>524</v>
      </c>
      <c r="AW29" s="63" t="s">
        <v>525</v>
      </c>
      <c r="AX29" s="63" t="s">
        <v>526</v>
      </c>
      <c r="AY29" s="63" t="s">
        <v>527</v>
      </c>
      <c r="AZ29" s="63" t="s">
        <v>528</v>
      </c>
      <c r="BA29" s="63" t="s">
        <v>529</v>
      </c>
      <c r="BB29" s="61" t="s">
        <v>85</v>
      </c>
      <c r="BC29" s="62" t="s">
        <v>530</v>
      </c>
      <c r="BD29" s="62" t="s">
        <v>531</v>
      </c>
      <c r="BE29" s="62" t="s">
        <v>532</v>
      </c>
      <c r="BF29" s="62" t="s">
        <v>533</v>
      </c>
      <c r="BG29" s="62" t="s">
        <v>534</v>
      </c>
      <c r="BH29" s="62" t="s">
        <v>535</v>
      </c>
      <c r="BI29" s="62" t="s">
        <v>536</v>
      </c>
      <c r="BJ29" s="62" t="s">
        <v>537</v>
      </c>
      <c r="BK29" s="62" t="s">
        <v>538</v>
      </c>
      <c r="BL29" s="62" t="s">
        <v>539</v>
      </c>
      <c r="BM29" s="62" t="s">
        <v>540</v>
      </c>
      <c r="BN29" s="62" t="s">
        <v>541</v>
      </c>
    </row>
    <row r="30" customFormat="false" ht="15" hidden="false" customHeight="false" outlineLevel="0" collapsed="false">
      <c r="A30" s="12" t="s">
        <v>760</v>
      </c>
      <c r="B30" s="64" t="n">
        <f aca="false">SUM(C30:N30)</f>
        <v>12474</v>
      </c>
      <c r="C30" s="65" t="n">
        <f aca="false">IF(1&lt;$C$7,0,$I$7*$D$7*(1+$C$26))</f>
        <v>1039.5</v>
      </c>
      <c r="D30" s="65" t="n">
        <f aca="false">IF(2&lt;$C$7,0,$I$7*$D$7*(1+$C$26))</f>
        <v>1039.5</v>
      </c>
      <c r="E30" s="65" t="n">
        <f aca="false">IF(3&lt;$C$7,0,$I$7*$D$7*(1+$C$26))</f>
        <v>1039.5</v>
      </c>
      <c r="F30" s="65" t="n">
        <f aca="false">IF(4&lt;$C$7,0,$I$7*$D$7*(1+$C$26))</f>
        <v>1039.5</v>
      </c>
      <c r="G30" s="65" t="n">
        <f aca="false">IF(5&lt;$C$7,0,$I$7*$D$7*(1+$C$26))</f>
        <v>1039.5</v>
      </c>
      <c r="H30" s="65" t="n">
        <f aca="false">IF(6&lt;$C$7,0,$I$7*$D$7*(1+$C$26))</f>
        <v>1039.5</v>
      </c>
      <c r="I30" s="65" t="n">
        <f aca="false">IF(7&lt;$C$7,0,$I$7*$D$7*(1+$C$26))</f>
        <v>1039.5</v>
      </c>
      <c r="J30" s="65" t="n">
        <f aca="false">IF(8&lt;$C$7,0,$I$7*$D$7*(1+$C$26))</f>
        <v>1039.5</v>
      </c>
      <c r="K30" s="65" t="n">
        <f aca="false">IF(9&lt;$C$7,0,$I$7*$D$7*(1+$C$26))</f>
        <v>1039.5</v>
      </c>
      <c r="L30" s="65" t="n">
        <f aca="false">IF(10&lt;$C$7,0,$I$7*$D$7*(1+$C$26))</f>
        <v>1039.5</v>
      </c>
      <c r="M30" s="65" t="n">
        <f aca="false">IF(11&lt;$C$7,0,$I$7*$D$7*(1+$C$26))</f>
        <v>1039.5</v>
      </c>
      <c r="N30" s="65" t="n">
        <f aca="false">IF(12&lt;$C$7,0,$I$7*$D$7*(1+$C$26))</f>
        <v>1039.5</v>
      </c>
      <c r="O30" s="64" t="n">
        <f aca="false">SUM(P30:AA30)</f>
        <v>19404</v>
      </c>
      <c r="P30" s="65" t="n">
        <f aca="false">IF(13&lt;$C$7,0,$J$7*$E$7*(1+$C$26))</f>
        <v>1617</v>
      </c>
      <c r="Q30" s="65" t="n">
        <f aca="false">IF(14&lt;$C$7,0,$J$7*$E$7*(1+$C$26))</f>
        <v>1617</v>
      </c>
      <c r="R30" s="65" t="n">
        <f aca="false">IF(15&lt;$C$7,0,$J$7*$E$7*(1+$C$26))</f>
        <v>1617</v>
      </c>
      <c r="S30" s="65" t="n">
        <f aca="false">IF(16&lt;$C$7,0,$J$7*$E$7*(1+$C$26))</f>
        <v>1617</v>
      </c>
      <c r="T30" s="65" t="n">
        <f aca="false">IF(17&lt;$C$7,0,$J$7*$E$7*(1+$C$26))</f>
        <v>1617</v>
      </c>
      <c r="U30" s="65" t="n">
        <f aca="false">IF(18&lt;$C$7,0,$J$7*$E$7*(1+$C$26))</f>
        <v>1617</v>
      </c>
      <c r="V30" s="65" t="n">
        <f aca="false">IF(19&lt;$C$7,0,$J$7*$E$7*(1+$C$26))</f>
        <v>1617</v>
      </c>
      <c r="W30" s="65" t="n">
        <f aca="false">IF(20&lt;$C$7,0,$J$7*$E$7*(1+$C$26))</f>
        <v>1617</v>
      </c>
      <c r="X30" s="65" t="n">
        <f aca="false">IF(21&lt;$C$7,0,$J$7*$E$7*(1+$C$26))</f>
        <v>1617</v>
      </c>
      <c r="Y30" s="65" t="n">
        <f aca="false">IF(22&lt;$C$7,0,$J$7*$E$7*(1+$C$26))</f>
        <v>1617</v>
      </c>
      <c r="Z30" s="65" t="n">
        <f aca="false">IF(23&lt;$C$7,0,$J$7*$E$7*(1+$C$26))</f>
        <v>1617</v>
      </c>
      <c r="AA30" s="65" t="n">
        <f aca="false">IF(24&lt;$C$7,0,$J$7*$E$7*(1+$C$26))</f>
        <v>1617</v>
      </c>
      <c r="AB30" s="64" t="n">
        <f aca="false">SUM(AC30:AN30)</f>
        <v>23562</v>
      </c>
      <c r="AC30" s="65" t="n">
        <f aca="false">IF(25&lt;$C$7,0,$K$7*$F$7*(1+$C$26))</f>
        <v>1963.5</v>
      </c>
      <c r="AD30" s="65" t="n">
        <f aca="false">IF(26&lt;$C$7,0,$K$7*$F$7*(1+$C$26))</f>
        <v>1963.5</v>
      </c>
      <c r="AE30" s="65" t="n">
        <f aca="false">IF(27&lt;$C$7,0,$K$7*$F$7*(1+$C$26))</f>
        <v>1963.5</v>
      </c>
      <c r="AF30" s="65" t="n">
        <f aca="false">IF(28&lt;$C$7,0,$K$7*$F$7*(1+$C$26))</f>
        <v>1963.5</v>
      </c>
      <c r="AG30" s="65" t="n">
        <f aca="false">IF(29&lt;$C$7,0,$K$7*$F$7*(1+$C$26))</f>
        <v>1963.5</v>
      </c>
      <c r="AH30" s="65" t="n">
        <f aca="false">IF(30&lt;$C$7,0,$K$7*$F$7*(1+$C$26))</f>
        <v>1963.5</v>
      </c>
      <c r="AI30" s="65" t="n">
        <f aca="false">IF(31&lt;$C$7,0,$K$7*$F$7*(1+$C$26))</f>
        <v>1963.5</v>
      </c>
      <c r="AJ30" s="65" t="n">
        <f aca="false">IF(32&lt;$C$7,0,$K$7*$F$7*(1+$C$26))</f>
        <v>1963.5</v>
      </c>
      <c r="AK30" s="65" t="n">
        <f aca="false">IF(33&lt;$C$7,0,$K$7*$F$7*(1+$C$26))</f>
        <v>1963.5</v>
      </c>
      <c r="AL30" s="65" t="n">
        <f aca="false">IF(34&lt;$C$7,0,$K$7*$F$7*(1+$C$26))</f>
        <v>1963.5</v>
      </c>
      <c r="AM30" s="65" t="n">
        <f aca="false">IF(35&lt;$C$7,0,$K$7*$F$7*(1+$C$26))</f>
        <v>1963.5</v>
      </c>
      <c r="AN30" s="65" t="n">
        <f aca="false">IF(36&lt;$C$7,0,$K$7*$F$7*(1+$C$26))</f>
        <v>1963.5</v>
      </c>
      <c r="AO30" s="64" t="n">
        <f aca="false">SUM(AP30:BA30)</f>
        <v>26334</v>
      </c>
      <c r="AP30" s="65" t="n">
        <f aca="false">IF(37&lt;$C$7,0,$L$7*$G$7*(1+$C$26))</f>
        <v>2194.5</v>
      </c>
      <c r="AQ30" s="65" t="n">
        <f aca="false">IF(38&lt;$C$7,0,$L$7*$G$7*(1+$C$26))</f>
        <v>2194.5</v>
      </c>
      <c r="AR30" s="65" t="n">
        <f aca="false">IF(39&lt;$C$7,0,$L$7*$G$7*(1+$C$26))</f>
        <v>2194.5</v>
      </c>
      <c r="AS30" s="65" t="n">
        <f aca="false">IF(40&lt;$C$7,0,$L$7*$G$7*(1+$C$26))</f>
        <v>2194.5</v>
      </c>
      <c r="AT30" s="65" t="n">
        <f aca="false">IF(41&lt;$C$7,0,$L$7*$G$7*(1+$C$26))</f>
        <v>2194.5</v>
      </c>
      <c r="AU30" s="65" t="n">
        <f aca="false">IF(42&lt;$C$7,0,$L$7*$G$7*(1+$C$26))</f>
        <v>2194.5</v>
      </c>
      <c r="AV30" s="65" t="n">
        <f aca="false">IF(43&lt;$C$7,0,$L$7*$G$7*(1+$C$26))</f>
        <v>2194.5</v>
      </c>
      <c r="AW30" s="65" t="n">
        <f aca="false">IF(44&lt;$C$7,0,$L$7*$G$7*(1+$C$26))</f>
        <v>2194.5</v>
      </c>
      <c r="AX30" s="65" t="n">
        <f aca="false">IF(45&lt;$C$7,0,$L$7*$G$7*(1+$C$26))</f>
        <v>2194.5</v>
      </c>
      <c r="AY30" s="65" t="n">
        <f aca="false">IF(46&lt;$C$7,0,$L$7*$G$7*(1+$C$26))</f>
        <v>2194.5</v>
      </c>
      <c r="AZ30" s="65" t="n">
        <f aca="false">IF(47&lt;$C$7,0,$L$7*$G$7*(1+$C$26))</f>
        <v>2194.5</v>
      </c>
      <c r="BA30" s="65" t="n">
        <f aca="false">IF(48&lt;$C$7,0,$L$7*$G$7*(1+$C$26))</f>
        <v>2194.5</v>
      </c>
      <c r="BB30" s="64" t="n">
        <f aca="false">SUM(BC30:BN30)</f>
        <v>27720</v>
      </c>
      <c r="BC30" s="65" t="n">
        <f aca="false">IF(49&lt;$C$7,0,$M$7*$H$7*(1+$C$26))</f>
        <v>2310</v>
      </c>
      <c r="BD30" s="65" t="n">
        <f aca="false">IF(50&lt;$C$7,0,$M$7*$H$7*(1+$C$26))</f>
        <v>2310</v>
      </c>
      <c r="BE30" s="65" t="n">
        <f aca="false">IF(51&lt;$C$7,0,$M$7*$H$7*(1+$C$26))</f>
        <v>2310</v>
      </c>
      <c r="BF30" s="65" t="n">
        <f aca="false">IF(52&lt;$C$7,0,$M$7*$H$7*(1+$C$26))</f>
        <v>2310</v>
      </c>
      <c r="BG30" s="65" t="n">
        <f aca="false">IF(53&lt;$C$7,0,$M$7*$H$7*(1+$C$26))</f>
        <v>2310</v>
      </c>
      <c r="BH30" s="65" t="n">
        <f aca="false">IF(54&lt;$C$7,0,$M$7*$H$7*(1+$C$26))</f>
        <v>2310</v>
      </c>
      <c r="BI30" s="65" t="n">
        <f aca="false">IF(55&lt;$C$7,0,$M$7*$H$7*(1+$C$26))</f>
        <v>2310</v>
      </c>
      <c r="BJ30" s="65" t="n">
        <f aca="false">IF(56&lt;$C$7,0,$M$7*$H$7*(1+$C$26))</f>
        <v>2310</v>
      </c>
      <c r="BK30" s="65" t="n">
        <f aca="false">IF(57&lt;$C$7,0,$M$7*$H$7*(1+$C$26))</f>
        <v>2310</v>
      </c>
      <c r="BL30" s="65" t="n">
        <f aca="false">IF(58&lt;$C$7,0,$M$7*$H$7*(1+$C$26))</f>
        <v>2310</v>
      </c>
      <c r="BM30" s="65" t="n">
        <f aca="false">IF(59&lt;$C$7,0,$M$7*$H$7*(1+$C$26))</f>
        <v>2310</v>
      </c>
      <c r="BN30" s="65" t="n">
        <f aca="false">IF(60&lt;$C$7,0,$M$7*$H$7*(1+$C$26))</f>
        <v>2310</v>
      </c>
    </row>
    <row r="31" customFormat="false" ht="15" hidden="false" customHeight="false" outlineLevel="0" collapsed="false">
      <c r="A31" s="12" t="s">
        <v>761</v>
      </c>
      <c r="B31" s="64" t="n">
        <f aca="false">SUM(C31:N31)</f>
        <v>12474</v>
      </c>
      <c r="C31" s="65" t="n">
        <f aca="false">IF(1&lt;$C$8,0,$I$8*$D$8*(1+$C$26))</f>
        <v>1039.5</v>
      </c>
      <c r="D31" s="65" t="n">
        <f aca="false">IF(2&lt;$C$8,0,$I$8*$D$8*(1+$C$26))</f>
        <v>1039.5</v>
      </c>
      <c r="E31" s="65" t="n">
        <f aca="false">IF(3&lt;$C$8,0,$I$8*$D$8*(1+$C$26))</f>
        <v>1039.5</v>
      </c>
      <c r="F31" s="65" t="n">
        <f aca="false">IF(4&lt;$C$8,0,$I$8*$D$8*(1+$C$26))</f>
        <v>1039.5</v>
      </c>
      <c r="G31" s="65" t="n">
        <f aca="false">IF(5&lt;$C$8,0,$I$8*$D$8*(1+$C$26))</f>
        <v>1039.5</v>
      </c>
      <c r="H31" s="65" t="n">
        <f aca="false">IF(6&lt;$C$8,0,$I$8*$D$8*(1+$C$26))</f>
        <v>1039.5</v>
      </c>
      <c r="I31" s="65" t="n">
        <f aca="false">IF(7&lt;$C$8,0,$I$8*$D$8*(1+$C$26))</f>
        <v>1039.5</v>
      </c>
      <c r="J31" s="65" t="n">
        <f aca="false">IF(8&lt;$C$8,0,$I$8*$D$8*(1+$C$26))</f>
        <v>1039.5</v>
      </c>
      <c r="K31" s="65" t="n">
        <f aca="false">IF(9&lt;$C$8,0,$I$8*$D$8*(1+$C$26))</f>
        <v>1039.5</v>
      </c>
      <c r="L31" s="65" t="n">
        <f aca="false">IF(10&lt;$C$8,0,$I$8*$D$8*(1+$C$26))</f>
        <v>1039.5</v>
      </c>
      <c r="M31" s="65" t="n">
        <f aca="false">IF(11&lt;$C$8,0,$I$8*$D$8*(1+$C$26))</f>
        <v>1039.5</v>
      </c>
      <c r="N31" s="65" t="n">
        <f aca="false">IF(12&lt;$C$8,0,$I$8*$D$8*(1+$C$26))</f>
        <v>1039.5</v>
      </c>
      <c r="O31" s="64" t="n">
        <f aca="false">SUM(P31:AA31)</f>
        <v>19404</v>
      </c>
      <c r="P31" s="65" t="n">
        <f aca="false">IF(13&lt;$C$8,0,$J$8*$E$8*(1+$C$26))</f>
        <v>1617</v>
      </c>
      <c r="Q31" s="65" t="n">
        <f aca="false">IF(14&lt;$C$8,0,$J$8*$E$8*(1+$C$26))</f>
        <v>1617</v>
      </c>
      <c r="R31" s="65" t="n">
        <f aca="false">IF(15&lt;$C$8,0,$J$8*$E$8*(1+$C$26))</f>
        <v>1617</v>
      </c>
      <c r="S31" s="65" t="n">
        <f aca="false">IF(16&lt;$C$8,0,$J$8*$E$8*(1+$C$26))</f>
        <v>1617</v>
      </c>
      <c r="T31" s="65" t="n">
        <f aca="false">IF(17&lt;$C$8,0,$J$8*$E$8*(1+$C$26))</f>
        <v>1617</v>
      </c>
      <c r="U31" s="65" t="n">
        <f aca="false">IF(18&lt;$C$8,0,$J$8*$E$8*(1+$C$26))</f>
        <v>1617</v>
      </c>
      <c r="V31" s="65" t="n">
        <f aca="false">IF(19&lt;$C$8,0,$J$8*$E$8*(1+$C$26))</f>
        <v>1617</v>
      </c>
      <c r="W31" s="65" t="n">
        <f aca="false">IF(20&lt;$C$8,0,$J$8*$E$8*(1+$C$26))</f>
        <v>1617</v>
      </c>
      <c r="X31" s="65" t="n">
        <f aca="false">IF(21&lt;$C$8,0,$J$8*$E$8*(1+$C$26))</f>
        <v>1617</v>
      </c>
      <c r="Y31" s="65" t="n">
        <f aca="false">IF(22&lt;$C$8,0,$J$8*$E$8*(1+$C$26))</f>
        <v>1617</v>
      </c>
      <c r="Z31" s="65" t="n">
        <f aca="false">IF(23&lt;$C$8,0,$J$8*$E$8*(1+$C$26))</f>
        <v>1617</v>
      </c>
      <c r="AA31" s="65" t="n">
        <f aca="false">IF(24&lt;$C$8,0,$J$8*$E$8*(1+$C$26))</f>
        <v>1617</v>
      </c>
      <c r="AB31" s="64" t="n">
        <f aca="false">SUM(AC31:AN31)</f>
        <v>23562</v>
      </c>
      <c r="AC31" s="65" t="n">
        <f aca="false">IF(25&lt;$C$8,0,$K$8*$F$8*(1+$C$26))</f>
        <v>1963.5</v>
      </c>
      <c r="AD31" s="65" t="n">
        <f aca="false">IF(26&lt;$C$8,0,$K$8*$F$8*(1+$C$26))</f>
        <v>1963.5</v>
      </c>
      <c r="AE31" s="65" t="n">
        <f aca="false">IF(27&lt;$C$8,0,$K$8*$F$8*(1+$C$26))</f>
        <v>1963.5</v>
      </c>
      <c r="AF31" s="65" t="n">
        <f aca="false">IF(28&lt;$C$8,0,$K$8*$F$8*(1+$C$26))</f>
        <v>1963.5</v>
      </c>
      <c r="AG31" s="65" t="n">
        <f aca="false">IF(29&lt;$C$8,0,$K$8*$F$8*(1+$C$26))</f>
        <v>1963.5</v>
      </c>
      <c r="AH31" s="65" t="n">
        <f aca="false">IF(30&lt;$C$8,0,$K$8*$F$8*(1+$C$26))</f>
        <v>1963.5</v>
      </c>
      <c r="AI31" s="65" t="n">
        <f aca="false">IF(31&lt;$C$8,0,$K$8*$F$8*(1+$C$26))</f>
        <v>1963.5</v>
      </c>
      <c r="AJ31" s="65" t="n">
        <f aca="false">IF(32&lt;$C$8,0,$K$8*$F$8*(1+$C$26))</f>
        <v>1963.5</v>
      </c>
      <c r="AK31" s="65" t="n">
        <f aca="false">IF(33&lt;$C$8,0,$K$8*$F$8*(1+$C$26))</f>
        <v>1963.5</v>
      </c>
      <c r="AL31" s="65" t="n">
        <f aca="false">IF(34&lt;$C$8,0,$K$8*$F$8*(1+$C$26))</f>
        <v>1963.5</v>
      </c>
      <c r="AM31" s="65" t="n">
        <f aca="false">IF(35&lt;$C$8,0,$K$8*$F$8*(1+$C$26))</f>
        <v>1963.5</v>
      </c>
      <c r="AN31" s="65" t="n">
        <f aca="false">IF(36&lt;$C$8,0,$K$8*$F$8*(1+$C$26))</f>
        <v>1963.5</v>
      </c>
      <c r="AO31" s="64" t="n">
        <f aca="false">SUM(AP31:BA31)</f>
        <v>26334</v>
      </c>
      <c r="AP31" s="65" t="n">
        <f aca="false">IF(37&lt;$C$8,0,$L$8*$G$8*(1+$C$26))</f>
        <v>2194.5</v>
      </c>
      <c r="AQ31" s="65" t="n">
        <f aca="false">IF(38&lt;$C$8,0,$L$8*$G$8*(1+$C$26))</f>
        <v>2194.5</v>
      </c>
      <c r="AR31" s="65" t="n">
        <f aca="false">IF(39&lt;$C$8,0,$L$8*$G$8*(1+$C$26))</f>
        <v>2194.5</v>
      </c>
      <c r="AS31" s="65" t="n">
        <f aca="false">IF(40&lt;$C$8,0,$L$8*$G$8*(1+$C$26))</f>
        <v>2194.5</v>
      </c>
      <c r="AT31" s="65" t="n">
        <f aca="false">IF(41&lt;$C$8,0,$L$8*$G$8*(1+$C$26))</f>
        <v>2194.5</v>
      </c>
      <c r="AU31" s="65" t="n">
        <f aca="false">IF(42&lt;$C$8,0,$L$8*$G$8*(1+$C$26))</f>
        <v>2194.5</v>
      </c>
      <c r="AV31" s="65" t="n">
        <f aca="false">IF(43&lt;$C$8,0,$L$8*$G$8*(1+$C$26))</f>
        <v>2194.5</v>
      </c>
      <c r="AW31" s="65" t="n">
        <f aca="false">IF(44&lt;$C$8,0,$L$8*$G$8*(1+$C$26))</f>
        <v>2194.5</v>
      </c>
      <c r="AX31" s="65" t="n">
        <f aca="false">IF(45&lt;$C$8,0,$L$8*$G$8*(1+$C$26))</f>
        <v>2194.5</v>
      </c>
      <c r="AY31" s="65" t="n">
        <f aca="false">IF(46&lt;$C$8,0,$L$8*$G$8*(1+$C$26))</f>
        <v>2194.5</v>
      </c>
      <c r="AZ31" s="65" t="n">
        <f aca="false">IF(47&lt;$C$8,0,$L$8*$G$8*(1+$C$26))</f>
        <v>2194.5</v>
      </c>
      <c r="BA31" s="65" t="n">
        <f aca="false">IF(48&lt;$C$8,0,$L$8*$G$8*(1+$C$26))</f>
        <v>2194.5</v>
      </c>
      <c r="BB31" s="64" t="n">
        <f aca="false">SUM(BC31:BN31)</f>
        <v>27720</v>
      </c>
      <c r="BC31" s="65" t="n">
        <f aca="false">IF(49&lt;$C$8,0,$M$8*$H$8*(1+$C$26))</f>
        <v>2310</v>
      </c>
      <c r="BD31" s="65" t="n">
        <f aca="false">IF(50&lt;$C$8,0,$M$8*$H$8*(1+$C$26))</f>
        <v>2310</v>
      </c>
      <c r="BE31" s="65" t="n">
        <f aca="false">IF(51&lt;$C$8,0,$M$8*$H$8*(1+$C$26))</f>
        <v>2310</v>
      </c>
      <c r="BF31" s="65" t="n">
        <f aca="false">IF(52&lt;$C$8,0,$M$8*$H$8*(1+$C$26))</f>
        <v>2310</v>
      </c>
      <c r="BG31" s="65" t="n">
        <f aca="false">IF(53&lt;$C$8,0,$M$8*$H$8*(1+$C$26))</f>
        <v>2310</v>
      </c>
      <c r="BH31" s="65" t="n">
        <f aca="false">IF(54&lt;$C$8,0,$M$8*$H$8*(1+$C$26))</f>
        <v>2310</v>
      </c>
      <c r="BI31" s="65" t="n">
        <f aca="false">IF(55&lt;$C$8,0,$M$8*$H$8*(1+$C$26))</f>
        <v>2310</v>
      </c>
      <c r="BJ31" s="65" t="n">
        <f aca="false">IF(56&lt;$C$8,0,$M$8*$H$8*(1+$C$26))</f>
        <v>2310</v>
      </c>
      <c r="BK31" s="65" t="n">
        <f aca="false">IF(57&lt;$C$8,0,$M$8*$H$8*(1+$C$26))</f>
        <v>2310</v>
      </c>
      <c r="BL31" s="65" t="n">
        <f aca="false">IF(58&lt;$C$8,0,$M$8*$H$8*(1+$C$26))</f>
        <v>2310</v>
      </c>
      <c r="BM31" s="65" t="n">
        <f aca="false">IF(59&lt;$C$8,0,$M$8*$H$8*(1+$C$26))</f>
        <v>2310</v>
      </c>
      <c r="BN31" s="65" t="n">
        <f aca="false">IF(60&lt;$C$8,0,$M$8*$H$8*(1+$C$26))</f>
        <v>2310</v>
      </c>
    </row>
    <row r="32" customFormat="false" ht="15" hidden="false" customHeight="false" outlineLevel="0" collapsed="false">
      <c r="A32" s="12" t="s">
        <v>762</v>
      </c>
      <c r="B32" s="64" t="n">
        <f aca="false">SUM(C32:N32)</f>
        <v>11088</v>
      </c>
      <c r="C32" s="65" t="n">
        <f aca="false">IF(1&lt;$C$9,0,$I$9*$D$9*(1+$C$26))</f>
        <v>924</v>
      </c>
      <c r="D32" s="65" t="n">
        <f aca="false">IF(2&lt;$C$9,0,$I$9*$D$9*(1+$C$26))</f>
        <v>924</v>
      </c>
      <c r="E32" s="65" t="n">
        <f aca="false">IF(3&lt;$C$9,0,$I$9*$D$9*(1+$C$26))</f>
        <v>924</v>
      </c>
      <c r="F32" s="65" t="n">
        <f aca="false">IF(4&lt;$C$9,0,$I$9*$D$9*(1+$C$26))</f>
        <v>924</v>
      </c>
      <c r="G32" s="65" t="n">
        <f aca="false">IF(5&lt;$C$9,0,$I$9*$D$9*(1+$C$26))</f>
        <v>924</v>
      </c>
      <c r="H32" s="65" t="n">
        <f aca="false">IF(6&lt;$C$9,0,$I$9*$D$9*(1+$C$26))</f>
        <v>924</v>
      </c>
      <c r="I32" s="65" t="n">
        <f aca="false">IF(7&lt;$C$9,0,$I$9*$D$9*(1+$C$26))</f>
        <v>924</v>
      </c>
      <c r="J32" s="65" t="n">
        <f aca="false">IF(8&lt;$C$9,0,$I$9*$D$9*(1+$C$26))</f>
        <v>924</v>
      </c>
      <c r="K32" s="65" t="n">
        <f aca="false">IF(9&lt;$C$9,0,$I$9*$D$9*(1+$C$26))</f>
        <v>924</v>
      </c>
      <c r="L32" s="65" t="n">
        <f aca="false">IF(10&lt;$C$9,0,$I$9*$D$9*(1+$C$26))</f>
        <v>924</v>
      </c>
      <c r="M32" s="65" t="n">
        <f aca="false">IF(11&lt;$C$9,0,$I$9*$D$9*(1+$C$26))</f>
        <v>924</v>
      </c>
      <c r="N32" s="65" t="n">
        <f aca="false">IF(12&lt;$C$9,0,$I$9*$D$9*(1+$C$26))</f>
        <v>924</v>
      </c>
      <c r="O32" s="64" t="n">
        <f aca="false">SUM(P32:AA32)</f>
        <v>18018</v>
      </c>
      <c r="P32" s="65" t="n">
        <f aca="false">IF(13&lt;$C$9,0,$J$9*$E$9*(1+$C$26))</f>
        <v>1501.5</v>
      </c>
      <c r="Q32" s="65" t="n">
        <f aca="false">IF(14&lt;$C$9,0,$J$9*$E$9*(1+$C$26))</f>
        <v>1501.5</v>
      </c>
      <c r="R32" s="65" t="n">
        <f aca="false">IF(15&lt;$C$9,0,$J$9*$E$9*(1+$C$26))</f>
        <v>1501.5</v>
      </c>
      <c r="S32" s="65" t="n">
        <f aca="false">IF(16&lt;$C$9,0,$J$9*$E$9*(1+$C$26))</f>
        <v>1501.5</v>
      </c>
      <c r="T32" s="65" t="n">
        <f aca="false">IF(17&lt;$C$9,0,$J$9*$E$9*(1+$C$26))</f>
        <v>1501.5</v>
      </c>
      <c r="U32" s="65" t="n">
        <f aca="false">IF(18&lt;$C$9,0,$J$9*$E$9*(1+$C$26))</f>
        <v>1501.5</v>
      </c>
      <c r="V32" s="65" t="n">
        <f aca="false">IF(19&lt;$C$9,0,$J$9*$E$9*(1+$C$26))</f>
        <v>1501.5</v>
      </c>
      <c r="W32" s="65" t="n">
        <f aca="false">IF(20&lt;$C$9,0,$J$9*$E$9*(1+$C$26))</f>
        <v>1501.5</v>
      </c>
      <c r="X32" s="65" t="n">
        <f aca="false">IF(21&lt;$C$9,0,$J$9*$E$9*(1+$C$26))</f>
        <v>1501.5</v>
      </c>
      <c r="Y32" s="65" t="n">
        <f aca="false">IF(22&lt;$C$9,0,$J$9*$E$9*(1+$C$26))</f>
        <v>1501.5</v>
      </c>
      <c r="Z32" s="65" t="n">
        <f aca="false">IF(23&lt;$C$9,0,$J$9*$E$9*(1+$C$26))</f>
        <v>1501.5</v>
      </c>
      <c r="AA32" s="65" t="n">
        <f aca="false">IF(24&lt;$C$9,0,$J$9*$E$9*(1+$C$26))</f>
        <v>1501.5</v>
      </c>
      <c r="AB32" s="64" t="n">
        <f aca="false">SUM(AC32:AN32)</f>
        <v>22176</v>
      </c>
      <c r="AC32" s="65" t="n">
        <f aca="false">IF(25&lt;$C$9,0,$K$9*$F$9*(1+$C$26))</f>
        <v>1848</v>
      </c>
      <c r="AD32" s="65" t="n">
        <f aca="false">IF(26&lt;$C$9,0,$K$9*$F$9*(1+$C$26))</f>
        <v>1848</v>
      </c>
      <c r="AE32" s="65" t="n">
        <f aca="false">IF(27&lt;$C$9,0,$K$9*$F$9*(1+$C$26))</f>
        <v>1848</v>
      </c>
      <c r="AF32" s="65" t="n">
        <f aca="false">IF(28&lt;$C$9,0,$K$9*$F$9*(1+$C$26))</f>
        <v>1848</v>
      </c>
      <c r="AG32" s="65" t="n">
        <f aca="false">IF(29&lt;$C$9,0,$K$9*$F$9*(1+$C$26))</f>
        <v>1848</v>
      </c>
      <c r="AH32" s="65" t="n">
        <f aca="false">IF(30&lt;$C$9,0,$K$9*$F$9*(1+$C$26))</f>
        <v>1848</v>
      </c>
      <c r="AI32" s="65" t="n">
        <f aca="false">IF(31&lt;$C$9,0,$K$9*$F$9*(1+$C$26))</f>
        <v>1848</v>
      </c>
      <c r="AJ32" s="65" t="n">
        <f aca="false">IF(32&lt;$C$9,0,$K$9*$F$9*(1+$C$26))</f>
        <v>1848</v>
      </c>
      <c r="AK32" s="65" t="n">
        <f aca="false">IF(33&lt;$C$9,0,$K$9*$F$9*(1+$C$26))</f>
        <v>1848</v>
      </c>
      <c r="AL32" s="65" t="n">
        <f aca="false">IF(34&lt;$C$9,0,$K$9*$F$9*(1+$C$26))</f>
        <v>1848</v>
      </c>
      <c r="AM32" s="65" t="n">
        <f aca="false">IF(35&lt;$C$9,0,$K$9*$F$9*(1+$C$26))</f>
        <v>1848</v>
      </c>
      <c r="AN32" s="65" t="n">
        <f aca="false">IF(36&lt;$C$9,0,$K$9*$F$9*(1+$C$26))</f>
        <v>1848</v>
      </c>
      <c r="AO32" s="64" t="n">
        <f aca="false">SUM(AP32:BA32)</f>
        <v>24948</v>
      </c>
      <c r="AP32" s="65" t="n">
        <f aca="false">IF(37&lt;$C$9,0,$L$9*$G$9*(1+$C$26))</f>
        <v>2079</v>
      </c>
      <c r="AQ32" s="65" t="n">
        <f aca="false">IF(38&lt;$C$9,0,$L$9*$G$9*(1+$C$26))</f>
        <v>2079</v>
      </c>
      <c r="AR32" s="65" t="n">
        <f aca="false">IF(39&lt;$C$9,0,$L$9*$G$9*(1+$C$26))</f>
        <v>2079</v>
      </c>
      <c r="AS32" s="65" t="n">
        <f aca="false">IF(40&lt;$C$9,0,$L$9*$G$9*(1+$C$26))</f>
        <v>2079</v>
      </c>
      <c r="AT32" s="65" t="n">
        <f aca="false">IF(41&lt;$C$9,0,$L$9*$G$9*(1+$C$26))</f>
        <v>2079</v>
      </c>
      <c r="AU32" s="65" t="n">
        <f aca="false">IF(42&lt;$C$9,0,$L$9*$G$9*(1+$C$26))</f>
        <v>2079</v>
      </c>
      <c r="AV32" s="65" t="n">
        <f aca="false">IF(43&lt;$C$9,0,$L$9*$G$9*(1+$C$26))</f>
        <v>2079</v>
      </c>
      <c r="AW32" s="65" t="n">
        <f aca="false">IF(44&lt;$C$9,0,$L$9*$G$9*(1+$C$26))</f>
        <v>2079</v>
      </c>
      <c r="AX32" s="65" t="n">
        <f aca="false">IF(45&lt;$C$9,0,$L$9*$G$9*(1+$C$26))</f>
        <v>2079</v>
      </c>
      <c r="AY32" s="65" t="n">
        <f aca="false">IF(46&lt;$C$9,0,$L$9*$G$9*(1+$C$26))</f>
        <v>2079</v>
      </c>
      <c r="AZ32" s="65" t="n">
        <f aca="false">IF(47&lt;$C$9,0,$L$9*$G$9*(1+$C$26))</f>
        <v>2079</v>
      </c>
      <c r="BA32" s="65" t="n">
        <f aca="false">IF(48&lt;$C$9,0,$L$9*$G$9*(1+$C$26))</f>
        <v>2079</v>
      </c>
      <c r="BB32" s="64" t="n">
        <f aca="false">SUM(BC32:BN32)</f>
        <v>26334</v>
      </c>
      <c r="BC32" s="65" t="n">
        <f aca="false">IF(49&lt;$C$9,0,$M$9*$H$9*(1+$C$26))</f>
        <v>2194.5</v>
      </c>
      <c r="BD32" s="65" t="n">
        <f aca="false">IF(50&lt;$C$9,0,$M$9*$H$9*(1+$C$26))</f>
        <v>2194.5</v>
      </c>
      <c r="BE32" s="65" t="n">
        <f aca="false">IF(51&lt;$C$9,0,$M$9*$H$9*(1+$C$26))</f>
        <v>2194.5</v>
      </c>
      <c r="BF32" s="65" t="n">
        <f aca="false">IF(52&lt;$C$9,0,$M$9*$H$9*(1+$C$26))</f>
        <v>2194.5</v>
      </c>
      <c r="BG32" s="65" t="n">
        <f aca="false">IF(53&lt;$C$9,0,$M$9*$H$9*(1+$C$26))</f>
        <v>2194.5</v>
      </c>
      <c r="BH32" s="65" t="n">
        <f aca="false">IF(54&lt;$C$9,0,$M$9*$H$9*(1+$C$26))</f>
        <v>2194.5</v>
      </c>
      <c r="BI32" s="65" t="n">
        <f aca="false">IF(55&lt;$C$9,0,$M$9*$H$9*(1+$C$26))</f>
        <v>2194.5</v>
      </c>
      <c r="BJ32" s="65" t="n">
        <f aca="false">IF(56&lt;$C$9,0,$M$9*$H$9*(1+$C$26))</f>
        <v>2194.5</v>
      </c>
      <c r="BK32" s="65" t="n">
        <f aca="false">IF(57&lt;$C$9,0,$M$9*$H$9*(1+$C$26))</f>
        <v>2194.5</v>
      </c>
      <c r="BL32" s="65" t="n">
        <f aca="false">IF(58&lt;$C$9,0,$M$9*$H$9*(1+$C$26))</f>
        <v>2194.5</v>
      </c>
      <c r="BM32" s="65" t="n">
        <f aca="false">IF(59&lt;$C$9,0,$M$9*$H$9*(1+$C$26))</f>
        <v>2194.5</v>
      </c>
      <c r="BN32" s="65" t="n">
        <f aca="false">IF(60&lt;$C$9,0,$M$9*$H$9*(1+$C$26))</f>
        <v>2194.5</v>
      </c>
    </row>
    <row r="33" customFormat="false" ht="15" hidden="false" customHeight="false" outlineLevel="0" collapsed="false">
      <c r="A33" s="12" t="s">
        <v>763</v>
      </c>
      <c r="B33" s="64" t="n">
        <f aca="false">SUM(C33:N33)</f>
        <v>8316</v>
      </c>
      <c r="C33" s="65" t="n">
        <f aca="false">IF(1&lt;$C$10,0,$I$10*$D$10*(1+$C$26))</f>
        <v>693</v>
      </c>
      <c r="D33" s="65" t="n">
        <f aca="false">IF(2&lt;$C$10,0,$I$10*$D$10*(1+$C$26))</f>
        <v>693</v>
      </c>
      <c r="E33" s="65" t="n">
        <f aca="false">IF(3&lt;$C$10,0,$I$10*$D$10*(1+$C$26))</f>
        <v>693</v>
      </c>
      <c r="F33" s="65" t="n">
        <f aca="false">IF(4&lt;$C$10,0,$I$10*$D$10*(1+$C$26))</f>
        <v>693</v>
      </c>
      <c r="G33" s="65" t="n">
        <f aca="false">IF(5&lt;$C$10,0,$I$10*$D$10*(1+$C$26))</f>
        <v>693</v>
      </c>
      <c r="H33" s="65" t="n">
        <f aca="false">IF(6&lt;$C$10,0,$I$10*$D$10*(1+$C$26))</f>
        <v>693</v>
      </c>
      <c r="I33" s="65" t="n">
        <f aca="false">IF(7&lt;$C$10,0,$I$10*$D$10*(1+$C$26))</f>
        <v>693</v>
      </c>
      <c r="J33" s="65" t="n">
        <f aca="false">IF(8&lt;$C$10,0,$I$10*$D$10*(1+$C$26))</f>
        <v>693</v>
      </c>
      <c r="K33" s="65" t="n">
        <f aca="false">IF(9&lt;$C$10,0,$I$10*$D$10*(1+$C$26))</f>
        <v>693</v>
      </c>
      <c r="L33" s="65" t="n">
        <f aca="false">IF(10&lt;$C$10,0,$I$10*$D$10*(1+$C$26))</f>
        <v>693</v>
      </c>
      <c r="M33" s="65" t="n">
        <f aca="false">IF(11&lt;$C$10,0,$I$10*$D$10*(1+$C$26))</f>
        <v>693</v>
      </c>
      <c r="N33" s="65" t="n">
        <f aca="false">IF(12&lt;$C$10,0,$I$10*$D$10*(1+$C$26))</f>
        <v>693</v>
      </c>
      <c r="O33" s="64" t="n">
        <f aca="false">SUM(P33:AA33)</f>
        <v>11088</v>
      </c>
      <c r="P33" s="65" t="n">
        <f aca="false">IF(13&lt;$C$10,0,$J$10*$E$10*(1+$C$26))</f>
        <v>924</v>
      </c>
      <c r="Q33" s="65" t="n">
        <f aca="false">IF(14&lt;$C$10,0,$J$10*$E$10*(1+$C$26))</f>
        <v>924</v>
      </c>
      <c r="R33" s="65" t="n">
        <f aca="false">IF(15&lt;$C$10,0,$J$10*$E$10*(1+$C$26))</f>
        <v>924</v>
      </c>
      <c r="S33" s="65" t="n">
        <f aca="false">IF(16&lt;$C$10,0,$J$10*$E$10*(1+$C$26))</f>
        <v>924</v>
      </c>
      <c r="T33" s="65" t="n">
        <f aca="false">IF(17&lt;$C$10,0,$J$10*$E$10*(1+$C$26))</f>
        <v>924</v>
      </c>
      <c r="U33" s="65" t="n">
        <f aca="false">IF(18&lt;$C$10,0,$J$10*$E$10*(1+$C$26))</f>
        <v>924</v>
      </c>
      <c r="V33" s="65" t="n">
        <f aca="false">IF(19&lt;$C$10,0,$J$10*$E$10*(1+$C$26))</f>
        <v>924</v>
      </c>
      <c r="W33" s="65" t="n">
        <f aca="false">IF(20&lt;$C$10,0,$J$10*$E$10*(1+$C$26))</f>
        <v>924</v>
      </c>
      <c r="X33" s="65" t="n">
        <f aca="false">IF(21&lt;$C$10,0,$J$10*$E$10*(1+$C$26))</f>
        <v>924</v>
      </c>
      <c r="Y33" s="65" t="n">
        <f aca="false">IF(22&lt;$C$10,0,$J$10*$E$10*(1+$C$26))</f>
        <v>924</v>
      </c>
      <c r="Z33" s="65" t="n">
        <f aca="false">IF(23&lt;$C$10,0,$J$10*$E$10*(1+$C$26))</f>
        <v>924</v>
      </c>
      <c r="AA33" s="65" t="n">
        <f aca="false">IF(24&lt;$C$10,0,$J$10*$E$10*(1+$C$26))</f>
        <v>924</v>
      </c>
      <c r="AB33" s="64" t="n">
        <f aca="false">SUM(AC33:AN33)</f>
        <v>13860</v>
      </c>
      <c r="AC33" s="65" t="n">
        <f aca="false">IF(25&lt;$C$10,0,$K$10*$F$10*(1+$C$26))</f>
        <v>1155</v>
      </c>
      <c r="AD33" s="65" t="n">
        <f aca="false">IF(26&lt;$C$10,0,$K$10*$F$10*(1+$C$26))</f>
        <v>1155</v>
      </c>
      <c r="AE33" s="65" t="n">
        <f aca="false">IF(27&lt;$C$10,0,$K$10*$F$10*(1+$C$26))</f>
        <v>1155</v>
      </c>
      <c r="AF33" s="65" t="n">
        <f aca="false">IF(28&lt;$C$10,0,$K$10*$F$10*(1+$C$26))</f>
        <v>1155</v>
      </c>
      <c r="AG33" s="65" t="n">
        <f aca="false">IF(29&lt;$C$10,0,$K$10*$F$10*(1+$C$26))</f>
        <v>1155</v>
      </c>
      <c r="AH33" s="65" t="n">
        <f aca="false">IF(30&lt;$C$10,0,$K$10*$F$10*(1+$C$26))</f>
        <v>1155</v>
      </c>
      <c r="AI33" s="65" t="n">
        <f aca="false">IF(31&lt;$C$10,0,$K$10*$F$10*(1+$C$26))</f>
        <v>1155</v>
      </c>
      <c r="AJ33" s="65" t="n">
        <f aca="false">IF(32&lt;$C$10,0,$K$10*$F$10*(1+$C$26))</f>
        <v>1155</v>
      </c>
      <c r="AK33" s="65" t="n">
        <f aca="false">IF(33&lt;$C$10,0,$K$10*$F$10*(1+$C$26))</f>
        <v>1155</v>
      </c>
      <c r="AL33" s="65" t="n">
        <f aca="false">IF(34&lt;$C$10,0,$K$10*$F$10*(1+$C$26))</f>
        <v>1155</v>
      </c>
      <c r="AM33" s="65" t="n">
        <f aca="false">IF(35&lt;$C$10,0,$K$10*$F$10*(1+$C$26))</f>
        <v>1155</v>
      </c>
      <c r="AN33" s="65" t="n">
        <f aca="false">IF(36&lt;$C$10,0,$K$10*$F$10*(1+$C$26))</f>
        <v>1155</v>
      </c>
      <c r="AO33" s="64" t="n">
        <f aca="false">SUM(AP33:BA33)</f>
        <v>30492</v>
      </c>
      <c r="AP33" s="65" t="n">
        <f aca="false">IF(37&lt;$C$10,0,$L$10*$G$10*(1+$C$26))</f>
        <v>2541</v>
      </c>
      <c r="AQ33" s="65" t="n">
        <f aca="false">IF(38&lt;$C$10,0,$L$10*$G$10*(1+$C$26))</f>
        <v>2541</v>
      </c>
      <c r="AR33" s="65" t="n">
        <f aca="false">IF(39&lt;$C$10,0,$L$10*$G$10*(1+$C$26))</f>
        <v>2541</v>
      </c>
      <c r="AS33" s="65" t="n">
        <f aca="false">IF(40&lt;$C$10,0,$L$10*$G$10*(1+$C$26))</f>
        <v>2541</v>
      </c>
      <c r="AT33" s="65" t="n">
        <f aca="false">IF(41&lt;$C$10,0,$L$10*$G$10*(1+$C$26))</f>
        <v>2541</v>
      </c>
      <c r="AU33" s="65" t="n">
        <f aca="false">IF(42&lt;$C$10,0,$L$10*$G$10*(1+$C$26))</f>
        <v>2541</v>
      </c>
      <c r="AV33" s="65" t="n">
        <f aca="false">IF(43&lt;$C$10,0,$L$10*$G$10*(1+$C$26))</f>
        <v>2541</v>
      </c>
      <c r="AW33" s="65" t="n">
        <f aca="false">IF(44&lt;$C$10,0,$L$10*$G$10*(1+$C$26))</f>
        <v>2541</v>
      </c>
      <c r="AX33" s="65" t="n">
        <f aca="false">IF(45&lt;$C$10,0,$L$10*$G$10*(1+$C$26))</f>
        <v>2541</v>
      </c>
      <c r="AY33" s="65" t="n">
        <f aca="false">IF(46&lt;$C$10,0,$L$10*$G$10*(1+$C$26))</f>
        <v>2541</v>
      </c>
      <c r="AZ33" s="65" t="n">
        <f aca="false">IF(47&lt;$C$10,0,$L$10*$G$10*(1+$C$26))</f>
        <v>2541</v>
      </c>
      <c r="BA33" s="65" t="n">
        <f aca="false">IF(48&lt;$C$10,0,$L$10*$G$10*(1+$C$26))</f>
        <v>2541</v>
      </c>
      <c r="BB33" s="64" t="n">
        <f aca="false">SUM(BC33:BN33)</f>
        <v>49896</v>
      </c>
      <c r="BC33" s="65" t="n">
        <f aca="false">IF(49&lt;$C$10,0,$M$10*$H$10*(1+$C$26))</f>
        <v>4158</v>
      </c>
      <c r="BD33" s="65" t="n">
        <f aca="false">IF(50&lt;$C$10,0,$M$10*$H$10*(1+$C$26))</f>
        <v>4158</v>
      </c>
      <c r="BE33" s="65" t="n">
        <f aca="false">IF(51&lt;$C$10,0,$M$10*$H$10*(1+$C$26))</f>
        <v>4158</v>
      </c>
      <c r="BF33" s="65" t="n">
        <f aca="false">IF(52&lt;$C$10,0,$M$10*$H$10*(1+$C$26))</f>
        <v>4158</v>
      </c>
      <c r="BG33" s="65" t="n">
        <f aca="false">IF(53&lt;$C$10,0,$M$10*$H$10*(1+$C$26))</f>
        <v>4158</v>
      </c>
      <c r="BH33" s="65" t="n">
        <f aca="false">IF(54&lt;$C$10,0,$M$10*$H$10*(1+$C$26))</f>
        <v>4158</v>
      </c>
      <c r="BI33" s="65" t="n">
        <f aca="false">IF(55&lt;$C$10,0,$M$10*$H$10*(1+$C$26))</f>
        <v>4158</v>
      </c>
      <c r="BJ33" s="65" t="n">
        <f aca="false">IF(56&lt;$C$10,0,$M$10*$H$10*(1+$C$26))</f>
        <v>4158</v>
      </c>
      <c r="BK33" s="65" t="n">
        <f aca="false">IF(57&lt;$C$10,0,$M$10*$H$10*(1+$C$26))</f>
        <v>4158</v>
      </c>
      <c r="BL33" s="65" t="n">
        <f aca="false">IF(58&lt;$C$10,0,$M$10*$H$10*(1+$C$26))</f>
        <v>4158</v>
      </c>
      <c r="BM33" s="65" t="n">
        <f aca="false">IF(59&lt;$C$10,0,$M$10*$H$10*(1+$C$26))</f>
        <v>4158</v>
      </c>
      <c r="BN33" s="65" t="n">
        <f aca="false">IF(60&lt;$C$10,0,$M$10*$H$10*(1+$C$26))</f>
        <v>4158</v>
      </c>
    </row>
    <row r="34" customFormat="false" ht="15" hidden="false" customHeight="false" outlineLevel="0" collapsed="false">
      <c r="A34" s="12" t="s">
        <v>764</v>
      </c>
      <c r="B34" s="64" t="n">
        <f aca="false">SUM(C34:N34)</f>
        <v>8316</v>
      </c>
      <c r="C34" s="65" t="n">
        <f aca="false">IF(1&lt;$C$11,0,$I$11*$D$11*(1+$C$26))</f>
        <v>693</v>
      </c>
      <c r="D34" s="65" t="n">
        <f aca="false">IF(2&lt;$C$11,0,$I$11*$D$11*(1+$C$26))</f>
        <v>693</v>
      </c>
      <c r="E34" s="65" t="n">
        <f aca="false">IF(3&lt;$C$11,0,$I$11*$D$11*(1+$C$26))</f>
        <v>693</v>
      </c>
      <c r="F34" s="65" t="n">
        <f aca="false">IF(4&lt;$C$11,0,$I$11*$D$11*(1+$C$26))</f>
        <v>693</v>
      </c>
      <c r="G34" s="65" t="n">
        <f aca="false">IF(5&lt;$C$11,0,$I$11*$D$11*(1+$C$26))</f>
        <v>693</v>
      </c>
      <c r="H34" s="65" t="n">
        <f aca="false">IF(6&lt;$C$11,0,$I$11*$D$11*(1+$C$26))</f>
        <v>693</v>
      </c>
      <c r="I34" s="65" t="n">
        <f aca="false">IF(7&lt;$C$11,0,$I$11*$D$11*(1+$C$26))</f>
        <v>693</v>
      </c>
      <c r="J34" s="65" t="n">
        <f aca="false">IF(8&lt;$C$11,0,$I$11*$D$11*(1+$C$26))</f>
        <v>693</v>
      </c>
      <c r="K34" s="65" t="n">
        <f aca="false">IF(9&lt;$C$11,0,$I$11*$D$11*(1+$C$26))</f>
        <v>693</v>
      </c>
      <c r="L34" s="65" t="n">
        <f aca="false">IF(10&lt;$C$11,0,$I$11*$D$11*(1+$C$26))</f>
        <v>693</v>
      </c>
      <c r="M34" s="65" t="n">
        <f aca="false">IF(11&lt;$C$11,0,$I$11*$D$11*(1+$C$26))</f>
        <v>693</v>
      </c>
      <c r="N34" s="65" t="n">
        <f aca="false">IF(12&lt;$C$11,0,$I$11*$D$11*(1+$C$26))</f>
        <v>693</v>
      </c>
      <c r="O34" s="64" t="n">
        <f aca="false">SUM(P34:AA34)</f>
        <v>11088</v>
      </c>
      <c r="P34" s="65" t="n">
        <f aca="false">IF(13&lt;$C$11,0,$J$11*$E$11*(1+$C$26))</f>
        <v>924</v>
      </c>
      <c r="Q34" s="65" t="n">
        <f aca="false">IF(14&lt;$C$11,0,$J$11*$E$11*(1+$C$26))</f>
        <v>924</v>
      </c>
      <c r="R34" s="65" t="n">
        <f aca="false">IF(15&lt;$C$11,0,$J$11*$E$11*(1+$C$26))</f>
        <v>924</v>
      </c>
      <c r="S34" s="65" t="n">
        <f aca="false">IF(16&lt;$C$11,0,$J$11*$E$11*(1+$C$26))</f>
        <v>924</v>
      </c>
      <c r="T34" s="65" t="n">
        <f aca="false">IF(17&lt;$C$11,0,$J$11*$E$11*(1+$C$26))</f>
        <v>924</v>
      </c>
      <c r="U34" s="65" t="n">
        <f aca="false">IF(18&lt;$C$11,0,$J$11*$E$11*(1+$C$26))</f>
        <v>924</v>
      </c>
      <c r="V34" s="65" t="n">
        <f aca="false">IF(19&lt;$C$11,0,$J$11*$E$11*(1+$C$26))</f>
        <v>924</v>
      </c>
      <c r="W34" s="65" t="n">
        <f aca="false">IF(20&lt;$C$11,0,$J$11*$E$11*(1+$C$26))</f>
        <v>924</v>
      </c>
      <c r="X34" s="65" t="n">
        <f aca="false">IF(21&lt;$C$11,0,$J$11*$E$11*(1+$C$26))</f>
        <v>924</v>
      </c>
      <c r="Y34" s="65" t="n">
        <f aca="false">IF(22&lt;$C$11,0,$J$11*$E$11*(1+$C$26))</f>
        <v>924</v>
      </c>
      <c r="Z34" s="65" t="n">
        <f aca="false">IF(23&lt;$C$11,0,$J$11*$E$11*(1+$C$26))</f>
        <v>924</v>
      </c>
      <c r="AA34" s="65" t="n">
        <f aca="false">IF(24&lt;$C$11,0,$J$11*$E$11*(1+$C$26))</f>
        <v>924</v>
      </c>
      <c r="AB34" s="64" t="n">
        <f aca="false">SUM(AC34:AN34)</f>
        <v>13860</v>
      </c>
      <c r="AC34" s="65" t="n">
        <f aca="false">IF(25&lt;$C$11,0,$K$11*$F$11*(1+$C$26))</f>
        <v>1155</v>
      </c>
      <c r="AD34" s="65" t="n">
        <f aca="false">IF(26&lt;$C$11,0,$K$11*$F$11*(1+$C$26))</f>
        <v>1155</v>
      </c>
      <c r="AE34" s="65" t="n">
        <f aca="false">IF(27&lt;$C$11,0,$K$11*$F$11*(1+$C$26))</f>
        <v>1155</v>
      </c>
      <c r="AF34" s="65" t="n">
        <f aca="false">IF(28&lt;$C$11,0,$K$11*$F$11*(1+$C$26))</f>
        <v>1155</v>
      </c>
      <c r="AG34" s="65" t="n">
        <f aca="false">IF(29&lt;$C$11,0,$K$11*$F$11*(1+$C$26))</f>
        <v>1155</v>
      </c>
      <c r="AH34" s="65" t="n">
        <f aca="false">IF(30&lt;$C$11,0,$K$11*$F$11*(1+$C$26))</f>
        <v>1155</v>
      </c>
      <c r="AI34" s="65" t="n">
        <f aca="false">IF(31&lt;$C$11,0,$K$11*$F$11*(1+$C$26))</f>
        <v>1155</v>
      </c>
      <c r="AJ34" s="65" t="n">
        <f aca="false">IF(32&lt;$C$11,0,$K$11*$F$11*(1+$C$26))</f>
        <v>1155</v>
      </c>
      <c r="AK34" s="65" t="n">
        <f aca="false">IF(33&lt;$C$11,0,$K$11*$F$11*(1+$C$26))</f>
        <v>1155</v>
      </c>
      <c r="AL34" s="65" t="n">
        <f aca="false">IF(34&lt;$C$11,0,$K$11*$F$11*(1+$C$26))</f>
        <v>1155</v>
      </c>
      <c r="AM34" s="65" t="n">
        <f aca="false">IF(35&lt;$C$11,0,$K$11*$F$11*(1+$C$26))</f>
        <v>1155</v>
      </c>
      <c r="AN34" s="65" t="n">
        <f aca="false">IF(36&lt;$C$11,0,$K$11*$F$11*(1+$C$26))</f>
        <v>1155</v>
      </c>
      <c r="AO34" s="64" t="n">
        <f aca="false">SUM(AP34:BA34)</f>
        <v>30492</v>
      </c>
      <c r="AP34" s="65" t="n">
        <f aca="false">IF(37&lt;$C$11,0,$L$11*$G$11*(1+$C$26))</f>
        <v>2541</v>
      </c>
      <c r="AQ34" s="65" t="n">
        <f aca="false">IF(38&lt;$C$11,0,$L$11*$G$11*(1+$C$26))</f>
        <v>2541</v>
      </c>
      <c r="AR34" s="65" t="n">
        <f aca="false">IF(39&lt;$C$11,0,$L$11*$G$11*(1+$C$26))</f>
        <v>2541</v>
      </c>
      <c r="AS34" s="65" t="n">
        <f aca="false">IF(40&lt;$C$11,0,$L$11*$G$11*(1+$C$26))</f>
        <v>2541</v>
      </c>
      <c r="AT34" s="65" t="n">
        <f aca="false">IF(41&lt;$C$11,0,$L$11*$G$11*(1+$C$26))</f>
        <v>2541</v>
      </c>
      <c r="AU34" s="65" t="n">
        <f aca="false">IF(42&lt;$C$11,0,$L$11*$G$11*(1+$C$26))</f>
        <v>2541</v>
      </c>
      <c r="AV34" s="65" t="n">
        <f aca="false">IF(43&lt;$C$11,0,$L$11*$G$11*(1+$C$26))</f>
        <v>2541</v>
      </c>
      <c r="AW34" s="65" t="n">
        <f aca="false">IF(44&lt;$C$11,0,$L$11*$G$11*(1+$C$26))</f>
        <v>2541</v>
      </c>
      <c r="AX34" s="65" t="n">
        <f aca="false">IF(45&lt;$C$11,0,$L$11*$G$11*(1+$C$26))</f>
        <v>2541</v>
      </c>
      <c r="AY34" s="65" t="n">
        <f aca="false">IF(46&lt;$C$11,0,$L$11*$G$11*(1+$C$26))</f>
        <v>2541</v>
      </c>
      <c r="AZ34" s="65" t="n">
        <f aca="false">IF(47&lt;$C$11,0,$L$11*$G$11*(1+$C$26))</f>
        <v>2541</v>
      </c>
      <c r="BA34" s="65" t="n">
        <f aca="false">IF(48&lt;$C$11,0,$L$11*$G$11*(1+$C$26))</f>
        <v>2541</v>
      </c>
      <c r="BB34" s="64" t="n">
        <f aca="false">SUM(BC34:BN34)</f>
        <v>33264</v>
      </c>
      <c r="BC34" s="65" t="n">
        <f aca="false">IF(49&lt;$C$11,0,$M$11*$H$11*(1+$C$26))</f>
        <v>2772</v>
      </c>
      <c r="BD34" s="65" t="n">
        <f aca="false">IF(50&lt;$C$11,0,$M$11*$H$11*(1+$C$26))</f>
        <v>2772</v>
      </c>
      <c r="BE34" s="65" t="n">
        <f aca="false">IF(51&lt;$C$11,0,$M$11*$H$11*(1+$C$26))</f>
        <v>2772</v>
      </c>
      <c r="BF34" s="65" t="n">
        <f aca="false">IF(52&lt;$C$11,0,$M$11*$H$11*(1+$C$26))</f>
        <v>2772</v>
      </c>
      <c r="BG34" s="65" t="n">
        <f aca="false">IF(53&lt;$C$11,0,$M$11*$H$11*(1+$C$26))</f>
        <v>2772</v>
      </c>
      <c r="BH34" s="65" t="n">
        <f aca="false">IF(54&lt;$C$11,0,$M$11*$H$11*(1+$C$26))</f>
        <v>2772</v>
      </c>
      <c r="BI34" s="65" t="n">
        <f aca="false">IF(55&lt;$C$11,0,$M$11*$H$11*(1+$C$26))</f>
        <v>2772</v>
      </c>
      <c r="BJ34" s="65" t="n">
        <f aca="false">IF(56&lt;$C$11,0,$M$11*$H$11*(1+$C$26))</f>
        <v>2772</v>
      </c>
      <c r="BK34" s="65" t="n">
        <f aca="false">IF(57&lt;$C$11,0,$M$11*$H$11*(1+$C$26))</f>
        <v>2772</v>
      </c>
      <c r="BL34" s="65" t="n">
        <f aca="false">IF(58&lt;$C$11,0,$M$11*$H$11*(1+$C$26))</f>
        <v>2772</v>
      </c>
      <c r="BM34" s="65" t="n">
        <f aca="false">IF(59&lt;$C$11,0,$M$11*$H$11*(1+$C$26))</f>
        <v>2772</v>
      </c>
      <c r="BN34" s="65" t="n">
        <f aca="false">IF(60&lt;$C$11,0,$M$11*$H$11*(1+$C$26))</f>
        <v>2772</v>
      </c>
    </row>
    <row r="35" customFormat="false" ht="15" hidden="false" customHeight="false" outlineLevel="0" collapsed="false">
      <c r="A35" s="12" t="s">
        <v>765</v>
      </c>
      <c r="B35" s="64" t="n">
        <f aca="false">SUM(C35:N35)</f>
        <v>0</v>
      </c>
      <c r="C35" s="65" t="n">
        <f aca="false">IF(1&lt;$C$12,0,$I$12*$D$12*(1+$C$26))</f>
        <v>0</v>
      </c>
      <c r="D35" s="65" t="n">
        <f aca="false">IF(2&lt;$C$12,0,$I$12*$D$12*(1+$C$26))</f>
        <v>0</v>
      </c>
      <c r="E35" s="65" t="n">
        <f aca="false">IF(3&lt;$C$12,0,$I$12*$D$12*(1+$C$26))</f>
        <v>0</v>
      </c>
      <c r="F35" s="65" t="n">
        <f aca="false">IF(4&lt;$C$12,0,$I$12*$D$12*(1+$C$26))</f>
        <v>0</v>
      </c>
      <c r="G35" s="65" t="n">
        <f aca="false">IF(5&lt;$C$12,0,$I$12*$D$12*(1+$C$26))</f>
        <v>0</v>
      </c>
      <c r="H35" s="65" t="n">
        <f aca="false">IF(6&lt;$C$12,0,$I$12*$D$12*(1+$C$26))</f>
        <v>0</v>
      </c>
      <c r="I35" s="65" t="n">
        <f aca="false">IF(7&lt;$C$12,0,$I$12*$D$12*(1+$C$26))</f>
        <v>0</v>
      </c>
      <c r="J35" s="65" t="n">
        <f aca="false">IF(8&lt;$C$12,0,$I$12*$D$12*(1+$C$26))</f>
        <v>0</v>
      </c>
      <c r="K35" s="65" t="n">
        <f aca="false">IF(9&lt;$C$12,0,$I$12*$D$12*(1+$C$26))</f>
        <v>0</v>
      </c>
      <c r="L35" s="65" t="n">
        <f aca="false">IF(10&lt;$C$12,0,$I$12*$D$12*(1+$C$26))</f>
        <v>0</v>
      </c>
      <c r="M35" s="65" t="n">
        <f aca="false">IF(11&lt;$C$12,0,$I$12*$D$12*(1+$C$26))</f>
        <v>0</v>
      </c>
      <c r="N35" s="65" t="n">
        <f aca="false">IF(12&lt;$C$12,0,$I$12*$D$12*(1+$C$26))</f>
        <v>0</v>
      </c>
      <c r="O35" s="64" t="n">
        <f aca="false">SUM(P35:AA35)</f>
        <v>12474</v>
      </c>
      <c r="P35" s="65" t="n">
        <f aca="false">IF(13&lt;$C$12,0,$J$12*$E$12*(1+$C$26))</f>
        <v>1039.5</v>
      </c>
      <c r="Q35" s="65" t="n">
        <f aca="false">IF(14&lt;$C$12,0,$J$12*$E$12*(1+$C$26))</f>
        <v>1039.5</v>
      </c>
      <c r="R35" s="65" t="n">
        <f aca="false">IF(15&lt;$C$12,0,$J$12*$E$12*(1+$C$26))</f>
        <v>1039.5</v>
      </c>
      <c r="S35" s="65" t="n">
        <f aca="false">IF(16&lt;$C$12,0,$J$12*$E$12*(1+$C$26))</f>
        <v>1039.5</v>
      </c>
      <c r="T35" s="65" t="n">
        <f aca="false">IF(17&lt;$C$12,0,$J$12*$E$12*(1+$C$26))</f>
        <v>1039.5</v>
      </c>
      <c r="U35" s="65" t="n">
        <f aca="false">IF(18&lt;$C$12,0,$J$12*$E$12*(1+$C$26))</f>
        <v>1039.5</v>
      </c>
      <c r="V35" s="65" t="n">
        <f aca="false">IF(19&lt;$C$12,0,$J$12*$E$12*(1+$C$26))</f>
        <v>1039.5</v>
      </c>
      <c r="W35" s="65" t="n">
        <f aca="false">IF(20&lt;$C$12,0,$J$12*$E$12*(1+$C$26))</f>
        <v>1039.5</v>
      </c>
      <c r="X35" s="65" t="n">
        <f aca="false">IF(21&lt;$C$12,0,$J$12*$E$12*(1+$C$26))</f>
        <v>1039.5</v>
      </c>
      <c r="Y35" s="65" t="n">
        <f aca="false">IF(22&lt;$C$12,0,$J$12*$E$12*(1+$C$26))</f>
        <v>1039.5</v>
      </c>
      <c r="Z35" s="65" t="n">
        <f aca="false">IF(23&lt;$C$12,0,$J$12*$E$12*(1+$C$26))</f>
        <v>1039.5</v>
      </c>
      <c r="AA35" s="65" t="n">
        <f aca="false">IF(24&lt;$C$12,0,$J$12*$E$12*(1+$C$26))</f>
        <v>1039.5</v>
      </c>
      <c r="AB35" s="64" t="n">
        <f aca="false">SUM(AC35:AN35)</f>
        <v>15246</v>
      </c>
      <c r="AC35" s="65" t="n">
        <f aca="false">IF(25&lt;$C$12,0,$K$12*$F$12*(1+$C$26))</f>
        <v>1270.5</v>
      </c>
      <c r="AD35" s="65" t="n">
        <f aca="false">IF(26&lt;$C$12,0,$K$12*$F$12*(1+$C$26))</f>
        <v>1270.5</v>
      </c>
      <c r="AE35" s="65" t="n">
        <f aca="false">IF(27&lt;$C$12,0,$K$12*$F$12*(1+$C$26))</f>
        <v>1270.5</v>
      </c>
      <c r="AF35" s="65" t="n">
        <f aca="false">IF(28&lt;$C$12,0,$K$12*$F$12*(1+$C$26))</f>
        <v>1270.5</v>
      </c>
      <c r="AG35" s="65" t="n">
        <f aca="false">IF(29&lt;$C$12,0,$K$12*$F$12*(1+$C$26))</f>
        <v>1270.5</v>
      </c>
      <c r="AH35" s="65" t="n">
        <f aca="false">IF(30&lt;$C$12,0,$K$12*$F$12*(1+$C$26))</f>
        <v>1270.5</v>
      </c>
      <c r="AI35" s="65" t="n">
        <f aca="false">IF(31&lt;$C$12,0,$K$12*$F$12*(1+$C$26))</f>
        <v>1270.5</v>
      </c>
      <c r="AJ35" s="65" t="n">
        <f aca="false">IF(32&lt;$C$12,0,$K$12*$F$12*(1+$C$26))</f>
        <v>1270.5</v>
      </c>
      <c r="AK35" s="65" t="n">
        <f aca="false">IF(33&lt;$C$12,0,$K$12*$F$12*(1+$C$26))</f>
        <v>1270.5</v>
      </c>
      <c r="AL35" s="65" t="n">
        <f aca="false">IF(34&lt;$C$12,0,$K$12*$F$12*(1+$C$26))</f>
        <v>1270.5</v>
      </c>
      <c r="AM35" s="65" t="n">
        <f aca="false">IF(35&lt;$C$12,0,$K$12*$F$12*(1+$C$26))</f>
        <v>1270.5</v>
      </c>
      <c r="AN35" s="65" t="n">
        <f aca="false">IF(36&lt;$C$12,0,$K$12*$F$12*(1+$C$26))</f>
        <v>1270.5</v>
      </c>
      <c r="AO35" s="64" t="n">
        <f aca="false">SUM(AP35:BA35)</f>
        <v>16632</v>
      </c>
      <c r="AP35" s="65" t="n">
        <f aca="false">IF(37&lt;$C$12,0,$L$12*$G$12*(1+$C$26))</f>
        <v>1386</v>
      </c>
      <c r="AQ35" s="65" t="n">
        <f aca="false">IF(38&lt;$C$12,0,$L$12*$G$12*(1+$C$26))</f>
        <v>1386</v>
      </c>
      <c r="AR35" s="65" t="n">
        <f aca="false">IF(39&lt;$C$12,0,$L$12*$G$12*(1+$C$26))</f>
        <v>1386</v>
      </c>
      <c r="AS35" s="65" t="n">
        <f aca="false">IF(40&lt;$C$12,0,$L$12*$G$12*(1+$C$26))</f>
        <v>1386</v>
      </c>
      <c r="AT35" s="65" t="n">
        <f aca="false">IF(41&lt;$C$12,0,$L$12*$G$12*(1+$C$26))</f>
        <v>1386</v>
      </c>
      <c r="AU35" s="65" t="n">
        <f aca="false">IF(42&lt;$C$12,0,$L$12*$G$12*(1+$C$26))</f>
        <v>1386</v>
      </c>
      <c r="AV35" s="65" t="n">
        <f aca="false">IF(43&lt;$C$12,0,$L$12*$G$12*(1+$C$26))</f>
        <v>1386</v>
      </c>
      <c r="AW35" s="65" t="n">
        <f aca="false">IF(44&lt;$C$12,0,$L$12*$G$12*(1+$C$26))</f>
        <v>1386</v>
      </c>
      <c r="AX35" s="65" t="n">
        <f aca="false">IF(45&lt;$C$12,0,$L$12*$G$12*(1+$C$26))</f>
        <v>1386</v>
      </c>
      <c r="AY35" s="65" t="n">
        <f aca="false">IF(46&lt;$C$12,0,$L$12*$G$12*(1+$C$26))</f>
        <v>1386</v>
      </c>
      <c r="AZ35" s="65" t="n">
        <f aca="false">IF(47&lt;$C$12,0,$L$12*$G$12*(1+$C$26))</f>
        <v>1386</v>
      </c>
      <c r="BA35" s="65" t="n">
        <f aca="false">IF(48&lt;$C$12,0,$L$12*$G$12*(1+$C$26))</f>
        <v>1386</v>
      </c>
      <c r="BB35" s="64" t="n">
        <f aca="false">SUM(BC35:BN35)</f>
        <v>18018</v>
      </c>
      <c r="BC35" s="65" t="n">
        <f aca="false">IF(49&lt;$C$12,0,$M$12*$H$12*(1+$C$26))</f>
        <v>1501.5</v>
      </c>
      <c r="BD35" s="65" t="n">
        <f aca="false">IF(50&lt;$C$12,0,$M$12*$H$12*(1+$C$26))</f>
        <v>1501.5</v>
      </c>
      <c r="BE35" s="65" t="n">
        <f aca="false">IF(51&lt;$C$12,0,$M$12*$H$12*(1+$C$26))</f>
        <v>1501.5</v>
      </c>
      <c r="BF35" s="65" t="n">
        <f aca="false">IF(52&lt;$C$12,0,$M$12*$H$12*(1+$C$26))</f>
        <v>1501.5</v>
      </c>
      <c r="BG35" s="65" t="n">
        <f aca="false">IF(53&lt;$C$12,0,$M$12*$H$12*(1+$C$26))</f>
        <v>1501.5</v>
      </c>
      <c r="BH35" s="65" t="n">
        <f aca="false">IF(54&lt;$C$12,0,$M$12*$H$12*(1+$C$26))</f>
        <v>1501.5</v>
      </c>
      <c r="BI35" s="65" t="n">
        <f aca="false">IF(55&lt;$C$12,0,$M$12*$H$12*(1+$C$26))</f>
        <v>1501.5</v>
      </c>
      <c r="BJ35" s="65" t="n">
        <f aca="false">IF(56&lt;$C$12,0,$M$12*$H$12*(1+$C$26))</f>
        <v>1501.5</v>
      </c>
      <c r="BK35" s="65" t="n">
        <f aca="false">IF(57&lt;$C$12,0,$M$12*$H$12*(1+$C$26))</f>
        <v>1501.5</v>
      </c>
      <c r="BL35" s="65" t="n">
        <f aca="false">IF(58&lt;$C$12,0,$M$12*$H$12*(1+$C$26))</f>
        <v>1501.5</v>
      </c>
      <c r="BM35" s="65" t="n">
        <f aca="false">IF(59&lt;$C$12,0,$M$12*$H$12*(1+$C$26))</f>
        <v>1501.5</v>
      </c>
      <c r="BN35" s="65" t="n">
        <f aca="false">IF(60&lt;$C$12,0,$M$12*$H$12*(1+$C$26))</f>
        <v>1501.5</v>
      </c>
    </row>
    <row r="36" customFormat="false" ht="15" hidden="false" customHeight="false" outlineLevel="0" collapsed="false">
      <c r="A36" s="12" t="s">
        <v>766</v>
      </c>
      <c r="B36" s="64" t="n">
        <f aca="false">SUM(C36:N36)</f>
        <v>0</v>
      </c>
      <c r="C36" s="65" t="n">
        <f aca="false">IF(1&lt;$C$13,0,$I$13*$D$13*(1+$C$26))</f>
        <v>0</v>
      </c>
      <c r="D36" s="65" t="n">
        <f aca="false">IF(2&lt;$C$13,0,$I$13*$D$13*(1+$C$26))</f>
        <v>0</v>
      </c>
      <c r="E36" s="65" t="n">
        <f aca="false">IF(3&lt;$C$13,0,$I$13*$D$13*(1+$C$26))</f>
        <v>0</v>
      </c>
      <c r="F36" s="65" t="n">
        <f aca="false">IF(4&lt;$C$13,0,$I$13*$D$13*(1+$C$26))</f>
        <v>0</v>
      </c>
      <c r="G36" s="65" t="n">
        <f aca="false">IF(5&lt;$C$13,0,$I$13*$D$13*(1+$C$26))</f>
        <v>0</v>
      </c>
      <c r="H36" s="65" t="n">
        <f aca="false">IF(6&lt;$C$13,0,$I$13*$D$13*(1+$C$26))</f>
        <v>0</v>
      </c>
      <c r="I36" s="65" t="n">
        <f aca="false">IF(7&lt;$C$13,0,$I$13*$D$13*(1+$C$26))</f>
        <v>0</v>
      </c>
      <c r="J36" s="65" t="n">
        <f aca="false">IF(8&lt;$C$13,0,$I$13*$D$13*(1+$C$26))</f>
        <v>0</v>
      </c>
      <c r="K36" s="65" t="n">
        <f aca="false">IF(9&lt;$C$13,0,$I$13*$D$13*(1+$C$26))</f>
        <v>0</v>
      </c>
      <c r="L36" s="65" t="n">
        <f aca="false">IF(10&lt;$C$13,0,$I$13*$D$13*(1+$C$26))</f>
        <v>0</v>
      </c>
      <c r="M36" s="65" t="n">
        <f aca="false">IF(11&lt;$C$13,0,$I$13*$D$13*(1+$C$26))</f>
        <v>0</v>
      </c>
      <c r="N36" s="65" t="n">
        <f aca="false">IF(12&lt;$C$13,0,$I$13*$D$13*(1+$C$26))</f>
        <v>0</v>
      </c>
      <c r="O36" s="64" t="n">
        <f aca="false">SUM(P36:AA36)</f>
        <v>0</v>
      </c>
      <c r="P36" s="65" t="n">
        <f aca="false">IF(13&lt;$C$13,0,$J$13*$E$13*(1+$C$26))</f>
        <v>0</v>
      </c>
      <c r="Q36" s="65" t="n">
        <f aca="false">IF(14&lt;$C$13,0,$J$13*$E$13*(1+$C$26))</f>
        <v>0</v>
      </c>
      <c r="R36" s="65" t="n">
        <f aca="false">IF(15&lt;$C$13,0,$J$13*$E$13*(1+$C$26))</f>
        <v>0</v>
      </c>
      <c r="S36" s="65" t="n">
        <f aca="false">IF(16&lt;$C$13,0,$J$13*$E$13*(1+$C$26))</f>
        <v>0</v>
      </c>
      <c r="T36" s="65" t="n">
        <f aca="false">IF(17&lt;$C$13,0,$J$13*$E$13*(1+$C$26))</f>
        <v>0</v>
      </c>
      <c r="U36" s="65" t="n">
        <f aca="false">IF(18&lt;$C$13,0,$J$13*$E$13*(1+$C$26))</f>
        <v>0</v>
      </c>
      <c r="V36" s="65" t="n">
        <f aca="false">IF(19&lt;$C$13,0,$J$13*$E$13*(1+$C$26))</f>
        <v>0</v>
      </c>
      <c r="W36" s="65" t="n">
        <f aca="false">IF(20&lt;$C$13,0,$J$13*$E$13*(1+$C$26))</f>
        <v>0</v>
      </c>
      <c r="X36" s="65" t="n">
        <f aca="false">IF(21&lt;$C$13,0,$J$13*$E$13*(1+$C$26))</f>
        <v>0</v>
      </c>
      <c r="Y36" s="65" t="n">
        <f aca="false">IF(22&lt;$C$13,0,$J$13*$E$13*(1+$C$26))</f>
        <v>0</v>
      </c>
      <c r="Z36" s="65" t="n">
        <f aca="false">IF(23&lt;$C$13,0,$J$13*$E$13*(1+$C$26))</f>
        <v>0</v>
      </c>
      <c r="AA36" s="65" t="n">
        <f aca="false">IF(24&lt;$C$13,0,$J$13*$E$13*(1+$C$26))</f>
        <v>0</v>
      </c>
      <c r="AB36" s="64" t="n">
        <f aca="false">SUM(AC36:AN36)</f>
        <v>30492</v>
      </c>
      <c r="AC36" s="65" t="n">
        <f aca="false">IF(25&lt;$C$13,0,$K$13*$F$13*(1+$C$26))</f>
        <v>2541</v>
      </c>
      <c r="AD36" s="65" t="n">
        <f aca="false">IF(26&lt;$C$13,0,$K$13*$F$13*(1+$C$26))</f>
        <v>2541</v>
      </c>
      <c r="AE36" s="65" t="n">
        <f aca="false">IF(27&lt;$C$13,0,$K$13*$F$13*(1+$C$26))</f>
        <v>2541</v>
      </c>
      <c r="AF36" s="65" t="n">
        <f aca="false">IF(28&lt;$C$13,0,$K$13*$F$13*(1+$C$26))</f>
        <v>2541</v>
      </c>
      <c r="AG36" s="65" t="n">
        <f aca="false">IF(29&lt;$C$13,0,$K$13*$F$13*(1+$C$26))</f>
        <v>2541</v>
      </c>
      <c r="AH36" s="65" t="n">
        <f aca="false">IF(30&lt;$C$13,0,$K$13*$F$13*(1+$C$26))</f>
        <v>2541</v>
      </c>
      <c r="AI36" s="65" t="n">
        <f aca="false">IF(31&lt;$C$13,0,$K$13*$F$13*(1+$C$26))</f>
        <v>2541</v>
      </c>
      <c r="AJ36" s="65" t="n">
        <f aca="false">IF(32&lt;$C$13,0,$K$13*$F$13*(1+$C$26))</f>
        <v>2541</v>
      </c>
      <c r="AK36" s="65" t="n">
        <f aca="false">IF(33&lt;$C$13,0,$K$13*$F$13*(1+$C$26))</f>
        <v>2541</v>
      </c>
      <c r="AL36" s="65" t="n">
        <f aca="false">IF(34&lt;$C$13,0,$K$13*$F$13*(1+$C$26))</f>
        <v>2541</v>
      </c>
      <c r="AM36" s="65" t="n">
        <f aca="false">IF(35&lt;$C$13,0,$K$13*$F$13*(1+$C$26))</f>
        <v>2541</v>
      </c>
      <c r="AN36" s="65" t="n">
        <f aca="false">IF(36&lt;$C$13,0,$K$13*$F$13*(1+$C$26))</f>
        <v>2541</v>
      </c>
      <c r="AO36" s="64" t="n">
        <f aca="false">SUM(AP36:BA36)</f>
        <v>33264</v>
      </c>
      <c r="AP36" s="65" t="n">
        <f aca="false">IF(37&lt;$C$13,0,$L$13*$G$13*(1+$C$26))</f>
        <v>2772</v>
      </c>
      <c r="AQ36" s="65" t="n">
        <f aca="false">IF(38&lt;$C$13,0,$L$13*$G$13*(1+$C$26))</f>
        <v>2772</v>
      </c>
      <c r="AR36" s="65" t="n">
        <f aca="false">IF(39&lt;$C$13,0,$L$13*$G$13*(1+$C$26))</f>
        <v>2772</v>
      </c>
      <c r="AS36" s="65" t="n">
        <f aca="false">IF(40&lt;$C$13,0,$L$13*$G$13*(1+$C$26))</f>
        <v>2772</v>
      </c>
      <c r="AT36" s="65" t="n">
        <f aca="false">IF(41&lt;$C$13,0,$L$13*$G$13*(1+$C$26))</f>
        <v>2772</v>
      </c>
      <c r="AU36" s="65" t="n">
        <f aca="false">IF(42&lt;$C$13,0,$L$13*$G$13*(1+$C$26))</f>
        <v>2772</v>
      </c>
      <c r="AV36" s="65" t="n">
        <f aca="false">IF(43&lt;$C$13,0,$L$13*$G$13*(1+$C$26))</f>
        <v>2772</v>
      </c>
      <c r="AW36" s="65" t="n">
        <f aca="false">IF(44&lt;$C$13,0,$L$13*$G$13*(1+$C$26))</f>
        <v>2772</v>
      </c>
      <c r="AX36" s="65" t="n">
        <f aca="false">IF(45&lt;$C$13,0,$L$13*$G$13*(1+$C$26))</f>
        <v>2772</v>
      </c>
      <c r="AY36" s="65" t="n">
        <f aca="false">IF(46&lt;$C$13,0,$L$13*$G$13*(1+$C$26))</f>
        <v>2772</v>
      </c>
      <c r="AZ36" s="65" t="n">
        <f aca="false">IF(47&lt;$C$13,0,$L$13*$G$13*(1+$C$26))</f>
        <v>2772</v>
      </c>
      <c r="BA36" s="65" t="n">
        <f aca="false">IF(48&lt;$C$13,0,$L$13*$G$13*(1+$C$26))</f>
        <v>2772</v>
      </c>
      <c r="BB36" s="64" t="n">
        <f aca="false">SUM(BC36:BN36)</f>
        <v>34650</v>
      </c>
      <c r="BC36" s="65" t="n">
        <f aca="false">IF(49&lt;$C$13,0,$M$13*$H$13*(1+$C$26))</f>
        <v>2887.5</v>
      </c>
      <c r="BD36" s="65" t="n">
        <f aca="false">IF(50&lt;$C$13,0,$M$13*$H$13*(1+$C$26))</f>
        <v>2887.5</v>
      </c>
      <c r="BE36" s="65" t="n">
        <f aca="false">IF(51&lt;$C$13,0,$M$13*$H$13*(1+$C$26))</f>
        <v>2887.5</v>
      </c>
      <c r="BF36" s="65" t="n">
        <f aca="false">IF(52&lt;$C$13,0,$M$13*$H$13*(1+$C$26))</f>
        <v>2887.5</v>
      </c>
      <c r="BG36" s="65" t="n">
        <f aca="false">IF(53&lt;$C$13,0,$M$13*$H$13*(1+$C$26))</f>
        <v>2887.5</v>
      </c>
      <c r="BH36" s="65" t="n">
        <f aca="false">IF(54&lt;$C$13,0,$M$13*$H$13*(1+$C$26))</f>
        <v>2887.5</v>
      </c>
      <c r="BI36" s="65" t="n">
        <f aca="false">IF(55&lt;$C$13,0,$M$13*$H$13*(1+$C$26))</f>
        <v>2887.5</v>
      </c>
      <c r="BJ36" s="65" t="n">
        <f aca="false">IF(56&lt;$C$13,0,$M$13*$H$13*(1+$C$26))</f>
        <v>2887.5</v>
      </c>
      <c r="BK36" s="65" t="n">
        <f aca="false">IF(57&lt;$C$13,0,$M$13*$H$13*(1+$C$26))</f>
        <v>2887.5</v>
      </c>
      <c r="BL36" s="65" t="n">
        <f aca="false">IF(58&lt;$C$13,0,$M$13*$H$13*(1+$C$26))</f>
        <v>2887.5</v>
      </c>
      <c r="BM36" s="65" t="n">
        <f aca="false">IF(59&lt;$C$13,0,$M$13*$H$13*(1+$C$26))</f>
        <v>2887.5</v>
      </c>
      <c r="BN36" s="65" t="n">
        <f aca="false">IF(60&lt;$C$13,0,$M$13*$H$13*(1+$C$26))</f>
        <v>2887.5</v>
      </c>
    </row>
    <row r="37" customFormat="false" ht="15" hidden="false" customHeight="false" outlineLevel="0" collapsed="false">
      <c r="A37" s="12" t="s">
        <v>767</v>
      </c>
      <c r="B37" s="64" t="n">
        <f aca="false">SUM(C37:N37)</f>
        <v>0</v>
      </c>
      <c r="C37" s="65" t="n">
        <f aca="false">IF(1&lt;$C$14,0,$I$14*$D$14*(1+$C$26))</f>
        <v>0</v>
      </c>
      <c r="D37" s="65" t="n">
        <f aca="false">IF(2&lt;$C$14,0,$I$14*$D$14*(1+$C$26))</f>
        <v>0</v>
      </c>
      <c r="E37" s="65" t="n">
        <f aca="false">IF(3&lt;$C$14,0,$I$14*$D$14*(1+$C$26))</f>
        <v>0</v>
      </c>
      <c r="F37" s="65" t="n">
        <f aca="false">IF(4&lt;$C$14,0,$I$14*$D$14*(1+$C$26))</f>
        <v>0</v>
      </c>
      <c r="G37" s="65" t="n">
        <f aca="false">IF(5&lt;$C$14,0,$I$14*$D$14*(1+$C$26))</f>
        <v>0</v>
      </c>
      <c r="H37" s="65" t="n">
        <f aca="false">IF(6&lt;$C$14,0,$I$14*$D$14*(1+$C$26))</f>
        <v>0</v>
      </c>
      <c r="I37" s="65" t="n">
        <f aca="false">IF(7&lt;$C$14,0,$I$14*$D$14*(1+$C$26))</f>
        <v>0</v>
      </c>
      <c r="J37" s="65" t="n">
        <f aca="false">IF(8&lt;$C$14,0,$I$14*$D$14*(1+$C$26))</f>
        <v>0</v>
      </c>
      <c r="K37" s="65" t="n">
        <f aca="false">IF(9&lt;$C$14,0,$I$14*$D$14*(1+$C$26))</f>
        <v>0</v>
      </c>
      <c r="L37" s="65" t="n">
        <f aca="false">IF(10&lt;$C$14,0,$I$14*$D$14*(1+$C$26))</f>
        <v>0</v>
      </c>
      <c r="M37" s="65" t="n">
        <f aca="false">IF(11&lt;$C$14,0,$I$14*$D$14*(1+$C$26))</f>
        <v>0</v>
      </c>
      <c r="N37" s="65" t="n">
        <f aca="false">IF(12&lt;$C$14,0,$I$14*$D$14*(1+$C$26))</f>
        <v>0</v>
      </c>
      <c r="O37" s="64" t="n">
        <f aca="false">SUM(P37:AA37)</f>
        <v>0</v>
      </c>
      <c r="P37" s="65" t="n">
        <f aca="false">IF(13&lt;$C$14,0,$J$14*$E$14*(1+$C$26))</f>
        <v>0</v>
      </c>
      <c r="Q37" s="65" t="n">
        <f aca="false">IF(14&lt;$C$14,0,$J$14*$E$14*(1+$C$26))</f>
        <v>0</v>
      </c>
      <c r="R37" s="65" t="n">
        <f aca="false">IF(15&lt;$C$14,0,$J$14*$E$14*(1+$C$26))</f>
        <v>0</v>
      </c>
      <c r="S37" s="65" t="n">
        <f aca="false">IF(16&lt;$C$14,0,$J$14*$E$14*(1+$C$26))</f>
        <v>0</v>
      </c>
      <c r="T37" s="65" t="n">
        <f aca="false">IF(17&lt;$C$14,0,$J$14*$E$14*(1+$C$26))</f>
        <v>0</v>
      </c>
      <c r="U37" s="65" t="n">
        <f aca="false">IF(18&lt;$C$14,0,$J$14*$E$14*(1+$C$26))</f>
        <v>0</v>
      </c>
      <c r="V37" s="65" t="n">
        <f aca="false">IF(19&lt;$C$14,0,$J$14*$E$14*(1+$C$26))</f>
        <v>0</v>
      </c>
      <c r="W37" s="65" t="n">
        <f aca="false">IF(20&lt;$C$14,0,$J$14*$E$14*(1+$C$26))</f>
        <v>0</v>
      </c>
      <c r="X37" s="65" t="n">
        <f aca="false">IF(21&lt;$C$14,0,$J$14*$E$14*(1+$C$26))</f>
        <v>0</v>
      </c>
      <c r="Y37" s="65" t="n">
        <f aca="false">IF(22&lt;$C$14,0,$J$14*$E$14*(1+$C$26))</f>
        <v>0</v>
      </c>
      <c r="Z37" s="65" t="n">
        <f aca="false">IF(23&lt;$C$14,0,$J$14*$E$14*(1+$C$26))</f>
        <v>0</v>
      </c>
      <c r="AA37" s="65" t="n">
        <f aca="false">IF(24&lt;$C$14,0,$J$14*$E$14*(1+$C$26))</f>
        <v>0</v>
      </c>
      <c r="AB37" s="64" t="n">
        <f aca="false">SUM(AC37:AN37)</f>
        <v>0</v>
      </c>
      <c r="AC37" s="65" t="n">
        <f aca="false">IF(25&lt;$C$14,0,$K$14*$F$14*(1+$C$26))</f>
        <v>0</v>
      </c>
      <c r="AD37" s="65" t="n">
        <f aca="false">IF(26&lt;$C$14,0,$K$14*$F$14*(1+$C$26))</f>
        <v>0</v>
      </c>
      <c r="AE37" s="65" t="n">
        <f aca="false">IF(27&lt;$C$14,0,$K$14*$F$14*(1+$C$26))</f>
        <v>0</v>
      </c>
      <c r="AF37" s="65" t="n">
        <f aca="false">IF(28&lt;$C$14,0,$K$14*$F$14*(1+$C$26))</f>
        <v>0</v>
      </c>
      <c r="AG37" s="65" t="n">
        <f aca="false">IF(29&lt;$C$14,0,$K$14*$F$14*(1+$C$26))</f>
        <v>0</v>
      </c>
      <c r="AH37" s="65" t="n">
        <f aca="false">IF(30&lt;$C$14,0,$K$14*$F$14*(1+$C$26))</f>
        <v>0</v>
      </c>
      <c r="AI37" s="65" t="n">
        <f aca="false">IF(31&lt;$C$14,0,$K$14*$F$14*(1+$C$26))</f>
        <v>0</v>
      </c>
      <c r="AJ37" s="65" t="n">
        <f aca="false">IF(32&lt;$C$14,0,$K$14*$F$14*(1+$C$26))</f>
        <v>0</v>
      </c>
      <c r="AK37" s="65" t="n">
        <f aca="false">IF(33&lt;$C$14,0,$K$14*$F$14*(1+$C$26))</f>
        <v>0</v>
      </c>
      <c r="AL37" s="65" t="n">
        <f aca="false">IF(34&lt;$C$14,0,$K$14*$F$14*(1+$C$26))</f>
        <v>0</v>
      </c>
      <c r="AM37" s="65" t="n">
        <f aca="false">IF(35&lt;$C$14,0,$K$14*$F$14*(1+$C$26))</f>
        <v>0</v>
      </c>
      <c r="AN37" s="65" t="n">
        <f aca="false">IF(36&lt;$C$14,0,$K$14*$F$14*(1+$C$26))</f>
        <v>0</v>
      </c>
      <c r="AO37" s="64" t="n">
        <f aca="false">SUM(AP37:BA37)</f>
        <v>0</v>
      </c>
      <c r="AP37" s="65" t="n">
        <f aca="false">IF(37&lt;$C$14,0,$L$14*$G$14*(1+$C$26))</f>
        <v>0</v>
      </c>
      <c r="AQ37" s="65" t="n">
        <f aca="false">IF(38&lt;$C$14,0,$L$14*$G$14*(1+$C$26))</f>
        <v>0</v>
      </c>
      <c r="AR37" s="65" t="n">
        <f aca="false">IF(39&lt;$C$14,0,$L$14*$G$14*(1+$C$26))</f>
        <v>0</v>
      </c>
      <c r="AS37" s="65" t="n">
        <f aca="false">IF(40&lt;$C$14,0,$L$14*$G$14*(1+$C$26))</f>
        <v>0</v>
      </c>
      <c r="AT37" s="65" t="n">
        <f aca="false">IF(41&lt;$C$14,0,$L$14*$G$14*(1+$C$26))</f>
        <v>0</v>
      </c>
      <c r="AU37" s="65" t="n">
        <f aca="false">IF(42&lt;$C$14,0,$L$14*$G$14*(1+$C$26))</f>
        <v>0</v>
      </c>
      <c r="AV37" s="65" t="n">
        <f aca="false">IF(43&lt;$C$14,0,$L$14*$G$14*(1+$C$26))</f>
        <v>0</v>
      </c>
      <c r="AW37" s="65" t="n">
        <f aca="false">IF(44&lt;$C$14,0,$L$14*$G$14*(1+$C$26))</f>
        <v>0</v>
      </c>
      <c r="AX37" s="65" t="n">
        <f aca="false">IF(45&lt;$C$14,0,$L$14*$G$14*(1+$C$26))</f>
        <v>0</v>
      </c>
      <c r="AY37" s="65" t="n">
        <f aca="false">IF(46&lt;$C$14,0,$L$14*$G$14*(1+$C$26))</f>
        <v>0</v>
      </c>
      <c r="AZ37" s="65" t="n">
        <f aca="false">IF(47&lt;$C$14,0,$L$14*$G$14*(1+$C$26))</f>
        <v>0</v>
      </c>
      <c r="BA37" s="65" t="n">
        <f aca="false">IF(48&lt;$C$14,0,$L$14*$G$14*(1+$C$26))</f>
        <v>0</v>
      </c>
      <c r="BB37" s="64" t="n">
        <f aca="false">SUM(BC37:BN37)</f>
        <v>13860</v>
      </c>
      <c r="BC37" s="65" t="n">
        <f aca="false">IF(49&lt;$C$14,0,$M$14*$H$14*(1+$C$26))</f>
        <v>1155</v>
      </c>
      <c r="BD37" s="65" t="n">
        <f aca="false">IF(50&lt;$C$14,0,$M$14*$H$14*(1+$C$26))</f>
        <v>1155</v>
      </c>
      <c r="BE37" s="65" t="n">
        <f aca="false">IF(51&lt;$C$14,0,$M$14*$H$14*(1+$C$26))</f>
        <v>1155</v>
      </c>
      <c r="BF37" s="65" t="n">
        <f aca="false">IF(52&lt;$C$14,0,$M$14*$H$14*(1+$C$26))</f>
        <v>1155</v>
      </c>
      <c r="BG37" s="65" t="n">
        <f aca="false">IF(53&lt;$C$14,0,$M$14*$H$14*(1+$C$26))</f>
        <v>1155</v>
      </c>
      <c r="BH37" s="65" t="n">
        <f aca="false">IF(54&lt;$C$14,0,$M$14*$H$14*(1+$C$26))</f>
        <v>1155</v>
      </c>
      <c r="BI37" s="65" t="n">
        <f aca="false">IF(55&lt;$C$14,0,$M$14*$H$14*(1+$C$26))</f>
        <v>1155</v>
      </c>
      <c r="BJ37" s="65" t="n">
        <f aca="false">IF(56&lt;$C$14,0,$M$14*$H$14*(1+$C$26))</f>
        <v>1155</v>
      </c>
      <c r="BK37" s="65" t="n">
        <f aca="false">IF(57&lt;$C$14,0,$M$14*$H$14*(1+$C$26))</f>
        <v>1155</v>
      </c>
      <c r="BL37" s="65" t="n">
        <f aca="false">IF(58&lt;$C$14,0,$M$14*$H$14*(1+$C$26))</f>
        <v>1155</v>
      </c>
      <c r="BM37" s="65" t="n">
        <f aca="false">IF(59&lt;$C$14,0,$M$14*$H$14*(1+$C$26))</f>
        <v>1155</v>
      </c>
      <c r="BN37" s="65" t="n">
        <f aca="false">IF(60&lt;$C$14,0,$M$14*$H$14*(1+$C$26))</f>
        <v>1155</v>
      </c>
    </row>
    <row r="38" customFormat="false" ht="15" hidden="false" customHeight="false" outlineLevel="0" collapsed="false">
      <c r="A38" s="12" t="s">
        <v>768</v>
      </c>
      <c r="B38" s="64" t="n">
        <f aca="false">SUM(C38:N38)</f>
        <v>8316</v>
      </c>
      <c r="C38" s="65" t="n">
        <f aca="false">IF(1&lt;$C$15,0,$I$15*$D$15*(1+$C$26))</f>
        <v>693</v>
      </c>
      <c r="D38" s="65" t="n">
        <f aca="false">IF(2&lt;$C$15,0,$I$15*$D$15*(1+$C$26))</f>
        <v>693</v>
      </c>
      <c r="E38" s="65" t="n">
        <f aca="false">IF(3&lt;$C$15,0,$I$15*$D$15*(1+$C$26))</f>
        <v>693</v>
      </c>
      <c r="F38" s="65" t="n">
        <f aca="false">IF(4&lt;$C$15,0,$I$15*$D$15*(1+$C$26))</f>
        <v>693</v>
      </c>
      <c r="G38" s="65" t="n">
        <f aca="false">IF(5&lt;$C$15,0,$I$15*$D$15*(1+$C$26))</f>
        <v>693</v>
      </c>
      <c r="H38" s="65" t="n">
        <f aca="false">IF(6&lt;$C$15,0,$I$15*$D$15*(1+$C$26))</f>
        <v>693</v>
      </c>
      <c r="I38" s="65" t="n">
        <f aca="false">IF(7&lt;$C$15,0,$I$15*$D$15*(1+$C$26))</f>
        <v>693</v>
      </c>
      <c r="J38" s="65" t="n">
        <f aca="false">IF(8&lt;$C$15,0,$I$15*$D$15*(1+$C$26))</f>
        <v>693</v>
      </c>
      <c r="K38" s="65" t="n">
        <f aca="false">IF(9&lt;$C$15,0,$I$15*$D$15*(1+$C$26))</f>
        <v>693</v>
      </c>
      <c r="L38" s="65" t="n">
        <f aca="false">IF(10&lt;$C$15,0,$I$15*$D$15*(1+$C$26))</f>
        <v>693</v>
      </c>
      <c r="M38" s="65" t="n">
        <f aca="false">IF(11&lt;$C$15,0,$I$15*$D$15*(1+$C$26))</f>
        <v>693</v>
      </c>
      <c r="N38" s="65" t="n">
        <f aca="false">IF(12&lt;$C$15,0,$I$15*$D$15*(1+$C$26))</f>
        <v>693</v>
      </c>
      <c r="O38" s="64" t="n">
        <f aca="false">SUM(P38:AA38)</f>
        <v>11088</v>
      </c>
      <c r="P38" s="65" t="n">
        <f aca="false">IF(13&lt;$C$15,0,$J$15*$E$15*(1+$C$26))</f>
        <v>924</v>
      </c>
      <c r="Q38" s="65" t="n">
        <f aca="false">IF(14&lt;$C$15,0,$J$15*$E$15*(1+$C$26))</f>
        <v>924</v>
      </c>
      <c r="R38" s="65" t="n">
        <f aca="false">IF(15&lt;$C$15,0,$J$15*$E$15*(1+$C$26))</f>
        <v>924</v>
      </c>
      <c r="S38" s="65" t="n">
        <f aca="false">IF(16&lt;$C$15,0,$J$15*$E$15*(1+$C$26))</f>
        <v>924</v>
      </c>
      <c r="T38" s="65" t="n">
        <f aca="false">IF(17&lt;$C$15,0,$J$15*$E$15*(1+$C$26))</f>
        <v>924</v>
      </c>
      <c r="U38" s="65" t="n">
        <f aca="false">IF(18&lt;$C$15,0,$J$15*$E$15*(1+$C$26))</f>
        <v>924</v>
      </c>
      <c r="V38" s="65" t="n">
        <f aca="false">IF(19&lt;$C$15,0,$J$15*$E$15*(1+$C$26))</f>
        <v>924</v>
      </c>
      <c r="W38" s="65" t="n">
        <f aca="false">IF(20&lt;$C$15,0,$J$15*$E$15*(1+$C$26))</f>
        <v>924</v>
      </c>
      <c r="X38" s="65" t="n">
        <f aca="false">IF(21&lt;$C$15,0,$J$15*$E$15*(1+$C$26))</f>
        <v>924</v>
      </c>
      <c r="Y38" s="65" t="n">
        <f aca="false">IF(22&lt;$C$15,0,$J$15*$E$15*(1+$C$26))</f>
        <v>924</v>
      </c>
      <c r="Z38" s="65" t="n">
        <f aca="false">IF(23&lt;$C$15,0,$J$15*$E$15*(1+$C$26))</f>
        <v>924</v>
      </c>
      <c r="AA38" s="65" t="n">
        <f aca="false">IF(24&lt;$C$15,0,$J$15*$E$15*(1+$C$26))</f>
        <v>924</v>
      </c>
      <c r="AB38" s="64" t="n">
        <f aca="false">SUM(AC38:AN38)</f>
        <v>13860</v>
      </c>
      <c r="AC38" s="65" t="n">
        <f aca="false">IF(25&lt;$C$15,0,$K$15*$F$15*(1+$C$26))</f>
        <v>1155</v>
      </c>
      <c r="AD38" s="65" t="n">
        <f aca="false">IF(26&lt;$C$15,0,$K$15*$F$15*(1+$C$26))</f>
        <v>1155</v>
      </c>
      <c r="AE38" s="65" t="n">
        <f aca="false">IF(27&lt;$C$15,0,$K$15*$F$15*(1+$C$26))</f>
        <v>1155</v>
      </c>
      <c r="AF38" s="65" t="n">
        <f aca="false">IF(28&lt;$C$15,0,$K$15*$F$15*(1+$C$26))</f>
        <v>1155</v>
      </c>
      <c r="AG38" s="65" t="n">
        <f aca="false">IF(29&lt;$C$15,0,$K$15*$F$15*(1+$C$26))</f>
        <v>1155</v>
      </c>
      <c r="AH38" s="65" t="n">
        <f aca="false">IF(30&lt;$C$15,0,$K$15*$F$15*(1+$C$26))</f>
        <v>1155</v>
      </c>
      <c r="AI38" s="65" t="n">
        <f aca="false">IF(31&lt;$C$15,0,$K$15*$F$15*(1+$C$26))</f>
        <v>1155</v>
      </c>
      <c r="AJ38" s="65" t="n">
        <f aca="false">IF(32&lt;$C$15,0,$K$15*$F$15*(1+$C$26))</f>
        <v>1155</v>
      </c>
      <c r="AK38" s="65" t="n">
        <f aca="false">IF(33&lt;$C$15,0,$K$15*$F$15*(1+$C$26))</f>
        <v>1155</v>
      </c>
      <c r="AL38" s="65" t="n">
        <f aca="false">IF(34&lt;$C$15,0,$K$15*$F$15*(1+$C$26))</f>
        <v>1155</v>
      </c>
      <c r="AM38" s="65" t="n">
        <f aca="false">IF(35&lt;$C$15,0,$K$15*$F$15*(1+$C$26))</f>
        <v>1155</v>
      </c>
      <c r="AN38" s="65" t="n">
        <f aca="false">IF(36&lt;$C$15,0,$K$15*$F$15*(1+$C$26))</f>
        <v>1155</v>
      </c>
      <c r="AO38" s="64" t="n">
        <f aca="false">SUM(AP38:BA38)</f>
        <v>15246</v>
      </c>
      <c r="AP38" s="65" t="n">
        <f aca="false">IF(37&lt;$C$15,0,$L$15*$G$15*(1+$C$26))</f>
        <v>1270.5</v>
      </c>
      <c r="AQ38" s="65" t="n">
        <f aca="false">IF(38&lt;$C$15,0,$L$15*$G$15*(1+$C$26))</f>
        <v>1270.5</v>
      </c>
      <c r="AR38" s="65" t="n">
        <f aca="false">IF(39&lt;$C$15,0,$L$15*$G$15*(1+$C$26))</f>
        <v>1270.5</v>
      </c>
      <c r="AS38" s="65" t="n">
        <f aca="false">IF(40&lt;$C$15,0,$L$15*$G$15*(1+$C$26))</f>
        <v>1270.5</v>
      </c>
      <c r="AT38" s="65" t="n">
        <f aca="false">IF(41&lt;$C$15,0,$L$15*$G$15*(1+$C$26))</f>
        <v>1270.5</v>
      </c>
      <c r="AU38" s="65" t="n">
        <f aca="false">IF(42&lt;$C$15,0,$L$15*$G$15*(1+$C$26))</f>
        <v>1270.5</v>
      </c>
      <c r="AV38" s="65" t="n">
        <f aca="false">IF(43&lt;$C$15,0,$L$15*$G$15*(1+$C$26))</f>
        <v>1270.5</v>
      </c>
      <c r="AW38" s="65" t="n">
        <f aca="false">IF(44&lt;$C$15,0,$L$15*$G$15*(1+$C$26))</f>
        <v>1270.5</v>
      </c>
      <c r="AX38" s="65" t="n">
        <f aca="false">IF(45&lt;$C$15,0,$L$15*$G$15*(1+$C$26))</f>
        <v>1270.5</v>
      </c>
      <c r="AY38" s="65" t="n">
        <f aca="false">IF(46&lt;$C$15,0,$L$15*$G$15*(1+$C$26))</f>
        <v>1270.5</v>
      </c>
      <c r="AZ38" s="65" t="n">
        <f aca="false">IF(47&lt;$C$15,0,$L$15*$G$15*(1+$C$26))</f>
        <v>1270.5</v>
      </c>
      <c r="BA38" s="65" t="n">
        <f aca="false">IF(48&lt;$C$15,0,$L$15*$G$15*(1+$C$26))</f>
        <v>1270.5</v>
      </c>
      <c r="BB38" s="64" t="n">
        <f aca="false">SUM(BC38:BN38)</f>
        <v>16632</v>
      </c>
      <c r="BC38" s="65" t="n">
        <f aca="false">IF(49&lt;$C$15,0,$M$15*$H$15*(1+$C$26))</f>
        <v>1386</v>
      </c>
      <c r="BD38" s="65" t="n">
        <f aca="false">IF(50&lt;$C$15,0,$M$15*$H$15*(1+$C$26))</f>
        <v>1386</v>
      </c>
      <c r="BE38" s="65" t="n">
        <f aca="false">IF(51&lt;$C$15,0,$M$15*$H$15*(1+$C$26))</f>
        <v>1386</v>
      </c>
      <c r="BF38" s="65" t="n">
        <f aca="false">IF(52&lt;$C$15,0,$M$15*$H$15*(1+$C$26))</f>
        <v>1386</v>
      </c>
      <c r="BG38" s="65" t="n">
        <f aca="false">IF(53&lt;$C$15,0,$M$15*$H$15*(1+$C$26))</f>
        <v>1386</v>
      </c>
      <c r="BH38" s="65" t="n">
        <f aca="false">IF(54&lt;$C$15,0,$M$15*$H$15*(1+$C$26))</f>
        <v>1386</v>
      </c>
      <c r="BI38" s="65" t="n">
        <f aca="false">IF(55&lt;$C$15,0,$M$15*$H$15*(1+$C$26))</f>
        <v>1386</v>
      </c>
      <c r="BJ38" s="65" t="n">
        <f aca="false">IF(56&lt;$C$15,0,$M$15*$H$15*(1+$C$26))</f>
        <v>1386</v>
      </c>
      <c r="BK38" s="65" t="n">
        <f aca="false">IF(57&lt;$C$15,0,$M$15*$H$15*(1+$C$26))</f>
        <v>1386</v>
      </c>
      <c r="BL38" s="65" t="n">
        <f aca="false">IF(58&lt;$C$15,0,$M$15*$H$15*(1+$C$26))</f>
        <v>1386</v>
      </c>
      <c r="BM38" s="65" t="n">
        <f aca="false">IF(59&lt;$C$15,0,$M$15*$H$15*(1+$C$26))</f>
        <v>1386</v>
      </c>
      <c r="BN38" s="65" t="n">
        <f aca="false">IF(60&lt;$C$15,0,$M$15*$H$15*(1+$C$26))</f>
        <v>1386</v>
      </c>
    </row>
    <row r="39" customFormat="false" ht="15" hidden="false" customHeight="false" outlineLevel="0" collapsed="false">
      <c r="A39" s="12" t="s">
        <v>769</v>
      </c>
      <c r="B39" s="64" t="n">
        <f aca="false">SUM(C39:N39)</f>
        <v>0</v>
      </c>
      <c r="C39" s="65" t="n">
        <f aca="false">IF(1&lt;$C$16,0,$I$16*$D$16*(1+$C$26))</f>
        <v>0</v>
      </c>
      <c r="D39" s="65" t="n">
        <f aca="false">IF(2&lt;$C$16,0,$I$16*$D$16*(1+$C$26))</f>
        <v>0</v>
      </c>
      <c r="E39" s="65" t="n">
        <f aca="false">IF(3&lt;$C$16,0,$I$16*$D$16*(1+$C$26))</f>
        <v>0</v>
      </c>
      <c r="F39" s="65" t="n">
        <f aca="false">IF(4&lt;$C$16,0,$I$16*$D$16*(1+$C$26))</f>
        <v>0</v>
      </c>
      <c r="G39" s="65" t="n">
        <f aca="false">IF(5&lt;$C$16,0,$I$16*$D$16*(1+$C$26))</f>
        <v>0</v>
      </c>
      <c r="H39" s="65" t="n">
        <f aca="false">IF(6&lt;$C$16,0,$I$16*$D$16*(1+$C$26))</f>
        <v>0</v>
      </c>
      <c r="I39" s="65" t="n">
        <f aca="false">IF(7&lt;$C$16,0,$I$16*$D$16*(1+$C$26))</f>
        <v>0</v>
      </c>
      <c r="J39" s="65" t="n">
        <f aca="false">IF(8&lt;$C$16,0,$I$16*$D$16*(1+$C$26))</f>
        <v>0</v>
      </c>
      <c r="K39" s="65" t="n">
        <f aca="false">IF(9&lt;$C$16,0,$I$16*$D$16*(1+$C$26))</f>
        <v>0</v>
      </c>
      <c r="L39" s="65" t="n">
        <f aca="false">IF(10&lt;$C$16,0,$I$16*$D$16*(1+$C$26))</f>
        <v>0</v>
      </c>
      <c r="M39" s="65" t="n">
        <f aca="false">IF(11&lt;$C$16,0,$I$16*$D$16*(1+$C$26))</f>
        <v>0</v>
      </c>
      <c r="N39" s="65" t="n">
        <f aca="false">IF(12&lt;$C$16,0,$I$16*$D$16*(1+$C$26))</f>
        <v>0</v>
      </c>
      <c r="O39" s="64" t="n">
        <f aca="false">SUM(P39:AA39)</f>
        <v>0</v>
      </c>
      <c r="P39" s="65" t="n">
        <f aca="false">IF(13&lt;$C$16,0,$J$16*$E$16*(1+$C$26))</f>
        <v>0</v>
      </c>
      <c r="Q39" s="65" t="n">
        <f aca="false">IF(14&lt;$C$16,0,$J$16*$E$16*(1+$C$26))</f>
        <v>0</v>
      </c>
      <c r="R39" s="65" t="n">
        <f aca="false">IF(15&lt;$C$16,0,$J$16*$E$16*(1+$C$26))</f>
        <v>0</v>
      </c>
      <c r="S39" s="65" t="n">
        <f aca="false">IF(16&lt;$C$16,0,$J$16*$E$16*(1+$C$26))</f>
        <v>0</v>
      </c>
      <c r="T39" s="65" t="n">
        <f aca="false">IF(17&lt;$C$16,0,$J$16*$E$16*(1+$C$26))</f>
        <v>0</v>
      </c>
      <c r="U39" s="65" t="n">
        <f aca="false">IF(18&lt;$C$16,0,$J$16*$E$16*(1+$C$26))</f>
        <v>0</v>
      </c>
      <c r="V39" s="65" t="n">
        <f aca="false">IF(19&lt;$C$16,0,$J$16*$E$16*(1+$C$26))</f>
        <v>0</v>
      </c>
      <c r="W39" s="65" t="n">
        <f aca="false">IF(20&lt;$C$16,0,$J$16*$E$16*(1+$C$26))</f>
        <v>0</v>
      </c>
      <c r="X39" s="65" t="n">
        <f aca="false">IF(21&lt;$C$16,0,$J$16*$E$16*(1+$C$26))</f>
        <v>0</v>
      </c>
      <c r="Y39" s="65" t="n">
        <f aca="false">IF(22&lt;$C$16,0,$J$16*$E$16*(1+$C$26))</f>
        <v>0</v>
      </c>
      <c r="Z39" s="65" t="n">
        <f aca="false">IF(23&lt;$C$16,0,$J$16*$E$16*(1+$C$26))</f>
        <v>0</v>
      </c>
      <c r="AA39" s="65" t="n">
        <f aca="false">IF(24&lt;$C$16,0,$J$16*$E$16*(1+$C$26))</f>
        <v>0</v>
      </c>
      <c r="AB39" s="64" t="n">
        <f aca="false">SUM(AC39:AN39)</f>
        <v>0</v>
      </c>
      <c r="AC39" s="65" t="n">
        <f aca="false">IF(25&lt;$C$16,0,$K$16*$F$16*(1+$C$26))</f>
        <v>0</v>
      </c>
      <c r="AD39" s="65" t="n">
        <f aca="false">IF(26&lt;$C$16,0,$K$16*$F$16*(1+$C$26))</f>
        <v>0</v>
      </c>
      <c r="AE39" s="65" t="n">
        <f aca="false">IF(27&lt;$C$16,0,$K$16*$F$16*(1+$C$26))</f>
        <v>0</v>
      </c>
      <c r="AF39" s="65" t="n">
        <f aca="false">IF(28&lt;$C$16,0,$K$16*$F$16*(1+$C$26))</f>
        <v>0</v>
      </c>
      <c r="AG39" s="65" t="n">
        <f aca="false">IF(29&lt;$C$16,0,$K$16*$F$16*(1+$C$26))</f>
        <v>0</v>
      </c>
      <c r="AH39" s="65" t="n">
        <f aca="false">IF(30&lt;$C$16,0,$K$16*$F$16*(1+$C$26))</f>
        <v>0</v>
      </c>
      <c r="AI39" s="65" t="n">
        <f aca="false">IF(31&lt;$C$16,0,$K$16*$F$16*(1+$C$26))</f>
        <v>0</v>
      </c>
      <c r="AJ39" s="65" t="n">
        <f aca="false">IF(32&lt;$C$16,0,$K$16*$F$16*(1+$C$26))</f>
        <v>0</v>
      </c>
      <c r="AK39" s="65" t="n">
        <f aca="false">IF(33&lt;$C$16,0,$K$16*$F$16*(1+$C$26))</f>
        <v>0</v>
      </c>
      <c r="AL39" s="65" t="n">
        <f aca="false">IF(34&lt;$C$16,0,$K$16*$F$16*(1+$C$26))</f>
        <v>0</v>
      </c>
      <c r="AM39" s="65" t="n">
        <f aca="false">IF(35&lt;$C$16,0,$K$16*$F$16*(1+$C$26))</f>
        <v>0</v>
      </c>
      <c r="AN39" s="65" t="n">
        <f aca="false">IF(36&lt;$C$16,0,$K$16*$F$16*(1+$C$26))</f>
        <v>0</v>
      </c>
      <c r="AO39" s="64" t="n">
        <f aca="false">SUM(AP39:BA39)</f>
        <v>0</v>
      </c>
      <c r="AP39" s="65" t="n">
        <f aca="false">IF(37&lt;$C$16,0,$L$16*$G$16*(1+$C$26))</f>
        <v>0</v>
      </c>
      <c r="AQ39" s="65" t="n">
        <f aca="false">IF(38&lt;$C$16,0,$L$16*$G$16*(1+$C$26))</f>
        <v>0</v>
      </c>
      <c r="AR39" s="65" t="n">
        <f aca="false">IF(39&lt;$C$16,0,$L$16*$G$16*(1+$C$26))</f>
        <v>0</v>
      </c>
      <c r="AS39" s="65" t="n">
        <f aca="false">IF(40&lt;$C$16,0,$L$16*$G$16*(1+$C$26))</f>
        <v>0</v>
      </c>
      <c r="AT39" s="65" t="n">
        <f aca="false">IF(41&lt;$C$16,0,$L$16*$G$16*(1+$C$26))</f>
        <v>0</v>
      </c>
      <c r="AU39" s="65" t="n">
        <f aca="false">IF(42&lt;$C$16,0,$L$16*$G$16*(1+$C$26))</f>
        <v>0</v>
      </c>
      <c r="AV39" s="65" t="n">
        <f aca="false">IF(43&lt;$C$16,0,$L$16*$G$16*(1+$C$26))</f>
        <v>0</v>
      </c>
      <c r="AW39" s="65" t="n">
        <f aca="false">IF(44&lt;$C$16,0,$L$16*$G$16*(1+$C$26))</f>
        <v>0</v>
      </c>
      <c r="AX39" s="65" t="n">
        <f aca="false">IF(45&lt;$C$16,0,$L$16*$G$16*(1+$C$26))</f>
        <v>0</v>
      </c>
      <c r="AY39" s="65" t="n">
        <f aca="false">IF(46&lt;$C$16,0,$L$16*$G$16*(1+$C$26))</f>
        <v>0</v>
      </c>
      <c r="AZ39" s="65" t="n">
        <f aca="false">IF(47&lt;$C$16,0,$L$16*$G$16*(1+$C$26))</f>
        <v>0</v>
      </c>
      <c r="BA39" s="65" t="n">
        <f aca="false">IF(48&lt;$C$16,0,$L$16*$G$16*(1+$C$26))</f>
        <v>0</v>
      </c>
      <c r="BB39" s="64" t="n">
        <f aca="false">SUM(BC39:BN39)</f>
        <v>11088</v>
      </c>
      <c r="BC39" s="65" t="n">
        <f aca="false">IF(49&lt;$C$16,0,$M$16*$H$16*(1+$C$26))</f>
        <v>924</v>
      </c>
      <c r="BD39" s="65" t="n">
        <f aca="false">IF(50&lt;$C$16,0,$M$16*$H$16*(1+$C$26))</f>
        <v>924</v>
      </c>
      <c r="BE39" s="65" t="n">
        <f aca="false">IF(51&lt;$C$16,0,$M$16*$H$16*(1+$C$26))</f>
        <v>924</v>
      </c>
      <c r="BF39" s="65" t="n">
        <f aca="false">IF(52&lt;$C$16,0,$M$16*$H$16*(1+$C$26))</f>
        <v>924</v>
      </c>
      <c r="BG39" s="65" t="n">
        <f aca="false">IF(53&lt;$C$16,0,$M$16*$H$16*(1+$C$26))</f>
        <v>924</v>
      </c>
      <c r="BH39" s="65" t="n">
        <f aca="false">IF(54&lt;$C$16,0,$M$16*$H$16*(1+$C$26))</f>
        <v>924</v>
      </c>
      <c r="BI39" s="65" t="n">
        <f aca="false">IF(55&lt;$C$16,0,$M$16*$H$16*(1+$C$26))</f>
        <v>924</v>
      </c>
      <c r="BJ39" s="65" t="n">
        <f aca="false">IF(56&lt;$C$16,0,$M$16*$H$16*(1+$C$26))</f>
        <v>924</v>
      </c>
      <c r="BK39" s="65" t="n">
        <f aca="false">IF(57&lt;$C$16,0,$M$16*$H$16*(1+$C$26))</f>
        <v>924</v>
      </c>
      <c r="BL39" s="65" t="n">
        <f aca="false">IF(58&lt;$C$16,0,$M$16*$H$16*(1+$C$26))</f>
        <v>924</v>
      </c>
      <c r="BM39" s="65" t="n">
        <f aca="false">IF(59&lt;$C$16,0,$M$16*$H$16*(1+$C$26))</f>
        <v>924</v>
      </c>
      <c r="BN39" s="65" t="n">
        <f aca="false">IF(60&lt;$C$16,0,$M$16*$H$16*(1+$C$26))</f>
        <v>924</v>
      </c>
    </row>
    <row r="40" customFormat="false" ht="15" hidden="false" customHeight="false" outlineLevel="0" collapsed="false">
      <c r="A40" s="12" t="s">
        <v>770</v>
      </c>
      <c r="B40" s="64" t="n">
        <f aca="false">SUM(C40:N40)</f>
        <v>0</v>
      </c>
      <c r="C40" s="65" t="n">
        <f aca="false">IF(1&lt;$C$17,0,$I$17*$D$17*(1+$C$26))</f>
        <v>0</v>
      </c>
      <c r="D40" s="65" t="n">
        <f aca="false">IF(2&lt;$C$17,0,$I$17*$D$17*(1+$C$26))</f>
        <v>0</v>
      </c>
      <c r="E40" s="65" t="n">
        <f aca="false">IF(3&lt;$C$17,0,$I$17*$D$17*(1+$C$26))</f>
        <v>0</v>
      </c>
      <c r="F40" s="65" t="n">
        <f aca="false">IF(4&lt;$C$17,0,$I$17*$D$17*(1+$C$26))</f>
        <v>0</v>
      </c>
      <c r="G40" s="65" t="n">
        <f aca="false">IF(5&lt;$C$17,0,$I$17*$D$17*(1+$C$26))</f>
        <v>0</v>
      </c>
      <c r="H40" s="65" t="n">
        <f aca="false">IF(6&lt;$C$17,0,$I$17*$D$17*(1+$C$26))</f>
        <v>0</v>
      </c>
      <c r="I40" s="65" t="n">
        <f aca="false">IF(7&lt;$C$17,0,$I$17*$D$17*(1+$C$26))</f>
        <v>0</v>
      </c>
      <c r="J40" s="65" t="n">
        <f aca="false">IF(8&lt;$C$17,0,$I$17*$D$17*(1+$C$26))</f>
        <v>0</v>
      </c>
      <c r="K40" s="65" t="n">
        <f aca="false">IF(9&lt;$C$17,0,$I$17*$D$17*(1+$C$26))</f>
        <v>0</v>
      </c>
      <c r="L40" s="65" t="n">
        <f aca="false">IF(10&lt;$C$17,0,$I$17*$D$17*(1+$C$26))</f>
        <v>0</v>
      </c>
      <c r="M40" s="65" t="n">
        <f aca="false">IF(11&lt;$C$17,0,$I$17*$D$17*(1+$C$26))</f>
        <v>0</v>
      </c>
      <c r="N40" s="65" t="n">
        <f aca="false">IF(12&lt;$C$17,0,$I$17*$D$17*(1+$C$26))</f>
        <v>0</v>
      </c>
      <c r="O40" s="64" t="n">
        <f aca="false">SUM(P40:AA40)</f>
        <v>12474</v>
      </c>
      <c r="P40" s="65" t="n">
        <f aca="false">IF(13&lt;$C$17,0,$J$17*$E$17*(1+$C$26))</f>
        <v>1039.5</v>
      </c>
      <c r="Q40" s="65" t="n">
        <f aca="false">IF(14&lt;$C$17,0,$J$17*$E$17*(1+$C$26))</f>
        <v>1039.5</v>
      </c>
      <c r="R40" s="65" t="n">
        <f aca="false">IF(15&lt;$C$17,0,$J$17*$E$17*(1+$C$26))</f>
        <v>1039.5</v>
      </c>
      <c r="S40" s="65" t="n">
        <f aca="false">IF(16&lt;$C$17,0,$J$17*$E$17*(1+$C$26))</f>
        <v>1039.5</v>
      </c>
      <c r="T40" s="65" t="n">
        <f aca="false">IF(17&lt;$C$17,0,$J$17*$E$17*(1+$C$26))</f>
        <v>1039.5</v>
      </c>
      <c r="U40" s="65" t="n">
        <f aca="false">IF(18&lt;$C$17,0,$J$17*$E$17*(1+$C$26))</f>
        <v>1039.5</v>
      </c>
      <c r="V40" s="65" t="n">
        <f aca="false">IF(19&lt;$C$17,0,$J$17*$E$17*(1+$C$26))</f>
        <v>1039.5</v>
      </c>
      <c r="W40" s="65" t="n">
        <f aca="false">IF(20&lt;$C$17,0,$J$17*$E$17*(1+$C$26))</f>
        <v>1039.5</v>
      </c>
      <c r="X40" s="65" t="n">
        <f aca="false">IF(21&lt;$C$17,0,$J$17*$E$17*(1+$C$26))</f>
        <v>1039.5</v>
      </c>
      <c r="Y40" s="65" t="n">
        <f aca="false">IF(22&lt;$C$17,0,$J$17*$E$17*(1+$C$26))</f>
        <v>1039.5</v>
      </c>
      <c r="Z40" s="65" t="n">
        <f aca="false">IF(23&lt;$C$17,0,$J$17*$E$17*(1+$C$26))</f>
        <v>1039.5</v>
      </c>
      <c r="AA40" s="65" t="n">
        <f aca="false">IF(24&lt;$C$17,0,$J$17*$E$17*(1+$C$26))</f>
        <v>1039.5</v>
      </c>
      <c r="AB40" s="64" t="n">
        <f aca="false">SUM(AC40:AN40)</f>
        <v>30492</v>
      </c>
      <c r="AC40" s="65" t="n">
        <f aca="false">IF(25&lt;$C$17,0,$K$17*$F$17*(1+$C$26))</f>
        <v>2541</v>
      </c>
      <c r="AD40" s="65" t="n">
        <f aca="false">IF(26&lt;$C$17,0,$K$17*$F$17*(1+$C$26))</f>
        <v>2541</v>
      </c>
      <c r="AE40" s="65" t="n">
        <f aca="false">IF(27&lt;$C$17,0,$K$17*$F$17*(1+$C$26))</f>
        <v>2541</v>
      </c>
      <c r="AF40" s="65" t="n">
        <f aca="false">IF(28&lt;$C$17,0,$K$17*$F$17*(1+$C$26))</f>
        <v>2541</v>
      </c>
      <c r="AG40" s="65" t="n">
        <f aca="false">IF(29&lt;$C$17,0,$K$17*$F$17*(1+$C$26))</f>
        <v>2541</v>
      </c>
      <c r="AH40" s="65" t="n">
        <f aca="false">IF(30&lt;$C$17,0,$K$17*$F$17*(1+$C$26))</f>
        <v>2541</v>
      </c>
      <c r="AI40" s="65" t="n">
        <f aca="false">IF(31&lt;$C$17,0,$K$17*$F$17*(1+$C$26))</f>
        <v>2541</v>
      </c>
      <c r="AJ40" s="65" t="n">
        <f aca="false">IF(32&lt;$C$17,0,$K$17*$F$17*(1+$C$26))</f>
        <v>2541</v>
      </c>
      <c r="AK40" s="65" t="n">
        <f aca="false">IF(33&lt;$C$17,0,$K$17*$F$17*(1+$C$26))</f>
        <v>2541</v>
      </c>
      <c r="AL40" s="65" t="n">
        <f aca="false">IF(34&lt;$C$17,0,$K$17*$F$17*(1+$C$26))</f>
        <v>2541</v>
      </c>
      <c r="AM40" s="65" t="n">
        <f aca="false">IF(35&lt;$C$17,0,$K$17*$F$17*(1+$C$26))</f>
        <v>2541</v>
      </c>
      <c r="AN40" s="65" t="n">
        <f aca="false">IF(36&lt;$C$17,0,$K$17*$F$17*(1+$C$26))</f>
        <v>2541</v>
      </c>
      <c r="AO40" s="64" t="n">
        <f aca="false">SUM(AP40:BA40)</f>
        <v>33264</v>
      </c>
      <c r="AP40" s="65" t="n">
        <f aca="false">IF(37&lt;$C$17,0,$L$17*$G$17*(1+$C$26))</f>
        <v>2772</v>
      </c>
      <c r="AQ40" s="65" t="n">
        <f aca="false">IF(38&lt;$C$17,0,$L$17*$G$17*(1+$C$26))</f>
        <v>2772</v>
      </c>
      <c r="AR40" s="65" t="n">
        <f aca="false">IF(39&lt;$C$17,0,$L$17*$G$17*(1+$C$26))</f>
        <v>2772</v>
      </c>
      <c r="AS40" s="65" t="n">
        <f aca="false">IF(40&lt;$C$17,0,$L$17*$G$17*(1+$C$26))</f>
        <v>2772</v>
      </c>
      <c r="AT40" s="65" t="n">
        <f aca="false">IF(41&lt;$C$17,0,$L$17*$G$17*(1+$C$26))</f>
        <v>2772</v>
      </c>
      <c r="AU40" s="65" t="n">
        <f aca="false">IF(42&lt;$C$17,0,$L$17*$G$17*(1+$C$26))</f>
        <v>2772</v>
      </c>
      <c r="AV40" s="65" t="n">
        <f aca="false">IF(43&lt;$C$17,0,$L$17*$G$17*(1+$C$26))</f>
        <v>2772</v>
      </c>
      <c r="AW40" s="65" t="n">
        <f aca="false">IF(44&lt;$C$17,0,$L$17*$G$17*(1+$C$26))</f>
        <v>2772</v>
      </c>
      <c r="AX40" s="65" t="n">
        <f aca="false">IF(45&lt;$C$17,0,$L$17*$G$17*(1+$C$26))</f>
        <v>2772</v>
      </c>
      <c r="AY40" s="65" t="n">
        <f aca="false">IF(46&lt;$C$17,0,$L$17*$G$17*(1+$C$26))</f>
        <v>2772</v>
      </c>
      <c r="AZ40" s="65" t="n">
        <f aca="false">IF(47&lt;$C$17,0,$L$17*$G$17*(1+$C$26))</f>
        <v>2772</v>
      </c>
      <c r="BA40" s="65" t="n">
        <f aca="false">IF(48&lt;$C$17,0,$L$17*$G$17*(1+$C$26))</f>
        <v>2772</v>
      </c>
      <c r="BB40" s="64" t="n">
        <f aca="false">SUM(BC40:BN40)</f>
        <v>36036</v>
      </c>
      <c r="BC40" s="65" t="n">
        <f aca="false">IF(49&lt;$C$17,0,$M$17*$H$17*(1+$C$26))</f>
        <v>3003</v>
      </c>
      <c r="BD40" s="65" t="n">
        <f aca="false">IF(50&lt;$C$17,0,$M$17*$H$17*(1+$C$26))</f>
        <v>3003</v>
      </c>
      <c r="BE40" s="65" t="n">
        <f aca="false">IF(51&lt;$C$17,0,$M$17*$H$17*(1+$C$26))</f>
        <v>3003</v>
      </c>
      <c r="BF40" s="65" t="n">
        <f aca="false">IF(52&lt;$C$17,0,$M$17*$H$17*(1+$C$26))</f>
        <v>3003</v>
      </c>
      <c r="BG40" s="65" t="n">
        <f aca="false">IF(53&lt;$C$17,0,$M$17*$H$17*(1+$C$26))</f>
        <v>3003</v>
      </c>
      <c r="BH40" s="65" t="n">
        <f aca="false">IF(54&lt;$C$17,0,$M$17*$H$17*(1+$C$26))</f>
        <v>3003</v>
      </c>
      <c r="BI40" s="65" t="n">
        <f aca="false">IF(55&lt;$C$17,0,$M$17*$H$17*(1+$C$26))</f>
        <v>3003</v>
      </c>
      <c r="BJ40" s="65" t="n">
        <f aca="false">IF(56&lt;$C$17,0,$M$17*$H$17*(1+$C$26))</f>
        <v>3003</v>
      </c>
      <c r="BK40" s="65" t="n">
        <f aca="false">IF(57&lt;$C$17,0,$M$17*$H$17*(1+$C$26))</f>
        <v>3003</v>
      </c>
      <c r="BL40" s="65" t="n">
        <f aca="false">IF(58&lt;$C$17,0,$M$17*$H$17*(1+$C$26))</f>
        <v>3003</v>
      </c>
      <c r="BM40" s="65" t="n">
        <f aca="false">IF(59&lt;$C$17,0,$M$17*$H$17*(1+$C$26))</f>
        <v>3003</v>
      </c>
      <c r="BN40" s="65" t="n">
        <f aca="false">IF(60&lt;$C$17,0,$M$17*$H$17*(1+$C$26))</f>
        <v>3003</v>
      </c>
    </row>
    <row r="41" customFormat="false" ht="15" hidden="false" customHeight="false" outlineLevel="0" collapsed="false">
      <c r="A41" s="12" t="s">
        <v>771</v>
      </c>
      <c r="B41" s="64" t="n">
        <f aca="false">SUM(C41:N41)</f>
        <v>0</v>
      </c>
      <c r="C41" s="65" t="n">
        <f aca="false">IF(1&lt;$C$18,0,$I$18*$D$18*(1+$C$26))</f>
        <v>0</v>
      </c>
      <c r="D41" s="65" t="n">
        <f aca="false">IF(2&lt;$C$18,0,$I$18*$D$18*(1+$C$26))</f>
        <v>0</v>
      </c>
      <c r="E41" s="65" t="n">
        <f aca="false">IF(3&lt;$C$18,0,$I$18*$D$18*(1+$C$26))</f>
        <v>0</v>
      </c>
      <c r="F41" s="65" t="n">
        <f aca="false">IF(4&lt;$C$18,0,$I$18*$D$18*(1+$C$26))</f>
        <v>0</v>
      </c>
      <c r="G41" s="65" t="n">
        <f aca="false">IF(5&lt;$C$18,0,$I$18*$D$18*(1+$C$26))</f>
        <v>0</v>
      </c>
      <c r="H41" s="65" t="n">
        <f aca="false">IF(6&lt;$C$18,0,$I$18*$D$18*(1+$C$26))</f>
        <v>0</v>
      </c>
      <c r="I41" s="65" t="n">
        <f aca="false">IF(7&lt;$C$18,0,$I$18*$D$18*(1+$C$26))</f>
        <v>0</v>
      </c>
      <c r="J41" s="65" t="n">
        <f aca="false">IF(8&lt;$C$18,0,$I$18*$D$18*(1+$C$26))</f>
        <v>0</v>
      </c>
      <c r="K41" s="65" t="n">
        <f aca="false">IF(9&lt;$C$18,0,$I$18*$D$18*(1+$C$26))</f>
        <v>0</v>
      </c>
      <c r="L41" s="65" t="n">
        <f aca="false">IF(10&lt;$C$18,0,$I$18*$D$18*(1+$C$26))</f>
        <v>0</v>
      </c>
      <c r="M41" s="65" t="n">
        <f aca="false">IF(11&lt;$C$18,0,$I$18*$D$18*(1+$C$26))</f>
        <v>0</v>
      </c>
      <c r="N41" s="65" t="n">
        <f aca="false">IF(12&lt;$C$18,0,$I$18*$D$18*(1+$C$26))</f>
        <v>0</v>
      </c>
      <c r="O41" s="64" t="n">
        <f aca="false">SUM(P41:AA41)</f>
        <v>0</v>
      </c>
      <c r="P41" s="65" t="n">
        <f aca="false">IF(13&lt;$C$18,0,$J$18*$E$18*(1+$C$26))</f>
        <v>0</v>
      </c>
      <c r="Q41" s="65" t="n">
        <f aca="false">IF(14&lt;$C$18,0,$J$18*$E$18*(1+$C$26))</f>
        <v>0</v>
      </c>
      <c r="R41" s="65" t="n">
        <f aca="false">IF(15&lt;$C$18,0,$J$18*$E$18*(1+$C$26))</f>
        <v>0</v>
      </c>
      <c r="S41" s="65" t="n">
        <f aca="false">IF(16&lt;$C$18,0,$J$18*$E$18*(1+$C$26))</f>
        <v>0</v>
      </c>
      <c r="T41" s="65" t="n">
        <f aca="false">IF(17&lt;$C$18,0,$J$18*$E$18*(1+$C$26))</f>
        <v>0</v>
      </c>
      <c r="U41" s="65" t="n">
        <f aca="false">IF(18&lt;$C$18,0,$J$18*$E$18*(1+$C$26))</f>
        <v>0</v>
      </c>
      <c r="V41" s="65" t="n">
        <f aca="false">IF(19&lt;$C$18,0,$J$18*$E$18*(1+$C$26))</f>
        <v>0</v>
      </c>
      <c r="W41" s="65" t="n">
        <f aca="false">IF(20&lt;$C$18,0,$J$18*$E$18*(1+$C$26))</f>
        <v>0</v>
      </c>
      <c r="X41" s="65" t="n">
        <f aca="false">IF(21&lt;$C$18,0,$J$18*$E$18*(1+$C$26))</f>
        <v>0</v>
      </c>
      <c r="Y41" s="65" t="n">
        <f aca="false">IF(22&lt;$C$18,0,$J$18*$E$18*(1+$C$26))</f>
        <v>0</v>
      </c>
      <c r="Z41" s="65" t="n">
        <f aca="false">IF(23&lt;$C$18,0,$J$18*$E$18*(1+$C$26))</f>
        <v>0</v>
      </c>
      <c r="AA41" s="65" t="n">
        <f aca="false">IF(24&lt;$C$18,0,$J$18*$E$18*(1+$C$26))</f>
        <v>0</v>
      </c>
      <c r="AB41" s="64" t="n">
        <f aca="false">SUM(AC41:AN41)</f>
        <v>0</v>
      </c>
      <c r="AC41" s="65" t="n">
        <f aca="false">IF(25&lt;$C$18,0,$K$18*$F$18*(1+$C$26))</f>
        <v>0</v>
      </c>
      <c r="AD41" s="65" t="n">
        <f aca="false">IF(26&lt;$C$18,0,$K$18*$F$18*(1+$C$26))</f>
        <v>0</v>
      </c>
      <c r="AE41" s="65" t="n">
        <f aca="false">IF(27&lt;$C$18,0,$K$18*$F$18*(1+$C$26))</f>
        <v>0</v>
      </c>
      <c r="AF41" s="65" t="n">
        <f aca="false">IF(28&lt;$C$18,0,$K$18*$F$18*(1+$C$26))</f>
        <v>0</v>
      </c>
      <c r="AG41" s="65" t="n">
        <f aca="false">IF(29&lt;$C$18,0,$K$18*$F$18*(1+$C$26))</f>
        <v>0</v>
      </c>
      <c r="AH41" s="65" t="n">
        <f aca="false">IF(30&lt;$C$18,0,$K$18*$F$18*(1+$C$26))</f>
        <v>0</v>
      </c>
      <c r="AI41" s="65" t="n">
        <f aca="false">IF(31&lt;$C$18,0,$K$18*$F$18*(1+$C$26))</f>
        <v>0</v>
      </c>
      <c r="AJ41" s="65" t="n">
        <f aca="false">IF(32&lt;$C$18,0,$K$18*$F$18*(1+$C$26))</f>
        <v>0</v>
      </c>
      <c r="AK41" s="65" t="n">
        <f aca="false">IF(33&lt;$C$18,0,$K$18*$F$18*(1+$C$26))</f>
        <v>0</v>
      </c>
      <c r="AL41" s="65" t="n">
        <f aca="false">IF(34&lt;$C$18,0,$K$18*$F$18*(1+$C$26))</f>
        <v>0</v>
      </c>
      <c r="AM41" s="65" t="n">
        <f aca="false">IF(35&lt;$C$18,0,$K$18*$F$18*(1+$C$26))</f>
        <v>0</v>
      </c>
      <c r="AN41" s="65" t="n">
        <f aca="false">IF(36&lt;$C$18,0,$K$18*$F$18*(1+$C$26))</f>
        <v>0</v>
      </c>
      <c r="AO41" s="64" t="n">
        <f aca="false">SUM(AP41:BA41)</f>
        <v>18018</v>
      </c>
      <c r="AP41" s="65" t="n">
        <f aca="false">IF(37&lt;$C$18,0,$L$18*$G$18*(1+$C$26))</f>
        <v>1501.5</v>
      </c>
      <c r="AQ41" s="65" t="n">
        <f aca="false">IF(38&lt;$C$18,0,$L$18*$G$18*(1+$C$26))</f>
        <v>1501.5</v>
      </c>
      <c r="AR41" s="65" t="n">
        <f aca="false">IF(39&lt;$C$18,0,$L$18*$G$18*(1+$C$26))</f>
        <v>1501.5</v>
      </c>
      <c r="AS41" s="65" t="n">
        <f aca="false">IF(40&lt;$C$18,0,$L$18*$G$18*(1+$C$26))</f>
        <v>1501.5</v>
      </c>
      <c r="AT41" s="65" t="n">
        <f aca="false">IF(41&lt;$C$18,0,$L$18*$G$18*(1+$C$26))</f>
        <v>1501.5</v>
      </c>
      <c r="AU41" s="65" t="n">
        <f aca="false">IF(42&lt;$C$18,0,$L$18*$G$18*(1+$C$26))</f>
        <v>1501.5</v>
      </c>
      <c r="AV41" s="65" t="n">
        <f aca="false">IF(43&lt;$C$18,0,$L$18*$G$18*(1+$C$26))</f>
        <v>1501.5</v>
      </c>
      <c r="AW41" s="65" t="n">
        <f aca="false">IF(44&lt;$C$18,0,$L$18*$G$18*(1+$C$26))</f>
        <v>1501.5</v>
      </c>
      <c r="AX41" s="65" t="n">
        <f aca="false">IF(45&lt;$C$18,0,$L$18*$G$18*(1+$C$26))</f>
        <v>1501.5</v>
      </c>
      <c r="AY41" s="65" t="n">
        <f aca="false">IF(46&lt;$C$18,0,$L$18*$G$18*(1+$C$26))</f>
        <v>1501.5</v>
      </c>
      <c r="AZ41" s="65" t="n">
        <f aca="false">IF(47&lt;$C$18,0,$L$18*$G$18*(1+$C$26))</f>
        <v>1501.5</v>
      </c>
      <c r="BA41" s="65" t="n">
        <f aca="false">IF(48&lt;$C$18,0,$L$18*$G$18*(1+$C$26))</f>
        <v>1501.5</v>
      </c>
      <c r="BB41" s="64" t="n">
        <f aca="false">SUM(BC41:BN41)</f>
        <v>19404</v>
      </c>
      <c r="BC41" s="65" t="n">
        <f aca="false">IF(49&lt;$C$18,0,$M$18*$H$18*(1+$C$26))</f>
        <v>1617</v>
      </c>
      <c r="BD41" s="65" t="n">
        <f aca="false">IF(50&lt;$C$18,0,$M$18*$H$18*(1+$C$26))</f>
        <v>1617</v>
      </c>
      <c r="BE41" s="65" t="n">
        <f aca="false">IF(51&lt;$C$18,0,$M$18*$H$18*(1+$C$26))</f>
        <v>1617</v>
      </c>
      <c r="BF41" s="65" t="n">
        <f aca="false">IF(52&lt;$C$18,0,$M$18*$H$18*(1+$C$26))</f>
        <v>1617</v>
      </c>
      <c r="BG41" s="65" t="n">
        <f aca="false">IF(53&lt;$C$18,0,$M$18*$H$18*(1+$C$26))</f>
        <v>1617</v>
      </c>
      <c r="BH41" s="65" t="n">
        <f aca="false">IF(54&lt;$C$18,0,$M$18*$H$18*(1+$C$26))</f>
        <v>1617</v>
      </c>
      <c r="BI41" s="65" t="n">
        <f aca="false">IF(55&lt;$C$18,0,$M$18*$H$18*(1+$C$26))</f>
        <v>1617</v>
      </c>
      <c r="BJ41" s="65" t="n">
        <f aca="false">IF(56&lt;$C$18,0,$M$18*$H$18*(1+$C$26))</f>
        <v>1617</v>
      </c>
      <c r="BK41" s="65" t="n">
        <f aca="false">IF(57&lt;$C$18,0,$M$18*$H$18*(1+$C$26))</f>
        <v>1617</v>
      </c>
      <c r="BL41" s="65" t="n">
        <f aca="false">IF(58&lt;$C$18,0,$M$18*$H$18*(1+$C$26))</f>
        <v>1617</v>
      </c>
      <c r="BM41" s="65" t="n">
        <f aca="false">IF(59&lt;$C$18,0,$M$18*$H$18*(1+$C$26))</f>
        <v>1617</v>
      </c>
      <c r="BN41" s="65" t="n">
        <f aca="false">IF(60&lt;$C$18,0,$M$18*$H$18*(1+$C$26))</f>
        <v>1617</v>
      </c>
    </row>
    <row r="42" customFormat="false" ht="15" hidden="false" customHeight="false" outlineLevel="0" collapsed="false">
      <c r="A42" s="12" t="s">
        <v>772</v>
      </c>
      <c r="B42" s="64" t="n">
        <f aca="false">SUM(C42:N42)</f>
        <v>0</v>
      </c>
      <c r="C42" s="65" t="n">
        <f aca="false">IF(1&lt;$C$19,0,$I$19*$D$19*(1+$C$26))</f>
        <v>0</v>
      </c>
      <c r="D42" s="65" t="n">
        <f aca="false">IF(2&lt;$C$19,0,$I$19*$D$19*(1+$C$26))</f>
        <v>0</v>
      </c>
      <c r="E42" s="65" t="n">
        <f aca="false">IF(3&lt;$C$19,0,$I$19*$D$19*(1+$C$26))</f>
        <v>0</v>
      </c>
      <c r="F42" s="65" t="n">
        <f aca="false">IF(4&lt;$C$19,0,$I$19*$D$19*(1+$C$26))</f>
        <v>0</v>
      </c>
      <c r="G42" s="65" t="n">
        <f aca="false">IF(5&lt;$C$19,0,$I$19*$D$19*(1+$C$26))</f>
        <v>0</v>
      </c>
      <c r="H42" s="65" t="n">
        <f aca="false">IF(6&lt;$C$19,0,$I$19*$D$19*(1+$C$26))</f>
        <v>0</v>
      </c>
      <c r="I42" s="65" t="n">
        <f aca="false">IF(7&lt;$C$19,0,$I$19*$D$19*(1+$C$26))</f>
        <v>0</v>
      </c>
      <c r="J42" s="65" t="n">
        <f aca="false">IF(8&lt;$C$19,0,$I$19*$D$19*(1+$C$26))</f>
        <v>0</v>
      </c>
      <c r="K42" s="65" t="n">
        <f aca="false">IF(9&lt;$C$19,0,$I$19*$D$19*(1+$C$26))</f>
        <v>0</v>
      </c>
      <c r="L42" s="65" t="n">
        <f aca="false">IF(10&lt;$C$19,0,$I$19*$D$19*(1+$C$26))</f>
        <v>0</v>
      </c>
      <c r="M42" s="65" t="n">
        <f aca="false">IF(11&lt;$C$19,0,$I$19*$D$19*(1+$C$26))</f>
        <v>0</v>
      </c>
      <c r="N42" s="65" t="n">
        <f aca="false">IF(12&lt;$C$19,0,$I$19*$D$19*(1+$C$26))</f>
        <v>0</v>
      </c>
      <c r="O42" s="64" t="n">
        <f aca="false">SUM(P42:AA42)</f>
        <v>12474</v>
      </c>
      <c r="P42" s="65" t="n">
        <f aca="false">IF(13&lt;$C$19,0,$J$19*$E$19*(1+$C$26))</f>
        <v>1039.5</v>
      </c>
      <c r="Q42" s="65" t="n">
        <f aca="false">IF(14&lt;$C$19,0,$J$19*$E$19*(1+$C$26))</f>
        <v>1039.5</v>
      </c>
      <c r="R42" s="65" t="n">
        <f aca="false">IF(15&lt;$C$19,0,$J$19*$E$19*(1+$C$26))</f>
        <v>1039.5</v>
      </c>
      <c r="S42" s="65" t="n">
        <f aca="false">IF(16&lt;$C$19,0,$J$19*$E$19*(1+$C$26))</f>
        <v>1039.5</v>
      </c>
      <c r="T42" s="65" t="n">
        <f aca="false">IF(17&lt;$C$19,0,$J$19*$E$19*(1+$C$26))</f>
        <v>1039.5</v>
      </c>
      <c r="U42" s="65" t="n">
        <f aca="false">IF(18&lt;$C$19,0,$J$19*$E$19*(1+$C$26))</f>
        <v>1039.5</v>
      </c>
      <c r="V42" s="65" t="n">
        <f aca="false">IF(19&lt;$C$19,0,$J$19*$E$19*(1+$C$26))</f>
        <v>1039.5</v>
      </c>
      <c r="W42" s="65" t="n">
        <f aca="false">IF(20&lt;$C$19,0,$J$19*$E$19*(1+$C$26))</f>
        <v>1039.5</v>
      </c>
      <c r="X42" s="65" t="n">
        <f aca="false">IF(21&lt;$C$19,0,$J$19*$E$19*(1+$C$26))</f>
        <v>1039.5</v>
      </c>
      <c r="Y42" s="65" t="n">
        <f aca="false">IF(22&lt;$C$19,0,$J$19*$E$19*(1+$C$26))</f>
        <v>1039.5</v>
      </c>
      <c r="Z42" s="65" t="n">
        <f aca="false">IF(23&lt;$C$19,0,$J$19*$E$19*(1+$C$26))</f>
        <v>1039.5</v>
      </c>
      <c r="AA42" s="65" t="n">
        <f aca="false">IF(24&lt;$C$19,0,$J$19*$E$19*(1+$C$26))</f>
        <v>1039.5</v>
      </c>
      <c r="AB42" s="64" t="n">
        <f aca="false">SUM(AC42:AN42)</f>
        <v>16632</v>
      </c>
      <c r="AC42" s="65" t="n">
        <f aca="false">IF(25&lt;$C$19,0,$K$19*$F$19*(1+$C$26))</f>
        <v>1386</v>
      </c>
      <c r="AD42" s="65" t="n">
        <f aca="false">IF(26&lt;$C$19,0,$K$19*$F$19*(1+$C$26))</f>
        <v>1386</v>
      </c>
      <c r="AE42" s="65" t="n">
        <f aca="false">IF(27&lt;$C$19,0,$K$19*$F$19*(1+$C$26))</f>
        <v>1386</v>
      </c>
      <c r="AF42" s="65" t="n">
        <f aca="false">IF(28&lt;$C$19,0,$K$19*$F$19*(1+$C$26))</f>
        <v>1386</v>
      </c>
      <c r="AG42" s="65" t="n">
        <f aca="false">IF(29&lt;$C$19,0,$K$19*$F$19*(1+$C$26))</f>
        <v>1386</v>
      </c>
      <c r="AH42" s="65" t="n">
        <f aca="false">IF(30&lt;$C$19,0,$K$19*$F$19*(1+$C$26))</f>
        <v>1386</v>
      </c>
      <c r="AI42" s="65" t="n">
        <f aca="false">IF(31&lt;$C$19,0,$K$19*$F$19*(1+$C$26))</f>
        <v>1386</v>
      </c>
      <c r="AJ42" s="65" t="n">
        <f aca="false">IF(32&lt;$C$19,0,$K$19*$F$19*(1+$C$26))</f>
        <v>1386</v>
      </c>
      <c r="AK42" s="65" t="n">
        <f aca="false">IF(33&lt;$C$19,0,$K$19*$F$19*(1+$C$26))</f>
        <v>1386</v>
      </c>
      <c r="AL42" s="65" t="n">
        <f aca="false">IF(34&lt;$C$19,0,$K$19*$F$19*(1+$C$26))</f>
        <v>1386</v>
      </c>
      <c r="AM42" s="65" t="n">
        <f aca="false">IF(35&lt;$C$19,0,$K$19*$F$19*(1+$C$26))</f>
        <v>1386</v>
      </c>
      <c r="AN42" s="65" t="n">
        <f aca="false">IF(36&lt;$C$19,0,$K$19*$F$19*(1+$C$26))</f>
        <v>1386</v>
      </c>
      <c r="AO42" s="64" t="n">
        <f aca="false">SUM(AP42:BA42)</f>
        <v>18018</v>
      </c>
      <c r="AP42" s="65" t="n">
        <f aca="false">IF(37&lt;$C$19,0,$L$19*$G$19*(1+$C$26))</f>
        <v>1501.5</v>
      </c>
      <c r="AQ42" s="65" t="n">
        <f aca="false">IF(38&lt;$C$19,0,$L$19*$G$19*(1+$C$26))</f>
        <v>1501.5</v>
      </c>
      <c r="AR42" s="65" t="n">
        <f aca="false">IF(39&lt;$C$19,0,$L$19*$G$19*(1+$C$26))</f>
        <v>1501.5</v>
      </c>
      <c r="AS42" s="65" t="n">
        <f aca="false">IF(40&lt;$C$19,0,$L$19*$G$19*(1+$C$26))</f>
        <v>1501.5</v>
      </c>
      <c r="AT42" s="65" t="n">
        <f aca="false">IF(41&lt;$C$19,0,$L$19*$G$19*(1+$C$26))</f>
        <v>1501.5</v>
      </c>
      <c r="AU42" s="65" t="n">
        <f aca="false">IF(42&lt;$C$19,0,$L$19*$G$19*(1+$C$26))</f>
        <v>1501.5</v>
      </c>
      <c r="AV42" s="65" t="n">
        <f aca="false">IF(43&lt;$C$19,0,$L$19*$G$19*(1+$C$26))</f>
        <v>1501.5</v>
      </c>
      <c r="AW42" s="65" t="n">
        <f aca="false">IF(44&lt;$C$19,0,$L$19*$G$19*(1+$C$26))</f>
        <v>1501.5</v>
      </c>
      <c r="AX42" s="65" t="n">
        <f aca="false">IF(45&lt;$C$19,0,$L$19*$G$19*(1+$C$26))</f>
        <v>1501.5</v>
      </c>
      <c r="AY42" s="65" t="n">
        <f aca="false">IF(46&lt;$C$19,0,$L$19*$G$19*(1+$C$26))</f>
        <v>1501.5</v>
      </c>
      <c r="AZ42" s="65" t="n">
        <f aca="false">IF(47&lt;$C$19,0,$L$19*$G$19*(1+$C$26))</f>
        <v>1501.5</v>
      </c>
      <c r="BA42" s="65" t="n">
        <f aca="false">IF(48&lt;$C$19,0,$L$19*$G$19*(1+$C$26))</f>
        <v>1501.5</v>
      </c>
      <c r="BB42" s="64" t="n">
        <f aca="false">SUM(BC42:BN42)</f>
        <v>19404</v>
      </c>
      <c r="BC42" s="65" t="n">
        <f aca="false">IF(49&lt;$C$19,0,$M$19*$H$19*(1+$C$26))</f>
        <v>1617</v>
      </c>
      <c r="BD42" s="65" t="n">
        <f aca="false">IF(50&lt;$C$19,0,$M$19*$H$19*(1+$C$26))</f>
        <v>1617</v>
      </c>
      <c r="BE42" s="65" t="n">
        <f aca="false">IF(51&lt;$C$19,0,$M$19*$H$19*(1+$C$26))</f>
        <v>1617</v>
      </c>
      <c r="BF42" s="65" t="n">
        <f aca="false">IF(52&lt;$C$19,0,$M$19*$H$19*(1+$C$26))</f>
        <v>1617</v>
      </c>
      <c r="BG42" s="65" t="n">
        <f aca="false">IF(53&lt;$C$19,0,$M$19*$H$19*(1+$C$26))</f>
        <v>1617</v>
      </c>
      <c r="BH42" s="65" t="n">
        <f aca="false">IF(54&lt;$C$19,0,$M$19*$H$19*(1+$C$26))</f>
        <v>1617</v>
      </c>
      <c r="BI42" s="65" t="n">
        <f aca="false">IF(55&lt;$C$19,0,$M$19*$H$19*(1+$C$26))</f>
        <v>1617</v>
      </c>
      <c r="BJ42" s="65" t="n">
        <f aca="false">IF(56&lt;$C$19,0,$M$19*$H$19*(1+$C$26))</f>
        <v>1617</v>
      </c>
      <c r="BK42" s="65" t="n">
        <f aca="false">IF(57&lt;$C$19,0,$M$19*$H$19*(1+$C$26))</f>
        <v>1617</v>
      </c>
      <c r="BL42" s="65" t="n">
        <f aca="false">IF(58&lt;$C$19,0,$M$19*$H$19*(1+$C$26))</f>
        <v>1617</v>
      </c>
      <c r="BM42" s="65" t="n">
        <f aca="false">IF(59&lt;$C$19,0,$M$19*$H$19*(1+$C$26))</f>
        <v>1617</v>
      </c>
      <c r="BN42" s="65" t="n">
        <f aca="false">IF(60&lt;$C$19,0,$M$19*$H$19*(1+$C$26))</f>
        <v>1617</v>
      </c>
    </row>
    <row r="43" customFormat="false" ht="15" hidden="false" customHeight="false" outlineLevel="0" collapsed="false">
      <c r="A43" s="12" t="s">
        <v>773</v>
      </c>
      <c r="B43" s="64" t="n">
        <f aca="false">SUM(C43:N43)</f>
        <v>0</v>
      </c>
      <c r="C43" s="65" t="n">
        <f aca="false">IF(1&lt;$C$20,0,$I$20*$D$20*(1+$C$26))</f>
        <v>0</v>
      </c>
      <c r="D43" s="65" t="n">
        <f aca="false">IF(2&lt;$C$20,0,$I$20*$D$20*(1+$C$26))</f>
        <v>0</v>
      </c>
      <c r="E43" s="65" t="n">
        <f aca="false">IF(3&lt;$C$20,0,$I$20*$D$20*(1+$C$26))</f>
        <v>0</v>
      </c>
      <c r="F43" s="65" t="n">
        <f aca="false">IF(4&lt;$C$20,0,$I$20*$D$20*(1+$C$26))</f>
        <v>0</v>
      </c>
      <c r="G43" s="65" t="n">
        <f aca="false">IF(5&lt;$C$20,0,$I$20*$D$20*(1+$C$26))</f>
        <v>0</v>
      </c>
      <c r="H43" s="65" t="n">
        <f aca="false">IF(6&lt;$C$20,0,$I$20*$D$20*(1+$C$26))</f>
        <v>0</v>
      </c>
      <c r="I43" s="65" t="n">
        <f aca="false">IF(7&lt;$C$20,0,$I$20*$D$20*(1+$C$26))</f>
        <v>0</v>
      </c>
      <c r="J43" s="65" t="n">
        <f aca="false">IF(8&lt;$C$20,0,$I$20*$D$20*(1+$C$26))</f>
        <v>0</v>
      </c>
      <c r="K43" s="65" t="n">
        <f aca="false">IF(9&lt;$C$20,0,$I$20*$D$20*(1+$C$26))</f>
        <v>0</v>
      </c>
      <c r="L43" s="65" t="n">
        <f aca="false">IF(10&lt;$C$20,0,$I$20*$D$20*(1+$C$26))</f>
        <v>0</v>
      </c>
      <c r="M43" s="65" t="n">
        <f aca="false">IF(11&lt;$C$20,0,$I$20*$D$20*(1+$C$26))</f>
        <v>0</v>
      </c>
      <c r="N43" s="65" t="n">
        <f aca="false">IF(12&lt;$C$20,0,$I$20*$D$20*(1+$C$26))</f>
        <v>0</v>
      </c>
      <c r="O43" s="64" t="n">
        <f aca="false">SUM(P43:AA43)</f>
        <v>0</v>
      </c>
      <c r="P43" s="65" t="n">
        <f aca="false">IF(13&lt;$C$20,0,$J$20*$E$20*(1+$C$26))</f>
        <v>0</v>
      </c>
      <c r="Q43" s="65" t="n">
        <f aca="false">IF(14&lt;$C$20,0,$J$20*$E$20*(1+$C$26))</f>
        <v>0</v>
      </c>
      <c r="R43" s="65" t="n">
        <f aca="false">IF(15&lt;$C$20,0,$J$20*$E$20*(1+$C$26))</f>
        <v>0</v>
      </c>
      <c r="S43" s="65" t="n">
        <f aca="false">IF(16&lt;$C$20,0,$J$20*$E$20*(1+$C$26))</f>
        <v>0</v>
      </c>
      <c r="T43" s="65" t="n">
        <f aca="false">IF(17&lt;$C$20,0,$J$20*$E$20*(1+$C$26))</f>
        <v>0</v>
      </c>
      <c r="U43" s="65" t="n">
        <f aca="false">IF(18&lt;$C$20,0,$J$20*$E$20*(1+$C$26))</f>
        <v>0</v>
      </c>
      <c r="V43" s="65" t="n">
        <f aca="false">IF(19&lt;$C$20,0,$J$20*$E$20*(1+$C$26))</f>
        <v>0</v>
      </c>
      <c r="W43" s="65" t="n">
        <f aca="false">IF(20&lt;$C$20,0,$J$20*$E$20*(1+$C$26))</f>
        <v>0</v>
      </c>
      <c r="X43" s="65" t="n">
        <f aca="false">IF(21&lt;$C$20,0,$J$20*$E$20*(1+$C$26))</f>
        <v>0</v>
      </c>
      <c r="Y43" s="65" t="n">
        <f aca="false">IF(22&lt;$C$20,0,$J$20*$E$20*(1+$C$26))</f>
        <v>0</v>
      </c>
      <c r="Z43" s="65" t="n">
        <f aca="false">IF(23&lt;$C$20,0,$J$20*$E$20*(1+$C$26))</f>
        <v>0</v>
      </c>
      <c r="AA43" s="65" t="n">
        <f aca="false">IF(24&lt;$C$20,0,$J$20*$E$20*(1+$C$26))</f>
        <v>0</v>
      </c>
      <c r="AB43" s="64" t="n">
        <f aca="false">SUM(AC43:AN43)</f>
        <v>12474</v>
      </c>
      <c r="AC43" s="65" t="n">
        <f aca="false">IF(25&lt;$C$20,0,$K$20*$F$20*(1+$C$26))</f>
        <v>1039.5</v>
      </c>
      <c r="AD43" s="65" t="n">
        <f aca="false">IF(26&lt;$C$20,0,$K$20*$F$20*(1+$C$26))</f>
        <v>1039.5</v>
      </c>
      <c r="AE43" s="65" t="n">
        <f aca="false">IF(27&lt;$C$20,0,$K$20*$F$20*(1+$C$26))</f>
        <v>1039.5</v>
      </c>
      <c r="AF43" s="65" t="n">
        <f aca="false">IF(28&lt;$C$20,0,$K$20*$F$20*(1+$C$26))</f>
        <v>1039.5</v>
      </c>
      <c r="AG43" s="65" t="n">
        <f aca="false">IF(29&lt;$C$20,0,$K$20*$F$20*(1+$C$26))</f>
        <v>1039.5</v>
      </c>
      <c r="AH43" s="65" t="n">
        <f aca="false">IF(30&lt;$C$20,0,$K$20*$F$20*(1+$C$26))</f>
        <v>1039.5</v>
      </c>
      <c r="AI43" s="65" t="n">
        <f aca="false">IF(31&lt;$C$20,0,$K$20*$F$20*(1+$C$26))</f>
        <v>1039.5</v>
      </c>
      <c r="AJ43" s="65" t="n">
        <f aca="false">IF(32&lt;$C$20,0,$K$20*$F$20*(1+$C$26))</f>
        <v>1039.5</v>
      </c>
      <c r="AK43" s="65" t="n">
        <f aca="false">IF(33&lt;$C$20,0,$K$20*$F$20*(1+$C$26))</f>
        <v>1039.5</v>
      </c>
      <c r="AL43" s="65" t="n">
        <f aca="false">IF(34&lt;$C$20,0,$K$20*$F$20*(1+$C$26))</f>
        <v>1039.5</v>
      </c>
      <c r="AM43" s="65" t="n">
        <f aca="false">IF(35&lt;$C$20,0,$K$20*$F$20*(1+$C$26))</f>
        <v>1039.5</v>
      </c>
      <c r="AN43" s="65" t="n">
        <f aca="false">IF(36&lt;$C$20,0,$K$20*$F$20*(1+$C$26))</f>
        <v>1039.5</v>
      </c>
      <c r="AO43" s="64" t="n">
        <f aca="false">SUM(AP43:BA43)</f>
        <v>13860</v>
      </c>
      <c r="AP43" s="65" t="n">
        <f aca="false">IF(37&lt;$C$20,0,$L$20*$G$20*(1+$C$26))</f>
        <v>1155</v>
      </c>
      <c r="AQ43" s="65" t="n">
        <f aca="false">IF(38&lt;$C$20,0,$L$20*$G$20*(1+$C$26))</f>
        <v>1155</v>
      </c>
      <c r="AR43" s="65" t="n">
        <f aca="false">IF(39&lt;$C$20,0,$L$20*$G$20*(1+$C$26))</f>
        <v>1155</v>
      </c>
      <c r="AS43" s="65" t="n">
        <f aca="false">IF(40&lt;$C$20,0,$L$20*$G$20*(1+$C$26))</f>
        <v>1155</v>
      </c>
      <c r="AT43" s="65" t="n">
        <f aca="false">IF(41&lt;$C$20,0,$L$20*$G$20*(1+$C$26))</f>
        <v>1155</v>
      </c>
      <c r="AU43" s="65" t="n">
        <f aca="false">IF(42&lt;$C$20,0,$L$20*$G$20*(1+$C$26))</f>
        <v>1155</v>
      </c>
      <c r="AV43" s="65" t="n">
        <f aca="false">IF(43&lt;$C$20,0,$L$20*$G$20*(1+$C$26))</f>
        <v>1155</v>
      </c>
      <c r="AW43" s="65" t="n">
        <f aca="false">IF(44&lt;$C$20,0,$L$20*$G$20*(1+$C$26))</f>
        <v>1155</v>
      </c>
      <c r="AX43" s="65" t="n">
        <f aca="false">IF(45&lt;$C$20,0,$L$20*$G$20*(1+$C$26))</f>
        <v>1155</v>
      </c>
      <c r="AY43" s="65" t="n">
        <f aca="false">IF(46&lt;$C$20,0,$L$20*$G$20*(1+$C$26))</f>
        <v>1155</v>
      </c>
      <c r="AZ43" s="65" t="n">
        <f aca="false">IF(47&lt;$C$20,0,$L$20*$G$20*(1+$C$26))</f>
        <v>1155</v>
      </c>
      <c r="BA43" s="65" t="n">
        <f aca="false">IF(48&lt;$C$20,0,$L$20*$G$20*(1+$C$26))</f>
        <v>1155</v>
      </c>
      <c r="BB43" s="64" t="n">
        <f aca="false">SUM(BC43:BN43)</f>
        <v>15246</v>
      </c>
      <c r="BC43" s="65" t="n">
        <f aca="false">IF(49&lt;$C$20,0,$M$20*$H$20*(1+$C$26))</f>
        <v>1270.5</v>
      </c>
      <c r="BD43" s="65" t="n">
        <f aca="false">IF(50&lt;$C$20,0,$M$20*$H$20*(1+$C$26))</f>
        <v>1270.5</v>
      </c>
      <c r="BE43" s="65" t="n">
        <f aca="false">IF(51&lt;$C$20,0,$M$20*$H$20*(1+$C$26))</f>
        <v>1270.5</v>
      </c>
      <c r="BF43" s="65" t="n">
        <f aca="false">IF(52&lt;$C$20,0,$M$20*$H$20*(1+$C$26))</f>
        <v>1270.5</v>
      </c>
      <c r="BG43" s="65" t="n">
        <f aca="false">IF(53&lt;$C$20,0,$M$20*$H$20*(1+$C$26))</f>
        <v>1270.5</v>
      </c>
      <c r="BH43" s="65" t="n">
        <f aca="false">IF(54&lt;$C$20,0,$M$20*$H$20*(1+$C$26))</f>
        <v>1270.5</v>
      </c>
      <c r="BI43" s="65" t="n">
        <f aca="false">IF(55&lt;$C$20,0,$M$20*$H$20*(1+$C$26))</f>
        <v>1270.5</v>
      </c>
      <c r="BJ43" s="65" t="n">
        <f aca="false">IF(56&lt;$C$20,0,$M$20*$H$20*(1+$C$26))</f>
        <v>1270.5</v>
      </c>
      <c r="BK43" s="65" t="n">
        <f aca="false">IF(57&lt;$C$20,0,$M$20*$H$20*(1+$C$26))</f>
        <v>1270.5</v>
      </c>
      <c r="BL43" s="65" t="n">
        <f aca="false">IF(58&lt;$C$20,0,$M$20*$H$20*(1+$C$26))</f>
        <v>1270.5</v>
      </c>
      <c r="BM43" s="65" t="n">
        <f aca="false">IF(59&lt;$C$20,0,$M$20*$H$20*(1+$C$26))</f>
        <v>1270.5</v>
      </c>
      <c r="BN43" s="65" t="n">
        <f aca="false">IF(60&lt;$C$20,0,$M$20*$H$20*(1+$C$26))</f>
        <v>1270.5</v>
      </c>
    </row>
    <row r="44" customFormat="false" ht="15" hidden="false" customHeight="false" outlineLevel="0" collapsed="false">
      <c r="A44" s="12" t="s">
        <v>774</v>
      </c>
      <c r="B44" s="64" t="n">
        <f aca="false">SUM(C44:N44)</f>
        <v>0</v>
      </c>
      <c r="C44" s="65" t="n">
        <f aca="false">IF(1&lt;$C$21,0,$I$21*$D$21*(1+$C$26))</f>
        <v>0</v>
      </c>
      <c r="D44" s="65" t="n">
        <f aca="false">IF(2&lt;$C$21,0,$I$21*$D$21*(1+$C$26))</f>
        <v>0</v>
      </c>
      <c r="E44" s="65" t="n">
        <f aca="false">IF(3&lt;$C$21,0,$I$21*$D$21*(1+$C$26))</f>
        <v>0</v>
      </c>
      <c r="F44" s="65" t="n">
        <f aca="false">IF(4&lt;$C$21,0,$I$21*$D$21*(1+$C$26))</f>
        <v>0</v>
      </c>
      <c r="G44" s="65" t="n">
        <f aca="false">IF(5&lt;$C$21,0,$I$21*$D$21*(1+$C$26))</f>
        <v>0</v>
      </c>
      <c r="H44" s="65" t="n">
        <f aca="false">IF(6&lt;$C$21,0,$I$21*$D$21*(1+$C$26))</f>
        <v>0</v>
      </c>
      <c r="I44" s="65" t="n">
        <f aca="false">IF(7&lt;$C$21,0,$I$21*$D$21*(1+$C$26))</f>
        <v>0</v>
      </c>
      <c r="J44" s="65" t="n">
        <f aca="false">IF(8&lt;$C$21,0,$I$21*$D$21*(1+$C$26))</f>
        <v>0</v>
      </c>
      <c r="K44" s="65" t="n">
        <f aca="false">IF(9&lt;$C$21,0,$I$21*$D$21*(1+$C$26))</f>
        <v>0</v>
      </c>
      <c r="L44" s="65" t="n">
        <f aca="false">IF(10&lt;$C$21,0,$I$21*$D$21*(1+$C$26))</f>
        <v>0</v>
      </c>
      <c r="M44" s="65" t="n">
        <f aca="false">IF(11&lt;$C$21,0,$I$21*$D$21*(1+$C$26))</f>
        <v>0</v>
      </c>
      <c r="N44" s="65" t="n">
        <f aca="false">IF(12&lt;$C$21,0,$I$21*$D$21*(1+$C$26))</f>
        <v>0</v>
      </c>
      <c r="O44" s="64" t="n">
        <f aca="false">SUM(P44:AA44)</f>
        <v>0</v>
      </c>
      <c r="P44" s="65" t="n">
        <f aca="false">IF(13&lt;$C$21,0,$J$21*$E$21*(1+$C$26))</f>
        <v>0</v>
      </c>
      <c r="Q44" s="65" t="n">
        <f aca="false">IF(14&lt;$C$21,0,$J$21*$E$21*(1+$C$26))</f>
        <v>0</v>
      </c>
      <c r="R44" s="65" t="n">
        <f aca="false">IF(15&lt;$C$21,0,$J$21*$E$21*(1+$C$26))</f>
        <v>0</v>
      </c>
      <c r="S44" s="65" t="n">
        <f aca="false">IF(16&lt;$C$21,0,$J$21*$E$21*(1+$C$26))</f>
        <v>0</v>
      </c>
      <c r="T44" s="65" t="n">
        <f aca="false">IF(17&lt;$C$21,0,$J$21*$E$21*(1+$C$26))</f>
        <v>0</v>
      </c>
      <c r="U44" s="65" t="n">
        <f aca="false">IF(18&lt;$C$21,0,$J$21*$E$21*(1+$C$26))</f>
        <v>0</v>
      </c>
      <c r="V44" s="65" t="n">
        <f aca="false">IF(19&lt;$C$21,0,$J$21*$E$21*(1+$C$26))</f>
        <v>0</v>
      </c>
      <c r="W44" s="65" t="n">
        <f aca="false">IF(20&lt;$C$21,0,$J$21*$E$21*(1+$C$26))</f>
        <v>0</v>
      </c>
      <c r="X44" s="65" t="n">
        <f aca="false">IF(21&lt;$C$21,0,$J$21*$E$21*(1+$C$26))</f>
        <v>0</v>
      </c>
      <c r="Y44" s="65" t="n">
        <f aca="false">IF(22&lt;$C$21,0,$J$21*$E$21*(1+$C$26))</f>
        <v>0</v>
      </c>
      <c r="Z44" s="65" t="n">
        <f aca="false">IF(23&lt;$C$21,0,$J$21*$E$21*(1+$C$26))</f>
        <v>0</v>
      </c>
      <c r="AA44" s="65" t="n">
        <f aca="false">IF(24&lt;$C$21,0,$J$21*$E$21*(1+$C$26))</f>
        <v>0</v>
      </c>
      <c r="AB44" s="64" t="n">
        <f aca="false">SUM(AC44:AN44)</f>
        <v>0</v>
      </c>
      <c r="AC44" s="65" t="n">
        <f aca="false">IF(25&lt;$C$21,0,$K$21*$F$21*(1+$C$26))</f>
        <v>0</v>
      </c>
      <c r="AD44" s="65" t="n">
        <f aca="false">IF(26&lt;$C$21,0,$K$21*$F$21*(1+$C$26))</f>
        <v>0</v>
      </c>
      <c r="AE44" s="65" t="n">
        <f aca="false">IF(27&lt;$C$21,0,$K$21*$F$21*(1+$C$26))</f>
        <v>0</v>
      </c>
      <c r="AF44" s="65" t="n">
        <f aca="false">IF(28&lt;$C$21,0,$K$21*$F$21*(1+$C$26))</f>
        <v>0</v>
      </c>
      <c r="AG44" s="65" t="n">
        <f aca="false">IF(29&lt;$C$21,0,$K$21*$F$21*(1+$C$26))</f>
        <v>0</v>
      </c>
      <c r="AH44" s="65" t="n">
        <f aca="false">IF(30&lt;$C$21,0,$K$21*$F$21*(1+$C$26))</f>
        <v>0</v>
      </c>
      <c r="AI44" s="65" t="n">
        <f aca="false">IF(31&lt;$C$21,0,$K$21*$F$21*(1+$C$26))</f>
        <v>0</v>
      </c>
      <c r="AJ44" s="65" t="n">
        <f aca="false">IF(32&lt;$C$21,0,$K$21*$F$21*(1+$C$26))</f>
        <v>0</v>
      </c>
      <c r="AK44" s="65" t="n">
        <f aca="false">IF(33&lt;$C$21,0,$K$21*$F$21*(1+$C$26))</f>
        <v>0</v>
      </c>
      <c r="AL44" s="65" t="n">
        <f aca="false">IF(34&lt;$C$21,0,$K$21*$F$21*(1+$C$26))</f>
        <v>0</v>
      </c>
      <c r="AM44" s="65" t="n">
        <f aca="false">IF(35&lt;$C$21,0,$K$21*$F$21*(1+$C$26))</f>
        <v>0</v>
      </c>
      <c r="AN44" s="65" t="n">
        <f aca="false">IF(36&lt;$C$21,0,$K$21*$F$21*(1+$C$26))</f>
        <v>0</v>
      </c>
      <c r="AO44" s="64" t="n">
        <f aca="false">SUM(AP44:BA44)</f>
        <v>11088</v>
      </c>
      <c r="AP44" s="65" t="n">
        <f aca="false">IF(37&lt;$C$21,0,$L$21*$G$21*(1+$C$26))</f>
        <v>924</v>
      </c>
      <c r="AQ44" s="65" t="n">
        <f aca="false">IF(38&lt;$C$21,0,$L$21*$G$21*(1+$C$26))</f>
        <v>924</v>
      </c>
      <c r="AR44" s="65" t="n">
        <f aca="false">IF(39&lt;$C$21,0,$L$21*$G$21*(1+$C$26))</f>
        <v>924</v>
      </c>
      <c r="AS44" s="65" t="n">
        <f aca="false">IF(40&lt;$C$21,0,$L$21*$G$21*(1+$C$26))</f>
        <v>924</v>
      </c>
      <c r="AT44" s="65" t="n">
        <f aca="false">IF(41&lt;$C$21,0,$L$21*$G$21*(1+$C$26))</f>
        <v>924</v>
      </c>
      <c r="AU44" s="65" t="n">
        <f aca="false">IF(42&lt;$C$21,0,$L$21*$G$21*(1+$C$26))</f>
        <v>924</v>
      </c>
      <c r="AV44" s="65" t="n">
        <f aca="false">IF(43&lt;$C$21,0,$L$21*$G$21*(1+$C$26))</f>
        <v>924</v>
      </c>
      <c r="AW44" s="65" t="n">
        <f aca="false">IF(44&lt;$C$21,0,$L$21*$G$21*(1+$C$26))</f>
        <v>924</v>
      </c>
      <c r="AX44" s="65" t="n">
        <f aca="false">IF(45&lt;$C$21,0,$L$21*$G$21*(1+$C$26))</f>
        <v>924</v>
      </c>
      <c r="AY44" s="65" t="n">
        <f aca="false">IF(46&lt;$C$21,0,$L$21*$G$21*(1+$C$26))</f>
        <v>924</v>
      </c>
      <c r="AZ44" s="65" t="n">
        <f aca="false">IF(47&lt;$C$21,0,$L$21*$G$21*(1+$C$26))</f>
        <v>924</v>
      </c>
      <c r="BA44" s="65" t="n">
        <f aca="false">IF(48&lt;$C$21,0,$L$21*$G$21*(1+$C$26))</f>
        <v>924</v>
      </c>
      <c r="BB44" s="64" t="n">
        <f aca="false">SUM(BC44:BN44)</f>
        <v>24948</v>
      </c>
      <c r="BC44" s="65" t="n">
        <f aca="false">IF(49&lt;$C$21,0,$M$21*$H$21*(1+$C$26))</f>
        <v>2079</v>
      </c>
      <c r="BD44" s="65" t="n">
        <f aca="false">IF(50&lt;$C$21,0,$M$21*$H$21*(1+$C$26))</f>
        <v>2079</v>
      </c>
      <c r="BE44" s="65" t="n">
        <f aca="false">IF(51&lt;$C$21,0,$M$21*$H$21*(1+$C$26))</f>
        <v>2079</v>
      </c>
      <c r="BF44" s="65" t="n">
        <f aca="false">IF(52&lt;$C$21,0,$M$21*$H$21*(1+$C$26))</f>
        <v>2079</v>
      </c>
      <c r="BG44" s="65" t="n">
        <f aca="false">IF(53&lt;$C$21,0,$M$21*$H$21*(1+$C$26))</f>
        <v>2079</v>
      </c>
      <c r="BH44" s="65" t="n">
        <f aca="false">IF(54&lt;$C$21,0,$M$21*$H$21*(1+$C$26))</f>
        <v>2079</v>
      </c>
      <c r="BI44" s="65" t="n">
        <f aca="false">IF(55&lt;$C$21,0,$M$21*$H$21*(1+$C$26))</f>
        <v>2079</v>
      </c>
      <c r="BJ44" s="65" t="n">
        <f aca="false">IF(56&lt;$C$21,0,$M$21*$H$21*(1+$C$26))</f>
        <v>2079</v>
      </c>
      <c r="BK44" s="65" t="n">
        <f aca="false">IF(57&lt;$C$21,0,$M$21*$H$21*(1+$C$26))</f>
        <v>2079</v>
      </c>
      <c r="BL44" s="65" t="n">
        <f aca="false">IF(58&lt;$C$21,0,$M$21*$H$21*(1+$C$26))</f>
        <v>2079</v>
      </c>
      <c r="BM44" s="65" t="n">
        <f aca="false">IF(59&lt;$C$21,0,$M$21*$H$21*(1+$C$26))</f>
        <v>2079</v>
      </c>
      <c r="BN44" s="65" t="n">
        <f aca="false">IF(60&lt;$C$21,0,$M$21*$H$21*(1+$C$26))</f>
        <v>2079</v>
      </c>
    </row>
    <row r="45" customFormat="false" ht="15" hidden="false" customHeight="false" outlineLevel="0" collapsed="false">
      <c r="A45" s="66" t="s">
        <v>781</v>
      </c>
      <c r="B45" s="67" t="n">
        <f aca="false">SUM(C45:N45)</f>
        <v>60984</v>
      </c>
      <c r="C45" s="68" t="n">
        <f aca="false">SUM(C30:C44)</f>
        <v>5082</v>
      </c>
      <c r="D45" s="68" t="n">
        <f aca="false">SUM(D30:D44)</f>
        <v>5082</v>
      </c>
      <c r="E45" s="68" t="n">
        <f aca="false">SUM(E30:E44)</f>
        <v>5082</v>
      </c>
      <c r="F45" s="68" t="n">
        <f aca="false">SUM(F30:F44)</f>
        <v>5082</v>
      </c>
      <c r="G45" s="68" t="n">
        <f aca="false">SUM(G30:G44)</f>
        <v>5082</v>
      </c>
      <c r="H45" s="68" t="n">
        <f aca="false">SUM(H30:H44)</f>
        <v>5082</v>
      </c>
      <c r="I45" s="68" t="n">
        <f aca="false">SUM(I30:I44)</f>
        <v>5082</v>
      </c>
      <c r="J45" s="68" t="n">
        <f aca="false">SUM(J30:J44)</f>
        <v>5082</v>
      </c>
      <c r="K45" s="68" t="n">
        <f aca="false">SUM(K30:K44)</f>
        <v>5082</v>
      </c>
      <c r="L45" s="68" t="n">
        <f aca="false">SUM(L30:L44)</f>
        <v>5082</v>
      </c>
      <c r="M45" s="68" t="n">
        <f aca="false">SUM(M30:M44)</f>
        <v>5082</v>
      </c>
      <c r="N45" s="68" t="n">
        <f aca="false">SUM(N30:N44)</f>
        <v>5082</v>
      </c>
      <c r="O45" s="67" t="n">
        <f aca="false">SUM(P45:AA45)</f>
        <v>127512</v>
      </c>
      <c r="P45" s="68" t="n">
        <f aca="false">SUM(P30:P44)</f>
        <v>10626</v>
      </c>
      <c r="Q45" s="68" t="n">
        <f aca="false">SUM(Q30:Q44)</f>
        <v>10626</v>
      </c>
      <c r="R45" s="68" t="n">
        <f aca="false">SUM(R30:R44)</f>
        <v>10626</v>
      </c>
      <c r="S45" s="68" t="n">
        <f aca="false">SUM(S30:S44)</f>
        <v>10626</v>
      </c>
      <c r="T45" s="68" t="n">
        <f aca="false">SUM(T30:T44)</f>
        <v>10626</v>
      </c>
      <c r="U45" s="68" t="n">
        <f aca="false">SUM(U30:U44)</f>
        <v>10626</v>
      </c>
      <c r="V45" s="68" t="n">
        <f aca="false">SUM(V30:V44)</f>
        <v>10626</v>
      </c>
      <c r="W45" s="68" t="n">
        <f aca="false">SUM(W30:W44)</f>
        <v>10626</v>
      </c>
      <c r="X45" s="68" t="n">
        <f aca="false">SUM(X30:X44)</f>
        <v>10626</v>
      </c>
      <c r="Y45" s="68" t="n">
        <f aca="false">SUM(Y30:Y44)</f>
        <v>10626</v>
      </c>
      <c r="Z45" s="68" t="n">
        <f aca="false">SUM(Z30:Z44)</f>
        <v>10626</v>
      </c>
      <c r="AA45" s="68" t="n">
        <f aca="false">SUM(AA30:AA44)</f>
        <v>10626</v>
      </c>
      <c r="AB45" s="67" t="n">
        <f aca="false">SUM(AC45:AN45)</f>
        <v>216216</v>
      </c>
      <c r="AC45" s="68" t="n">
        <f aca="false">SUM(AC30:AC44)</f>
        <v>18018</v>
      </c>
      <c r="AD45" s="68" t="n">
        <f aca="false">SUM(AD30:AD44)</f>
        <v>18018</v>
      </c>
      <c r="AE45" s="68" t="n">
        <f aca="false">SUM(AE30:AE44)</f>
        <v>18018</v>
      </c>
      <c r="AF45" s="68" t="n">
        <f aca="false">SUM(AF30:AF44)</f>
        <v>18018</v>
      </c>
      <c r="AG45" s="68" t="n">
        <f aca="false">SUM(AG30:AG44)</f>
        <v>18018</v>
      </c>
      <c r="AH45" s="68" t="n">
        <f aca="false">SUM(AH30:AH44)</f>
        <v>18018</v>
      </c>
      <c r="AI45" s="68" t="n">
        <f aca="false">SUM(AI30:AI44)</f>
        <v>18018</v>
      </c>
      <c r="AJ45" s="68" t="n">
        <f aca="false">SUM(AJ30:AJ44)</f>
        <v>18018</v>
      </c>
      <c r="AK45" s="68" t="n">
        <f aca="false">SUM(AK30:AK44)</f>
        <v>18018</v>
      </c>
      <c r="AL45" s="68" t="n">
        <f aca="false">SUM(AL30:AL44)</f>
        <v>18018</v>
      </c>
      <c r="AM45" s="68" t="n">
        <f aca="false">SUM(AM30:AM44)</f>
        <v>18018</v>
      </c>
      <c r="AN45" s="68" t="n">
        <f aca="false">SUM(AN30:AN44)</f>
        <v>18018</v>
      </c>
      <c r="AO45" s="67" t="n">
        <f aca="false">SUM(AP45:BA45)</f>
        <v>297990</v>
      </c>
      <c r="AP45" s="68" t="n">
        <f aca="false">SUM(AP30:AP44)</f>
        <v>24832.5</v>
      </c>
      <c r="AQ45" s="68" t="n">
        <f aca="false">SUM(AQ30:AQ44)</f>
        <v>24832.5</v>
      </c>
      <c r="AR45" s="68" t="n">
        <f aca="false">SUM(AR30:AR44)</f>
        <v>24832.5</v>
      </c>
      <c r="AS45" s="68" t="n">
        <f aca="false">SUM(AS30:AS44)</f>
        <v>24832.5</v>
      </c>
      <c r="AT45" s="68" t="n">
        <f aca="false">SUM(AT30:AT44)</f>
        <v>24832.5</v>
      </c>
      <c r="AU45" s="68" t="n">
        <f aca="false">SUM(AU30:AU44)</f>
        <v>24832.5</v>
      </c>
      <c r="AV45" s="68" t="n">
        <f aca="false">SUM(AV30:AV44)</f>
        <v>24832.5</v>
      </c>
      <c r="AW45" s="68" t="n">
        <f aca="false">SUM(AW30:AW44)</f>
        <v>24832.5</v>
      </c>
      <c r="AX45" s="68" t="n">
        <f aca="false">SUM(AX30:AX44)</f>
        <v>24832.5</v>
      </c>
      <c r="AY45" s="68" t="n">
        <f aca="false">SUM(AY30:AY44)</f>
        <v>24832.5</v>
      </c>
      <c r="AZ45" s="68" t="n">
        <f aca="false">SUM(AZ30:AZ44)</f>
        <v>24832.5</v>
      </c>
      <c r="BA45" s="68" t="n">
        <f aca="false">SUM(BA30:BA44)</f>
        <v>24832.5</v>
      </c>
      <c r="BB45" s="67" t="n">
        <f aca="false">SUM(BC45:BN45)</f>
        <v>374220</v>
      </c>
      <c r="BC45" s="68" t="n">
        <f aca="false">SUM(BC30:BC44)</f>
        <v>31185</v>
      </c>
      <c r="BD45" s="68" t="n">
        <f aca="false">SUM(BD30:BD44)</f>
        <v>31185</v>
      </c>
      <c r="BE45" s="68" t="n">
        <f aca="false">SUM(BE30:BE44)</f>
        <v>31185</v>
      </c>
      <c r="BF45" s="68" t="n">
        <f aca="false">SUM(BF30:BF44)</f>
        <v>31185</v>
      </c>
      <c r="BG45" s="68" t="n">
        <f aca="false">SUM(BG30:BG44)</f>
        <v>31185</v>
      </c>
      <c r="BH45" s="68" t="n">
        <f aca="false">SUM(BH30:BH44)</f>
        <v>31185</v>
      </c>
      <c r="BI45" s="68" t="n">
        <f aca="false">SUM(BI30:BI44)</f>
        <v>31185</v>
      </c>
      <c r="BJ45" s="68" t="n">
        <f aca="false">SUM(BJ30:BJ44)</f>
        <v>31185</v>
      </c>
      <c r="BK45" s="68" t="n">
        <f aca="false">SUM(BK30:BK44)</f>
        <v>31185</v>
      </c>
      <c r="BL45" s="68" t="n">
        <f aca="false">SUM(BL30:BL44)</f>
        <v>31185</v>
      </c>
      <c r="BM45" s="68" t="n">
        <f aca="false">SUM(BM30:BM44)</f>
        <v>31185</v>
      </c>
      <c r="BN45" s="68" t="n">
        <f aca="false">SUM(BN30:BN44)</f>
        <v>31185</v>
      </c>
    </row>
    <row r="47" customFormat="false" ht="16.5" hidden="false" customHeight="true" outlineLevel="0" collapsed="false">
      <c r="A47" s="15" t="s">
        <v>782</v>
      </c>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row>
    <row r="48" customFormat="false" ht="15" hidden="false" customHeight="true" outlineLevel="0" collapsed="false">
      <c r="A48" s="26" t="s">
        <v>481</v>
      </c>
      <c r="B48" s="61" t="s">
        <v>81</v>
      </c>
      <c r="C48" s="62" t="s">
        <v>482</v>
      </c>
      <c r="D48" s="62" t="s">
        <v>483</v>
      </c>
      <c r="E48" s="62" t="s">
        <v>484</v>
      </c>
      <c r="F48" s="62" t="s">
        <v>485</v>
      </c>
      <c r="G48" s="62" t="s">
        <v>486</v>
      </c>
      <c r="H48" s="62" t="s">
        <v>487</v>
      </c>
      <c r="I48" s="62" t="s">
        <v>488</v>
      </c>
      <c r="J48" s="62" t="s">
        <v>489</v>
      </c>
      <c r="K48" s="62" t="s">
        <v>490</v>
      </c>
      <c r="L48" s="62" t="s">
        <v>491</v>
      </c>
      <c r="M48" s="62" t="s">
        <v>492</v>
      </c>
      <c r="N48" s="62" t="s">
        <v>493</v>
      </c>
      <c r="O48" s="61" t="s">
        <v>82</v>
      </c>
      <c r="P48" s="63" t="s">
        <v>494</v>
      </c>
      <c r="Q48" s="63" t="s">
        <v>495</v>
      </c>
      <c r="R48" s="63" t="s">
        <v>496</v>
      </c>
      <c r="S48" s="63" t="s">
        <v>497</v>
      </c>
      <c r="T48" s="63" t="s">
        <v>498</v>
      </c>
      <c r="U48" s="63" t="s">
        <v>499</v>
      </c>
      <c r="V48" s="63" t="s">
        <v>500</v>
      </c>
      <c r="W48" s="63" t="s">
        <v>501</v>
      </c>
      <c r="X48" s="63" t="s">
        <v>502</v>
      </c>
      <c r="Y48" s="63" t="s">
        <v>503</v>
      </c>
      <c r="Z48" s="63" t="s">
        <v>504</v>
      </c>
      <c r="AA48" s="63" t="s">
        <v>505</v>
      </c>
      <c r="AB48" s="61" t="s">
        <v>83</v>
      </c>
      <c r="AC48" s="62" t="s">
        <v>506</v>
      </c>
      <c r="AD48" s="62" t="s">
        <v>507</v>
      </c>
      <c r="AE48" s="62" t="s">
        <v>508</v>
      </c>
      <c r="AF48" s="62" t="s">
        <v>509</v>
      </c>
      <c r="AG48" s="62" t="s">
        <v>510</v>
      </c>
      <c r="AH48" s="62" t="s">
        <v>511</v>
      </c>
      <c r="AI48" s="62" t="s">
        <v>512</v>
      </c>
      <c r="AJ48" s="62" t="s">
        <v>513</v>
      </c>
      <c r="AK48" s="62" t="s">
        <v>514</v>
      </c>
      <c r="AL48" s="62" t="s">
        <v>515</v>
      </c>
      <c r="AM48" s="62" t="s">
        <v>516</v>
      </c>
      <c r="AN48" s="62" t="s">
        <v>517</v>
      </c>
      <c r="AO48" s="61" t="s">
        <v>84</v>
      </c>
      <c r="AP48" s="63" t="s">
        <v>518</v>
      </c>
      <c r="AQ48" s="63" t="s">
        <v>519</v>
      </c>
      <c r="AR48" s="63" t="s">
        <v>520</v>
      </c>
      <c r="AS48" s="63" t="s">
        <v>521</v>
      </c>
      <c r="AT48" s="63" t="s">
        <v>522</v>
      </c>
      <c r="AU48" s="63" t="s">
        <v>523</v>
      </c>
      <c r="AV48" s="63" t="s">
        <v>524</v>
      </c>
      <c r="AW48" s="63" t="s">
        <v>525</v>
      </c>
      <c r="AX48" s="63" t="s">
        <v>526</v>
      </c>
      <c r="AY48" s="63" t="s">
        <v>527</v>
      </c>
      <c r="AZ48" s="63" t="s">
        <v>528</v>
      </c>
      <c r="BA48" s="63" t="s">
        <v>529</v>
      </c>
      <c r="BB48" s="61" t="s">
        <v>85</v>
      </c>
      <c r="BC48" s="62" t="s">
        <v>530</v>
      </c>
      <c r="BD48" s="62" t="s">
        <v>531</v>
      </c>
      <c r="BE48" s="62" t="s">
        <v>532</v>
      </c>
      <c r="BF48" s="62" t="s">
        <v>533</v>
      </c>
      <c r="BG48" s="62" t="s">
        <v>534</v>
      </c>
      <c r="BH48" s="62" t="s">
        <v>535</v>
      </c>
      <c r="BI48" s="62" t="s">
        <v>536</v>
      </c>
      <c r="BJ48" s="62" t="s">
        <v>537</v>
      </c>
      <c r="BK48" s="62" t="s">
        <v>538</v>
      </c>
      <c r="BL48" s="62" t="s">
        <v>539</v>
      </c>
      <c r="BM48" s="62" t="s">
        <v>540</v>
      </c>
      <c r="BN48" s="62" t="s">
        <v>541</v>
      </c>
    </row>
    <row r="49" customFormat="false" ht="15" hidden="false" customHeight="false" outlineLevel="0" collapsed="false">
      <c r="A49" s="12" t="s">
        <v>760</v>
      </c>
      <c r="B49" s="78" t="n">
        <f aca="false">N49</f>
        <v>1</v>
      </c>
      <c r="C49" s="79" t="n">
        <f aca="false">IF(1&lt;$C$7,0,$I$7)</f>
        <v>1</v>
      </c>
      <c r="D49" s="79" t="n">
        <f aca="false">IF(2&lt;$C$7,0,$I$7)</f>
        <v>1</v>
      </c>
      <c r="E49" s="79" t="n">
        <f aca="false">IF(3&lt;$C$7,0,$I$7)</f>
        <v>1</v>
      </c>
      <c r="F49" s="79" t="n">
        <f aca="false">IF(4&lt;$C$7,0,$I$7)</f>
        <v>1</v>
      </c>
      <c r="G49" s="79" t="n">
        <f aca="false">IF(5&lt;$C$7,0,$I$7)</f>
        <v>1</v>
      </c>
      <c r="H49" s="79" t="n">
        <f aca="false">IF(6&lt;$C$7,0,$I$7)</f>
        <v>1</v>
      </c>
      <c r="I49" s="79" t="n">
        <f aca="false">IF(7&lt;$C$7,0,$I$7)</f>
        <v>1</v>
      </c>
      <c r="J49" s="79" t="n">
        <f aca="false">IF(8&lt;$C$7,0,$I$7)</f>
        <v>1</v>
      </c>
      <c r="K49" s="79" t="n">
        <f aca="false">IF(9&lt;$C$7,0,$I$7)</f>
        <v>1</v>
      </c>
      <c r="L49" s="79" t="n">
        <f aca="false">IF(10&lt;$C$7,0,$I$7)</f>
        <v>1</v>
      </c>
      <c r="M49" s="79" t="n">
        <f aca="false">IF(11&lt;$C$7,0,$I$7)</f>
        <v>1</v>
      </c>
      <c r="N49" s="79" t="n">
        <f aca="false">IF(12&lt;$C$7,0,$I$7)</f>
        <v>1</v>
      </c>
      <c r="O49" s="78" t="n">
        <f aca="false">AA49</f>
        <v>1</v>
      </c>
      <c r="P49" s="79" t="n">
        <f aca="false">IF(13&lt;$C$7,0,$J$7)</f>
        <v>1</v>
      </c>
      <c r="Q49" s="79" t="n">
        <f aca="false">IF(14&lt;$C$7,0,$J$7)</f>
        <v>1</v>
      </c>
      <c r="R49" s="79" t="n">
        <f aca="false">IF(15&lt;$C$7,0,$J$7)</f>
        <v>1</v>
      </c>
      <c r="S49" s="79" t="n">
        <f aca="false">IF(16&lt;$C$7,0,$J$7)</f>
        <v>1</v>
      </c>
      <c r="T49" s="79" t="n">
        <f aca="false">IF(17&lt;$C$7,0,$J$7)</f>
        <v>1</v>
      </c>
      <c r="U49" s="79" t="n">
        <f aca="false">IF(18&lt;$C$7,0,$J$7)</f>
        <v>1</v>
      </c>
      <c r="V49" s="79" t="n">
        <f aca="false">IF(19&lt;$C$7,0,$J$7)</f>
        <v>1</v>
      </c>
      <c r="W49" s="79" t="n">
        <f aca="false">IF(20&lt;$C$7,0,$J$7)</f>
        <v>1</v>
      </c>
      <c r="X49" s="79" t="n">
        <f aca="false">IF(21&lt;$C$7,0,$J$7)</f>
        <v>1</v>
      </c>
      <c r="Y49" s="79" t="n">
        <f aca="false">IF(22&lt;$C$7,0,$J$7)</f>
        <v>1</v>
      </c>
      <c r="Z49" s="79" t="n">
        <f aca="false">IF(23&lt;$C$7,0,$J$7)</f>
        <v>1</v>
      </c>
      <c r="AA49" s="79" t="n">
        <f aca="false">IF(24&lt;$C$7,0,$J$7)</f>
        <v>1</v>
      </c>
      <c r="AB49" s="78" t="n">
        <f aca="false">AN49</f>
        <v>1</v>
      </c>
      <c r="AC49" s="79" t="n">
        <f aca="false">IF(25&lt;$C$7,0,$K$7)</f>
        <v>1</v>
      </c>
      <c r="AD49" s="79" t="n">
        <f aca="false">IF(26&lt;$C$7,0,$K$7)</f>
        <v>1</v>
      </c>
      <c r="AE49" s="79" t="n">
        <f aca="false">IF(27&lt;$C$7,0,$K$7)</f>
        <v>1</v>
      </c>
      <c r="AF49" s="79" t="n">
        <f aca="false">IF(28&lt;$C$7,0,$K$7)</f>
        <v>1</v>
      </c>
      <c r="AG49" s="79" t="n">
        <f aca="false">IF(29&lt;$C$7,0,$K$7)</f>
        <v>1</v>
      </c>
      <c r="AH49" s="79" t="n">
        <f aca="false">IF(30&lt;$C$7,0,$K$7)</f>
        <v>1</v>
      </c>
      <c r="AI49" s="79" t="n">
        <f aca="false">IF(31&lt;$C$7,0,$K$7)</f>
        <v>1</v>
      </c>
      <c r="AJ49" s="79" t="n">
        <f aca="false">IF(32&lt;$C$7,0,$K$7)</f>
        <v>1</v>
      </c>
      <c r="AK49" s="79" t="n">
        <f aca="false">IF(33&lt;$C$7,0,$K$7)</f>
        <v>1</v>
      </c>
      <c r="AL49" s="79" t="n">
        <f aca="false">IF(34&lt;$C$7,0,$K$7)</f>
        <v>1</v>
      </c>
      <c r="AM49" s="79" t="n">
        <f aca="false">IF(35&lt;$C$7,0,$K$7)</f>
        <v>1</v>
      </c>
      <c r="AN49" s="79" t="n">
        <f aca="false">IF(36&lt;$C$7,0,$K$7)</f>
        <v>1</v>
      </c>
      <c r="AO49" s="78" t="n">
        <f aca="false">BA49</f>
        <v>1</v>
      </c>
      <c r="AP49" s="79" t="n">
        <f aca="false">IF(37&lt;$C$7,0,$L$7)</f>
        <v>1</v>
      </c>
      <c r="AQ49" s="79" t="n">
        <f aca="false">IF(38&lt;$C$7,0,$L$7)</f>
        <v>1</v>
      </c>
      <c r="AR49" s="79" t="n">
        <f aca="false">IF(39&lt;$C$7,0,$L$7)</f>
        <v>1</v>
      </c>
      <c r="AS49" s="79" t="n">
        <f aca="false">IF(40&lt;$C$7,0,$L$7)</f>
        <v>1</v>
      </c>
      <c r="AT49" s="79" t="n">
        <f aca="false">IF(41&lt;$C$7,0,$L$7)</f>
        <v>1</v>
      </c>
      <c r="AU49" s="79" t="n">
        <f aca="false">IF(42&lt;$C$7,0,$L$7)</f>
        <v>1</v>
      </c>
      <c r="AV49" s="79" t="n">
        <f aca="false">IF(43&lt;$C$7,0,$L$7)</f>
        <v>1</v>
      </c>
      <c r="AW49" s="79" t="n">
        <f aca="false">IF(44&lt;$C$7,0,$L$7)</f>
        <v>1</v>
      </c>
      <c r="AX49" s="79" t="n">
        <f aca="false">IF(45&lt;$C$7,0,$L$7)</f>
        <v>1</v>
      </c>
      <c r="AY49" s="79" t="n">
        <f aca="false">IF(46&lt;$C$7,0,$L$7)</f>
        <v>1</v>
      </c>
      <c r="AZ49" s="79" t="n">
        <f aca="false">IF(47&lt;$C$7,0,$L$7)</f>
        <v>1</v>
      </c>
      <c r="BA49" s="79" t="n">
        <f aca="false">IF(48&lt;$C$7,0,$L$7)</f>
        <v>1</v>
      </c>
      <c r="BB49" s="78" t="n">
        <f aca="false">BN49</f>
        <v>1</v>
      </c>
      <c r="BC49" s="79" t="n">
        <f aca="false">IF(49&lt;$C$7,0,$M$7)</f>
        <v>1</v>
      </c>
      <c r="BD49" s="79" t="n">
        <f aca="false">IF(50&lt;$C$7,0,$M$7)</f>
        <v>1</v>
      </c>
      <c r="BE49" s="79" t="n">
        <f aca="false">IF(51&lt;$C$7,0,$M$7)</f>
        <v>1</v>
      </c>
      <c r="BF49" s="79" t="n">
        <f aca="false">IF(52&lt;$C$7,0,$M$7)</f>
        <v>1</v>
      </c>
      <c r="BG49" s="79" t="n">
        <f aca="false">IF(53&lt;$C$7,0,$M$7)</f>
        <v>1</v>
      </c>
      <c r="BH49" s="79" t="n">
        <f aca="false">IF(54&lt;$C$7,0,$M$7)</f>
        <v>1</v>
      </c>
      <c r="BI49" s="79" t="n">
        <f aca="false">IF(55&lt;$C$7,0,$M$7)</f>
        <v>1</v>
      </c>
      <c r="BJ49" s="79" t="n">
        <f aca="false">IF(56&lt;$C$7,0,$M$7)</f>
        <v>1</v>
      </c>
      <c r="BK49" s="79" t="n">
        <f aca="false">IF(57&lt;$C$7,0,$M$7)</f>
        <v>1</v>
      </c>
      <c r="BL49" s="79" t="n">
        <f aca="false">IF(58&lt;$C$7,0,$M$7)</f>
        <v>1</v>
      </c>
      <c r="BM49" s="79" t="n">
        <f aca="false">IF(59&lt;$C$7,0,$M$7)</f>
        <v>1</v>
      </c>
      <c r="BN49" s="79" t="n">
        <f aca="false">IF(60&lt;$C$7,0,$M$7)</f>
        <v>1</v>
      </c>
    </row>
    <row r="50" customFormat="false" ht="15" hidden="false" customHeight="false" outlineLevel="0" collapsed="false">
      <c r="A50" s="12" t="s">
        <v>761</v>
      </c>
      <c r="B50" s="78" t="n">
        <f aca="false">N50</f>
        <v>1</v>
      </c>
      <c r="C50" s="79" t="n">
        <f aca="false">IF(1&lt;$C$8,0,$I$8)</f>
        <v>1</v>
      </c>
      <c r="D50" s="79" t="n">
        <f aca="false">IF(2&lt;$C$8,0,$I$8)</f>
        <v>1</v>
      </c>
      <c r="E50" s="79" t="n">
        <f aca="false">IF(3&lt;$C$8,0,$I$8)</f>
        <v>1</v>
      </c>
      <c r="F50" s="79" t="n">
        <f aca="false">IF(4&lt;$C$8,0,$I$8)</f>
        <v>1</v>
      </c>
      <c r="G50" s="79" t="n">
        <f aca="false">IF(5&lt;$C$8,0,$I$8)</f>
        <v>1</v>
      </c>
      <c r="H50" s="79" t="n">
        <f aca="false">IF(6&lt;$C$8,0,$I$8)</f>
        <v>1</v>
      </c>
      <c r="I50" s="79" t="n">
        <f aca="false">IF(7&lt;$C$8,0,$I$8)</f>
        <v>1</v>
      </c>
      <c r="J50" s="79" t="n">
        <f aca="false">IF(8&lt;$C$8,0,$I$8)</f>
        <v>1</v>
      </c>
      <c r="K50" s="79" t="n">
        <f aca="false">IF(9&lt;$C$8,0,$I$8)</f>
        <v>1</v>
      </c>
      <c r="L50" s="79" t="n">
        <f aca="false">IF(10&lt;$C$8,0,$I$8)</f>
        <v>1</v>
      </c>
      <c r="M50" s="79" t="n">
        <f aca="false">IF(11&lt;$C$8,0,$I$8)</f>
        <v>1</v>
      </c>
      <c r="N50" s="79" t="n">
        <f aca="false">IF(12&lt;$C$8,0,$I$8)</f>
        <v>1</v>
      </c>
      <c r="O50" s="78" t="n">
        <f aca="false">AA50</f>
        <v>1</v>
      </c>
      <c r="P50" s="79" t="n">
        <f aca="false">IF(13&lt;$C$8,0,$J$8)</f>
        <v>1</v>
      </c>
      <c r="Q50" s="79" t="n">
        <f aca="false">IF(14&lt;$C$8,0,$J$8)</f>
        <v>1</v>
      </c>
      <c r="R50" s="79" t="n">
        <f aca="false">IF(15&lt;$C$8,0,$J$8)</f>
        <v>1</v>
      </c>
      <c r="S50" s="79" t="n">
        <f aca="false">IF(16&lt;$C$8,0,$J$8)</f>
        <v>1</v>
      </c>
      <c r="T50" s="79" t="n">
        <f aca="false">IF(17&lt;$C$8,0,$J$8)</f>
        <v>1</v>
      </c>
      <c r="U50" s="79" t="n">
        <f aca="false">IF(18&lt;$C$8,0,$J$8)</f>
        <v>1</v>
      </c>
      <c r="V50" s="79" t="n">
        <f aca="false">IF(19&lt;$C$8,0,$J$8)</f>
        <v>1</v>
      </c>
      <c r="W50" s="79" t="n">
        <f aca="false">IF(20&lt;$C$8,0,$J$8)</f>
        <v>1</v>
      </c>
      <c r="X50" s="79" t="n">
        <f aca="false">IF(21&lt;$C$8,0,$J$8)</f>
        <v>1</v>
      </c>
      <c r="Y50" s="79" t="n">
        <f aca="false">IF(22&lt;$C$8,0,$J$8)</f>
        <v>1</v>
      </c>
      <c r="Z50" s="79" t="n">
        <f aca="false">IF(23&lt;$C$8,0,$J$8)</f>
        <v>1</v>
      </c>
      <c r="AA50" s="79" t="n">
        <f aca="false">IF(24&lt;$C$8,0,$J$8)</f>
        <v>1</v>
      </c>
      <c r="AB50" s="78" t="n">
        <f aca="false">AN50</f>
        <v>1</v>
      </c>
      <c r="AC50" s="79" t="n">
        <f aca="false">IF(25&lt;$C$8,0,$K$8)</f>
        <v>1</v>
      </c>
      <c r="AD50" s="79" t="n">
        <f aca="false">IF(26&lt;$C$8,0,$K$8)</f>
        <v>1</v>
      </c>
      <c r="AE50" s="79" t="n">
        <f aca="false">IF(27&lt;$C$8,0,$K$8)</f>
        <v>1</v>
      </c>
      <c r="AF50" s="79" t="n">
        <f aca="false">IF(28&lt;$C$8,0,$K$8)</f>
        <v>1</v>
      </c>
      <c r="AG50" s="79" t="n">
        <f aca="false">IF(29&lt;$C$8,0,$K$8)</f>
        <v>1</v>
      </c>
      <c r="AH50" s="79" t="n">
        <f aca="false">IF(30&lt;$C$8,0,$K$8)</f>
        <v>1</v>
      </c>
      <c r="AI50" s="79" t="n">
        <f aca="false">IF(31&lt;$C$8,0,$K$8)</f>
        <v>1</v>
      </c>
      <c r="AJ50" s="79" t="n">
        <f aca="false">IF(32&lt;$C$8,0,$K$8)</f>
        <v>1</v>
      </c>
      <c r="AK50" s="79" t="n">
        <f aca="false">IF(33&lt;$C$8,0,$K$8)</f>
        <v>1</v>
      </c>
      <c r="AL50" s="79" t="n">
        <f aca="false">IF(34&lt;$C$8,0,$K$8)</f>
        <v>1</v>
      </c>
      <c r="AM50" s="79" t="n">
        <f aca="false">IF(35&lt;$C$8,0,$K$8)</f>
        <v>1</v>
      </c>
      <c r="AN50" s="79" t="n">
        <f aca="false">IF(36&lt;$C$8,0,$K$8)</f>
        <v>1</v>
      </c>
      <c r="AO50" s="78" t="n">
        <f aca="false">BA50</f>
        <v>1</v>
      </c>
      <c r="AP50" s="79" t="n">
        <f aca="false">IF(37&lt;$C$8,0,$L$8)</f>
        <v>1</v>
      </c>
      <c r="AQ50" s="79" t="n">
        <f aca="false">IF(38&lt;$C$8,0,$L$8)</f>
        <v>1</v>
      </c>
      <c r="AR50" s="79" t="n">
        <f aca="false">IF(39&lt;$C$8,0,$L$8)</f>
        <v>1</v>
      </c>
      <c r="AS50" s="79" t="n">
        <f aca="false">IF(40&lt;$C$8,0,$L$8)</f>
        <v>1</v>
      </c>
      <c r="AT50" s="79" t="n">
        <f aca="false">IF(41&lt;$C$8,0,$L$8)</f>
        <v>1</v>
      </c>
      <c r="AU50" s="79" t="n">
        <f aca="false">IF(42&lt;$C$8,0,$L$8)</f>
        <v>1</v>
      </c>
      <c r="AV50" s="79" t="n">
        <f aca="false">IF(43&lt;$C$8,0,$L$8)</f>
        <v>1</v>
      </c>
      <c r="AW50" s="79" t="n">
        <f aca="false">IF(44&lt;$C$8,0,$L$8)</f>
        <v>1</v>
      </c>
      <c r="AX50" s="79" t="n">
        <f aca="false">IF(45&lt;$C$8,0,$L$8)</f>
        <v>1</v>
      </c>
      <c r="AY50" s="79" t="n">
        <f aca="false">IF(46&lt;$C$8,0,$L$8)</f>
        <v>1</v>
      </c>
      <c r="AZ50" s="79" t="n">
        <f aca="false">IF(47&lt;$C$8,0,$L$8)</f>
        <v>1</v>
      </c>
      <c r="BA50" s="79" t="n">
        <f aca="false">IF(48&lt;$C$8,0,$L$8)</f>
        <v>1</v>
      </c>
      <c r="BB50" s="78" t="n">
        <f aca="false">BN50</f>
        <v>1</v>
      </c>
      <c r="BC50" s="79" t="n">
        <f aca="false">IF(49&lt;$C$8,0,$M$8)</f>
        <v>1</v>
      </c>
      <c r="BD50" s="79" t="n">
        <f aca="false">IF(50&lt;$C$8,0,$M$8)</f>
        <v>1</v>
      </c>
      <c r="BE50" s="79" t="n">
        <f aca="false">IF(51&lt;$C$8,0,$M$8)</f>
        <v>1</v>
      </c>
      <c r="BF50" s="79" t="n">
        <f aca="false">IF(52&lt;$C$8,0,$M$8)</f>
        <v>1</v>
      </c>
      <c r="BG50" s="79" t="n">
        <f aca="false">IF(53&lt;$C$8,0,$M$8)</f>
        <v>1</v>
      </c>
      <c r="BH50" s="79" t="n">
        <f aca="false">IF(54&lt;$C$8,0,$M$8)</f>
        <v>1</v>
      </c>
      <c r="BI50" s="79" t="n">
        <f aca="false">IF(55&lt;$C$8,0,$M$8)</f>
        <v>1</v>
      </c>
      <c r="BJ50" s="79" t="n">
        <f aca="false">IF(56&lt;$C$8,0,$M$8)</f>
        <v>1</v>
      </c>
      <c r="BK50" s="79" t="n">
        <f aca="false">IF(57&lt;$C$8,0,$M$8)</f>
        <v>1</v>
      </c>
      <c r="BL50" s="79" t="n">
        <f aca="false">IF(58&lt;$C$8,0,$M$8)</f>
        <v>1</v>
      </c>
      <c r="BM50" s="79" t="n">
        <f aca="false">IF(59&lt;$C$8,0,$M$8)</f>
        <v>1</v>
      </c>
      <c r="BN50" s="79" t="n">
        <f aca="false">IF(60&lt;$C$8,0,$M$8)</f>
        <v>1</v>
      </c>
    </row>
    <row r="51" customFormat="false" ht="15" hidden="false" customHeight="false" outlineLevel="0" collapsed="false">
      <c r="A51" s="12" t="s">
        <v>762</v>
      </c>
      <c r="B51" s="78" t="n">
        <f aca="false">N51</f>
        <v>1</v>
      </c>
      <c r="C51" s="79" t="n">
        <f aca="false">IF(1&lt;$C$9,0,$I$9)</f>
        <v>1</v>
      </c>
      <c r="D51" s="79" t="n">
        <f aca="false">IF(2&lt;$C$9,0,$I$9)</f>
        <v>1</v>
      </c>
      <c r="E51" s="79" t="n">
        <f aca="false">IF(3&lt;$C$9,0,$I$9)</f>
        <v>1</v>
      </c>
      <c r="F51" s="79" t="n">
        <f aca="false">IF(4&lt;$C$9,0,$I$9)</f>
        <v>1</v>
      </c>
      <c r="G51" s="79" t="n">
        <f aca="false">IF(5&lt;$C$9,0,$I$9)</f>
        <v>1</v>
      </c>
      <c r="H51" s="79" t="n">
        <f aca="false">IF(6&lt;$C$9,0,$I$9)</f>
        <v>1</v>
      </c>
      <c r="I51" s="79" t="n">
        <f aca="false">IF(7&lt;$C$9,0,$I$9)</f>
        <v>1</v>
      </c>
      <c r="J51" s="79" t="n">
        <f aca="false">IF(8&lt;$C$9,0,$I$9)</f>
        <v>1</v>
      </c>
      <c r="K51" s="79" t="n">
        <f aca="false">IF(9&lt;$C$9,0,$I$9)</f>
        <v>1</v>
      </c>
      <c r="L51" s="79" t="n">
        <f aca="false">IF(10&lt;$C$9,0,$I$9)</f>
        <v>1</v>
      </c>
      <c r="M51" s="79" t="n">
        <f aca="false">IF(11&lt;$C$9,0,$I$9)</f>
        <v>1</v>
      </c>
      <c r="N51" s="79" t="n">
        <f aca="false">IF(12&lt;$C$9,0,$I$9)</f>
        <v>1</v>
      </c>
      <c r="O51" s="78" t="n">
        <f aca="false">AA51</f>
        <v>1</v>
      </c>
      <c r="P51" s="79" t="n">
        <f aca="false">IF(13&lt;$C$9,0,$J$9)</f>
        <v>1</v>
      </c>
      <c r="Q51" s="79" t="n">
        <f aca="false">IF(14&lt;$C$9,0,$J$9)</f>
        <v>1</v>
      </c>
      <c r="R51" s="79" t="n">
        <f aca="false">IF(15&lt;$C$9,0,$J$9)</f>
        <v>1</v>
      </c>
      <c r="S51" s="79" t="n">
        <f aca="false">IF(16&lt;$C$9,0,$J$9)</f>
        <v>1</v>
      </c>
      <c r="T51" s="79" t="n">
        <f aca="false">IF(17&lt;$C$9,0,$J$9)</f>
        <v>1</v>
      </c>
      <c r="U51" s="79" t="n">
        <f aca="false">IF(18&lt;$C$9,0,$J$9)</f>
        <v>1</v>
      </c>
      <c r="V51" s="79" t="n">
        <f aca="false">IF(19&lt;$C$9,0,$J$9)</f>
        <v>1</v>
      </c>
      <c r="W51" s="79" t="n">
        <f aca="false">IF(20&lt;$C$9,0,$J$9)</f>
        <v>1</v>
      </c>
      <c r="X51" s="79" t="n">
        <f aca="false">IF(21&lt;$C$9,0,$J$9)</f>
        <v>1</v>
      </c>
      <c r="Y51" s="79" t="n">
        <f aca="false">IF(22&lt;$C$9,0,$J$9)</f>
        <v>1</v>
      </c>
      <c r="Z51" s="79" t="n">
        <f aca="false">IF(23&lt;$C$9,0,$J$9)</f>
        <v>1</v>
      </c>
      <c r="AA51" s="79" t="n">
        <f aca="false">IF(24&lt;$C$9,0,$J$9)</f>
        <v>1</v>
      </c>
      <c r="AB51" s="78" t="n">
        <f aca="false">AN51</f>
        <v>1</v>
      </c>
      <c r="AC51" s="79" t="n">
        <f aca="false">IF(25&lt;$C$9,0,$K$9)</f>
        <v>1</v>
      </c>
      <c r="AD51" s="79" t="n">
        <f aca="false">IF(26&lt;$C$9,0,$K$9)</f>
        <v>1</v>
      </c>
      <c r="AE51" s="79" t="n">
        <f aca="false">IF(27&lt;$C$9,0,$K$9)</f>
        <v>1</v>
      </c>
      <c r="AF51" s="79" t="n">
        <f aca="false">IF(28&lt;$C$9,0,$K$9)</f>
        <v>1</v>
      </c>
      <c r="AG51" s="79" t="n">
        <f aca="false">IF(29&lt;$C$9,0,$K$9)</f>
        <v>1</v>
      </c>
      <c r="AH51" s="79" t="n">
        <f aca="false">IF(30&lt;$C$9,0,$K$9)</f>
        <v>1</v>
      </c>
      <c r="AI51" s="79" t="n">
        <f aca="false">IF(31&lt;$C$9,0,$K$9)</f>
        <v>1</v>
      </c>
      <c r="AJ51" s="79" t="n">
        <f aca="false">IF(32&lt;$C$9,0,$K$9)</f>
        <v>1</v>
      </c>
      <c r="AK51" s="79" t="n">
        <f aca="false">IF(33&lt;$C$9,0,$K$9)</f>
        <v>1</v>
      </c>
      <c r="AL51" s="79" t="n">
        <f aca="false">IF(34&lt;$C$9,0,$K$9)</f>
        <v>1</v>
      </c>
      <c r="AM51" s="79" t="n">
        <f aca="false">IF(35&lt;$C$9,0,$K$9)</f>
        <v>1</v>
      </c>
      <c r="AN51" s="79" t="n">
        <f aca="false">IF(36&lt;$C$9,0,$K$9)</f>
        <v>1</v>
      </c>
      <c r="AO51" s="78" t="n">
        <f aca="false">BA51</f>
        <v>1</v>
      </c>
      <c r="AP51" s="79" t="n">
        <f aca="false">IF(37&lt;$C$9,0,$L$9)</f>
        <v>1</v>
      </c>
      <c r="AQ51" s="79" t="n">
        <f aca="false">IF(38&lt;$C$9,0,$L$9)</f>
        <v>1</v>
      </c>
      <c r="AR51" s="79" t="n">
        <f aca="false">IF(39&lt;$C$9,0,$L$9)</f>
        <v>1</v>
      </c>
      <c r="AS51" s="79" t="n">
        <f aca="false">IF(40&lt;$C$9,0,$L$9)</f>
        <v>1</v>
      </c>
      <c r="AT51" s="79" t="n">
        <f aca="false">IF(41&lt;$C$9,0,$L$9)</f>
        <v>1</v>
      </c>
      <c r="AU51" s="79" t="n">
        <f aca="false">IF(42&lt;$C$9,0,$L$9)</f>
        <v>1</v>
      </c>
      <c r="AV51" s="79" t="n">
        <f aca="false">IF(43&lt;$C$9,0,$L$9)</f>
        <v>1</v>
      </c>
      <c r="AW51" s="79" t="n">
        <f aca="false">IF(44&lt;$C$9,0,$L$9)</f>
        <v>1</v>
      </c>
      <c r="AX51" s="79" t="n">
        <f aca="false">IF(45&lt;$C$9,0,$L$9)</f>
        <v>1</v>
      </c>
      <c r="AY51" s="79" t="n">
        <f aca="false">IF(46&lt;$C$9,0,$L$9)</f>
        <v>1</v>
      </c>
      <c r="AZ51" s="79" t="n">
        <f aca="false">IF(47&lt;$C$9,0,$L$9)</f>
        <v>1</v>
      </c>
      <c r="BA51" s="79" t="n">
        <f aca="false">IF(48&lt;$C$9,0,$L$9)</f>
        <v>1</v>
      </c>
      <c r="BB51" s="78" t="n">
        <f aca="false">BN51</f>
        <v>1</v>
      </c>
      <c r="BC51" s="79" t="n">
        <f aca="false">IF(49&lt;$C$9,0,$M$9)</f>
        <v>1</v>
      </c>
      <c r="BD51" s="79" t="n">
        <f aca="false">IF(50&lt;$C$9,0,$M$9)</f>
        <v>1</v>
      </c>
      <c r="BE51" s="79" t="n">
        <f aca="false">IF(51&lt;$C$9,0,$M$9)</f>
        <v>1</v>
      </c>
      <c r="BF51" s="79" t="n">
        <f aca="false">IF(52&lt;$C$9,0,$M$9)</f>
        <v>1</v>
      </c>
      <c r="BG51" s="79" t="n">
        <f aca="false">IF(53&lt;$C$9,0,$M$9)</f>
        <v>1</v>
      </c>
      <c r="BH51" s="79" t="n">
        <f aca="false">IF(54&lt;$C$9,0,$M$9)</f>
        <v>1</v>
      </c>
      <c r="BI51" s="79" t="n">
        <f aca="false">IF(55&lt;$C$9,0,$M$9)</f>
        <v>1</v>
      </c>
      <c r="BJ51" s="79" t="n">
        <f aca="false">IF(56&lt;$C$9,0,$M$9)</f>
        <v>1</v>
      </c>
      <c r="BK51" s="79" t="n">
        <f aca="false">IF(57&lt;$C$9,0,$M$9)</f>
        <v>1</v>
      </c>
      <c r="BL51" s="79" t="n">
        <f aca="false">IF(58&lt;$C$9,0,$M$9)</f>
        <v>1</v>
      </c>
      <c r="BM51" s="79" t="n">
        <f aca="false">IF(59&lt;$C$9,0,$M$9)</f>
        <v>1</v>
      </c>
      <c r="BN51" s="79" t="n">
        <f aca="false">IF(60&lt;$C$9,0,$M$9)</f>
        <v>1</v>
      </c>
    </row>
    <row r="52" customFormat="false" ht="15" hidden="false" customHeight="false" outlineLevel="0" collapsed="false">
      <c r="A52" s="12" t="s">
        <v>763</v>
      </c>
      <c r="B52" s="78" t="n">
        <f aca="false">N52</f>
        <v>1</v>
      </c>
      <c r="C52" s="79" t="n">
        <f aca="false">IF(1&lt;$C$10,0,$I$10)</f>
        <v>1</v>
      </c>
      <c r="D52" s="79" t="n">
        <f aca="false">IF(2&lt;$C$10,0,$I$10)</f>
        <v>1</v>
      </c>
      <c r="E52" s="79" t="n">
        <f aca="false">IF(3&lt;$C$10,0,$I$10)</f>
        <v>1</v>
      </c>
      <c r="F52" s="79" t="n">
        <f aca="false">IF(4&lt;$C$10,0,$I$10)</f>
        <v>1</v>
      </c>
      <c r="G52" s="79" t="n">
        <f aca="false">IF(5&lt;$C$10,0,$I$10)</f>
        <v>1</v>
      </c>
      <c r="H52" s="79" t="n">
        <f aca="false">IF(6&lt;$C$10,0,$I$10)</f>
        <v>1</v>
      </c>
      <c r="I52" s="79" t="n">
        <f aca="false">IF(7&lt;$C$10,0,$I$10)</f>
        <v>1</v>
      </c>
      <c r="J52" s="79" t="n">
        <f aca="false">IF(8&lt;$C$10,0,$I$10)</f>
        <v>1</v>
      </c>
      <c r="K52" s="79" t="n">
        <f aca="false">IF(9&lt;$C$10,0,$I$10)</f>
        <v>1</v>
      </c>
      <c r="L52" s="79" t="n">
        <f aca="false">IF(10&lt;$C$10,0,$I$10)</f>
        <v>1</v>
      </c>
      <c r="M52" s="79" t="n">
        <f aca="false">IF(11&lt;$C$10,0,$I$10)</f>
        <v>1</v>
      </c>
      <c r="N52" s="79" t="n">
        <f aca="false">IF(12&lt;$C$10,0,$I$10)</f>
        <v>1</v>
      </c>
      <c r="O52" s="78" t="n">
        <f aca="false">AA52</f>
        <v>1</v>
      </c>
      <c r="P52" s="79" t="n">
        <f aca="false">IF(13&lt;$C$10,0,$J$10)</f>
        <v>1</v>
      </c>
      <c r="Q52" s="79" t="n">
        <f aca="false">IF(14&lt;$C$10,0,$J$10)</f>
        <v>1</v>
      </c>
      <c r="R52" s="79" t="n">
        <f aca="false">IF(15&lt;$C$10,0,$J$10)</f>
        <v>1</v>
      </c>
      <c r="S52" s="79" t="n">
        <f aca="false">IF(16&lt;$C$10,0,$J$10)</f>
        <v>1</v>
      </c>
      <c r="T52" s="79" t="n">
        <f aca="false">IF(17&lt;$C$10,0,$J$10)</f>
        <v>1</v>
      </c>
      <c r="U52" s="79" t="n">
        <f aca="false">IF(18&lt;$C$10,0,$J$10)</f>
        <v>1</v>
      </c>
      <c r="V52" s="79" t="n">
        <f aca="false">IF(19&lt;$C$10,0,$J$10)</f>
        <v>1</v>
      </c>
      <c r="W52" s="79" t="n">
        <f aca="false">IF(20&lt;$C$10,0,$J$10)</f>
        <v>1</v>
      </c>
      <c r="X52" s="79" t="n">
        <f aca="false">IF(21&lt;$C$10,0,$J$10)</f>
        <v>1</v>
      </c>
      <c r="Y52" s="79" t="n">
        <f aca="false">IF(22&lt;$C$10,0,$J$10)</f>
        <v>1</v>
      </c>
      <c r="Z52" s="79" t="n">
        <f aca="false">IF(23&lt;$C$10,0,$J$10)</f>
        <v>1</v>
      </c>
      <c r="AA52" s="79" t="n">
        <f aca="false">IF(24&lt;$C$10,0,$J$10)</f>
        <v>1</v>
      </c>
      <c r="AB52" s="78" t="n">
        <f aca="false">AN52</f>
        <v>1</v>
      </c>
      <c r="AC52" s="79" t="n">
        <f aca="false">IF(25&lt;$C$10,0,$K$10)</f>
        <v>1</v>
      </c>
      <c r="AD52" s="79" t="n">
        <f aca="false">IF(26&lt;$C$10,0,$K$10)</f>
        <v>1</v>
      </c>
      <c r="AE52" s="79" t="n">
        <f aca="false">IF(27&lt;$C$10,0,$K$10)</f>
        <v>1</v>
      </c>
      <c r="AF52" s="79" t="n">
        <f aca="false">IF(28&lt;$C$10,0,$K$10)</f>
        <v>1</v>
      </c>
      <c r="AG52" s="79" t="n">
        <f aca="false">IF(29&lt;$C$10,0,$K$10)</f>
        <v>1</v>
      </c>
      <c r="AH52" s="79" t="n">
        <f aca="false">IF(30&lt;$C$10,0,$K$10)</f>
        <v>1</v>
      </c>
      <c r="AI52" s="79" t="n">
        <f aca="false">IF(31&lt;$C$10,0,$K$10)</f>
        <v>1</v>
      </c>
      <c r="AJ52" s="79" t="n">
        <f aca="false">IF(32&lt;$C$10,0,$K$10)</f>
        <v>1</v>
      </c>
      <c r="AK52" s="79" t="n">
        <f aca="false">IF(33&lt;$C$10,0,$K$10)</f>
        <v>1</v>
      </c>
      <c r="AL52" s="79" t="n">
        <f aca="false">IF(34&lt;$C$10,0,$K$10)</f>
        <v>1</v>
      </c>
      <c r="AM52" s="79" t="n">
        <f aca="false">IF(35&lt;$C$10,0,$K$10)</f>
        <v>1</v>
      </c>
      <c r="AN52" s="79" t="n">
        <f aca="false">IF(36&lt;$C$10,0,$K$10)</f>
        <v>1</v>
      </c>
      <c r="AO52" s="78" t="n">
        <f aca="false">BA52</f>
        <v>2</v>
      </c>
      <c r="AP52" s="79" t="n">
        <f aca="false">IF(37&lt;$C$10,0,$L$10)</f>
        <v>2</v>
      </c>
      <c r="AQ52" s="79" t="n">
        <f aca="false">IF(38&lt;$C$10,0,$L$10)</f>
        <v>2</v>
      </c>
      <c r="AR52" s="79" t="n">
        <f aca="false">IF(39&lt;$C$10,0,$L$10)</f>
        <v>2</v>
      </c>
      <c r="AS52" s="79" t="n">
        <f aca="false">IF(40&lt;$C$10,0,$L$10)</f>
        <v>2</v>
      </c>
      <c r="AT52" s="79" t="n">
        <f aca="false">IF(41&lt;$C$10,0,$L$10)</f>
        <v>2</v>
      </c>
      <c r="AU52" s="79" t="n">
        <f aca="false">IF(42&lt;$C$10,0,$L$10)</f>
        <v>2</v>
      </c>
      <c r="AV52" s="79" t="n">
        <f aca="false">IF(43&lt;$C$10,0,$L$10)</f>
        <v>2</v>
      </c>
      <c r="AW52" s="79" t="n">
        <f aca="false">IF(44&lt;$C$10,0,$L$10)</f>
        <v>2</v>
      </c>
      <c r="AX52" s="79" t="n">
        <f aca="false">IF(45&lt;$C$10,0,$L$10)</f>
        <v>2</v>
      </c>
      <c r="AY52" s="79" t="n">
        <f aca="false">IF(46&lt;$C$10,0,$L$10)</f>
        <v>2</v>
      </c>
      <c r="AZ52" s="79" t="n">
        <f aca="false">IF(47&lt;$C$10,0,$L$10)</f>
        <v>2</v>
      </c>
      <c r="BA52" s="79" t="n">
        <f aca="false">IF(48&lt;$C$10,0,$L$10)</f>
        <v>2</v>
      </c>
      <c r="BB52" s="78" t="n">
        <f aca="false">BN52</f>
        <v>3</v>
      </c>
      <c r="BC52" s="79" t="n">
        <f aca="false">IF(49&lt;$C$10,0,$M$10)</f>
        <v>3</v>
      </c>
      <c r="BD52" s="79" t="n">
        <f aca="false">IF(50&lt;$C$10,0,$M$10)</f>
        <v>3</v>
      </c>
      <c r="BE52" s="79" t="n">
        <f aca="false">IF(51&lt;$C$10,0,$M$10)</f>
        <v>3</v>
      </c>
      <c r="BF52" s="79" t="n">
        <f aca="false">IF(52&lt;$C$10,0,$M$10)</f>
        <v>3</v>
      </c>
      <c r="BG52" s="79" t="n">
        <f aca="false">IF(53&lt;$C$10,0,$M$10)</f>
        <v>3</v>
      </c>
      <c r="BH52" s="79" t="n">
        <f aca="false">IF(54&lt;$C$10,0,$M$10)</f>
        <v>3</v>
      </c>
      <c r="BI52" s="79" t="n">
        <f aca="false">IF(55&lt;$C$10,0,$M$10)</f>
        <v>3</v>
      </c>
      <c r="BJ52" s="79" t="n">
        <f aca="false">IF(56&lt;$C$10,0,$M$10)</f>
        <v>3</v>
      </c>
      <c r="BK52" s="79" t="n">
        <f aca="false">IF(57&lt;$C$10,0,$M$10)</f>
        <v>3</v>
      </c>
      <c r="BL52" s="79" t="n">
        <f aca="false">IF(58&lt;$C$10,0,$M$10)</f>
        <v>3</v>
      </c>
      <c r="BM52" s="79" t="n">
        <f aca="false">IF(59&lt;$C$10,0,$M$10)</f>
        <v>3</v>
      </c>
      <c r="BN52" s="79" t="n">
        <f aca="false">IF(60&lt;$C$10,0,$M$10)</f>
        <v>3</v>
      </c>
    </row>
    <row r="53" customFormat="false" ht="15" hidden="false" customHeight="false" outlineLevel="0" collapsed="false">
      <c r="A53" s="12" t="s">
        <v>764</v>
      </c>
      <c r="B53" s="78" t="n">
        <f aca="false">N53</f>
        <v>1</v>
      </c>
      <c r="C53" s="79" t="n">
        <f aca="false">IF(1&lt;$C$11,0,$I$11)</f>
        <v>1</v>
      </c>
      <c r="D53" s="79" t="n">
        <f aca="false">IF(2&lt;$C$11,0,$I$11)</f>
        <v>1</v>
      </c>
      <c r="E53" s="79" t="n">
        <f aca="false">IF(3&lt;$C$11,0,$I$11)</f>
        <v>1</v>
      </c>
      <c r="F53" s="79" t="n">
        <f aca="false">IF(4&lt;$C$11,0,$I$11)</f>
        <v>1</v>
      </c>
      <c r="G53" s="79" t="n">
        <f aca="false">IF(5&lt;$C$11,0,$I$11)</f>
        <v>1</v>
      </c>
      <c r="H53" s="79" t="n">
        <f aca="false">IF(6&lt;$C$11,0,$I$11)</f>
        <v>1</v>
      </c>
      <c r="I53" s="79" t="n">
        <f aca="false">IF(7&lt;$C$11,0,$I$11)</f>
        <v>1</v>
      </c>
      <c r="J53" s="79" t="n">
        <f aca="false">IF(8&lt;$C$11,0,$I$11)</f>
        <v>1</v>
      </c>
      <c r="K53" s="79" t="n">
        <f aca="false">IF(9&lt;$C$11,0,$I$11)</f>
        <v>1</v>
      </c>
      <c r="L53" s="79" t="n">
        <f aca="false">IF(10&lt;$C$11,0,$I$11)</f>
        <v>1</v>
      </c>
      <c r="M53" s="79" t="n">
        <f aca="false">IF(11&lt;$C$11,0,$I$11)</f>
        <v>1</v>
      </c>
      <c r="N53" s="79" t="n">
        <f aca="false">IF(12&lt;$C$11,0,$I$11)</f>
        <v>1</v>
      </c>
      <c r="O53" s="78" t="n">
        <f aca="false">AA53</f>
        <v>1</v>
      </c>
      <c r="P53" s="79" t="n">
        <f aca="false">IF(13&lt;$C$11,0,$J$11)</f>
        <v>1</v>
      </c>
      <c r="Q53" s="79" t="n">
        <f aca="false">IF(14&lt;$C$11,0,$J$11)</f>
        <v>1</v>
      </c>
      <c r="R53" s="79" t="n">
        <f aca="false">IF(15&lt;$C$11,0,$J$11)</f>
        <v>1</v>
      </c>
      <c r="S53" s="79" t="n">
        <f aca="false">IF(16&lt;$C$11,0,$J$11)</f>
        <v>1</v>
      </c>
      <c r="T53" s="79" t="n">
        <f aca="false">IF(17&lt;$C$11,0,$J$11)</f>
        <v>1</v>
      </c>
      <c r="U53" s="79" t="n">
        <f aca="false">IF(18&lt;$C$11,0,$J$11)</f>
        <v>1</v>
      </c>
      <c r="V53" s="79" t="n">
        <f aca="false">IF(19&lt;$C$11,0,$J$11)</f>
        <v>1</v>
      </c>
      <c r="W53" s="79" t="n">
        <f aca="false">IF(20&lt;$C$11,0,$J$11)</f>
        <v>1</v>
      </c>
      <c r="X53" s="79" t="n">
        <f aca="false">IF(21&lt;$C$11,0,$J$11)</f>
        <v>1</v>
      </c>
      <c r="Y53" s="79" t="n">
        <f aca="false">IF(22&lt;$C$11,0,$J$11)</f>
        <v>1</v>
      </c>
      <c r="Z53" s="79" t="n">
        <f aca="false">IF(23&lt;$C$11,0,$J$11)</f>
        <v>1</v>
      </c>
      <c r="AA53" s="79" t="n">
        <f aca="false">IF(24&lt;$C$11,0,$J$11)</f>
        <v>1</v>
      </c>
      <c r="AB53" s="78" t="n">
        <f aca="false">AN53</f>
        <v>1</v>
      </c>
      <c r="AC53" s="79" t="n">
        <f aca="false">IF(25&lt;$C$11,0,$K$11)</f>
        <v>1</v>
      </c>
      <c r="AD53" s="79" t="n">
        <f aca="false">IF(26&lt;$C$11,0,$K$11)</f>
        <v>1</v>
      </c>
      <c r="AE53" s="79" t="n">
        <f aca="false">IF(27&lt;$C$11,0,$K$11)</f>
        <v>1</v>
      </c>
      <c r="AF53" s="79" t="n">
        <f aca="false">IF(28&lt;$C$11,0,$K$11)</f>
        <v>1</v>
      </c>
      <c r="AG53" s="79" t="n">
        <f aca="false">IF(29&lt;$C$11,0,$K$11)</f>
        <v>1</v>
      </c>
      <c r="AH53" s="79" t="n">
        <f aca="false">IF(30&lt;$C$11,0,$K$11)</f>
        <v>1</v>
      </c>
      <c r="AI53" s="79" t="n">
        <f aca="false">IF(31&lt;$C$11,0,$K$11)</f>
        <v>1</v>
      </c>
      <c r="AJ53" s="79" t="n">
        <f aca="false">IF(32&lt;$C$11,0,$K$11)</f>
        <v>1</v>
      </c>
      <c r="AK53" s="79" t="n">
        <f aca="false">IF(33&lt;$C$11,0,$K$11)</f>
        <v>1</v>
      </c>
      <c r="AL53" s="79" t="n">
        <f aca="false">IF(34&lt;$C$11,0,$K$11)</f>
        <v>1</v>
      </c>
      <c r="AM53" s="79" t="n">
        <f aca="false">IF(35&lt;$C$11,0,$K$11)</f>
        <v>1</v>
      </c>
      <c r="AN53" s="79" t="n">
        <f aca="false">IF(36&lt;$C$11,0,$K$11)</f>
        <v>1</v>
      </c>
      <c r="AO53" s="78" t="n">
        <f aca="false">BA53</f>
        <v>2</v>
      </c>
      <c r="AP53" s="79" t="n">
        <f aca="false">IF(37&lt;$C$11,0,$L$11)</f>
        <v>2</v>
      </c>
      <c r="AQ53" s="79" t="n">
        <f aca="false">IF(38&lt;$C$11,0,$L$11)</f>
        <v>2</v>
      </c>
      <c r="AR53" s="79" t="n">
        <f aca="false">IF(39&lt;$C$11,0,$L$11)</f>
        <v>2</v>
      </c>
      <c r="AS53" s="79" t="n">
        <f aca="false">IF(40&lt;$C$11,0,$L$11)</f>
        <v>2</v>
      </c>
      <c r="AT53" s="79" t="n">
        <f aca="false">IF(41&lt;$C$11,0,$L$11)</f>
        <v>2</v>
      </c>
      <c r="AU53" s="79" t="n">
        <f aca="false">IF(42&lt;$C$11,0,$L$11)</f>
        <v>2</v>
      </c>
      <c r="AV53" s="79" t="n">
        <f aca="false">IF(43&lt;$C$11,0,$L$11)</f>
        <v>2</v>
      </c>
      <c r="AW53" s="79" t="n">
        <f aca="false">IF(44&lt;$C$11,0,$L$11)</f>
        <v>2</v>
      </c>
      <c r="AX53" s="79" t="n">
        <f aca="false">IF(45&lt;$C$11,0,$L$11)</f>
        <v>2</v>
      </c>
      <c r="AY53" s="79" t="n">
        <f aca="false">IF(46&lt;$C$11,0,$L$11)</f>
        <v>2</v>
      </c>
      <c r="AZ53" s="79" t="n">
        <f aca="false">IF(47&lt;$C$11,0,$L$11)</f>
        <v>2</v>
      </c>
      <c r="BA53" s="79" t="n">
        <f aca="false">IF(48&lt;$C$11,0,$L$11)</f>
        <v>2</v>
      </c>
      <c r="BB53" s="78" t="n">
        <f aca="false">BN53</f>
        <v>2</v>
      </c>
      <c r="BC53" s="79" t="n">
        <f aca="false">IF(49&lt;$C$11,0,$M$11)</f>
        <v>2</v>
      </c>
      <c r="BD53" s="79" t="n">
        <f aca="false">IF(50&lt;$C$11,0,$M$11)</f>
        <v>2</v>
      </c>
      <c r="BE53" s="79" t="n">
        <f aca="false">IF(51&lt;$C$11,0,$M$11)</f>
        <v>2</v>
      </c>
      <c r="BF53" s="79" t="n">
        <f aca="false">IF(52&lt;$C$11,0,$M$11)</f>
        <v>2</v>
      </c>
      <c r="BG53" s="79" t="n">
        <f aca="false">IF(53&lt;$C$11,0,$M$11)</f>
        <v>2</v>
      </c>
      <c r="BH53" s="79" t="n">
        <f aca="false">IF(54&lt;$C$11,0,$M$11)</f>
        <v>2</v>
      </c>
      <c r="BI53" s="79" t="n">
        <f aca="false">IF(55&lt;$C$11,0,$M$11)</f>
        <v>2</v>
      </c>
      <c r="BJ53" s="79" t="n">
        <f aca="false">IF(56&lt;$C$11,0,$M$11)</f>
        <v>2</v>
      </c>
      <c r="BK53" s="79" t="n">
        <f aca="false">IF(57&lt;$C$11,0,$M$11)</f>
        <v>2</v>
      </c>
      <c r="BL53" s="79" t="n">
        <f aca="false">IF(58&lt;$C$11,0,$M$11)</f>
        <v>2</v>
      </c>
      <c r="BM53" s="79" t="n">
        <f aca="false">IF(59&lt;$C$11,0,$M$11)</f>
        <v>2</v>
      </c>
      <c r="BN53" s="79" t="n">
        <f aca="false">IF(60&lt;$C$11,0,$M$11)</f>
        <v>2</v>
      </c>
    </row>
    <row r="54" customFormat="false" ht="15" hidden="false" customHeight="false" outlineLevel="0" collapsed="false">
      <c r="A54" s="12" t="s">
        <v>765</v>
      </c>
      <c r="B54" s="78" t="n">
        <f aca="false">N54</f>
        <v>0</v>
      </c>
      <c r="C54" s="79" t="n">
        <f aca="false">IF(1&lt;$C$12,0,$I$12)</f>
        <v>0</v>
      </c>
      <c r="D54" s="79" t="n">
        <f aca="false">IF(2&lt;$C$12,0,$I$12)</f>
        <v>0</v>
      </c>
      <c r="E54" s="79" t="n">
        <f aca="false">IF(3&lt;$C$12,0,$I$12)</f>
        <v>0</v>
      </c>
      <c r="F54" s="79" t="n">
        <f aca="false">IF(4&lt;$C$12,0,$I$12)</f>
        <v>0</v>
      </c>
      <c r="G54" s="79" t="n">
        <f aca="false">IF(5&lt;$C$12,0,$I$12)</f>
        <v>0</v>
      </c>
      <c r="H54" s="79" t="n">
        <f aca="false">IF(6&lt;$C$12,0,$I$12)</f>
        <v>0</v>
      </c>
      <c r="I54" s="79" t="n">
        <f aca="false">IF(7&lt;$C$12,0,$I$12)</f>
        <v>0</v>
      </c>
      <c r="J54" s="79" t="n">
        <f aca="false">IF(8&lt;$C$12,0,$I$12)</f>
        <v>0</v>
      </c>
      <c r="K54" s="79" t="n">
        <f aca="false">IF(9&lt;$C$12,0,$I$12)</f>
        <v>0</v>
      </c>
      <c r="L54" s="79" t="n">
        <f aca="false">IF(10&lt;$C$12,0,$I$12)</f>
        <v>0</v>
      </c>
      <c r="M54" s="79" t="n">
        <f aca="false">IF(11&lt;$C$12,0,$I$12)</f>
        <v>0</v>
      </c>
      <c r="N54" s="79" t="n">
        <f aca="false">IF(12&lt;$C$12,0,$I$12)</f>
        <v>0</v>
      </c>
      <c r="O54" s="78" t="n">
        <f aca="false">AA54</f>
        <v>1</v>
      </c>
      <c r="P54" s="79" t="n">
        <f aca="false">IF(13&lt;$C$12,0,$J$12)</f>
        <v>1</v>
      </c>
      <c r="Q54" s="79" t="n">
        <f aca="false">IF(14&lt;$C$12,0,$J$12)</f>
        <v>1</v>
      </c>
      <c r="R54" s="79" t="n">
        <f aca="false">IF(15&lt;$C$12,0,$J$12)</f>
        <v>1</v>
      </c>
      <c r="S54" s="79" t="n">
        <f aca="false">IF(16&lt;$C$12,0,$J$12)</f>
        <v>1</v>
      </c>
      <c r="T54" s="79" t="n">
        <f aca="false">IF(17&lt;$C$12,0,$J$12)</f>
        <v>1</v>
      </c>
      <c r="U54" s="79" t="n">
        <f aca="false">IF(18&lt;$C$12,0,$J$12)</f>
        <v>1</v>
      </c>
      <c r="V54" s="79" t="n">
        <f aca="false">IF(19&lt;$C$12,0,$J$12)</f>
        <v>1</v>
      </c>
      <c r="W54" s="79" t="n">
        <f aca="false">IF(20&lt;$C$12,0,$J$12)</f>
        <v>1</v>
      </c>
      <c r="X54" s="79" t="n">
        <f aca="false">IF(21&lt;$C$12,0,$J$12)</f>
        <v>1</v>
      </c>
      <c r="Y54" s="79" t="n">
        <f aca="false">IF(22&lt;$C$12,0,$J$12)</f>
        <v>1</v>
      </c>
      <c r="Z54" s="79" t="n">
        <f aca="false">IF(23&lt;$C$12,0,$J$12)</f>
        <v>1</v>
      </c>
      <c r="AA54" s="79" t="n">
        <f aca="false">IF(24&lt;$C$12,0,$J$12)</f>
        <v>1</v>
      </c>
      <c r="AB54" s="78" t="n">
        <f aca="false">AN54</f>
        <v>1</v>
      </c>
      <c r="AC54" s="79" t="n">
        <f aca="false">IF(25&lt;$C$12,0,$K$12)</f>
        <v>1</v>
      </c>
      <c r="AD54" s="79" t="n">
        <f aca="false">IF(26&lt;$C$12,0,$K$12)</f>
        <v>1</v>
      </c>
      <c r="AE54" s="79" t="n">
        <f aca="false">IF(27&lt;$C$12,0,$K$12)</f>
        <v>1</v>
      </c>
      <c r="AF54" s="79" t="n">
        <f aca="false">IF(28&lt;$C$12,0,$K$12)</f>
        <v>1</v>
      </c>
      <c r="AG54" s="79" t="n">
        <f aca="false">IF(29&lt;$C$12,0,$K$12)</f>
        <v>1</v>
      </c>
      <c r="AH54" s="79" t="n">
        <f aca="false">IF(30&lt;$C$12,0,$K$12)</f>
        <v>1</v>
      </c>
      <c r="AI54" s="79" t="n">
        <f aca="false">IF(31&lt;$C$12,0,$K$12)</f>
        <v>1</v>
      </c>
      <c r="AJ54" s="79" t="n">
        <f aca="false">IF(32&lt;$C$12,0,$K$12)</f>
        <v>1</v>
      </c>
      <c r="AK54" s="79" t="n">
        <f aca="false">IF(33&lt;$C$12,0,$K$12)</f>
        <v>1</v>
      </c>
      <c r="AL54" s="79" t="n">
        <f aca="false">IF(34&lt;$C$12,0,$K$12)</f>
        <v>1</v>
      </c>
      <c r="AM54" s="79" t="n">
        <f aca="false">IF(35&lt;$C$12,0,$K$12)</f>
        <v>1</v>
      </c>
      <c r="AN54" s="79" t="n">
        <f aca="false">IF(36&lt;$C$12,0,$K$12)</f>
        <v>1</v>
      </c>
      <c r="AO54" s="78" t="n">
        <f aca="false">BA54</f>
        <v>1</v>
      </c>
      <c r="AP54" s="79" t="n">
        <f aca="false">IF(37&lt;$C$12,0,$L$12)</f>
        <v>1</v>
      </c>
      <c r="AQ54" s="79" t="n">
        <f aca="false">IF(38&lt;$C$12,0,$L$12)</f>
        <v>1</v>
      </c>
      <c r="AR54" s="79" t="n">
        <f aca="false">IF(39&lt;$C$12,0,$L$12)</f>
        <v>1</v>
      </c>
      <c r="AS54" s="79" t="n">
        <f aca="false">IF(40&lt;$C$12,0,$L$12)</f>
        <v>1</v>
      </c>
      <c r="AT54" s="79" t="n">
        <f aca="false">IF(41&lt;$C$12,0,$L$12)</f>
        <v>1</v>
      </c>
      <c r="AU54" s="79" t="n">
        <f aca="false">IF(42&lt;$C$12,0,$L$12)</f>
        <v>1</v>
      </c>
      <c r="AV54" s="79" t="n">
        <f aca="false">IF(43&lt;$C$12,0,$L$12)</f>
        <v>1</v>
      </c>
      <c r="AW54" s="79" t="n">
        <f aca="false">IF(44&lt;$C$12,0,$L$12)</f>
        <v>1</v>
      </c>
      <c r="AX54" s="79" t="n">
        <f aca="false">IF(45&lt;$C$12,0,$L$12)</f>
        <v>1</v>
      </c>
      <c r="AY54" s="79" t="n">
        <f aca="false">IF(46&lt;$C$12,0,$L$12)</f>
        <v>1</v>
      </c>
      <c r="AZ54" s="79" t="n">
        <f aca="false">IF(47&lt;$C$12,0,$L$12)</f>
        <v>1</v>
      </c>
      <c r="BA54" s="79" t="n">
        <f aca="false">IF(48&lt;$C$12,0,$L$12)</f>
        <v>1</v>
      </c>
      <c r="BB54" s="78" t="n">
        <f aca="false">BN54</f>
        <v>1</v>
      </c>
      <c r="BC54" s="79" t="n">
        <f aca="false">IF(49&lt;$C$12,0,$M$12)</f>
        <v>1</v>
      </c>
      <c r="BD54" s="79" t="n">
        <f aca="false">IF(50&lt;$C$12,0,$M$12)</f>
        <v>1</v>
      </c>
      <c r="BE54" s="79" t="n">
        <f aca="false">IF(51&lt;$C$12,0,$M$12)</f>
        <v>1</v>
      </c>
      <c r="BF54" s="79" t="n">
        <f aca="false">IF(52&lt;$C$12,0,$M$12)</f>
        <v>1</v>
      </c>
      <c r="BG54" s="79" t="n">
        <f aca="false">IF(53&lt;$C$12,0,$M$12)</f>
        <v>1</v>
      </c>
      <c r="BH54" s="79" t="n">
        <f aca="false">IF(54&lt;$C$12,0,$M$12)</f>
        <v>1</v>
      </c>
      <c r="BI54" s="79" t="n">
        <f aca="false">IF(55&lt;$C$12,0,$M$12)</f>
        <v>1</v>
      </c>
      <c r="BJ54" s="79" t="n">
        <f aca="false">IF(56&lt;$C$12,0,$M$12)</f>
        <v>1</v>
      </c>
      <c r="BK54" s="79" t="n">
        <f aca="false">IF(57&lt;$C$12,0,$M$12)</f>
        <v>1</v>
      </c>
      <c r="BL54" s="79" t="n">
        <f aca="false">IF(58&lt;$C$12,0,$M$12)</f>
        <v>1</v>
      </c>
      <c r="BM54" s="79" t="n">
        <f aca="false">IF(59&lt;$C$12,0,$M$12)</f>
        <v>1</v>
      </c>
      <c r="BN54" s="79" t="n">
        <f aca="false">IF(60&lt;$C$12,0,$M$12)</f>
        <v>1</v>
      </c>
    </row>
    <row r="55" customFormat="false" ht="15" hidden="false" customHeight="false" outlineLevel="0" collapsed="false">
      <c r="A55" s="12" t="s">
        <v>766</v>
      </c>
      <c r="B55" s="78" t="n">
        <f aca="false">N55</f>
        <v>0</v>
      </c>
      <c r="C55" s="79" t="n">
        <f aca="false">IF(1&lt;$C$13,0,$I$13)</f>
        <v>0</v>
      </c>
      <c r="D55" s="79" t="n">
        <f aca="false">IF(2&lt;$C$13,0,$I$13)</f>
        <v>0</v>
      </c>
      <c r="E55" s="79" t="n">
        <f aca="false">IF(3&lt;$C$13,0,$I$13)</f>
        <v>0</v>
      </c>
      <c r="F55" s="79" t="n">
        <f aca="false">IF(4&lt;$C$13,0,$I$13)</f>
        <v>0</v>
      </c>
      <c r="G55" s="79" t="n">
        <f aca="false">IF(5&lt;$C$13,0,$I$13)</f>
        <v>0</v>
      </c>
      <c r="H55" s="79" t="n">
        <f aca="false">IF(6&lt;$C$13,0,$I$13)</f>
        <v>0</v>
      </c>
      <c r="I55" s="79" t="n">
        <f aca="false">IF(7&lt;$C$13,0,$I$13)</f>
        <v>0</v>
      </c>
      <c r="J55" s="79" t="n">
        <f aca="false">IF(8&lt;$C$13,0,$I$13)</f>
        <v>0</v>
      </c>
      <c r="K55" s="79" t="n">
        <f aca="false">IF(9&lt;$C$13,0,$I$13)</f>
        <v>0</v>
      </c>
      <c r="L55" s="79" t="n">
        <f aca="false">IF(10&lt;$C$13,0,$I$13)</f>
        <v>0</v>
      </c>
      <c r="M55" s="79" t="n">
        <f aca="false">IF(11&lt;$C$13,0,$I$13)</f>
        <v>0</v>
      </c>
      <c r="N55" s="79" t="n">
        <f aca="false">IF(12&lt;$C$13,0,$I$13)</f>
        <v>0</v>
      </c>
      <c r="O55" s="78" t="n">
        <f aca="false">AA55</f>
        <v>0</v>
      </c>
      <c r="P55" s="79" t="n">
        <f aca="false">IF(13&lt;$C$13,0,$J$13)</f>
        <v>0</v>
      </c>
      <c r="Q55" s="79" t="n">
        <f aca="false">IF(14&lt;$C$13,0,$J$13)</f>
        <v>0</v>
      </c>
      <c r="R55" s="79" t="n">
        <f aca="false">IF(15&lt;$C$13,0,$J$13)</f>
        <v>0</v>
      </c>
      <c r="S55" s="79" t="n">
        <f aca="false">IF(16&lt;$C$13,0,$J$13)</f>
        <v>0</v>
      </c>
      <c r="T55" s="79" t="n">
        <f aca="false">IF(17&lt;$C$13,0,$J$13)</f>
        <v>0</v>
      </c>
      <c r="U55" s="79" t="n">
        <f aca="false">IF(18&lt;$C$13,0,$J$13)</f>
        <v>0</v>
      </c>
      <c r="V55" s="79" t="n">
        <f aca="false">IF(19&lt;$C$13,0,$J$13)</f>
        <v>0</v>
      </c>
      <c r="W55" s="79" t="n">
        <f aca="false">IF(20&lt;$C$13,0,$J$13)</f>
        <v>0</v>
      </c>
      <c r="X55" s="79" t="n">
        <f aca="false">IF(21&lt;$C$13,0,$J$13)</f>
        <v>0</v>
      </c>
      <c r="Y55" s="79" t="n">
        <f aca="false">IF(22&lt;$C$13,0,$J$13)</f>
        <v>0</v>
      </c>
      <c r="Z55" s="79" t="n">
        <f aca="false">IF(23&lt;$C$13,0,$J$13)</f>
        <v>0</v>
      </c>
      <c r="AA55" s="79" t="n">
        <f aca="false">IF(24&lt;$C$13,0,$J$13)</f>
        <v>0</v>
      </c>
      <c r="AB55" s="78" t="n">
        <f aca="false">AN55</f>
        <v>1</v>
      </c>
      <c r="AC55" s="79" t="n">
        <f aca="false">IF(25&lt;$C$13,0,$K$13)</f>
        <v>1</v>
      </c>
      <c r="AD55" s="79" t="n">
        <f aca="false">IF(26&lt;$C$13,0,$K$13)</f>
        <v>1</v>
      </c>
      <c r="AE55" s="79" t="n">
        <f aca="false">IF(27&lt;$C$13,0,$K$13)</f>
        <v>1</v>
      </c>
      <c r="AF55" s="79" t="n">
        <f aca="false">IF(28&lt;$C$13,0,$K$13)</f>
        <v>1</v>
      </c>
      <c r="AG55" s="79" t="n">
        <f aca="false">IF(29&lt;$C$13,0,$K$13)</f>
        <v>1</v>
      </c>
      <c r="AH55" s="79" t="n">
        <f aca="false">IF(30&lt;$C$13,0,$K$13)</f>
        <v>1</v>
      </c>
      <c r="AI55" s="79" t="n">
        <f aca="false">IF(31&lt;$C$13,0,$K$13)</f>
        <v>1</v>
      </c>
      <c r="AJ55" s="79" t="n">
        <f aca="false">IF(32&lt;$C$13,0,$K$13)</f>
        <v>1</v>
      </c>
      <c r="AK55" s="79" t="n">
        <f aca="false">IF(33&lt;$C$13,0,$K$13)</f>
        <v>1</v>
      </c>
      <c r="AL55" s="79" t="n">
        <f aca="false">IF(34&lt;$C$13,0,$K$13)</f>
        <v>1</v>
      </c>
      <c r="AM55" s="79" t="n">
        <f aca="false">IF(35&lt;$C$13,0,$K$13)</f>
        <v>1</v>
      </c>
      <c r="AN55" s="79" t="n">
        <f aca="false">IF(36&lt;$C$13,0,$K$13)</f>
        <v>1</v>
      </c>
      <c r="AO55" s="78" t="n">
        <f aca="false">BA55</f>
        <v>1</v>
      </c>
      <c r="AP55" s="79" t="n">
        <f aca="false">IF(37&lt;$C$13,0,$L$13)</f>
        <v>1</v>
      </c>
      <c r="AQ55" s="79" t="n">
        <f aca="false">IF(38&lt;$C$13,0,$L$13)</f>
        <v>1</v>
      </c>
      <c r="AR55" s="79" t="n">
        <f aca="false">IF(39&lt;$C$13,0,$L$13)</f>
        <v>1</v>
      </c>
      <c r="AS55" s="79" t="n">
        <f aca="false">IF(40&lt;$C$13,0,$L$13)</f>
        <v>1</v>
      </c>
      <c r="AT55" s="79" t="n">
        <f aca="false">IF(41&lt;$C$13,0,$L$13)</f>
        <v>1</v>
      </c>
      <c r="AU55" s="79" t="n">
        <f aca="false">IF(42&lt;$C$13,0,$L$13)</f>
        <v>1</v>
      </c>
      <c r="AV55" s="79" t="n">
        <f aca="false">IF(43&lt;$C$13,0,$L$13)</f>
        <v>1</v>
      </c>
      <c r="AW55" s="79" t="n">
        <f aca="false">IF(44&lt;$C$13,0,$L$13)</f>
        <v>1</v>
      </c>
      <c r="AX55" s="79" t="n">
        <f aca="false">IF(45&lt;$C$13,0,$L$13)</f>
        <v>1</v>
      </c>
      <c r="AY55" s="79" t="n">
        <f aca="false">IF(46&lt;$C$13,0,$L$13)</f>
        <v>1</v>
      </c>
      <c r="AZ55" s="79" t="n">
        <f aca="false">IF(47&lt;$C$13,0,$L$13)</f>
        <v>1</v>
      </c>
      <c r="BA55" s="79" t="n">
        <f aca="false">IF(48&lt;$C$13,0,$L$13)</f>
        <v>1</v>
      </c>
      <c r="BB55" s="78" t="n">
        <f aca="false">BN55</f>
        <v>1</v>
      </c>
      <c r="BC55" s="79" t="n">
        <f aca="false">IF(49&lt;$C$13,0,$M$13)</f>
        <v>1</v>
      </c>
      <c r="BD55" s="79" t="n">
        <f aca="false">IF(50&lt;$C$13,0,$M$13)</f>
        <v>1</v>
      </c>
      <c r="BE55" s="79" t="n">
        <f aca="false">IF(51&lt;$C$13,0,$M$13)</f>
        <v>1</v>
      </c>
      <c r="BF55" s="79" t="n">
        <f aca="false">IF(52&lt;$C$13,0,$M$13)</f>
        <v>1</v>
      </c>
      <c r="BG55" s="79" t="n">
        <f aca="false">IF(53&lt;$C$13,0,$M$13)</f>
        <v>1</v>
      </c>
      <c r="BH55" s="79" t="n">
        <f aca="false">IF(54&lt;$C$13,0,$M$13)</f>
        <v>1</v>
      </c>
      <c r="BI55" s="79" t="n">
        <f aca="false">IF(55&lt;$C$13,0,$M$13)</f>
        <v>1</v>
      </c>
      <c r="BJ55" s="79" t="n">
        <f aca="false">IF(56&lt;$C$13,0,$M$13)</f>
        <v>1</v>
      </c>
      <c r="BK55" s="79" t="n">
        <f aca="false">IF(57&lt;$C$13,0,$M$13)</f>
        <v>1</v>
      </c>
      <c r="BL55" s="79" t="n">
        <f aca="false">IF(58&lt;$C$13,0,$M$13)</f>
        <v>1</v>
      </c>
      <c r="BM55" s="79" t="n">
        <f aca="false">IF(59&lt;$C$13,0,$M$13)</f>
        <v>1</v>
      </c>
      <c r="BN55" s="79" t="n">
        <f aca="false">IF(60&lt;$C$13,0,$M$13)</f>
        <v>1</v>
      </c>
    </row>
    <row r="56" customFormat="false" ht="15" hidden="false" customHeight="false" outlineLevel="0" collapsed="false">
      <c r="A56" s="12" t="s">
        <v>767</v>
      </c>
      <c r="B56" s="78" t="n">
        <f aca="false">N56</f>
        <v>0</v>
      </c>
      <c r="C56" s="79" t="n">
        <f aca="false">IF(1&lt;$C$14,0,$I$14)</f>
        <v>0</v>
      </c>
      <c r="D56" s="79" t="n">
        <f aca="false">IF(2&lt;$C$14,0,$I$14)</f>
        <v>0</v>
      </c>
      <c r="E56" s="79" t="n">
        <f aca="false">IF(3&lt;$C$14,0,$I$14)</f>
        <v>0</v>
      </c>
      <c r="F56" s="79" t="n">
        <f aca="false">IF(4&lt;$C$14,0,$I$14)</f>
        <v>0</v>
      </c>
      <c r="G56" s="79" t="n">
        <f aca="false">IF(5&lt;$C$14,0,$I$14)</f>
        <v>0</v>
      </c>
      <c r="H56" s="79" t="n">
        <f aca="false">IF(6&lt;$C$14,0,$I$14)</f>
        <v>0</v>
      </c>
      <c r="I56" s="79" t="n">
        <f aca="false">IF(7&lt;$C$14,0,$I$14)</f>
        <v>0</v>
      </c>
      <c r="J56" s="79" t="n">
        <f aca="false">IF(8&lt;$C$14,0,$I$14)</f>
        <v>0</v>
      </c>
      <c r="K56" s="79" t="n">
        <f aca="false">IF(9&lt;$C$14,0,$I$14)</f>
        <v>0</v>
      </c>
      <c r="L56" s="79" t="n">
        <f aca="false">IF(10&lt;$C$14,0,$I$14)</f>
        <v>0</v>
      </c>
      <c r="M56" s="79" t="n">
        <f aca="false">IF(11&lt;$C$14,0,$I$14)</f>
        <v>0</v>
      </c>
      <c r="N56" s="79" t="n">
        <f aca="false">IF(12&lt;$C$14,0,$I$14)</f>
        <v>0</v>
      </c>
      <c r="O56" s="78" t="n">
        <f aca="false">AA56</f>
        <v>0</v>
      </c>
      <c r="P56" s="79" t="n">
        <f aca="false">IF(13&lt;$C$14,0,$J$14)</f>
        <v>0</v>
      </c>
      <c r="Q56" s="79" t="n">
        <f aca="false">IF(14&lt;$C$14,0,$J$14)</f>
        <v>0</v>
      </c>
      <c r="R56" s="79" t="n">
        <f aca="false">IF(15&lt;$C$14,0,$J$14)</f>
        <v>0</v>
      </c>
      <c r="S56" s="79" t="n">
        <f aca="false">IF(16&lt;$C$14,0,$J$14)</f>
        <v>0</v>
      </c>
      <c r="T56" s="79" t="n">
        <f aca="false">IF(17&lt;$C$14,0,$J$14)</f>
        <v>0</v>
      </c>
      <c r="U56" s="79" t="n">
        <f aca="false">IF(18&lt;$C$14,0,$J$14)</f>
        <v>0</v>
      </c>
      <c r="V56" s="79" t="n">
        <f aca="false">IF(19&lt;$C$14,0,$J$14)</f>
        <v>0</v>
      </c>
      <c r="W56" s="79" t="n">
        <f aca="false">IF(20&lt;$C$14,0,$J$14)</f>
        <v>0</v>
      </c>
      <c r="X56" s="79" t="n">
        <f aca="false">IF(21&lt;$C$14,0,$J$14)</f>
        <v>0</v>
      </c>
      <c r="Y56" s="79" t="n">
        <f aca="false">IF(22&lt;$C$14,0,$J$14)</f>
        <v>0</v>
      </c>
      <c r="Z56" s="79" t="n">
        <f aca="false">IF(23&lt;$C$14,0,$J$14)</f>
        <v>0</v>
      </c>
      <c r="AA56" s="79" t="n">
        <f aca="false">IF(24&lt;$C$14,0,$J$14)</f>
        <v>0</v>
      </c>
      <c r="AB56" s="78" t="n">
        <f aca="false">AN56</f>
        <v>0</v>
      </c>
      <c r="AC56" s="79" t="n">
        <f aca="false">IF(25&lt;$C$14,0,$K$14)</f>
        <v>0</v>
      </c>
      <c r="AD56" s="79" t="n">
        <f aca="false">IF(26&lt;$C$14,0,$K$14)</f>
        <v>0</v>
      </c>
      <c r="AE56" s="79" t="n">
        <f aca="false">IF(27&lt;$C$14,0,$K$14)</f>
        <v>0</v>
      </c>
      <c r="AF56" s="79" t="n">
        <f aca="false">IF(28&lt;$C$14,0,$K$14)</f>
        <v>0</v>
      </c>
      <c r="AG56" s="79" t="n">
        <f aca="false">IF(29&lt;$C$14,0,$K$14)</f>
        <v>0</v>
      </c>
      <c r="AH56" s="79" t="n">
        <f aca="false">IF(30&lt;$C$14,0,$K$14)</f>
        <v>0</v>
      </c>
      <c r="AI56" s="79" t="n">
        <f aca="false">IF(31&lt;$C$14,0,$K$14)</f>
        <v>0</v>
      </c>
      <c r="AJ56" s="79" t="n">
        <f aca="false">IF(32&lt;$C$14,0,$K$14)</f>
        <v>0</v>
      </c>
      <c r="AK56" s="79" t="n">
        <f aca="false">IF(33&lt;$C$14,0,$K$14)</f>
        <v>0</v>
      </c>
      <c r="AL56" s="79" t="n">
        <f aca="false">IF(34&lt;$C$14,0,$K$14)</f>
        <v>0</v>
      </c>
      <c r="AM56" s="79" t="n">
        <f aca="false">IF(35&lt;$C$14,0,$K$14)</f>
        <v>0</v>
      </c>
      <c r="AN56" s="79" t="n">
        <f aca="false">IF(36&lt;$C$14,0,$K$14)</f>
        <v>0</v>
      </c>
      <c r="AO56" s="78" t="n">
        <f aca="false">BA56</f>
        <v>0</v>
      </c>
      <c r="AP56" s="79" t="n">
        <f aca="false">IF(37&lt;$C$14,0,$L$14)</f>
        <v>0</v>
      </c>
      <c r="AQ56" s="79" t="n">
        <f aca="false">IF(38&lt;$C$14,0,$L$14)</f>
        <v>0</v>
      </c>
      <c r="AR56" s="79" t="n">
        <f aca="false">IF(39&lt;$C$14,0,$L$14)</f>
        <v>0</v>
      </c>
      <c r="AS56" s="79" t="n">
        <f aca="false">IF(40&lt;$C$14,0,$L$14)</f>
        <v>0</v>
      </c>
      <c r="AT56" s="79" t="n">
        <f aca="false">IF(41&lt;$C$14,0,$L$14)</f>
        <v>0</v>
      </c>
      <c r="AU56" s="79" t="n">
        <f aca="false">IF(42&lt;$C$14,0,$L$14)</f>
        <v>0</v>
      </c>
      <c r="AV56" s="79" t="n">
        <f aca="false">IF(43&lt;$C$14,0,$L$14)</f>
        <v>0</v>
      </c>
      <c r="AW56" s="79" t="n">
        <f aca="false">IF(44&lt;$C$14,0,$L$14)</f>
        <v>0</v>
      </c>
      <c r="AX56" s="79" t="n">
        <f aca="false">IF(45&lt;$C$14,0,$L$14)</f>
        <v>0</v>
      </c>
      <c r="AY56" s="79" t="n">
        <f aca="false">IF(46&lt;$C$14,0,$L$14)</f>
        <v>0</v>
      </c>
      <c r="AZ56" s="79" t="n">
        <f aca="false">IF(47&lt;$C$14,0,$L$14)</f>
        <v>0</v>
      </c>
      <c r="BA56" s="79" t="n">
        <f aca="false">IF(48&lt;$C$14,0,$L$14)</f>
        <v>0</v>
      </c>
      <c r="BB56" s="78" t="n">
        <f aca="false">BN56</f>
        <v>1</v>
      </c>
      <c r="BC56" s="79" t="n">
        <f aca="false">IF(49&lt;$C$14,0,$M$14)</f>
        <v>1</v>
      </c>
      <c r="BD56" s="79" t="n">
        <f aca="false">IF(50&lt;$C$14,0,$M$14)</f>
        <v>1</v>
      </c>
      <c r="BE56" s="79" t="n">
        <f aca="false">IF(51&lt;$C$14,0,$M$14)</f>
        <v>1</v>
      </c>
      <c r="BF56" s="79" t="n">
        <f aca="false">IF(52&lt;$C$14,0,$M$14)</f>
        <v>1</v>
      </c>
      <c r="BG56" s="79" t="n">
        <f aca="false">IF(53&lt;$C$14,0,$M$14)</f>
        <v>1</v>
      </c>
      <c r="BH56" s="79" t="n">
        <f aca="false">IF(54&lt;$C$14,0,$M$14)</f>
        <v>1</v>
      </c>
      <c r="BI56" s="79" t="n">
        <f aca="false">IF(55&lt;$C$14,0,$M$14)</f>
        <v>1</v>
      </c>
      <c r="BJ56" s="79" t="n">
        <f aca="false">IF(56&lt;$C$14,0,$M$14)</f>
        <v>1</v>
      </c>
      <c r="BK56" s="79" t="n">
        <f aca="false">IF(57&lt;$C$14,0,$M$14)</f>
        <v>1</v>
      </c>
      <c r="BL56" s="79" t="n">
        <f aca="false">IF(58&lt;$C$14,0,$M$14)</f>
        <v>1</v>
      </c>
      <c r="BM56" s="79" t="n">
        <f aca="false">IF(59&lt;$C$14,0,$M$14)</f>
        <v>1</v>
      </c>
      <c r="BN56" s="79" t="n">
        <f aca="false">IF(60&lt;$C$14,0,$M$14)</f>
        <v>1</v>
      </c>
    </row>
    <row r="57" customFormat="false" ht="15" hidden="false" customHeight="false" outlineLevel="0" collapsed="false">
      <c r="A57" s="12" t="s">
        <v>768</v>
      </c>
      <c r="B57" s="78" t="n">
        <f aca="false">N57</f>
        <v>1</v>
      </c>
      <c r="C57" s="79" t="n">
        <f aca="false">IF(1&lt;$C$15,0,$I$15)</f>
        <v>1</v>
      </c>
      <c r="D57" s="79" t="n">
        <f aca="false">IF(2&lt;$C$15,0,$I$15)</f>
        <v>1</v>
      </c>
      <c r="E57" s="79" t="n">
        <f aca="false">IF(3&lt;$C$15,0,$I$15)</f>
        <v>1</v>
      </c>
      <c r="F57" s="79" t="n">
        <f aca="false">IF(4&lt;$C$15,0,$I$15)</f>
        <v>1</v>
      </c>
      <c r="G57" s="79" t="n">
        <f aca="false">IF(5&lt;$C$15,0,$I$15)</f>
        <v>1</v>
      </c>
      <c r="H57" s="79" t="n">
        <f aca="false">IF(6&lt;$C$15,0,$I$15)</f>
        <v>1</v>
      </c>
      <c r="I57" s="79" t="n">
        <f aca="false">IF(7&lt;$C$15,0,$I$15)</f>
        <v>1</v>
      </c>
      <c r="J57" s="79" t="n">
        <f aca="false">IF(8&lt;$C$15,0,$I$15)</f>
        <v>1</v>
      </c>
      <c r="K57" s="79" t="n">
        <f aca="false">IF(9&lt;$C$15,0,$I$15)</f>
        <v>1</v>
      </c>
      <c r="L57" s="79" t="n">
        <f aca="false">IF(10&lt;$C$15,0,$I$15)</f>
        <v>1</v>
      </c>
      <c r="M57" s="79" t="n">
        <f aca="false">IF(11&lt;$C$15,0,$I$15)</f>
        <v>1</v>
      </c>
      <c r="N57" s="79" t="n">
        <f aca="false">IF(12&lt;$C$15,0,$I$15)</f>
        <v>1</v>
      </c>
      <c r="O57" s="78" t="n">
        <f aca="false">AA57</f>
        <v>1</v>
      </c>
      <c r="P57" s="79" t="n">
        <f aca="false">IF(13&lt;$C$15,0,$J$15)</f>
        <v>1</v>
      </c>
      <c r="Q57" s="79" t="n">
        <f aca="false">IF(14&lt;$C$15,0,$J$15)</f>
        <v>1</v>
      </c>
      <c r="R57" s="79" t="n">
        <f aca="false">IF(15&lt;$C$15,0,$J$15)</f>
        <v>1</v>
      </c>
      <c r="S57" s="79" t="n">
        <f aca="false">IF(16&lt;$C$15,0,$J$15)</f>
        <v>1</v>
      </c>
      <c r="T57" s="79" t="n">
        <f aca="false">IF(17&lt;$C$15,0,$J$15)</f>
        <v>1</v>
      </c>
      <c r="U57" s="79" t="n">
        <f aca="false">IF(18&lt;$C$15,0,$J$15)</f>
        <v>1</v>
      </c>
      <c r="V57" s="79" t="n">
        <f aca="false">IF(19&lt;$C$15,0,$J$15)</f>
        <v>1</v>
      </c>
      <c r="W57" s="79" t="n">
        <f aca="false">IF(20&lt;$C$15,0,$J$15)</f>
        <v>1</v>
      </c>
      <c r="X57" s="79" t="n">
        <f aca="false">IF(21&lt;$C$15,0,$J$15)</f>
        <v>1</v>
      </c>
      <c r="Y57" s="79" t="n">
        <f aca="false">IF(22&lt;$C$15,0,$J$15)</f>
        <v>1</v>
      </c>
      <c r="Z57" s="79" t="n">
        <f aca="false">IF(23&lt;$C$15,0,$J$15)</f>
        <v>1</v>
      </c>
      <c r="AA57" s="79" t="n">
        <f aca="false">IF(24&lt;$C$15,0,$J$15)</f>
        <v>1</v>
      </c>
      <c r="AB57" s="78" t="n">
        <f aca="false">AN57</f>
        <v>1</v>
      </c>
      <c r="AC57" s="79" t="n">
        <f aca="false">IF(25&lt;$C$15,0,$K$15)</f>
        <v>1</v>
      </c>
      <c r="AD57" s="79" t="n">
        <f aca="false">IF(26&lt;$C$15,0,$K$15)</f>
        <v>1</v>
      </c>
      <c r="AE57" s="79" t="n">
        <f aca="false">IF(27&lt;$C$15,0,$K$15)</f>
        <v>1</v>
      </c>
      <c r="AF57" s="79" t="n">
        <f aca="false">IF(28&lt;$C$15,0,$K$15)</f>
        <v>1</v>
      </c>
      <c r="AG57" s="79" t="n">
        <f aca="false">IF(29&lt;$C$15,0,$K$15)</f>
        <v>1</v>
      </c>
      <c r="AH57" s="79" t="n">
        <f aca="false">IF(30&lt;$C$15,0,$K$15)</f>
        <v>1</v>
      </c>
      <c r="AI57" s="79" t="n">
        <f aca="false">IF(31&lt;$C$15,0,$K$15)</f>
        <v>1</v>
      </c>
      <c r="AJ57" s="79" t="n">
        <f aca="false">IF(32&lt;$C$15,0,$K$15)</f>
        <v>1</v>
      </c>
      <c r="AK57" s="79" t="n">
        <f aca="false">IF(33&lt;$C$15,0,$K$15)</f>
        <v>1</v>
      </c>
      <c r="AL57" s="79" t="n">
        <f aca="false">IF(34&lt;$C$15,0,$K$15)</f>
        <v>1</v>
      </c>
      <c r="AM57" s="79" t="n">
        <f aca="false">IF(35&lt;$C$15,0,$K$15)</f>
        <v>1</v>
      </c>
      <c r="AN57" s="79" t="n">
        <f aca="false">IF(36&lt;$C$15,0,$K$15)</f>
        <v>1</v>
      </c>
      <c r="AO57" s="78" t="n">
        <f aca="false">BA57</f>
        <v>1</v>
      </c>
      <c r="AP57" s="79" t="n">
        <f aca="false">IF(37&lt;$C$15,0,$L$15)</f>
        <v>1</v>
      </c>
      <c r="AQ57" s="79" t="n">
        <f aca="false">IF(38&lt;$C$15,0,$L$15)</f>
        <v>1</v>
      </c>
      <c r="AR57" s="79" t="n">
        <f aca="false">IF(39&lt;$C$15,0,$L$15)</f>
        <v>1</v>
      </c>
      <c r="AS57" s="79" t="n">
        <f aca="false">IF(40&lt;$C$15,0,$L$15)</f>
        <v>1</v>
      </c>
      <c r="AT57" s="79" t="n">
        <f aca="false">IF(41&lt;$C$15,0,$L$15)</f>
        <v>1</v>
      </c>
      <c r="AU57" s="79" t="n">
        <f aca="false">IF(42&lt;$C$15,0,$L$15)</f>
        <v>1</v>
      </c>
      <c r="AV57" s="79" t="n">
        <f aca="false">IF(43&lt;$C$15,0,$L$15)</f>
        <v>1</v>
      </c>
      <c r="AW57" s="79" t="n">
        <f aca="false">IF(44&lt;$C$15,0,$L$15)</f>
        <v>1</v>
      </c>
      <c r="AX57" s="79" t="n">
        <f aca="false">IF(45&lt;$C$15,0,$L$15)</f>
        <v>1</v>
      </c>
      <c r="AY57" s="79" t="n">
        <f aca="false">IF(46&lt;$C$15,0,$L$15)</f>
        <v>1</v>
      </c>
      <c r="AZ57" s="79" t="n">
        <f aca="false">IF(47&lt;$C$15,0,$L$15)</f>
        <v>1</v>
      </c>
      <c r="BA57" s="79" t="n">
        <f aca="false">IF(48&lt;$C$15,0,$L$15)</f>
        <v>1</v>
      </c>
      <c r="BB57" s="78" t="n">
        <f aca="false">BN57</f>
        <v>1</v>
      </c>
      <c r="BC57" s="79" t="n">
        <f aca="false">IF(49&lt;$C$15,0,$M$15)</f>
        <v>1</v>
      </c>
      <c r="BD57" s="79" t="n">
        <f aca="false">IF(50&lt;$C$15,0,$M$15)</f>
        <v>1</v>
      </c>
      <c r="BE57" s="79" t="n">
        <f aca="false">IF(51&lt;$C$15,0,$M$15)</f>
        <v>1</v>
      </c>
      <c r="BF57" s="79" t="n">
        <f aca="false">IF(52&lt;$C$15,0,$M$15)</f>
        <v>1</v>
      </c>
      <c r="BG57" s="79" t="n">
        <f aca="false">IF(53&lt;$C$15,0,$M$15)</f>
        <v>1</v>
      </c>
      <c r="BH57" s="79" t="n">
        <f aca="false">IF(54&lt;$C$15,0,$M$15)</f>
        <v>1</v>
      </c>
      <c r="BI57" s="79" t="n">
        <f aca="false">IF(55&lt;$C$15,0,$M$15)</f>
        <v>1</v>
      </c>
      <c r="BJ57" s="79" t="n">
        <f aca="false">IF(56&lt;$C$15,0,$M$15)</f>
        <v>1</v>
      </c>
      <c r="BK57" s="79" t="n">
        <f aca="false">IF(57&lt;$C$15,0,$M$15)</f>
        <v>1</v>
      </c>
      <c r="BL57" s="79" t="n">
        <f aca="false">IF(58&lt;$C$15,0,$M$15)</f>
        <v>1</v>
      </c>
      <c r="BM57" s="79" t="n">
        <f aca="false">IF(59&lt;$C$15,0,$M$15)</f>
        <v>1</v>
      </c>
      <c r="BN57" s="79" t="n">
        <f aca="false">IF(60&lt;$C$15,0,$M$15)</f>
        <v>1</v>
      </c>
    </row>
    <row r="58" customFormat="false" ht="15" hidden="false" customHeight="false" outlineLevel="0" collapsed="false">
      <c r="A58" s="12" t="s">
        <v>769</v>
      </c>
      <c r="B58" s="78" t="n">
        <f aca="false">N58</f>
        <v>0</v>
      </c>
      <c r="C58" s="79" t="n">
        <f aca="false">IF(1&lt;$C$16,0,$I$16)</f>
        <v>0</v>
      </c>
      <c r="D58" s="79" t="n">
        <f aca="false">IF(2&lt;$C$16,0,$I$16)</f>
        <v>0</v>
      </c>
      <c r="E58" s="79" t="n">
        <f aca="false">IF(3&lt;$C$16,0,$I$16)</f>
        <v>0</v>
      </c>
      <c r="F58" s="79" t="n">
        <f aca="false">IF(4&lt;$C$16,0,$I$16)</f>
        <v>0</v>
      </c>
      <c r="G58" s="79" t="n">
        <f aca="false">IF(5&lt;$C$16,0,$I$16)</f>
        <v>0</v>
      </c>
      <c r="H58" s="79" t="n">
        <f aca="false">IF(6&lt;$C$16,0,$I$16)</f>
        <v>0</v>
      </c>
      <c r="I58" s="79" t="n">
        <f aca="false">IF(7&lt;$C$16,0,$I$16)</f>
        <v>0</v>
      </c>
      <c r="J58" s="79" t="n">
        <f aca="false">IF(8&lt;$C$16,0,$I$16)</f>
        <v>0</v>
      </c>
      <c r="K58" s="79" t="n">
        <f aca="false">IF(9&lt;$C$16,0,$I$16)</f>
        <v>0</v>
      </c>
      <c r="L58" s="79" t="n">
        <f aca="false">IF(10&lt;$C$16,0,$I$16)</f>
        <v>0</v>
      </c>
      <c r="M58" s="79" t="n">
        <f aca="false">IF(11&lt;$C$16,0,$I$16)</f>
        <v>0</v>
      </c>
      <c r="N58" s="79" t="n">
        <f aca="false">IF(12&lt;$C$16,0,$I$16)</f>
        <v>0</v>
      </c>
      <c r="O58" s="78" t="n">
        <f aca="false">AA58</f>
        <v>0</v>
      </c>
      <c r="P58" s="79" t="n">
        <f aca="false">IF(13&lt;$C$16,0,$J$16)</f>
        <v>0</v>
      </c>
      <c r="Q58" s="79" t="n">
        <f aca="false">IF(14&lt;$C$16,0,$J$16)</f>
        <v>0</v>
      </c>
      <c r="R58" s="79" t="n">
        <f aca="false">IF(15&lt;$C$16,0,$J$16)</f>
        <v>0</v>
      </c>
      <c r="S58" s="79" t="n">
        <f aca="false">IF(16&lt;$C$16,0,$J$16)</f>
        <v>0</v>
      </c>
      <c r="T58" s="79" t="n">
        <f aca="false">IF(17&lt;$C$16,0,$J$16)</f>
        <v>0</v>
      </c>
      <c r="U58" s="79" t="n">
        <f aca="false">IF(18&lt;$C$16,0,$J$16)</f>
        <v>0</v>
      </c>
      <c r="V58" s="79" t="n">
        <f aca="false">IF(19&lt;$C$16,0,$J$16)</f>
        <v>0</v>
      </c>
      <c r="W58" s="79" t="n">
        <f aca="false">IF(20&lt;$C$16,0,$J$16)</f>
        <v>0</v>
      </c>
      <c r="X58" s="79" t="n">
        <f aca="false">IF(21&lt;$C$16,0,$J$16)</f>
        <v>0</v>
      </c>
      <c r="Y58" s="79" t="n">
        <f aca="false">IF(22&lt;$C$16,0,$J$16)</f>
        <v>0</v>
      </c>
      <c r="Z58" s="79" t="n">
        <f aca="false">IF(23&lt;$C$16,0,$J$16)</f>
        <v>0</v>
      </c>
      <c r="AA58" s="79" t="n">
        <f aca="false">IF(24&lt;$C$16,0,$J$16)</f>
        <v>0</v>
      </c>
      <c r="AB58" s="78" t="n">
        <f aca="false">AN58</f>
        <v>0</v>
      </c>
      <c r="AC58" s="79" t="n">
        <f aca="false">IF(25&lt;$C$16,0,$K$16)</f>
        <v>0</v>
      </c>
      <c r="AD58" s="79" t="n">
        <f aca="false">IF(26&lt;$C$16,0,$K$16)</f>
        <v>0</v>
      </c>
      <c r="AE58" s="79" t="n">
        <f aca="false">IF(27&lt;$C$16,0,$K$16)</f>
        <v>0</v>
      </c>
      <c r="AF58" s="79" t="n">
        <f aca="false">IF(28&lt;$C$16,0,$K$16)</f>
        <v>0</v>
      </c>
      <c r="AG58" s="79" t="n">
        <f aca="false">IF(29&lt;$C$16,0,$K$16)</f>
        <v>0</v>
      </c>
      <c r="AH58" s="79" t="n">
        <f aca="false">IF(30&lt;$C$16,0,$K$16)</f>
        <v>0</v>
      </c>
      <c r="AI58" s="79" t="n">
        <f aca="false">IF(31&lt;$C$16,0,$K$16)</f>
        <v>0</v>
      </c>
      <c r="AJ58" s="79" t="n">
        <f aca="false">IF(32&lt;$C$16,0,$K$16)</f>
        <v>0</v>
      </c>
      <c r="AK58" s="79" t="n">
        <f aca="false">IF(33&lt;$C$16,0,$K$16)</f>
        <v>0</v>
      </c>
      <c r="AL58" s="79" t="n">
        <f aca="false">IF(34&lt;$C$16,0,$K$16)</f>
        <v>0</v>
      </c>
      <c r="AM58" s="79" t="n">
        <f aca="false">IF(35&lt;$C$16,0,$K$16)</f>
        <v>0</v>
      </c>
      <c r="AN58" s="79" t="n">
        <f aca="false">IF(36&lt;$C$16,0,$K$16)</f>
        <v>0</v>
      </c>
      <c r="AO58" s="78" t="n">
        <f aca="false">BA58</f>
        <v>0</v>
      </c>
      <c r="AP58" s="79" t="n">
        <f aca="false">IF(37&lt;$C$16,0,$L$16)</f>
        <v>0</v>
      </c>
      <c r="AQ58" s="79" t="n">
        <f aca="false">IF(38&lt;$C$16,0,$L$16)</f>
        <v>0</v>
      </c>
      <c r="AR58" s="79" t="n">
        <f aca="false">IF(39&lt;$C$16,0,$L$16)</f>
        <v>0</v>
      </c>
      <c r="AS58" s="79" t="n">
        <f aca="false">IF(40&lt;$C$16,0,$L$16)</f>
        <v>0</v>
      </c>
      <c r="AT58" s="79" t="n">
        <f aca="false">IF(41&lt;$C$16,0,$L$16)</f>
        <v>0</v>
      </c>
      <c r="AU58" s="79" t="n">
        <f aca="false">IF(42&lt;$C$16,0,$L$16)</f>
        <v>0</v>
      </c>
      <c r="AV58" s="79" t="n">
        <f aca="false">IF(43&lt;$C$16,0,$L$16)</f>
        <v>0</v>
      </c>
      <c r="AW58" s="79" t="n">
        <f aca="false">IF(44&lt;$C$16,0,$L$16)</f>
        <v>0</v>
      </c>
      <c r="AX58" s="79" t="n">
        <f aca="false">IF(45&lt;$C$16,0,$L$16)</f>
        <v>0</v>
      </c>
      <c r="AY58" s="79" t="n">
        <f aca="false">IF(46&lt;$C$16,0,$L$16)</f>
        <v>0</v>
      </c>
      <c r="AZ58" s="79" t="n">
        <f aca="false">IF(47&lt;$C$16,0,$L$16)</f>
        <v>0</v>
      </c>
      <c r="BA58" s="79" t="n">
        <f aca="false">IF(48&lt;$C$16,0,$L$16)</f>
        <v>0</v>
      </c>
      <c r="BB58" s="78" t="n">
        <f aca="false">BN58</f>
        <v>1</v>
      </c>
      <c r="BC58" s="79" t="n">
        <f aca="false">IF(49&lt;$C$16,0,$M$16)</f>
        <v>1</v>
      </c>
      <c r="BD58" s="79" t="n">
        <f aca="false">IF(50&lt;$C$16,0,$M$16)</f>
        <v>1</v>
      </c>
      <c r="BE58" s="79" t="n">
        <f aca="false">IF(51&lt;$C$16,0,$M$16)</f>
        <v>1</v>
      </c>
      <c r="BF58" s="79" t="n">
        <f aca="false">IF(52&lt;$C$16,0,$M$16)</f>
        <v>1</v>
      </c>
      <c r="BG58" s="79" t="n">
        <f aca="false">IF(53&lt;$C$16,0,$M$16)</f>
        <v>1</v>
      </c>
      <c r="BH58" s="79" t="n">
        <f aca="false">IF(54&lt;$C$16,0,$M$16)</f>
        <v>1</v>
      </c>
      <c r="BI58" s="79" t="n">
        <f aca="false">IF(55&lt;$C$16,0,$M$16)</f>
        <v>1</v>
      </c>
      <c r="BJ58" s="79" t="n">
        <f aca="false">IF(56&lt;$C$16,0,$M$16)</f>
        <v>1</v>
      </c>
      <c r="BK58" s="79" t="n">
        <f aca="false">IF(57&lt;$C$16,0,$M$16)</f>
        <v>1</v>
      </c>
      <c r="BL58" s="79" t="n">
        <f aca="false">IF(58&lt;$C$16,0,$M$16)</f>
        <v>1</v>
      </c>
      <c r="BM58" s="79" t="n">
        <f aca="false">IF(59&lt;$C$16,0,$M$16)</f>
        <v>1</v>
      </c>
      <c r="BN58" s="79" t="n">
        <f aca="false">IF(60&lt;$C$16,0,$M$16)</f>
        <v>1</v>
      </c>
    </row>
    <row r="59" customFormat="false" ht="15" hidden="false" customHeight="false" outlineLevel="0" collapsed="false">
      <c r="A59" s="12" t="s">
        <v>770</v>
      </c>
      <c r="B59" s="78" t="n">
        <f aca="false">N59</f>
        <v>0</v>
      </c>
      <c r="C59" s="79" t="n">
        <f aca="false">IF(1&lt;$C$17,0,$I$17)</f>
        <v>0</v>
      </c>
      <c r="D59" s="79" t="n">
        <f aca="false">IF(2&lt;$C$17,0,$I$17)</f>
        <v>0</v>
      </c>
      <c r="E59" s="79" t="n">
        <f aca="false">IF(3&lt;$C$17,0,$I$17)</f>
        <v>0</v>
      </c>
      <c r="F59" s="79" t="n">
        <f aca="false">IF(4&lt;$C$17,0,$I$17)</f>
        <v>0</v>
      </c>
      <c r="G59" s="79" t="n">
        <f aca="false">IF(5&lt;$C$17,0,$I$17)</f>
        <v>0</v>
      </c>
      <c r="H59" s="79" t="n">
        <f aca="false">IF(6&lt;$C$17,0,$I$17)</f>
        <v>0</v>
      </c>
      <c r="I59" s="79" t="n">
        <f aca="false">IF(7&lt;$C$17,0,$I$17)</f>
        <v>0</v>
      </c>
      <c r="J59" s="79" t="n">
        <f aca="false">IF(8&lt;$C$17,0,$I$17)</f>
        <v>0</v>
      </c>
      <c r="K59" s="79" t="n">
        <f aca="false">IF(9&lt;$C$17,0,$I$17)</f>
        <v>0</v>
      </c>
      <c r="L59" s="79" t="n">
        <f aca="false">IF(10&lt;$C$17,0,$I$17)</f>
        <v>0</v>
      </c>
      <c r="M59" s="79" t="n">
        <f aca="false">IF(11&lt;$C$17,0,$I$17)</f>
        <v>0</v>
      </c>
      <c r="N59" s="79" t="n">
        <f aca="false">IF(12&lt;$C$17,0,$I$17)</f>
        <v>0</v>
      </c>
      <c r="O59" s="78" t="n">
        <f aca="false">AA59</f>
        <v>1</v>
      </c>
      <c r="P59" s="79" t="n">
        <f aca="false">IF(13&lt;$C$17,0,$J$17)</f>
        <v>1</v>
      </c>
      <c r="Q59" s="79" t="n">
        <f aca="false">IF(14&lt;$C$17,0,$J$17)</f>
        <v>1</v>
      </c>
      <c r="R59" s="79" t="n">
        <f aca="false">IF(15&lt;$C$17,0,$J$17)</f>
        <v>1</v>
      </c>
      <c r="S59" s="79" t="n">
        <f aca="false">IF(16&lt;$C$17,0,$J$17)</f>
        <v>1</v>
      </c>
      <c r="T59" s="79" t="n">
        <f aca="false">IF(17&lt;$C$17,0,$J$17)</f>
        <v>1</v>
      </c>
      <c r="U59" s="79" t="n">
        <f aca="false">IF(18&lt;$C$17,0,$J$17)</f>
        <v>1</v>
      </c>
      <c r="V59" s="79" t="n">
        <f aca="false">IF(19&lt;$C$17,0,$J$17)</f>
        <v>1</v>
      </c>
      <c r="W59" s="79" t="n">
        <f aca="false">IF(20&lt;$C$17,0,$J$17)</f>
        <v>1</v>
      </c>
      <c r="X59" s="79" t="n">
        <f aca="false">IF(21&lt;$C$17,0,$J$17)</f>
        <v>1</v>
      </c>
      <c r="Y59" s="79" t="n">
        <f aca="false">IF(22&lt;$C$17,0,$J$17)</f>
        <v>1</v>
      </c>
      <c r="Z59" s="79" t="n">
        <f aca="false">IF(23&lt;$C$17,0,$J$17)</f>
        <v>1</v>
      </c>
      <c r="AA59" s="79" t="n">
        <f aca="false">IF(24&lt;$C$17,0,$J$17)</f>
        <v>1</v>
      </c>
      <c r="AB59" s="78" t="n">
        <f aca="false">AN59</f>
        <v>2</v>
      </c>
      <c r="AC59" s="79" t="n">
        <f aca="false">IF(25&lt;$C$17,0,$K$17)</f>
        <v>2</v>
      </c>
      <c r="AD59" s="79" t="n">
        <f aca="false">IF(26&lt;$C$17,0,$K$17)</f>
        <v>2</v>
      </c>
      <c r="AE59" s="79" t="n">
        <f aca="false">IF(27&lt;$C$17,0,$K$17)</f>
        <v>2</v>
      </c>
      <c r="AF59" s="79" t="n">
        <f aca="false">IF(28&lt;$C$17,0,$K$17)</f>
        <v>2</v>
      </c>
      <c r="AG59" s="79" t="n">
        <f aca="false">IF(29&lt;$C$17,0,$K$17)</f>
        <v>2</v>
      </c>
      <c r="AH59" s="79" t="n">
        <f aca="false">IF(30&lt;$C$17,0,$K$17)</f>
        <v>2</v>
      </c>
      <c r="AI59" s="79" t="n">
        <f aca="false">IF(31&lt;$C$17,0,$K$17)</f>
        <v>2</v>
      </c>
      <c r="AJ59" s="79" t="n">
        <f aca="false">IF(32&lt;$C$17,0,$K$17)</f>
        <v>2</v>
      </c>
      <c r="AK59" s="79" t="n">
        <f aca="false">IF(33&lt;$C$17,0,$K$17)</f>
        <v>2</v>
      </c>
      <c r="AL59" s="79" t="n">
        <f aca="false">IF(34&lt;$C$17,0,$K$17)</f>
        <v>2</v>
      </c>
      <c r="AM59" s="79" t="n">
        <f aca="false">IF(35&lt;$C$17,0,$K$17)</f>
        <v>2</v>
      </c>
      <c r="AN59" s="79" t="n">
        <f aca="false">IF(36&lt;$C$17,0,$K$17)</f>
        <v>2</v>
      </c>
      <c r="AO59" s="78" t="n">
        <f aca="false">BA59</f>
        <v>2</v>
      </c>
      <c r="AP59" s="79" t="n">
        <f aca="false">IF(37&lt;$C$17,0,$L$17)</f>
        <v>2</v>
      </c>
      <c r="AQ59" s="79" t="n">
        <f aca="false">IF(38&lt;$C$17,0,$L$17)</f>
        <v>2</v>
      </c>
      <c r="AR59" s="79" t="n">
        <f aca="false">IF(39&lt;$C$17,0,$L$17)</f>
        <v>2</v>
      </c>
      <c r="AS59" s="79" t="n">
        <f aca="false">IF(40&lt;$C$17,0,$L$17)</f>
        <v>2</v>
      </c>
      <c r="AT59" s="79" t="n">
        <f aca="false">IF(41&lt;$C$17,0,$L$17)</f>
        <v>2</v>
      </c>
      <c r="AU59" s="79" t="n">
        <f aca="false">IF(42&lt;$C$17,0,$L$17)</f>
        <v>2</v>
      </c>
      <c r="AV59" s="79" t="n">
        <f aca="false">IF(43&lt;$C$17,0,$L$17)</f>
        <v>2</v>
      </c>
      <c r="AW59" s="79" t="n">
        <f aca="false">IF(44&lt;$C$17,0,$L$17)</f>
        <v>2</v>
      </c>
      <c r="AX59" s="79" t="n">
        <f aca="false">IF(45&lt;$C$17,0,$L$17)</f>
        <v>2</v>
      </c>
      <c r="AY59" s="79" t="n">
        <f aca="false">IF(46&lt;$C$17,0,$L$17)</f>
        <v>2</v>
      </c>
      <c r="AZ59" s="79" t="n">
        <f aca="false">IF(47&lt;$C$17,0,$L$17)</f>
        <v>2</v>
      </c>
      <c r="BA59" s="79" t="n">
        <f aca="false">IF(48&lt;$C$17,0,$L$17)</f>
        <v>2</v>
      </c>
      <c r="BB59" s="78" t="n">
        <f aca="false">BN59</f>
        <v>2</v>
      </c>
      <c r="BC59" s="79" t="n">
        <f aca="false">IF(49&lt;$C$17,0,$M$17)</f>
        <v>2</v>
      </c>
      <c r="BD59" s="79" t="n">
        <f aca="false">IF(50&lt;$C$17,0,$M$17)</f>
        <v>2</v>
      </c>
      <c r="BE59" s="79" t="n">
        <f aca="false">IF(51&lt;$C$17,0,$M$17)</f>
        <v>2</v>
      </c>
      <c r="BF59" s="79" t="n">
        <f aca="false">IF(52&lt;$C$17,0,$M$17)</f>
        <v>2</v>
      </c>
      <c r="BG59" s="79" t="n">
        <f aca="false">IF(53&lt;$C$17,0,$M$17)</f>
        <v>2</v>
      </c>
      <c r="BH59" s="79" t="n">
        <f aca="false">IF(54&lt;$C$17,0,$M$17)</f>
        <v>2</v>
      </c>
      <c r="BI59" s="79" t="n">
        <f aca="false">IF(55&lt;$C$17,0,$M$17)</f>
        <v>2</v>
      </c>
      <c r="BJ59" s="79" t="n">
        <f aca="false">IF(56&lt;$C$17,0,$M$17)</f>
        <v>2</v>
      </c>
      <c r="BK59" s="79" t="n">
        <f aca="false">IF(57&lt;$C$17,0,$M$17)</f>
        <v>2</v>
      </c>
      <c r="BL59" s="79" t="n">
        <f aca="false">IF(58&lt;$C$17,0,$M$17)</f>
        <v>2</v>
      </c>
      <c r="BM59" s="79" t="n">
        <f aca="false">IF(59&lt;$C$17,0,$M$17)</f>
        <v>2</v>
      </c>
      <c r="BN59" s="79" t="n">
        <f aca="false">IF(60&lt;$C$17,0,$M$17)</f>
        <v>2</v>
      </c>
    </row>
    <row r="60" customFormat="false" ht="15" hidden="false" customHeight="false" outlineLevel="0" collapsed="false">
      <c r="A60" s="12" t="s">
        <v>771</v>
      </c>
      <c r="B60" s="78" t="n">
        <f aca="false">N60</f>
        <v>0</v>
      </c>
      <c r="C60" s="79" t="n">
        <f aca="false">IF(1&lt;$C$18,0,$I$18)</f>
        <v>0</v>
      </c>
      <c r="D60" s="79" t="n">
        <f aca="false">IF(2&lt;$C$18,0,$I$18)</f>
        <v>0</v>
      </c>
      <c r="E60" s="79" t="n">
        <f aca="false">IF(3&lt;$C$18,0,$I$18)</f>
        <v>0</v>
      </c>
      <c r="F60" s="79" t="n">
        <f aca="false">IF(4&lt;$C$18,0,$I$18)</f>
        <v>0</v>
      </c>
      <c r="G60" s="79" t="n">
        <f aca="false">IF(5&lt;$C$18,0,$I$18)</f>
        <v>0</v>
      </c>
      <c r="H60" s="79" t="n">
        <f aca="false">IF(6&lt;$C$18,0,$I$18)</f>
        <v>0</v>
      </c>
      <c r="I60" s="79" t="n">
        <f aca="false">IF(7&lt;$C$18,0,$I$18)</f>
        <v>0</v>
      </c>
      <c r="J60" s="79" t="n">
        <f aca="false">IF(8&lt;$C$18,0,$I$18)</f>
        <v>0</v>
      </c>
      <c r="K60" s="79" t="n">
        <f aca="false">IF(9&lt;$C$18,0,$I$18)</f>
        <v>0</v>
      </c>
      <c r="L60" s="79" t="n">
        <f aca="false">IF(10&lt;$C$18,0,$I$18)</f>
        <v>0</v>
      </c>
      <c r="M60" s="79" t="n">
        <f aca="false">IF(11&lt;$C$18,0,$I$18)</f>
        <v>0</v>
      </c>
      <c r="N60" s="79" t="n">
        <f aca="false">IF(12&lt;$C$18,0,$I$18)</f>
        <v>0</v>
      </c>
      <c r="O60" s="78" t="n">
        <f aca="false">AA60</f>
        <v>0</v>
      </c>
      <c r="P60" s="79" t="n">
        <f aca="false">IF(13&lt;$C$18,0,$J$18)</f>
        <v>0</v>
      </c>
      <c r="Q60" s="79" t="n">
        <f aca="false">IF(14&lt;$C$18,0,$J$18)</f>
        <v>0</v>
      </c>
      <c r="R60" s="79" t="n">
        <f aca="false">IF(15&lt;$C$18,0,$J$18)</f>
        <v>0</v>
      </c>
      <c r="S60" s="79" t="n">
        <f aca="false">IF(16&lt;$C$18,0,$J$18)</f>
        <v>0</v>
      </c>
      <c r="T60" s="79" t="n">
        <f aca="false">IF(17&lt;$C$18,0,$J$18)</f>
        <v>0</v>
      </c>
      <c r="U60" s="79" t="n">
        <f aca="false">IF(18&lt;$C$18,0,$J$18)</f>
        <v>0</v>
      </c>
      <c r="V60" s="79" t="n">
        <f aca="false">IF(19&lt;$C$18,0,$J$18)</f>
        <v>0</v>
      </c>
      <c r="W60" s="79" t="n">
        <f aca="false">IF(20&lt;$C$18,0,$J$18)</f>
        <v>0</v>
      </c>
      <c r="X60" s="79" t="n">
        <f aca="false">IF(21&lt;$C$18,0,$J$18)</f>
        <v>0</v>
      </c>
      <c r="Y60" s="79" t="n">
        <f aca="false">IF(22&lt;$C$18,0,$J$18)</f>
        <v>0</v>
      </c>
      <c r="Z60" s="79" t="n">
        <f aca="false">IF(23&lt;$C$18,0,$J$18)</f>
        <v>0</v>
      </c>
      <c r="AA60" s="79" t="n">
        <f aca="false">IF(24&lt;$C$18,0,$J$18)</f>
        <v>0</v>
      </c>
      <c r="AB60" s="78" t="n">
        <f aca="false">AN60</f>
        <v>0</v>
      </c>
      <c r="AC60" s="79" t="n">
        <f aca="false">IF(25&lt;$C$18,0,$K$18)</f>
        <v>0</v>
      </c>
      <c r="AD60" s="79" t="n">
        <f aca="false">IF(26&lt;$C$18,0,$K$18)</f>
        <v>0</v>
      </c>
      <c r="AE60" s="79" t="n">
        <f aca="false">IF(27&lt;$C$18,0,$K$18)</f>
        <v>0</v>
      </c>
      <c r="AF60" s="79" t="n">
        <f aca="false">IF(28&lt;$C$18,0,$K$18)</f>
        <v>0</v>
      </c>
      <c r="AG60" s="79" t="n">
        <f aca="false">IF(29&lt;$C$18,0,$K$18)</f>
        <v>0</v>
      </c>
      <c r="AH60" s="79" t="n">
        <f aca="false">IF(30&lt;$C$18,0,$K$18)</f>
        <v>0</v>
      </c>
      <c r="AI60" s="79" t="n">
        <f aca="false">IF(31&lt;$C$18,0,$K$18)</f>
        <v>0</v>
      </c>
      <c r="AJ60" s="79" t="n">
        <f aca="false">IF(32&lt;$C$18,0,$K$18)</f>
        <v>0</v>
      </c>
      <c r="AK60" s="79" t="n">
        <f aca="false">IF(33&lt;$C$18,0,$K$18)</f>
        <v>0</v>
      </c>
      <c r="AL60" s="79" t="n">
        <f aca="false">IF(34&lt;$C$18,0,$K$18)</f>
        <v>0</v>
      </c>
      <c r="AM60" s="79" t="n">
        <f aca="false">IF(35&lt;$C$18,0,$K$18)</f>
        <v>0</v>
      </c>
      <c r="AN60" s="79" t="n">
        <f aca="false">IF(36&lt;$C$18,0,$K$18)</f>
        <v>0</v>
      </c>
      <c r="AO60" s="78" t="n">
        <f aca="false">BA60</f>
        <v>1</v>
      </c>
      <c r="AP60" s="79" t="n">
        <f aca="false">IF(37&lt;$C$18,0,$L$18)</f>
        <v>1</v>
      </c>
      <c r="AQ60" s="79" t="n">
        <f aca="false">IF(38&lt;$C$18,0,$L$18)</f>
        <v>1</v>
      </c>
      <c r="AR60" s="79" t="n">
        <f aca="false">IF(39&lt;$C$18,0,$L$18)</f>
        <v>1</v>
      </c>
      <c r="AS60" s="79" t="n">
        <f aca="false">IF(40&lt;$C$18,0,$L$18)</f>
        <v>1</v>
      </c>
      <c r="AT60" s="79" t="n">
        <f aca="false">IF(41&lt;$C$18,0,$L$18)</f>
        <v>1</v>
      </c>
      <c r="AU60" s="79" t="n">
        <f aca="false">IF(42&lt;$C$18,0,$L$18)</f>
        <v>1</v>
      </c>
      <c r="AV60" s="79" t="n">
        <f aca="false">IF(43&lt;$C$18,0,$L$18)</f>
        <v>1</v>
      </c>
      <c r="AW60" s="79" t="n">
        <f aca="false">IF(44&lt;$C$18,0,$L$18)</f>
        <v>1</v>
      </c>
      <c r="AX60" s="79" t="n">
        <f aca="false">IF(45&lt;$C$18,0,$L$18)</f>
        <v>1</v>
      </c>
      <c r="AY60" s="79" t="n">
        <f aca="false">IF(46&lt;$C$18,0,$L$18)</f>
        <v>1</v>
      </c>
      <c r="AZ60" s="79" t="n">
        <f aca="false">IF(47&lt;$C$18,0,$L$18)</f>
        <v>1</v>
      </c>
      <c r="BA60" s="79" t="n">
        <f aca="false">IF(48&lt;$C$18,0,$L$18)</f>
        <v>1</v>
      </c>
      <c r="BB60" s="78" t="n">
        <f aca="false">BN60</f>
        <v>1</v>
      </c>
      <c r="BC60" s="79" t="n">
        <f aca="false">IF(49&lt;$C$18,0,$M$18)</f>
        <v>1</v>
      </c>
      <c r="BD60" s="79" t="n">
        <f aca="false">IF(50&lt;$C$18,0,$M$18)</f>
        <v>1</v>
      </c>
      <c r="BE60" s="79" t="n">
        <f aca="false">IF(51&lt;$C$18,0,$M$18)</f>
        <v>1</v>
      </c>
      <c r="BF60" s="79" t="n">
        <f aca="false">IF(52&lt;$C$18,0,$M$18)</f>
        <v>1</v>
      </c>
      <c r="BG60" s="79" t="n">
        <f aca="false">IF(53&lt;$C$18,0,$M$18)</f>
        <v>1</v>
      </c>
      <c r="BH60" s="79" t="n">
        <f aca="false">IF(54&lt;$C$18,0,$M$18)</f>
        <v>1</v>
      </c>
      <c r="BI60" s="79" t="n">
        <f aca="false">IF(55&lt;$C$18,0,$M$18)</f>
        <v>1</v>
      </c>
      <c r="BJ60" s="79" t="n">
        <f aca="false">IF(56&lt;$C$18,0,$M$18)</f>
        <v>1</v>
      </c>
      <c r="BK60" s="79" t="n">
        <f aca="false">IF(57&lt;$C$18,0,$M$18)</f>
        <v>1</v>
      </c>
      <c r="BL60" s="79" t="n">
        <f aca="false">IF(58&lt;$C$18,0,$M$18)</f>
        <v>1</v>
      </c>
      <c r="BM60" s="79" t="n">
        <f aca="false">IF(59&lt;$C$18,0,$M$18)</f>
        <v>1</v>
      </c>
      <c r="BN60" s="79" t="n">
        <f aca="false">IF(60&lt;$C$18,0,$M$18)</f>
        <v>1</v>
      </c>
    </row>
    <row r="61" customFormat="false" ht="15" hidden="false" customHeight="false" outlineLevel="0" collapsed="false">
      <c r="A61" s="12" t="s">
        <v>772</v>
      </c>
      <c r="B61" s="78" t="n">
        <f aca="false">N61</f>
        <v>0</v>
      </c>
      <c r="C61" s="79" t="n">
        <f aca="false">IF(1&lt;$C$19,0,$I$19)</f>
        <v>0</v>
      </c>
      <c r="D61" s="79" t="n">
        <f aca="false">IF(2&lt;$C$19,0,$I$19)</f>
        <v>0</v>
      </c>
      <c r="E61" s="79" t="n">
        <f aca="false">IF(3&lt;$C$19,0,$I$19)</f>
        <v>0</v>
      </c>
      <c r="F61" s="79" t="n">
        <f aca="false">IF(4&lt;$C$19,0,$I$19)</f>
        <v>0</v>
      </c>
      <c r="G61" s="79" t="n">
        <f aca="false">IF(5&lt;$C$19,0,$I$19)</f>
        <v>0</v>
      </c>
      <c r="H61" s="79" t="n">
        <f aca="false">IF(6&lt;$C$19,0,$I$19)</f>
        <v>0</v>
      </c>
      <c r="I61" s="79" t="n">
        <f aca="false">IF(7&lt;$C$19,0,$I$19)</f>
        <v>0</v>
      </c>
      <c r="J61" s="79" t="n">
        <f aca="false">IF(8&lt;$C$19,0,$I$19)</f>
        <v>0</v>
      </c>
      <c r="K61" s="79" t="n">
        <f aca="false">IF(9&lt;$C$19,0,$I$19)</f>
        <v>0</v>
      </c>
      <c r="L61" s="79" t="n">
        <f aca="false">IF(10&lt;$C$19,0,$I$19)</f>
        <v>0</v>
      </c>
      <c r="M61" s="79" t="n">
        <f aca="false">IF(11&lt;$C$19,0,$I$19)</f>
        <v>0</v>
      </c>
      <c r="N61" s="79" t="n">
        <f aca="false">IF(12&lt;$C$19,0,$I$19)</f>
        <v>0</v>
      </c>
      <c r="O61" s="78" t="n">
        <f aca="false">AA61</f>
        <v>1</v>
      </c>
      <c r="P61" s="79" t="n">
        <f aca="false">IF(13&lt;$C$19,0,$J$19)</f>
        <v>1</v>
      </c>
      <c r="Q61" s="79" t="n">
        <f aca="false">IF(14&lt;$C$19,0,$J$19)</f>
        <v>1</v>
      </c>
      <c r="R61" s="79" t="n">
        <f aca="false">IF(15&lt;$C$19,0,$J$19)</f>
        <v>1</v>
      </c>
      <c r="S61" s="79" t="n">
        <f aca="false">IF(16&lt;$C$19,0,$J$19)</f>
        <v>1</v>
      </c>
      <c r="T61" s="79" t="n">
        <f aca="false">IF(17&lt;$C$19,0,$J$19)</f>
        <v>1</v>
      </c>
      <c r="U61" s="79" t="n">
        <f aca="false">IF(18&lt;$C$19,0,$J$19)</f>
        <v>1</v>
      </c>
      <c r="V61" s="79" t="n">
        <f aca="false">IF(19&lt;$C$19,0,$J$19)</f>
        <v>1</v>
      </c>
      <c r="W61" s="79" t="n">
        <f aca="false">IF(20&lt;$C$19,0,$J$19)</f>
        <v>1</v>
      </c>
      <c r="X61" s="79" t="n">
        <f aca="false">IF(21&lt;$C$19,0,$J$19)</f>
        <v>1</v>
      </c>
      <c r="Y61" s="79" t="n">
        <f aca="false">IF(22&lt;$C$19,0,$J$19)</f>
        <v>1</v>
      </c>
      <c r="Z61" s="79" t="n">
        <f aca="false">IF(23&lt;$C$19,0,$J$19)</f>
        <v>1</v>
      </c>
      <c r="AA61" s="79" t="n">
        <f aca="false">IF(24&lt;$C$19,0,$J$19)</f>
        <v>1</v>
      </c>
      <c r="AB61" s="78" t="n">
        <f aca="false">AN61</f>
        <v>1</v>
      </c>
      <c r="AC61" s="79" t="n">
        <f aca="false">IF(25&lt;$C$19,0,$K$19)</f>
        <v>1</v>
      </c>
      <c r="AD61" s="79" t="n">
        <f aca="false">IF(26&lt;$C$19,0,$K$19)</f>
        <v>1</v>
      </c>
      <c r="AE61" s="79" t="n">
        <f aca="false">IF(27&lt;$C$19,0,$K$19)</f>
        <v>1</v>
      </c>
      <c r="AF61" s="79" t="n">
        <f aca="false">IF(28&lt;$C$19,0,$K$19)</f>
        <v>1</v>
      </c>
      <c r="AG61" s="79" t="n">
        <f aca="false">IF(29&lt;$C$19,0,$K$19)</f>
        <v>1</v>
      </c>
      <c r="AH61" s="79" t="n">
        <f aca="false">IF(30&lt;$C$19,0,$K$19)</f>
        <v>1</v>
      </c>
      <c r="AI61" s="79" t="n">
        <f aca="false">IF(31&lt;$C$19,0,$K$19)</f>
        <v>1</v>
      </c>
      <c r="AJ61" s="79" t="n">
        <f aca="false">IF(32&lt;$C$19,0,$K$19)</f>
        <v>1</v>
      </c>
      <c r="AK61" s="79" t="n">
        <f aca="false">IF(33&lt;$C$19,0,$K$19)</f>
        <v>1</v>
      </c>
      <c r="AL61" s="79" t="n">
        <f aca="false">IF(34&lt;$C$19,0,$K$19)</f>
        <v>1</v>
      </c>
      <c r="AM61" s="79" t="n">
        <f aca="false">IF(35&lt;$C$19,0,$K$19)</f>
        <v>1</v>
      </c>
      <c r="AN61" s="79" t="n">
        <f aca="false">IF(36&lt;$C$19,0,$K$19)</f>
        <v>1</v>
      </c>
      <c r="AO61" s="78" t="n">
        <f aca="false">BA61</f>
        <v>1</v>
      </c>
      <c r="AP61" s="79" t="n">
        <f aca="false">IF(37&lt;$C$19,0,$L$19)</f>
        <v>1</v>
      </c>
      <c r="AQ61" s="79" t="n">
        <f aca="false">IF(38&lt;$C$19,0,$L$19)</f>
        <v>1</v>
      </c>
      <c r="AR61" s="79" t="n">
        <f aca="false">IF(39&lt;$C$19,0,$L$19)</f>
        <v>1</v>
      </c>
      <c r="AS61" s="79" t="n">
        <f aca="false">IF(40&lt;$C$19,0,$L$19)</f>
        <v>1</v>
      </c>
      <c r="AT61" s="79" t="n">
        <f aca="false">IF(41&lt;$C$19,0,$L$19)</f>
        <v>1</v>
      </c>
      <c r="AU61" s="79" t="n">
        <f aca="false">IF(42&lt;$C$19,0,$L$19)</f>
        <v>1</v>
      </c>
      <c r="AV61" s="79" t="n">
        <f aca="false">IF(43&lt;$C$19,0,$L$19)</f>
        <v>1</v>
      </c>
      <c r="AW61" s="79" t="n">
        <f aca="false">IF(44&lt;$C$19,0,$L$19)</f>
        <v>1</v>
      </c>
      <c r="AX61" s="79" t="n">
        <f aca="false">IF(45&lt;$C$19,0,$L$19)</f>
        <v>1</v>
      </c>
      <c r="AY61" s="79" t="n">
        <f aca="false">IF(46&lt;$C$19,0,$L$19)</f>
        <v>1</v>
      </c>
      <c r="AZ61" s="79" t="n">
        <f aca="false">IF(47&lt;$C$19,0,$L$19)</f>
        <v>1</v>
      </c>
      <c r="BA61" s="79" t="n">
        <f aca="false">IF(48&lt;$C$19,0,$L$19)</f>
        <v>1</v>
      </c>
      <c r="BB61" s="78" t="n">
        <f aca="false">BN61</f>
        <v>1</v>
      </c>
      <c r="BC61" s="79" t="n">
        <f aca="false">IF(49&lt;$C$19,0,$M$19)</f>
        <v>1</v>
      </c>
      <c r="BD61" s="79" t="n">
        <f aca="false">IF(50&lt;$C$19,0,$M$19)</f>
        <v>1</v>
      </c>
      <c r="BE61" s="79" t="n">
        <f aca="false">IF(51&lt;$C$19,0,$M$19)</f>
        <v>1</v>
      </c>
      <c r="BF61" s="79" t="n">
        <f aca="false">IF(52&lt;$C$19,0,$M$19)</f>
        <v>1</v>
      </c>
      <c r="BG61" s="79" t="n">
        <f aca="false">IF(53&lt;$C$19,0,$M$19)</f>
        <v>1</v>
      </c>
      <c r="BH61" s="79" t="n">
        <f aca="false">IF(54&lt;$C$19,0,$M$19)</f>
        <v>1</v>
      </c>
      <c r="BI61" s="79" t="n">
        <f aca="false">IF(55&lt;$C$19,0,$M$19)</f>
        <v>1</v>
      </c>
      <c r="BJ61" s="79" t="n">
        <f aca="false">IF(56&lt;$C$19,0,$M$19)</f>
        <v>1</v>
      </c>
      <c r="BK61" s="79" t="n">
        <f aca="false">IF(57&lt;$C$19,0,$M$19)</f>
        <v>1</v>
      </c>
      <c r="BL61" s="79" t="n">
        <f aca="false">IF(58&lt;$C$19,0,$M$19)</f>
        <v>1</v>
      </c>
      <c r="BM61" s="79" t="n">
        <f aca="false">IF(59&lt;$C$19,0,$M$19)</f>
        <v>1</v>
      </c>
      <c r="BN61" s="79" t="n">
        <f aca="false">IF(60&lt;$C$19,0,$M$19)</f>
        <v>1</v>
      </c>
    </row>
    <row r="62" customFormat="false" ht="15" hidden="false" customHeight="false" outlineLevel="0" collapsed="false">
      <c r="A62" s="12" t="s">
        <v>773</v>
      </c>
      <c r="B62" s="78" t="n">
        <f aca="false">N62</f>
        <v>0</v>
      </c>
      <c r="C62" s="79" t="n">
        <f aca="false">IF(1&lt;$C$20,0,$I$20)</f>
        <v>0</v>
      </c>
      <c r="D62" s="79" t="n">
        <f aca="false">IF(2&lt;$C$20,0,$I$20)</f>
        <v>0</v>
      </c>
      <c r="E62" s="79" t="n">
        <f aca="false">IF(3&lt;$C$20,0,$I$20)</f>
        <v>0</v>
      </c>
      <c r="F62" s="79" t="n">
        <f aca="false">IF(4&lt;$C$20,0,$I$20)</f>
        <v>0</v>
      </c>
      <c r="G62" s="79" t="n">
        <f aca="false">IF(5&lt;$C$20,0,$I$20)</f>
        <v>0</v>
      </c>
      <c r="H62" s="79" t="n">
        <f aca="false">IF(6&lt;$C$20,0,$I$20)</f>
        <v>0</v>
      </c>
      <c r="I62" s="79" t="n">
        <f aca="false">IF(7&lt;$C$20,0,$I$20)</f>
        <v>0</v>
      </c>
      <c r="J62" s="79" t="n">
        <f aca="false">IF(8&lt;$C$20,0,$I$20)</f>
        <v>0</v>
      </c>
      <c r="K62" s="79" t="n">
        <f aca="false">IF(9&lt;$C$20,0,$I$20)</f>
        <v>0</v>
      </c>
      <c r="L62" s="79" t="n">
        <f aca="false">IF(10&lt;$C$20,0,$I$20)</f>
        <v>0</v>
      </c>
      <c r="M62" s="79" t="n">
        <f aca="false">IF(11&lt;$C$20,0,$I$20)</f>
        <v>0</v>
      </c>
      <c r="N62" s="79" t="n">
        <f aca="false">IF(12&lt;$C$20,0,$I$20)</f>
        <v>0</v>
      </c>
      <c r="O62" s="78" t="n">
        <f aca="false">AA62</f>
        <v>0</v>
      </c>
      <c r="P62" s="79" t="n">
        <f aca="false">IF(13&lt;$C$20,0,$J$20)</f>
        <v>0</v>
      </c>
      <c r="Q62" s="79" t="n">
        <f aca="false">IF(14&lt;$C$20,0,$J$20)</f>
        <v>0</v>
      </c>
      <c r="R62" s="79" t="n">
        <f aca="false">IF(15&lt;$C$20,0,$J$20)</f>
        <v>0</v>
      </c>
      <c r="S62" s="79" t="n">
        <f aca="false">IF(16&lt;$C$20,0,$J$20)</f>
        <v>0</v>
      </c>
      <c r="T62" s="79" t="n">
        <f aca="false">IF(17&lt;$C$20,0,$J$20)</f>
        <v>0</v>
      </c>
      <c r="U62" s="79" t="n">
        <f aca="false">IF(18&lt;$C$20,0,$J$20)</f>
        <v>0</v>
      </c>
      <c r="V62" s="79" t="n">
        <f aca="false">IF(19&lt;$C$20,0,$J$20)</f>
        <v>0</v>
      </c>
      <c r="W62" s="79" t="n">
        <f aca="false">IF(20&lt;$C$20,0,$J$20)</f>
        <v>0</v>
      </c>
      <c r="X62" s="79" t="n">
        <f aca="false">IF(21&lt;$C$20,0,$J$20)</f>
        <v>0</v>
      </c>
      <c r="Y62" s="79" t="n">
        <f aca="false">IF(22&lt;$C$20,0,$J$20)</f>
        <v>0</v>
      </c>
      <c r="Z62" s="79" t="n">
        <f aca="false">IF(23&lt;$C$20,0,$J$20)</f>
        <v>0</v>
      </c>
      <c r="AA62" s="79" t="n">
        <f aca="false">IF(24&lt;$C$20,0,$J$20)</f>
        <v>0</v>
      </c>
      <c r="AB62" s="78" t="n">
        <f aca="false">AN62</f>
        <v>1</v>
      </c>
      <c r="AC62" s="79" t="n">
        <f aca="false">IF(25&lt;$C$20,0,$K$20)</f>
        <v>1</v>
      </c>
      <c r="AD62" s="79" t="n">
        <f aca="false">IF(26&lt;$C$20,0,$K$20)</f>
        <v>1</v>
      </c>
      <c r="AE62" s="79" t="n">
        <f aca="false">IF(27&lt;$C$20,0,$K$20)</f>
        <v>1</v>
      </c>
      <c r="AF62" s="79" t="n">
        <f aca="false">IF(28&lt;$C$20,0,$K$20)</f>
        <v>1</v>
      </c>
      <c r="AG62" s="79" t="n">
        <f aca="false">IF(29&lt;$C$20,0,$K$20)</f>
        <v>1</v>
      </c>
      <c r="AH62" s="79" t="n">
        <f aca="false">IF(30&lt;$C$20,0,$K$20)</f>
        <v>1</v>
      </c>
      <c r="AI62" s="79" t="n">
        <f aca="false">IF(31&lt;$C$20,0,$K$20)</f>
        <v>1</v>
      </c>
      <c r="AJ62" s="79" t="n">
        <f aca="false">IF(32&lt;$C$20,0,$K$20)</f>
        <v>1</v>
      </c>
      <c r="AK62" s="79" t="n">
        <f aca="false">IF(33&lt;$C$20,0,$K$20)</f>
        <v>1</v>
      </c>
      <c r="AL62" s="79" t="n">
        <f aca="false">IF(34&lt;$C$20,0,$K$20)</f>
        <v>1</v>
      </c>
      <c r="AM62" s="79" t="n">
        <f aca="false">IF(35&lt;$C$20,0,$K$20)</f>
        <v>1</v>
      </c>
      <c r="AN62" s="79" t="n">
        <f aca="false">IF(36&lt;$C$20,0,$K$20)</f>
        <v>1</v>
      </c>
      <c r="AO62" s="78" t="n">
        <f aca="false">BA62</f>
        <v>1</v>
      </c>
      <c r="AP62" s="79" t="n">
        <f aca="false">IF(37&lt;$C$20,0,$L$20)</f>
        <v>1</v>
      </c>
      <c r="AQ62" s="79" t="n">
        <f aca="false">IF(38&lt;$C$20,0,$L$20)</f>
        <v>1</v>
      </c>
      <c r="AR62" s="79" t="n">
        <f aca="false">IF(39&lt;$C$20,0,$L$20)</f>
        <v>1</v>
      </c>
      <c r="AS62" s="79" t="n">
        <f aca="false">IF(40&lt;$C$20,0,$L$20)</f>
        <v>1</v>
      </c>
      <c r="AT62" s="79" t="n">
        <f aca="false">IF(41&lt;$C$20,0,$L$20)</f>
        <v>1</v>
      </c>
      <c r="AU62" s="79" t="n">
        <f aca="false">IF(42&lt;$C$20,0,$L$20)</f>
        <v>1</v>
      </c>
      <c r="AV62" s="79" t="n">
        <f aca="false">IF(43&lt;$C$20,0,$L$20)</f>
        <v>1</v>
      </c>
      <c r="AW62" s="79" t="n">
        <f aca="false">IF(44&lt;$C$20,0,$L$20)</f>
        <v>1</v>
      </c>
      <c r="AX62" s="79" t="n">
        <f aca="false">IF(45&lt;$C$20,0,$L$20)</f>
        <v>1</v>
      </c>
      <c r="AY62" s="79" t="n">
        <f aca="false">IF(46&lt;$C$20,0,$L$20)</f>
        <v>1</v>
      </c>
      <c r="AZ62" s="79" t="n">
        <f aca="false">IF(47&lt;$C$20,0,$L$20)</f>
        <v>1</v>
      </c>
      <c r="BA62" s="79" t="n">
        <f aca="false">IF(48&lt;$C$20,0,$L$20)</f>
        <v>1</v>
      </c>
      <c r="BB62" s="78" t="n">
        <f aca="false">BN62</f>
        <v>1</v>
      </c>
      <c r="BC62" s="79" t="n">
        <f aca="false">IF(49&lt;$C$20,0,$M$20)</f>
        <v>1</v>
      </c>
      <c r="BD62" s="79" t="n">
        <f aca="false">IF(50&lt;$C$20,0,$M$20)</f>
        <v>1</v>
      </c>
      <c r="BE62" s="79" t="n">
        <f aca="false">IF(51&lt;$C$20,0,$M$20)</f>
        <v>1</v>
      </c>
      <c r="BF62" s="79" t="n">
        <f aca="false">IF(52&lt;$C$20,0,$M$20)</f>
        <v>1</v>
      </c>
      <c r="BG62" s="79" t="n">
        <f aca="false">IF(53&lt;$C$20,0,$M$20)</f>
        <v>1</v>
      </c>
      <c r="BH62" s="79" t="n">
        <f aca="false">IF(54&lt;$C$20,0,$M$20)</f>
        <v>1</v>
      </c>
      <c r="BI62" s="79" t="n">
        <f aca="false">IF(55&lt;$C$20,0,$M$20)</f>
        <v>1</v>
      </c>
      <c r="BJ62" s="79" t="n">
        <f aca="false">IF(56&lt;$C$20,0,$M$20)</f>
        <v>1</v>
      </c>
      <c r="BK62" s="79" t="n">
        <f aca="false">IF(57&lt;$C$20,0,$M$20)</f>
        <v>1</v>
      </c>
      <c r="BL62" s="79" t="n">
        <f aca="false">IF(58&lt;$C$20,0,$M$20)</f>
        <v>1</v>
      </c>
      <c r="BM62" s="79" t="n">
        <f aca="false">IF(59&lt;$C$20,0,$M$20)</f>
        <v>1</v>
      </c>
      <c r="BN62" s="79" t="n">
        <f aca="false">IF(60&lt;$C$20,0,$M$20)</f>
        <v>1</v>
      </c>
    </row>
    <row r="63" customFormat="false" ht="15" hidden="false" customHeight="false" outlineLevel="0" collapsed="false">
      <c r="A63" s="12" t="s">
        <v>774</v>
      </c>
      <c r="B63" s="78" t="n">
        <f aca="false">N63</f>
        <v>0</v>
      </c>
      <c r="C63" s="79" t="n">
        <f aca="false">IF(1&lt;$C$21,0,$I$21)</f>
        <v>0</v>
      </c>
      <c r="D63" s="79" t="n">
        <f aca="false">IF(2&lt;$C$21,0,$I$21)</f>
        <v>0</v>
      </c>
      <c r="E63" s="79" t="n">
        <f aca="false">IF(3&lt;$C$21,0,$I$21)</f>
        <v>0</v>
      </c>
      <c r="F63" s="79" t="n">
        <f aca="false">IF(4&lt;$C$21,0,$I$21)</f>
        <v>0</v>
      </c>
      <c r="G63" s="79" t="n">
        <f aca="false">IF(5&lt;$C$21,0,$I$21)</f>
        <v>0</v>
      </c>
      <c r="H63" s="79" t="n">
        <f aca="false">IF(6&lt;$C$21,0,$I$21)</f>
        <v>0</v>
      </c>
      <c r="I63" s="79" t="n">
        <f aca="false">IF(7&lt;$C$21,0,$I$21)</f>
        <v>0</v>
      </c>
      <c r="J63" s="79" t="n">
        <f aca="false">IF(8&lt;$C$21,0,$I$21)</f>
        <v>0</v>
      </c>
      <c r="K63" s="79" t="n">
        <f aca="false">IF(9&lt;$C$21,0,$I$21)</f>
        <v>0</v>
      </c>
      <c r="L63" s="79" t="n">
        <f aca="false">IF(10&lt;$C$21,0,$I$21)</f>
        <v>0</v>
      </c>
      <c r="M63" s="79" t="n">
        <f aca="false">IF(11&lt;$C$21,0,$I$21)</f>
        <v>0</v>
      </c>
      <c r="N63" s="79" t="n">
        <f aca="false">IF(12&lt;$C$21,0,$I$21)</f>
        <v>0</v>
      </c>
      <c r="O63" s="78" t="n">
        <f aca="false">AA63</f>
        <v>0</v>
      </c>
      <c r="P63" s="79" t="n">
        <f aca="false">IF(13&lt;$C$21,0,$J$21)</f>
        <v>0</v>
      </c>
      <c r="Q63" s="79" t="n">
        <f aca="false">IF(14&lt;$C$21,0,$J$21)</f>
        <v>0</v>
      </c>
      <c r="R63" s="79" t="n">
        <f aca="false">IF(15&lt;$C$21,0,$J$21)</f>
        <v>0</v>
      </c>
      <c r="S63" s="79" t="n">
        <f aca="false">IF(16&lt;$C$21,0,$J$21)</f>
        <v>0</v>
      </c>
      <c r="T63" s="79" t="n">
        <f aca="false">IF(17&lt;$C$21,0,$J$21)</f>
        <v>0</v>
      </c>
      <c r="U63" s="79" t="n">
        <f aca="false">IF(18&lt;$C$21,0,$J$21)</f>
        <v>0</v>
      </c>
      <c r="V63" s="79" t="n">
        <f aca="false">IF(19&lt;$C$21,0,$J$21)</f>
        <v>0</v>
      </c>
      <c r="W63" s="79" t="n">
        <f aca="false">IF(20&lt;$C$21,0,$J$21)</f>
        <v>0</v>
      </c>
      <c r="X63" s="79" t="n">
        <f aca="false">IF(21&lt;$C$21,0,$J$21)</f>
        <v>0</v>
      </c>
      <c r="Y63" s="79" t="n">
        <f aca="false">IF(22&lt;$C$21,0,$J$21)</f>
        <v>0</v>
      </c>
      <c r="Z63" s="79" t="n">
        <f aca="false">IF(23&lt;$C$21,0,$J$21)</f>
        <v>0</v>
      </c>
      <c r="AA63" s="79" t="n">
        <f aca="false">IF(24&lt;$C$21,0,$J$21)</f>
        <v>0</v>
      </c>
      <c r="AB63" s="78" t="n">
        <f aca="false">AN63</f>
        <v>0</v>
      </c>
      <c r="AC63" s="79" t="n">
        <f aca="false">IF(25&lt;$C$21,0,$K$21)</f>
        <v>0</v>
      </c>
      <c r="AD63" s="79" t="n">
        <f aca="false">IF(26&lt;$C$21,0,$K$21)</f>
        <v>0</v>
      </c>
      <c r="AE63" s="79" t="n">
        <f aca="false">IF(27&lt;$C$21,0,$K$21)</f>
        <v>0</v>
      </c>
      <c r="AF63" s="79" t="n">
        <f aca="false">IF(28&lt;$C$21,0,$K$21)</f>
        <v>0</v>
      </c>
      <c r="AG63" s="79" t="n">
        <f aca="false">IF(29&lt;$C$21,0,$K$21)</f>
        <v>0</v>
      </c>
      <c r="AH63" s="79" t="n">
        <f aca="false">IF(30&lt;$C$21,0,$K$21)</f>
        <v>0</v>
      </c>
      <c r="AI63" s="79" t="n">
        <f aca="false">IF(31&lt;$C$21,0,$K$21)</f>
        <v>0</v>
      </c>
      <c r="AJ63" s="79" t="n">
        <f aca="false">IF(32&lt;$C$21,0,$K$21)</f>
        <v>0</v>
      </c>
      <c r="AK63" s="79" t="n">
        <f aca="false">IF(33&lt;$C$21,0,$K$21)</f>
        <v>0</v>
      </c>
      <c r="AL63" s="79" t="n">
        <f aca="false">IF(34&lt;$C$21,0,$K$21)</f>
        <v>0</v>
      </c>
      <c r="AM63" s="79" t="n">
        <f aca="false">IF(35&lt;$C$21,0,$K$21)</f>
        <v>0</v>
      </c>
      <c r="AN63" s="79" t="n">
        <f aca="false">IF(36&lt;$C$21,0,$K$21)</f>
        <v>0</v>
      </c>
      <c r="AO63" s="78" t="n">
        <f aca="false">BA63</f>
        <v>1</v>
      </c>
      <c r="AP63" s="79" t="n">
        <f aca="false">IF(37&lt;$C$21,0,$L$21)</f>
        <v>1</v>
      </c>
      <c r="AQ63" s="79" t="n">
        <f aca="false">IF(38&lt;$C$21,0,$L$21)</f>
        <v>1</v>
      </c>
      <c r="AR63" s="79" t="n">
        <f aca="false">IF(39&lt;$C$21,0,$L$21)</f>
        <v>1</v>
      </c>
      <c r="AS63" s="79" t="n">
        <f aca="false">IF(40&lt;$C$21,0,$L$21)</f>
        <v>1</v>
      </c>
      <c r="AT63" s="79" t="n">
        <f aca="false">IF(41&lt;$C$21,0,$L$21)</f>
        <v>1</v>
      </c>
      <c r="AU63" s="79" t="n">
        <f aca="false">IF(42&lt;$C$21,0,$L$21)</f>
        <v>1</v>
      </c>
      <c r="AV63" s="79" t="n">
        <f aca="false">IF(43&lt;$C$21,0,$L$21)</f>
        <v>1</v>
      </c>
      <c r="AW63" s="79" t="n">
        <f aca="false">IF(44&lt;$C$21,0,$L$21)</f>
        <v>1</v>
      </c>
      <c r="AX63" s="79" t="n">
        <f aca="false">IF(45&lt;$C$21,0,$L$21)</f>
        <v>1</v>
      </c>
      <c r="AY63" s="79" t="n">
        <f aca="false">IF(46&lt;$C$21,0,$L$21)</f>
        <v>1</v>
      </c>
      <c r="AZ63" s="79" t="n">
        <f aca="false">IF(47&lt;$C$21,0,$L$21)</f>
        <v>1</v>
      </c>
      <c r="BA63" s="79" t="n">
        <f aca="false">IF(48&lt;$C$21,0,$L$21)</f>
        <v>1</v>
      </c>
      <c r="BB63" s="78" t="n">
        <f aca="false">BN63</f>
        <v>2</v>
      </c>
      <c r="BC63" s="79" t="n">
        <f aca="false">IF(49&lt;$C$21,0,$M$21)</f>
        <v>2</v>
      </c>
      <c r="BD63" s="79" t="n">
        <f aca="false">IF(50&lt;$C$21,0,$M$21)</f>
        <v>2</v>
      </c>
      <c r="BE63" s="79" t="n">
        <f aca="false">IF(51&lt;$C$21,0,$M$21)</f>
        <v>2</v>
      </c>
      <c r="BF63" s="79" t="n">
        <f aca="false">IF(52&lt;$C$21,0,$M$21)</f>
        <v>2</v>
      </c>
      <c r="BG63" s="79" t="n">
        <f aca="false">IF(53&lt;$C$21,0,$M$21)</f>
        <v>2</v>
      </c>
      <c r="BH63" s="79" t="n">
        <f aca="false">IF(54&lt;$C$21,0,$M$21)</f>
        <v>2</v>
      </c>
      <c r="BI63" s="79" t="n">
        <f aca="false">IF(55&lt;$C$21,0,$M$21)</f>
        <v>2</v>
      </c>
      <c r="BJ63" s="79" t="n">
        <f aca="false">IF(56&lt;$C$21,0,$M$21)</f>
        <v>2</v>
      </c>
      <c r="BK63" s="79" t="n">
        <f aca="false">IF(57&lt;$C$21,0,$M$21)</f>
        <v>2</v>
      </c>
      <c r="BL63" s="79" t="n">
        <f aca="false">IF(58&lt;$C$21,0,$M$21)</f>
        <v>2</v>
      </c>
      <c r="BM63" s="79" t="n">
        <f aca="false">IF(59&lt;$C$21,0,$M$21)</f>
        <v>2</v>
      </c>
      <c r="BN63" s="79" t="n">
        <f aca="false">IF(60&lt;$C$21,0,$M$21)</f>
        <v>2</v>
      </c>
    </row>
    <row r="64" customFormat="false" ht="15" hidden="false" customHeight="false" outlineLevel="0" collapsed="false">
      <c r="A64" s="69" t="s">
        <v>783</v>
      </c>
      <c r="B64" s="78" t="n">
        <f aca="false">N64</f>
        <v>6</v>
      </c>
      <c r="C64" s="94" t="n">
        <f aca="false">SUM(C49:C63)</f>
        <v>6</v>
      </c>
      <c r="D64" s="94" t="n">
        <f aca="false">SUM(D49:D63)</f>
        <v>6</v>
      </c>
      <c r="E64" s="94" t="n">
        <f aca="false">SUM(E49:E63)</f>
        <v>6</v>
      </c>
      <c r="F64" s="94" t="n">
        <f aca="false">SUM(F49:F63)</f>
        <v>6</v>
      </c>
      <c r="G64" s="94" t="n">
        <f aca="false">SUM(G49:G63)</f>
        <v>6</v>
      </c>
      <c r="H64" s="94" t="n">
        <f aca="false">SUM(H49:H63)</f>
        <v>6</v>
      </c>
      <c r="I64" s="94" t="n">
        <f aca="false">SUM(I49:I63)</f>
        <v>6</v>
      </c>
      <c r="J64" s="94" t="n">
        <f aca="false">SUM(J49:J63)</f>
        <v>6</v>
      </c>
      <c r="K64" s="94" t="n">
        <f aca="false">SUM(K49:K63)</f>
        <v>6</v>
      </c>
      <c r="L64" s="94" t="n">
        <f aca="false">SUM(L49:L63)</f>
        <v>6</v>
      </c>
      <c r="M64" s="94" t="n">
        <f aca="false">SUM(M49:M63)</f>
        <v>6</v>
      </c>
      <c r="N64" s="94" t="n">
        <f aca="false">SUM(N49:N63)</f>
        <v>6</v>
      </c>
      <c r="O64" s="78" t="n">
        <f aca="false">AA64</f>
        <v>9</v>
      </c>
      <c r="P64" s="94" t="n">
        <f aca="false">SUM(P49:P63)</f>
        <v>9</v>
      </c>
      <c r="Q64" s="94" t="n">
        <f aca="false">SUM(Q49:Q63)</f>
        <v>9</v>
      </c>
      <c r="R64" s="94" t="n">
        <f aca="false">SUM(R49:R63)</f>
        <v>9</v>
      </c>
      <c r="S64" s="94" t="n">
        <f aca="false">SUM(S49:S63)</f>
        <v>9</v>
      </c>
      <c r="T64" s="94" t="n">
        <f aca="false">SUM(T49:T63)</f>
        <v>9</v>
      </c>
      <c r="U64" s="94" t="n">
        <f aca="false">SUM(U49:U63)</f>
        <v>9</v>
      </c>
      <c r="V64" s="94" t="n">
        <f aca="false">SUM(V49:V63)</f>
        <v>9</v>
      </c>
      <c r="W64" s="94" t="n">
        <f aca="false">SUM(W49:W63)</f>
        <v>9</v>
      </c>
      <c r="X64" s="94" t="n">
        <f aca="false">SUM(X49:X63)</f>
        <v>9</v>
      </c>
      <c r="Y64" s="94" t="n">
        <f aca="false">SUM(Y49:Y63)</f>
        <v>9</v>
      </c>
      <c r="Z64" s="94" t="n">
        <f aca="false">SUM(Z49:Z63)</f>
        <v>9</v>
      </c>
      <c r="AA64" s="94" t="n">
        <f aca="false">SUM(AA49:AA63)</f>
        <v>9</v>
      </c>
      <c r="AB64" s="78" t="n">
        <f aca="false">AN64</f>
        <v>12</v>
      </c>
      <c r="AC64" s="94" t="n">
        <f aca="false">SUM(AC49:AC63)</f>
        <v>12</v>
      </c>
      <c r="AD64" s="94" t="n">
        <f aca="false">SUM(AD49:AD63)</f>
        <v>12</v>
      </c>
      <c r="AE64" s="94" t="n">
        <f aca="false">SUM(AE49:AE63)</f>
        <v>12</v>
      </c>
      <c r="AF64" s="94" t="n">
        <f aca="false">SUM(AF49:AF63)</f>
        <v>12</v>
      </c>
      <c r="AG64" s="94" t="n">
        <f aca="false">SUM(AG49:AG63)</f>
        <v>12</v>
      </c>
      <c r="AH64" s="94" t="n">
        <f aca="false">SUM(AH49:AH63)</f>
        <v>12</v>
      </c>
      <c r="AI64" s="94" t="n">
        <f aca="false">SUM(AI49:AI63)</f>
        <v>12</v>
      </c>
      <c r="AJ64" s="94" t="n">
        <f aca="false">SUM(AJ49:AJ63)</f>
        <v>12</v>
      </c>
      <c r="AK64" s="94" t="n">
        <f aca="false">SUM(AK49:AK63)</f>
        <v>12</v>
      </c>
      <c r="AL64" s="94" t="n">
        <f aca="false">SUM(AL49:AL63)</f>
        <v>12</v>
      </c>
      <c r="AM64" s="94" t="n">
        <f aca="false">SUM(AM49:AM63)</f>
        <v>12</v>
      </c>
      <c r="AN64" s="94" t="n">
        <f aca="false">SUM(AN49:AN63)</f>
        <v>12</v>
      </c>
      <c r="AO64" s="78" t="n">
        <f aca="false">BA64</f>
        <v>16</v>
      </c>
      <c r="AP64" s="94" t="n">
        <f aca="false">SUM(AP49:AP63)</f>
        <v>16</v>
      </c>
      <c r="AQ64" s="94" t="n">
        <f aca="false">SUM(AQ49:AQ63)</f>
        <v>16</v>
      </c>
      <c r="AR64" s="94" t="n">
        <f aca="false">SUM(AR49:AR63)</f>
        <v>16</v>
      </c>
      <c r="AS64" s="94" t="n">
        <f aca="false">SUM(AS49:AS63)</f>
        <v>16</v>
      </c>
      <c r="AT64" s="94" t="n">
        <f aca="false">SUM(AT49:AT63)</f>
        <v>16</v>
      </c>
      <c r="AU64" s="94" t="n">
        <f aca="false">SUM(AU49:AU63)</f>
        <v>16</v>
      </c>
      <c r="AV64" s="94" t="n">
        <f aca="false">SUM(AV49:AV63)</f>
        <v>16</v>
      </c>
      <c r="AW64" s="94" t="n">
        <f aca="false">SUM(AW49:AW63)</f>
        <v>16</v>
      </c>
      <c r="AX64" s="94" t="n">
        <f aca="false">SUM(AX49:AX63)</f>
        <v>16</v>
      </c>
      <c r="AY64" s="94" t="n">
        <f aca="false">SUM(AY49:AY63)</f>
        <v>16</v>
      </c>
      <c r="AZ64" s="94" t="n">
        <f aca="false">SUM(AZ49:AZ63)</f>
        <v>16</v>
      </c>
      <c r="BA64" s="94" t="n">
        <f aca="false">SUM(BA49:BA63)</f>
        <v>16</v>
      </c>
      <c r="BB64" s="78" t="n">
        <f aca="false">BN64</f>
        <v>20</v>
      </c>
      <c r="BC64" s="94" t="n">
        <f aca="false">SUM(BC49:BC63)</f>
        <v>20</v>
      </c>
      <c r="BD64" s="94" t="n">
        <f aca="false">SUM(BD49:BD63)</f>
        <v>20</v>
      </c>
      <c r="BE64" s="94" t="n">
        <f aca="false">SUM(BE49:BE63)</f>
        <v>20</v>
      </c>
      <c r="BF64" s="94" t="n">
        <f aca="false">SUM(BF49:BF63)</f>
        <v>20</v>
      </c>
      <c r="BG64" s="94" t="n">
        <f aca="false">SUM(BG49:BG63)</f>
        <v>20</v>
      </c>
      <c r="BH64" s="94" t="n">
        <f aca="false">SUM(BH49:BH63)</f>
        <v>20</v>
      </c>
      <c r="BI64" s="94" t="n">
        <f aca="false">SUM(BI49:BI63)</f>
        <v>20</v>
      </c>
      <c r="BJ64" s="94" t="n">
        <f aca="false">SUM(BJ49:BJ63)</f>
        <v>20</v>
      </c>
      <c r="BK64" s="94" t="n">
        <f aca="false">SUM(BK49:BK63)</f>
        <v>20</v>
      </c>
      <c r="BL64" s="94" t="n">
        <f aca="false">SUM(BL49:BL63)</f>
        <v>20</v>
      </c>
      <c r="BM64" s="94" t="n">
        <f aca="false">SUM(BM49:BM63)</f>
        <v>20</v>
      </c>
      <c r="BN64" s="94" t="n">
        <f aca="false">SUM(BN49:BN63)</f>
        <v>20</v>
      </c>
    </row>
    <row r="65" customFormat="false" ht="15" hidden="false" customHeight="false" outlineLevel="0" collapsed="false">
      <c r="A65" s="18" t="s">
        <v>784</v>
      </c>
      <c r="B65" s="78" t="n">
        <f aca="false">SUM(C65:N65)</f>
        <v>6</v>
      </c>
      <c r="C65" s="82" t="n">
        <f aca="false">C64</f>
        <v>6</v>
      </c>
      <c r="D65" s="82" t="n">
        <f aca="false">MAX(0,D64-C64)</f>
        <v>0</v>
      </c>
      <c r="E65" s="82" t="n">
        <f aca="false">MAX(0,E64-D64)</f>
        <v>0</v>
      </c>
      <c r="F65" s="82" t="n">
        <f aca="false">MAX(0,F64-E64)</f>
        <v>0</v>
      </c>
      <c r="G65" s="82" t="n">
        <f aca="false">MAX(0,G64-F64)</f>
        <v>0</v>
      </c>
      <c r="H65" s="82" t="n">
        <f aca="false">MAX(0,H64-G64)</f>
        <v>0</v>
      </c>
      <c r="I65" s="82" t="n">
        <f aca="false">MAX(0,I64-H64)</f>
        <v>0</v>
      </c>
      <c r="J65" s="82" t="n">
        <f aca="false">MAX(0,J64-I64)</f>
        <v>0</v>
      </c>
      <c r="K65" s="82" t="n">
        <f aca="false">MAX(0,K64-J64)</f>
        <v>0</v>
      </c>
      <c r="L65" s="82" t="n">
        <f aca="false">MAX(0,L64-K64)</f>
        <v>0</v>
      </c>
      <c r="M65" s="82" t="n">
        <f aca="false">MAX(0,M64-L64)</f>
        <v>0</v>
      </c>
      <c r="N65" s="82" t="n">
        <f aca="false">MAX(0,N64-M64)</f>
        <v>0</v>
      </c>
      <c r="O65" s="78" t="n">
        <f aca="false">SUM(P65:AA65)</f>
        <v>3</v>
      </c>
      <c r="P65" s="82" t="n">
        <f aca="false">MAX(0,P64-N64)</f>
        <v>3</v>
      </c>
      <c r="Q65" s="82" t="n">
        <f aca="false">MAX(0,Q64-P64)</f>
        <v>0</v>
      </c>
      <c r="R65" s="82" t="n">
        <f aca="false">MAX(0,R64-Q64)</f>
        <v>0</v>
      </c>
      <c r="S65" s="82" t="n">
        <f aca="false">MAX(0,S64-R64)</f>
        <v>0</v>
      </c>
      <c r="T65" s="82" t="n">
        <f aca="false">MAX(0,T64-S64)</f>
        <v>0</v>
      </c>
      <c r="U65" s="82" t="n">
        <f aca="false">MAX(0,U64-T64)</f>
        <v>0</v>
      </c>
      <c r="V65" s="82" t="n">
        <f aca="false">MAX(0,V64-U64)</f>
        <v>0</v>
      </c>
      <c r="W65" s="82" t="n">
        <f aca="false">MAX(0,W64-V64)</f>
        <v>0</v>
      </c>
      <c r="X65" s="82" t="n">
        <f aca="false">MAX(0,X64-W64)</f>
        <v>0</v>
      </c>
      <c r="Y65" s="82" t="n">
        <f aca="false">MAX(0,Y64-X64)</f>
        <v>0</v>
      </c>
      <c r="Z65" s="82" t="n">
        <f aca="false">MAX(0,Z64-Y64)</f>
        <v>0</v>
      </c>
      <c r="AA65" s="82" t="n">
        <f aca="false">MAX(0,AA64-Z64)</f>
        <v>0</v>
      </c>
      <c r="AB65" s="78" t="n">
        <f aca="false">SUM(AC65:AN65)</f>
        <v>3</v>
      </c>
      <c r="AC65" s="82" t="n">
        <f aca="false">MAX(0,AC64-AA64)</f>
        <v>3</v>
      </c>
      <c r="AD65" s="82" t="n">
        <f aca="false">MAX(0,AD64-AC64)</f>
        <v>0</v>
      </c>
      <c r="AE65" s="82" t="n">
        <f aca="false">MAX(0,AE64-AD64)</f>
        <v>0</v>
      </c>
      <c r="AF65" s="82" t="n">
        <f aca="false">MAX(0,AF64-AE64)</f>
        <v>0</v>
      </c>
      <c r="AG65" s="82" t="n">
        <f aca="false">MAX(0,AG64-AF64)</f>
        <v>0</v>
      </c>
      <c r="AH65" s="82" t="n">
        <f aca="false">MAX(0,AH64-AG64)</f>
        <v>0</v>
      </c>
      <c r="AI65" s="82" t="n">
        <f aca="false">MAX(0,AI64-AH64)</f>
        <v>0</v>
      </c>
      <c r="AJ65" s="82" t="n">
        <f aca="false">MAX(0,AJ64-AI64)</f>
        <v>0</v>
      </c>
      <c r="AK65" s="82" t="n">
        <f aca="false">MAX(0,AK64-AJ64)</f>
        <v>0</v>
      </c>
      <c r="AL65" s="82" t="n">
        <f aca="false">MAX(0,AL64-AK64)</f>
        <v>0</v>
      </c>
      <c r="AM65" s="82" t="n">
        <f aca="false">MAX(0,AM64-AL64)</f>
        <v>0</v>
      </c>
      <c r="AN65" s="82" t="n">
        <f aca="false">MAX(0,AN64-AM64)</f>
        <v>0</v>
      </c>
      <c r="AO65" s="78" t="n">
        <f aca="false">SUM(AP65:BA65)</f>
        <v>4</v>
      </c>
      <c r="AP65" s="82" t="n">
        <f aca="false">MAX(0,AP64-AN64)</f>
        <v>4</v>
      </c>
      <c r="AQ65" s="82" t="n">
        <f aca="false">MAX(0,AQ64-AP64)</f>
        <v>0</v>
      </c>
      <c r="AR65" s="82" t="n">
        <f aca="false">MAX(0,AR64-AQ64)</f>
        <v>0</v>
      </c>
      <c r="AS65" s="82" t="n">
        <f aca="false">MAX(0,AS64-AR64)</f>
        <v>0</v>
      </c>
      <c r="AT65" s="82" t="n">
        <f aca="false">MAX(0,AT64-AS64)</f>
        <v>0</v>
      </c>
      <c r="AU65" s="82" t="n">
        <f aca="false">MAX(0,AU64-AT64)</f>
        <v>0</v>
      </c>
      <c r="AV65" s="82" t="n">
        <f aca="false">MAX(0,AV64-AU64)</f>
        <v>0</v>
      </c>
      <c r="AW65" s="82" t="n">
        <f aca="false">MAX(0,AW64-AV64)</f>
        <v>0</v>
      </c>
      <c r="AX65" s="82" t="n">
        <f aca="false">MAX(0,AX64-AW64)</f>
        <v>0</v>
      </c>
      <c r="AY65" s="82" t="n">
        <f aca="false">MAX(0,AY64-AX64)</f>
        <v>0</v>
      </c>
      <c r="AZ65" s="82" t="n">
        <f aca="false">MAX(0,AZ64-AY64)</f>
        <v>0</v>
      </c>
      <c r="BA65" s="82" t="n">
        <f aca="false">MAX(0,BA64-AZ64)</f>
        <v>0</v>
      </c>
      <c r="BB65" s="78" t="n">
        <f aca="false">SUM(BC65:BN65)</f>
        <v>4</v>
      </c>
      <c r="BC65" s="82" t="n">
        <f aca="false">MAX(0,BC64-BA64)</f>
        <v>4</v>
      </c>
      <c r="BD65" s="82" t="n">
        <f aca="false">MAX(0,BD64-BC64)</f>
        <v>0</v>
      </c>
      <c r="BE65" s="82" t="n">
        <f aca="false">MAX(0,BE64-BD64)</f>
        <v>0</v>
      </c>
      <c r="BF65" s="82" t="n">
        <f aca="false">MAX(0,BF64-BE64)</f>
        <v>0</v>
      </c>
      <c r="BG65" s="82" t="n">
        <f aca="false">MAX(0,BG64-BF64)</f>
        <v>0</v>
      </c>
      <c r="BH65" s="82" t="n">
        <f aca="false">MAX(0,BH64-BG64)</f>
        <v>0</v>
      </c>
      <c r="BI65" s="82" t="n">
        <f aca="false">MAX(0,BI64-BH64)</f>
        <v>0</v>
      </c>
      <c r="BJ65" s="82" t="n">
        <f aca="false">MAX(0,BJ64-BI64)</f>
        <v>0</v>
      </c>
      <c r="BK65" s="82" t="n">
        <f aca="false">MAX(0,BK64-BJ64)</f>
        <v>0</v>
      </c>
      <c r="BL65" s="82" t="n">
        <f aca="false">MAX(0,BL64-BK64)</f>
        <v>0</v>
      </c>
      <c r="BM65" s="82" t="n">
        <f aca="false">MAX(0,BM64-BL64)</f>
        <v>0</v>
      </c>
      <c r="BN65" s="82" t="n">
        <f aca="false">MAX(0,BN64-BM64)</f>
        <v>0</v>
      </c>
    </row>
    <row r="66" customFormat="false" ht="15" hidden="false" customHeight="false" outlineLevel="0" collapsed="false">
      <c r="A66" s="18" t="s">
        <v>785</v>
      </c>
      <c r="B66" s="64" t="n">
        <f aca="false">SUM(C66:N66)</f>
        <v>16632</v>
      </c>
      <c r="C66" s="77" t="n">
        <f aca="false">C33+C34+C35+C36+C37</f>
        <v>1386</v>
      </c>
      <c r="D66" s="77" t="n">
        <f aca="false">D33+D34+D35+D36+D37</f>
        <v>1386</v>
      </c>
      <c r="E66" s="77" t="n">
        <f aca="false">E33+E34+E35+E36+E37</f>
        <v>1386</v>
      </c>
      <c r="F66" s="77" t="n">
        <f aca="false">F33+F34+F35+F36+F37</f>
        <v>1386</v>
      </c>
      <c r="G66" s="77" t="n">
        <f aca="false">G33+G34+G35+G36+G37</f>
        <v>1386</v>
      </c>
      <c r="H66" s="77" t="n">
        <f aca="false">H33+H34+H35+H36+H37</f>
        <v>1386</v>
      </c>
      <c r="I66" s="77" t="n">
        <f aca="false">I33+I34+I35+I36+I37</f>
        <v>1386</v>
      </c>
      <c r="J66" s="77" t="n">
        <f aca="false">J33+J34+J35+J36+J37</f>
        <v>1386</v>
      </c>
      <c r="K66" s="77" t="n">
        <f aca="false">K33+K34+K35+K36+K37</f>
        <v>1386</v>
      </c>
      <c r="L66" s="77" t="n">
        <f aca="false">L33+L34+L35+L36+L37</f>
        <v>1386</v>
      </c>
      <c r="M66" s="77" t="n">
        <f aca="false">M33+M34+M35+M36+M37</f>
        <v>1386</v>
      </c>
      <c r="N66" s="77" t="n">
        <f aca="false">N33+N34+N35+N36+N37</f>
        <v>1386</v>
      </c>
      <c r="O66" s="64" t="n">
        <f aca="false">SUM(P66:AA66)</f>
        <v>34650</v>
      </c>
      <c r="P66" s="77" t="n">
        <f aca="false">P33+P34+P35+P36+P37</f>
        <v>2887.5</v>
      </c>
      <c r="Q66" s="77" t="n">
        <f aca="false">Q33+Q34+Q35+Q36+Q37</f>
        <v>2887.5</v>
      </c>
      <c r="R66" s="77" t="n">
        <f aca="false">R33+R34+R35+R36+R37</f>
        <v>2887.5</v>
      </c>
      <c r="S66" s="77" t="n">
        <f aca="false">S33+S34+S35+S36+S37</f>
        <v>2887.5</v>
      </c>
      <c r="T66" s="77" t="n">
        <f aca="false">T33+T34+T35+T36+T37</f>
        <v>2887.5</v>
      </c>
      <c r="U66" s="77" t="n">
        <f aca="false">U33+U34+U35+U36+U37</f>
        <v>2887.5</v>
      </c>
      <c r="V66" s="77" t="n">
        <f aca="false">V33+V34+V35+V36+V37</f>
        <v>2887.5</v>
      </c>
      <c r="W66" s="77" t="n">
        <f aca="false">W33+W34+W35+W36+W37</f>
        <v>2887.5</v>
      </c>
      <c r="X66" s="77" t="n">
        <f aca="false">X33+X34+X35+X36+X37</f>
        <v>2887.5</v>
      </c>
      <c r="Y66" s="77" t="n">
        <f aca="false">Y33+Y34+Y35+Y36+Y37</f>
        <v>2887.5</v>
      </c>
      <c r="Z66" s="77" t="n">
        <f aca="false">Z33+Z34+Z35+Z36+Z37</f>
        <v>2887.5</v>
      </c>
      <c r="AA66" s="77" t="n">
        <f aca="false">AA33+AA34+AA35+AA36+AA37</f>
        <v>2887.5</v>
      </c>
      <c r="AB66" s="64" t="n">
        <f aca="false">SUM(AC66:AN66)</f>
        <v>73458</v>
      </c>
      <c r="AC66" s="77" t="n">
        <f aca="false">AC33+AC34+AC35+AC36+AC37</f>
        <v>6121.5</v>
      </c>
      <c r="AD66" s="77" t="n">
        <f aca="false">AD33+AD34+AD35+AD36+AD37</f>
        <v>6121.5</v>
      </c>
      <c r="AE66" s="77" t="n">
        <f aca="false">AE33+AE34+AE35+AE36+AE37</f>
        <v>6121.5</v>
      </c>
      <c r="AF66" s="77" t="n">
        <f aca="false">AF33+AF34+AF35+AF36+AF37</f>
        <v>6121.5</v>
      </c>
      <c r="AG66" s="77" t="n">
        <f aca="false">AG33+AG34+AG35+AG36+AG37</f>
        <v>6121.5</v>
      </c>
      <c r="AH66" s="77" t="n">
        <f aca="false">AH33+AH34+AH35+AH36+AH37</f>
        <v>6121.5</v>
      </c>
      <c r="AI66" s="77" t="n">
        <f aca="false">AI33+AI34+AI35+AI36+AI37</f>
        <v>6121.5</v>
      </c>
      <c r="AJ66" s="77" t="n">
        <f aca="false">AJ33+AJ34+AJ35+AJ36+AJ37</f>
        <v>6121.5</v>
      </c>
      <c r="AK66" s="77" t="n">
        <f aca="false">AK33+AK34+AK35+AK36+AK37</f>
        <v>6121.5</v>
      </c>
      <c r="AL66" s="77" t="n">
        <f aca="false">AL33+AL34+AL35+AL36+AL37</f>
        <v>6121.5</v>
      </c>
      <c r="AM66" s="77" t="n">
        <f aca="false">AM33+AM34+AM35+AM36+AM37</f>
        <v>6121.5</v>
      </c>
      <c r="AN66" s="77" t="n">
        <f aca="false">AN33+AN34+AN35+AN36+AN37</f>
        <v>6121.5</v>
      </c>
      <c r="AO66" s="64" t="n">
        <f aca="false">SUM(AP66:BA66)</f>
        <v>110880</v>
      </c>
      <c r="AP66" s="77" t="n">
        <f aca="false">AP33+AP34+AP35+AP36+AP37</f>
        <v>9240</v>
      </c>
      <c r="AQ66" s="77" t="n">
        <f aca="false">AQ33+AQ34+AQ35+AQ36+AQ37</f>
        <v>9240</v>
      </c>
      <c r="AR66" s="77" t="n">
        <f aca="false">AR33+AR34+AR35+AR36+AR37</f>
        <v>9240</v>
      </c>
      <c r="AS66" s="77" t="n">
        <f aca="false">AS33+AS34+AS35+AS36+AS37</f>
        <v>9240</v>
      </c>
      <c r="AT66" s="77" t="n">
        <f aca="false">AT33+AT34+AT35+AT36+AT37</f>
        <v>9240</v>
      </c>
      <c r="AU66" s="77" t="n">
        <f aca="false">AU33+AU34+AU35+AU36+AU37</f>
        <v>9240</v>
      </c>
      <c r="AV66" s="77" t="n">
        <f aca="false">AV33+AV34+AV35+AV36+AV37</f>
        <v>9240</v>
      </c>
      <c r="AW66" s="77" t="n">
        <f aca="false">AW33+AW34+AW35+AW36+AW37</f>
        <v>9240</v>
      </c>
      <c r="AX66" s="77" t="n">
        <f aca="false">AX33+AX34+AX35+AX36+AX37</f>
        <v>9240</v>
      </c>
      <c r="AY66" s="77" t="n">
        <f aca="false">AY33+AY34+AY35+AY36+AY37</f>
        <v>9240</v>
      </c>
      <c r="AZ66" s="77" t="n">
        <f aca="false">AZ33+AZ34+AZ35+AZ36+AZ37</f>
        <v>9240</v>
      </c>
      <c r="BA66" s="77" t="n">
        <f aca="false">BA33+BA34+BA35+BA36+BA37</f>
        <v>9240</v>
      </c>
      <c r="BB66" s="64" t="n">
        <f aca="false">SUM(BC66:BN66)</f>
        <v>149688</v>
      </c>
      <c r="BC66" s="77" t="n">
        <f aca="false">BC33+BC34+BC35+BC36+BC37</f>
        <v>12474</v>
      </c>
      <c r="BD66" s="77" t="n">
        <f aca="false">BD33+BD34+BD35+BD36+BD37</f>
        <v>12474</v>
      </c>
      <c r="BE66" s="77" t="n">
        <f aca="false">BE33+BE34+BE35+BE36+BE37</f>
        <v>12474</v>
      </c>
      <c r="BF66" s="77" t="n">
        <f aca="false">BF33+BF34+BF35+BF36+BF37</f>
        <v>12474</v>
      </c>
      <c r="BG66" s="77" t="n">
        <f aca="false">BG33+BG34+BG35+BG36+BG37</f>
        <v>12474</v>
      </c>
      <c r="BH66" s="77" t="n">
        <f aca="false">BH33+BH34+BH35+BH36+BH37</f>
        <v>12474</v>
      </c>
      <c r="BI66" s="77" t="n">
        <f aca="false">BI33+BI34+BI35+BI36+BI37</f>
        <v>12474</v>
      </c>
      <c r="BJ66" s="77" t="n">
        <f aca="false">BJ33+BJ34+BJ35+BJ36+BJ37</f>
        <v>12474</v>
      </c>
      <c r="BK66" s="77" t="n">
        <f aca="false">BK33+BK34+BK35+BK36+BK37</f>
        <v>12474</v>
      </c>
      <c r="BL66" s="77" t="n">
        <f aca="false">BL33+BL34+BL35+BL36+BL37</f>
        <v>12474</v>
      </c>
      <c r="BM66" s="77" t="n">
        <f aca="false">BM33+BM34+BM35+BM36+BM37</f>
        <v>12474</v>
      </c>
      <c r="BN66" s="77" t="n">
        <f aca="false">BN33+BN34+BN35+BN36+BN37</f>
        <v>12474</v>
      </c>
    </row>
    <row r="67" customFormat="false" ht="15" hidden="false" customHeight="false" outlineLevel="0" collapsed="false">
      <c r="A67" s="12" t="s">
        <v>786</v>
      </c>
      <c r="B67" s="78" t="n">
        <f aca="false">N67</f>
        <v>2</v>
      </c>
      <c r="C67" s="79" t="n">
        <f aca="false">IF(1&lt;$C$10,0,$I$10)+IF(1&lt;$C$11,0,$I$11)+IF(1&lt;$C$12,0,$I$12)+IF(1&lt;$C$13,0,$I$13)+IF(1&lt;$C$14,0,$I$14)</f>
        <v>2</v>
      </c>
      <c r="D67" s="79" t="n">
        <f aca="false">IF(2&lt;$C$10,0,$I$10)+IF(2&lt;$C$11,0,$I$11)+IF(2&lt;$C$12,0,$I$12)+IF(2&lt;$C$13,0,$I$13)+IF(2&lt;$C$14,0,$I$14)</f>
        <v>2</v>
      </c>
      <c r="E67" s="79" t="n">
        <f aca="false">IF(3&lt;$C$10,0,$I$10)+IF(3&lt;$C$11,0,$I$11)+IF(3&lt;$C$12,0,$I$12)+IF(3&lt;$C$13,0,$I$13)+IF(3&lt;$C$14,0,$I$14)</f>
        <v>2</v>
      </c>
      <c r="F67" s="79" t="n">
        <f aca="false">IF(4&lt;$C$10,0,$I$10)+IF(4&lt;$C$11,0,$I$11)+IF(4&lt;$C$12,0,$I$12)+IF(4&lt;$C$13,0,$I$13)+IF(4&lt;$C$14,0,$I$14)</f>
        <v>2</v>
      </c>
      <c r="G67" s="79" t="n">
        <f aca="false">IF(5&lt;$C$10,0,$I$10)+IF(5&lt;$C$11,0,$I$11)+IF(5&lt;$C$12,0,$I$12)+IF(5&lt;$C$13,0,$I$13)+IF(5&lt;$C$14,0,$I$14)</f>
        <v>2</v>
      </c>
      <c r="H67" s="79" t="n">
        <f aca="false">IF(6&lt;$C$10,0,$I$10)+IF(6&lt;$C$11,0,$I$11)+IF(6&lt;$C$12,0,$I$12)+IF(6&lt;$C$13,0,$I$13)+IF(6&lt;$C$14,0,$I$14)</f>
        <v>2</v>
      </c>
      <c r="I67" s="79" t="n">
        <f aca="false">IF(7&lt;$C$10,0,$I$10)+IF(7&lt;$C$11,0,$I$11)+IF(7&lt;$C$12,0,$I$12)+IF(7&lt;$C$13,0,$I$13)+IF(7&lt;$C$14,0,$I$14)</f>
        <v>2</v>
      </c>
      <c r="J67" s="79" t="n">
        <f aca="false">IF(8&lt;$C$10,0,$I$10)+IF(8&lt;$C$11,0,$I$11)+IF(8&lt;$C$12,0,$I$12)+IF(8&lt;$C$13,0,$I$13)+IF(8&lt;$C$14,0,$I$14)</f>
        <v>2</v>
      </c>
      <c r="K67" s="79" t="n">
        <f aca="false">IF(9&lt;$C$10,0,$I$10)+IF(9&lt;$C$11,0,$I$11)+IF(9&lt;$C$12,0,$I$12)+IF(9&lt;$C$13,0,$I$13)+IF(9&lt;$C$14,0,$I$14)</f>
        <v>2</v>
      </c>
      <c r="L67" s="79" t="n">
        <f aca="false">IF(10&lt;$C$10,0,$I$10)+IF(10&lt;$C$11,0,$I$11)+IF(10&lt;$C$12,0,$I$12)+IF(10&lt;$C$13,0,$I$13)+IF(10&lt;$C$14,0,$I$14)</f>
        <v>2</v>
      </c>
      <c r="M67" s="79" t="n">
        <f aca="false">IF(11&lt;$C$10,0,$I$10)+IF(11&lt;$C$11,0,$I$11)+IF(11&lt;$C$12,0,$I$12)+IF(11&lt;$C$13,0,$I$13)+IF(11&lt;$C$14,0,$I$14)</f>
        <v>2</v>
      </c>
      <c r="N67" s="79" t="n">
        <f aca="false">IF(12&lt;$C$10,0,$I$10)+IF(12&lt;$C$11,0,$I$11)+IF(12&lt;$C$12,0,$I$12)+IF(12&lt;$C$13,0,$I$13)+IF(12&lt;$C$14,0,$I$14)</f>
        <v>2</v>
      </c>
      <c r="O67" s="78" t="n">
        <f aca="false">AA67</f>
        <v>3</v>
      </c>
      <c r="P67" s="79" t="n">
        <f aca="false">IF(13&lt;$C$10,0,$J$10)+IF(13&lt;$C$11,0,$J$11)+IF(13&lt;$C$12,0,$J$12)+IF(13&lt;$C$13,0,$J$13)+IF(13&lt;$C$14,0,$J$14)</f>
        <v>3</v>
      </c>
      <c r="Q67" s="79" t="n">
        <f aca="false">IF(14&lt;$C$10,0,$J$10)+IF(14&lt;$C$11,0,$J$11)+IF(14&lt;$C$12,0,$J$12)+IF(14&lt;$C$13,0,$J$13)+IF(14&lt;$C$14,0,$J$14)</f>
        <v>3</v>
      </c>
      <c r="R67" s="79" t="n">
        <f aca="false">IF(15&lt;$C$10,0,$J$10)+IF(15&lt;$C$11,0,$J$11)+IF(15&lt;$C$12,0,$J$12)+IF(15&lt;$C$13,0,$J$13)+IF(15&lt;$C$14,0,$J$14)</f>
        <v>3</v>
      </c>
      <c r="S67" s="79" t="n">
        <f aca="false">IF(16&lt;$C$10,0,$J$10)+IF(16&lt;$C$11,0,$J$11)+IF(16&lt;$C$12,0,$J$12)+IF(16&lt;$C$13,0,$J$13)+IF(16&lt;$C$14,0,$J$14)</f>
        <v>3</v>
      </c>
      <c r="T67" s="79" t="n">
        <f aca="false">IF(17&lt;$C$10,0,$J$10)+IF(17&lt;$C$11,0,$J$11)+IF(17&lt;$C$12,0,$J$12)+IF(17&lt;$C$13,0,$J$13)+IF(17&lt;$C$14,0,$J$14)</f>
        <v>3</v>
      </c>
      <c r="U67" s="79" t="n">
        <f aca="false">IF(18&lt;$C$10,0,$J$10)+IF(18&lt;$C$11,0,$J$11)+IF(18&lt;$C$12,0,$J$12)+IF(18&lt;$C$13,0,$J$13)+IF(18&lt;$C$14,0,$J$14)</f>
        <v>3</v>
      </c>
      <c r="V67" s="79" t="n">
        <f aca="false">IF(19&lt;$C$10,0,$J$10)+IF(19&lt;$C$11,0,$J$11)+IF(19&lt;$C$12,0,$J$12)+IF(19&lt;$C$13,0,$J$13)+IF(19&lt;$C$14,0,$J$14)</f>
        <v>3</v>
      </c>
      <c r="W67" s="79" t="n">
        <f aca="false">IF(20&lt;$C$10,0,$J$10)+IF(20&lt;$C$11,0,$J$11)+IF(20&lt;$C$12,0,$J$12)+IF(20&lt;$C$13,0,$J$13)+IF(20&lt;$C$14,0,$J$14)</f>
        <v>3</v>
      </c>
      <c r="X67" s="79" t="n">
        <f aca="false">IF(21&lt;$C$10,0,$J$10)+IF(21&lt;$C$11,0,$J$11)+IF(21&lt;$C$12,0,$J$12)+IF(21&lt;$C$13,0,$J$13)+IF(21&lt;$C$14,0,$J$14)</f>
        <v>3</v>
      </c>
      <c r="Y67" s="79" t="n">
        <f aca="false">IF(22&lt;$C$10,0,$J$10)+IF(22&lt;$C$11,0,$J$11)+IF(22&lt;$C$12,0,$J$12)+IF(22&lt;$C$13,0,$J$13)+IF(22&lt;$C$14,0,$J$14)</f>
        <v>3</v>
      </c>
      <c r="Z67" s="79" t="n">
        <f aca="false">IF(23&lt;$C$10,0,$J$10)+IF(23&lt;$C$11,0,$J$11)+IF(23&lt;$C$12,0,$J$12)+IF(23&lt;$C$13,0,$J$13)+IF(23&lt;$C$14,0,$J$14)</f>
        <v>3</v>
      </c>
      <c r="AA67" s="79" t="n">
        <f aca="false">IF(24&lt;$C$10,0,$J$10)+IF(24&lt;$C$11,0,$J$11)+IF(24&lt;$C$12,0,$J$12)+IF(24&lt;$C$13,0,$J$13)+IF(24&lt;$C$14,0,$J$14)</f>
        <v>3</v>
      </c>
      <c r="AB67" s="78" t="n">
        <f aca="false">AN67</f>
        <v>4</v>
      </c>
      <c r="AC67" s="79" t="n">
        <f aca="false">IF(25&lt;$C$10,0,$K$10)+IF(25&lt;$C$11,0,$K$11)+IF(25&lt;$C$12,0,$K$12)+IF(25&lt;$C$13,0,$K$13)+IF(25&lt;$C$14,0,$K$14)</f>
        <v>4</v>
      </c>
      <c r="AD67" s="79" t="n">
        <f aca="false">IF(26&lt;$C$10,0,$K$10)+IF(26&lt;$C$11,0,$K$11)+IF(26&lt;$C$12,0,$K$12)+IF(26&lt;$C$13,0,$K$13)+IF(26&lt;$C$14,0,$K$14)</f>
        <v>4</v>
      </c>
      <c r="AE67" s="79" t="n">
        <f aca="false">IF(27&lt;$C$10,0,$K$10)+IF(27&lt;$C$11,0,$K$11)+IF(27&lt;$C$12,0,$K$12)+IF(27&lt;$C$13,0,$K$13)+IF(27&lt;$C$14,0,$K$14)</f>
        <v>4</v>
      </c>
      <c r="AF67" s="79" t="n">
        <f aca="false">IF(28&lt;$C$10,0,$K$10)+IF(28&lt;$C$11,0,$K$11)+IF(28&lt;$C$12,0,$K$12)+IF(28&lt;$C$13,0,$K$13)+IF(28&lt;$C$14,0,$K$14)</f>
        <v>4</v>
      </c>
      <c r="AG67" s="79" t="n">
        <f aca="false">IF(29&lt;$C$10,0,$K$10)+IF(29&lt;$C$11,0,$K$11)+IF(29&lt;$C$12,0,$K$12)+IF(29&lt;$C$13,0,$K$13)+IF(29&lt;$C$14,0,$K$14)</f>
        <v>4</v>
      </c>
      <c r="AH67" s="79" t="n">
        <f aca="false">IF(30&lt;$C$10,0,$K$10)+IF(30&lt;$C$11,0,$K$11)+IF(30&lt;$C$12,0,$K$12)+IF(30&lt;$C$13,0,$K$13)+IF(30&lt;$C$14,0,$K$14)</f>
        <v>4</v>
      </c>
      <c r="AI67" s="79" t="n">
        <f aca="false">IF(31&lt;$C$10,0,$K$10)+IF(31&lt;$C$11,0,$K$11)+IF(31&lt;$C$12,0,$K$12)+IF(31&lt;$C$13,0,$K$13)+IF(31&lt;$C$14,0,$K$14)</f>
        <v>4</v>
      </c>
      <c r="AJ67" s="79" t="n">
        <f aca="false">IF(32&lt;$C$10,0,$K$10)+IF(32&lt;$C$11,0,$K$11)+IF(32&lt;$C$12,0,$K$12)+IF(32&lt;$C$13,0,$K$13)+IF(32&lt;$C$14,0,$K$14)</f>
        <v>4</v>
      </c>
      <c r="AK67" s="79" t="n">
        <f aca="false">IF(33&lt;$C$10,0,$K$10)+IF(33&lt;$C$11,0,$K$11)+IF(33&lt;$C$12,0,$K$12)+IF(33&lt;$C$13,0,$K$13)+IF(33&lt;$C$14,0,$K$14)</f>
        <v>4</v>
      </c>
      <c r="AL67" s="79" t="n">
        <f aca="false">IF(34&lt;$C$10,0,$K$10)+IF(34&lt;$C$11,0,$K$11)+IF(34&lt;$C$12,0,$K$12)+IF(34&lt;$C$13,0,$K$13)+IF(34&lt;$C$14,0,$K$14)</f>
        <v>4</v>
      </c>
      <c r="AM67" s="79" t="n">
        <f aca="false">IF(35&lt;$C$10,0,$K$10)+IF(35&lt;$C$11,0,$K$11)+IF(35&lt;$C$12,0,$K$12)+IF(35&lt;$C$13,0,$K$13)+IF(35&lt;$C$14,0,$K$14)</f>
        <v>4</v>
      </c>
      <c r="AN67" s="79" t="n">
        <f aca="false">IF(36&lt;$C$10,0,$K$10)+IF(36&lt;$C$11,0,$K$11)+IF(36&lt;$C$12,0,$K$12)+IF(36&lt;$C$13,0,$K$13)+IF(36&lt;$C$14,0,$K$14)</f>
        <v>4</v>
      </c>
      <c r="AO67" s="78" t="n">
        <f aca="false">BA67</f>
        <v>6</v>
      </c>
      <c r="AP67" s="79" t="n">
        <f aca="false">IF(37&lt;$C$10,0,$L$10)+IF(37&lt;$C$11,0,$L$11)+IF(37&lt;$C$12,0,$L$12)+IF(37&lt;$C$13,0,$L$13)+IF(37&lt;$C$14,0,$L$14)</f>
        <v>6</v>
      </c>
      <c r="AQ67" s="79" t="n">
        <f aca="false">IF(38&lt;$C$10,0,$L$10)+IF(38&lt;$C$11,0,$L$11)+IF(38&lt;$C$12,0,$L$12)+IF(38&lt;$C$13,0,$L$13)+IF(38&lt;$C$14,0,$L$14)</f>
        <v>6</v>
      </c>
      <c r="AR67" s="79" t="n">
        <f aca="false">IF(39&lt;$C$10,0,$L$10)+IF(39&lt;$C$11,0,$L$11)+IF(39&lt;$C$12,0,$L$12)+IF(39&lt;$C$13,0,$L$13)+IF(39&lt;$C$14,0,$L$14)</f>
        <v>6</v>
      </c>
      <c r="AS67" s="79" t="n">
        <f aca="false">IF(40&lt;$C$10,0,$L$10)+IF(40&lt;$C$11,0,$L$11)+IF(40&lt;$C$12,0,$L$12)+IF(40&lt;$C$13,0,$L$13)+IF(40&lt;$C$14,0,$L$14)</f>
        <v>6</v>
      </c>
      <c r="AT67" s="79" t="n">
        <f aca="false">IF(41&lt;$C$10,0,$L$10)+IF(41&lt;$C$11,0,$L$11)+IF(41&lt;$C$12,0,$L$12)+IF(41&lt;$C$13,0,$L$13)+IF(41&lt;$C$14,0,$L$14)</f>
        <v>6</v>
      </c>
      <c r="AU67" s="79" t="n">
        <f aca="false">IF(42&lt;$C$10,0,$L$10)+IF(42&lt;$C$11,0,$L$11)+IF(42&lt;$C$12,0,$L$12)+IF(42&lt;$C$13,0,$L$13)+IF(42&lt;$C$14,0,$L$14)</f>
        <v>6</v>
      </c>
      <c r="AV67" s="79" t="n">
        <f aca="false">IF(43&lt;$C$10,0,$L$10)+IF(43&lt;$C$11,0,$L$11)+IF(43&lt;$C$12,0,$L$12)+IF(43&lt;$C$13,0,$L$13)+IF(43&lt;$C$14,0,$L$14)</f>
        <v>6</v>
      </c>
      <c r="AW67" s="79" t="n">
        <f aca="false">IF(44&lt;$C$10,0,$L$10)+IF(44&lt;$C$11,0,$L$11)+IF(44&lt;$C$12,0,$L$12)+IF(44&lt;$C$13,0,$L$13)+IF(44&lt;$C$14,0,$L$14)</f>
        <v>6</v>
      </c>
      <c r="AX67" s="79" t="n">
        <f aca="false">IF(45&lt;$C$10,0,$L$10)+IF(45&lt;$C$11,0,$L$11)+IF(45&lt;$C$12,0,$L$12)+IF(45&lt;$C$13,0,$L$13)+IF(45&lt;$C$14,0,$L$14)</f>
        <v>6</v>
      </c>
      <c r="AY67" s="79" t="n">
        <f aca="false">IF(46&lt;$C$10,0,$L$10)+IF(46&lt;$C$11,0,$L$11)+IF(46&lt;$C$12,0,$L$12)+IF(46&lt;$C$13,0,$L$13)+IF(46&lt;$C$14,0,$L$14)</f>
        <v>6</v>
      </c>
      <c r="AZ67" s="79" t="n">
        <f aca="false">IF(47&lt;$C$10,0,$L$10)+IF(47&lt;$C$11,0,$L$11)+IF(47&lt;$C$12,0,$L$12)+IF(47&lt;$C$13,0,$L$13)+IF(47&lt;$C$14,0,$L$14)</f>
        <v>6</v>
      </c>
      <c r="BA67" s="79" t="n">
        <f aca="false">IF(48&lt;$C$10,0,$L$10)+IF(48&lt;$C$11,0,$L$11)+IF(48&lt;$C$12,0,$L$12)+IF(48&lt;$C$13,0,$L$13)+IF(48&lt;$C$14,0,$L$14)</f>
        <v>6</v>
      </c>
      <c r="BB67" s="78" t="n">
        <f aca="false">BN67</f>
        <v>8</v>
      </c>
      <c r="BC67" s="79" t="n">
        <f aca="false">IF(49&lt;$C$10,0,$M$10)+IF(49&lt;$C$11,0,$M$11)+IF(49&lt;$C$12,0,$M$12)+IF(49&lt;$C$13,0,$M$13)+IF(49&lt;$C$14,0,$M$14)</f>
        <v>8</v>
      </c>
      <c r="BD67" s="79" t="n">
        <f aca="false">IF(50&lt;$C$10,0,$M$10)+IF(50&lt;$C$11,0,$M$11)+IF(50&lt;$C$12,0,$M$12)+IF(50&lt;$C$13,0,$M$13)+IF(50&lt;$C$14,0,$M$14)</f>
        <v>8</v>
      </c>
      <c r="BE67" s="79" t="n">
        <f aca="false">IF(51&lt;$C$10,0,$M$10)+IF(51&lt;$C$11,0,$M$11)+IF(51&lt;$C$12,0,$M$12)+IF(51&lt;$C$13,0,$M$13)+IF(51&lt;$C$14,0,$M$14)</f>
        <v>8</v>
      </c>
      <c r="BF67" s="79" t="n">
        <f aca="false">IF(52&lt;$C$10,0,$M$10)+IF(52&lt;$C$11,0,$M$11)+IF(52&lt;$C$12,0,$M$12)+IF(52&lt;$C$13,0,$M$13)+IF(52&lt;$C$14,0,$M$14)</f>
        <v>8</v>
      </c>
      <c r="BG67" s="79" t="n">
        <f aca="false">IF(53&lt;$C$10,0,$M$10)+IF(53&lt;$C$11,0,$M$11)+IF(53&lt;$C$12,0,$M$12)+IF(53&lt;$C$13,0,$M$13)+IF(53&lt;$C$14,0,$M$14)</f>
        <v>8</v>
      </c>
      <c r="BH67" s="79" t="n">
        <f aca="false">IF(54&lt;$C$10,0,$M$10)+IF(54&lt;$C$11,0,$M$11)+IF(54&lt;$C$12,0,$M$12)+IF(54&lt;$C$13,0,$M$13)+IF(54&lt;$C$14,0,$M$14)</f>
        <v>8</v>
      </c>
      <c r="BI67" s="79" t="n">
        <f aca="false">IF(55&lt;$C$10,0,$M$10)+IF(55&lt;$C$11,0,$M$11)+IF(55&lt;$C$12,0,$M$12)+IF(55&lt;$C$13,0,$M$13)+IF(55&lt;$C$14,0,$M$14)</f>
        <v>8</v>
      </c>
      <c r="BJ67" s="79" t="n">
        <f aca="false">IF(56&lt;$C$10,0,$M$10)+IF(56&lt;$C$11,0,$M$11)+IF(56&lt;$C$12,0,$M$12)+IF(56&lt;$C$13,0,$M$13)+IF(56&lt;$C$14,0,$M$14)</f>
        <v>8</v>
      </c>
      <c r="BK67" s="79" t="n">
        <f aca="false">IF(57&lt;$C$10,0,$M$10)+IF(57&lt;$C$11,0,$M$11)+IF(57&lt;$C$12,0,$M$12)+IF(57&lt;$C$13,0,$M$13)+IF(57&lt;$C$14,0,$M$14)</f>
        <v>8</v>
      </c>
      <c r="BL67" s="79" t="n">
        <f aca="false">IF(58&lt;$C$10,0,$M$10)+IF(58&lt;$C$11,0,$M$11)+IF(58&lt;$C$12,0,$M$12)+IF(58&lt;$C$13,0,$M$13)+IF(58&lt;$C$14,0,$M$14)</f>
        <v>8</v>
      </c>
      <c r="BM67" s="79" t="n">
        <f aca="false">IF(59&lt;$C$10,0,$M$10)+IF(59&lt;$C$11,0,$M$11)+IF(59&lt;$C$12,0,$M$12)+IF(59&lt;$C$13,0,$M$13)+IF(59&lt;$C$14,0,$M$14)</f>
        <v>8</v>
      </c>
      <c r="BN67" s="79" t="n">
        <f aca="false">IF(60&lt;$C$10,0,$M$10)+IF(60&lt;$C$11,0,$M$11)+IF(60&lt;$C$12,0,$M$12)+IF(60&lt;$C$13,0,$M$13)+IF(60&lt;$C$14,0,$M$14)</f>
        <v>8</v>
      </c>
    </row>
    <row r="69" customFormat="false" ht="16.5" hidden="false" customHeight="true" outlineLevel="0" collapsed="false">
      <c r="A69" s="15" t="s">
        <v>787</v>
      </c>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row>
    <row r="70" customFormat="false" ht="15" hidden="false" customHeight="true" outlineLevel="0" collapsed="false">
      <c r="A70" s="26" t="s">
        <v>481</v>
      </c>
      <c r="B70" s="61" t="s">
        <v>81</v>
      </c>
      <c r="C70" s="62" t="s">
        <v>482</v>
      </c>
      <c r="D70" s="62" t="s">
        <v>483</v>
      </c>
      <c r="E70" s="62" t="s">
        <v>484</v>
      </c>
      <c r="F70" s="62" t="s">
        <v>485</v>
      </c>
      <c r="G70" s="62" t="s">
        <v>486</v>
      </c>
      <c r="H70" s="62" t="s">
        <v>487</v>
      </c>
      <c r="I70" s="62" t="s">
        <v>488</v>
      </c>
      <c r="J70" s="62" t="s">
        <v>489</v>
      </c>
      <c r="K70" s="62" t="s">
        <v>490</v>
      </c>
      <c r="L70" s="62" t="s">
        <v>491</v>
      </c>
      <c r="M70" s="62" t="s">
        <v>492</v>
      </c>
      <c r="N70" s="62" t="s">
        <v>493</v>
      </c>
      <c r="O70" s="61" t="s">
        <v>82</v>
      </c>
      <c r="P70" s="63" t="s">
        <v>494</v>
      </c>
      <c r="Q70" s="63" t="s">
        <v>495</v>
      </c>
      <c r="R70" s="63" t="s">
        <v>496</v>
      </c>
      <c r="S70" s="63" t="s">
        <v>497</v>
      </c>
      <c r="T70" s="63" t="s">
        <v>498</v>
      </c>
      <c r="U70" s="63" t="s">
        <v>499</v>
      </c>
      <c r="V70" s="63" t="s">
        <v>500</v>
      </c>
      <c r="W70" s="63" t="s">
        <v>501</v>
      </c>
      <c r="X70" s="63" t="s">
        <v>502</v>
      </c>
      <c r="Y70" s="63" t="s">
        <v>503</v>
      </c>
      <c r="Z70" s="63" t="s">
        <v>504</v>
      </c>
      <c r="AA70" s="63" t="s">
        <v>505</v>
      </c>
      <c r="AB70" s="61" t="s">
        <v>83</v>
      </c>
      <c r="AC70" s="62" t="s">
        <v>506</v>
      </c>
      <c r="AD70" s="62" t="s">
        <v>507</v>
      </c>
      <c r="AE70" s="62" t="s">
        <v>508</v>
      </c>
      <c r="AF70" s="62" t="s">
        <v>509</v>
      </c>
      <c r="AG70" s="62" t="s">
        <v>510</v>
      </c>
      <c r="AH70" s="62" t="s">
        <v>511</v>
      </c>
      <c r="AI70" s="62" t="s">
        <v>512</v>
      </c>
      <c r="AJ70" s="62" t="s">
        <v>513</v>
      </c>
      <c r="AK70" s="62" t="s">
        <v>514</v>
      </c>
      <c r="AL70" s="62" t="s">
        <v>515</v>
      </c>
      <c r="AM70" s="62" t="s">
        <v>516</v>
      </c>
      <c r="AN70" s="62" t="s">
        <v>517</v>
      </c>
      <c r="AO70" s="61" t="s">
        <v>84</v>
      </c>
      <c r="AP70" s="63" t="s">
        <v>518</v>
      </c>
      <c r="AQ70" s="63" t="s">
        <v>519</v>
      </c>
      <c r="AR70" s="63" t="s">
        <v>520</v>
      </c>
      <c r="AS70" s="63" t="s">
        <v>521</v>
      </c>
      <c r="AT70" s="63" t="s">
        <v>522</v>
      </c>
      <c r="AU70" s="63" t="s">
        <v>523</v>
      </c>
      <c r="AV70" s="63" t="s">
        <v>524</v>
      </c>
      <c r="AW70" s="63" t="s">
        <v>525</v>
      </c>
      <c r="AX70" s="63" t="s">
        <v>526</v>
      </c>
      <c r="AY70" s="63" t="s">
        <v>527</v>
      </c>
      <c r="AZ70" s="63" t="s">
        <v>528</v>
      </c>
      <c r="BA70" s="63" t="s">
        <v>529</v>
      </c>
      <c r="BB70" s="61" t="s">
        <v>85</v>
      </c>
      <c r="BC70" s="62" t="s">
        <v>530</v>
      </c>
      <c r="BD70" s="62" t="s">
        <v>531</v>
      </c>
      <c r="BE70" s="62" t="s">
        <v>532</v>
      </c>
      <c r="BF70" s="62" t="s">
        <v>533</v>
      </c>
      <c r="BG70" s="62" t="s">
        <v>534</v>
      </c>
      <c r="BH70" s="62" t="s">
        <v>535</v>
      </c>
      <c r="BI70" s="62" t="s">
        <v>536</v>
      </c>
      <c r="BJ70" s="62" t="s">
        <v>537</v>
      </c>
      <c r="BK70" s="62" t="s">
        <v>538</v>
      </c>
      <c r="BL70" s="62" t="s">
        <v>539</v>
      </c>
      <c r="BM70" s="62" t="s">
        <v>540</v>
      </c>
      <c r="BN70" s="62" t="s">
        <v>541</v>
      </c>
    </row>
    <row r="71" customFormat="false" ht="15" hidden="false" customHeight="false" outlineLevel="0" collapsed="false">
      <c r="A71" s="12" t="s">
        <v>671</v>
      </c>
      <c r="B71" s="78" t="n">
        <f aca="false">N71</f>
        <v>3</v>
      </c>
      <c r="C71" s="79" t="n">
        <f aca="false">IF(1&lt;$C$7,0,$I$7)+IF(1&lt;$C$8,0,$I$8)+IF(1&lt;$C$9,0,$I$9)</f>
        <v>3</v>
      </c>
      <c r="D71" s="79" t="n">
        <f aca="false">IF(2&lt;$C$7,0,$I$7)+IF(2&lt;$C$8,0,$I$8)+IF(2&lt;$C$9,0,$I$9)</f>
        <v>3</v>
      </c>
      <c r="E71" s="79" t="n">
        <f aca="false">IF(3&lt;$C$7,0,$I$7)+IF(3&lt;$C$8,0,$I$8)+IF(3&lt;$C$9,0,$I$9)</f>
        <v>3</v>
      </c>
      <c r="F71" s="79" t="n">
        <f aca="false">IF(4&lt;$C$7,0,$I$7)+IF(4&lt;$C$8,0,$I$8)+IF(4&lt;$C$9,0,$I$9)</f>
        <v>3</v>
      </c>
      <c r="G71" s="79" t="n">
        <f aca="false">IF(5&lt;$C$7,0,$I$7)+IF(5&lt;$C$8,0,$I$8)+IF(5&lt;$C$9,0,$I$9)</f>
        <v>3</v>
      </c>
      <c r="H71" s="79" t="n">
        <f aca="false">IF(6&lt;$C$7,0,$I$7)+IF(6&lt;$C$8,0,$I$8)+IF(6&lt;$C$9,0,$I$9)</f>
        <v>3</v>
      </c>
      <c r="I71" s="79" t="n">
        <f aca="false">IF(7&lt;$C$7,0,$I$7)+IF(7&lt;$C$8,0,$I$8)+IF(7&lt;$C$9,0,$I$9)</f>
        <v>3</v>
      </c>
      <c r="J71" s="79" t="n">
        <f aca="false">IF(8&lt;$C$7,0,$I$7)+IF(8&lt;$C$8,0,$I$8)+IF(8&lt;$C$9,0,$I$9)</f>
        <v>3</v>
      </c>
      <c r="K71" s="79" t="n">
        <f aca="false">IF(9&lt;$C$7,0,$I$7)+IF(9&lt;$C$8,0,$I$8)+IF(9&lt;$C$9,0,$I$9)</f>
        <v>3</v>
      </c>
      <c r="L71" s="79" t="n">
        <f aca="false">IF(10&lt;$C$7,0,$I$7)+IF(10&lt;$C$8,0,$I$8)+IF(10&lt;$C$9,0,$I$9)</f>
        <v>3</v>
      </c>
      <c r="M71" s="79" t="n">
        <f aca="false">IF(11&lt;$C$7,0,$I$7)+IF(11&lt;$C$8,0,$I$8)+IF(11&lt;$C$9,0,$I$9)</f>
        <v>3</v>
      </c>
      <c r="N71" s="79" t="n">
        <f aca="false">IF(12&lt;$C$7,0,$I$7)+IF(12&lt;$C$8,0,$I$8)+IF(12&lt;$C$9,0,$I$9)</f>
        <v>3</v>
      </c>
      <c r="O71" s="78" t="n">
        <f aca="false">AA71</f>
        <v>3</v>
      </c>
      <c r="P71" s="79" t="n">
        <f aca="false">IF(13&lt;$C$7,0,$J$7)+IF(13&lt;$C$8,0,$J$8)+IF(13&lt;$C$9,0,$J$9)</f>
        <v>3</v>
      </c>
      <c r="Q71" s="79" t="n">
        <f aca="false">IF(14&lt;$C$7,0,$J$7)+IF(14&lt;$C$8,0,$J$8)+IF(14&lt;$C$9,0,$J$9)</f>
        <v>3</v>
      </c>
      <c r="R71" s="79" t="n">
        <f aca="false">IF(15&lt;$C$7,0,$J$7)+IF(15&lt;$C$8,0,$J$8)+IF(15&lt;$C$9,0,$J$9)</f>
        <v>3</v>
      </c>
      <c r="S71" s="79" t="n">
        <f aca="false">IF(16&lt;$C$7,0,$J$7)+IF(16&lt;$C$8,0,$J$8)+IF(16&lt;$C$9,0,$J$9)</f>
        <v>3</v>
      </c>
      <c r="T71" s="79" t="n">
        <f aca="false">IF(17&lt;$C$7,0,$J$7)+IF(17&lt;$C$8,0,$J$8)+IF(17&lt;$C$9,0,$J$9)</f>
        <v>3</v>
      </c>
      <c r="U71" s="79" t="n">
        <f aca="false">IF(18&lt;$C$7,0,$J$7)+IF(18&lt;$C$8,0,$J$8)+IF(18&lt;$C$9,0,$J$9)</f>
        <v>3</v>
      </c>
      <c r="V71" s="79" t="n">
        <f aca="false">IF(19&lt;$C$7,0,$J$7)+IF(19&lt;$C$8,0,$J$8)+IF(19&lt;$C$9,0,$J$9)</f>
        <v>3</v>
      </c>
      <c r="W71" s="79" t="n">
        <f aca="false">IF(20&lt;$C$7,0,$J$7)+IF(20&lt;$C$8,0,$J$8)+IF(20&lt;$C$9,0,$J$9)</f>
        <v>3</v>
      </c>
      <c r="X71" s="79" t="n">
        <f aca="false">IF(21&lt;$C$7,0,$J$7)+IF(21&lt;$C$8,0,$J$8)+IF(21&lt;$C$9,0,$J$9)</f>
        <v>3</v>
      </c>
      <c r="Y71" s="79" t="n">
        <f aca="false">IF(22&lt;$C$7,0,$J$7)+IF(22&lt;$C$8,0,$J$8)+IF(22&lt;$C$9,0,$J$9)</f>
        <v>3</v>
      </c>
      <c r="Z71" s="79" t="n">
        <f aca="false">IF(23&lt;$C$7,0,$J$7)+IF(23&lt;$C$8,0,$J$8)+IF(23&lt;$C$9,0,$J$9)</f>
        <v>3</v>
      </c>
      <c r="AA71" s="79" t="n">
        <f aca="false">IF(24&lt;$C$7,0,$J$7)+IF(24&lt;$C$8,0,$J$8)+IF(24&lt;$C$9,0,$J$9)</f>
        <v>3</v>
      </c>
      <c r="AB71" s="78" t="n">
        <f aca="false">AN71</f>
        <v>3</v>
      </c>
      <c r="AC71" s="79" t="n">
        <f aca="false">IF(25&lt;$C$7,0,$K$7)+IF(25&lt;$C$8,0,$K$8)+IF(25&lt;$C$9,0,$K$9)</f>
        <v>3</v>
      </c>
      <c r="AD71" s="79" t="n">
        <f aca="false">IF(26&lt;$C$7,0,$K$7)+IF(26&lt;$C$8,0,$K$8)+IF(26&lt;$C$9,0,$K$9)</f>
        <v>3</v>
      </c>
      <c r="AE71" s="79" t="n">
        <f aca="false">IF(27&lt;$C$7,0,$K$7)+IF(27&lt;$C$8,0,$K$8)+IF(27&lt;$C$9,0,$K$9)</f>
        <v>3</v>
      </c>
      <c r="AF71" s="79" t="n">
        <f aca="false">IF(28&lt;$C$7,0,$K$7)+IF(28&lt;$C$8,0,$K$8)+IF(28&lt;$C$9,0,$K$9)</f>
        <v>3</v>
      </c>
      <c r="AG71" s="79" t="n">
        <f aca="false">IF(29&lt;$C$7,0,$K$7)+IF(29&lt;$C$8,0,$K$8)+IF(29&lt;$C$9,0,$K$9)</f>
        <v>3</v>
      </c>
      <c r="AH71" s="79" t="n">
        <f aca="false">IF(30&lt;$C$7,0,$K$7)+IF(30&lt;$C$8,0,$K$8)+IF(30&lt;$C$9,0,$K$9)</f>
        <v>3</v>
      </c>
      <c r="AI71" s="79" t="n">
        <f aca="false">IF(31&lt;$C$7,0,$K$7)+IF(31&lt;$C$8,0,$K$8)+IF(31&lt;$C$9,0,$K$9)</f>
        <v>3</v>
      </c>
      <c r="AJ71" s="79" t="n">
        <f aca="false">IF(32&lt;$C$7,0,$K$7)+IF(32&lt;$C$8,0,$K$8)+IF(32&lt;$C$9,0,$K$9)</f>
        <v>3</v>
      </c>
      <c r="AK71" s="79" t="n">
        <f aca="false">IF(33&lt;$C$7,0,$K$7)+IF(33&lt;$C$8,0,$K$8)+IF(33&lt;$C$9,0,$K$9)</f>
        <v>3</v>
      </c>
      <c r="AL71" s="79" t="n">
        <f aca="false">IF(34&lt;$C$7,0,$K$7)+IF(34&lt;$C$8,0,$K$8)+IF(34&lt;$C$9,0,$K$9)</f>
        <v>3</v>
      </c>
      <c r="AM71" s="79" t="n">
        <f aca="false">IF(35&lt;$C$7,0,$K$7)+IF(35&lt;$C$8,0,$K$8)+IF(35&lt;$C$9,0,$K$9)</f>
        <v>3</v>
      </c>
      <c r="AN71" s="79" t="n">
        <f aca="false">IF(36&lt;$C$7,0,$K$7)+IF(36&lt;$C$8,0,$K$8)+IF(36&lt;$C$9,0,$K$9)</f>
        <v>3</v>
      </c>
      <c r="AO71" s="78" t="n">
        <f aca="false">BA71</f>
        <v>3</v>
      </c>
      <c r="AP71" s="79" t="n">
        <f aca="false">IF(37&lt;$C$7,0,$L$7)+IF(37&lt;$C$8,0,$L$8)+IF(37&lt;$C$9,0,$L$9)</f>
        <v>3</v>
      </c>
      <c r="AQ71" s="79" t="n">
        <f aca="false">IF(38&lt;$C$7,0,$L$7)+IF(38&lt;$C$8,0,$L$8)+IF(38&lt;$C$9,0,$L$9)</f>
        <v>3</v>
      </c>
      <c r="AR71" s="79" t="n">
        <f aca="false">IF(39&lt;$C$7,0,$L$7)+IF(39&lt;$C$8,0,$L$8)+IF(39&lt;$C$9,0,$L$9)</f>
        <v>3</v>
      </c>
      <c r="AS71" s="79" t="n">
        <f aca="false">IF(40&lt;$C$7,0,$L$7)+IF(40&lt;$C$8,0,$L$8)+IF(40&lt;$C$9,0,$L$9)</f>
        <v>3</v>
      </c>
      <c r="AT71" s="79" t="n">
        <f aca="false">IF(41&lt;$C$7,0,$L$7)+IF(41&lt;$C$8,0,$L$8)+IF(41&lt;$C$9,0,$L$9)</f>
        <v>3</v>
      </c>
      <c r="AU71" s="79" t="n">
        <f aca="false">IF(42&lt;$C$7,0,$L$7)+IF(42&lt;$C$8,0,$L$8)+IF(42&lt;$C$9,0,$L$9)</f>
        <v>3</v>
      </c>
      <c r="AV71" s="79" t="n">
        <f aca="false">IF(43&lt;$C$7,0,$L$7)+IF(43&lt;$C$8,0,$L$8)+IF(43&lt;$C$9,0,$L$9)</f>
        <v>3</v>
      </c>
      <c r="AW71" s="79" t="n">
        <f aca="false">IF(44&lt;$C$7,0,$L$7)+IF(44&lt;$C$8,0,$L$8)+IF(44&lt;$C$9,0,$L$9)</f>
        <v>3</v>
      </c>
      <c r="AX71" s="79" t="n">
        <f aca="false">IF(45&lt;$C$7,0,$L$7)+IF(45&lt;$C$8,0,$L$8)+IF(45&lt;$C$9,0,$L$9)</f>
        <v>3</v>
      </c>
      <c r="AY71" s="79" t="n">
        <f aca="false">IF(46&lt;$C$7,0,$L$7)+IF(46&lt;$C$8,0,$L$8)+IF(46&lt;$C$9,0,$L$9)</f>
        <v>3</v>
      </c>
      <c r="AZ71" s="79" t="n">
        <f aca="false">IF(47&lt;$C$7,0,$L$7)+IF(47&lt;$C$8,0,$L$8)+IF(47&lt;$C$9,0,$L$9)</f>
        <v>3</v>
      </c>
      <c r="BA71" s="79" t="n">
        <f aca="false">IF(48&lt;$C$7,0,$L$7)+IF(48&lt;$C$8,0,$L$8)+IF(48&lt;$C$9,0,$L$9)</f>
        <v>3</v>
      </c>
      <c r="BB71" s="78" t="n">
        <f aca="false">BN71</f>
        <v>3</v>
      </c>
      <c r="BC71" s="79" t="n">
        <f aca="false">IF(49&lt;$C$7,0,$M$7)+IF(49&lt;$C$8,0,$M$8)+IF(49&lt;$C$9,0,$M$9)</f>
        <v>3</v>
      </c>
      <c r="BD71" s="79" t="n">
        <f aca="false">IF(50&lt;$C$7,0,$M$7)+IF(50&lt;$C$8,0,$M$8)+IF(50&lt;$C$9,0,$M$9)</f>
        <v>3</v>
      </c>
      <c r="BE71" s="79" t="n">
        <f aca="false">IF(51&lt;$C$7,0,$M$7)+IF(51&lt;$C$8,0,$M$8)+IF(51&lt;$C$9,0,$M$9)</f>
        <v>3</v>
      </c>
      <c r="BF71" s="79" t="n">
        <f aca="false">IF(52&lt;$C$7,0,$M$7)+IF(52&lt;$C$8,0,$M$8)+IF(52&lt;$C$9,0,$M$9)</f>
        <v>3</v>
      </c>
      <c r="BG71" s="79" t="n">
        <f aca="false">IF(53&lt;$C$7,0,$M$7)+IF(53&lt;$C$8,0,$M$8)+IF(53&lt;$C$9,0,$M$9)</f>
        <v>3</v>
      </c>
      <c r="BH71" s="79" t="n">
        <f aca="false">IF(54&lt;$C$7,0,$M$7)+IF(54&lt;$C$8,0,$M$8)+IF(54&lt;$C$9,0,$M$9)</f>
        <v>3</v>
      </c>
      <c r="BI71" s="79" t="n">
        <f aca="false">IF(55&lt;$C$7,0,$M$7)+IF(55&lt;$C$8,0,$M$8)+IF(55&lt;$C$9,0,$M$9)</f>
        <v>3</v>
      </c>
      <c r="BJ71" s="79" t="n">
        <f aca="false">IF(56&lt;$C$7,0,$M$7)+IF(56&lt;$C$8,0,$M$8)+IF(56&lt;$C$9,0,$M$9)</f>
        <v>3</v>
      </c>
      <c r="BK71" s="79" t="n">
        <f aca="false">IF(57&lt;$C$7,0,$M$7)+IF(57&lt;$C$8,0,$M$8)+IF(57&lt;$C$9,0,$M$9)</f>
        <v>3</v>
      </c>
      <c r="BL71" s="79" t="n">
        <f aca="false">IF(58&lt;$C$7,0,$M$7)+IF(58&lt;$C$8,0,$M$8)+IF(58&lt;$C$9,0,$M$9)</f>
        <v>3</v>
      </c>
      <c r="BM71" s="79" t="n">
        <f aca="false">IF(59&lt;$C$7,0,$M$7)+IF(59&lt;$C$8,0,$M$8)+IF(59&lt;$C$9,0,$M$9)</f>
        <v>3</v>
      </c>
      <c r="BN71" s="79" t="n">
        <f aca="false">IF(60&lt;$C$7,0,$M$7)+IF(60&lt;$C$8,0,$M$8)+IF(60&lt;$C$9,0,$M$9)</f>
        <v>3</v>
      </c>
    </row>
    <row r="72" customFormat="false" ht="15" hidden="false" customHeight="false" outlineLevel="0" collapsed="false">
      <c r="A72" s="12" t="s">
        <v>299</v>
      </c>
      <c r="B72" s="78" t="n">
        <f aca="false">N72</f>
        <v>2</v>
      </c>
      <c r="C72" s="79" t="n">
        <f aca="false">IF(1&lt;$C$10,0,$I$10)+IF(1&lt;$C$11,0,$I$11)+IF(1&lt;$C$12,0,$I$12)+IF(1&lt;$C$13,0,$I$13)+IF(1&lt;$C$14,0,$I$14)</f>
        <v>2</v>
      </c>
      <c r="D72" s="79" t="n">
        <f aca="false">IF(2&lt;$C$10,0,$I$10)+IF(2&lt;$C$11,0,$I$11)+IF(2&lt;$C$12,0,$I$12)+IF(2&lt;$C$13,0,$I$13)+IF(2&lt;$C$14,0,$I$14)</f>
        <v>2</v>
      </c>
      <c r="E72" s="79" t="n">
        <f aca="false">IF(3&lt;$C$10,0,$I$10)+IF(3&lt;$C$11,0,$I$11)+IF(3&lt;$C$12,0,$I$12)+IF(3&lt;$C$13,0,$I$13)+IF(3&lt;$C$14,0,$I$14)</f>
        <v>2</v>
      </c>
      <c r="F72" s="79" t="n">
        <f aca="false">IF(4&lt;$C$10,0,$I$10)+IF(4&lt;$C$11,0,$I$11)+IF(4&lt;$C$12,0,$I$12)+IF(4&lt;$C$13,0,$I$13)+IF(4&lt;$C$14,0,$I$14)</f>
        <v>2</v>
      </c>
      <c r="G72" s="79" t="n">
        <f aca="false">IF(5&lt;$C$10,0,$I$10)+IF(5&lt;$C$11,0,$I$11)+IF(5&lt;$C$12,0,$I$12)+IF(5&lt;$C$13,0,$I$13)+IF(5&lt;$C$14,0,$I$14)</f>
        <v>2</v>
      </c>
      <c r="H72" s="79" t="n">
        <f aca="false">IF(6&lt;$C$10,0,$I$10)+IF(6&lt;$C$11,0,$I$11)+IF(6&lt;$C$12,0,$I$12)+IF(6&lt;$C$13,0,$I$13)+IF(6&lt;$C$14,0,$I$14)</f>
        <v>2</v>
      </c>
      <c r="I72" s="79" t="n">
        <f aca="false">IF(7&lt;$C$10,0,$I$10)+IF(7&lt;$C$11,0,$I$11)+IF(7&lt;$C$12,0,$I$12)+IF(7&lt;$C$13,0,$I$13)+IF(7&lt;$C$14,0,$I$14)</f>
        <v>2</v>
      </c>
      <c r="J72" s="79" t="n">
        <f aca="false">IF(8&lt;$C$10,0,$I$10)+IF(8&lt;$C$11,0,$I$11)+IF(8&lt;$C$12,0,$I$12)+IF(8&lt;$C$13,0,$I$13)+IF(8&lt;$C$14,0,$I$14)</f>
        <v>2</v>
      </c>
      <c r="K72" s="79" t="n">
        <f aca="false">IF(9&lt;$C$10,0,$I$10)+IF(9&lt;$C$11,0,$I$11)+IF(9&lt;$C$12,0,$I$12)+IF(9&lt;$C$13,0,$I$13)+IF(9&lt;$C$14,0,$I$14)</f>
        <v>2</v>
      </c>
      <c r="L72" s="79" t="n">
        <f aca="false">IF(10&lt;$C$10,0,$I$10)+IF(10&lt;$C$11,0,$I$11)+IF(10&lt;$C$12,0,$I$12)+IF(10&lt;$C$13,0,$I$13)+IF(10&lt;$C$14,0,$I$14)</f>
        <v>2</v>
      </c>
      <c r="M72" s="79" t="n">
        <f aca="false">IF(11&lt;$C$10,0,$I$10)+IF(11&lt;$C$11,0,$I$11)+IF(11&lt;$C$12,0,$I$12)+IF(11&lt;$C$13,0,$I$13)+IF(11&lt;$C$14,0,$I$14)</f>
        <v>2</v>
      </c>
      <c r="N72" s="79" t="n">
        <f aca="false">IF(12&lt;$C$10,0,$I$10)+IF(12&lt;$C$11,0,$I$11)+IF(12&lt;$C$12,0,$I$12)+IF(12&lt;$C$13,0,$I$13)+IF(12&lt;$C$14,0,$I$14)</f>
        <v>2</v>
      </c>
      <c r="O72" s="78" t="n">
        <f aca="false">AA72</f>
        <v>3</v>
      </c>
      <c r="P72" s="79" t="n">
        <f aca="false">IF(13&lt;$C$10,0,$J$10)+IF(13&lt;$C$11,0,$J$11)+IF(13&lt;$C$12,0,$J$12)+IF(13&lt;$C$13,0,$J$13)+IF(13&lt;$C$14,0,$J$14)</f>
        <v>3</v>
      </c>
      <c r="Q72" s="79" t="n">
        <f aca="false">IF(14&lt;$C$10,0,$J$10)+IF(14&lt;$C$11,0,$J$11)+IF(14&lt;$C$12,0,$J$12)+IF(14&lt;$C$13,0,$J$13)+IF(14&lt;$C$14,0,$J$14)</f>
        <v>3</v>
      </c>
      <c r="R72" s="79" t="n">
        <f aca="false">IF(15&lt;$C$10,0,$J$10)+IF(15&lt;$C$11,0,$J$11)+IF(15&lt;$C$12,0,$J$12)+IF(15&lt;$C$13,0,$J$13)+IF(15&lt;$C$14,0,$J$14)</f>
        <v>3</v>
      </c>
      <c r="S72" s="79" t="n">
        <f aca="false">IF(16&lt;$C$10,0,$J$10)+IF(16&lt;$C$11,0,$J$11)+IF(16&lt;$C$12,0,$J$12)+IF(16&lt;$C$13,0,$J$13)+IF(16&lt;$C$14,0,$J$14)</f>
        <v>3</v>
      </c>
      <c r="T72" s="79" t="n">
        <f aca="false">IF(17&lt;$C$10,0,$J$10)+IF(17&lt;$C$11,0,$J$11)+IF(17&lt;$C$12,0,$J$12)+IF(17&lt;$C$13,0,$J$13)+IF(17&lt;$C$14,0,$J$14)</f>
        <v>3</v>
      </c>
      <c r="U72" s="79" t="n">
        <f aca="false">IF(18&lt;$C$10,0,$J$10)+IF(18&lt;$C$11,0,$J$11)+IF(18&lt;$C$12,0,$J$12)+IF(18&lt;$C$13,0,$J$13)+IF(18&lt;$C$14,0,$J$14)</f>
        <v>3</v>
      </c>
      <c r="V72" s="79" t="n">
        <f aca="false">IF(19&lt;$C$10,0,$J$10)+IF(19&lt;$C$11,0,$J$11)+IF(19&lt;$C$12,0,$J$12)+IF(19&lt;$C$13,0,$J$13)+IF(19&lt;$C$14,0,$J$14)</f>
        <v>3</v>
      </c>
      <c r="W72" s="79" t="n">
        <f aca="false">IF(20&lt;$C$10,0,$J$10)+IF(20&lt;$C$11,0,$J$11)+IF(20&lt;$C$12,0,$J$12)+IF(20&lt;$C$13,0,$J$13)+IF(20&lt;$C$14,0,$J$14)</f>
        <v>3</v>
      </c>
      <c r="X72" s="79" t="n">
        <f aca="false">IF(21&lt;$C$10,0,$J$10)+IF(21&lt;$C$11,0,$J$11)+IF(21&lt;$C$12,0,$J$12)+IF(21&lt;$C$13,0,$J$13)+IF(21&lt;$C$14,0,$J$14)</f>
        <v>3</v>
      </c>
      <c r="Y72" s="79" t="n">
        <f aca="false">IF(22&lt;$C$10,0,$J$10)+IF(22&lt;$C$11,0,$J$11)+IF(22&lt;$C$12,0,$J$12)+IF(22&lt;$C$13,0,$J$13)+IF(22&lt;$C$14,0,$J$14)</f>
        <v>3</v>
      </c>
      <c r="Z72" s="79" t="n">
        <f aca="false">IF(23&lt;$C$10,0,$J$10)+IF(23&lt;$C$11,0,$J$11)+IF(23&lt;$C$12,0,$J$12)+IF(23&lt;$C$13,0,$J$13)+IF(23&lt;$C$14,0,$J$14)</f>
        <v>3</v>
      </c>
      <c r="AA72" s="79" t="n">
        <f aca="false">IF(24&lt;$C$10,0,$J$10)+IF(24&lt;$C$11,0,$J$11)+IF(24&lt;$C$12,0,$J$12)+IF(24&lt;$C$13,0,$J$13)+IF(24&lt;$C$14,0,$J$14)</f>
        <v>3</v>
      </c>
      <c r="AB72" s="78" t="n">
        <f aca="false">AN72</f>
        <v>4</v>
      </c>
      <c r="AC72" s="79" t="n">
        <f aca="false">IF(25&lt;$C$10,0,$K$10)+IF(25&lt;$C$11,0,$K$11)+IF(25&lt;$C$12,0,$K$12)+IF(25&lt;$C$13,0,$K$13)+IF(25&lt;$C$14,0,$K$14)</f>
        <v>4</v>
      </c>
      <c r="AD72" s="79" t="n">
        <f aca="false">IF(26&lt;$C$10,0,$K$10)+IF(26&lt;$C$11,0,$K$11)+IF(26&lt;$C$12,0,$K$12)+IF(26&lt;$C$13,0,$K$13)+IF(26&lt;$C$14,0,$K$14)</f>
        <v>4</v>
      </c>
      <c r="AE72" s="79" t="n">
        <f aca="false">IF(27&lt;$C$10,0,$K$10)+IF(27&lt;$C$11,0,$K$11)+IF(27&lt;$C$12,0,$K$12)+IF(27&lt;$C$13,0,$K$13)+IF(27&lt;$C$14,0,$K$14)</f>
        <v>4</v>
      </c>
      <c r="AF72" s="79" t="n">
        <f aca="false">IF(28&lt;$C$10,0,$K$10)+IF(28&lt;$C$11,0,$K$11)+IF(28&lt;$C$12,0,$K$12)+IF(28&lt;$C$13,0,$K$13)+IF(28&lt;$C$14,0,$K$14)</f>
        <v>4</v>
      </c>
      <c r="AG72" s="79" t="n">
        <f aca="false">IF(29&lt;$C$10,0,$K$10)+IF(29&lt;$C$11,0,$K$11)+IF(29&lt;$C$12,0,$K$12)+IF(29&lt;$C$13,0,$K$13)+IF(29&lt;$C$14,0,$K$14)</f>
        <v>4</v>
      </c>
      <c r="AH72" s="79" t="n">
        <f aca="false">IF(30&lt;$C$10,0,$K$10)+IF(30&lt;$C$11,0,$K$11)+IF(30&lt;$C$12,0,$K$12)+IF(30&lt;$C$13,0,$K$13)+IF(30&lt;$C$14,0,$K$14)</f>
        <v>4</v>
      </c>
      <c r="AI72" s="79" t="n">
        <f aca="false">IF(31&lt;$C$10,0,$K$10)+IF(31&lt;$C$11,0,$K$11)+IF(31&lt;$C$12,0,$K$12)+IF(31&lt;$C$13,0,$K$13)+IF(31&lt;$C$14,0,$K$14)</f>
        <v>4</v>
      </c>
      <c r="AJ72" s="79" t="n">
        <f aca="false">IF(32&lt;$C$10,0,$K$10)+IF(32&lt;$C$11,0,$K$11)+IF(32&lt;$C$12,0,$K$12)+IF(32&lt;$C$13,0,$K$13)+IF(32&lt;$C$14,0,$K$14)</f>
        <v>4</v>
      </c>
      <c r="AK72" s="79" t="n">
        <f aca="false">IF(33&lt;$C$10,0,$K$10)+IF(33&lt;$C$11,0,$K$11)+IF(33&lt;$C$12,0,$K$12)+IF(33&lt;$C$13,0,$K$13)+IF(33&lt;$C$14,0,$K$14)</f>
        <v>4</v>
      </c>
      <c r="AL72" s="79" t="n">
        <f aca="false">IF(34&lt;$C$10,0,$K$10)+IF(34&lt;$C$11,0,$K$11)+IF(34&lt;$C$12,0,$K$12)+IF(34&lt;$C$13,0,$K$13)+IF(34&lt;$C$14,0,$K$14)</f>
        <v>4</v>
      </c>
      <c r="AM72" s="79" t="n">
        <f aca="false">IF(35&lt;$C$10,0,$K$10)+IF(35&lt;$C$11,0,$K$11)+IF(35&lt;$C$12,0,$K$12)+IF(35&lt;$C$13,0,$K$13)+IF(35&lt;$C$14,0,$K$14)</f>
        <v>4</v>
      </c>
      <c r="AN72" s="79" t="n">
        <f aca="false">IF(36&lt;$C$10,0,$K$10)+IF(36&lt;$C$11,0,$K$11)+IF(36&lt;$C$12,0,$K$12)+IF(36&lt;$C$13,0,$K$13)+IF(36&lt;$C$14,0,$K$14)</f>
        <v>4</v>
      </c>
      <c r="AO72" s="78" t="n">
        <f aca="false">BA72</f>
        <v>6</v>
      </c>
      <c r="AP72" s="79" t="n">
        <f aca="false">IF(37&lt;$C$10,0,$L$10)+IF(37&lt;$C$11,0,$L$11)+IF(37&lt;$C$12,0,$L$12)+IF(37&lt;$C$13,0,$L$13)+IF(37&lt;$C$14,0,$L$14)</f>
        <v>6</v>
      </c>
      <c r="AQ72" s="79" t="n">
        <f aca="false">IF(38&lt;$C$10,0,$L$10)+IF(38&lt;$C$11,0,$L$11)+IF(38&lt;$C$12,0,$L$12)+IF(38&lt;$C$13,0,$L$13)+IF(38&lt;$C$14,0,$L$14)</f>
        <v>6</v>
      </c>
      <c r="AR72" s="79" t="n">
        <f aca="false">IF(39&lt;$C$10,0,$L$10)+IF(39&lt;$C$11,0,$L$11)+IF(39&lt;$C$12,0,$L$12)+IF(39&lt;$C$13,0,$L$13)+IF(39&lt;$C$14,0,$L$14)</f>
        <v>6</v>
      </c>
      <c r="AS72" s="79" t="n">
        <f aca="false">IF(40&lt;$C$10,0,$L$10)+IF(40&lt;$C$11,0,$L$11)+IF(40&lt;$C$12,0,$L$12)+IF(40&lt;$C$13,0,$L$13)+IF(40&lt;$C$14,0,$L$14)</f>
        <v>6</v>
      </c>
      <c r="AT72" s="79" t="n">
        <f aca="false">IF(41&lt;$C$10,0,$L$10)+IF(41&lt;$C$11,0,$L$11)+IF(41&lt;$C$12,0,$L$12)+IF(41&lt;$C$13,0,$L$13)+IF(41&lt;$C$14,0,$L$14)</f>
        <v>6</v>
      </c>
      <c r="AU72" s="79" t="n">
        <f aca="false">IF(42&lt;$C$10,0,$L$10)+IF(42&lt;$C$11,0,$L$11)+IF(42&lt;$C$12,0,$L$12)+IF(42&lt;$C$13,0,$L$13)+IF(42&lt;$C$14,0,$L$14)</f>
        <v>6</v>
      </c>
      <c r="AV72" s="79" t="n">
        <f aca="false">IF(43&lt;$C$10,0,$L$10)+IF(43&lt;$C$11,0,$L$11)+IF(43&lt;$C$12,0,$L$12)+IF(43&lt;$C$13,0,$L$13)+IF(43&lt;$C$14,0,$L$14)</f>
        <v>6</v>
      </c>
      <c r="AW72" s="79" t="n">
        <f aca="false">IF(44&lt;$C$10,0,$L$10)+IF(44&lt;$C$11,0,$L$11)+IF(44&lt;$C$12,0,$L$12)+IF(44&lt;$C$13,0,$L$13)+IF(44&lt;$C$14,0,$L$14)</f>
        <v>6</v>
      </c>
      <c r="AX72" s="79" t="n">
        <f aca="false">IF(45&lt;$C$10,0,$L$10)+IF(45&lt;$C$11,0,$L$11)+IF(45&lt;$C$12,0,$L$12)+IF(45&lt;$C$13,0,$L$13)+IF(45&lt;$C$14,0,$L$14)</f>
        <v>6</v>
      </c>
      <c r="AY72" s="79" t="n">
        <f aca="false">IF(46&lt;$C$10,0,$L$10)+IF(46&lt;$C$11,0,$L$11)+IF(46&lt;$C$12,0,$L$12)+IF(46&lt;$C$13,0,$L$13)+IF(46&lt;$C$14,0,$L$14)</f>
        <v>6</v>
      </c>
      <c r="AZ72" s="79" t="n">
        <f aca="false">IF(47&lt;$C$10,0,$L$10)+IF(47&lt;$C$11,0,$L$11)+IF(47&lt;$C$12,0,$L$12)+IF(47&lt;$C$13,0,$L$13)+IF(47&lt;$C$14,0,$L$14)</f>
        <v>6</v>
      </c>
      <c r="BA72" s="79" t="n">
        <f aca="false">IF(48&lt;$C$10,0,$L$10)+IF(48&lt;$C$11,0,$L$11)+IF(48&lt;$C$12,0,$L$12)+IF(48&lt;$C$13,0,$L$13)+IF(48&lt;$C$14,0,$L$14)</f>
        <v>6</v>
      </c>
      <c r="BB72" s="78" t="n">
        <f aca="false">BN72</f>
        <v>8</v>
      </c>
      <c r="BC72" s="79" t="n">
        <f aca="false">IF(49&lt;$C$10,0,$M$10)+IF(49&lt;$C$11,0,$M$11)+IF(49&lt;$C$12,0,$M$12)+IF(49&lt;$C$13,0,$M$13)+IF(49&lt;$C$14,0,$M$14)</f>
        <v>8</v>
      </c>
      <c r="BD72" s="79" t="n">
        <f aca="false">IF(50&lt;$C$10,0,$M$10)+IF(50&lt;$C$11,0,$M$11)+IF(50&lt;$C$12,0,$M$12)+IF(50&lt;$C$13,0,$M$13)+IF(50&lt;$C$14,0,$M$14)</f>
        <v>8</v>
      </c>
      <c r="BE72" s="79" t="n">
        <f aca="false">IF(51&lt;$C$10,0,$M$10)+IF(51&lt;$C$11,0,$M$11)+IF(51&lt;$C$12,0,$M$12)+IF(51&lt;$C$13,0,$M$13)+IF(51&lt;$C$14,0,$M$14)</f>
        <v>8</v>
      </c>
      <c r="BF72" s="79" t="n">
        <f aca="false">IF(52&lt;$C$10,0,$M$10)+IF(52&lt;$C$11,0,$M$11)+IF(52&lt;$C$12,0,$M$12)+IF(52&lt;$C$13,0,$M$13)+IF(52&lt;$C$14,0,$M$14)</f>
        <v>8</v>
      </c>
      <c r="BG72" s="79" t="n">
        <f aca="false">IF(53&lt;$C$10,0,$M$10)+IF(53&lt;$C$11,0,$M$11)+IF(53&lt;$C$12,0,$M$12)+IF(53&lt;$C$13,0,$M$13)+IF(53&lt;$C$14,0,$M$14)</f>
        <v>8</v>
      </c>
      <c r="BH72" s="79" t="n">
        <f aca="false">IF(54&lt;$C$10,0,$M$10)+IF(54&lt;$C$11,0,$M$11)+IF(54&lt;$C$12,0,$M$12)+IF(54&lt;$C$13,0,$M$13)+IF(54&lt;$C$14,0,$M$14)</f>
        <v>8</v>
      </c>
      <c r="BI72" s="79" t="n">
        <f aca="false">IF(55&lt;$C$10,0,$M$10)+IF(55&lt;$C$11,0,$M$11)+IF(55&lt;$C$12,0,$M$12)+IF(55&lt;$C$13,0,$M$13)+IF(55&lt;$C$14,0,$M$14)</f>
        <v>8</v>
      </c>
      <c r="BJ72" s="79" t="n">
        <f aca="false">IF(56&lt;$C$10,0,$M$10)+IF(56&lt;$C$11,0,$M$11)+IF(56&lt;$C$12,0,$M$12)+IF(56&lt;$C$13,0,$M$13)+IF(56&lt;$C$14,0,$M$14)</f>
        <v>8</v>
      </c>
      <c r="BK72" s="79" t="n">
        <f aca="false">IF(57&lt;$C$10,0,$M$10)+IF(57&lt;$C$11,0,$M$11)+IF(57&lt;$C$12,0,$M$12)+IF(57&lt;$C$13,0,$M$13)+IF(57&lt;$C$14,0,$M$14)</f>
        <v>8</v>
      </c>
      <c r="BL72" s="79" t="n">
        <f aca="false">IF(58&lt;$C$10,0,$M$10)+IF(58&lt;$C$11,0,$M$11)+IF(58&lt;$C$12,0,$M$12)+IF(58&lt;$C$13,0,$M$13)+IF(58&lt;$C$14,0,$M$14)</f>
        <v>8</v>
      </c>
      <c r="BM72" s="79" t="n">
        <f aca="false">IF(59&lt;$C$10,0,$M$10)+IF(59&lt;$C$11,0,$M$11)+IF(59&lt;$C$12,0,$M$12)+IF(59&lt;$C$13,0,$M$13)+IF(59&lt;$C$14,0,$M$14)</f>
        <v>8</v>
      </c>
      <c r="BN72" s="79" t="n">
        <f aca="false">IF(60&lt;$C$10,0,$M$10)+IF(60&lt;$C$11,0,$M$11)+IF(60&lt;$C$12,0,$M$12)+IF(60&lt;$C$13,0,$M$13)+IF(60&lt;$C$14,0,$M$14)</f>
        <v>8</v>
      </c>
    </row>
    <row r="73" customFormat="false" ht="15" hidden="false" customHeight="false" outlineLevel="0" collapsed="false">
      <c r="A73" s="12" t="s">
        <v>298</v>
      </c>
      <c r="B73" s="78" t="n">
        <f aca="false">N73</f>
        <v>1</v>
      </c>
      <c r="C73" s="79" t="n">
        <f aca="false">IF(1&lt;$C$15,0,$I$15)+IF(1&lt;$C$16,0,$I$16)</f>
        <v>1</v>
      </c>
      <c r="D73" s="79" t="n">
        <f aca="false">IF(2&lt;$C$15,0,$I$15)+IF(2&lt;$C$16,0,$I$16)</f>
        <v>1</v>
      </c>
      <c r="E73" s="79" t="n">
        <f aca="false">IF(3&lt;$C$15,0,$I$15)+IF(3&lt;$C$16,0,$I$16)</f>
        <v>1</v>
      </c>
      <c r="F73" s="79" t="n">
        <f aca="false">IF(4&lt;$C$15,0,$I$15)+IF(4&lt;$C$16,0,$I$16)</f>
        <v>1</v>
      </c>
      <c r="G73" s="79" t="n">
        <f aca="false">IF(5&lt;$C$15,0,$I$15)+IF(5&lt;$C$16,0,$I$16)</f>
        <v>1</v>
      </c>
      <c r="H73" s="79" t="n">
        <f aca="false">IF(6&lt;$C$15,0,$I$15)+IF(6&lt;$C$16,0,$I$16)</f>
        <v>1</v>
      </c>
      <c r="I73" s="79" t="n">
        <f aca="false">IF(7&lt;$C$15,0,$I$15)+IF(7&lt;$C$16,0,$I$16)</f>
        <v>1</v>
      </c>
      <c r="J73" s="79" t="n">
        <f aca="false">IF(8&lt;$C$15,0,$I$15)+IF(8&lt;$C$16,0,$I$16)</f>
        <v>1</v>
      </c>
      <c r="K73" s="79" t="n">
        <f aca="false">IF(9&lt;$C$15,0,$I$15)+IF(9&lt;$C$16,0,$I$16)</f>
        <v>1</v>
      </c>
      <c r="L73" s="79" t="n">
        <f aca="false">IF(10&lt;$C$15,0,$I$15)+IF(10&lt;$C$16,0,$I$16)</f>
        <v>1</v>
      </c>
      <c r="M73" s="79" t="n">
        <f aca="false">IF(11&lt;$C$15,0,$I$15)+IF(11&lt;$C$16,0,$I$16)</f>
        <v>1</v>
      </c>
      <c r="N73" s="79" t="n">
        <f aca="false">IF(12&lt;$C$15,0,$I$15)+IF(12&lt;$C$16,0,$I$16)</f>
        <v>1</v>
      </c>
      <c r="O73" s="78" t="n">
        <f aca="false">AA73</f>
        <v>1</v>
      </c>
      <c r="P73" s="79" t="n">
        <f aca="false">IF(13&lt;$C$15,0,$J$15)+IF(13&lt;$C$16,0,$J$16)</f>
        <v>1</v>
      </c>
      <c r="Q73" s="79" t="n">
        <f aca="false">IF(14&lt;$C$15,0,$J$15)+IF(14&lt;$C$16,0,$J$16)</f>
        <v>1</v>
      </c>
      <c r="R73" s="79" t="n">
        <f aca="false">IF(15&lt;$C$15,0,$J$15)+IF(15&lt;$C$16,0,$J$16)</f>
        <v>1</v>
      </c>
      <c r="S73" s="79" t="n">
        <f aca="false">IF(16&lt;$C$15,0,$J$15)+IF(16&lt;$C$16,0,$J$16)</f>
        <v>1</v>
      </c>
      <c r="T73" s="79" t="n">
        <f aca="false">IF(17&lt;$C$15,0,$J$15)+IF(17&lt;$C$16,0,$J$16)</f>
        <v>1</v>
      </c>
      <c r="U73" s="79" t="n">
        <f aca="false">IF(18&lt;$C$15,0,$J$15)+IF(18&lt;$C$16,0,$J$16)</f>
        <v>1</v>
      </c>
      <c r="V73" s="79" t="n">
        <f aca="false">IF(19&lt;$C$15,0,$J$15)+IF(19&lt;$C$16,0,$J$16)</f>
        <v>1</v>
      </c>
      <c r="W73" s="79" t="n">
        <f aca="false">IF(20&lt;$C$15,0,$J$15)+IF(20&lt;$C$16,0,$J$16)</f>
        <v>1</v>
      </c>
      <c r="X73" s="79" t="n">
        <f aca="false">IF(21&lt;$C$15,0,$J$15)+IF(21&lt;$C$16,0,$J$16)</f>
        <v>1</v>
      </c>
      <c r="Y73" s="79" t="n">
        <f aca="false">IF(22&lt;$C$15,0,$J$15)+IF(22&lt;$C$16,0,$J$16)</f>
        <v>1</v>
      </c>
      <c r="Z73" s="79" t="n">
        <f aca="false">IF(23&lt;$C$15,0,$J$15)+IF(23&lt;$C$16,0,$J$16)</f>
        <v>1</v>
      </c>
      <c r="AA73" s="79" t="n">
        <f aca="false">IF(24&lt;$C$15,0,$J$15)+IF(24&lt;$C$16,0,$J$16)</f>
        <v>1</v>
      </c>
      <c r="AB73" s="78" t="n">
        <f aca="false">AN73</f>
        <v>1</v>
      </c>
      <c r="AC73" s="79" t="n">
        <f aca="false">IF(25&lt;$C$15,0,$K$15)+IF(25&lt;$C$16,0,$K$16)</f>
        <v>1</v>
      </c>
      <c r="AD73" s="79" t="n">
        <f aca="false">IF(26&lt;$C$15,0,$K$15)+IF(26&lt;$C$16,0,$K$16)</f>
        <v>1</v>
      </c>
      <c r="AE73" s="79" t="n">
        <f aca="false">IF(27&lt;$C$15,0,$K$15)+IF(27&lt;$C$16,0,$K$16)</f>
        <v>1</v>
      </c>
      <c r="AF73" s="79" t="n">
        <f aca="false">IF(28&lt;$C$15,0,$K$15)+IF(28&lt;$C$16,0,$K$16)</f>
        <v>1</v>
      </c>
      <c r="AG73" s="79" t="n">
        <f aca="false">IF(29&lt;$C$15,0,$K$15)+IF(29&lt;$C$16,0,$K$16)</f>
        <v>1</v>
      </c>
      <c r="AH73" s="79" t="n">
        <f aca="false">IF(30&lt;$C$15,0,$K$15)+IF(30&lt;$C$16,0,$K$16)</f>
        <v>1</v>
      </c>
      <c r="AI73" s="79" t="n">
        <f aca="false">IF(31&lt;$C$15,0,$K$15)+IF(31&lt;$C$16,0,$K$16)</f>
        <v>1</v>
      </c>
      <c r="AJ73" s="79" t="n">
        <f aca="false">IF(32&lt;$C$15,0,$K$15)+IF(32&lt;$C$16,0,$K$16)</f>
        <v>1</v>
      </c>
      <c r="AK73" s="79" t="n">
        <f aca="false">IF(33&lt;$C$15,0,$K$15)+IF(33&lt;$C$16,0,$K$16)</f>
        <v>1</v>
      </c>
      <c r="AL73" s="79" t="n">
        <f aca="false">IF(34&lt;$C$15,0,$K$15)+IF(34&lt;$C$16,0,$K$16)</f>
        <v>1</v>
      </c>
      <c r="AM73" s="79" t="n">
        <f aca="false">IF(35&lt;$C$15,0,$K$15)+IF(35&lt;$C$16,0,$K$16)</f>
        <v>1</v>
      </c>
      <c r="AN73" s="79" t="n">
        <f aca="false">IF(36&lt;$C$15,0,$K$15)+IF(36&lt;$C$16,0,$K$16)</f>
        <v>1</v>
      </c>
      <c r="AO73" s="78" t="n">
        <f aca="false">BA73</f>
        <v>1</v>
      </c>
      <c r="AP73" s="79" t="n">
        <f aca="false">IF(37&lt;$C$15,0,$L$15)+IF(37&lt;$C$16,0,$L$16)</f>
        <v>1</v>
      </c>
      <c r="AQ73" s="79" t="n">
        <f aca="false">IF(38&lt;$C$15,0,$L$15)+IF(38&lt;$C$16,0,$L$16)</f>
        <v>1</v>
      </c>
      <c r="AR73" s="79" t="n">
        <f aca="false">IF(39&lt;$C$15,0,$L$15)+IF(39&lt;$C$16,0,$L$16)</f>
        <v>1</v>
      </c>
      <c r="AS73" s="79" t="n">
        <f aca="false">IF(40&lt;$C$15,0,$L$15)+IF(40&lt;$C$16,0,$L$16)</f>
        <v>1</v>
      </c>
      <c r="AT73" s="79" t="n">
        <f aca="false">IF(41&lt;$C$15,0,$L$15)+IF(41&lt;$C$16,0,$L$16)</f>
        <v>1</v>
      </c>
      <c r="AU73" s="79" t="n">
        <f aca="false">IF(42&lt;$C$15,0,$L$15)+IF(42&lt;$C$16,0,$L$16)</f>
        <v>1</v>
      </c>
      <c r="AV73" s="79" t="n">
        <f aca="false">IF(43&lt;$C$15,0,$L$15)+IF(43&lt;$C$16,0,$L$16)</f>
        <v>1</v>
      </c>
      <c r="AW73" s="79" t="n">
        <f aca="false">IF(44&lt;$C$15,0,$L$15)+IF(44&lt;$C$16,0,$L$16)</f>
        <v>1</v>
      </c>
      <c r="AX73" s="79" t="n">
        <f aca="false">IF(45&lt;$C$15,0,$L$15)+IF(45&lt;$C$16,0,$L$16)</f>
        <v>1</v>
      </c>
      <c r="AY73" s="79" t="n">
        <f aca="false">IF(46&lt;$C$15,0,$L$15)+IF(46&lt;$C$16,0,$L$16)</f>
        <v>1</v>
      </c>
      <c r="AZ73" s="79" t="n">
        <f aca="false">IF(47&lt;$C$15,0,$L$15)+IF(47&lt;$C$16,0,$L$16)</f>
        <v>1</v>
      </c>
      <c r="BA73" s="79" t="n">
        <f aca="false">IF(48&lt;$C$15,0,$L$15)+IF(48&lt;$C$16,0,$L$16)</f>
        <v>1</v>
      </c>
      <c r="BB73" s="78" t="n">
        <f aca="false">BN73</f>
        <v>2</v>
      </c>
      <c r="BC73" s="79" t="n">
        <f aca="false">IF(49&lt;$C$15,0,$M$15)+IF(49&lt;$C$16,0,$M$16)</f>
        <v>2</v>
      </c>
      <c r="BD73" s="79" t="n">
        <f aca="false">IF(50&lt;$C$15,0,$M$15)+IF(50&lt;$C$16,0,$M$16)</f>
        <v>2</v>
      </c>
      <c r="BE73" s="79" t="n">
        <f aca="false">IF(51&lt;$C$15,0,$M$15)+IF(51&lt;$C$16,0,$M$16)</f>
        <v>2</v>
      </c>
      <c r="BF73" s="79" t="n">
        <f aca="false">IF(52&lt;$C$15,0,$M$15)+IF(52&lt;$C$16,0,$M$16)</f>
        <v>2</v>
      </c>
      <c r="BG73" s="79" t="n">
        <f aca="false">IF(53&lt;$C$15,0,$M$15)+IF(53&lt;$C$16,0,$M$16)</f>
        <v>2</v>
      </c>
      <c r="BH73" s="79" t="n">
        <f aca="false">IF(54&lt;$C$15,0,$M$15)+IF(54&lt;$C$16,0,$M$16)</f>
        <v>2</v>
      </c>
      <c r="BI73" s="79" t="n">
        <f aca="false">IF(55&lt;$C$15,0,$M$15)+IF(55&lt;$C$16,0,$M$16)</f>
        <v>2</v>
      </c>
      <c r="BJ73" s="79" t="n">
        <f aca="false">IF(56&lt;$C$15,0,$M$15)+IF(56&lt;$C$16,0,$M$16)</f>
        <v>2</v>
      </c>
      <c r="BK73" s="79" t="n">
        <f aca="false">IF(57&lt;$C$15,0,$M$15)+IF(57&lt;$C$16,0,$M$16)</f>
        <v>2</v>
      </c>
      <c r="BL73" s="79" t="n">
        <f aca="false">IF(58&lt;$C$15,0,$M$15)+IF(58&lt;$C$16,0,$M$16)</f>
        <v>2</v>
      </c>
      <c r="BM73" s="79" t="n">
        <f aca="false">IF(59&lt;$C$15,0,$M$15)+IF(59&lt;$C$16,0,$M$16)</f>
        <v>2</v>
      </c>
      <c r="BN73" s="79" t="n">
        <f aca="false">IF(60&lt;$C$15,0,$M$15)+IF(60&lt;$C$16,0,$M$16)</f>
        <v>2</v>
      </c>
    </row>
    <row r="74" customFormat="false" ht="15" hidden="false" customHeight="false" outlineLevel="0" collapsed="false">
      <c r="A74" s="12" t="s">
        <v>672</v>
      </c>
      <c r="B74" s="78" t="n">
        <f aca="false">N74</f>
        <v>0</v>
      </c>
      <c r="C74" s="79" t="n">
        <f aca="false">IF(1&lt;$C$17,0,$I$17)+IF(1&lt;$C$18,0,$I$18)</f>
        <v>0</v>
      </c>
      <c r="D74" s="79" t="n">
        <f aca="false">IF(2&lt;$C$17,0,$I$17)+IF(2&lt;$C$18,0,$I$18)</f>
        <v>0</v>
      </c>
      <c r="E74" s="79" t="n">
        <f aca="false">IF(3&lt;$C$17,0,$I$17)+IF(3&lt;$C$18,0,$I$18)</f>
        <v>0</v>
      </c>
      <c r="F74" s="79" t="n">
        <f aca="false">IF(4&lt;$C$17,0,$I$17)+IF(4&lt;$C$18,0,$I$18)</f>
        <v>0</v>
      </c>
      <c r="G74" s="79" t="n">
        <f aca="false">IF(5&lt;$C$17,0,$I$17)+IF(5&lt;$C$18,0,$I$18)</f>
        <v>0</v>
      </c>
      <c r="H74" s="79" t="n">
        <f aca="false">IF(6&lt;$C$17,0,$I$17)+IF(6&lt;$C$18,0,$I$18)</f>
        <v>0</v>
      </c>
      <c r="I74" s="79" t="n">
        <f aca="false">IF(7&lt;$C$17,0,$I$17)+IF(7&lt;$C$18,0,$I$18)</f>
        <v>0</v>
      </c>
      <c r="J74" s="79" t="n">
        <f aca="false">IF(8&lt;$C$17,0,$I$17)+IF(8&lt;$C$18,0,$I$18)</f>
        <v>0</v>
      </c>
      <c r="K74" s="79" t="n">
        <f aca="false">IF(9&lt;$C$17,0,$I$17)+IF(9&lt;$C$18,0,$I$18)</f>
        <v>0</v>
      </c>
      <c r="L74" s="79" t="n">
        <f aca="false">IF(10&lt;$C$17,0,$I$17)+IF(10&lt;$C$18,0,$I$18)</f>
        <v>0</v>
      </c>
      <c r="M74" s="79" t="n">
        <f aca="false">IF(11&lt;$C$17,0,$I$17)+IF(11&lt;$C$18,0,$I$18)</f>
        <v>0</v>
      </c>
      <c r="N74" s="79" t="n">
        <f aca="false">IF(12&lt;$C$17,0,$I$17)+IF(12&lt;$C$18,0,$I$18)</f>
        <v>0</v>
      </c>
      <c r="O74" s="78" t="n">
        <f aca="false">AA74</f>
        <v>1</v>
      </c>
      <c r="P74" s="79" t="n">
        <f aca="false">IF(13&lt;$C$17,0,$J$17)+IF(13&lt;$C$18,0,$J$18)</f>
        <v>1</v>
      </c>
      <c r="Q74" s="79" t="n">
        <f aca="false">IF(14&lt;$C$17,0,$J$17)+IF(14&lt;$C$18,0,$J$18)</f>
        <v>1</v>
      </c>
      <c r="R74" s="79" t="n">
        <f aca="false">IF(15&lt;$C$17,0,$J$17)+IF(15&lt;$C$18,0,$J$18)</f>
        <v>1</v>
      </c>
      <c r="S74" s="79" t="n">
        <f aca="false">IF(16&lt;$C$17,0,$J$17)+IF(16&lt;$C$18,0,$J$18)</f>
        <v>1</v>
      </c>
      <c r="T74" s="79" t="n">
        <f aca="false">IF(17&lt;$C$17,0,$J$17)+IF(17&lt;$C$18,0,$J$18)</f>
        <v>1</v>
      </c>
      <c r="U74" s="79" t="n">
        <f aca="false">IF(18&lt;$C$17,0,$J$17)+IF(18&lt;$C$18,0,$J$18)</f>
        <v>1</v>
      </c>
      <c r="V74" s="79" t="n">
        <f aca="false">IF(19&lt;$C$17,0,$J$17)+IF(19&lt;$C$18,0,$J$18)</f>
        <v>1</v>
      </c>
      <c r="W74" s="79" t="n">
        <f aca="false">IF(20&lt;$C$17,0,$J$17)+IF(20&lt;$C$18,0,$J$18)</f>
        <v>1</v>
      </c>
      <c r="X74" s="79" t="n">
        <f aca="false">IF(21&lt;$C$17,0,$J$17)+IF(21&lt;$C$18,0,$J$18)</f>
        <v>1</v>
      </c>
      <c r="Y74" s="79" t="n">
        <f aca="false">IF(22&lt;$C$17,0,$J$17)+IF(22&lt;$C$18,0,$J$18)</f>
        <v>1</v>
      </c>
      <c r="Z74" s="79" t="n">
        <f aca="false">IF(23&lt;$C$17,0,$J$17)+IF(23&lt;$C$18,0,$J$18)</f>
        <v>1</v>
      </c>
      <c r="AA74" s="79" t="n">
        <f aca="false">IF(24&lt;$C$17,0,$J$17)+IF(24&lt;$C$18,0,$J$18)</f>
        <v>1</v>
      </c>
      <c r="AB74" s="78" t="n">
        <f aca="false">AN74</f>
        <v>2</v>
      </c>
      <c r="AC74" s="79" t="n">
        <f aca="false">IF(25&lt;$C$17,0,$K$17)+IF(25&lt;$C$18,0,$K$18)</f>
        <v>2</v>
      </c>
      <c r="AD74" s="79" t="n">
        <f aca="false">IF(26&lt;$C$17,0,$K$17)+IF(26&lt;$C$18,0,$K$18)</f>
        <v>2</v>
      </c>
      <c r="AE74" s="79" t="n">
        <f aca="false">IF(27&lt;$C$17,0,$K$17)+IF(27&lt;$C$18,0,$K$18)</f>
        <v>2</v>
      </c>
      <c r="AF74" s="79" t="n">
        <f aca="false">IF(28&lt;$C$17,0,$K$17)+IF(28&lt;$C$18,0,$K$18)</f>
        <v>2</v>
      </c>
      <c r="AG74" s="79" t="n">
        <f aca="false">IF(29&lt;$C$17,0,$K$17)+IF(29&lt;$C$18,0,$K$18)</f>
        <v>2</v>
      </c>
      <c r="AH74" s="79" t="n">
        <f aca="false">IF(30&lt;$C$17,0,$K$17)+IF(30&lt;$C$18,0,$K$18)</f>
        <v>2</v>
      </c>
      <c r="AI74" s="79" t="n">
        <f aca="false">IF(31&lt;$C$17,0,$K$17)+IF(31&lt;$C$18,0,$K$18)</f>
        <v>2</v>
      </c>
      <c r="AJ74" s="79" t="n">
        <f aca="false">IF(32&lt;$C$17,0,$K$17)+IF(32&lt;$C$18,0,$K$18)</f>
        <v>2</v>
      </c>
      <c r="AK74" s="79" t="n">
        <f aca="false">IF(33&lt;$C$17,0,$K$17)+IF(33&lt;$C$18,0,$K$18)</f>
        <v>2</v>
      </c>
      <c r="AL74" s="79" t="n">
        <f aca="false">IF(34&lt;$C$17,0,$K$17)+IF(34&lt;$C$18,0,$K$18)</f>
        <v>2</v>
      </c>
      <c r="AM74" s="79" t="n">
        <f aca="false">IF(35&lt;$C$17,0,$K$17)+IF(35&lt;$C$18,0,$K$18)</f>
        <v>2</v>
      </c>
      <c r="AN74" s="79" t="n">
        <f aca="false">IF(36&lt;$C$17,0,$K$17)+IF(36&lt;$C$18,0,$K$18)</f>
        <v>2</v>
      </c>
      <c r="AO74" s="78" t="n">
        <f aca="false">BA74</f>
        <v>3</v>
      </c>
      <c r="AP74" s="79" t="n">
        <f aca="false">IF(37&lt;$C$17,0,$L$17)+IF(37&lt;$C$18,0,$L$18)</f>
        <v>3</v>
      </c>
      <c r="AQ74" s="79" t="n">
        <f aca="false">IF(38&lt;$C$17,0,$L$17)+IF(38&lt;$C$18,0,$L$18)</f>
        <v>3</v>
      </c>
      <c r="AR74" s="79" t="n">
        <f aca="false">IF(39&lt;$C$17,0,$L$17)+IF(39&lt;$C$18,0,$L$18)</f>
        <v>3</v>
      </c>
      <c r="AS74" s="79" t="n">
        <f aca="false">IF(40&lt;$C$17,0,$L$17)+IF(40&lt;$C$18,0,$L$18)</f>
        <v>3</v>
      </c>
      <c r="AT74" s="79" t="n">
        <f aca="false">IF(41&lt;$C$17,0,$L$17)+IF(41&lt;$C$18,0,$L$18)</f>
        <v>3</v>
      </c>
      <c r="AU74" s="79" t="n">
        <f aca="false">IF(42&lt;$C$17,0,$L$17)+IF(42&lt;$C$18,0,$L$18)</f>
        <v>3</v>
      </c>
      <c r="AV74" s="79" t="n">
        <f aca="false">IF(43&lt;$C$17,0,$L$17)+IF(43&lt;$C$18,0,$L$18)</f>
        <v>3</v>
      </c>
      <c r="AW74" s="79" t="n">
        <f aca="false">IF(44&lt;$C$17,0,$L$17)+IF(44&lt;$C$18,0,$L$18)</f>
        <v>3</v>
      </c>
      <c r="AX74" s="79" t="n">
        <f aca="false">IF(45&lt;$C$17,0,$L$17)+IF(45&lt;$C$18,0,$L$18)</f>
        <v>3</v>
      </c>
      <c r="AY74" s="79" t="n">
        <f aca="false">IF(46&lt;$C$17,0,$L$17)+IF(46&lt;$C$18,0,$L$18)</f>
        <v>3</v>
      </c>
      <c r="AZ74" s="79" t="n">
        <f aca="false">IF(47&lt;$C$17,0,$L$17)+IF(47&lt;$C$18,0,$L$18)</f>
        <v>3</v>
      </c>
      <c r="BA74" s="79" t="n">
        <f aca="false">IF(48&lt;$C$17,0,$L$17)+IF(48&lt;$C$18,0,$L$18)</f>
        <v>3</v>
      </c>
      <c r="BB74" s="78" t="n">
        <f aca="false">BN74</f>
        <v>3</v>
      </c>
      <c r="BC74" s="79" t="n">
        <f aca="false">IF(49&lt;$C$17,0,$M$17)+IF(49&lt;$C$18,0,$M$18)</f>
        <v>3</v>
      </c>
      <c r="BD74" s="79" t="n">
        <f aca="false">IF(50&lt;$C$17,0,$M$17)+IF(50&lt;$C$18,0,$M$18)</f>
        <v>3</v>
      </c>
      <c r="BE74" s="79" t="n">
        <f aca="false">IF(51&lt;$C$17,0,$M$17)+IF(51&lt;$C$18,0,$M$18)</f>
        <v>3</v>
      </c>
      <c r="BF74" s="79" t="n">
        <f aca="false">IF(52&lt;$C$17,0,$M$17)+IF(52&lt;$C$18,0,$M$18)</f>
        <v>3</v>
      </c>
      <c r="BG74" s="79" t="n">
        <f aca="false">IF(53&lt;$C$17,0,$M$17)+IF(53&lt;$C$18,0,$M$18)</f>
        <v>3</v>
      </c>
      <c r="BH74" s="79" t="n">
        <f aca="false">IF(54&lt;$C$17,0,$M$17)+IF(54&lt;$C$18,0,$M$18)</f>
        <v>3</v>
      </c>
      <c r="BI74" s="79" t="n">
        <f aca="false">IF(55&lt;$C$17,0,$M$17)+IF(55&lt;$C$18,0,$M$18)</f>
        <v>3</v>
      </c>
      <c r="BJ74" s="79" t="n">
        <f aca="false">IF(56&lt;$C$17,0,$M$17)+IF(56&lt;$C$18,0,$M$18)</f>
        <v>3</v>
      </c>
      <c r="BK74" s="79" t="n">
        <f aca="false">IF(57&lt;$C$17,0,$M$17)+IF(57&lt;$C$18,0,$M$18)</f>
        <v>3</v>
      </c>
      <c r="BL74" s="79" t="n">
        <f aca="false">IF(58&lt;$C$17,0,$M$17)+IF(58&lt;$C$18,0,$M$18)</f>
        <v>3</v>
      </c>
      <c r="BM74" s="79" t="n">
        <f aca="false">IF(59&lt;$C$17,0,$M$17)+IF(59&lt;$C$18,0,$M$18)</f>
        <v>3</v>
      </c>
      <c r="BN74" s="79" t="n">
        <f aca="false">IF(60&lt;$C$17,0,$M$17)+IF(60&lt;$C$18,0,$M$18)</f>
        <v>3</v>
      </c>
    </row>
    <row r="75" customFormat="false" ht="15" hidden="false" customHeight="false" outlineLevel="0" collapsed="false">
      <c r="A75" s="12" t="s">
        <v>296</v>
      </c>
      <c r="B75" s="78" t="n">
        <f aca="false">N75</f>
        <v>0</v>
      </c>
      <c r="C75" s="79" t="n">
        <f aca="false">IF(1&lt;$C$19,0,$I$19)+IF(1&lt;$C$20,0,$I$20)+IF(1&lt;$C$21,0,$I$21)</f>
        <v>0</v>
      </c>
      <c r="D75" s="79" t="n">
        <f aca="false">IF(2&lt;$C$19,0,$I$19)+IF(2&lt;$C$20,0,$I$20)+IF(2&lt;$C$21,0,$I$21)</f>
        <v>0</v>
      </c>
      <c r="E75" s="79" t="n">
        <f aca="false">IF(3&lt;$C$19,0,$I$19)+IF(3&lt;$C$20,0,$I$20)+IF(3&lt;$C$21,0,$I$21)</f>
        <v>0</v>
      </c>
      <c r="F75" s="79" t="n">
        <f aca="false">IF(4&lt;$C$19,0,$I$19)+IF(4&lt;$C$20,0,$I$20)+IF(4&lt;$C$21,0,$I$21)</f>
        <v>0</v>
      </c>
      <c r="G75" s="79" t="n">
        <f aca="false">IF(5&lt;$C$19,0,$I$19)+IF(5&lt;$C$20,0,$I$20)+IF(5&lt;$C$21,0,$I$21)</f>
        <v>0</v>
      </c>
      <c r="H75" s="79" t="n">
        <f aca="false">IF(6&lt;$C$19,0,$I$19)+IF(6&lt;$C$20,0,$I$20)+IF(6&lt;$C$21,0,$I$21)</f>
        <v>0</v>
      </c>
      <c r="I75" s="79" t="n">
        <f aca="false">IF(7&lt;$C$19,0,$I$19)+IF(7&lt;$C$20,0,$I$20)+IF(7&lt;$C$21,0,$I$21)</f>
        <v>0</v>
      </c>
      <c r="J75" s="79" t="n">
        <f aca="false">IF(8&lt;$C$19,0,$I$19)+IF(8&lt;$C$20,0,$I$20)+IF(8&lt;$C$21,0,$I$21)</f>
        <v>0</v>
      </c>
      <c r="K75" s="79" t="n">
        <f aca="false">IF(9&lt;$C$19,0,$I$19)+IF(9&lt;$C$20,0,$I$20)+IF(9&lt;$C$21,0,$I$21)</f>
        <v>0</v>
      </c>
      <c r="L75" s="79" t="n">
        <f aca="false">IF(10&lt;$C$19,0,$I$19)+IF(10&lt;$C$20,0,$I$20)+IF(10&lt;$C$21,0,$I$21)</f>
        <v>0</v>
      </c>
      <c r="M75" s="79" t="n">
        <f aca="false">IF(11&lt;$C$19,0,$I$19)+IF(11&lt;$C$20,0,$I$20)+IF(11&lt;$C$21,0,$I$21)</f>
        <v>0</v>
      </c>
      <c r="N75" s="79" t="n">
        <f aca="false">IF(12&lt;$C$19,0,$I$19)+IF(12&lt;$C$20,0,$I$20)+IF(12&lt;$C$21,0,$I$21)</f>
        <v>0</v>
      </c>
      <c r="O75" s="78" t="n">
        <f aca="false">AA75</f>
        <v>1</v>
      </c>
      <c r="P75" s="79" t="n">
        <f aca="false">IF(13&lt;$C$19,0,$J$19)+IF(13&lt;$C$20,0,$J$20)+IF(13&lt;$C$21,0,$J$21)</f>
        <v>1</v>
      </c>
      <c r="Q75" s="79" t="n">
        <f aca="false">IF(14&lt;$C$19,0,$J$19)+IF(14&lt;$C$20,0,$J$20)+IF(14&lt;$C$21,0,$J$21)</f>
        <v>1</v>
      </c>
      <c r="R75" s="79" t="n">
        <f aca="false">IF(15&lt;$C$19,0,$J$19)+IF(15&lt;$C$20,0,$J$20)+IF(15&lt;$C$21,0,$J$21)</f>
        <v>1</v>
      </c>
      <c r="S75" s="79" t="n">
        <f aca="false">IF(16&lt;$C$19,0,$J$19)+IF(16&lt;$C$20,0,$J$20)+IF(16&lt;$C$21,0,$J$21)</f>
        <v>1</v>
      </c>
      <c r="T75" s="79" t="n">
        <f aca="false">IF(17&lt;$C$19,0,$J$19)+IF(17&lt;$C$20,0,$J$20)+IF(17&lt;$C$21,0,$J$21)</f>
        <v>1</v>
      </c>
      <c r="U75" s="79" t="n">
        <f aca="false">IF(18&lt;$C$19,0,$J$19)+IF(18&lt;$C$20,0,$J$20)+IF(18&lt;$C$21,0,$J$21)</f>
        <v>1</v>
      </c>
      <c r="V75" s="79" t="n">
        <f aca="false">IF(19&lt;$C$19,0,$J$19)+IF(19&lt;$C$20,0,$J$20)+IF(19&lt;$C$21,0,$J$21)</f>
        <v>1</v>
      </c>
      <c r="W75" s="79" t="n">
        <f aca="false">IF(20&lt;$C$19,0,$J$19)+IF(20&lt;$C$20,0,$J$20)+IF(20&lt;$C$21,0,$J$21)</f>
        <v>1</v>
      </c>
      <c r="X75" s="79" t="n">
        <f aca="false">IF(21&lt;$C$19,0,$J$19)+IF(21&lt;$C$20,0,$J$20)+IF(21&lt;$C$21,0,$J$21)</f>
        <v>1</v>
      </c>
      <c r="Y75" s="79" t="n">
        <f aca="false">IF(22&lt;$C$19,0,$J$19)+IF(22&lt;$C$20,0,$J$20)+IF(22&lt;$C$21,0,$J$21)</f>
        <v>1</v>
      </c>
      <c r="Z75" s="79" t="n">
        <f aca="false">IF(23&lt;$C$19,0,$J$19)+IF(23&lt;$C$20,0,$J$20)+IF(23&lt;$C$21,0,$J$21)</f>
        <v>1</v>
      </c>
      <c r="AA75" s="79" t="n">
        <f aca="false">IF(24&lt;$C$19,0,$J$19)+IF(24&lt;$C$20,0,$J$20)+IF(24&lt;$C$21,0,$J$21)</f>
        <v>1</v>
      </c>
      <c r="AB75" s="78" t="n">
        <f aca="false">AN75</f>
        <v>2</v>
      </c>
      <c r="AC75" s="79" t="n">
        <f aca="false">IF(25&lt;$C$19,0,$K$19)+IF(25&lt;$C$20,0,$K$20)+IF(25&lt;$C$21,0,$K$21)</f>
        <v>2</v>
      </c>
      <c r="AD75" s="79" t="n">
        <f aca="false">IF(26&lt;$C$19,0,$K$19)+IF(26&lt;$C$20,0,$K$20)+IF(26&lt;$C$21,0,$K$21)</f>
        <v>2</v>
      </c>
      <c r="AE75" s="79" t="n">
        <f aca="false">IF(27&lt;$C$19,0,$K$19)+IF(27&lt;$C$20,0,$K$20)+IF(27&lt;$C$21,0,$K$21)</f>
        <v>2</v>
      </c>
      <c r="AF75" s="79" t="n">
        <f aca="false">IF(28&lt;$C$19,0,$K$19)+IF(28&lt;$C$20,0,$K$20)+IF(28&lt;$C$21,0,$K$21)</f>
        <v>2</v>
      </c>
      <c r="AG75" s="79" t="n">
        <f aca="false">IF(29&lt;$C$19,0,$K$19)+IF(29&lt;$C$20,0,$K$20)+IF(29&lt;$C$21,0,$K$21)</f>
        <v>2</v>
      </c>
      <c r="AH75" s="79" t="n">
        <f aca="false">IF(30&lt;$C$19,0,$K$19)+IF(30&lt;$C$20,0,$K$20)+IF(30&lt;$C$21,0,$K$21)</f>
        <v>2</v>
      </c>
      <c r="AI75" s="79" t="n">
        <f aca="false">IF(31&lt;$C$19,0,$K$19)+IF(31&lt;$C$20,0,$K$20)+IF(31&lt;$C$21,0,$K$21)</f>
        <v>2</v>
      </c>
      <c r="AJ75" s="79" t="n">
        <f aca="false">IF(32&lt;$C$19,0,$K$19)+IF(32&lt;$C$20,0,$K$20)+IF(32&lt;$C$21,0,$K$21)</f>
        <v>2</v>
      </c>
      <c r="AK75" s="79" t="n">
        <f aca="false">IF(33&lt;$C$19,0,$K$19)+IF(33&lt;$C$20,0,$K$20)+IF(33&lt;$C$21,0,$K$21)</f>
        <v>2</v>
      </c>
      <c r="AL75" s="79" t="n">
        <f aca="false">IF(34&lt;$C$19,0,$K$19)+IF(34&lt;$C$20,0,$K$20)+IF(34&lt;$C$21,0,$K$21)</f>
        <v>2</v>
      </c>
      <c r="AM75" s="79" t="n">
        <f aca="false">IF(35&lt;$C$19,0,$K$19)+IF(35&lt;$C$20,0,$K$20)+IF(35&lt;$C$21,0,$K$21)</f>
        <v>2</v>
      </c>
      <c r="AN75" s="79" t="n">
        <f aca="false">IF(36&lt;$C$19,0,$K$19)+IF(36&lt;$C$20,0,$K$20)+IF(36&lt;$C$21,0,$K$21)</f>
        <v>2</v>
      </c>
      <c r="AO75" s="78" t="n">
        <f aca="false">BA75</f>
        <v>3</v>
      </c>
      <c r="AP75" s="79" t="n">
        <f aca="false">IF(37&lt;$C$19,0,$L$19)+IF(37&lt;$C$20,0,$L$20)+IF(37&lt;$C$21,0,$L$21)</f>
        <v>3</v>
      </c>
      <c r="AQ75" s="79" t="n">
        <f aca="false">IF(38&lt;$C$19,0,$L$19)+IF(38&lt;$C$20,0,$L$20)+IF(38&lt;$C$21,0,$L$21)</f>
        <v>3</v>
      </c>
      <c r="AR75" s="79" t="n">
        <f aca="false">IF(39&lt;$C$19,0,$L$19)+IF(39&lt;$C$20,0,$L$20)+IF(39&lt;$C$21,0,$L$21)</f>
        <v>3</v>
      </c>
      <c r="AS75" s="79" t="n">
        <f aca="false">IF(40&lt;$C$19,0,$L$19)+IF(40&lt;$C$20,0,$L$20)+IF(40&lt;$C$21,0,$L$21)</f>
        <v>3</v>
      </c>
      <c r="AT75" s="79" t="n">
        <f aca="false">IF(41&lt;$C$19,0,$L$19)+IF(41&lt;$C$20,0,$L$20)+IF(41&lt;$C$21,0,$L$21)</f>
        <v>3</v>
      </c>
      <c r="AU75" s="79" t="n">
        <f aca="false">IF(42&lt;$C$19,0,$L$19)+IF(42&lt;$C$20,0,$L$20)+IF(42&lt;$C$21,0,$L$21)</f>
        <v>3</v>
      </c>
      <c r="AV75" s="79" t="n">
        <f aca="false">IF(43&lt;$C$19,0,$L$19)+IF(43&lt;$C$20,0,$L$20)+IF(43&lt;$C$21,0,$L$21)</f>
        <v>3</v>
      </c>
      <c r="AW75" s="79" t="n">
        <f aca="false">IF(44&lt;$C$19,0,$L$19)+IF(44&lt;$C$20,0,$L$20)+IF(44&lt;$C$21,0,$L$21)</f>
        <v>3</v>
      </c>
      <c r="AX75" s="79" t="n">
        <f aca="false">IF(45&lt;$C$19,0,$L$19)+IF(45&lt;$C$20,0,$L$20)+IF(45&lt;$C$21,0,$L$21)</f>
        <v>3</v>
      </c>
      <c r="AY75" s="79" t="n">
        <f aca="false">IF(46&lt;$C$19,0,$L$19)+IF(46&lt;$C$20,0,$L$20)+IF(46&lt;$C$21,0,$L$21)</f>
        <v>3</v>
      </c>
      <c r="AZ75" s="79" t="n">
        <f aca="false">IF(47&lt;$C$19,0,$L$19)+IF(47&lt;$C$20,0,$L$20)+IF(47&lt;$C$21,0,$L$21)</f>
        <v>3</v>
      </c>
      <c r="BA75" s="79" t="n">
        <f aca="false">IF(48&lt;$C$19,0,$L$19)+IF(48&lt;$C$20,0,$L$20)+IF(48&lt;$C$21,0,$L$21)</f>
        <v>3</v>
      </c>
      <c r="BB75" s="78" t="n">
        <f aca="false">BN75</f>
        <v>4</v>
      </c>
      <c r="BC75" s="79" t="n">
        <f aca="false">IF(49&lt;$C$19,0,$M$19)+IF(49&lt;$C$20,0,$M$20)+IF(49&lt;$C$21,0,$M$21)</f>
        <v>4</v>
      </c>
      <c r="BD75" s="79" t="n">
        <f aca="false">IF(50&lt;$C$19,0,$M$19)+IF(50&lt;$C$20,0,$M$20)+IF(50&lt;$C$21,0,$M$21)</f>
        <v>4</v>
      </c>
      <c r="BE75" s="79" t="n">
        <f aca="false">IF(51&lt;$C$19,0,$M$19)+IF(51&lt;$C$20,0,$M$20)+IF(51&lt;$C$21,0,$M$21)</f>
        <v>4</v>
      </c>
      <c r="BF75" s="79" t="n">
        <f aca="false">IF(52&lt;$C$19,0,$M$19)+IF(52&lt;$C$20,0,$M$20)+IF(52&lt;$C$21,0,$M$21)</f>
        <v>4</v>
      </c>
      <c r="BG75" s="79" t="n">
        <f aca="false">IF(53&lt;$C$19,0,$M$19)+IF(53&lt;$C$20,0,$M$20)+IF(53&lt;$C$21,0,$M$21)</f>
        <v>4</v>
      </c>
      <c r="BH75" s="79" t="n">
        <f aca="false">IF(54&lt;$C$19,0,$M$19)+IF(54&lt;$C$20,0,$M$20)+IF(54&lt;$C$21,0,$M$21)</f>
        <v>4</v>
      </c>
      <c r="BI75" s="79" t="n">
        <f aca="false">IF(55&lt;$C$19,0,$M$19)+IF(55&lt;$C$20,0,$M$20)+IF(55&lt;$C$21,0,$M$21)</f>
        <v>4</v>
      </c>
      <c r="BJ75" s="79" t="n">
        <f aca="false">IF(56&lt;$C$19,0,$M$19)+IF(56&lt;$C$20,0,$M$20)+IF(56&lt;$C$21,0,$M$21)</f>
        <v>4</v>
      </c>
      <c r="BK75" s="79" t="n">
        <f aca="false">IF(57&lt;$C$19,0,$M$19)+IF(57&lt;$C$20,0,$M$20)+IF(57&lt;$C$21,0,$M$21)</f>
        <v>4</v>
      </c>
      <c r="BL75" s="79" t="n">
        <f aca="false">IF(58&lt;$C$19,0,$M$19)+IF(58&lt;$C$20,0,$M$20)+IF(58&lt;$C$21,0,$M$21)</f>
        <v>4</v>
      </c>
      <c r="BM75" s="79" t="n">
        <f aca="false">IF(59&lt;$C$19,0,$M$19)+IF(59&lt;$C$20,0,$M$20)+IF(59&lt;$C$21,0,$M$21)</f>
        <v>4</v>
      </c>
      <c r="BN75" s="79" t="n">
        <f aca="false">IF(60&lt;$C$19,0,$M$19)+IF(60&lt;$C$20,0,$M$20)+IF(60&lt;$C$21,0,$M$21)</f>
        <v>4</v>
      </c>
    </row>
    <row r="76" customFormat="false" ht="15" hidden="false" customHeight="false" outlineLevel="0" collapsed="false">
      <c r="A76" s="18" t="s">
        <v>788</v>
      </c>
      <c r="B76" s="78" t="n">
        <f aca="false">N76</f>
        <v>0</v>
      </c>
      <c r="C76" s="116" t="n">
        <f aca="false">SUM(C71:C75)-C64</f>
        <v>0</v>
      </c>
      <c r="D76" s="116" t="n">
        <f aca="false">SUM(D71:D75)-D64</f>
        <v>0</v>
      </c>
      <c r="E76" s="116" t="n">
        <f aca="false">SUM(E71:E75)-E64</f>
        <v>0</v>
      </c>
      <c r="F76" s="116" t="n">
        <f aca="false">SUM(F71:F75)-F64</f>
        <v>0</v>
      </c>
      <c r="G76" s="116" t="n">
        <f aca="false">SUM(G71:G75)-G64</f>
        <v>0</v>
      </c>
      <c r="H76" s="116" t="n">
        <f aca="false">SUM(H71:H75)-H64</f>
        <v>0</v>
      </c>
      <c r="I76" s="116" t="n">
        <f aca="false">SUM(I71:I75)-I64</f>
        <v>0</v>
      </c>
      <c r="J76" s="116" t="n">
        <f aca="false">SUM(J71:J75)-J64</f>
        <v>0</v>
      </c>
      <c r="K76" s="116" t="n">
        <f aca="false">SUM(K71:K75)-K64</f>
        <v>0</v>
      </c>
      <c r="L76" s="116" t="n">
        <f aca="false">SUM(L71:L75)-L64</f>
        <v>0</v>
      </c>
      <c r="M76" s="116" t="n">
        <f aca="false">SUM(M71:M75)-M64</f>
        <v>0</v>
      </c>
      <c r="N76" s="116" t="n">
        <f aca="false">SUM(N71:N75)-N64</f>
        <v>0</v>
      </c>
      <c r="O76" s="78" t="n">
        <f aca="false">AA76</f>
        <v>0</v>
      </c>
      <c r="P76" s="116" t="n">
        <f aca="false">SUM(P71:P75)-P64</f>
        <v>0</v>
      </c>
      <c r="Q76" s="116" t="n">
        <f aca="false">SUM(Q71:Q75)-Q64</f>
        <v>0</v>
      </c>
      <c r="R76" s="116" t="n">
        <f aca="false">SUM(R71:R75)-R64</f>
        <v>0</v>
      </c>
      <c r="S76" s="116" t="n">
        <f aca="false">SUM(S71:S75)-S64</f>
        <v>0</v>
      </c>
      <c r="T76" s="116" t="n">
        <f aca="false">SUM(T71:T75)-T64</f>
        <v>0</v>
      </c>
      <c r="U76" s="116" t="n">
        <f aca="false">SUM(U71:U75)-U64</f>
        <v>0</v>
      </c>
      <c r="V76" s="116" t="n">
        <f aca="false">SUM(V71:V75)-V64</f>
        <v>0</v>
      </c>
      <c r="W76" s="116" t="n">
        <f aca="false">SUM(W71:W75)-W64</f>
        <v>0</v>
      </c>
      <c r="X76" s="116" t="n">
        <f aca="false">SUM(X71:X75)-X64</f>
        <v>0</v>
      </c>
      <c r="Y76" s="116" t="n">
        <f aca="false">SUM(Y71:Y75)-Y64</f>
        <v>0</v>
      </c>
      <c r="Z76" s="116" t="n">
        <f aca="false">SUM(Z71:Z75)-Z64</f>
        <v>0</v>
      </c>
      <c r="AA76" s="116" t="n">
        <f aca="false">SUM(AA71:AA75)-AA64</f>
        <v>0</v>
      </c>
      <c r="AB76" s="78" t="n">
        <f aca="false">AN76</f>
        <v>0</v>
      </c>
      <c r="AC76" s="116" t="n">
        <f aca="false">SUM(AC71:AC75)-AC64</f>
        <v>0</v>
      </c>
      <c r="AD76" s="116" t="n">
        <f aca="false">SUM(AD71:AD75)-AD64</f>
        <v>0</v>
      </c>
      <c r="AE76" s="116" t="n">
        <f aca="false">SUM(AE71:AE75)-AE64</f>
        <v>0</v>
      </c>
      <c r="AF76" s="116" t="n">
        <f aca="false">SUM(AF71:AF75)-AF64</f>
        <v>0</v>
      </c>
      <c r="AG76" s="116" t="n">
        <f aca="false">SUM(AG71:AG75)-AG64</f>
        <v>0</v>
      </c>
      <c r="AH76" s="116" t="n">
        <f aca="false">SUM(AH71:AH75)-AH64</f>
        <v>0</v>
      </c>
      <c r="AI76" s="116" t="n">
        <f aca="false">SUM(AI71:AI75)-AI64</f>
        <v>0</v>
      </c>
      <c r="AJ76" s="116" t="n">
        <f aca="false">SUM(AJ71:AJ75)-AJ64</f>
        <v>0</v>
      </c>
      <c r="AK76" s="116" t="n">
        <f aca="false">SUM(AK71:AK75)-AK64</f>
        <v>0</v>
      </c>
      <c r="AL76" s="116" t="n">
        <f aca="false">SUM(AL71:AL75)-AL64</f>
        <v>0</v>
      </c>
      <c r="AM76" s="116" t="n">
        <f aca="false">SUM(AM71:AM75)-AM64</f>
        <v>0</v>
      </c>
      <c r="AN76" s="116" t="n">
        <f aca="false">SUM(AN71:AN75)-AN64</f>
        <v>0</v>
      </c>
      <c r="AO76" s="78" t="n">
        <f aca="false">BA76</f>
        <v>0</v>
      </c>
      <c r="AP76" s="116" t="n">
        <f aca="false">SUM(AP71:AP75)-AP64</f>
        <v>0</v>
      </c>
      <c r="AQ76" s="116" t="n">
        <f aca="false">SUM(AQ71:AQ75)-AQ64</f>
        <v>0</v>
      </c>
      <c r="AR76" s="116" t="n">
        <f aca="false">SUM(AR71:AR75)-AR64</f>
        <v>0</v>
      </c>
      <c r="AS76" s="116" t="n">
        <f aca="false">SUM(AS71:AS75)-AS64</f>
        <v>0</v>
      </c>
      <c r="AT76" s="116" t="n">
        <f aca="false">SUM(AT71:AT75)-AT64</f>
        <v>0</v>
      </c>
      <c r="AU76" s="116" t="n">
        <f aca="false">SUM(AU71:AU75)-AU64</f>
        <v>0</v>
      </c>
      <c r="AV76" s="116" t="n">
        <f aca="false">SUM(AV71:AV75)-AV64</f>
        <v>0</v>
      </c>
      <c r="AW76" s="116" t="n">
        <f aca="false">SUM(AW71:AW75)-AW64</f>
        <v>0</v>
      </c>
      <c r="AX76" s="116" t="n">
        <f aca="false">SUM(AX71:AX75)-AX64</f>
        <v>0</v>
      </c>
      <c r="AY76" s="116" t="n">
        <f aca="false">SUM(AY71:AY75)-AY64</f>
        <v>0</v>
      </c>
      <c r="AZ76" s="116" t="n">
        <f aca="false">SUM(AZ71:AZ75)-AZ64</f>
        <v>0</v>
      </c>
      <c r="BA76" s="116" t="n">
        <f aca="false">SUM(BA71:BA75)-BA64</f>
        <v>0</v>
      </c>
      <c r="BB76" s="78" t="n">
        <f aca="false">BN76</f>
        <v>0</v>
      </c>
      <c r="BC76" s="116" t="n">
        <f aca="false">SUM(BC71:BC75)-BC64</f>
        <v>0</v>
      </c>
      <c r="BD76" s="116" t="n">
        <f aca="false">SUM(BD71:BD75)-BD64</f>
        <v>0</v>
      </c>
      <c r="BE76" s="116" t="n">
        <f aca="false">SUM(BE71:BE75)-BE64</f>
        <v>0</v>
      </c>
      <c r="BF76" s="116" t="n">
        <f aca="false">SUM(BF71:BF75)-BF64</f>
        <v>0</v>
      </c>
      <c r="BG76" s="116" t="n">
        <f aca="false">SUM(BG71:BG75)-BG64</f>
        <v>0</v>
      </c>
      <c r="BH76" s="116" t="n">
        <f aca="false">SUM(BH71:BH75)-BH64</f>
        <v>0</v>
      </c>
      <c r="BI76" s="116" t="n">
        <f aca="false">SUM(BI71:BI75)-BI64</f>
        <v>0</v>
      </c>
      <c r="BJ76" s="116" t="n">
        <f aca="false">SUM(BJ71:BJ75)-BJ64</f>
        <v>0</v>
      </c>
      <c r="BK76" s="116" t="n">
        <f aca="false">SUM(BK71:BK75)-BK64</f>
        <v>0</v>
      </c>
      <c r="BL76" s="116" t="n">
        <f aca="false">SUM(BL71:BL75)-BL64</f>
        <v>0</v>
      </c>
      <c r="BM76" s="116" t="n">
        <f aca="false">SUM(BM71:BM75)-BM64</f>
        <v>0</v>
      </c>
      <c r="BN76" s="116" t="n">
        <f aca="false">SUM(BN71:BN75)-BN64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592</v>
      </c>
    </row>
    <row r="2" customFormat="false" ht="13.5" hidden="false" customHeight="true" outlineLevel="0" collapsed="false">
      <c r="A2" s="6" t="s">
        <v>789</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790</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467</v>
      </c>
      <c r="B7" s="64" t="n">
        <f aca="false">SUM(C7:N7)</f>
        <v>1375</v>
      </c>
      <c r="C7" s="65" t="n">
        <f aca="false">0</f>
        <v>0</v>
      </c>
      <c r="D7" s="65" t="n">
        <f aca="false">MIN('Capital Expenditure'!C$20/'Assumption Setting'!$E$218,'Capital Expenditure'!C$20-C20)</f>
        <v>125</v>
      </c>
      <c r="E7" s="65" t="n">
        <f aca="false">MIN('Capital Expenditure'!D$20/'Assumption Setting'!$E$218,'Capital Expenditure'!D$20-D20)</f>
        <v>125</v>
      </c>
      <c r="F7" s="65" t="n">
        <f aca="false">MIN('Capital Expenditure'!E$20/'Assumption Setting'!$E$218,'Capital Expenditure'!E$20-E20)</f>
        <v>125</v>
      </c>
      <c r="G7" s="65" t="n">
        <f aca="false">MIN('Capital Expenditure'!F$20/'Assumption Setting'!$E$218,'Capital Expenditure'!F$20-F20)</f>
        <v>125</v>
      </c>
      <c r="H7" s="65" t="n">
        <f aca="false">MIN('Capital Expenditure'!G$20/'Assumption Setting'!$E$218,'Capital Expenditure'!G$20-G20)</f>
        <v>125</v>
      </c>
      <c r="I7" s="65" t="n">
        <f aca="false">MIN('Capital Expenditure'!H$20/'Assumption Setting'!$E$218,'Capital Expenditure'!H$20-H20)</f>
        <v>125</v>
      </c>
      <c r="J7" s="65" t="n">
        <f aca="false">MIN('Capital Expenditure'!I$20/'Assumption Setting'!$E$218,'Capital Expenditure'!I$20-I20)</f>
        <v>125</v>
      </c>
      <c r="K7" s="65" t="n">
        <f aca="false">MIN('Capital Expenditure'!J$20/'Assumption Setting'!$E$218,'Capital Expenditure'!J$20-J20)</f>
        <v>125</v>
      </c>
      <c r="L7" s="65" t="n">
        <f aca="false">MIN('Capital Expenditure'!K$20/'Assumption Setting'!$E$218,'Capital Expenditure'!K$20-K20)</f>
        <v>125</v>
      </c>
      <c r="M7" s="65" t="n">
        <f aca="false">MIN('Capital Expenditure'!L$20/'Assumption Setting'!$E$218,'Capital Expenditure'!L$20-L20)</f>
        <v>125</v>
      </c>
      <c r="N7" s="65" t="n">
        <f aca="false">MIN('Capital Expenditure'!M$20/'Assumption Setting'!$E$218,'Capital Expenditure'!M$20-M20)</f>
        <v>125</v>
      </c>
      <c r="O7" s="64" t="n">
        <f aca="false">SUM(P7:AA7)</f>
        <v>2187.5</v>
      </c>
      <c r="P7" s="65" t="n">
        <f aca="false">MIN('Capital Expenditure'!N$20/'Assumption Setting'!$E$218,'Capital Expenditure'!N$20-N20)</f>
        <v>125</v>
      </c>
      <c r="Q7" s="65" t="n">
        <f aca="false">MIN('Capital Expenditure'!P$20/'Assumption Setting'!$E$218,'Capital Expenditure'!P$20-P20)</f>
        <v>187.5</v>
      </c>
      <c r="R7" s="65" t="n">
        <f aca="false">MIN('Capital Expenditure'!Q$20/'Assumption Setting'!$E$218,'Capital Expenditure'!Q$20-Q20)</f>
        <v>187.5</v>
      </c>
      <c r="S7" s="65" t="n">
        <f aca="false">MIN('Capital Expenditure'!R$20/'Assumption Setting'!$E$218,'Capital Expenditure'!R$20-R20)</f>
        <v>187.5</v>
      </c>
      <c r="T7" s="65" t="n">
        <f aca="false">MIN('Capital Expenditure'!S$20/'Assumption Setting'!$E$218,'Capital Expenditure'!S$20-S20)</f>
        <v>187.5</v>
      </c>
      <c r="U7" s="65" t="n">
        <f aca="false">MIN('Capital Expenditure'!T$20/'Assumption Setting'!$E$218,'Capital Expenditure'!T$20-T20)</f>
        <v>187.5</v>
      </c>
      <c r="V7" s="65" t="n">
        <f aca="false">MIN('Capital Expenditure'!U$20/'Assumption Setting'!$E$218,'Capital Expenditure'!U$20-U20)</f>
        <v>187.5</v>
      </c>
      <c r="W7" s="65" t="n">
        <f aca="false">MIN('Capital Expenditure'!V$20/'Assumption Setting'!$E$218,'Capital Expenditure'!V$20-V20)</f>
        <v>187.5</v>
      </c>
      <c r="X7" s="65" t="n">
        <f aca="false">MIN('Capital Expenditure'!W$20/'Assumption Setting'!$E$218,'Capital Expenditure'!W$20-W20)</f>
        <v>187.5</v>
      </c>
      <c r="Y7" s="65" t="n">
        <f aca="false">MIN('Capital Expenditure'!X$20/'Assumption Setting'!$E$218,'Capital Expenditure'!X$20-X20)</f>
        <v>187.5</v>
      </c>
      <c r="Z7" s="65" t="n">
        <f aca="false">MIN('Capital Expenditure'!Y$20/'Assumption Setting'!$E$218,'Capital Expenditure'!Y$20-Y20)</f>
        <v>187.5</v>
      </c>
      <c r="AA7" s="65" t="n">
        <f aca="false">MIN('Capital Expenditure'!Z$20/'Assumption Setting'!$E$218,'Capital Expenditure'!Z$20-Z20)</f>
        <v>187.5</v>
      </c>
      <c r="AB7" s="64" t="n">
        <f aca="false">SUM(AC7:AN7)</f>
        <v>2937.5</v>
      </c>
      <c r="AC7" s="65" t="n">
        <f aca="false">MIN('Capital Expenditure'!AA$20/'Assumption Setting'!$E$218,'Capital Expenditure'!AA$20-AA20)</f>
        <v>187.5</v>
      </c>
      <c r="AD7" s="65" t="n">
        <f aca="false">MIN('Capital Expenditure'!AC$20/'Assumption Setting'!$E$218,'Capital Expenditure'!AC$20-AC20)</f>
        <v>250</v>
      </c>
      <c r="AE7" s="65" t="n">
        <f aca="false">MIN('Capital Expenditure'!AD$20/'Assumption Setting'!$E$218,'Capital Expenditure'!AD$20-AD20)</f>
        <v>250</v>
      </c>
      <c r="AF7" s="65" t="n">
        <f aca="false">MIN('Capital Expenditure'!AE$20/'Assumption Setting'!$E$218,'Capital Expenditure'!AE$20-AE20)</f>
        <v>250</v>
      </c>
      <c r="AG7" s="65" t="n">
        <f aca="false">MIN('Capital Expenditure'!AF$20/'Assumption Setting'!$E$218,'Capital Expenditure'!AF$20-AF20)</f>
        <v>250</v>
      </c>
      <c r="AH7" s="65" t="n">
        <f aca="false">MIN('Capital Expenditure'!AG$20/'Assumption Setting'!$E$218,'Capital Expenditure'!AG$20-AG20)</f>
        <v>250</v>
      </c>
      <c r="AI7" s="65" t="n">
        <f aca="false">MIN('Capital Expenditure'!AH$20/'Assumption Setting'!$E$218,'Capital Expenditure'!AH$20-AH20)</f>
        <v>250</v>
      </c>
      <c r="AJ7" s="65" t="n">
        <f aca="false">MIN('Capital Expenditure'!AI$20/'Assumption Setting'!$E$218,'Capital Expenditure'!AI$20-AI20)</f>
        <v>250</v>
      </c>
      <c r="AK7" s="65" t="n">
        <f aca="false">MIN('Capital Expenditure'!AJ$20/'Assumption Setting'!$E$218,'Capital Expenditure'!AJ$20-AJ20)</f>
        <v>250</v>
      </c>
      <c r="AL7" s="65" t="n">
        <f aca="false">MIN('Capital Expenditure'!AK$20/'Assumption Setting'!$E$218,'Capital Expenditure'!AK$20-AK20)</f>
        <v>250</v>
      </c>
      <c r="AM7" s="65" t="n">
        <f aca="false">MIN('Capital Expenditure'!AL$20/'Assumption Setting'!$E$218,'Capital Expenditure'!AL$20-AL20)</f>
        <v>250</v>
      </c>
      <c r="AN7" s="65" t="n">
        <f aca="false">MIN('Capital Expenditure'!AM$20/'Assumption Setting'!$E$218,'Capital Expenditure'!AM$20-AM20)</f>
        <v>250</v>
      </c>
      <c r="AO7" s="64" t="n">
        <f aca="false">SUM(AP7:BA7)</f>
        <v>3916.66666666667</v>
      </c>
      <c r="AP7" s="65" t="n">
        <f aca="false">MIN('Capital Expenditure'!AN$20/'Assumption Setting'!$E$218,'Capital Expenditure'!AN$20-AN20)</f>
        <v>250</v>
      </c>
      <c r="AQ7" s="65" t="n">
        <f aca="false">MIN('Capital Expenditure'!AP$20/'Assumption Setting'!$E$218,'Capital Expenditure'!AP$20-AP20)</f>
        <v>333.333333333333</v>
      </c>
      <c r="AR7" s="65" t="n">
        <f aca="false">MIN('Capital Expenditure'!AQ$20/'Assumption Setting'!$E$218,'Capital Expenditure'!AQ$20-AQ20)</f>
        <v>333.333333333333</v>
      </c>
      <c r="AS7" s="65" t="n">
        <f aca="false">MIN('Capital Expenditure'!AR$20/'Assumption Setting'!$E$218,'Capital Expenditure'!AR$20-AR20)</f>
        <v>333.333333333333</v>
      </c>
      <c r="AT7" s="65" t="n">
        <f aca="false">MIN('Capital Expenditure'!AS$20/'Assumption Setting'!$E$218,'Capital Expenditure'!AS$20-AS20)</f>
        <v>333.333333333333</v>
      </c>
      <c r="AU7" s="65" t="n">
        <f aca="false">MIN('Capital Expenditure'!AT$20/'Assumption Setting'!$E$218,'Capital Expenditure'!AT$20-AT20)</f>
        <v>333.333333333333</v>
      </c>
      <c r="AV7" s="65" t="n">
        <f aca="false">MIN('Capital Expenditure'!AU$20/'Assumption Setting'!$E$218,'Capital Expenditure'!AU$20-AU20)</f>
        <v>333.333333333333</v>
      </c>
      <c r="AW7" s="65" t="n">
        <f aca="false">MIN('Capital Expenditure'!AV$20/'Assumption Setting'!$E$218,'Capital Expenditure'!AV$20-AV20)</f>
        <v>333.333333333333</v>
      </c>
      <c r="AX7" s="65" t="n">
        <f aca="false">MIN('Capital Expenditure'!AW$20/'Assumption Setting'!$E$218,'Capital Expenditure'!AW$20-AW20)</f>
        <v>333.333333333333</v>
      </c>
      <c r="AY7" s="65" t="n">
        <f aca="false">MIN('Capital Expenditure'!AX$20/'Assumption Setting'!$E$218,'Capital Expenditure'!AX$20-AX20)</f>
        <v>333.333333333333</v>
      </c>
      <c r="AZ7" s="65" t="n">
        <f aca="false">MIN('Capital Expenditure'!AY$20/'Assumption Setting'!$E$218,'Capital Expenditure'!AY$20-AY20)</f>
        <v>333.333333333333</v>
      </c>
      <c r="BA7" s="65" t="n">
        <f aca="false">MIN('Capital Expenditure'!AZ$20/'Assumption Setting'!$E$218,'Capital Expenditure'!AZ$20-AZ20)</f>
        <v>333.333333333333</v>
      </c>
      <c r="BB7" s="64" t="n">
        <f aca="false">SUM(BC7:BN7)</f>
        <v>4583.33333333334</v>
      </c>
      <c r="BC7" s="65" t="n">
        <f aca="false">MIN('Capital Expenditure'!BA$20/'Assumption Setting'!$E$218,'Capital Expenditure'!BA$20-BA20)</f>
        <v>333.333333333333</v>
      </c>
      <c r="BD7" s="65" t="n">
        <f aca="false">MIN('Capital Expenditure'!BC$20/'Assumption Setting'!$E$218,'Capital Expenditure'!BC$20-BC20)</f>
        <v>416.666666666667</v>
      </c>
      <c r="BE7" s="65" t="n">
        <f aca="false">MIN('Capital Expenditure'!BD$20/'Assumption Setting'!$E$218,'Capital Expenditure'!BD$20-BD20)</f>
        <v>416.666666666667</v>
      </c>
      <c r="BF7" s="65" t="n">
        <f aca="false">MIN('Capital Expenditure'!BE$20/'Assumption Setting'!$E$218,'Capital Expenditure'!BE$20-BE20)</f>
        <v>416.666666666667</v>
      </c>
      <c r="BG7" s="65" t="n">
        <f aca="false">MIN('Capital Expenditure'!BF$20/'Assumption Setting'!$E$218,'Capital Expenditure'!BF$20-BF20)</f>
        <v>416.666666666667</v>
      </c>
      <c r="BH7" s="65" t="n">
        <f aca="false">MIN('Capital Expenditure'!BG$20/'Assumption Setting'!$E$218,'Capital Expenditure'!BG$20-BG20)</f>
        <v>416.666666666667</v>
      </c>
      <c r="BI7" s="65" t="n">
        <f aca="false">MIN('Capital Expenditure'!BH$20/'Assumption Setting'!$E$218,'Capital Expenditure'!BH$20-BH20)</f>
        <v>416.666666666667</v>
      </c>
      <c r="BJ7" s="65" t="n">
        <f aca="false">MIN('Capital Expenditure'!BI$20/'Assumption Setting'!$E$218,'Capital Expenditure'!BI$20-BI20)</f>
        <v>416.666666666667</v>
      </c>
      <c r="BK7" s="65" t="n">
        <f aca="false">MIN('Capital Expenditure'!BJ$20/'Assumption Setting'!$E$218,'Capital Expenditure'!BJ$20-BJ20)</f>
        <v>416.666666666667</v>
      </c>
      <c r="BL7" s="65" t="n">
        <f aca="false">MIN('Capital Expenditure'!BK$20/'Assumption Setting'!$E$218,'Capital Expenditure'!BK$20-BK20)</f>
        <v>416.666666666667</v>
      </c>
      <c r="BM7" s="65" t="n">
        <f aca="false">MIN('Capital Expenditure'!BL$20/'Assumption Setting'!$E$218,'Capital Expenditure'!BL$20-BL20)</f>
        <v>416.666666666667</v>
      </c>
      <c r="BN7" s="65" t="n">
        <f aca="false">MIN('Capital Expenditure'!BM$20/'Assumption Setting'!$E$218,'Capital Expenditure'!BM$20-BM20)</f>
        <v>83.3333333333358</v>
      </c>
    </row>
    <row r="8" customFormat="false" ht="15" hidden="false" customHeight="false" outlineLevel="0" collapsed="false">
      <c r="A8" s="12" t="s">
        <v>468</v>
      </c>
      <c r="B8" s="64" t="n">
        <f aca="false">SUM(C8:N8)</f>
        <v>206.25</v>
      </c>
      <c r="C8" s="65" t="n">
        <f aca="false">0</f>
        <v>0</v>
      </c>
      <c r="D8" s="65" t="n">
        <f aca="false">MIN('Capital Expenditure'!C$21/'Assumption Setting'!$E$219,'Capital Expenditure'!C$21-C21)</f>
        <v>18.75</v>
      </c>
      <c r="E8" s="65" t="n">
        <f aca="false">MIN('Capital Expenditure'!D$21/'Assumption Setting'!$E$219,'Capital Expenditure'!D$21-D21)</f>
        <v>18.75</v>
      </c>
      <c r="F8" s="65" t="n">
        <f aca="false">MIN('Capital Expenditure'!E$21/'Assumption Setting'!$E$219,'Capital Expenditure'!E$21-E21)</f>
        <v>18.75</v>
      </c>
      <c r="G8" s="65" t="n">
        <f aca="false">MIN('Capital Expenditure'!F$21/'Assumption Setting'!$E$219,'Capital Expenditure'!F$21-F21)</f>
        <v>18.75</v>
      </c>
      <c r="H8" s="65" t="n">
        <f aca="false">MIN('Capital Expenditure'!G$21/'Assumption Setting'!$E$219,'Capital Expenditure'!G$21-G21)</f>
        <v>18.75</v>
      </c>
      <c r="I8" s="65" t="n">
        <f aca="false">MIN('Capital Expenditure'!H$21/'Assumption Setting'!$E$219,'Capital Expenditure'!H$21-H21)</f>
        <v>18.75</v>
      </c>
      <c r="J8" s="65" t="n">
        <f aca="false">MIN('Capital Expenditure'!I$21/'Assumption Setting'!$E$219,'Capital Expenditure'!I$21-I21)</f>
        <v>18.75</v>
      </c>
      <c r="K8" s="65" t="n">
        <f aca="false">MIN('Capital Expenditure'!J$21/'Assumption Setting'!$E$219,'Capital Expenditure'!J$21-J21)</f>
        <v>18.75</v>
      </c>
      <c r="L8" s="65" t="n">
        <f aca="false">MIN('Capital Expenditure'!K$21/'Assumption Setting'!$E$219,'Capital Expenditure'!K$21-K21)</f>
        <v>18.75</v>
      </c>
      <c r="M8" s="65" t="n">
        <f aca="false">MIN('Capital Expenditure'!L$21/'Assumption Setting'!$E$219,'Capital Expenditure'!L$21-L21)</f>
        <v>18.75</v>
      </c>
      <c r="N8" s="65" t="n">
        <f aca="false">MIN('Capital Expenditure'!M$21/'Assumption Setting'!$E$219,'Capital Expenditure'!M$21-M21)</f>
        <v>18.75</v>
      </c>
      <c r="O8" s="64" t="n">
        <f aca="false">SUM(P8:AA8)</f>
        <v>328.125</v>
      </c>
      <c r="P8" s="65" t="n">
        <f aca="false">MIN('Capital Expenditure'!N$21/'Assumption Setting'!$E$219,'Capital Expenditure'!N$21-N21)</f>
        <v>18.75</v>
      </c>
      <c r="Q8" s="65" t="n">
        <f aca="false">MIN('Capital Expenditure'!P$21/'Assumption Setting'!$E$219,'Capital Expenditure'!P$21-P21)</f>
        <v>28.125</v>
      </c>
      <c r="R8" s="65" t="n">
        <f aca="false">MIN('Capital Expenditure'!Q$21/'Assumption Setting'!$E$219,'Capital Expenditure'!Q$21-Q21)</f>
        <v>28.125</v>
      </c>
      <c r="S8" s="65" t="n">
        <f aca="false">MIN('Capital Expenditure'!R$21/'Assumption Setting'!$E$219,'Capital Expenditure'!R$21-R21)</f>
        <v>28.125</v>
      </c>
      <c r="T8" s="65" t="n">
        <f aca="false">MIN('Capital Expenditure'!S$21/'Assumption Setting'!$E$219,'Capital Expenditure'!S$21-S21)</f>
        <v>28.125</v>
      </c>
      <c r="U8" s="65" t="n">
        <f aca="false">MIN('Capital Expenditure'!T$21/'Assumption Setting'!$E$219,'Capital Expenditure'!T$21-T21)</f>
        <v>28.125</v>
      </c>
      <c r="V8" s="65" t="n">
        <f aca="false">MIN('Capital Expenditure'!U$21/'Assumption Setting'!$E$219,'Capital Expenditure'!U$21-U21)</f>
        <v>28.125</v>
      </c>
      <c r="W8" s="65" t="n">
        <f aca="false">MIN('Capital Expenditure'!V$21/'Assumption Setting'!$E$219,'Capital Expenditure'!V$21-V21)</f>
        <v>28.125</v>
      </c>
      <c r="X8" s="65" t="n">
        <f aca="false">MIN('Capital Expenditure'!W$21/'Assumption Setting'!$E$219,'Capital Expenditure'!W$21-W21)</f>
        <v>28.125</v>
      </c>
      <c r="Y8" s="65" t="n">
        <f aca="false">MIN('Capital Expenditure'!X$21/'Assumption Setting'!$E$219,'Capital Expenditure'!X$21-X21)</f>
        <v>28.125</v>
      </c>
      <c r="Z8" s="65" t="n">
        <f aca="false">MIN('Capital Expenditure'!Y$21/'Assumption Setting'!$E$219,'Capital Expenditure'!Y$21-Y21)</f>
        <v>28.125</v>
      </c>
      <c r="AA8" s="65" t="n">
        <f aca="false">MIN('Capital Expenditure'!Z$21/'Assumption Setting'!$E$219,'Capital Expenditure'!Z$21-Z21)</f>
        <v>28.125</v>
      </c>
      <c r="AB8" s="64" t="n">
        <f aca="false">SUM(AC8:AN8)</f>
        <v>440.625</v>
      </c>
      <c r="AC8" s="65" t="n">
        <f aca="false">MIN('Capital Expenditure'!AA$21/'Assumption Setting'!$E$219,'Capital Expenditure'!AA$21-AA21)</f>
        <v>28.125</v>
      </c>
      <c r="AD8" s="65" t="n">
        <f aca="false">MIN('Capital Expenditure'!AC$21/'Assumption Setting'!$E$219,'Capital Expenditure'!AC$21-AC21)</f>
        <v>37.5</v>
      </c>
      <c r="AE8" s="65" t="n">
        <f aca="false">MIN('Capital Expenditure'!AD$21/'Assumption Setting'!$E$219,'Capital Expenditure'!AD$21-AD21)</f>
        <v>37.5</v>
      </c>
      <c r="AF8" s="65" t="n">
        <f aca="false">MIN('Capital Expenditure'!AE$21/'Assumption Setting'!$E$219,'Capital Expenditure'!AE$21-AE21)</f>
        <v>37.5</v>
      </c>
      <c r="AG8" s="65" t="n">
        <f aca="false">MIN('Capital Expenditure'!AF$21/'Assumption Setting'!$E$219,'Capital Expenditure'!AF$21-AF21)</f>
        <v>37.5</v>
      </c>
      <c r="AH8" s="65" t="n">
        <f aca="false">MIN('Capital Expenditure'!AG$21/'Assumption Setting'!$E$219,'Capital Expenditure'!AG$21-AG21)</f>
        <v>37.5</v>
      </c>
      <c r="AI8" s="65" t="n">
        <f aca="false">MIN('Capital Expenditure'!AH$21/'Assumption Setting'!$E$219,'Capital Expenditure'!AH$21-AH21)</f>
        <v>37.5</v>
      </c>
      <c r="AJ8" s="65" t="n">
        <f aca="false">MIN('Capital Expenditure'!AI$21/'Assumption Setting'!$E$219,'Capital Expenditure'!AI$21-AI21)</f>
        <v>37.5</v>
      </c>
      <c r="AK8" s="65" t="n">
        <f aca="false">MIN('Capital Expenditure'!AJ$21/'Assumption Setting'!$E$219,'Capital Expenditure'!AJ$21-AJ21)</f>
        <v>37.5</v>
      </c>
      <c r="AL8" s="65" t="n">
        <f aca="false">MIN('Capital Expenditure'!AK$21/'Assumption Setting'!$E$219,'Capital Expenditure'!AK$21-AK21)</f>
        <v>37.5</v>
      </c>
      <c r="AM8" s="65" t="n">
        <f aca="false">MIN('Capital Expenditure'!AL$21/'Assumption Setting'!$E$219,'Capital Expenditure'!AL$21-AL21)</f>
        <v>37.5</v>
      </c>
      <c r="AN8" s="65" t="n">
        <f aca="false">MIN('Capital Expenditure'!AM$21/'Assumption Setting'!$E$219,'Capital Expenditure'!AM$21-AM21)</f>
        <v>37.5</v>
      </c>
      <c r="AO8" s="64" t="n">
        <f aca="false">SUM(AP8:BA8)</f>
        <v>587.5</v>
      </c>
      <c r="AP8" s="65" t="n">
        <f aca="false">MIN('Capital Expenditure'!AN$21/'Assumption Setting'!$E$219,'Capital Expenditure'!AN$21-AN21)</f>
        <v>37.5</v>
      </c>
      <c r="AQ8" s="65" t="n">
        <f aca="false">MIN('Capital Expenditure'!AP$21/'Assumption Setting'!$E$219,'Capital Expenditure'!AP$21-AP21)</f>
        <v>50</v>
      </c>
      <c r="AR8" s="65" t="n">
        <f aca="false">MIN('Capital Expenditure'!AQ$21/'Assumption Setting'!$E$219,'Capital Expenditure'!AQ$21-AQ21)</f>
        <v>50</v>
      </c>
      <c r="AS8" s="65" t="n">
        <f aca="false">MIN('Capital Expenditure'!AR$21/'Assumption Setting'!$E$219,'Capital Expenditure'!AR$21-AR21)</f>
        <v>50</v>
      </c>
      <c r="AT8" s="65" t="n">
        <f aca="false">MIN('Capital Expenditure'!AS$21/'Assumption Setting'!$E$219,'Capital Expenditure'!AS$21-AS21)</f>
        <v>50</v>
      </c>
      <c r="AU8" s="65" t="n">
        <f aca="false">MIN('Capital Expenditure'!AT$21/'Assumption Setting'!$E$219,'Capital Expenditure'!AT$21-AT21)</f>
        <v>50</v>
      </c>
      <c r="AV8" s="65" t="n">
        <f aca="false">MIN('Capital Expenditure'!AU$21/'Assumption Setting'!$E$219,'Capital Expenditure'!AU$21-AU21)</f>
        <v>50</v>
      </c>
      <c r="AW8" s="65" t="n">
        <f aca="false">MIN('Capital Expenditure'!AV$21/'Assumption Setting'!$E$219,'Capital Expenditure'!AV$21-AV21)</f>
        <v>50</v>
      </c>
      <c r="AX8" s="65" t="n">
        <f aca="false">MIN('Capital Expenditure'!AW$21/'Assumption Setting'!$E$219,'Capital Expenditure'!AW$21-AW21)</f>
        <v>50</v>
      </c>
      <c r="AY8" s="65" t="n">
        <f aca="false">MIN('Capital Expenditure'!AX$21/'Assumption Setting'!$E$219,'Capital Expenditure'!AX$21-AX21)</f>
        <v>50</v>
      </c>
      <c r="AZ8" s="65" t="n">
        <f aca="false">MIN('Capital Expenditure'!AY$21/'Assumption Setting'!$E$219,'Capital Expenditure'!AY$21-AY21)</f>
        <v>50</v>
      </c>
      <c r="BA8" s="65" t="n">
        <f aca="false">MIN('Capital Expenditure'!AZ$21/'Assumption Setting'!$E$219,'Capital Expenditure'!AZ$21-AZ21)</f>
        <v>50</v>
      </c>
      <c r="BB8" s="64" t="n">
        <f aca="false">SUM(BC8:BN8)</f>
        <v>737.5</v>
      </c>
      <c r="BC8" s="65" t="n">
        <f aca="false">MIN('Capital Expenditure'!BA$21/'Assumption Setting'!$E$219,'Capital Expenditure'!BA$21-BA21)</f>
        <v>50</v>
      </c>
      <c r="BD8" s="65" t="n">
        <f aca="false">MIN('Capital Expenditure'!BC$21/'Assumption Setting'!$E$219,'Capital Expenditure'!BC$21-BC21)</f>
        <v>62.5</v>
      </c>
      <c r="BE8" s="65" t="n">
        <f aca="false">MIN('Capital Expenditure'!BD$21/'Assumption Setting'!$E$219,'Capital Expenditure'!BD$21-BD21)</f>
        <v>62.5</v>
      </c>
      <c r="BF8" s="65" t="n">
        <f aca="false">MIN('Capital Expenditure'!BE$21/'Assumption Setting'!$E$219,'Capital Expenditure'!BE$21-BE21)</f>
        <v>62.5</v>
      </c>
      <c r="BG8" s="65" t="n">
        <f aca="false">MIN('Capital Expenditure'!BF$21/'Assumption Setting'!$E$219,'Capital Expenditure'!BF$21-BF21)</f>
        <v>62.5</v>
      </c>
      <c r="BH8" s="65" t="n">
        <f aca="false">MIN('Capital Expenditure'!BG$21/'Assumption Setting'!$E$219,'Capital Expenditure'!BG$21-BG21)</f>
        <v>62.5</v>
      </c>
      <c r="BI8" s="65" t="n">
        <f aca="false">MIN('Capital Expenditure'!BH$21/'Assumption Setting'!$E$219,'Capital Expenditure'!BH$21-BH21)</f>
        <v>62.5</v>
      </c>
      <c r="BJ8" s="65" t="n">
        <f aca="false">MIN('Capital Expenditure'!BI$21/'Assumption Setting'!$E$219,'Capital Expenditure'!BI$21-BI21)</f>
        <v>62.5</v>
      </c>
      <c r="BK8" s="65" t="n">
        <f aca="false">MIN('Capital Expenditure'!BJ$21/'Assumption Setting'!$E$219,'Capital Expenditure'!BJ$21-BJ21)</f>
        <v>62.5</v>
      </c>
      <c r="BL8" s="65" t="n">
        <f aca="false">MIN('Capital Expenditure'!BK$21/'Assumption Setting'!$E$219,'Capital Expenditure'!BK$21-BK21)</f>
        <v>62.5</v>
      </c>
      <c r="BM8" s="65" t="n">
        <f aca="false">MIN('Capital Expenditure'!BL$21/'Assumption Setting'!$E$219,'Capital Expenditure'!BL$21-BL21)</f>
        <v>62.5</v>
      </c>
      <c r="BN8" s="65" t="n">
        <f aca="false">MIN('Capital Expenditure'!BM$21/'Assumption Setting'!$E$219,'Capital Expenditure'!BM$21-BM21)</f>
        <v>62.5</v>
      </c>
    </row>
    <row r="9" customFormat="false" ht="15" hidden="false" customHeight="false" outlineLevel="0" collapsed="false">
      <c r="A9" s="12" t="s">
        <v>469</v>
      </c>
      <c r="B9" s="64" t="n">
        <f aca="false">SUM(C9:N9)</f>
        <v>495</v>
      </c>
      <c r="C9" s="65" t="n">
        <f aca="false">0</f>
        <v>0</v>
      </c>
      <c r="D9" s="65" t="n">
        <f aca="false">MIN('Capital Expenditure'!C$22/'Assumption Setting'!$E$220,'Capital Expenditure'!C$22-C22)</f>
        <v>45</v>
      </c>
      <c r="E9" s="65" t="n">
        <f aca="false">MIN('Capital Expenditure'!D$22/'Assumption Setting'!$E$220,'Capital Expenditure'!D$22-D22)</f>
        <v>45</v>
      </c>
      <c r="F9" s="65" t="n">
        <f aca="false">MIN('Capital Expenditure'!E$22/'Assumption Setting'!$E$220,'Capital Expenditure'!E$22-E22)</f>
        <v>45</v>
      </c>
      <c r="G9" s="65" t="n">
        <f aca="false">MIN('Capital Expenditure'!F$22/'Assumption Setting'!$E$220,'Capital Expenditure'!F$22-F22)</f>
        <v>45</v>
      </c>
      <c r="H9" s="65" t="n">
        <f aca="false">MIN('Capital Expenditure'!G$22/'Assumption Setting'!$E$220,'Capital Expenditure'!G$22-G22)</f>
        <v>45</v>
      </c>
      <c r="I9" s="65" t="n">
        <f aca="false">MIN('Capital Expenditure'!H$22/'Assumption Setting'!$E$220,'Capital Expenditure'!H$22-H22)</f>
        <v>45</v>
      </c>
      <c r="J9" s="65" t="n">
        <f aca="false">MIN('Capital Expenditure'!I$22/'Assumption Setting'!$E$220,'Capital Expenditure'!I$22-I22)</f>
        <v>45</v>
      </c>
      <c r="K9" s="65" t="n">
        <f aca="false">MIN('Capital Expenditure'!J$22/'Assumption Setting'!$E$220,'Capital Expenditure'!J$22-J22)</f>
        <v>45</v>
      </c>
      <c r="L9" s="65" t="n">
        <f aca="false">MIN('Capital Expenditure'!K$22/'Assumption Setting'!$E$220,'Capital Expenditure'!K$22-K22)</f>
        <v>45</v>
      </c>
      <c r="M9" s="65" t="n">
        <f aca="false">MIN('Capital Expenditure'!L$22/'Assumption Setting'!$E$220,'Capital Expenditure'!L$22-L22)</f>
        <v>45</v>
      </c>
      <c r="N9" s="65" t="n">
        <f aca="false">MIN('Capital Expenditure'!M$22/'Assumption Setting'!$E$220,'Capital Expenditure'!M$22-M22)</f>
        <v>45</v>
      </c>
      <c r="O9" s="64" t="n">
        <f aca="false">SUM(P9:AA9)</f>
        <v>787.5</v>
      </c>
      <c r="P9" s="65" t="n">
        <f aca="false">MIN('Capital Expenditure'!N$22/'Assumption Setting'!$E$220,'Capital Expenditure'!N$22-N22)</f>
        <v>45</v>
      </c>
      <c r="Q9" s="65" t="n">
        <f aca="false">MIN('Capital Expenditure'!P$22/'Assumption Setting'!$E$220,'Capital Expenditure'!P$22-P22)</f>
        <v>67.5</v>
      </c>
      <c r="R9" s="65" t="n">
        <f aca="false">MIN('Capital Expenditure'!Q$22/'Assumption Setting'!$E$220,'Capital Expenditure'!Q$22-Q22)</f>
        <v>67.5</v>
      </c>
      <c r="S9" s="65" t="n">
        <f aca="false">MIN('Capital Expenditure'!R$22/'Assumption Setting'!$E$220,'Capital Expenditure'!R$22-R22)</f>
        <v>67.5</v>
      </c>
      <c r="T9" s="65" t="n">
        <f aca="false">MIN('Capital Expenditure'!S$22/'Assumption Setting'!$E$220,'Capital Expenditure'!S$22-S22)</f>
        <v>67.5</v>
      </c>
      <c r="U9" s="65" t="n">
        <f aca="false">MIN('Capital Expenditure'!T$22/'Assumption Setting'!$E$220,'Capital Expenditure'!T$22-T22)</f>
        <v>67.5</v>
      </c>
      <c r="V9" s="65" t="n">
        <f aca="false">MIN('Capital Expenditure'!U$22/'Assumption Setting'!$E$220,'Capital Expenditure'!U$22-U22)</f>
        <v>67.5</v>
      </c>
      <c r="W9" s="65" t="n">
        <f aca="false">MIN('Capital Expenditure'!V$22/'Assumption Setting'!$E$220,'Capital Expenditure'!V$22-V22)</f>
        <v>67.5</v>
      </c>
      <c r="X9" s="65" t="n">
        <f aca="false">MIN('Capital Expenditure'!W$22/'Assumption Setting'!$E$220,'Capital Expenditure'!W$22-W22)</f>
        <v>67.5</v>
      </c>
      <c r="Y9" s="65" t="n">
        <f aca="false">MIN('Capital Expenditure'!X$22/'Assumption Setting'!$E$220,'Capital Expenditure'!X$22-X22)</f>
        <v>67.5</v>
      </c>
      <c r="Z9" s="65" t="n">
        <f aca="false">MIN('Capital Expenditure'!Y$22/'Assumption Setting'!$E$220,'Capital Expenditure'!Y$22-Y22)</f>
        <v>67.5</v>
      </c>
      <c r="AA9" s="65" t="n">
        <f aca="false">MIN('Capital Expenditure'!Z$22/'Assumption Setting'!$E$220,'Capital Expenditure'!Z$22-Z22)</f>
        <v>67.5</v>
      </c>
      <c r="AB9" s="64" t="n">
        <f aca="false">SUM(AC9:AN9)</f>
        <v>877.5</v>
      </c>
      <c r="AC9" s="65" t="n">
        <f aca="false">MIN('Capital Expenditure'!AA$22/'Assumption Setting'!$E$220,'Capital Expenditure'!AA$22-AA22)</f>
        <v>67.5</v>
      </c>
      <c r="AD9" s="65" t="n">
        <f aca="false">MIN('Capital Expenditure'!AC$22/'Assumption Setting'!$E$220,'Capital Expenditure'!AC$22-AC22)</f>
        <v>90</v>
      </c>
      <c r="AE9" s="65" t="n">
        <f aca="false">MIN('Capital Expenditure'!AD$22/'Assumption Setting'!$E$220,'Capital Expenditure'!AD$22-AD22)</f>
        <v>90</v>
      </c>
      <c r="AF9" s="65" t="n">
        <f aca="false">MIN('Capital Expenditure'!AE$22/'Assumption Setting'!$E$220,'Capital Expenditure'!AE$22-AE22)</f>
        <v>90</v>
      </c>
      <c r="AG9" s="65" t="n">
        <f aca="false">MIN('Capital Expenditure'!AF$22/'Assumption Setting'!$E$220,'Capital Expenditure'!AF$22-AF22)</f>
        <v>90</v>
      </c>
      <c r="AH9" s="65" t="n">
        <f aca="false">MIN('Capital Expenditure'!AG$22/'Assumption Setting'!$E$220,'Capital Expenditure'!AG$22-AG22)</f>
        <v>90</v>
      </c>
      <c r="AI9" s="65" t="n">
        <f aca="false">MIN('Capital Expenditure'!AH$22/'Assumption Setting'!$E$220,'Capital Expenditure'!AH$22-AH22)</f>
        <v>90</v>
      </c>
      <c r="AJ9" s="65" t="n">
        <f aca="false">MIN('Capital Expenditure'!AI$22/'Assumption Setting'!$E$220,'Capital Expenditure'!AI$22-AI22)</f>
        <v>90</v>
      </c>
      <c r="AK9" s="65" t="n">
        <f aca="false">MIN('Capital Expenditure'!AJ$22/'Assumption Setting'!$E$220,'Capital Expenditure'!AJ$22-AJ22)</f>
        <v>90</v>
      </c>
      <c r="AL9" s="65" t="n">
        <f aca="false">MIN('Capital Expenditure'!AK$22/'Assumption Setting'!$E$220,'Capital Expenditure'!AK$22-AK22)</f>
        <v>90</v>
      </c>
      <c r="AM9" s="65" t="n">
        <f aca="false">MIN('Capital Expenditure'!AL$22/'Assumption Setting'!$E$220,'Capital Expenditure'!AL$22-AL22)</f>
        <v>0</v>
      </c>
      <c r="AN9" s="65" t="n">
        <f aca="false">MIN('Capital Expenditure'!AM$22/'Assumption Setting'!$E$220,'Capital Expenditure'!AM$22-AM22)</f>
        <v>0</v>
      </c>
      <c r="AO9" s="64" t="n">
        <f aca="false">SUM(AP9:BA9)</f>
        <v>720</v>
      </c>
      <c r="AP9" s="65" t="n">
        <f aca="false">MIN('Capital Expenditure'!AN$22/'Assumption Setting'!$E$220,'Capital Expenditure'!AN$22-AN22)</f>
        <v>0</v>
      </c>
      <c r="AQ9" s="65" t="n">
        <f aca="false">MIN('Capital Expenditure'!AP$22/'Assumption Setting'!$E$220,'Capital Expenditure'!AP$22-AP22)</f>
        <v>120</v>
      </c>
      <c r="AR9" s="65" t="n">
        <f aca="false">MIN('Capital Expenditure'!AQ$22/'Assumption Setting'!$E$220,'Capital Expenditure'!AQ$22-AQ22)</f>
        <v>120</v>
      </c>
      <c r="AS9" s="65" t="n">
        <f aca="false">MIN('Capital Expenditure'!AR$22/'Assumption Setting'!$E$220,'Capital Expenditure'!AR$22-AR22)</f>
        <v>120</v>
      </c>
      <c r="AT9" s="65" t="n">
        <f aca="false">MIN('Capital Expenditure'!AS$22/'Assumption Setting'!$E$220,'Capital Expenditure'!AS$22-AS22)</f>
        <v>120</v>
      </c>
      <c r="AU9" s="65" t="n">
        <f aca="false">MIN('Capital Expenditure'!AT$22/'Assumption Setting'!$E$220,'Capital Expenditure'!AT$22-AT22)</f>
        <v>120</v>
      </c>
      <c r="AV9" s="65" t="n">
        <f aca="false">MIN('Capital Expenditure'!AU$22/'Assumption Setting'!$E$220,'Capital Expenditure'!AU$22-AU22)</f>
        <v>120</v>
      </c>
      <c r="AW9" s="65" t="n">
        <f aca="false">MIN('Capital Expenditure'!AV$22/'Assumption Setting'!$E$220,'Capital Expenditure'!AV$22-AV22)</f>
        <v>0</v>
      </c>
      <c r="AX9" s="65" t="n">
        <f aca="false">MIN('Capital Expenditure'!AW$22/'Assumption Setting'!$E$220,'Capital Expenditure'!AW$22-AW22)</f>
        <v>0</v>
      </c>
      <c r="AY9" s="65" t="n">
        <f aca="false">MIN('Capital Expenditure'!AX$22/'Assumption Setting'!$E$220,'Capital Expenditure'!AX$22-AX22)</f>
        <v>0</v>
      </c>
      <c r="AZ9" s="65" t="n">
        <f aca="false">MIN('Capital Expenditure'!AY$22/'Assumption Setting'!$E$220,'Capital Expenditure'!AY$22-AY22)</f>
        <v>0</v>
      </c>
      <c r="BA9" s="65" t="n">
        <f aca="false">MIN('Capital Expenditure'!AZ$22/'Assumption Setting'!$E$220,'Capital Expenditure'!AZ$22-AZ22)</f>
        <v>0</v>
      </c>
      <c r="BB9" s="64" t="n">
        <f aca="false">SUM(BC9:BN9)</f>
        <v>720</v>
      </c>
      <c r="BC9" s="65" t="n">
        <f aca="false">MIN('Capital Expenditure'!BA$22/'Assumption Setting'!$E$220,'Capital Expenditure'!BA$22-BA22)</f>
        <v>0</v>
      </c>
      <c r="BD9" s="65" t="n">
        <f aca="false">MIN('Capital Expenditure'!BC$22/'Assumption Setting'!$E$220,'Capital Expenditure'!BC$22-BC22)</f>
        <v>150</v>
      </c>
      <c r="BE9" s="65" t="n">
        <f aca="false">MIN('Capital Expenditure'!BD$22/'Assumption Setting'!$E$220,'Capital Expenditure'!BD$22-BD22)</f>
        <v>150</v>
      </c>
      <c r="BF9" s="65" t="n">
        <f aca="false">MIN('Capital Expenditure'!BE$22/'Assumption Setting'!$E$220,'Capital Expenditure'!BE$22-BE22)</f>
        <v>150</v>
      </c>
      <c r="BG9" s="65" t="n">
        <f aca="false">MIN('Capital Expenditure'!BF$22/'Assumption Setting'!$E$220,'Capital Expenditure'!BF$22-BF22)</f>
        <v>150</v>
      </c>
      <c r="BH9" s="65" t="n">
        <f aca="false">MIN('Capital Expenditure'!BG$22/'Assumption Setting'!$E$220,'Capital Expenditure'!BG$22-BG22)</f>
        <v>120</v>
      </c>
      <c r="BI9" s="65" t="n">
        <f aca="false">MIN('Capital Expenditure'!BH$22/'Assumption Setting'!$E$220,'Capital Expenditure'!BH$22-BH22)</f>
        <v>0</v>
      </c>
      <c r="BJ9" s="65" t="n">
        <f aca="false">MIN('Capital Expenditure'!BI$22/'Assumption Setting'!$E$220,'Capital Expenditure'!BI$22-BI22)</f>
        <v>0</v>
      </c>
      <c r="BK9" s="65" t="n">
        <f aca="false">MIN('Capital Expenditure'!BJ$22/'Assumption Setting'!$E$220,'Capital Expenditure'!BJ$22-BJ22)</f>
        <v>0</v>
      </c>
      <c r="BL9" s="65" t="n">
        <f aca="false">MIN('Capital Expenditure'!BK$22/'Assumption Setting'!$E$220,'Capital Expenditure'!BK$22-BK22)</f>
        <v>0</v>
      </c>
      <c r="BM9" s="65" t="n">
        <f aca="false">MIN('Capital Expenditure'!BL$22/'Assumption Setting'!$E$220,'Capital Expenditure'!BL$22-BL22)</f>
        <v>0</v>
      </c>
      <c r="BN9" s="65" t="n">
        <f aca="false">MIN('Capital Expenditure'!BM$22/'Assumption Setting'!$E$220,'Capital Expenditure'!BM$22-BM22)</f>
        <v>0</v>
      </c>
    </row>
    <row r="10" customFormat="false" ht="15" hidden="false" customHeight="false" outlineLevel="0" collapsed="false">
      <c r="A10" s="12" t="s">
        <v>470</v>
      </c>
      <c r="B10" s="64" t="n">
        <f aca="false">SUM(C10:N10)</f>
        <v>0</v>
      </c>
      <c r="C10" s="65" t="n">
        <f aca="false">0</f>
        <v>0</v>
      </c>
      <c r="D10" s="65" t="n">
        <f aca="false">MIN('Capital Expenditure'!C$23/'Assumption Setting'!$E$221,'Capital Expenditure'!C$23-C23)</f>
        <v>0</v>
      </c>
      <c r="E10" s="65" t="n">
        <f aca="false">MIN('Capital Expenditure'!D$23/'Assumption Setting'!$E$221,'Capital Expenditure'!D$23-D23)</f>
        <v>0</v>
      </c>
      <c r="F10" s="65" t="n">
        <f aca="false">MIN('Capital Expenditure'!E$23/'Assumption Setting'!$E$221,'Capital Expenditure'!E$23-E23)</f>
        <v>0</v>
      </c>
      <c r="G10" s="65" t="n">
        <f aca="false">MIN('Capital Expenditure'!F$23/'Assumption Setting'!$E$221,'Capital Expenditure'!F$23-F23)</f>
        <v>0</v>
      </c>
      <c r="H10" s="65" t="n">
        <f aca="false">MIN('Capital Expenditure'!G$23/'Assumption Setting'!$E$221,'Capital Expenditure'!G$23-G23)</f>
        <v>0</v>
      </c>
      <c r="I10" s="65" t="n">
        <f aca="false">MIN('Capital Expenditure'!H$23/'Assumption Setting'!$E$221,'Capital Expenditure'!H$23-H23)</f>
        <v>0</v>
      </c>
      <c r="J10" s="65" t="n">
        <f aca="false">MIN('Capital Expenditure'!I$23/'Assumption Setting'!$E$221,'Capital Expenditure'!I$23-I23)</f>
        <v>0</v>
      </c>
      <c r="K10" s="65" t="n">
        <f aca="false">MIN('Capital Expenditure'!J$23/'Assumption Setting'!$E$221,'Capital Expenditure'!J$23-J23)</f>
        <v>0</v>
      </c>
      <c r="L10" s="65" t="n">
        <f aca="false">MIN('Capital Expenditure'!K$23/'Assumption Setting'!$E$221,'Capital Expenditure'!K$23-K23)</f>
        <v>0</v>
      </c>
      <c r="M10" s="65" t="n">
        <f aca="false">MIN('Capital Expenditure'!L$23/'Assumption Setting'!$E$221,'Capital Expenditure'!L$23-L23)</f>
        <v>0</v>
      </c>
      <c r="N10" s="65" t="n">
        <f aca="false">MIN('Capital Expenditure'!M$23/'Assumption Setting'!$E$221,'Capital Expenditure'!M$23-M23)</f>
        <v>0</v>
      </c>
      <c r="O10" s="64" t="n">
        <f aca="false">SUM(P10:AA10)</f>
        <v>0</v>
      </c>
      <c r="P10" s="65" t="n">
        <f aca="false">MIN('Capital Expenditure'!N$23/'Assumption Setting'!$E$221,'Capital Expenditure'!N$23-N23)</f>
        <v>0</v>
      </c>
      <c r="Q10" s="65" t="n">
        <f aca="false">MIN('Capital Expenditure'!P$23/'Assumption Setting'!$E$221,'Capital Expenditure'!P$23-P23)</f>
        <v>0</v>
      </c>
      <c r="R10" s="65" t="n">
        <f aca="false">MIN('Capital Expenditure'!Q$23/'Assumption Setting'!$E$221,'Capital Expenditure'!Q$23-Q23)</f>
        <v>0</v>
      </c>
      <c r="S10" s="65" t="n">
        <f aca="false">MIN('Capital Expenditure'!R$23/'Assumption Setting'!$E$221,'Capital Expenditure'!R$23-R23)</f>
        <v>0</v>
      </c>
      <c r="T10" s="65" t="n">
        <f aca="false">MIN('Capital Expenditure'!S$23/'Assumption Setting'!$E$221,'Capital Expenditure'!S$23-S23)</f>
        <v>0</v>
      </c>
      <c r="U10" s="65" t="n">
        <f aca="false">MIN('Capital Expenditure'!T$23/'Assumption Setting'!$E$221,'Capital Expenditure'!T$23-T23)</f>
        <v>0</v>
      </c>
      <c r="V10" s="65" t="n">
        <f aca="false">MIN('Capital Expenditure'!U$23/'Assumption Setting'!$E$221,'Capital Expenditure'!U$23-U23)</f>
        <v>0</v>
      </c>
      <c r="W10" s="65" t="n">
        <f aca="false">MIN('Capital Expenditure'!V$23/'Assumption Setting'!$E$221,'Capital Expenditure'!V$23-V23)</f>
        <v>0</v>
      </c>
      <c r="X10" s="65" t="n">
        <f aca="false">MIN('Capital Expenditure'!W$23/'Assumption Setting'!$E$221,'Capital Expenditure'!W$23-W23)</f>
        <v>0</v>
      </c>
      <c r="Y10" s="65" t="n">
        <f aca="false">MIN('Capital Expenditure'!X$23/'Assumption Setting'!$E$221,'Capital Expenditure'!X$23-X23)</f>
        <v>0</v>
      </c>
      <c r="Z10" s="65" t="n">
        <f aca="false">MIN('Capital Expenditure'!Y$23/'Assumption Setting'!$E$221,'Capital Expenditure'!Y$23-Y23)</f>
        <v>0</v>
      </c>
      <c r="AA10" s="65" t="n">
        <f aca="false">MIN('Capital Expenditure'!Z$23/'Assumption Setting'!$E$221,'Capital Expenditure'!Z$23-Z23)</f>
        <v>0</v>
      </c>
      <c r="AB10" s="64" t="n">
        <f aca="false">SUM(AC10:AN10)</f>
        <v>0</v>
      </c>
      <c r="AC10" s="65" t="n">
        <f aca="false">MIN('Capital Expenditure'!AA$23/'Assumption Setting'!$E$221,'Capital Expenditure'!AA$23-AA23)</f>
        <v>0</v>
      </c>
      <c r="AD10" s="65" t="n">
        <f aca="false">MIN('Capital Expenditure'!AC$23/'Assumption Setting'!$E$221,'Capital Expenditure'!AC$23-AC23)</f>
        <v>0</v>
      </c>
      <c r="AE10" s="65" t="n">
        <f aca="false">MIN('Capital Expenditure'!AD$23/'Assumption Setting'!$E$221,'Capital Expenditure'!AD$23-AD23)</f>
        <v>0</v>
      </c>
      <c r="AF10" s="65" t="n">
        <f aca="false">MIN('Capital Expenditure'!AE$23/'Assumption Setting'!$E$221,'Capital Expenditure'!AE$23-AE23)</f>
        <v>0</v>
      </c>
      <c r="AG10" s="65" t="n">
        <f aca="false">MIN('Capital Expenditure'!AF$23/'Assumption Setting'!$E$221,'Capital Expenditure'!AF$23-AF23)</f>
        <v>0</v>
      </c>
      <c r="AH10" s="65" t="n">
        <f aca="false">MIN('Capital Expenditure'!AG$23/'Assumption Setting'!$E$221,'Capital Expenditure'!AG$23-AG23)</f>
        <v>0</v>
      </c>
      <c r="AI10" s="65" t="n">
        <f aca="false">MIN('Capital Expenditure'!AH$23/'Assumption Setting'!$E$221,'Capital Expenditure'!AH$23-AH23)</f>
        <v>0</v>
      </c>
      <c r="AJ10" s="65" t="n">
        <f aca="false">MIN('Capital Expenditure'!AI$23/'Assumption Setting'!$E$221,'Capital Expenditure'!AI$23-AI23)</f>
        <v>0</v>
      </c>
      <c r="AK10" s="65" t="n">
        <f aca="false">MIN('Capital Expenditure'!AJ$23/'Assumption Setting'!$E$221,'Capital Expenditure'!AJ$23-AJ23)</f>
        <v>0</v>
      </c>
      <c r="AL10" s="65" t="n">
        <f aca="false">MIN('Capital Expenditure'!AK$23/'Assumption Setting'!$E$221,'Capital Expenditure'!AK$23-AK23)</f>
        <v>0</v>
      </c>
      <c r="AM10" s="65" t="n">
        <f aca="false">MIN('Capital Expenditure'!AL$23/'Assumption Setting'!$E$221,'Capital Expenditure'!AL$23-AL23)</f>
        <v>0</v>
      </c>
      <c r="AN10" s="65" t="n">
        <f aca="false">MIN('Capital Expenditure'!AM$23/'Assumption Setting'!$E$221,'Capital Expenditure'!AM$23-AM23)</f>
        <v>0</v>
      </c>
      <c r="AO10" s="64" t="n">
        <f aca="false">SUM(AP10:BA10)</f>
        <v>0</v>
      </c>
      <c r="AP10" s="65" t="n">
        <f aca="false">MIN('Capital Expenditure'!AN$23/'Assumption Setting'!$E$221,'Capital Expenditure'!AN$23-AN23)</f>
        <v>0</v>
      </c>
      <c r="AQ10" s="65" t="n">
        <f aca="false">MIN('Capital Expenditure'!AP$23/'Assumption Setting'!$E$221,'Capital Expenditure'!AP$23-AP23)</f>
        <v>0</v>
      </c>
      <c r="AR10" s="65" t="n">
        <f aca="false">MIN('Capital Expenditure'!AQ$23/'Assumption Setting'!$E$221,'Capital Expenditure'!AQ$23-AQ23)</f>
        <v>0</v>
      </c>
      <c r="AS10" s="65" t="n">
        <f aca="false">MIN('Capital Expenditure'!AR$23/'Assumption Setting'!$E$221,'Capital Expenditure'!AR$23-AR23)</f>
        <v>0</v>
      </c>
      <c r="AT10" s="65" t="n">
        <f aca="false">MIN('Capital Expenditure'!AS$23/'Assumption Setting'!$E$221,'Capital Expenditure'!AS$23-AS23)</f>
        <v>0</v>
      </c>
      <c r="AU10" s="65" t="n">
        <f aca="false">MIN('Capital Expenditure'!AT$23/'Assumption Setting'!$E$221,'Capital Expenditure'!AT$23-AT23)</f>
        <v>0</v>
      </c>
      <c r="AV10" s="65" t="n">
        <f aca="false">MIN('Capital Expenditure'!AU$23/'Assumption Setting'!$E$221,'Capital Expenditure'!AU$23-AU23)</f>
        <v>0</v>
      </c>
      <c r="AW10" s="65" t="n">
        <f aca="false">MIN('Capital Expenditure'!AV$23/'Assumption Setting'!$E$221,'Capital Expenditure'!AV$23-AV23)</f>
        <v>0</v>
      </c>
      <c r="AX10" s="65" t="n">
        <f aca="false">MIN('Capital Expenditure'!AW$23/'Assumption Setting'!$E$221,'Capital Expenditure'!AW$23-AW23)</f>
        <v>0</v>
      </c>
      <c r="AY10" s="65" t="n">
        <f aca="false">MIN('Capital Expenditure'!AX$23/'Assumption Setting'!$E$221,'Capital Expenditure'!AX$23-AX23)</f>
        <v>0</v>
      </c>
      <c r="AZ10" s="65" t="n">
        <f aca="false">MIN('Capital Expenditure'!AY$23/'Assumption Setting'!$E$221,'Capital Expenditure'!AY$23-AY23)</f>
        <v>0</v>
      </c>
      <c r="BA10" s="65" t="n">
        <f aca="false">MIN('Capital Expenditure'!AZ$23/'Assumption Setting'!$E$221,'Capital Expenditure'!AZ$23-AZ23)</f>
        <v>0</v>
      </c>
      <c r="BB10" s="64" t="n">
        <f aca="false">SUM(BC10:BN10)</f>
        <v>0</v>
      </c>
      <c r="BC10" s="65" t="n">
        <f aca="false">MIN('Capital Expenditure'!BA$23/'Assumption Setting'!$E$221,'Capital Expenditure'!BA$23-BA23)</f>
        <v>0</v>
      </c>
      <c r="BD10" s="65" t="n">
        <f aca="false">MIN('Capital Expenditure'!BC$23/'Assumption Setting'!$E$221,'Capital Expenditure'!BC$23-BC23)</f>
        <v>0</v>
      </c>
      <c r="BE10" s="65" t="n">
        <f aca="false">MIN('Capital Expenditure'!BD$23/'Assumption Setting'!$E$221,'Capital Expenditure'!BD$23-BD23)</f>
        <v>0</v>
      </c>
      <c r="BF10" s="65" t="n">
        <f aca="false">MIN('Capital Expenditure'!BE$23/'Assumption Setting'!$E$221,'Capital Expenditure'!BE$23-BE23)</f>
        <v>0</v>
      </c>
      <c r="BG10" s="65" t="n">
        <f aca="false">MIN('Capital Expenditure'!BF$23/'Assumption Setting'!$E$221,'Capital Expenditure'!BF$23-BF23)</f>
        <v>0</v>
      </c>
      <c r="BH10" s="65" t="n">
        <f aca="false">MIN('Capital Expenditure'!BG$23/'Assumption Setting'!$E$221,'Capital Expenditure'!BG$23-BG23)</f>
        <v>0</v>
      </c>
      <c r="BI10" s="65" t="n">
        <f aca="false">MIN('Capital Expenditure'!BH$23/'Assumption Setting'!$E$221,'Capital Expenditure'!BH$23-BH23)</f>
        <v>0</v>
      </c>
      <c r="BJ10" s="65" t="n">
        <f aca="false">MIN('Capital Expenditure'!BI$23/'Assumption Setting'!$E$221,'Capital Expenditure'!BI$23-BI23)</f>
        <v>0</v>
      </c>
      <c r="BK10" s="65" t="n">
        <f aca="false">MIN('Capital Expenditure'!BJ$23/'Assumption Setting'!$E$221,'Capital Expenditure'!BJ$23-BJ23)</f>
        <v>0</v>
      </c>
      <c r="BL10" s="65" t="n">
        <f aca="false">MIN('Capital Expenditure'!BK$23/'Assumption Setting'!$E$221,'Capital Expenditure'!BK$23-BK23)</f>
        <v>0</v>
      </c>
      <c r="BM10" s="65" t="n">
        <f aca="false">MIN('Capital Expenditure'!BL$23/'Assumption Setting'!$E$221,'Capital Expenditure'!BL$23-BL23)</f>
        <v>0</v>
      </c>
      <c r="BN10" s="65" t="n">
        <f aca="false">MIN('Capital Expenditure'!BM$23/'Assumption Setting'!$E$221,'Capital Expenditure'!BM$23-BM23)</f>
        <v>0</v>
      </c>
    </row>
    <row r="11" customFormat="false" ht="15" hidden="false" customHeight="false" outlineLevel="0" collapsed="false">
      <c r="A11" s="12" t="s">
        <v>474</v>
      </c>
      <c r="B11" s="64" t="n">
        <f aca="false">SUM(C11:N11)</f>
        <v>458.333333333333</v>
      </c>
      <c r="C11" s="65" t="n">
        <f aca="false">0</f>
        <v>0</v>
      </c>
      <c r="D11" s="65" t="n">
        <f aca="false">MIN('Capital Expenditure'!C$24/'Assumption Setting'!$E$224,'Capital Expenditure'!C$24-C24)</f>
        <v>0</v>
      </c>
      <c r="E11" s="65" t="n">
        <f aca="false">MIN('Capital Expenditure'!D$24/'Assumption Setting'!$E$224,'Capital Expenditure'!D$24-D24)</f>
        <v>45.8333333333333</v>
      </c>
      <c r="F11" s="65" t="n">
        <f aca="false">MIN('Capital Expenditure'!E$24/'Assumption Setting'!$E$224,'Capital Expenditure'!E$24-E24)</f>
        <v>45.8333333333333</v>
      </c>
      <c r="G11" s="65" t="n">
        <f aca="false">MIN('Capital Expenditure'!F$24/'Assumption Setting'!$E$224,'Capital Expenditure'!F$24-F24)</f>
        <v>45.8333333333333</v>
      </c>
      <c r="H11" s="65" t="n">
        <f aca="false">MIN('Capital Expenditure'!G$24/'Assumption Setting'!$E$224,'Capital Expenditure'!G$24-G24)</f>
        <v>45.8333333333333</v>
      </c>
      <c r="I11" s="65" t="n">
        <f aca="false">MIN('Capital Expenditure'!H$24/'Assumption Setting'!$E$224,'Capital Expenditure'!H$24-H24)</f>
        <v>45.8333333333333</v>
      </c>
      <c r="J11" s="65" t="n">
        <f aca="false">MIN('Capital Expenditure'!I$24/'Assumption Setting'!$E$224,'Capital Expenditure'!I$24-I24)</f>
        <v>45.8333333333333</v>
      </c>
      <c r="K11" s="65" t="n">
        <f aca="false">MIN('Capital Expenditure'!J$24/'Assumption Setting'!$E$224,'Capital Expenditure'!J$24-J24)</f>
        <v>45.8333333333333</v>
      </c>
      <c r="L11" s="65" t="n">
        <f aca="false">MIN('Capital Expenditure'!K$24/'Assumption Setting'!$E$224,'Capital Expenditure'!K$24-K24)</f>
        <v>45.8333333333333</v>
      </c>
      <c r="M11" s="65" t="n">
        <f aca="false">MIN('Capital Expenditure'!L$24/'Assumption Setting'!$E$224,'Capital Expenditure'!L$24-L24)</f>
        <v>45.8333333333333</v>
      </c>
      <c r="N11" s="65" t="n">
        <f aca="false">MIN('Capital Expenditure'!M$24/'Assumption Setting'!$E$224,'Capital Expenditure'!M$24-M24)</f>
        <v>45.8333333333333</v>
      </c>
      <c r="O11" s="64" t="n">
        <f aca="false">SUM(P11:AA11)</f>
        <v>550</v>
      </c>
      <c r="P11" s="65" t="n">
        <f aca="false">MIN('Capital Expenditure'!N$24/'Assumption Setting'!$E$224,'Capital Expenditure'!N$24-N24)</f>
        <v>45.8333333333333</v>
      </c>
      <c r="Q11" s="65" t="n">
        <f aca="false">MIN('Capital Expenditure'!P$24/'Assumption Setting'!$E$224,'Capital Expenditure'!P$24-P24)</f>
        <v>45.8333333333333</v>
      </c>
      <c r="R11" s="65" t="n">
        <f aca="false">MIN('Capital Expenditure'!Q$24/'Assumption Setting'!$E$224,'Capital Expenditure'!Q$24-Q24)</f>
        <v>45.8333333333333</v>
      </c>
      <c r="S11" s="65" t="n">
        <f aca="false">MIN('Capital Expenditure'!R$24/'Assumption Setting'!$E$224,'Capital Expenditure'!R$24-R24)</f>
        <v>45.8333333333333</v>
      </c>
      <c r="T11" s="65" t="n">
        <f aca="false">MIN('Capital Expenditure'!S$24/'Assumption Setting'!$E$224,'Capital Expenditure'!S$24-S24)</f>
        <v>45.8333333333333</v>
      </c>
      <c r="U11" s="65" t="n">
        <f aca="false">MIN('Capital Expenditure'!T$24/'Assumption Setting'!$E$224,'Capital Expenditure'!T$24-T24)</f>
        <v>45.8333333333333</v>
      </c>
      <c r="V11" s="65" t="n">
        <f aca="false">MIN('Capital Expenditure'!U$24/'Assumption Setting'!$E$224,'Capital Expenditure'!U$24-U24)</f>
        <v>45.8333333333333</v>
      </c>
      <c r="W11" s="65" t="n">
        <f aca="false">MIN('Capital Expenditure'!V$24/'Assumption Setting'!$E$224,'Capital Expenditure'!V$24-V24)</f>
        <v>45.8333333333333</v>
      </c>
      <c r="X11" s="65" t="n">
        <f aca="false">MIN('Capital Expenditure'!W$24/'Assumption Setting'!$E$224,'Capital Expenditure'!W$24-W24)</f>
        <v>45.8333333333333</v>
      </c>
      <c r="Y11" s="65" t="n">
        <f aca="false">MIN('Capital Expenditure'!X$24/'Assumption Setting'!$E$224,'Capital Expenditure'!X$24-X24)</f>
        <v>45.8333333333333</v>
      </c>
      <c r="Z11" s="65" t="n">
        <f aca="false">MIN('Capital Expenditure'!Y$24/'Assumption Setting'!$E$224,'Capital Expenditure'!Y$24-Y24)</f>
        <v>45.8333333333333</v>
      </c>
      <c r="AA11" s="65" t="n">
        <f aca="false">MIN('Capital Expenditure'!Z$24/'Assumption Setting'!$E$224,'Capital Expenditure'!Z$24-Z24)</f>
        <v>45.8333333333333</v>
      </c>
      <c r="AB11" s="64" t="n">
        <f aca="false">SUM(AC11:AN11)</f>
        <v>550</v>
      </c>
      <c r="AC11" s="65" t="n">
        <f aca="false">MIN('Capital Expenditure'!AA$24/'Assumption Setting'!$E$224,'Capital Expenditure'!AA$24-AA24)</f>
        <v>45.8333333333333</v>
      </c>
      <c r="AD11" s="65" t="n">
        <f aca="false">MIN('Capital Expenditure'!AC$24/'Assumption Setting'!$E$224,'Capital Expenditure'!AC$24-AC24)</f>
        <v>45.8333333333333</v>
      </c>
      <c r="AE11" s="65" t="n">
        <f aca="false">MIN('Capital Expenditure'!AD$24/'Assumption Setting'!$E$224,'Capital Expenditure'!AD$24-AD24)</f>
        <v>45.8333333333333</v>
      </c>
      <c r="AF11" s="65" t="n">
        <f aca="false">MIN('Capital Expenditure'!AE$24/'Assumption Setting'!$E$224,'Capital Expenditure'!AE$24-AE24)</f>
        <v>45.8333333333333</v>
      </c>
      <c r="AG11" s="65" t="n">
        <f aca="false">MIN('Capital Expenditure'!AF$24/'Assumption Setting'!$E$224,'Capital Expenditure'!AF$24-AF24)</f>
        <v>45.8333333333333</v>
      </c>
      <c r="AH11" s="65" t="n">
        <f aca="false">MIN('Capital Expenditure'!AG$24/'Assumption Setting'!$E$224,'Capital Expenditure'!AG$24-AG24)</f>
        <v>45.8333333333333</v>
      </c>
      <c r="AI11" s="65" t="n">
        <f aca="false">MIN('Capital Expenditure'!AH$24/'Assumption Setting'!$E$224,'Capital Expenditure'!AH$24-AH24)</f>
        <v>45.8333333333333</v>
      </c>
      <c r="AJ11" s="65" t="n">
        <f aca="false">MIN('Capital Expenditure'!AI$24/'Assumption Setting'!$E$224,'Capital Expenditure'!AI$24-AI24)</f>
        <v>45.8333333333333</v>
      </c>
      <c r="AK11" s="65" t="n">
        <f aca="false">MIN('Capital Expenditure'!AJ$24/'Assumption Setting'!$E$224,'Capital Expenditure'!AJ$24-AJ24)</f>
        <v>45.8333333333333</v>
      </c>
      <c r="AL11" s="65" t="n">
        <f aca="false">MIN('Capital Expenditure'!AK$24/'Assumption Setting'!$E$224,'Capital Expenditure'!AK$24-AK24)</f>
        <v>45.8333333333333</v>
      </c>
      <c r="AM11" s="65" t="n">
        <f aca="false">MIN('Capital Expenditure'!AL$24/'Assumption Setting'!$E$224,'Capital Expenditure'!AL$24-AL24)</f>
        <v>45.8333333333333</v>
      </c>
      <c r="AN11" s="65" t="n">
        <f aca="false">MIN('Capital Expenditure'!AM$24/'Assumption Setting'!$E$224,'Capital Expenditure'!AM$24-AM24)</f>
        <v>45.8333333333333</v>
      </c>
      <c r="AO11" s="64" t="n">
        <f aca="false">SUM(AP11:BA11)</f>
        <v>550</v>
      </c>
      <c r="AP11" s="65" t="n">
        <f aca="false">MIN('Capital Expenditure'!AN$24/'Assumption Setting'!$E$224,'Capital Expenditure'!AN$24-AN24)</f>
        <v>45.8333333333333</v>
      </c>
      <c r="AQ11" s="65" t="n">
        <f aca="false">MIN('Capital Expenditure'!AP$24/'Assumption Setting'!$E$224,'Capital Expenditure'!AP$24-AP24)</f>
        <v>45.8333333333333</v>
      </c>
      <c r="AR11" s="65" t="n">
        <f aca="false">MIN('Capital Expenditure'!AQ$24/'Assumption Setting'!$E$224,'Capital Expenditure'!AQ$24-AQ24)</f>
        <v>45.8333333333333</v>
      </c>
      <c r="AS11" s="65" t="n">
        <f aca="false">MIN('Capital Expenditure'!AR$24/'Assumption Setting'!$E$224,'Capital Expenditure'!AR$24-AR24)</f>
        <v>45.8333333333333</v>
      </c>
      <c r="AT11" s="65" t="n">
        <f aca="false">MIN('Capital Expenditure'!AS$24/'Assumption Setting'!$E$224,'Capital Expenditure'!AS$24-AS24)</f>
        <v>45.8333333333333</v>
      </c>
      <c r="AU11" s="65" t="n">
        <f aca="false">MIN('Capital Expenditure'!AT$24/'Assumption Setting'!$E$224,'Capital Expenditure'!AT$24-AT24)</f>
        <v>45.8333333333333</v>
      </c>
      <c r="AV11" s="65" t="n">
        <f aca="false">MIN('Capital Expenditure'!AU$24/'Assumption Setting'!$E$224,'Capital Expenditure'!AU$24-AU24)</f>
        <v>45.8333333333333</v>
      </c>
      <c r="AW11" s="65" t="n">
        <f aca="false">MIN('Capital Expenditure'!AV$24/'Assumption Setting'!$E$224,'Capital Expenditure'!AV$24-AV24)</f>
        <v>45.8333333333333</v>
      </c>
      <c r="AX11" s="65" t="n">
        <f aca="false">MIN('Capital Expenditure'!AW$24/'Assumption Setting'!$E$224,'Capital Expenditure'!AW$24-AW24)</f>
        <v>45.8333333333333</v>
      </c>
      <c r="AY11" s="65" t="n">
        <f aca="false">MIN('Capital Expenditure'!AX$24/'Assumption Setting'!$E$224,'Capital Expenditure'!AX$24-AX24)</f>
        <v>45.8333333333333</v>
      </c>
      <c r="AZ11" s="65" t="n">
        <f aca="false">MIN('Capital Expenditure'!AY$24/'Assumption Setting'!$E$224,'Capital Expenditure'!AY$24-AY24)</f>
        <v>45.8333333333333</v>
      </c>
      <c r="BA11" s="65" t="n">
        <f aca="false">MIN('Capital Expenditure'!AZ$24/'Assumption Setting'!$E$224,'Capital Expenditure'!AZ$24-AZ24)</f>
        <v>45.8333333333333</v>
      </c>
      <c r="BB11" s="64" t="n">
        <f aca="false">SUM(BC11:BN11)</f>
        <v>91.6666666666667</v>
      </c>
      <c r="BC11" s="65" t="n">
        <f aca="false">MIN('Capital Expenditure'!BA$24/'Assumption Setting'!$E$224,'Capital Expenditure'!BA$24-BA24)</f>
        <v>45.8333333333333</v>
      </c>
      <c r="BD11" s="65" t="n">
        <f aca="false">MIN('Capital Expenditure'!BC$24/'Assumption Setting'!$E$224,'Capital Expenditure'!BC$24-BC24)</f>
        <v>45.8333333333333</v>
      </c>
      <c r="BE11" s="65" t="n">
        <f aca="false">MIN('Capital Expenditure'!BD$24/'Assumption Setting'!$E$224,'Capital Expenditure'!BD$24-BD24)</f>
        <v>0</v>
      </c>
      <c r="BF11" s="65" t="n">
        <f aca="false">MIN('Capital Expenditure'!BE$24/'Assumption Setting'!$E$224,'Capital Expenditure'!BE$24-BE24)</f>
        <v>0</v>
      </c>
      <c r="BG11" s="65" t="n">
        <f aca="false">MIN('Capital Expenditure'!BF$24/'Assumption Setting'!$E$224,'Capital Expenditure'!BF$24-BF24)</f>
        <v>0</v>
      </c>
      <c r="BH11" s="65" t="n">
        <f aca="false">MIN('Capital Expenditure'!BG$24/'Assumption Setting'!$E$224,'Capital Expenditure'!BG$24-BG24)</f>
        <v>0</v>
      </c>
      <c r="BI11" s="65" t="n">
        <f aca="false">MIN('Capital Expenditure'!BH$24/'Assumption Setting'!$E$224,'Capital Expenditure'!BH$24-BH24)</f>
        <v>0</v>
      </c>
      <c r="BJ11" s="65" t="n">
        <f aca="false">MIN('Capital Expenditure'!BI$24/'Assumption Setting'!$E$224,'Capital Expenditure'!BI$24-BI24)</f>
        <v>0</v>
      </c>
      <c r="BK11" s="65" t="n">
        <f aca="false">MIN('Capital Expenditure'!BJ$24/'Assumption Setting'!$E$224,'Capital Expenditure'!BJ$24-BJ24)</f>
        <v>0</v>
      </c>
      <c r="BL11" s="65" t="n">
        <f aca="false">MIN('Capital Expenditure'!BK$24/'Assumption Setting'!$E$224,'Capital Expenditure'!BK$24-BK24)</f>
        <v>0</v>
      </c>
      <c r="BM11" s="65" t="n">
        <f aca="false">MIN('Capital Expenditure'!BL$24/'Assumption Setting'!$E$224,'Capital Expenditure'!BL$24-BL24)</f>
        <v>0</v>
      </c>
      <c r="BN11" s="65" t="n">
        <f aca="false">MIN('Capital Expenditure'!BM$24/'Assumption Setting'!$E$224,'Capital Expenditure'!BM$24-BM24)</f>
        <v>0</v>
      </c>
    </row>
    <row r="12" customFormat="false" ht="15" hidden="false" customHeight="false" outlineLevel="0" collapsed="false">
      <c r="A12" s="12" t="s">
        <v>475</v>
      </c>
      <c r="B12" s="64" t="n">
        <f aca="false">SUM(C12:N12)</f>
        <v>137.5</v>
      </c>
      <c r="C12" s="65" t="n">
        <f aca="false">0</f>
        <v>0</v>
      </c>
      <c r="D12" s="65" t="n">
        <f aca="false">MIN('Capital Expenditure'!C$25/'Assumption Setting'!$E$225,'Capital Expenditure'!C$25-C25)</f>
        <v>12.5</v>
      </c>
      <c r="E12" s="65" t="n">
        <f aca="false">MIN('Capital Expenditure'!D$25/'Assumption Setting'!$E$225,'Capital Expenditure'!D$25-D25)</f>
        <v>12.5</v>
      </c>
      <c r="F12" s="65" t="n">
        <f aca="false">MIN('Capital Expenditure'!E$25/'Assumption Setting'!$E$225,'Capital Expenditure'!E$25-E25)</f>
        <v>12.5</v>
      </c>
      <c r="G12" s="65" t="n">
        <f aca="false">MIN('Capital Expenditure'!F$25/'Assumption Setting'!$E$225,'Capital Expenditure'!F$25-F25)</f>
        <v>12.5</v>
      </c>
      <c r="H12" s="65" t="n">
        <f aca="false">MIN('Capital Expenditure'!G$25/'Assumption Setting'!$E$225,'Capital Expenditure'!G$25-G25)</f>
        <v>12.5</v>
      </c>
      <c r="I12" s="65" t="n">
        <f aca="false">MIN('Capital Expenditure'!H$25/'Assumption Setting'!$E$225,'Capital Expenditure'!H$25-H25)</f>
        <v>12.5</v>
      </c>
      <c r="J12" s="65" t="n">
        <f aca="false">MIN('Capital Expenditure'!I$25/'Assumption Setting'!$E$225,'Capital Expenditure'!I$25-I25)</f>
        <v>12.5</v>
      </c>
      <c r="K12" s="65" t="n">
        <f aca="false">MIN('Capital Expenditure'!J$25/'Assumption Setting'!$E$225,'Capital Expenditure'!J$25-J25)</f>
        <v>12.5</v>
      </c>
      <c r="L12" s="65" t="n">
        <f aca="false">MIN('Capital Expenditure'!K$25/'Assumption Setting'!$E$225,'Capital Expenditure'!K$25-K25)</f>
        <v>12.5</v>
      </c>
      <c r="M12" s="65" t="n">
        <f aca="false">MIN('Capital Expenditure'!L$25/'Assumption Setting'!$E$225,'Capital Expenditure'!L$25-L25)</f>
        <v>12.5</v>
      </c>
      <c r="N12" s="65" t="n">
        <f aca="false">MIN('Capital Expenditure'!M$25/'Assumption Setting'!$E$225,'Capital Expenditure'!M$25-M25)</f>
        <v>12.5</v>
      </c>
      <c r="O12" s="64" t="n">
        <f aca="false">SUM(P12:AA12)</f>
        <v>150</v>
      </c>
      <c r="P12" s="65" t="n">
        <f aca="false">MIN('Capital Expenditure'!N$25/'Assumption Setting'!$E$225,'Capital Expenditure'!N$25-N25)</f>
        <v>12.5</v>
      </c>
      <c r="Q12" s="65" t="n">
        <f aca="false">MIN('Capital Expenditure'!P$25/'Assumption Setting'!$E$225,'Capital Expenditure'!P$25-P25)</f>
        <v>12.5</v>
      </c>
      <c r="R12" s="65" t="n">
        <f aca="false">MIN('Capital Expenditure'!Q$25/'Assumption Setting'!$E$225,'Capital Expenditure'!Q$25-Q25)</f>
        <v>12.5</v>
      </c>
      <c r="S12" s="65" t="n">
        <f aca="false">MIN('Capital Expenditure'!R$25/'Assumption Setting'!$E$225,'Capital Expenditure'!R$25-R25)</f>
        <v>12.5</v>
      </c>
      <c r="T12" s="65" t="n">
        <f aca="false">MIN('Capital Expenditure'!S$25/'Assumption Setting'!$E$225,'Capital Expenditure'!S$25-S25)</f>
        <v>12.5</v>
      </c>
      <c r="U12" s="65" t="n">
        <f aca="false">MIN('Capital Expenditure'!T$25/'Assumption Setting'!$E$225,'Capital Expenditure'!T$25-T25)</f>
        <v>12.5</v>
      </c>
      <c r="V12" s="65" t="n">
        <f aca="false">MIN('Capital Expenditure'!U$25/'Assumption Setting'!$E$225,'Capital Expenditure'!U$25-U25)</f>
        <v>12.5</v>
      </c>
      <c r="W12" s="65" t="n">
        <f aca="false">MIN('Capital Expenditure'!V$25/'Assumption Setting'!$E$225,'Capital Expenditure'!V$25-V25)</f>
        <v>12.5</v>
      </c>
      <c r="X12" s="65" t="n">
        <f aca="false">MIN('Capital Expenditure'!W$25/'Assumption Setting'!$E$225,'Capital Expenditure'!W$25-W25)</f>
        <v>12.5</v>
      </c>
      <c r="Y12" s="65" t="n">
        <f aca="false">MIN('Capital Expenditure'!X$25/'Assumption Setting'!$E$225,'Capital Expenditure'!X$25-X25)</f>
        <v>12.5</v>
      </c>
      <c r="Z12" s="65" t="n">
        <f aca="false">MIN('Capital Expenditure'!Y$25/'Assumption Setting'!$E$225,'Capital Expenditure'!Y$25-Y25)</f>
        <v>12.5</v>
      </c>
      <c r="AA12" s="65" t="n">
        <f aca="false">MIN('Capital Expenditure'!Z$25/'Assumption Setting'!$E$225,'Capital Expenditure'!Z$25-Z25)</f>
        <v>12.5</v>
      </c>
      <c r="AB12" s="64" t="n">
        <f aca="false">SUM(AC12:AN12)</f>
        <v>150</v>
      </c>
      <c r="AC12" s="65" t="n">
        <f aca="false">MIN('Capital Expenditure'!AA$25/'Assumption Setting'!$E$225,'Capital Expenditure'!AA$25-AA25)</f>
        <v>12.5</v>
      </c>
      <c r="AD12" s="65" t="n">
        <f aca="false">MIN('Capital Expenditure'!AC$25/'Assumption Setting'!$E$225,'Capital Expenditure'!AC$25-AC25)</f>
        <v>12.5</v>
      </c>
      <c r="AE12" s="65" t="n">
        <f aca="false">MIN('Capital Expenditure'!AD$25/'Assumption Setting'!$E$225,'Capital Expenditure'!AD$25-AD25)</f>
        <v>12.5</v>
      </c>
      <c r="AF12" s="65" t="n">
        <f aca="false">MIN('Capital Expenditure'!AE$25/'Assumption Setting'!$E$225,'Capital Expenditure'!AE$25-AE25)</f>
        <v>12.5</v>
      </c>
      <c r="AG12" s="65" t="n">
        <f aca="false">MIN('Capital Expenditure'!AF$25/'Assumption Setting'!$E$225,'Capital Expenditure'!AF$25-AF25)</f>
        <v>12.5</v>
      </c>
      <c r="AH12" s="65" t="n">
        <f aca="false">MIN('Capital Expenditure'!AG$25/'Assumption Setting'!$E$225,'Capital Expenditure'!AG$25-AG25)</f>
        <v>12.5</v>
      </c>
      <c r="AI12" s="65" t="n">
        <f aca="false">MIN('Capital Expenditure'!AH$25/'Assumption Setting'!$E$225,'Capital Expenditure'!AH$25-AH25)</f>
        <v>12.5</v>
      </c>
      <c r="AJ12" s="65" t="n">
        <f aca="false">MIN('Capital Expenditure'!AI$25/'Assumption Setting'!$E$225,'Capital Expenditure'!AI$25-AI25)</f>
        <v>12.5</v>
      </c>
      <c r="AK12" s="65" t="n">
        <f aca="false">MIN('Capital Expenditure'!AJ$25/'Assumption Setting'!$E$225,'Capital Expenditure'!AJ$25-AJ25)</f>
        <v>12.5</v>
      </c>
      <c r="AL12" s="65" t="n">
        <f aca="false">MIN('Capital Expenditure'!AK$25/'Assumption Setting'!$E$225,'Capital Expenditure'!AK$25-AK25)</f>
        <v>12.5</v>
      </c>
      <c r="AM12" s="65" t="n">
        <f aca="false">MIN('Capital Expenditure'!AL$25/'Assumption Setting'!$E$225,'Capital Expenditure'!AL$25-AL25)</f>
        <v>12.5</v>
      </c>
      <c r="AN12" s="65" t="n">
        <f aca="false">MIN('Capital Expenditure'!AM$25/'Assumption Setting'!$E$225,'Capital Expenditure'!AM$25-AM25)</f>
        <v>12.5</v>
      </c>
      <c r="AO12" s="64" t="n">
        <f aca="false">SUM(AP12:BA12)</f>
        <v>150</v>
      </c>
      <c r="AP12" s="65" t="n">
        <f aca="false">MIN('Capital Expenditure'!AN$25/'Assumption Setting'!$E$225,'Capital Expenditure'!AN$25-AN25)</f>
        <v>12.5</v>
      </c>
      <c r="AQ12" s="65" t="n">
        <f aca="false">MIN('Capital Expenditure'!AP$25/'Assumption Setting'!$E$225,'Capital Expenditure'!AP$25-AP25)</f>
        <v>12.5</v>
      </c>
      <c r="AR12" s="65" t="n">
        <f aca="false">MIN('Capital Expenditure'!AQ$25/'Assumption Setting'!$E$225,'Capital Expenditure'!AQ$25-AQ25)</f>
        <v>12.5</v>
      </c>
      <c r="AS12" s="65" t="n">
        <f aca="false">MIN('Capital Expenditure'!AR$25/'Assumption Setting'!$E$225,'Capital Expenditure'!AR$25-AR25)</f>
        <v>12.5</v>
      </c>
      <c r="AT12" s="65" t="n">
        <f aca="false">MIN('Capital Expenditure'!AS$25/'Assumption Setting'!$E$225,'Capital Expenditure'!AS$25-AS25)</f>
        <v>12.5</v>
      </c>
      <c r="AU12" s="65" t="n">
        <f aca="false">MIN('Capital Expenditure'!AT$25/'Assumption Setting'!$E$225,'Capital Expenditure'!AT$25-AT25)</f>
        <v>12.5</v>
      </c>
      <c r="AV12" s="65" t="n">
        <f aca="false">MIN('Capital Expenditure'!AU$25/'Assumption Setting'!$E$225,'Capital Expenditure'!AU$25-AU25)</f>
        <v>12.5</v>
      </c>
      <c r="AW12" s="65" t="n">
        <f aca="false">MIN('Capital Expenditure'!AV$25/'Assumption Setting'!$E$225,'Capital Expenditure'!AV$25-AV25)</f>
        <v>12.5</v>
      </c>
      <c r="AX12" s="65" t="n">
        <f aca="false">MIN('Capital Expenditure'!AW$25/'Assumption Setting'!$E$225,'Capital Expenditure'!AW$25-AW25)</f>
        <v>12.5</v>
      </c>
      <c r="AY12" s="65" t="n">
        <f aca="false">MIN('Capital Expenditure'!AX$25/'Assumption Setting'!$E$225,'Capital Expenditure'!AX$25-AX25)</f>
        <v>12.5</v>
      </c>
      <c r="AZ12" s="65" t="n">
        <f aca="false">MIN('Capital Expenditure'!AY$25/'Assumption Setting'!$E$225,'Capital Expenditure'!AY$25-AY25)</f>
        <v>12.5</v>
      </c>
      <c r="BA12" s="65" t="n">
        <f aca="false">MIN('Capital Expenditure'!AZ$25/'Assumption Setting'!$E$225,'Capital Expenditure'!AZ$25-AZ25)</f>
        <v>12.5</v>
      </c>
      <c r="BB12" s="64" t="n">
        <f aca="false">SUM(BC12:BN12)</f>
        <v>12.5</v>
      </c>
      <c r="BC12" s="65" t="n">
        <f aca="false">MIN('Capital Expenditure'!BA$25/'Assumption Setting'!$E$225,'Capital Expenditure'!BA$25-BA25)</f>
        <v>12.5</v>
      </c>
      <c r="BD12" s="65" t="n">
        <f aca="false">MIN('Capital Expenditure'!BC$25/'Assumption Setting'!$E$225,'Capital Expenditure'!BC$25-BC25)</f>
        <v>0</v>
      </c>
      <c r="BE12" s="65" t="n">
        <f aca="false">MIN('Capital Expenditure'!BD$25/'Assumption Setting'!$E$225,'Capital Expenditure'!BD$25-BD25)</f>
        <v>0</v>
      </c>
      <c r="BF12" s="65" t="n">
        <f aca="false">MIN('Capital Expenditure'!BE$25/'Assumption Setting'!$E$225,'Capital Expenditure'!BE$25-BE25)</f>
        <v>0</v>
      </c>
      <c r="BG12" s="65" t="n">
        <f aca="false">MIN('Capital Expenditure'!BF$25/'Assumption Setting'!$E$225,'Capital Expenditure'!BF$25-BF25)</f>
        <v>0</v>
      </c>
      <c r="BH12" s="65" t="n">
        <f aca="false">MIN('Capital Expenditure'!BG$25/'Assumption Setting'!$E$225,'Capital Expenditure'!BG$25-BG25)</f>
        <v>0</v>
      </c>
      <c r="BI12" s="65" t="n">
        <f aca="false">MIN('Capital Expenditure'!BH$25/'Assumption Setting'!$E$225,'Capital Expenditure'!BH$25-BH25)</f>
        <v>0</v>
      </c>
      <c r="BJ12" s="65" t="n">
        <f aca="false">MIN('Capital Expenditure'!BI$25/'Assumption Setting'!$E$225,'Capital Expenditure'!BI$25-BI25)</f>
        <v>0</v>
      </c>
      <c r="BK12" s="65" t="n">
        <f aca="false">MIN('Capital Expenditure'!BJ$25/'Assumption Setting'!$E$225,'Capital Expenditure'!BJ$25-BJ25)</f>
        <v>0</v>
      </c>
      <c r="BL12" s="65" t="n">
        <f aca="false">MIN('Capital Expenditure'!BK$25/'Assumption Setting'!$E$225,'Capital Expenditure'!BK$25-BK25)</f>
        <v>0</v>
      </c>
      <c r="BM12" s="65" t="n">
        <f aca="false">MIN('Capital Expenditure'!BL$25/'Assumption Setting'!$E$225,'Capital Expenditure'!BL$25-BL25)</f>
        <v>0</v>
      </c>
      <c r="BN12" s="65" t="n">
        <f aca="false">MIN('Capital Expenditure'!BM$25/'Assumption Setting'!$E$225,'Capital Expenditure'!BM$25-BM25)</f>
        <v>0</v>
      </c>
    </row>
    <row r="13" customFormat="false" ht="15" hidden="false" customHeight="false" outlineLevel="0" collapsed="false">
      <c r="A13" s="12" t="s">
        <v>476</v>
      </c>
      <c r="B13" s="64" t="n">
        <f aca="false">SUM(C13:N13)</f>
        <v>550</v>
      </c>
      <c r="C13" s="65" t="n">
        <f aca="false">0</f>
        <v>0</v>
      </c>
      <c r="D13" s="65" t="n">
        <f aca="false">MIN('Capital Expenditure'!C$26/'Assumption Setting'!$E$226,'Capital Expenditure'!C$26-C26)</f>
        <v>50</v>
      </c>
      <c r="E13" s="65" t="n">
        <f aca="false">MIN('Capital Expenditure'!D$26/'Assumption Setting'!$E$226,'Capital Expenditure'!D$26-D26)</f>
        <v>50</v>
      </c>
      <c r="F13" s="65" t="n">
        <f aca="false">MIN('Capital Expenditure'!E$26/'Assumption Setting'!$E$226,'Capital Expenditure'!E$26-E26)</f>
        <v>50</v>
      </c>
      <c r="G13" s="65" t="n">
        <f aca="false">MIN('Capital Expenditure'!F$26/'Assumption Setting'!$E$226,'Capital Expenditure'!F$26-F26)</f>
        <v>50</v>
      </c>
      <c r="H13" s="65" t="n">
        <f aca="false">MIN('Capital Expenditure'!G$26/'Assumption Setting'!$E$226,'Capital Expenditure'!G$26-G26)</f>
        <v>50</v>
      </c>
      <c r="I13" s="65" t="n">
        <f aca="false">MIN('Capital Expenditure'!H$26/'Assumption Setting'!$E$226,'Capital Expenditure'!H$26-H26)</f>
        <v>50</v>
      </c>
      <c r="J13" s="65" t="n">
        <f aca="false">MIN('Capital Expenditure'!I$26/'Assumption Setting'!$E$226,'Capital Expenditure'!I$26-I26)</f>
        <v>50</v>
      </c>
      <c r="K13" s="65" t="n">
        <f aca="false">MIN('Capital Expenditure'!J$26/'Assumption Setting'!$E$226,'Capital Expenditure'!J$26-J26)</f>
        <v>50</v>
      </c>
      <c r="L13" s="65" t="n">
        <f aca="false">MIN('Capital Expenditure'!K$26/'Assumption Setting'!$E$226,'Capital Expenditure'!K$26-K26)</f>
        <v>50</v>
      </c>
      <c r="M13" s="65" t="n">
        <f aca="false">MIN('Capital Expenditure'!L$26/'Assumption Setting'!$E$226,'Capital Expenditure'!L$26-L26)</f>
        <v>50</v>
      </c>
      <c r="N13" s="65" t="n">
        <f aca="false">MIN('Capital Expenditure'!M$26/'Assumption Setting'!$E$226,'Capital Expenditure'!M$26-M26)</f>
        <v>50</v>
      </c>
      <c r="O13" s="64" t="n">
        <f aca="false">SUM(P13:AA13)</f>
        <v>600</v>
      </c>
      <c r="P13" s="65" t="n">
        <f aca="false">MIN('Capital Expenditure'!N$26/'Assumption Setting'!$E$226,'Capital Expenditure'!N$26-N26)</f>
        <v>50</v>
      </c>
      <c r="Q13" s="65" t="n">
        <f aca="false">MIN('Capital Expenditure'!P$26/'Assumption Setting'!$E$226,'Capital Expenditure'!P$26-P26)</f>
        <v>50</v>
      </c>
      <c r="R13" s="65" t="n">
        <f aca="false">MIN('Capital Expenditure'!Q$26/'Assumption Setting'!$E$226,'Capital Expenditure'!Q$26-Q26)</f>
        <v>50</v>
      </c>
      <c r="S13" s="65" t="n">
        <f aca="false">MIN('Capital Expenditure'!R$26/'Assumption Setting'!$E$226,'Capital Expenditure'!R$26-R26)</f>
        <v>50</v>
      </c>
      <c r="T13" s="65" t="n">
        <f aca="false">MIN('Capital Expenditure'!S$26/'Assumption Setting'!$E$226,'Capital Expenditure'!S$26-S26)</f>
        <v>50</v>
      </c>
      <c r="U13" s="65" t="n">
        <f aca="false">MIN('Capital Expenditure'!T$26/'Assumption Setting'!$E$226,'Capital Expenditure'!T$26-T26)</f>
        <v>50</v>
      </c>
      <c r="V13" s="65" t="n">
        <f aca="false">MIN('Capital Expenditure'!U$26/'Assumption Setting'!$E$226,'Capital Expenditure'!U$26-U26)</f>
        <v>50</v>
      </c>
      <c r="W13" s="65" t="n">
        <f aca="false">MIN('Capital Expenditure'!V$26/'Assumption Setting'!$E$226,'Capital Expenditure'!V$26-V26)</f>
        <v>50</v>
      </c>
      <c r="X13" s="65" t="n">
        <f aca="false">MIN('Capital Expenditure'!W$26/'Assumption Setting'!$E$226,'Capital Expenditure'!W$26-W26)</f>
        <v>50</v>
      </c>
      <c r="Y13" s="65" t="n">
        <f aca="false">MIN('Capital Expenditure'!X$26/'Assumption Setting'!$E$226,'Capital Expenditure'!X$26-X26)</f>
        <v>50</v>
      </c>
      <c r="Z13" s="65" t="n">
        <f aca="false">MIN('Capital Expenditure'!Y$26/'Assumption Setting'!$E$226,'Capital Expenditure'!Y$26-Y26)</f>
        <v>50</v>
      </c>
      <c r="AA13" s="65" t="n">
        <f aca="false">MIN('Capital Expenditure'!Z$26/'Assumption Setting'!$E$226,'Capital Expenditure'!Z$26-Z26)</f>
        <v>50</v>
      </c>
      <c r="AB13" s="64" t="n">
        <f aca="false">SUM(AC13:AN13)</f>
        <v>600</v>
      </c>
      <c r="AC13" s="65" t="n">
        <f aca="false">MIN('Capital Expenditure'!AA$26/'Assumption Setting'!$E$226,'Capital Expenditure'!AA$26-AA26)</f>
        <v>50</v>
      </c>
      <c r="AD13" s="65" t="n">
        <f aca="false">MIN('Capital Expenditure'!AC$26/'Assumption Setting'!$E$226,'Capital Expenditure'!AC$26-AC26)</f>
        <v>50</v>
      </c>
      <c r="AE13" s="65" t="n">
        <f aca="false">MIN('Capital Expenditure'!AD$26/'Assumption Setting'!$E$226,'Capital Expenditure'!AD$26-AD26)</f>
        <v>50</v>
      </c>
      <c r="AF13" s="65" t="n">
        <f aca="false">MIN('Capital Expenditure'!AE$26/'Assumption Setting'!$E$226,'Capital Expenditure'!AE$26-AE26)</f>
        <v>50</v>
      </c>
      <c r="AG13" s="65" t="n">
        <f aca="false">MIN('Capital Expenditure'!AF$26/'Assumption Setting'!$E$226,'Capital Expenditure'!AF$26-AF26)</f>
        <v>50</v>
      </c>
      <c r="AH13" s="65" t="n">
        <f aca="false">MIN('Capital Expenditure'!AG$26/'Assumption Setting'!$E$226,'Capital Expenditure'!AG$26-AG26)</f>
        <v>50</v>
      </c>
      <c r="AI13" s="65" t="n">
        <f aca="false">MIN('Capital Expenditure'!AH$26/'Assumption Setting'!$E$226,'Capital Expenditure'!AH$26-AH26)</f>
        <v>50</v>
      </c>
      <c r="AJ13" s="65" t="n">
        <f aca="false">MIN('Capital Expenditure'!AI$26/'Assumption Setting'!$E$226,'Capital Expenditure'!AI$26-AI26)</f>
        <v>50</v>
      </c>
      <c r="AK13" s="65" t="n">
        <f aca="false">MIN('Capital Expenditure'!AJ$26/'Assumption Setting'!$E$226,'Capital Expenditure'!AJ$26-AJ26)</f>
        <v>50</v>
      </c>
      <c r="AL13" s="65" t="n">
        <f aca="false">MIN('Capital Expenditure'!AK$26/'Assumption Setting'!$E$226,'Capital Expenditure'!AK$26-AK26)</f>
        <v>50</v>
      </c>
      <c r="AM13" s="65" t="n">
        <f aca="false">MIN('Capital Expenditure'!AL$26/'Assumption Setting'!$E$226,'Capital Expenditure'!AL$26-AL26)</f>
        <v>50</v>
      </c>
      <c r="AN13" s="65" t="n">
        <f aca="false">MIN('Capital Expenditure'!AM$26/'Assumption Setting'!$E$226,'Capital Expenditure'!AM$26-AM26)</f>
        <v>50</v>
      </c>
      <c r="AO13" s="64" t="n">
        <f aca="false">SUM(AP13:BA13)</f>
        <v>600</v>
      </c>
      <c r="AP13" s="65" t="n">
        <f aca="false">MIN('Capital Expenditure'!AN$26/'Assumption Setting'!$E$226,'Capital Expenditure'!AN$26-AN26)</f>
        <v>50</v>
      </c>
      <c r="AQ13" s="65" t="n">
        <f aca="false">MIN('Capital Expenditure'!AP$26/'Assumption Setting'!$E$226,'Capital Expenditure'!AP$26-AP26)</f>
        <v>50</v>
      </c>
      <c r="AR13" s="65" t="n">
        <f aca="false">MIN('Capital Expenditure'!AQ$26/'Assumption Setting'!$E$226,'Capital Expenditure'!AQ$26-AQ26)</f>
        <v>50</v>
      </c>
      <c r="AS13" s="65" t="n">
        <f aca="false">MIN('Capital Expenditure'!AR$26/'Assumption Setting'!$E$226,'Capital Expenditure'!AR$26-AR26)</f>
        <v>50</v>
      </c>
      <c r="AT13" s="65" t="n">
        <f aca="false">MIN('Capital Expenditure'!AS$26/'Assumption Setting'!$E$226,'Capital Expenditure'!AS$26-AS26)</f>
        <v>50</v>
      </c>
      <c r="AU13" s="65" t="n">
        <f aca="false">MIN('Capital Expenditure'!AT$26/'Assumption Setting'!$E$226,'Capital Expenditure'!AT$26-AT26)</f>
        <v>50</v>
      </c>
      <c r="AV13" s="65" t="n">
        <f aca="false">MIN('Capital Expenditure'!AU$26/'Assumption Setting'!$E$226,'Capital Expenditure'!AU$26-AU26)</f>
        <v>50</v>
      </c>
      <c r="AW13" s="65" t="n">
        <f aca="false">MIN('Capital Expenditure'!AV$26/'Assumption Setting'!$E$226,'Capital Expenditure'!AV$26-AV26)</f>
        <v>50</v>
      </c>
      <c r="AX13" s="65" t="n">
        <f aca="false">MIN('Capital Expenditure'!AW$26/'Assumption Setting'!$E$226,'Capital Expenditure'!AW$26-AW26)</f>
        <v>50</v>
      </c>
      <c r="AY13" s="65" t="n">
        <f aca="false">MIN('Capital Expenditure'!AX$26/'Assumption Setting'!$E$226,'Capital Expenditure'!AX$26-AX26)</f>
        <v>50</v>
      </c>
      <c r="AZ13" s="65" t="n">
        <f aca="false">MIN('Capital Expenditure'!AY$26/'Assumption Setting'!$E$226,'Capital Expenditure'!AY$26-AY26)</f>
        <v>50</v>
      </c>
      <c r="BA13" s="65" t="n">
        <f aca="false">MIN('Capital Expenditure'!AZ$26/'Assumption Setting'!$E$226,'Capital Expenditure'!AZ$26-AZ26)</f>
        <v>50</v>
      </c>
      <c r="BB13" s="64" t="n">
        <f aca="false">SUM(BC13:BN13)</f>
        <v>600</v>
      </c>
      <c r="BC13" s="65" t="n">
        <f aca="false">MIN('Capital Expenditure'!BA$26/'Assumption Setting'!$E$226,'Capital Expenditure'!BA$26-BA26)</f>
        <v>50</v>
      </c>
      <c r="BD13" s="65" t="n">
        <f aca="false">MIN('Capital Expenditure'!BC$26/'Assumption Setting'!$E$226,'Capital Expenditure'!BC$26-BC26)</f>
        <v>50</v>
      </c>
      <c r="BE13" s="65" t="n">
        <f aca="false">MIN('Capital Expenditure'!BD$26/'Assumption Setting'!$E$226,'Capital Expenditure'!BD$26-BD26)</f>
        <v>50</v>
      </c>
      <c r="BF13" s="65" t="n">
        <f aca="false">MIN('Capital Expenditure'!BE$26/'Assumption Setting'!$E$226,'Capital Expenditure'!BE$26-BE26)</f>
        <v>50</v>
      </c>
      <c r="BG13" s="65" t="n">
        <f aca="false">MIN('Capital Expenditure'!BF$26/'Assumption Setting'!$E$226,'Capital Expenditure'!BF$26-BF26)</f>
        <v>50</v>
      </c>
      <c r="BH13" s="65" t="n">
        <f aca="false">MIN('Capital Expenditure'!BG$26/'Assumption Setting'!$E$226,'Capital Expenditure'!BG$26-BG26)</f>
        <v>50</v>
      </c>
      <c r="BI13" s="65" t="n">
        <f aca="false">MIN('Capital Expenditure'!BH$26/'Assumption Setting'!$E$226,'Capital Expenditure'!BH$26-BH26)</f>
        <v>50</v>
      </c>
      <c r="BJ13" s="65" t="n">
        <f aca="false">MIN('Capital Expenditure'!BI$26/'Assumption Setting'!$E$226,'Capital Expenditure'!BI$26-BI26)</f>
        <v>50</v>
      </c>
      <c r="BK13" s="65" t="n">
        <f aca="false">MIN('Capital Expenditure'!BJ$26/'Assumption Setting'!$E$226,'Capital Expenditure'!BJ$26-BJ26)</f>
        <v>50</v>
      </c>
      <c r="BL13" s="65" t="n">
        <f aca="false">MIN('Capital Expenditure'!BK$26/'Assumption Setting'!$E$226,'Capital Expenditure'!BK$26-BK26)</f>
        <v>50</v>
      </c>
      <c r="BM13" s="65" t="n">
        <f aca="false">MIN('Capital Expenditure'!BL$26/'Assumption Setting'!$E$226,'Capital Expenditure'!BL$26-BL26)</f>
        <v>50</v>
      </c>
      <c r="BN13" s="65" t="n">
        <f aca="false">MIN('Capital Expenditure'!BM$26/'Assumption Setting'!$E$226,'Capital Expenditure'!BM$26-BM26)</f>
        <v>50</v>
      </c>
    </row>
    <row r="14" customFormat="false" ht="15" hidden="false" customHeight="false" outlineLevel="0" collapsed="false">
      <c r="A14" s="12" t="s">
        <v>477</v>
      </c>
      <c r="B14" s="64" t="n">
        <f aca="false">SUM(C14:N14)</f>
        <v>0</v>
      </c>
      <c r="C14" s="65" t="n">
        <f aca="false">0</f>
        <v>0</v>
      </c>
      <c r="D14" s="65" t="n">
        <f aca="false">MIN('Capital Expenditure'!C$27/'Assumption Setting'!$E$227,'Capital Expenditure'!C$27-C27)</f>
        <v>0</v>
      </c>
      <c r="E14" s="65" t="n">
        <f aca="false">MIN('Capital Expenditure'!D$27/'Assumption Setting'!$E$227,'Capital Expenditure'!D$27-D27)</f>
        <v>0</v>
      </c>
      <c r="F14" s="65" t="n">
        <f aca="false">MIN('Capital Expenditure'!E$27/'Assumption Setting'!$E$227,'Capital Expenditure'!E$27-E27)</f>
        <v>0</v>
      </c>
      <c r="G14" s="65" t="n">
        <f aca="false">MIN('Capital Expenditure'!F$27/'Assumption Setting'!$E$227,'Capital Expenditure'!F$27-F27)</f>
        <v>0</v>
      </c>
      <c r="H14" s="65" t="n">
        <f aca="false">MIN('Capital Expenditure'!G$27/'Assumption Setting'!$E$227,'Capital Expenditure'!G$27-G27)</f>
        <v>0</v>
      </c>
      <c r="I14" s="65" t="n">
        <f aca="false">MIN('Capital Expenditure'!H$27/'Assumption Setting'!$E$227,'Capital Expenditure'!H$27-H27)</f>
        <v>0</v>
      </c>
      <c r="J14" s="65" t="n">
        <f aca="false">MIN('Capital Expenditure'!I$27/'Assumption Setting'!$E$227,'Capital Expenditure'!I$27-I27)</f>
        <v>0</v>
      </c>
      <c r="K14" s="65" t="n">
        <f aca="false">MIN('Capital Expenditure'!J$27/'Assumption Setting'!$E$227,'Capital Expenditure'!J$27-J27)</f>
        <v>0</v>
      </c>
      <c r="L14" s="65" t="n">
        <f aca="false">MIN('Capital Expenditure'!K$27/'Assumption Setting'!$E$227,'Capital Expenditure'!K$27-K27)</f>
        <v>0</v>
      </c>
      <c r="M14" s="65" t="n">
        <f aca="false">MIN('Capital Expenditure'!L$27/'Assumption Setting'!$E$227,'Capital Expenditure'!L$27-L27)</f>
        <v>0</v>
      </c>
      <c r="N14" s="65" t="n">
        <f aca="false">MIN('Capital Expenditure'!M$27/'Assumption Setting'!$E$227,'Capital Expenditure'!M$27-M27)</f>
        <v>0</v>
      </c>
      <c r="O14" s="64" t="n">
        <f aca="false">SUM(P14:AA14)</f>
        <v>0</v>
      </c>
      <c r="P14" s="65" t="n">
        <f aca="false">MIN('Capital Expenditure'!N$27/'Assumption Setting'!$E$227,'Capital Expenditure'!N$27-N27)</f>
        <v>0</v>
      </c>
      <c r="Q14" s="65" t="n">
        <f aca="false">MIN('Capital Expenditure'!P$27/'Assumption Setting'!$E$227,'Capital Expenditure'!P$27-P27)</f>
        <v>0</v>
      </c>
      <c r="R14" s="65" t="n">
        <f aca="false">MIN('Capital Expenditure'!Q$27/'Assumption Setting'!$E$227,'Capital Expenditure'!Q$27-Q27)</f>
        <v>0</v>
      </c>
      <c r="S14" s="65" t="n">
        <f aca="false">MIN('Capital Expenditure'!R$27/'Assumption Setting'!$E$227,'Capital Expenditure'!R$27-R27)</f>
        <v>0</v>
      </c>
      <c r="T14" s="65" t="n">
        <f aca="false">MIN('Capital Expenditure'!S$27/'Assumption Setting'!$E$227,'Capital Expenditure'!S$27-S27)</f>
        <v>0</v>
      </c>
      <c r="U14" s="65" t="n">
        <f aca="false">MIN('Capital Expenditure'!T$27/'Assumption Setting'!$E$227,'Capital Expenditure'!T$27-T27)</f>
        <v>0</v>
      </c>
      <c r="V14" s="65" t="n">
        <f aca="false">MIN('Capital Expenditure'!U$27/'Assumption Setting'!$E$227,'Capital Expenditure'!U$27-U27)</f>
        <v>0</v>
      </c>
      <c r="W14" s="65" t="n">
        <f aca="false">MIN('Capital Expenditure'!V$27/'Assumption Setting'!$E$227,'Capital Expenditure'!V$27-V27)</f>
        <v>0</v>
      </c>
      <c r="X14" s="65" t="n">
        <f aca="false">MIN('Capital Expenditure'!W$27/'Assumption Setting'!$E$227,'Capital Expenditure'!W$27-W27)</f>
        <v>0</v>
      </c>
      <c r="Y14" s="65" t="n">
        <f aca="false">MIN('Capital Expenditure'!X$27/'Assumption Setting'!$E$227,'Capital Expenditure'!X$27-X27)</f>
        <v>0</v>
      </c>
      <c r="Z14" s="65" t="n">
        <f aca="false">MIN('Capital Expenditure'!Y$27/'Assumption Setting'!$E$227,'Capital Expenditure'!Y$27-Y27)</f>
        <v>0</v>
      </c>
      <c r="AA14" s="65" t="n">
        <f aca="false">MIN('Capital Expenditure'!Z$27/'Assumption Setting'!$E$227,'Capital Expenditure'!Z$27-Z27)</f>
        <v>0</v>
      </c>
      <c r="AB14" s="64" t="n">
        <f aca="false">SUM(AC14:AN14)</f>
        <v>733.333333333333</v>
      </c>
      <c r="AC14" s="65" t="n">
        <f aca="false">MIN('Capital Expenditure'!AA$27/'Assumption Setting'!$E$227,'Capital Expenditure'!AA$27-AA27)</f>
        <v>0</v>
      </c>
      <c r="AD14" s="65" t="n">
        <f aca="false">MIN('Capital Expenditure'!AC$27/'Assumption Setting'!$E$227,'Capital Expenditure'!AC$27-AC27)</f>
        <v>66.6666666666667</v>
      </c>
      <c r="AE14" s="65" t="n">
        <f aca="false">MIN('Capital Expenditure'!AD$27/'Assumption Setting'!$E$227,'Capital Expenditure'!AD$27-AD27)</f>
        <v>66.6666666666667</v>
      </c>
      <c r="AF14" s="65" t="n">
        <f aca="false">MIN('Capital Expenditure'!AE$27/'Assumption Setting'!$E$227,'Capital Expenditure'!AE$27-AE27)</f>
        <v>66.6666666666667</v>
      </c>
      <c r="AG14" s="65" t="n">
        <f aca="false">MIN('Capital Expenditure'!AF$27/'Assumption Setting'!$E$227,'Capital Expenditure'!AF$27-AF27)</f>
        <v>66.6666666666667</v>
      </c>
      <c r="AH14" s="65" t="n">
        <f aca="false">MIN('Capital Expenditure'!AG$27/'Assumption Setting'!$E$227,'Capital Expenditure'!AG$27-AG27)</f>
        <v>66.6666666666667</v>
      </c>
      <c r="AI14" s="65" t="n">
        <f aca="false">MIN('Capital Expenditure'!AH$27/'Assumption Setting'!$E$227,'Capital Expenditure'!AH$27-AH27)</f>
        <v>66.6666666666667</v>
      </c>
      <c r="AJ14" s="65" t="n">
        <f aca="false">MIN('Capital Expenditure'!AI$27/'Assumption Setting'!$E$227,'Capital Expenditure'!AI$27-AI27)</f>
        <v>66.6666666666667</v>
      </c>
      <c r="AK14" s="65" t="n">
        <f aca="false">MIN('Capital Expenditure'!AJ$27/'Assumption Setting'!$E$227,'Capital Expenditure'!AJ$27-AJ27)</f>
        <v>66.6666666666667</v>
      </c>
      <c r="AL14" s="65" t="n">
        <f aca="false">MIN('Capital Expenditure'!AK$27/'Assumption Setting'!$E$227,'Capital Expenditure'!AK$27-AK27)</f>
        <v>66.6666666666667</v>
      </c>
      <c r="AM14" s="65" t="n">
        <f aca="false">MIN('Capital Expenditure'!AL$27/'Assumption Setting'!$E$227,'Capital Expenditure'!AL$27-AL27)</f>
        <v>66.6666666666667</v>
      </c>
      <c r="AN14" s="65" t="n">
        <f aca="false">MIN('Capital Expenditure'!AM$27/'Assumption Setting'!$E$227,'Capital Expenditure'!AM$27-AM27)</f>
        <v>66.6666666666667</v>
      </c>
      <c r="AO14" s="64" t="n">
        <f aca="false">SUM(AP14:BA14)</f>
        <v>800</v>
      </c>
      <c r="AP14" s="65" t="n">
        <f aca="false">MIN('Capital Expenditure'!AN$27/'Assumption Setting'!$E$227,'Capital Expenditure'!AN$27-AN27)</f>
        <v>66.6666666666667</v>
      </c>
      <c r="AQ14" s="65" t="n">
        <f aca="false">MIN('Capital Expenditure'!AP$27/'Assumption Setting'!$E$227,'Capital Expenditure'!AP$27-AP27)</f>
        <v>66.6666666666667</v>
      </c>
      <c r="AR14" s="65" t="n">
        <f aca="false">MIN('Capital Expenditure'!AQ$27/'Assumption Setting'!$E$227,'Capital Expenditure'!AQ$27-AQ27)</f>
        <v>66.6666666666667</v>
      </c>
      <c r="AS14" s="65" t="n">
        <f aca="false">MIN('Capital Expenditure'!AR$27/'Assumption Setting'!$E$227,'Capital Expenditure'!AR$27-AR27)</f>
        <v>66.6666666666667</v>
      </c>
      <c r="AT14" s="65" t="n">
        <f aca="false">MIN('Capital Expenditure'!AS$27/'Assumption Setting'!$E$227,'Capital Expenditure'!AS$27-AS27)</f>
        <v>66.6666666666667</v>
      </c>
      <c r="AU14" s="65" t="n">
        <f aca="false">MIN('Capital Expenditure'!AT$27/'Assumption Setting'!$E$227,'Capital Expenditure'!AT$27-AT27)</f>
        <v>66.6666666666667</v>
      </c>
      <c r="AV14" s="65" t="n">
        <f aca="false">MIN('Capital Expenditure'!AU$27/'Assumption Setting'!$E$227,'Capital Expenditure'!AU$27-AU27)</f>
        <v>66.6666666666667</v>
      </c>
      <c r="AW14" s="65" t="n">
        <f aca="false">MIN('Capital Expenditure'!AV$27/'Assumption Setting'!$E$227,'Capital Expenditure'!AV$27-AV27)</f>
        <v>66.6666666666667</v>
      </c>
      <c r="AX14" s="65" t="n">
        <f aca="false">MIN('Capital Expenditure'!AW$27/'Assumption Setting'!$E$227,'Capital Expenditure'!AW$27-AW27)</f>
        <v>66.6666666666667</v>
      </c>
      <c r="AY14" s="65" t="n">
        <f aca="false">MIN('Capital Expenditure'!AX$27/'Assumption Setting'!$E$227,'Capital Expenditure'!AX$27-AX27)</f>
        <v>66.6666666666667</v>
      </c>
      <c r="AZ14" s="65" t="n">
        <f aca="false">MIN('Capital Expenditure'!AY$27/'Assumption Setting'!$E$227,'Capital Expenditure'!AY$27-AY27)</f>
        <v>66.6666666666667</v>
      </c>
      <c r="BA14" s="65" t="n">
        <f aca="false">MIN('Capital Expenditure'!AZ$27/'Assumption Setting'!$E$227,'Capital Expenditure'!AZ$27-AZ27)</f>
        <v>66.6666666666667</v>
      </c>
      <c r="BB14" s="64" t="n">
        <f aca="false">SUM(BC14:BN14)</f>
        <v>800</v>
      </c>
      <c r="BC14" s="65" t="n">
        <f aca="false">MIN('Capital Expenditure'!BA$27/'Assumption Setting'!$E$227,'Capital Expenditure'!BA$27-BA27)</f>
        <v>66.6666666666667</v>
      </c>
      <c r="BD14" s="65" t="n">
        <f aca="false">MIN('Capital Expenditure'!BC$27/'Assumption Setting'!$E$227,'Capital Expenditure'!BC$27-BC27)</f>
        <v>66.6666666666667</v>
      </c>
      <c r="BE14" s="65" t="n">
        <f aca="false">MIN('Capital Expenditure'!BD$27/'Assumption Setting'!$E$227,'Capital Expenditure'!BD$27-BD27)</f>
        <v>66.6666666666667</v>
      </c>
      <c r="BF14" s="65" t="n">
        <f aca="false">MIN('Capital Expenditure'!BE$27/'Assumption Setting'!$E$227,'Capital Expenditure'!BE$27-BE27)</f>
        <v>66.6666666666667</v>
      </c>
      <c r="BG14" s="65" t="n">
        <f aca="false">MIN('Capital Expenditure'!BF$27/'Assumption Setting'!$E$227,'Capital Expenditure'!BF$27-BF27)</f>
        <v>66.6666666666667</v>
      </c>
      <c r="BH14" s="65" t="n">
        <f aca="false">MIN('Capital Expenditure'!BG$27/'Assumption Setting'!$E$227,'Capital Expenditure'!BG$27-BG27)</f>
        <v>66.6666666666667</v>
      </c>
      <c r="BI14" s="65" t="n">
        <f aca="false">MIN('Capital Expenditure'!BH$27/'Assumption Setting'!$E$227,'Capital Expenditure'!BH$27-BH27)</f>
        <v>66.6666666666667</v>
      </c>
      <c r="BJ14" s="65" t="n">
        <f aca="false">MIN('Capital Expenditure'!BI$27/'Assumption Setting'!$E$227,'Capital Expenditure'!BI$27-BI27)</f>
        <v>66.6666666666667</v>
      </c>
      <c r="BK14" s="65" t="n">
        <f aca="false">MIN('Capital Expenditure'!BJ$27/'Assumption Setting'!$E$227,'Capital Expenditure'!BJ$27-BJ27)</f>
        <v>66.6666666666667</v>
      </c>
      <c r="BL14" s="65" t="n">
        <f aca="false">MIN('Capital Expenditure'!BK$27/'Assumption Setting'!$E$227,'Capital Expenditure'!BK$27-BK27)</f>
        <v>66.6666666666667</v>
      </c>
      <c r="BM14" s="65" t="n">
        <f aca="false">MIN('Capital Expenditure'!BL$27/'Assumption Setting'!$E$227,'Capital Expenditure'!BL$27-BL27)</f>
        <v>66.6666666666667</v>
      </c>
      <c r="BN14" s="65" t="n">
        <f aca="false">MIN('Capital Expenditure'!BM$27/'Assumption Setting'!$E$227,'Capital Expenditure'!BM$27-BM27)</f>
        <v>66.6666666666667</v>
      </c>
    </row>
    <row r="15" customFormat="false" ht="15" hidden="false" customHeight="false" outlineLevel="0" collapsed="false">
      <c r="A15" s="12" t="s">
        <v>478</v>
      </c>
      <c r="B15" s="64" t="n">
        <f aca="false">SUM(C15:N15)</f>
        <v>0</v>
      </c>
      <c r="C15" s="65" t="n">
        <f aca="false">0</f>
        <v>0</v>
      </c>
      <c r="D15" s="65" t="n">
        <f aca="false">MIN('Capital Expenditure'!C$28/'Assumption Setting'!$E$228,'Capital Expenditure'!C$28-C28)</f>
        <v>0</v>
      </c>
      <c r="E15" s="65" t="n">
        <f aca="false">MIN('Capital Expenditure'!D$28/'Assumption Setting'!$E$228,'Capital Expenditure'!D$28-D28)</f>
        <v>0</v>
      </c>
      <c r="F15" s="65" t="n">
        <f aca="false">MIN('Capital Expenditure'!E$28/'Assumption Setting'!$E$228,'Capital Expenditure'!E$28-E28)</f>
        <v>0</v>
      </c>
      <c r="G15" s="65" t="n">
        <f aca="false">MIN('Capital Expenditure'!F$28/'Assumption Setting'!$E$228,'Capital Expenditure'!F$28-F28)</f>
        <v>0</v>
      </c>
      <c r="H15" s="65" t="n">
        <f aca="false">MIN('Capital Expenditure'!G$28/'Assumption Setting'!$E$228,'Capital Expenditure'!G$28-G28)</f>
        <v>0</v>
      </c>
      <c r="I15" s="65" t="n">
        <f aca="false">MIN('Capital Expenditure'!H$28/'Assumption Setting'!$E$228,'Capital Expenditure'!H$28-H28)</f>
        <v>0</v>
      </c>
      <c r="J15" s="65" t="n">
        <f aca="false">MIN('Capital Expenditure'!I$28/'Assumption Setting'!$E$228,'Capital Expenditure'!I$28-I28)</f>
        <v>0</v>
      </c>
      <c r="K15" s="65" t="n">
        <f aca="false">MIN('Capital Expenditure'!J$28/'Assumption Setting'!$E$228,'Capital Expenditure'!J$28-J28)</f>
        <v>0</v>
      </c>
      <c r="L15" s="65" t="n">
        <f aca="false">MIN('Capital Expenditure'!K$28/'Assumption Setting'!$E$228,'Capital Expenditure'!K$28-K28)</f>
        <v>0</v>
      </c>
      <c r="M15" s="65" t="n">
        <f aca="false">MIN('Capital Expenditure'!L$28/'Assumption Setting'!$E$228,'Capital Expenditure'!L$28-L28)</f>
        <v>0</v>
      </c>
      <c r="N15" s="65" t="n">
        <f aca="false">MIN('Capital Expenditure'!M$28/'Assumption Setting'!$E$228,'Capital Expenditure'!M$28-M28)</f>
        <v>0</v>
      </c>
      <c r="O15" s="64" t="n">
        <f aca="false">SUM(P15:AA15)</f>
        <v>0</v>
      </c>
      <c r="P15" s="65" t="n">
        <f aca="false">MIN('Capital Expenditure'!N$28/'Assumption Setting'!$E$228,'Capital Expenditure'!N$28-N28)</f>
        <v>0</v>
      </c>
      <c r="Q15" s="65" t="n">
        <f aca="false">MIN('Capital Expenditure'!P$28/'Assumption Setting'!$E$228,'Capital Expenditure'!P$28-P28)</f>
        <v>0</v>
      </c>
      <c r="R15" s="65" t="n">
        <f aca="false">MIN('Capital Expenditure'!Q$28/'Assumption Setting'!$E$228,'Capital Expenditure'!Q$28-Q28)</f>
        <v>0</v>
      </c>
      <c r="S15" s="65" t="n">
        <f aca="false">MIN('Capital Expenditure'!R$28/'Assumption Setting'!$E$228,'Capital Expenditure'!R$28-R28)</f>
        <v>0</v>
      </c>
      <c r="T15" s="65" t="n">
        <f aca="false">MIN('Capital Expenditure'!S$28/'Assumption Setting'!$E$228,'Capital Expenditure'!S$28-S28)</f>
        <v>0</v>
      </c>
      <c r="U15" s="65" t="n">
        <f aca="false">MIN('Capital Expenditure'!T$28/'Assumption Setting'!$E$228,'Capital Expenditure'!T$28-T28)</f>
        <v>0</v>
      </c>
      <c r="V15" s="65" t="n">
        <f aca="false">MIN('Capital Expenditure'!U$28/'Assumption Setting'!$E$228,'Capital Expenditure'!U$28-U28)</f>
        <v>0</v>
      </c>
      <c r="W15" s="65" t="n">
        <f aca="false">MIN('Capital Expenditure'!V$28/'Assumption Setting'!$E$228,'Capital Expenditure'!V$28-V28)</f>
        <v>0</v>
      </c>
      <c r="X15" s="65" t="n">
        <f aca="false">MIN('Capital Expenditure'!W$28/'Assumption Setting'!$E$228,'Capital Expenditure'!W$28-W28)</f>
        <v>0</v>
      </c>
      <c r="Y15" s="65" t="n">
        <f aca="false">MIN('Capital Expenditure'!X$28/'Assumption Setting'!$E$228,'Capital Expenditure'!X$28-X28)</f>
        <v>0</v>
      </c>
      <c r="Z15" s="65" t="n">
        <f aca="false">MIN('Capital Expenditure'!Y$28/'Assumption Setting'!$E$228,'Capital Expenditure'!Y$28-Y28)</f>
        <v>0</v>
      </c>
      <c r="AA15" s="65" t="n">
        <f aca="false">MIN('Capital Expenditure'!Z$28/'Assumption Setting'!$E$228,'Capital Expenditure'!Z$28-Z28)</f>
        <v>0</v>
      </c>
      <c r="AB15" s="64" t="n">
        <f aca="false">SUM(AC15:AN15)</f>
        <v>1100</v>
      </c>
      <c r="AC15" s="65" t="n">
        <f aca="false">MIN('Capital Expenditure'!AA$28/'Assumption Setting'!$E$228,'Capital Expenditure'!AA$28-AA28)</f>
        <v>0</v>
      </c>
      <c r="AD15" s="65" t="n">
        <f aca="false">MIN('Capital Expenditure'!AC$28/'Assumption Setting'!$E$228,'Capital Expenditure'!AC$28-AC28)</f>
        <v>100</v>
      </c>
      <c r="AE15" s="65" t="n">
        <f aca="false">MIN('Capital Expenditure'!AD$28/'Assumption Setting'!$E$228,'Capital Expenditure'!AD$28-AD28)</f>
        <v>100</v>
      </c>
      <c r="AF15" s="65" t="n">
        <f aca="false">MIN('Capital Expenditure'!AE$28/'Assumption Setting'!$E$228,'Capital Expenditure'!AE$28-AE28)</f>
        <v>100</v>
      </c>
      <c r="AG15" s="65" t="n">
        <f aca="false">MIN('Capital Expenditure'!AF$28/'Assumption Setting'!$E$228,'Capital Expenditure'!AF$28-AF28)</f>
        <v>100</v>
      </c>
      <c r="AH15" s="65" t="n">
        <f aca="false">MIN('Capital Expenditure'!AG$28/'Assumption Setting'!$E$228,'Capital Expenditure'!AG$28-AG28)</f>
        <v>100</v>
      </c>
      <c r="AI15" s="65" t="n">
        <f aca="false">MIN('Capital Expenditure'!AH$28/'Assumption Setting'!$E$228,'Capital Expenditure'!AH$28-AH28)</f>
        <v>100</v>
      </c>
      <c r="AJ15" s="65" t="n">
        <f aca="false">MIN('Capital Expenditure'!AI$28/'Assumption Setting'!$E$228,'Capital Expenditure'!AI$28-AI28)</f>
        <v>100</v>
      </c>
      <c r="AK15" s="65" t="n">
        <f aca="false">MIN('Capital Expenditure'!AJ$28/'Assumption Setting'!$E$228,'Capital Expenditure'!AJ$28-AJ28)</f>
        <v>100</v>
      </c>
      <c r="AL15" s="65" t="n">
        <f aca="false">MIN('Capital Expenditure'!AK$28/'Assumption Setting'!$E$228,'Capital Expenditure'!AK$28-AK28)</f>
        <v>100</v>
      </c>
      <c r="AM15" s="65" t="n">
        <f aca="false">MIN('Capital Expenditure'!AL$28/'Assumption Setting'!$E$228,'Capital Expenditure'!AL$28-AL28)</f>
        <v>100</v>
      </c>
      <c r="AN15" s="65" t="n">
        <f aca="false">MIN('Capital Expenditure'!AM$28/'Assumption Setting'!$E$228,'Capital Expenditure'!AM$28-AM28)</f>
        <v>100</v>
      </c>
      <c r="AO15" s="64" t="n">
        <f aca="false">SUM(AP15:BA15)</f>
        <v>1200</v>
      </c>
      <c r="AP15" s="65" t="n">
        <f aca="false">MIN('Capital Expenditure'!AN$28/'Assumption Setting'!$E$228,'Capital Expenditure'!AN$28-AN28)</f>
        <v>100</v>
      </c>
      <c r="AQ15" s="65" t="n">
        <f aca="false">MIN('Capital Expenditure'!AP$28/'Assumption Setting'!$E$228,'Capital Expenditure'!AP$28-AP28)</f>
        <v>100</v>
      </c>
      <c r="AR15" s="65" t="n">
        <f aca="false">MIN('Capital Expenditure'!AQ$28/'Assumption Setting'!$E$228,'Capital Expenditure'!AQ$28-AQ28)</f>
        <v>100</v>
      </c>
      <c r="AS15" s="65" t="n">
        <f aca="false">MIN('Capital Expenditure'!AR$28/'Assumption Setting'!$E$228,'Capital Expenditure'!AR$28-AR28)</f>
        <v>100</v>
      </c>
      <c r="AT15" s="65" t="n">
        <f aca="false">MIN('Capital Expenditure'!AS$28/'Assumption Setting'!$E$228,'Capital Expenditure'!AS$28-AS28)</f>
        <v>100</v>
      </c>
      <c r="AU15" s="65" t="n">
        <f aca="false">MIN('Capital Expenditure'!AT$28/'Assumption Setting'!$E$228,'Capital Expenditure'!AT$28-AT28)</f>
        <v>100</v>
      </c>
      <c r="AV15" s="65" t="n">
        <f aca="false">MIN('Capital Expenditure'!AU$28/'Assumption Setting'!$E$228,'Capital Expenditure'!AU$28-AU28)</f>
        <v>100</v>
      </c>
      <c r="AW15" s="65" t="n">
        <f aca="false">MIN('Capital Expenditure'!AV$28/'Assumption Setting'!$E$228,'Capital Expenditure'!AV$28-AV28)</f>
        <v>100</v>
      </c>
      <c r="AX15" s="65" t="n">
        <f aca="false">MIN('Capital Expenditure'!AW$28/'Assumption Setting'!$E$228,'Capital Expenditure'!AW$28-AW28)</f>
        <v>100</v>
      </c>
      <c r="AY15" s="65" t="n">
        <f aca="false">MIN('Capital Expenditure'!AX$28/'Assumption Setting'!$E$228,'Capital Expenditure'!AX$28-AX28)</f>
        <v>100</v>
      </c>
      <c r="AZ15" s="65" t="n">
        <f aca="false">MIN('Capital Expenditure'!AY$28/'Assumption Setting'!$E$228,'Capital Expenditure'!AY$28-AY28)</f>
        <v>100</v>
      </c>
      <c r="BA15" s="65" t="n">
        <f aca="false">MIN('Capital Expenditure'!AZ$28/'Assumption Setting'!$E$228,'Capital Expenditure'!AZ$28-AZ28)</f>
        <v>100</v>
      </c>
      <c r="BB15" s="64" t="n">
        <f aca="false">SUM(BC15:BN15)</f>
        <v>1200</v>
      </c>
      <c r="BC15" s="65" t="n">
        <f aca="false">MIN('Capital Expenditure'!BA$28/'Assumption Setting'!$E$228,'Capital Expenditure'!BA$28-BA28)</f>
        <v>100</v>
      </c>
      <c r="BD15" s="65" t="n">
        <f aca="false">MIN('Capital Expenditure'!BC$28/'Assumption Setting'!$E$228,'Capital Expenditure'!BC$28-BC28)</f>
        <v>100</v>
      </c>
      <c r="BE15" s="65" t="n">
        <f aca="false">MIN('Capital Expenditure'!BD$28/'Assumption Setting'!$E$228,'Capital Expenditure'!BD$28-BD28)</f>
        <v>100</v>
      </c>
      <c r="BF15" s="65" t="n">
        <f aca="false">MIN('Capital Expenditure'!BE$28/'Assumption Setting'!$E$228,'Capital Expenditure'!BE$28-BE28)</f>
        <v>100</v>
      </c>
      <c r="BG15" s="65" t="n">
        <f aca="false">MIN('Capital Expenditure'!BF$28/'Assumption Setting'!$E$228,'Capital Expenditure'!BF$28-BF28)</f>
        <v>100</v>
      </c>
      <c r="BH15" s="65" t="n">
        <f aca="false">MIN('Capital Expenditure'!BG$28/'Assumption Setting'!$E$228,'Capital Expenditure'!BG$28-BG28)</f>
        <v>100</v>
      </c>
      <c r="BI15" s="65" t="n">
        <f aca="false">MIN('Capital Expenditure'!BH$28/'Assumption Setting'!$E$228,'Capital Expenditure'!BH$28-BH28)</f>
        <v>100</v>
      </c>
      <c r="BJ15" s="65" t="n">
        <f aca="false">MIN('Capital Expenditure'!BI$28/'Assumption Setting'!$E$228,'Capital Expenditure'!BI$28-BI28)</f>
        <v>100</v>
      </c>
      <c r="BK15" s="65" t="n">
        <f aca="false">MIN('Capital Expenditure'!BJ$28/'Assumption Setting'!$E$228,'Capital Expenditure'!BJ$28-BJ28)</f>
        <v>100</v>
      </c>
      <c r="BL15" s="65" t="n">
        <f aca="false">MIN('Capital Expenditure'!BK$28/'Assumption Setting'!$E$228,'Capital Expenditure'!BK$28-BK28)</f>
        <v>100</v>
      </c>
      <c r="BM15" s="65" t="n">
        <f aca="false">MIN('Capital Expenditure'!BL$28/'Assumption Setting'!$E$228,'Capital Expenditure'!BL$28-BL28)</f>
        <v>100</v>
      </c>
      <c r="BN15" s="65" t="n">
        <f aca="false">MIN('Capital Expenditure'!BM$28/'Assumption Setting'!$E$228,'Capital Expenditure'!BM$28-BM28)</f>
        <v>100</v>
      </c>
    </row>
    <row r="16" customFormat="false" ht="15" hidden="false" customHeight="false" outlineLevel="0" collapsed="false">
      <c r="A16" s="66" t="s">
        <v>791</v>
      </c>
      <c r="B16" s="67" t="n">
        <f aca="false">SUM(C16:N16)</f>
        <v>3222.08333333333</v>
      </c>
      <c r="C16" s="68" t="n">
        <f aca="false">SUM(C7:C15)</f>
        <v>0</v>
      </c>
      <c r="D16" s="68" t="n">
        <f aca="false">SUM(D7:D15)</f>
        <v>251.25</v>
      </c>
      <c r="E16" s="68" t="n">
        <f aca="false">SUM(E7:E15)</f>
        <v>297.083333333333</v>
      </c>
      <c r="F16" s="68" t="n">
        <f aca="false">SUM(F7:F15)</f>
        <v>297.083333333333</v>
      </c>
      <c r="G16" s="68" t="n">
        <f aca="false">SUM(G7:G15)</f>
        <v>297.083333333333</v>
      </c>
      <c r="H16" s="68" t="n">
        <f aca="false">SUM(H7:H15)</f>
        <v>297.083333333333</v>
      </c>
      <c r="I16" s="68" t="n">
        <f aca="false">SUM(I7:I15)</f>
        <v>297.083333333333</v>
      </c>
      <c r="J16" s="68" t="n">
        <f aca="false">SUM(J7:J15)</f>
        <v>297.083333333333</v>
      </c>
      <c r="K16" s="68" t="n">
        <f aca="false">SUM(K7:K15)</f>
        <v>297.083333333333</v>
      </c>
      <c r="L16" s="68" t="n">
        <f aca="false">SUM(L7:L15)</f>
        <v>297.083333333333</v>
      </c>
      <c r="M16" s="68" t="n">
        <f aca="false">SUM(M7:M15)</f>
        <v>297.083333333333</v>
      </c>
      <c r="N16" s="68" t="n">
        <f aca="false">SUM(N7:N15)</f>
        <v>297.083333333333</v>
      </c>
      <c r="O16" s="67" t="n">
        <f aca="false">SUM(P16:AA16)</f>
        <v>4603.125</v>
      </c>
      <c r="P16" s="68" t="n">
        <f aca="false">SUM(P7:P15)</f>
        <v>297.083333333333</v>
      </c>
      <c r="Q16" s="68" t="n">
        <f aca="false">SUM(Q7:Q15)</f>
        <v>391.458333333333</v>
      </c>
      <c r="R16" s="68" t="n">
        <f aca="false">SUM(R7:R15)</f>
        <v>391.458333333333</v>
      </c>
      <c r="S16" s="68" t="n">
        <f aca="false">SUM(S7:S15)</f>
        <v>391.458333333333</v>
      </c>
      <c r="T16" s="68" t="n">
        <f aca="false">SUM(T7:T15)</f>
        <v>391.458333333333</v>
      </c>
      <c r="U16" s="68" t="n">
        <f aca="false">SUM(U7:U15)</f>
        <v>391.458333333333</v>
      </c>
      <c r="V16" s="68" t="n">
        <f aca="false">SUM(V7:V15)</f>
        <v>391.458333333333</v>
      </c>
      <c r="W16" s="68" t="n">
        <f aca="false">SUM(W7:W15)</f>
        <v>391.458333333333</v>
      </c>
      <c r="X16" s="68" t="n">
        <f aca="false">SUM(X7:X15)</f>
        <v>391.458333333333</v>
      </c>
      <c r="Y16" s="68" t="n">
        <f aca="false">SUM(Y7:Y15)</f>
        <v>391.458333333333</v>
      </c>
      <c r="Z16" s="68" t="n">
        <f aca="false">SUM(Z7:Z15)</f>
        <v>391.458333333333</v>
      </c>
      <c r="AA16" s="68" t="n">
        <f aca="false">SUM(AA7:AA15)</f>
        <v>391.458333333333</v>
      </c>
      <c r="AB16" s="67" t="n">
        <f aca="false">SUM(AC16:AN16)</f>
        <v>7388.95833333333</v>
      </c>
      <c r="AC16" s="68" t="n">
        <f aca="false">SUM(AC7:AC15)</f>
        <v>391.458333333333</v>
      </c>
      <c r="AD16" s="68" t="n">
        <f aca="false">SUM(AD7:AD15)</f>
        <v>652.5</v>
      </c>
      <c r="AE16" s="68" t="n">
        <f aca="false">SUM(AE7:AE15)</f>
        <v>652.5</v>
      </c>
      <c r="AF16" s="68" t="n">
        <f aca="false">SUM(AF7:AF15)</f>
        <v>652.5</v>
      </c>
      <c r="AG16" s="68" t="n">
        <f aca="false">SUM(AG7:AG15)</f>
        <v>652.5</v>
      </c>
      <c r="AH16" s="68" t="n">
        <f aca="false">SUM(AH7:AH15)</f>
        <v>652.5</v>
      </c>
      <c r="AI16" s="68" t="n">
        <f aca="false">SUM(AI7:AI15)</f>
        <v>652.5</v>
      </c>
      <c r="AJ16" s="68" t="n">
        <f aca="false">SUM(AJ7:AJ15)</f>
        <v>652.5</v>
      </c>
      <c r="AK16" s="68" t="n">
        <f aca="false">SUM(AK7:AK15)</f>
        <v>652.5</v>
      </c>
      <c r="AL16" s="68" t="n">
        <f aca="false">SUM(AL7:AL15)</f>
        <v>652.5</v>
      </c>
      <c r="AM16" s="68" t="n">
        <f aca="false">SUM(AM7:AM15)</f>
        <v>562.5</v>
      </c>
      <c r="AN16" s="68" t="n">
        <f aca="false">SUM(AN7:AN15)</f>
        <v>562.5</v>
      </c>
      <c r="AO16" s="67" t="n">
        <f aca="false">SUM(AP16:BA16)</f>
        <v>8524.16666666667</v>
      </c>
      <c r="AP16" s="68" t="n">
        <f aca="false">SUM(AP7:AP15)</f>
        <v>562.5</v>
      </c>
      <c r="AQ16" s="68" t="n">
        <f aca="false">SUM(AQ7:AQ15)</f>
        <v>778.333333333333</v>
      </c>
      <c r="AR16" s="68" t="n">
        <f aca="false">SUM(AR7:AR15)</f>
        <v>778.333333333333</v>
      </c>
      <c r="AS16" s="68" t="n">
        <f aca="false">SUM(AS7:AS15)</f>
        <v>778.333333333333</v>
      </c>
      <c r="AT16" s="68" t="n">
        <f aca="false">SUM(AT7:AT15)</f>
        <v>778.333333333333</v>
      </c>
      <c r="AU16" s="68" t="n">
        <f aca="false">SUM(AU7:AU15)</f>
        <v>778.333333333333</v>
      </c>
      <c r="AV16" s="68" t="n">
        <f aca="false">SUM(AV7:AV15)</f>
        <v>778.333333333333</v>
      </c>
      <c r="AW16" s="68" t="n">
        <f aca="false">SUM(AW7:AW15)</f>
        <v>658.333333333333</v>
      </c>
      <c r="AX16" s="68" t="n">
        <f aca="false">SUM(AX7:AX15)</f>
        <v>658.333333333333</v>
      </c>
      <c r="AY16" s="68" t="n">
        <f aca="false">SUM(AY7:AY15)</f>
        <v>658.333333333333</v>
      </c>
      <c r="AZ16" s="68" t="n">
        <f aca="false">SUM(AZ7:AZ15)</f>
        <v>658.333333333333</v>
      </c>
      <c r="BA16" s="68" t="n">
        <f aca="false">SUM(BA7:BA15)</f>
        <v>658.333333333333</v>
      </c>
      <c r="BB16" s="67" t="n">
        <f aca="false">SUM(BC16:BN16)</f>
        <v>8745</v>
      </c>
      <c r="BC16" s="68" t="n">
        <f aca="false">SUM(BC7:BC15)</f>
        <v>658.333333333333</v>
      </c>
      <c r="BD16" s="68" t="n">
        <f aca="false">SUM(BD7:BD15)</f>
        <v>891.666666666667</v>
      </c>
      <c r="BE16" s="68" t="n">
        <f aca="false">SUM(BE7:BE15)</f>
        <v>845.833333333333</v>
      </c>
      <c r="BF16" s="68" t="n">
        <f aca="false">SUM(BF7:BF15)</f>
        <v>845.833333333333</v>
      </c>
      <c r="BG16" s="68" t="n">
        <f aca="false">SUM(BG7:BG15)</f>
        <v>845.833333333333</v>
      </c>
      <c r="BH16" s="68" t="n">
        <f aca="false">SUM(BH7:BH15)</f>
        <v>815.833333333333</v>
      </c>
      <c r="BI16" s="68" t="n">
        <f aca="false">SUM(BI7:BI15)</f>
        <v>695.833333333333</v>
      </c>
      <c r="BJ16" s="68" t="n">
        <f aca="false">SUM(BJ7:BJ15)</f>
        <v>695.833333333333</v>
      </c>
      <c r="BK16" s="68" t="n">
        <f aca="false">SUM(BK7:BK15)</f>
        <v>695.833333333333</v>
      </c>
      <c r="BL16" s="68" t="n">
        <f aca="false">SUM(BL7:BL15)</f>
        <v>695.833333333333</v>
      </c>
      <c r="BM16" s="68" t="n">
        <f aca="false">SUM(BM7:BM15)</f>
        <v>695.833333333333</v>
      </c>
      <c r="BN16" s="68" t="n">
        <f aca="false">SUM(BN7:BN15)</f>
        <v>362.500000000002</v>
      </c>
    </row>
    <row r="18" customFormat="false" ht="16.5" hidden="false" customHeight="true" outlineLevel="0" collapsed="false">
      <c r="A18" s="15" t="s">
        <v>792</v>
      </c>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row>
    <row r="19" customFormat="false" ht="15" hidden="false" customHeight="true" outlineLevel="0" collapsed="false">
      <c r="A19" s="26" t="s">
        <v>481</v>
      </c>
      <c r="B19" s="61" t="s">
        <v>81</v>
      </c>
      <c r="C19" s="62" t="s">
        <v>482</v>
      </c>
      <c r="D19" s="62" t="s">
        <v>483</v>
      </c>
      <c r="E19" s="62" t="s">
        <v>484</v>
      </c>
      <c r="F19" s="62" t="s">
        <v>485</v>
      </c>
      <c r="G19" s="62" t="s">
        <v>486</v>
      </c>
      <c r="H19" s="62" t="s">
        <v>487</v>
      </c>
      <c r="I19" s="62" t="s">
        <v>488</v>
      </c>
      <c r="J19" s="62" t="s">
        <v>489</v>
      </c>
      <c r="K19" s="62" t="s">
        <v>490</v>
      </c>
      <c r="L19" s="62" t="s">
        <v>491</v>
      </c>
      <c r="M19" s="62" t="s">
        <v>492</v>
      </c>
      <c r="N19" s="62" t="s">
        <v>493</v>
      </c>
      <c r="O19" s="61" t="s">
        <v>82</v>
      </c>
      <c r="P19" s="63" t="s">
        <v>494</v>
      </c>
      <c r="Q19" s="63" t="s">
        <v>495</v>
      </c>
      <c r="R19" s="63" t="s">
        <v>496</v>
      </c>
      <c r="S19" s="63" t="s">
        <v>497</v>
      </c>
      <c r="T19" s="63" t="s">
        <v>498</v>
      </c>
      <c r="U19" s="63" t="s">
        <v>499</v>
      </c>
      <c r="V19" s="63" t="s">
        <v>500</v>
      </c>
      <c r="W19" s="63" t="s">
        <v>501</v>
      </c>
      <c r="X19" s="63" t="s">
        <v>502</v>
      </c>
      <c r="Y19" s="63" t="s">
        <v>503</v>
      </c>
      <c r="Z19" s="63" t="s">
        <v>504</v>
      </c>
      <c r="AA19" s="63" t="s">
        <v>505</v>
      </c>
      <c r="AB19" s="61" t="s">
        <v>83</v>
      </c>
      <c r="AC19" s="62" t="s">
        <v>506</v>
      </c>
      <c r="AD19" s="62" t="s">
        <v>507</v>
      </c>
      <c r="AE19" s="62" t="s">
        <v>508</v>
      </c>
      <c r="AF19" s="62" t="s">
        <v>509</v>
      </c>
      <c r="AG19" s="62" t="s">
        <v>510</v>
      </c>
      <c r="AH19" s="62" t="s">
        <v>511</v>
      </c>
      <c r="AI19" s="62" t="s">
        <v>512</v>
      </c>
      <c r="AJ19" s="62" t="s">
        <v>513</v>
      </c>
      <c r="AK19" s="62" t="s">
        <v>514</v>
      </c>
      <c r="AL19" s="62" t="s">
        <v>515</v>
      </c>
      <c r="AM19" s="62" t="s">
        <v>516</v>
      </c>
      <c r="AN19" s="62" t="s">
        <v>517</v>
      </c>
      <c r="AO19" s="61" t="s">
        <v>84</v>
      </c>
      <c r="AP19" s="63" t="s">
        <v>518</v>
      </c>
      <c r="AQ19" s="63" t="s">
        <v>519</v>
      </c>
      <c r="AR19" s="63" t="s">
        <v>520</v>
      </c>
      <c r="AS19" s="63" t="s">
        <v>521</v>
      </c>
      <c r="AT19" s="63" t="s">
        <v>522</v>
      </c>
      <c r="AU19" s="63" t="s">
        <v>523</v>
      </c>
      <c r="AV19" s="63" t="s">
        <v>524</v>
      </c>
      <c r="AW19" s="63" t="s">
        <v>525</v>
      </c>
      <c r="AX19" s="63" t="s">
        <v>526</v>
      </c>
      <c r="AY19" s="63" t="s">
        <v>527</v>
      </c>
      <c r="AZ19" s="63" t="s">
        <v>528</v>
      </c>
      <c r="BA19" s="63" t="s">
        <v>529</v>
      </c>
      <c r="BB19" s="61" t="s">
        <v>85</v>
      </c>
      <c r="BC19" s="62" t="s">
        <v>530</v>
      </c>
      <c r="BD19" s="62" t="s">
        <v>531</v>
      </c>
      <c r="BE19" s="62" t="s">
        <v>532</v>
      </c>
      <c r="BF19" s="62" t="s">
        <v>533</v>
      </c>
      <c r="BG19" s="62" t="s">
        <v>534</v>
      </c>
      <c r="BH19" s="62" t="s">
        <v>535</v>
      </c>
      <c r="BI19" s="62" t="s">
        <v>536</v>
      </c>
      <c r="BJ19" s="62" t="s">
        <v>537</v>
      </c>
      <c r="BK19" s="62" t="s">
        <v>538</v>
      </c>
      <c r="BL19" s="62" t="s">
        <v>539</v>
      </c>
      <c r="BM19" s="62" t="s">
        <v>540</v>
      </c>
      <c r="BN19" s="62" t="s">
        <v>541</v>
      </c>
    </row>
    <row r="20" customFormat="false" ht="15" hidden="false" customHeight="false" outlineLevel="0" collapsed="false">
      <c r="A20" s="12" t="s">
        <v>467</v>
      </c>
      <c r="B20" s="64" t="n">
        <f aca="false">N20</f>
        <v>1375</v>
      </c>
      <c r="C20" s="65" t="n">
        <f aca="false">C7</f>
        <v>0</v>
      </c>
      <c r="D20" s="65" t="n">
        <f aca="false">C20+D7</f>
        <v>125</v>
      </c>
      <c r="E20" s="65" t="n">
        <f aca="false">D20+E7</f>
        <v>250</v>
      </c>
      <c r="F20" s="65" t="n">
        <f aca="false">E20+F7</f>
        <v>375</v>
      </c>
      <c r="G20" s="65" t="n">
        <f aca="false">F20+G7</f>
        <v>500</v>
      </c>
      <c r="H20" s="65" t="n">
        <f aca="false">G20+H7</f>
        <v>625</v>
      </c>
      <c r="I20" s="65" t="n">
        <f aca="false">H20+I7</f>
        <v>750</v>
      </c>
      <c r="J20" s="65" t="n">
        <f aca="false">I20+J7</f>
        <v>875</v>
      </c>
      <c r="K20" s="65" t="n">
        <f aca="false">J20+K7</f>
        <v>1000</v>
      </c>
      <c r="L20" s="65" t="n">
        <f aca="false">K20+L7</f>
        <v>1125</v>
      </c>
      <c r="M20" s="65" t="n">
        <f aca="false">L20+M7</f>
        <v>1250</v>
      </c>
      <c r="N20" s="65" t="n">
        <f aca="false">M20+N7</f>
        <v>1375</v>
      </c>
      <c r="O20" s="64" t="n">
        <f aca="false">AA20</f>
        <v>3562.5</v>
      </c>
      <c r="P20" s="65" t="n">
        <f aca="false">N20+P7</f>
        <v>1500</v>
      </c>
      <c r="Q20" s="65" t="n">
        <f aca="false">P20+Q7</f>
        <v>1687.5</v>
      </c>
      <c r="R20" s="65" t="n">
        <f aca="false">Q20+R7</f>
        <v>1875</v>
      </c>
      <c r="S20" s="65" t="n">
        <f aca="false">R20+S7</f>
        <v>2062.5</v>
      </c>
      <c r="T20" s="65" t="n">
        <f aca="false">S20+T7</f>
        <v>2250</v>
      </c>
      <c r="U20" s="65" t="n">
        <f aca="false">T20+U7</f>
        <v>2437.5</v>
      </c>
      <c r="V20" s="65" t="n">
        <f aca="false">U20+V7</f>
        <v>2625</v>
      </c>
      <c r="W20" s="65" t="n">
        <f aca="false">V20+W7</f>
        <v>2812.5</v>
      </c>
      <c r="X20" s="65" t="n">
        <f aca="false">W20+X7</f>
        <v>3000</v>
      </c>
      <c r="Y20" s="65" t="n">
        <f aca="false">X20+Y7</f>
        <v>3187.5</v>
      </c>
      <c r="Z20" s="65" t="n">
        <f aca="false">Y20+Z7</f>
        <v>3375</v>
      </c>
      <c r="AA20" s="65" t="n">
        <f aca="false">Z20+AA7</f>
        <v>3562.5</v>
      </c>
      <c r="AB20" s="64" t="n">
        <f aca="false">AN20</f>
        <v>6500</v>
      </c>
      <c r="AC20" s="65" t="n">
        <f aca="false">AA20+AC7</f>
        <v>3750</v>
      </c>
      <c r="AD20" s="65" t="n">
        <f aca="false">AC20+AD7</f>
        <v>4000</v>
      </c>
      <c r="AE20" s="65" t="n">
        <f aca="false">AD20+AE7</f>
        <v>4250</v>
      </c>
      <c r="AF20" s="65" t="n">
        <f aca="false">AE20+AF7</f>
        <v>4500</v>
      </c>
      <c r="AG20" s="65" t="n">
        <f aca="false">AF20+AG7</f>
        <v>4750</v>
      </c>
      <c r="AH20" s="65" t="n">
        <f aca="false">AG20+AH7</f>
        <v>5000</v>
      </c>
      <c r="AI20" s="65" t="n">
        <f aca="false">AH20+AI7</f>
        <v>5250</v>
      </c>
      <c r="AJ20" s="65" t="n">
        <f aca="false">AI20+AJ7</f>
        <v>5500</v>
      </c>
      <c r="AK20" s="65" t="n">
        <f aca="false">AJ20+AK7</f>
        <v>5750</v>
      </c>
      <c r="AL20" s="65" t="n">
        <f aca="false">AK20+AL7</f>
        <v>6000</v>
      </c>
      <c r="AM20" s="65" t="n">
        <f aca="false">AL20+AM7</f>
        <v>6250</v>
      </c>
      <c r="AN20" s="65" t="n">
        <f aca="false">AM20+AN7</f>
        <v>6500</v>
      </c>
      <c r="AO20" s="64" t="n">
        <f aca="false">BA20</f>
        <v>10416.6666666667</v>
      </c>
      <c r="AP20" s="65" t="n">
        <f aca="false">AN20+AP7</f>
        <v>6750</v>
      </c>
      <c r="AQ20" s="65" t="n">
        <f aca="false">AP20+AQ7</f>
        <v>7083.33333333333</v>
      </c>
      <c r="AR20" s="65" t="n">
        <f aca="false">AQ20+AR7</f>
        <v>7416.66666666667</v>
      </c>
      <c r="AS20" s="65" t="n">
        <f aca="false">AR20+AS7</f>
        <v>7750</v>
      </c>
      <c r="AT20" s="65" t="n">
        <f aca="false">AS20+AT7</f>
        <v>8083.33333333333</v>
      </c>
      <c r="AU20" s="65" t="n">
        <f aca="false">AT20+AU7</f>
        <v>8416.66666666667</v>
      </c>
      <c r="AV20" s="65" t="n">
        <f aca="false">AU20+AV7</f>
        <v>8750</v>
      </c>
      <c r="AW20" s="65" t="n">
        <f aca="false">AV20+AW7</f>
        <v>9083.33333333333</v>
      </c>
      <c r="AX20" s="65" t="n">
        <f aca="false">AW20+AX7</f>
        <v>9416.66666666667</v>
      </c>
      <c r="AY20" s="65" t="n">
        <f aca="false">AX20+AY7</f>
        <v>9750</v>
      </c>
      <c r="AZ20" s="65" t="n">
        <f aca="false">AY20+AZ7</f>
        <v>10083.3333333333</v>
      </c>
      <c r="BA20" s="65" t="n">
        <f aca="false">AZ20+BA7</f>
        <v>10416.6666666667</v>
      </c>
      <c r="BB20" s="64" t="n">
        <f aca="false">BN20</f>
        <v>15000</v>
      </c>
      <c r="BC20" s="65" t="n">
        <f aca="false">BA20+BC7</f>
        <v>10750</v>
      </c>
      <c r="BD20" s="65" t="n">
        <f aca="false">BC20+BD7</f>
        <v>11166.6666666667</v>
      </c>
      <c r="BE20" s="65" t="n">
        <f aca="false">BD20+BE7</f>
        <v>11583.3333333333</v>
      </c>
      <c r="BF20" s="65" t="n">
        <f aca="false">BE20+BF7</f>
        <v>12000</v>
      </c>
      <c r="BG20" s="65" t="n">
        <f aca="false">BF20+BG7</f>
        <v>12416.6666666667</v>
      </c>
      <c r="BH20" s="65" t="n">
        <f aca="false">BG20+BH7</f>
        <v>12833.3333333333</v>
      </c>
      <c r="BI20" s="65" t="n">
        <f aca="false">BH20+BI7</f>
        <v>13250</v>
      </c>
      <c r="BJ20" s="65" t="n">
        <f aca="false">BI20+BJ7</f>
        <v>13666.6666666667</v>
      </c>
      <c r="BK20" s="65" t="n">
        <f aca="false">BJ20+BK7</f>
        <v>14083.3333333333</v>
      </c>
      <c r="BL20" s="65" t="n">
        <f aca="false">BK20+BL7</f>
        <v>14500</v>
      </c>
      <c r="BM20" s="65" t="n">
        <f aca="false">BL20+BM7</f>
        <v>14916.6666666667</v>
      </c>
      <c r="BN20" s="65" t="n">
        <f aca="false">BM20+BN7</f>
        <v>15000</v>
      </c>
    </row>
    <row r="21" customFormat="false" ht="15" hidden="false" customHeight="false" outlineLevel="0" collapsed="false">
      <c r="A21" s="12" t="s">
        <v>468</v>
      </c>
      <c r="B21" s="64" t="n">
        <f aca="false">N21</f>
        <v>206.25</v>
      </c>
      <c r="C21" s="65" t="n">
        <f aca="false">C8</f>
        <v>0</v>
      </c>
      <c r="D21" s="65" t="n">
        <f aca="false">C21+D8</f>
        <v>18.75</v>
      </c>
      <c r="E21" s="65" t="n">
        <f aca="false">D21+E8</f>
        <v>37.5</v>
      </c>
      <c r="F21" s="65" t="n">
        <f aca="false">E21+F8</f>
        <v>56.25</v>
      </c>
      <c r="G21" s="65" t="n">
        <f aca="false">F21+G8</f>
        <v>75</v>
      </c>
      <c r="H21" s="65" t="n">
        <f aca="false">G21+H8</f>
        <v>93.75</v>
      </c>
      <c r="I21" s="65" t="n">
        <f aca="false">H21+I8</f>
        <v>112.5</v>
      </c>
      <c r="J21" s="65" t="n">
        <f aca="false">I21+J8</f>
        <v>131.25</v>
      </c>
      <c r="K21" s="65" t="n">
        <f aca="false">J21+K8</f>
        <v>150</v>
      </c>
      <c r="L21" s="65" t="n">
        <f aca="false">K21+L8</f>
        <v>168.75</v>
      </c>
      <c r="M21" s="65" t="n">
        <f aca="false">L21+M8</f>
        <v>187.5</v>
      </c>
      <c r="N21" s="65" t="n">
        <f aca="false">M21+N8</f>
        <v>206.25</v>
      </c>
      <c r="O21" s="64" t="n">
        <f aca="false">AA21</f>
        <v>534.375</v>
      </c>
      <c r="P21" s="65" t="n">
        <f aca="false">N21+P8</f>
        <v>225</v>
      </c>
      <c r="Q21" s="65" t="n">
        <f aca="false">P21+Q8</f>
        <v>253.125</v>
      </c>
      <c r="R21" s="65" t="n">
        <f aca="false">Q21+R8</f>
        <v>281.25</v>
      </c>
      <c r="S21" s="65" t="n">
        <f aca="false">R21+S8</f>
        <v>309.375</v>
      </c>
      <c r="T21" s="65" t="n">
        <f aca="false">S21+T8</f>
        <v>337.5</v>
      </c>
      <c r="U21" s="65" t="n">
        <f aca="false">T21+U8</f>
        <v>365.625</v>
      </c>
      <c r="V21" s="65" t="n">
        <f aca="false">U21+V8</f>
        <v>393.75</v>
      </c>
      <c r="W21" s="65" t="n">
        <f aca="false">V21+W8</f>
        <v>421.875</v>
      </c>
      <c r="X21" s="65" t="n">
        <f aca="false">W21+X8</f>
        <v>450</v>
      </c>
      <c r="Y21" s="65" t="n">
        <f aca="false">X21+Y8</f>
        <v>478.125</v>
      </c>
      <c r="Z21" s="65" t="n">
        <f aca="false">Y21+Z8</f>
        <v>506.25</v>
      </c>
      <c r="AA21" s="65" t="n">
        <f aca="false">Z21+AA8</f>
        <v>534.375</v>
      </c>
      <c r="AB21" s="64" t="n">
        <f aca="false">AN21</f>
        <v>975</v>
      </c>
      <c r="AC21" s="65" t="n">
        <f aca="false">AA21+AC8</f>
        <v>562.5</v>
      </c>
      <c r="AD21" s="65" t="n">
        <f aca="false">AC21+AD8</f>
        <v>600</v>
      </c>
      <c r="AE21" s="65" t="n">
        <f aca="false">AD21+AE8</f>
        <v>637.5</v>
      </c>
      <c r="AF21" s="65" t="n">
        <f aca="false">AE21+AF8</f>
        <v>675</v>
      </c>
      <c r="AG21" s="65" t="n">
        <f aca="false">AF21+AG8</f>
        <v>712.5</v>
      </c>
      <c r="AH21" s="65" t="n">
        <f aca="false">AG21+AH8</f>
        <v>750</v>
      </c>
      <c r="AI21" s="65" t="n">
        <f aca="false">AH21+AI8</f>
        <v>787.5</v>
      </c>
      <c r="AJ21" s="65" t="n">
        <f aca="false">AI21+AJ8</f>
        <v>825</v>
      </c>
      <c r="AK21" s="65" t="n">
        <f aca="false">AJ21+AK8</f>
        <v>862.5</v>
      </c>
      <c r="AL21" s="65" t="n">
        <f aca="false">AK21+AL8</f>
        <v>900</v>
      </c>
      <c r="AM21" s="65" t="n">
        <f aca="false">AL21+AM8</f>
        <v>937.5</v>
      </c>
      <c r="AN21" s="65" t="n">
        <f aca="false">AM21+AN8</f>
        <v>975</v>
      </c>
      <c r="AO21" s="64" t="n">
        <f aca="false">BA21</f>
        <v>1562.5</v>
      </c>
      <c r="AP21" s="65" t="n">
        <f aca="false">AN21+AP8</f>
        <v>1012.5</v>
      </c>
      <c r="AQ21" s="65" t="n">
        <f aca="false">AP21+AQ8</f>
        <v>1062.5</v>
      </c>
      <c r="AR21" s="65" t="n">
        <f aca="false">AQ21+AR8</f>
        <v>1112.5</v>
      </c>
      <c r="AS21" s="65" t="n">
        <f aca="false">AR21+AS8</f>
        <v>1162.5</v>
      </c>
      <c r="AT21" s="65" t="n">
        <f aca="false">AS21+AT8</f>
        <v>1212.5</v>
      </c>
      <c r="AU21" s="65" t="n">
        <f aca="false">AT21+AU8</f>
        <v>1262.5</v>
      </c>
      <c r="AV21" s="65" t="n">
        <f aca="false">AU21+AV8</f>
        <v>1312.5</v>
      </c>
      <c r="AW21" s="65" t="n">
        <f aca="false">AV21+AW8</f>
        <v>1362.5</v>
      </c>
      <c r="AX21" s="65" t="n">
        <f aca="false">AW21+AX8</f>
        <v>1412.5</v>
      </c>
      <c r="AY21" s="65" t="n">
        <f aca="false">AX21+AY8</f>
        <v>1462.5</v>
      </c>
      <c r="AZ21" s="65" t="n">
        <f aca="false">AY21+AZ8</f>
        <v>1512.5</v>
      </c>
      <c r="BA21" s="65" t="n">
        <f aca="false">AZ21+BA8</f>
        <v>1562.5</v>
      </c>
      <c r="BB21" s="64" t="n">
        <f aca="false">BN21</f>
        <v>2300</v>
      </c>
      <c r="BC21" s="65" t="n">
        <f aca="false">BA21+BC8</f>
        <v>1612.5</v>
      </c>
      <c r="BD21" s="65" t="n">
        <f aca="false">BC21+BD8</f>
        <v>1675</v>
      </c>
      <c r="BE21" s="65" t="n">
        <f aca="false">BD21+BE8</f>
        <v>1737.5</v>
      </c>
      <c r="BF21" s="65" t="n">
        <f aca="false">BE21+BF8</f>
        <v>1800</v>
      </c>
      <c r="BG21" s="65" t="n">
        <f aca="false">BF21+BG8</f>
        <v>1862.5</v>
      </c>
      <c r="BH21" s="65" t="n">
        <f aca="false">BG21+BH8</f>
        <v>1925</v>
      </c>
      <c r="BI21" s="65" t="n">
        <f aca="false">BH21+BI8</f>
        <v>1987.5</v>
      </c>
      <c r="BJ21" s="65" t="n">
        <f aca="false">BI21+BJ8</f>
        <v>2050</v>
      </c>
      <c r="BK21" s="65" t="n">
        <f aca="false">BJ21+BK8</f>
        <v>2112.5</v>
      </c>
      <c r="BL21" s="65" t="n">
        <f aca="false">BK21+BL8</f>
        <v>2175</v>
      </c>
      <c r="BM21" s="65" t="n">
        <f aca="false">BL21+BM8</f>
        <v>2237.5</v>
      </c>
      <c r="BN21" s="65" t="n">
        <f aca="false">BM21+BN8</f>
        <v>2300</v>
      </c>
    </row>
    <row r="22" customFormat="false" ht="15" hidden="false" customHeight="false" outlineLevel="0" collapsed="false">
      <c r="A22" s="12" t="s">
        <v>469</v>
      </c>
      <c r="B22" s="64" t="n">
        <f aca="false">N22</f>
        <v>495</v>
      </c>
      <c r="C22" s="65" t="n">
        <f aca="false">C9</f>
        <v>0</v>
      </c>
      <c r="D22" s="65" t="n">
        <f aca="false">C22+D9</f>
        <v>45</v>
      </c>
      <c r="E22" s="65" t="n">
        <f aca="false">D22+E9</f>
        <v>90</v>
      </c>
      <c r="F22" s="65" t="n">
        <f aca="false">E22+F9</f>
        <v>135</v>
      </c>
      <c r="G22" s="65" t="n">
        <f aca="false">F22+G9</f>
        <v>180</v>
      </c>
      <c r="H22" s="65" t="n">
        <f aca="false">G22+H9</f>
        <v>225</v>
      </c>
      <c r="I22" s="65" t="n">
        <f aca="false">H22+I9</f>
        <v>270</v>
      </c>
      <c r="J22" s="65" t="n">
        <f aca="false">I22+J9</f>
        <v>315</v>
      </c>
      <c r="K22" s="65" t="n">
        <f aca="false">J22+K9</f>
        <v>360</v>
      </c>
      <c r="L22" s="65" t="n">
        <f aca="false">K22+L9</f>
        <v>405</v>
      </c>
      <c r="M22" s="65" t="n">
        <f aca="false">L22+M9</f>
        <v>450</v>
      </c>
      <c r="N22" s="65" t="n">
        <f aca="false">M22+N9</f>
        <v>495</v>
      </c>
      <c r="O22" s="64" t="n">
        <f aca="false">AA22</f>
        <v>1282.5</v>
      </c>
      <c r="P22" s="65" t="n">
        <f aca="false">N22+P9</f>
        <v>540</v>
      </c>
      <c r="Q22" s="65" t="n">
        <f aca="false">P22+Q9</f>
        <v>607.5</v>
      </c>
      <c r="R22" s="65" t="n">
        <f aca="false">Q22+R9</f>
        <v>675</v>
      </c>
      <c r="S22" s="65" t="n">
        <f aca="false">R22+S9</f>
        <v>742.5</v>
      </c>
      <c r="T22" s="65" t="n">
        <f aca="false">S22+T9</f>
        <v>810</v>
      </c>
      <c r="U22" s="65" t="n">
        <f aca="false">T22+U9</f>
        <v>877.5</v>
      </c>
      <c r="V22" s="65" t="n">
        <f aca="false">U22+V9</f>
        <v>945</v>
      </c>
      <c r="W22" s="65" t="n">
        <f aca="false">V22+W9</f>
        <v>1012.5</v>
      </c>
      <c r="X22" s="65" t="n">
        <f aca="false">W22+X9</f>
        <v>1080</v>
      </c>
      <c r="Y22" s="65" t="n">
        <f aca="false">X22+Y9</f>
        <v>1147.5</v>
      </c>
      <c r="Z22" s="65" t="n">
        <f aca="false">Y22+Z9</f>
        <v>1215</v>
      </c>
      <c r="AA22" s="65" t="n">
        <f aca="false">Z22+AA9</f>
        <v>1282.5</v>
      </c>
      <c r="AB22" s="64" t="n">
        <f aca="false">AN22</f>
        <v>2160</v>
      </c>
      <c r="AC22" s="65" t="n">
        <f aca="false">AA22+AC9</f>
        <v>1350</v>
      </c>
      <c r="AD22" s="65" t="n">
        <f aca="false">AC22+AD9</f>
        <v>1440</v>
      </c>
      <c r="AE22" s="65" t="n">
        <f aca="false">AD22+AE9</f>
        <v>1530</v>
      </c>
      <c r="AF22" s="65" t="n">
        <f aca="false">AE22+AF9</f>
        <v>1620</v>
      </c>
      <c r="AG22" s="65" t="n">
        <f aca="false">AF22+AG9</f>
        <v>1710</v>
      </c>
      <c r="AH22" s="65" t="n">
        <f aca="false">AG22+AH9</f>
        <v>1800</v>
      </c>
      <c r="AI22" s="65" t="n">
        <f aca="false">AH22+AI9</f>
        <v>1890</v>
      </c>
      <c r="AJ22" s="65" t="n">
        <f aca="false">AI22+AJ9</f>
        <v>1980</v>
      </c>
      <c r="AK22" s="65" t="n">
        <f aca="false">AJ22+AK9</f>
        <v>2070</v>
      </c>
      <c r="AL22" s="65" t="n">
        <f aca="false">AK22+AL9</f>
        <v>2160</v>
      </c>
      <c r="AM22" s="65" t="n">
        <f aca="false">AL22+AM9</f>
        <v>2160</v>
      </c>
      <c r="AN22" s="65" t="n">
        <f aca="false">AM22+AN9</f>
        <v>2160</v>
      </c>
      <c r="AO22" s="64" t="n">
        <f aca="false">BA22</f>
        <v>2880</v>
      </c>
      <c r="AP22" s="65" t="n">
        <f aca="false">AN22+AP9</f>
        <v>2160</v>
      </c>
      <c r="AQ22" s="65" t="n">
        <f aca="false">AP22+AQ9</f>
        <v>2280</v>
      </c>
      <c r="AR22" s="65" t="n">
        <f aca="false">AQ22+AR9</f>
        <v>2400</v>
      </c>
      <c r="AS22" s="65" t="n">
        <f aca="false">AR22+AS9</f>
        <v>2520</v>
      </c>
      <c r="AT22" s="65" t="n">
        <f aca="false">AS22+AT9</f>
        <v>2640</v>
      </c>
      <c r="AU22" s="65" t="n">
        <f aca="false">AT22+AU9</f>
        <v>2760</v>
      </c>
      <c r="AV22" s="65" t="n">
        <f aca="false">AU22+AV9</f>
        <v>2880</v>
      </c>
      <c r="AW22" s="65" t="n">
        <f aca="false">AV22+AW9</f>
        <v>2880</v>
      </c>
      <c r="AX22" s="65" t="n">
        <f aca="false">AW22+AX9</f>
        <v>2880</v>
      </c>
      <c r="AY22" s="65" t="n">
        <f aca="false">AX22+AY9</f>
        <v>2880</v>
      </c>
      <c r="AZ22" s="65" t="n">
        <f aca="false">AY22+AZ9</f>
        <v>2880</v>
      </c>
      <c r="BA22" s="65" t="n">
        <f aca="false">AZ22+BA9</f>
        <v>2880</v>
      </c>
      <c r="BB22" s="64" t="n">
        <f aca="false">BN22</f>
        <v>3600</v>
      </c>
      <c r="BC22" s="65" t="n">
        <f aca="false">BA22+BC9</f>
        <v>2880</v>
      </c>
      <c r="BD22" s="65" t="n">
        <f aca="false">BC22+BD9</f>
        <v>3030</v>
      </c>
      <c r="BE22" s="65" t="n">
        <f aca="false">BD22+BE9</f>
        <v>3180</v>
      </c>
      <c r="BF22" s="65" t="n">
        <f aca="false">BE22+BF9</f>
        <v>3330</v>
      </c>
      <c r="BG22" s="65" t="n">
        <f aca="false">BF22+BG9</f>
        <v>3480</v>
      </c>
      <c r="BH22" s="65" t="n">
        <f aca="false">BG22+BH9</f>
        <v>3600</v>
      </c>
      <c r="BI22" s="65" t="n">
        <f aca="false">BH22+BI9</f>
        <v>3600</v>
      </c>
      <c r="BJ22" s="65" t="n">
        <f aca="false">BI22+BJ9</f>
        <v>3600</v>
      </c>
      <c r="BK22" s="65" t="n">
        <f aca="false">BJ22+BK9</f>
        <v>3600</v>
      </c>
      <c r="BL22" s="65" t="n">
        <f aca="false">BK22+BL9</f>
        <v>3600</v>
      </c>
      <c r="BM22" s="65" t="n">
        <f aca="false">BL22+BM9</f>
        <v>3600</v>
      </c>
      <c r="BN22" s="65" t="n">
        <f aca="false">BM22+BN9</f>
        <v>3600</v>
      </c>
    </row>
    <row r="23" customFormat="false" ht="15" hidden="false" customHeight="false" outlineLevel="0" collapsed="false">
      <c r="A23" s="12" t="s">
        <v>470</v>
      </c>
      <c r="B23" s="64" t="n">
        <f aca="false">N23</f>
        <v>0</v>
      </c>
      <c r="C23" s="65" t="n">
        <f aca="false">C10</f>
        <v>0</v>
      </c>
      <c r="D23" s="65" t="n">
        <f aca="false">C23+D10</f>
        <v>0</v>
      </c>
      <c r="E23" s="65" t="n">
        <f aca="false">D23+E10</f>
        <v>0</v>
      </c>
      <c r="F23" s="65" t="n">
        <f aca="false">E23+F10</f>
        <v>0</v>
      </c>
      <c r="G23" s="65" t="n">
        <f aca="false">F23+G10</f>
        <v>0</v>
      </c>
      <c r="H23" s="65" t="n">
        <f aca="false">G23+H10</f>
        <v>0</v>
      </c>
      <c r="I23" s="65" t="n">
        <f aca="false">H23+I10</f>
        <v>0</v>
      </c>
      <c r="J23" s="65" t="n">
        <f aca="false">I23+J10</f>
        <v>0</v>
      </c>
      <c r="K23" s="65" t="n">
        <f aca="false">J23+K10</f>
        <v>0</v>
      </c>
      <c r="L23" s="65" t="n">
        <f aca="false">K23+L10</f>
        <v>0</v>
      </c>
      <c r="M23" s="65" t="n">
        <f aca="false">L23+M10</f>
        <v>0</v>
      </c>
      <c r="N23" s="65" t="n">
        <f aca="false">M23+N10</f>
        <v>0</v>
      </c>
      <c r="O23" s="64" t="n">
        <f aca="false">AA23</f>
        <v>0</v>
      </c>
      <c r="P23" s="65" t="n">
        <f aca="false">N23+P10</f>
        <v>0</v>
      </c>
      <c r="Q23" s="65" t="n">
        <f aca="false">P23+Q10</f>
        <v>0</v>
      </c>
      <c r="R23" s="65" t="n">
        <f aca="false">Q23+R10</f>
        <v>0</v>
      </c>
      <c r="S23" s="65" t="n">
        <f aca="false">R23+S10</f>
        <v>0</v>
      </c>
      <c r="T23" s="65" t="n">
        <f aca="false">S23+T10</f>
        <v>0</v>
      </c>
      <c r="U23" s="65" t="n">
        <f aca="false">T23+U10</f>
        <v>0</v>
      </c>
      <c r="V23" s="65" t="n">
        <f aca="false">U23+V10</f>
        <v>0</v>
      </c>
      <c r="W23" s="65" t="n">
        <f aca="false">V23+W10</f>
        <v>0</v>
      </c>
      <c r="X23" s="65" t="n">
        <f aca="false">W23+X10</f>
        <v>0</v>
      </c>
      <c r="Y23" s="65" t="n">
        <f aca="false">X23+Y10</f>
        <v>0</v>
      </c>
      <c r="Z23" s="65" t="n">
        <f aca="false">Y23+Z10</f>
        <v>0</v>
      </c>
      <c r="AA23" s="65" t="n">
        <f aca="false">Z23+AA10</f>
        <v>0</v>
      </c>
      <c r="AB23" s="64" t="n">
        <f aca="false">AN23</f>
        <v>0</v>
      </c>
      <c r="AC23" s="65" t="n">
        <f aca="false">AA23+AC10</f>
        <v>0</v>
      </c>
      <c r="AD23" s="65" t="n">
        <f aca="false">AC23+AD10</f>
        <v>0</v>
      </c>
      <c r="AE23" s="65" t="n">
        <f aca="false">AD23+AE10</f>
        <v>0</v>
      </c>
      <c r="AF23" s="65" t="n">
        <f aca="false">AE23+AF10</f>
        <v>0</v>
      </c>
      <c r="AG23" s="65" t="n">
        <f aca="false">AF23+AG10</f>
        <v>0</v>
      </c>
      <c r="AH23" s="65" t="n">
        <f aca="false">AG23+AH10</f>
        <v>0</v>
      </c>
      <c r="AI23" s="65" t="n">
        <f aca="false">AH23+AI10</f>
        <v>0</v>
      </c>
      <c r="AJ23" s="65" t="n">
        <f aca="false">AI23+AJ10</f>
        <v>0</v>
      </c>
      <c r="AK23" s="65" t="n">
        <f aca="false">AJ23+AK10</f>
        <v>0</v>
      </c>
      <c r="AL23" s="65" t="n">
        <f aca="false">AK23+AL10</f>
        <v>0</v>
      </c>
      <c r="AM23" s="65" t="n">
        <f aca="false">AL23+AM10</f>
        <v>0</v>
      </c>
      <c r="AN23" s="65" t="n">
        <f aca="false">AM23+AN10</f>
        <v>0</v>
      </c>
      <c r="AO23" s="64" t="n">
        <f aca="false">BA23</f>
        <v>0</v>
      </c>
      <c r="AP23" s="65" t="n">
        <f aca="false">AN23+AP10</f>
        <v>0</v>
      </c>
      <c r="AQ23" s="65" t="n">
        <f aca="false">AP23+AQ10</f>
        <v>0</v>
      </c>
      <c r="AR23" s="65" t="n">
        <f aca="false">AQ23+AR10</f>
        <v>0</v>
      </c>
      <c r="AS23" s="65" t="n">
        <f aca="false">AR23+AS10</f>
        <v>0</v>
      </c>
      <c r="AT23" s="65" t="n">
        <f aca="false">AS23+AT10</f>
        <v>0</v>
      </c>
      <c r="AU23" s="65" t="n">
        <f aca="false">AT23+AU10</f>
        <v>0</v>
      </c>
      <c r="AV23" s="65" t="n">
        <f aca="false">AU23+AV10</f>
        <v>0</v>
      </c>
      <c r="AW23" s="65" t="n">
        <f aca="false">AV23+AW10</f>
        <v>0</v>
      </c>
      <c r="AX23" s="65" t="n">
        <f aca="false">AW23+AX10</f>
        <v>0</v>
      </c>
      <c r="AY23" s="65" t="n">
        <f aca="false">AX23+AY10</f>
        <v>0</v>
      </c>
      <c r="AZ23" s="65" t="n">
        <f aca="false">AY23+AZ10</f>
        <v>0</v>
      </c>
      <c r="BA23" s="65" t="n">
        <f aca="false">AZ23+BA10</f>
        <v>0</v>
      </c>
      <c r="BB23" s="64" t="n">
        <f aca="false">BN23</f>
        <v>0</v>
      </c>
      <c r="BC23" s="65" t="n">
        <f aca="false">BA23+BC10</f>
        <v>0</v>
      </c>
      <c r="BD23" s="65" t="n">
        <f aca="false">BC23+BD10</f>
        <v>0</v>
      </c>
      <c r="BE23" s="65" t="n">
        <f aca="false">BD23+BE10</f>
        <v>0</v>
      </c>
      <c r="BF23" s="65" t="n">
        <f aca="false">BE23+BF10</f>
        <v>0</v>
      </c>
      <c r="BG23" s="65" t="n">
        <f aca="false">BF23+BG10</f>
        <v>0</v>
      </c>
      <c r="BH23" s="65" t="n">
        <f aca="false">BG23+BH10</f>
        <v>0</v>
      </c>
      <c r="BI23" s="65" t="n">
        <f aca="false">BH23+BI10</f>
        <v>0</v>
      </c>
      <c r="BJ23" s="65" t="n">
        <f aca="false">BI23+BJ10</f>
        <v>0</v>
      </c>
      <c r="BK23" s="65" t="n">
        <f aca="false">BJ23+BK10</f>
        <v>0</v>
      </c>
      <c r="BL23" s="65" t="n">
        <f aca="false">BK23+BL10</f>
        <v>0</v>
      </c>
      <c r="BM23" s="65" t="n">
        <f aca="false">BL23+BM10</f>
        <v>0</v>
      </c>
      <c r="BN23" s="65" t="n">
        <f aca="false">BM23+BN10</f>
        <v>0</v>
      </c>
    </row>
    <row r="24" customFormat="false" ht="15" hidden="false" customHeight="false" outlineLevel="0" collapsed="false">
      <c r="A24" s="12" t="s">
        <v>474</v>
      </c>
      <c r="B24" s="64" t="n">
        <f aca="false">N24</f>
        <v>458.333333333333</v>
      </c>
      <c r="C24" s="65" t="n">
        <f aca="false">C11</f>
        <v>0</v>
      </c>
      <c r="D24" s="65" t="n">
        <f aca="false">C24+D11</f>
        <v>0</v>
      </c>
      <c r="E24" s="65" t="n">
        <f aca="false">D24+E11</f>
        <v>45.8333333333333</v>
      </c>
      <c r="F24" s="65" t="n">
        <f aca="false">E24+F11</f>
        <v>91.6666666666667</v>
      </c>
      <c r="G24" s="65" t="n">
        <f aca="false">F24+G11</f>
        <v>137.5</v>
      </c>
      <c r="H24" s="65" t="n">
        <f aca="false">G24+H11</f>
        <v>183.333333333333</v>
      </c>
      <c r="I24" s="65" t="n">
        <f aca="false">H24+I11</f>
        <v>229.166666666667</v>
      </c>
      <c r="J24" s="65" t="n">
        <f aca="false">I24+J11</f>
        <v>275</v>
      </c>
      <c r="K24" s="65" t="n">
        <f aca="false">J24+K11</f>
        <v>320.833333333333</v>
      </c>
      <c r="L24" s="65" t="n">
        <f aca="false">K24+L11</f>
        <v>366.666666666667</v>
      </c>
      <c r="M24" s="65" t="n">
        <f aca="false">L24+M11</f>
        <v>412.5</v>
      </c>
      <c r="N24" s="65" t="n">
        <f aca="false">M24+N11</f>
        <v>458.333333333333</v>
      </c>
      <c r="O24" s="64" t="n">
        <f aca="false">AA24</f>
        <v>1008.33333333333</v>
      </c>
      <c r="P24" s="65" t="n">
        <f aca="false">N24+P11</f>
        <v>504.166666666667</v>
      </c>
      <c r="Q24" s="65" t="n">
        <f aca="false">P24+Q11</f>
        <v>550</v>
      </c>
      <c r="R24" s="65" t="n">
        <f aca="false">Q24+R11</f>
        <v>595.833333333333</v>
      </c>
      <c r="S24" s="65" t="n">
        <f aca="false">R24+S11</f>
        <v>641.666666666667</v>
      </c>
      <c r="T24" s="65" t="n">
        <f aca="false">S24+T11</f>
        <v>687.5</v>
      </c>
      <c r="U24" s="65" t="n">
        <f aca="false">T24+U11</f>
        <v>733.333333333333</v>
      </c>
      <c r="V24" s="65" t="n">
        <f aca="false">U24+V11</f>
        <v>779.166666666667</v>
      </c>
      <c r="W24" s="65" t="n">
        <f aca="false">V24+W11</f>
        <v>825</v>
      </c>
      <c r="X24" s="65" t="n">
        <f aca="false">W24+X11</f>
        <v>870.833333333334</v>
      </c>
      <c r="Y24" s="65" t="n">
        <f aca="false">X24+Y11</f>
        <v>916.666666666667</v>
      </c>
      <c r="Z24" s="65" t="n">
        <f aca="false">Y24+Z11</f>
        <v>962.5</v>
      </c>
      <c r="AA24" s="65" t="n">
        <f aca="false">Z24+AA11</f>
        <v>1008.33333333333</v>
      </c>
      <c r="AB24" s="64" t="n">
        <f aca="false">AN24</f>
        <v>1558.33333333333</v>
      </c>
      <c r="AC24" s="65" t="n">
        <f aca="false">AA24+AC11</f>
        <v>1054.16666666667</v>
      </c>
      <c r="AD24" s="65" t="n">
        <f aca="false">AC24+AD11</f>
        <v>1100</v>
      </c>
      <c r="AE24" s="65" t="n">
        <f aca="false">AD24+AE11</f>
        <v>1145.83333333333</v>
      </c>
      <c r="AF24" s="65" t="n">
        <f aca="false">AE24+AF11</f>
        <v>1191.66666666667</v>
      </c>
      <c r="AG24" s="65" t="n">
        <f aca="false">AF24+AG11</f>
        <v>1237.5</v>
      </c>
      <c r="AH24" s="65" t="n">
        <f aca="false">AG24+AH11</f>
        <v>1283.33333333333</v>
      </c>
      <c r="AI24" s="65" t="n">
        <f aca="false">AH24+AI11</f>
        <v>1329.16666666667</v>
      </c>
      <c r="AJ24" s="65" t="n">
        <f aca="false">AI24+AJ11</f>
        <v>1375</v>
      </c>
      <c r="AK24" s="65" t="n">
        <f aca="false">AJ24+AK11</f>
        <v>1420.83333333333</v>
      </c>
      <c r="AL24" s="65" t="n">
        <f aca="false">AK24+AL11</f>
        <v>1466.66666666667</v>
      </c>
      <c r="AM24" s="65" t="n">
        <f aca="false">AL24+AM11</f>
        <v>1512.5</v>
      </c>
      <c r="AN24" s="65" t="n">
        <f aca="false">AM24+AN11</f>
        <v>1558.33333333333</v>
      </c>
      <c r="AO24" s="64" t="n">
        <f aca="false">BA24</f>
        <v>2108.33333333333</v>
      </c>
      <c r="AP24" s="65" t="n">
        <f aca="false">AN24+AP11</f>
        <v>1604.16666666667</v>
      </c>
      <c r="AQ24" s="65" t="n">
        <f aca="false">AP24+AQ11</f>
        <v>1650</v>
      </c>
      <c r="AR24" s="65" t="n">
        <f aca="false">AQ24+AR11</f>
        <v>1695.83333333333</v>
      </c>
      <c r="AS24" s="65" t="n">
        <f aca="false">AR24+AS11</f>
        <v>1741.66666666667</v>
      </c>
      <c r="AT24" s="65" t="n">
        <f aca="false">AS24+AT11</f>
        <v>1787.5</v>
      </c>
      <c r="AU24" s="65" t="n">
        <f aca="false">AT24+AU11</f>
        <v>1833.33333333333</v>
      </c>
      <c r="AV24" s="65" t="n">
        <f aca="false">AU24+AV11</f>
        <v>1879.16666666667</v>
      </c>
      <c r="AW24" s="65" t="n">
        <f aca="false">AV24+AW11</f>
        <v>1925</v>
      </c>
      <c r="AX24" s="65" t="n">
        <f aca="false">AW24+AX11</f>
        <v>1970.83333333333</v>
      </c>
      <c r="AY24" s="65" t="n">
        <f aca="false">AX24+AY11</f>
        <v>2016.66666666667</v>
      </c>
      <c r="AZ24" s="65" t="n">
        <f aca="false">AY24+AZ11</f>
        <v>2062.5</v>
      </c>
      <c r="BA24" s="65" t="n">
        <f aca="false">AZ24+BA11</f>
        <v>2108.33333333333</v>
      </c>
      <c r="BB24" s="64" t="n">
        <f aca="false">BN24</f>
        <v>2200</v>
      </c>
      <c r="BC24" s="65" t="n">
        <f aca="false">BA24+BC11</f>
        <v>2154.16666666667</v>
      </c>
      <c r="BD24" s="65" t="n">
        <f aca="false">BC24+BD11</f>
        <v>2200</v>
      </c>
      <c r="BE24" s="65" t="n">
        <f aca="false">BD24+BE11</f>
        <v>2200</v>
      </c>
      <c r="BF24" s="65" t="n">
        <f aca="false">BE24+BF11</f>
        <v>2200</v>
      </c>
      <c r="BG24" s="65" t="n">
        <f aca="false">BF24+BG11</f>
        <v>2200</v>
      </c>
      <c r="BH24" s="65" t="n">
        <f aca="false">BG24+BH11</f>
        <v>2200</v>
      </c>
      <c r="BI24" s="65" t="n">
        <f aca="false">BH24+BI11</f>
        <v>2200</v>
      </c>
      <c r="BJ24" s="65" t="n">
        <f aca="false">BI24+BJ11</f>
        <v>2200</v>
      </c>
      <c r="BK24" s="65" t="n">
        <f aca="false">BJ24+BK11</f>
        <v>2200</v>
      </c>
      <c r="BL24" s="65" t="n">
        <f aca="false">BK24+BL11</f>
        <v>2200</v>
      </c>
      <c r="BM24" s="65" t="n">
        <f aca="false">BL24+BM11</f>
        <v>2200</v>
      </c>
      <c r="BN24" s="65" t="n">
        <f aca="false">BM24+BN11</f>
        <v>2200</v>
      </c>
    </row>
    <row r="25" customFormat="false" ht="15" hidden="false" customHeight="false" outlineLevel="0" collapsed="false">
      <c r="A25" s="12" t="s">
        <v>475</v>
      </c>
      <c r="B25" s="64" t="n">
        <f aca="false">N25</f>
        <v>137.5</v>
      </c>
      <c r="C25" s="65" t="n">
        <f aca="false">C12</f>
        <v>0</v>
      </c>
      <c r="D25" s="65" t="n">
        <f aca="false">C25+D12</f>
        <v>12.5</v>
      </c>
      <c r="E25" s="65" t="n">
        <f aca="false">D25+E12</f>
        <v>25</v>
      </c>
      <c r="F25" s="65" t="n">
        <f aca="false">E25+F12</f>
        <v>37.5</v>
      </c>
      <c r="G25" s="65" t="n">
        <f aca="false">F25+G12</f>
        <v>50</v>
      </c>
      <c r="H25" s="65" t="n">
        <f aca="false">G25+H12</f>
        <v>62.5</v>
      </c>
      <c r="I25" s="65" t="n">
        <f aca="false">H25+I12</f>
        <v>75</v>
      </c>
      <c r="J25" s="65" t="n">
        <f aca="false">I25+J12</f>
        <v>87.5</v>
      </c>
      <c r="K25" s="65" t="n">
        <f aca="false">J25+K12</f>
        <v>100</v>
      </c>
      <c r="L25" s="65" t="n">
        <f aca="false">K25+L12</f>
        <v>112.5</v>
      </c>
      <c r="M25" s="65" t="n">
        <f aca="false">L25+M12</f>
        <v>125</v>
      </c>
      <c r="N25" s="65" t="n">
        <f aca="false">M25+N12</f>
        <v>137.5</v>
      </c>
      <c r="O25" s="64" t="n">
        <f aca="false">AA25</f>
        <v>287.5</v>
      </c>
      <c r="P25" s="65" t="n">
        <f aca="false">N25+P12</f>
        <v>150</v>
      </c>
      <c r="Q25" s="65" t="n">
        <f aca="false">P25+Q12</f>
        <v>162.5</v>
      </c>
      <c r="R25" s="65" t="n">
        <f aca="false">Q25+R12</f>
        <v>175</v>
      </c>
      <c r="S25" s="65" t="n">
        <f aca="false">R25+S12</f>
        <v>187.5</v>
      </c>
      <c r="T25" s="65" t="n">
        <f aca="false">S25+T12</f>
        <v>200</v>
      </c>
      <c r="U25" s="65" t="n">
        <f aca="false">T25+U12</f>
        <v>212.5</v>
      </c>
      <c r="V25" s="65" t="n">
        <f aca="false">U25+V12</f>
        <v>225</v>
      </c>
      <c r="W25" s="65" t="n">
        <f aca="false">V25+W12</f>
        <v>237.5</v>
      </c>
      <c r="X25" s="65" t="n">
        <f aca="false">W25+X12</f>
        <v>250</v>
      </c>
      <c r="Y25" s="65" t="n">
        <f aca="false">X25+Y12</f>
        <v>262.5</v>
      </c>
      <c r="Z25" s="65" t="n">
        <f aca="false">Y25+Z12</f>
        <v>275</v>
      </c>
      <c r="AA25" s="65" t="n">
        <f aca="false">Z25+AA12</f>
        <v>287.5</v>
      </c>
      <c r="AB25" s="64" t="n">
        <f aca="false">AN25</f>
        <v>437.5</v>
      </c>
      <c r="AC25" s="65" t="n">
        <f aca="false">AA25+AC12</f>
        <v>300</v>
      </c>
      <c r="AD25" s="65" t="n">
        <f aca="false">AC25+AD12</f>
        <v>312.5</v>
      </c>
      <c r="AE25" s="65" t="n">
        <f aca="false">AD25+AE12</f>
        <v>325</v>
      </c>
      <c r="AF25" s="65" t="n">
        <f aca="false">AE25+AF12</f>
        <v>337.5</v>
      </c>
      <c r="AG25" s="65" t="n">
        <f aca="false">AF25+AG12</f>
        <v>350</v>
      </c>
      <c r="AH25" s="65" t="n">
        <f aca="false">AG25+AH12</f>
        <v>362.5</v>
      </c>
      <c r="AI25" s="65" t="n">
        <f aca="false">AH25+AI12</f>
        <v>375</v>
      </c>
      <c r="AJ25" s="65" t="n">
        <f aca="false">AI25+AJ12</f>
        <v>387.5</v>
      </c>
      <c r="AK25" s="65" t="n">
        <f aca="false">AJ25+AK12</f>
        <v>400</v>
      </c>
      <c r="AL25" s="65" t="n">
        <f aca="false">AK25+AL12</f>
        <v>412.5</v>
      </c>
      <c r="AM25" s="65" t="n">
        <f aca="false">AL25+AM12</f>
        <v>425</v>
      </c>
      <c r="AN25" s="65" t="n">
        <f aca="false">AM25+AN12</f>
        <v>437.5</v>
      </c>
      <c r="AO25" s="64" t="n">
        <f aca="false">BA25</f>
        <v>587.5</v>
      </c>
      <c r="AP25" s="65" t="n">
        <f aca="false">AN25+AP12</f>
        <v>450</v>
      </c>
      <c r="AQ25" s="65" t="n">
        <f aca="false">AP25+AQ12</f>
        <v>462.5</v>
      </c>
      <c r="AR25" s="65" t="n">
        <f aca="false">AQ25+AR12</f>
        <v>475</v>
      </c>
      <c r="AS25" s="65" t="n">
        <f aca="false">AR25+AS12</f>
        <v>487.5</v>
      </c>
      <c r="AT25" s="65" t="n">
        <f aca="false">AS25+AT12</f>
        <v>500</v>
      </c>
      <c r="AU25" s="65" t="n">
        <f aca="false">AT25+AU12</f>
        <v>512.5</v>
      </c>
      <c r="AV25" s="65" t="n">
        <f aca="false">AU25+AV12</f>
        <v>525</v>
      </c>
      <c r="AW25" s="65" t="n">
        <f aca="false">AV25+AW12</f>
        <v>537.5</v>
      </c>
      <c r="AX25" s="65" t="n">
        <f aca="false">AW25+AX12</f>
        <v>550</v>
      </c>
      <c r="AY25" s="65" t="n">
        <f aca="false">AX25+AY12</f>
        <v>562.5</v>
      </c>
      <c r="AZ25" s="65" t="n">
        <f aca="false">AY25+AZ12</f>
        <v>575</v>
      </c>
      <c r="BA25" s="65" t="n">
        <f aca="false">AZ25+BA12</f>
        <v>587.5</v>
      </c>
      <c r="BB25" s="64" t="n">
        <f aca="false">BN25</f>
        <v>600</v>
      </c>
      <c r="BC25" s="65" t="n">
        <f aca="false">BA25+BC12</f>
        <v>600</v>
      </c>
      <c r="BD25" s="65" t="n">
        <f aca="false">BC25+BD12</f>
        <v>600</v>
      </c>
      <c r="BE25" s="65" t="n">
        <f aca="false">BD25+BE12</f>
        <v>600</v>
      </c>
      <c r="BF25" s="65" t="n">
        <f aca="false">BE25+BF12</f>
        <v>600</v>
      </c>
      <c r="BG25" s="65" t="n">
        <f aca="false">BF25+BG12</f>
        <v>600</v>
      </c>
      <c r="BH25" s="65" t="n">
        <f aca="false">BG25+BH12</f>
        <v>600</v>
      </c>
      <c r="BI25" s="65" t="n">
        <f aca="false">BH25+BI12</f>
        <v>600</v>
      </c>
      <c r="BJ25" s="65" t="n">
        <f aca="false">BI25+BJ12</f>
        <v>600</v>
      </c>
      <c r="BK25" s="65" t="n">
        <f aca="false">BJ25+BK12</f>
        <v>600</v>
      </c>
      <c r="BL25" s="65" t="n">
        <f aca="false">BK25+BL12</f>
        <v>600</v>
      </c>
      <c r="BM25" s="65" t="n">
        <f aca="false">BL25+BM12</f>
        <v>600</v>
      </c>
      <c r="BN25" s="65" t="n">
        <f aca="false">BM25+BN12</f>
        <v>600</v>
      </c>
    </row>
    <row r="26" customFormat="false" ht="15" hidden="false" customHeight="false" outlineLevel="0" collapsed="false">
      <c r="A26" s="12" t="s">
        <v>476</v>
      </c>
      <c r="B26" s="64" t="n">
        <f aca="false">N26</f>
        <v>550</v>
      </c>
      <c r="C26" s="65" t="n">
        <f aca="false">C13</f>
        <v>0</v>
      </c>
      <c r="D26" s="65" t="n">
        <f aca="false">C26+D13</f>
        <v>50</v>
      </c>
      <c r="E26" s="65" t="n">
        <f aca="false">D26+E13</f>
        <v>100</v>
      </c>
      <c r="F26" s="65" t="n">
        <f aca="false">E26+F13</f>
        <v>150</v>
      </c>
      <c r="G26" s="65" t="n">
        <f aca="false">F26+G13</f>
        <v>200</v>
      </c>
      <c r="H26" s="65" t="n">
        <f aca="false">G26+H13</f>
        <v>250</v>
      </c>
      <c r="I26" s="65" t="n">
        <f aca="false">H26+I13</f>
        <v>300</v>
      </c>
      <c r="J26" s="65" t="n">
        <f aca="false">I26+J13</f>
        <v>350</v>
      </c>
      <c r="K26" s="65" t="n">
        <f aca="false">J26+K13</f>
        <v>400</v>
      </c>
      <c r="L26" s="65" t="n">
        <f aca="false">K26+L13</f>
        <v>450</v>
      </c>
      <c r="M26" s="65" t="n">
        <f aca="false">L26+M13</f>
        <v>500</v>
      </c>
      <c r="N26" s="65" t="n">
        <f aca="false">M26+N13</f>
        <v>550</v>
      </c>
      <c r="O26" s="64" t="n">
        <f aca="false">AA26</f>
        <v>1150</v>
      </c>
      <c r="P26" s="65" t="n">
        <f aca="false">N26+P13</f>
        <v>600</v>
      </c>
      <c r="Q26" s="65" t="n">
        <f aca="false">P26+Q13</f>
        <v>650</v>
      </c>
      <c r="R26" s="65" t="n">
        <f aca="false">Q26+R13</f>
        <v>700</v>
      </c>
      <c r="S26" s="65" t="n">
        <f aca="false">R26+S13</f>
        <v>750</v>
      </c>
      <c r="T26" s="65" t="n">
        <f aca="false">S26+T13</f>
        <v>800</v>
      </c>
      <c r="U26" s="65" t="n">
        <f aca="false">T26+U13</f>
        <v>850</v>
      </c>
      <c r="V26" s="65" t="n">
        <f aca="false">U26+V13</f>
        <v>900</v>
      </c>
      <c r="W26" s="65" t="n">
        <f aca="false">V26+W13</f>
        <v>950</v>
      </c>
      <c r="X26" s="65" t="n">
        <f aca="false">W26+X13</f>
        <v>1000</v>
      </c>
      <c r="Y26" s="65" t="n">
        <f aca="false">X26+Y13</f>
        <v>1050</v>
      </c>
      <c r="Z26" s="65" t="n">
        <f aca="false">Y26+Z13</f>
        <v>1100</v>
      </c>
      <c r="AA26" s="65" t="n">
        <f aca="false">Z26+AA13</f>
        <v>1150</v>
      </c>
      <c r="AB26" s="64" t="n">
        <f aca="false">AN26</f>
        <v>1750</v>
      </c>
      <c r="AC26" s="65" t="n">
        <f aca="false">AA26+AC13</f>
        <v>1200</v>
      </c>
      <c r="AD26" s="65" t="n">
        <f aca="false">AC26+AD13</f>
        <v>1250</v>
      </c>
      <c r="AE26" s="65" t="n">
        <f aca="false">AD26+AE13</f>
        <v>1300</v>
      </c>
      <c r="AF26" s="65" t="n">
        <f aca="false">AE26+AF13</f>
        <v>1350</v>
      </c>
      <c r="AG26" s="65" t="n">
        <f aca="false">AF26+AG13</f>
        <v>1400</v>
      </c>
      <c r="AH26" s="65" t="n">
        <f aca="false">AG26+AH13</f>
        <v>1450</v>
      </c>
      <c r="AI26" s="65" t="n">
        <f aca="false">AH26+AI13</f>
        <v>1500</v>
      </c>
      <c r="AJ26" s="65" t="n">
        <f aca="false">AI26+AJ13</f>
        <v>1550</v>
      </c>
      <c r="AK26" s="65" t="n">
        <f aca="false">AJ26+AK13</f>
        <v>1600</v>
      </c>
      <c r="AL26" s="65" t="n">
        <f aca="false">AK26+AL13</f>
        <v>1650</v>
      </c>
      <c r="AM26" s="65" t="n">
        <f aca="false">AL26+AM13</f>
        <v>1700</v>
      </c>
      <c r="AN26" s="65" t="n">
        <f aca="false">AM26+AN13</f>
        <v>1750</v>
      </c>
      <c r="AO26" s="64" t="n">
        <f aca="false">BA26</f>
        <v>2350</v>
      </c>
      <c r="AP26" s="65" t="n">
        <f aca="false">AN26+AP13</f>
        <v>1800</v>
      </c>
      <c r="AQ26" s="65" t="n">
        <f aca="false">AP26+AQ13</f>
        <v>1850</v>
      </c>
      <c r="AR26" s="65" t="n">
        <f aca="false">AQ26+AR13</f>
        <v>1900</v>
      </c>
      <c r="AS26" s="65" t="n">
        <f aca="false">AR26+AS13</f>
        <v>1950</v>
      </c>
      <c r="AT26" s="65" t="n">
        <f aca="false">AS26+AT13</f>
        <v>2000</v>
      </c>
      <c r="AU26" s="65" t="n">
        <f aca="false">AT26+AU13</f>
        <v>2050</v>
      </c>
      <c r="AV26" s="65" t="n">
        <f aca="false">AU26+AV13</f>
        <v>2100</v>
      </c>
      <c r="AW26" s="65" t="n">
        <f aca="false">AV26+AW13</f>
        <v>2150</v>
      </c>
      <c r="AX26" s="65" t="n">
        <f aca="false">AW26+AX13</f>
        <v>2200</v>
      </c>
      <c r="AY26" s="65" t="n">
        <f aca="false">AX26+AY13</f>
        <v>2250</v>
      </c>
      <c r="AZ26" s="65" t="n">
        <f aca="false">AY26+AZ13</f>
        <v>2300</v>
      </c>
      <c r="BA26" s="65" t="n">
        <f aca="false">AZ26+BA13</f>
        <v>2350</v>
      </c>
      <c r="BB26" s="64" t="n">
        <f aca="false">BN26</f>
        <v>2950</v>
      </c>
      <c r="BC26" s="65" t="n">
        <f aca="false">BA26+BC13</f>
        <v>2400</v>
      </c>
      <c r="BD26" s="65" t="n">
        <f aca="false">BC26+BD13</f>
        <v>2450</v>
      </c>
      <c r="BE26" s="65" t="n">
        <f aca="false">BD26+BE13</f>
        <v>2500</v>
      </c>
      <c r="BF26" s="65" t="n">
        <f aca="false">BE26+BF13</f>
        <v>2550</v>
      </c>
      <c r="BG26" s="65" t="n">
        <f aca="false">BF26+BG13</f>
        <v>2600</v>
      </c>
      <c r="BH26" s="65" t="n">
        <f aca="false">BG26+BH13</f>
        <v>2650</v>
      </c>
      <c r="BI26" s="65" t="n">
        <f aca="false">BH26+BI13</f>
        <v>2700</v>
      </c>
      <c r="BJ26" s="65" t="n">
        <f aca="false">BI26+BJ13</f>
        <v>2750</v>
      </c>
      <c r="BK26" s="65" t="n">
        <f aca="false">BJ26+BK13</f>
        <v>2800</v>
      </c>
      <c r="BL26" s="65" t="n">
        <f aca="false">BK26+BL13</f>
        <v>2850</v>
      </c>
      <c r="BM26" s="65" t="n">
        <f aca="false">BL26+BM13</f>
        <v>2900</v>
      </c>
      <c r="BN26" s="65" t="n">
        <f aca="false">BM26+BN13</f>
        <v>2950</v>
      </c>
    </row>
    <row r="27" customFormat="false" ht="15" hidden="false" customHeight="false" outlineLevel="0" collapsed="false">
      <c r="A27" s="12" t="s">
        <v>477</v>
      </c>
      <c r="B27" s="64" t="n">
        <f aca="false">N27</f>
        <v>0</v>
      </c>
      <c r="C27" s="65" t="n">
        <f aca="false">C14</f>
        <v>0</v>
      </c>
      <c r="D27" s="65" t="n">
        <f aca="false">C27+D14</f>
        <v>0</v>
      </c>
      <c r="E27" s="65" t="n">
        <f aca="false">D27+E14</f>
        <v>0</v>
      </c>
      <c r="F27" s="65" t="n">
        <f aca="false">E27+F14</f>
        <v>0</v>
      </c>
      <c r="G27" s="65" t="n">
        <f aca="false">F27+G14</f>
        <v>0</v>
      </c>
      <c r="H27" s="65" t="n">
        <f aca="false">G27+H14</f>
        <v>0</v>
      </c>
      <c r="I27" s="65" t="n">
        <f aca="false">H27+I14</f>
        <v>0</v>
      </c>
      <c r="J27" s="65" t="n">
        <f aca="false">I27+J14</f>
        <v>0</v>
      </c>
      <c r="K27" s="65" t="n">
        <f aca="false">J27+K14</f>
        <v>0</v>
      </c>
      <c r="L27" s="65" t="n">
        <f aca="false">K27+L14</f>
        <v>0</v>
      </c>
      <c r="M27" s="65" t="n">
        <f aca="false">L27+M14</f>
        <v>0</v>
      </c>
      <c r="N27" s="65" t="n">
        <f aca="false">M27+N14</f>
        <v>0</v>
      </c>
      <c r="O27" s="64" t="n">
        <f aca="false">AA27</f>
        <v>0</v>
      </c>
      <c r="P27" s="65" t="n">
        <f aca="false">N27+P14</f>
        <v>0</v>
      </c>
      <c r="Q27" s="65" t="n">
        <f aca="false">P27+Q14</f>
        <v>0</v>
      </c>
      <c r="R27" s="65" t="n">
        <f aca="false">Q27+R14</f>
        <v>0</v>
      </c>
      <c r="S27" s="65" t="n">
        <f aca="false">R27+S14</f>
        <v>0</v>
      </c>
      <c r="T27" s="65" t="n">
        <f aca="false">S27+T14</f>
        <v>0</v>
      </c>
      <c r="U27" s="65" t="n">
        <f aca="false">T27+U14</f>
        <v>0</v>
      </c>
      <c r="V27" s="65" t="n">
        <f aca="false">U27+V14</f>
        <v>0</v>
      </c>
      <c r="W27" s="65" t="n">
        <f aca="false">V27+W14</f>
        <v>0</v>
      </c>
      <c r="X27" s="65" t="n">
        <f aca="false">W27+X14</f>
        <v>0</v>
      </c>
      <c r="Y27" s="65" t="n">
        <f aca="false">X27+Y14</f>
        <v>0</v>
      </c>
      <c r="Z27" s="65" t="n">
        <f aca="false">Y27+Z14</f>
        <v>0</v>
      </c>
      <c r="AA27" s="65" t="n">
        <f aca="false">Z27+AA14</f>
        <v>0</v>
      </c>
      <c r="AB27" s="64" t="n">
        <f aca="false">AN27</f>
        <v>733.333333333333</v>
      </c>
      <c r="AC27" s="65" t="n">
        <f aca="false">AA27+AC14</f>
        <v>0</v>
      </c>
      <c r="AD27" s="65" t="n">
        <f aca="false">AC27+AD14</f>
        <v>66.6666666666667</v>
      </c>
      <c r="AE27" s="65" t="n">
        <f aca="false">AD27+AE14</f>
        <v>133.333333333333</v>
      </c>
      <c r="AF27" s="65" t="n">
        <f aca="false">AE27+AF14</f>
        <v>200</v>
      </c>
      <c r="AG27" s="65" t="n">
        <f aca="false">AF27+AG14</f>
        <v>266.666666666667</v>
      </c>
      <c r="AH27" s="65" t="n">
        <f aca="false">AG27+AH14</f>
        <v>333.333333333333</v>
      </c>
      <c r="AI27" s="65" t="n">
        <f aca="false">AH27+AI14</f>
        <v>400</v>
      </c>
      <c r="AJ27" s="65" t="n">
        <f aca="false">AI27+AJ14</f>
        <v>466.666666666667</v>
      </c>
      <c r="AK27" s="65" t="n">
        <f aca="false">AJ27+AK14</f>
        <v>533.333333333333</v>
      </c>
      <c r="AL27" s="65" t="n">
        <f aca="false">AK27+AL14</f>
        <v>600</v>
      </c>
      <c r="AM27" s="65" t="n">
        <f aca="false">AL27+AM14</f>
        <v>666.666666666667</v>
      </c>
      <c r="AN27" s="65" t="n">
        <f aca="false">AM27+AN14</f>
        <v>733.333333333333</v>
      </c>
      <c r="AO27" s="64" t="n">
        <f aca="false">BA27</f>
        <v>1533.33333333333</v>
      </c>
      <c r="AP27" s="65" t="n">
        <f aca="false">AN27+AP14</f>
        <v>800</v>
      </c>
      <c r="AQ27" s="65" t="n">
        <f aca="false">AP27+AQ14</f>
        <v>866.666666666667</v>
      </c>
      <c r="AR27" s="65" t="n">
        <f aca="false">AQ27+AR14</f>
        <v>933.333333333333</v>
      </c>
      <c r="AS27" s="65" t="n">
        <f aca="false">AR27+AS14</f>
        <v>1000</v>
      </c>
      <c r="AT27" s="65" t="n">
        <f aca="false">AS27+AT14</f>
        <v>1066.66666666667</v>
      </c>
      <c r="AU27" s="65" t="n">
        <f aca="false">AT27+AU14</f>
        <v>1133.33333333333</v>
      </c>
      <c r="AV27" s="65" t="n">
        <f aca="false">AU27+AV14</f>
        <v>1200</v>
      </c>
      <c r="AW27" s="65" t="n">
        <f aca="false">AV27+AW14</f>
        <v>1266.66666666667</v>
      </c>
      <c r="AX27" s="65" t="n">
        <f aca="false">AW27+AX14</f>
        <v>1333.33333333333</v>
      </c>
      <c r="AY27" s="65" t="n">
        <f aca="false">AX27+AY14</f>
        <v>1400</v>
      </c>
      <c r="AZ27" s="65" t="n">
        <f aca="false">AY27+AZ14</f>
        <v>1466.66666666667</v>
      </c>
      <c r="BA27" s="65" t="n">
        <f aca="false">AZ27+BA14</f>
        <v>1533.33333333333</v>
      </c>
      <c r="BB27" s="64" t="n">
        <f aca="false">BN27</f>
        <v>2333.33333333333</v>
      </c>
      <c r="BC27" s="65" t="n">
        <f aca="false">BA27+BC14</f>
        <v>1600</v>
      </c>
      <c r="BD27" s="65" t="n">
        <f aca="false">BC27+BD14</f>
        <v>1666.66666666667</v>
      </c>
      <c r="BE27" s="65" t="n">
        <f aca="false">BD27+BE14</f>
        <v>1733.33333333333</v>
      </c>
      <c r="BF27" s="65" t="n">
        <f aca="false">BE27+BF14</f>
        <v>1800</v>
      </c>
      <c r="BG27" s="65" t="n">
        <f aca="false">BF27+BG14</f>
        <v>1866.66666666667</v>
      </c>
      <c r="BH27" s="65" t="n">
        <f aca="false">BG27+BH14</f>
        <v>1933.33333333333</v>
      </c>
      <c r="BI27" s="65" t="n">
        <f aca="false">BH27+BI14</f>
        <v>2000</v>
      </c>
      <c r="BJ27" s="65" t="n">
        <f aca="false">BI27+BJ14</f>
        <v>2066.66666666667</v>
      </c>
      <c r="BK27" s="65" t="n">
        <f aca="false">BJ27+BK14</f>
        <v>2133.33333333333</v>
      </c>
      <c r="BL27" s="65" t="n">
        <f aca="false">BK27+BL14</f>
        <v>2200</v>
      </c>
      <c r="BM27" s="65" t="n">
        <f aca="false">BL27+BM14</f>
        <v>2266.66666666667</v>
      </c>
      <c r="BN27" s="65" t="n">
        <f aca="false">BM27+BN14</f>
        <v>2333.33333333333</v>
      </c>
    </row>
    <row r="28" customFormat="false" ht="15" hidden="false" customHeight="false" outlineLevel="0" collapsed="false">
      <c r="A28" s="12" t="s">
        <v>478</v>
      </c>
      <c r="B28" s="64" t="n">
        <f aca="false">N28</f>
        <v>0</v>
      </c>
      <c r="C28" s="65" t="n">
        <f aca="false">C15</f>
        <v>0</v>
      </c>
      <c r="D28" s="65" t="n">
        <f aca="false">C28+D15</f>
        <v>0</v>
      </c>
      <c r="E28" s="65" t="n">
        <f aca="false">D28+E15</f>
        <v>0</v>
      </c>
      <c r="F28" s="65" t="n">
        <f aca="false">E28+F15</f>
        <v>0</v>
      </c>
      <c r="G28" s="65" t="n">
        <f aca="false">F28+G15</f>
        <v>0</v>
      </c>
      <c r="H28" s="65" t="n">
        <f aca="false">G28+H15</f>
        <v>0</v>
      </c>
      <c r="I28" s="65" t="n">
        <f aca="false">H28+I15</f>
        <v>0</v>
      </c>
      <c r="J28" s="65" t="n">
        <f aca="false">I28+J15</f>
        <v>0</v>
      </c>
      <c r="K28" s="65" t="n">
        <f aca="false">J28+K15</f>
        <v>0</v>
      </c>
      <c r="L28" s="65" t="n">
        <f aca="false">K28+L15</f>
        <v>0</v>
      </c>
      <c r="M28" s="65" t="n">
        <f aca="false">L28+M15</f>
        <v>0</v>
      </c>
      <c r="N28" s="65" t="n">
        <f aca="false">M28+N15</f>
        <v>0</v>
      </c>
      <c r="O28" s="64" t="n">
        <f aca="false">AA28</f>
        <v>0</v>
      </c>
      <c r="P28" s="65" t="n">
        <f aca="false">N28+P15</f>
        <v>0</v>
      </c>
      <c r="Q28" s="65" t="n">
        <f aca="false">P28+Q15</f>
        <v>0</v>
      </c>
      <c r="R28" s="65" t="n">
        <f aca="false">Q28+R15</f>
        <v>0</v>
      </c>
      <c r="S28" s="65" t="n">
        <f aca="false">R28+S15</f>
        <v>0</v>
      </c>
      <c r="T28" s="65" t="n">
        <f aca="false">S28+T15</f>
        <v>0</v>
      </c>
      <c r="U28" s="65" t="n">
        <f aca="false">T28+U15</f>
        <v>0</v>
      </c>
      <c r="V28" s="65" t="n">
        <f aca="false">U28+V15</f>
        <v>0</v>
      </c>
      <c r="W28" s="65" t="n">
        <f aca="false">V28+W15</f>
        <v>0</v>
      </c>
      <c r="X28" s="65" t="n">
        <f aca="false">W28+X15</f>
        <v>0</v>
      </c>
      <c r="Y28" s="65" t="n">
        <f aca="false">X28+Y15</f>
        <v>0</v>
      </c>
      <c r="Z28" s="65" t="n">
        <f aca="false">Y28+Z15</f>
        <v>0</v>
      </c>
      <c r="AA28" s="65" t="n">
        <f aca="false">Z28+AA15</f>
        <v>0</v>
      </c>
      <c r="AB28" s="64" t="n">
        <f aca="false">AN28</f>
        <v>1100</v>
      </c>
      <c r="AC28" s="65" t="n">
        <f aca="false">AA28+AC15</f>
        <v>0</v>
      </c>
      <c r="AD28" s="65" t="n">
        <f aca="false">AC28+AD15</f>
        <v>100</v>
      </c>
      <c r="AE28" s="65" t="n">
        <f aca="false">AD28+AE15</f>
        <v>200</v>
      </c>
      <c r="AF28" s="65" t="n">
        <f aca="false">AE28+AF15</f>
        <v>300</v>
      </c>
      <c r="AG28" s="65" t="n">
        <f aca="false">AF28+AG15</f>
        <v>400</v>
      </c>
      <c r="AH28" s="65" t="n">
        <f aca="false">AG28+AH15</f>
        <v>500</v>
      </c>
      <c r="AI28" s="65" t="n">
        <f aca="false">AH28+AI15</f>
        <v>600</v>
      </c>
      <c r="AJ28" s="65" t="n">
        <f aca="false">AI28+AJ15</f>
        <v>700</v>
      </c>
      <c r="AK28" s="65" t="n">
        <f aca="false">AJ28+AK15</f>
        <v>800</v>
      </c>
      <c r="AL28" s="65" t="n">
        <f aca="false">AK28+AL15</f>
        <v>900</v>
      </c>
      <c r="AM28" s="65" t="n">
        <f aca="false">AL28+AM15</f>
        <v>1000</v>
      </c>
      <c r="AN28" s="65" t="n">
        <f aca="false">AM28+AN15</f>
        <v>1100</v>
      </c>
      <c r="AO28" s="64" t="n">
        <f aca="false">BA28</f>
        <v>2300</v>
      </c>
      <c r="AP28" s="65" t="n">
        <f aca="false">AN28+AP15</f>
        <v>1200</v>
      </c>
      <c r="AQ28" s="65" t="n">
        <f aca="false">AP28+AQ15</f>
        <v>1300</v>
      </c>
      <c r="AR28" s="65" t="n">
        <f aca="false">AQ28+AR15</f>
        <v>1400</v>
      </c>
      <c r="AS28" s="65" t="n">
        <f aca="false">AR28+AS15</f>
        <v>1500</v>
      </c>
      <c r="AT28" s="65" t="n">
        <f aca="false">AS28+AT15</f>
        <v>1600</v>
      </c>
      <c r="AU28" s="65" t="n">
        <f aca="false">AT28+AU15</f>
        <v>1700</v>
      </c>
      <c r="AV28" s="65" t="n">
        <f aca="false">AU28+AV15</f>
        <v>1800</v>
      </c>
      <c r="AW28" s="65" t="n">
        <f aca="false">AV28+AW15</f>
        <v>1900</v>
      </c>
      <c r="AX28" s="65" t="n">
        <f aca="false">AW28+AX15</f>
        <v>2000</v>
      </c>
      <c r="AY28" s="65" t="n">
        <f aca="false">AX28+AY15</f>
        <v>2100</v>
      </c>
      <c r="AZ28" s="65" t="n">
        <f aca="false">AY28+AZ15</f>
        <v>2200</v>
      </c>
      <c r="BA28" s="65" t="n">
        <f aca="false">AZ28+BA15</f>
        <v>2300</v>
      </c>
      <c r="BB28" s="64" t="n">
        <f aca="false">BN28</f>
        <v>3500</v>
      </c>
      <c r="BC28" s="65" t="n">
        <f aca="false">BA28+BC15</f>
        <v>2400</v>
      </c>
      <c r="BD28" s="65" t="n">
        <f aca="false">BC28+BD15</f>
        <v>2500</v>
      </c>
      <c r="BE28" s="65" t="n">
        <f aca="false">BD28+BE15</f>
        <v>2600</v>
      </c>
      <c r="BF28" s="65" t="n">
        <f aca="false">BE28+BF15</f>
        <v>2700</v>
      </c>
      <c r="BG28" s="65" t="n">
        <f aca="false">BF28+BG15</f>
        <v>2800</v>
      </c>
      <c r="BH28" s="65" t="n">
        <f aca="false">BG28+BH15</f>
        <v>2900</v>
      </c>
      <c r="BI28" s="65" t="n">
        <f aca="false">BH28+BI15</f>
        <v>3000</v>
      </c>
      <c r="BJ28" s="65" t="n">
        <f aca="false">BI28+BJ15</f>
        <v>3100</v>
      </c>
      <c r="BK28" s="65" t="n">
        <f aca="false">BJ28+BK15</f>
        <v>3200</v>
      </c>
      <c r="BL28" s="65" t="n">
        <f aca="false">BK28+BL15</f>
        <v>3300</v>
      </c>
      <c r="BM28" s="65" t="n">
        <f aca="false">BL28+BM15</f>
        <v>3400</v>
      </c>
      <c r="BN28" s="65" t="n">
        <f aca="false">BM28+BN15</f>
        <v>3500</v>
      </c>
    </row>
    <row r="29" customFormat="false" ht="15" hidden="false" customHeight="false" outlineLevel="0" collapsed="false">
      <c r="A29" s="69" t="s">
        <v>793</v>
      </c>
      <c r="B29" s="64" t="n">
        <f aca="false">N29</f>
        <v>3222.08333333333</v>
      </c>
      <c r="C29" s="70" t="n">
        <f aca="false">SUM(C20:C28)</f>
        <v>0</v>
      </c>
      <c r="D29" s="70" t="n">
        <f aca="false">SUM(D20:D28)</f>
        <v>251.25</v>
      </c>
      <c r="E29" s="70" t="n">
        <f aca="false">SUM(E20:E28)</f>
        <v>548.333333333333</v>
      </c>
      <c r="F29" s="70" t="n">
        <f aca="false">SUM(F20:F28)</f>
        <v>845.416666666667</v>
      </c>
      <c r="G29" s="70" t="n">
        <f aca="false">SUM(G20:G28)</f>
        <v>1142.5</v>
      </c>
      <c r="H29" s="70" t="n">
        <f aca="false">SUM(H20:H28)</f>
        <v>1439.58333333333</v>
      </c>
      <c r="I29" s="70" t="n">
        <f aca="false">SUM(I20:I28)</f>
        <v>1736.66666666667</v>
      </c>
      <c r="J29" s="70" t="n">
        <f aca="false">SUM(J20:J28)</f>
        <v>2033.75</v>
      </c>
      <c r="K29" s="70" t="n">
        <f aca="false">SUM(K20:K28)</f>
        <v>2330.83333333333</v>
      </c>
      <c r="L29" s="70" t="n">
        <f aca="false">SUM(L20:L28)</f>
        <v>2627.91666666667</v>
      </c>
      <c r="M29" s="70" t="n">
        <f aca="false">SUM(M20:M28)</f>
        <v>2925</v>
      </c>
      <c r="N29" s="70" t="n">
        <f aca="false">SUM(N20:N28)</f>
        <v>3222.08333333333</v>
      </c>
      <c r="O29" s="64" t="n">
        <f aca="false">AA29</f>
        <v>7825.20833333333</v>
      </c>
      <c r="P29" s="70" t="n">
        <f aca="false">SUM(P20:P28)</f>
        <v>3519.16666666667</v>
      </c>
      <c r="Q29" s="70" t="n">
        <f aca="false">SUM(Q20:Q28)</f>
        <v>3910.625</v>
      </c>
      <c r="R29" s="70" t="n">
        <f aca="false">SUM(R20:R28)</f>
        <v>4302.08333333333</v>
      </c>
      <c r="S29" s="70" t="n">
        <f aca="false">SUM(S20:S28)</f>
        <v>4693.54166666667</v>
      </c>
      <c r="T29" s="70" t="n">
        <f aca="false">SUM(T20:T28)</f>
        <v>5085</v>
      </c>
      <c r="U29" s="70" t="n">
        <f aca="false">SUM(U20:U28)</f>
        <v>5476.45833333333</v>
      </c>
      <c r="V29" s="70" t="n">
        <f aca="false">SUM(V20:V28)</f>
        <v>5867.91666666667</v>
      </c>
      <c r="W29" s="70" t="n">
        <f aca="false">SUM(W20:W28)</f>
        <v>6259.375</v>
      </c>
      <c r="X29" s="70" t="n">
        <f aca="false">SUM(X20:X28)</f>
        <v>6650.83333333333</v>
      </c>
      <c r="Y29" s="70" t="n">
        <f aca="false">SUM(Y20:Y28)</f>
        <v>7042.29166666667</v>
      </c>
      <c r="Z29" s="70" t="n">
        <f aca="false">SUM(Z20:Z28)</f>
        <v>7433.75</v>
      </c>
      <c r="AA29" s="70" t="n">
        <f aca="false">SUM(AA20:AA28)</f>
        <v>7825.20833333333</v>
      </c>
      <c r="AB29" s="64" t="n">
        <f aca="false">AN29</f>
        <v>15214.1666666667</v>
      </c>
      <c r="AC29" s="70" t="n">
        <f aca="false">SUM(AC20:AC28)</f>
        <v>8216.66666666667</v>
      </c>
      <c r="AD29" s="70" t="n">
        <f aca="false">SUM(AD20:AD28)</f>
        <v>8869.16666666667</v>
      </c>
      <c r="AE29" s="70" t="n">
        <f aca="false">SUM(AE20:AE28)</f>
        <v>9521.66666666667</v>
      </c>
      <c r="AF29" s="70" t="n">
        <f aca="false">SUM(AF20:AF28)</f>
        <v>10174.1666666667</v>
      </c>
      <c r="AG29" s="70" t="n">
        <f aca="false">SUM(AG20:AG28)</f>
        <v>10826.6666666667</v>
      </c>
      <c r="AH29" s="70" t="n">
        <f aca="false">SUM(AH20:AH28)</f>
        <v>11479.1666666667</v>
      </c>
      <c r="AI29" s="70" t="n">
        <f aca="false">SUM(AI20:AI28)</f>
        <v>12131.6666666667</v>
      </c>
      <c r="AJ29" s="70" t="n">
        <f aca="false">SUM(AJ20:AJ28)</f>
        <v>12784.1666666667</v>
      </c>
      <c r="AK29" s="70" t="n">
        <f aca="false">SUM(AK20:AK28)</f>
        <v>13436.6666666667</v>
      </c>
      <c r="AL29" s="70" t="n">
        <f aca="false">SUM(AL20:AL28)</f>
        <v>14089.1666666667</v>
      </c>
      <c r="AM29" s="70" t="n">
        <f aca="false">SUM(AM20:AM28)</f>
        <v>14651.6666666667</v>
      </c>
      <c r="AN29" s="70" t="n">
        <f aca="false">SUM(AN20:AN28)</f>
        <v>15214.1666666667</v>
      </c>
      <c r="AO29" s="64" t="n">
        <f aca="false">BA29</f>
        <v>23738.3333333333</v>
      </c>
      <c r="AP29" s="70" t="n">
        <f aca="false">SUM(AP20:AP28)</f>
        <v>15776.6666666667</v>
      </c>
      <c r="AQ29" s="70" t="n">
        <f aca="false">SUM(AQ20:AQ28)</f>
        <v>16555</v>
      </c>
      <c r="AR29" s="70" t="n">
        <f aca="false">SUM(AR20:AR28)</f>
        <v>17333.3333333333</v>
      </c>
      <c r="AS29" s="70" t="n">
        <f aca="false">SUM(AS20:AS28)</f>
        <v>18111.6666666667</v>
      </c>
      <c r="AT29" s="70" t="n">
        <f aca="false">SUM(AT20:AT28)</f>
        <v>18890</v>
      </c>
      <c r="AU29" s="70" t="n">
        <f aca="false">SUM(AU20:AU28)</f>
        <v>19668.3333333333</v>
      </c>
      <c r="AV29" s="70" t="n">
        <f aca="false">SUM(AV20:AV28)</f>
        <v>20446.6666666667</v>
      </c>
      <c r="AW29" s="70" t="n">
        <f aca="false">SUM(AW20:AW28)</f>
        <v>21105</v>
      </c>
      <c r="AX29" s="70" t="n">
        <f aca="false">SUM(AX20:AX28)</f>
        <v>21763.3333333333</v>
      </c>
      <c r="AY29" s="70" t="n">
        <f aca="false">SUM(AY20:AY28)</f>
        <v>22421.6666666667</v>
      </c>
      <c r="AZ29" s="70" t="n">
        <f aca="false">SUM(AZ20:AZ28)</f>
        <v>23080</v>
      </c>
      <c r="BA29" s="70" t="n">
        <f aca="false">SUM(BA20:BA28)</f>
        <v>23738.3333333333</v>
      </c>
      <c r="BB29" s="64" t="n">
        <f aca="false">BN29</f>
        <v>32483.3333333333</v>
      </c>
      <c r="BC29" s="70" t="n">
        <f aca="false">SUM(BC20:BC28)</f>
        <v>24396.6666666667</v>
      </c>
      <c r="BD29" s="70" t="n">
        <f aca="false">SUM(BD20:BD28)</f>
        <v>25288.3333333333</v>
      </c>
      <c r="BE29" s="70" t="n">
        <f aca="false">SUM(BE20:BE28)</f>
        <v>26134.1666666667</v>
      </c>
      <c r="BF29" s="70" t="n">
        <f aca="false">SUM(BF20:BF28)</f>
        <v>26980</v>
      </c>
      <c r="BG29" s="70" t="n">
        <f aca="false">SUM(BG20:BG28)</f>
        <v>27825.8333333333</v>
      </c>
      <c r="BH29" s="70" t="n">
        <f aca="false">SUM(BH20:BH28)</f>
        <v>28641.6666666667</v>
      </c>
      <c r="BI29" s="70" t="n">
        <f aca="false">SUM(BI20:BI28)</f>
        <v>29337.5</v>
      </c>
      <c r="BJ29" s="70" t="n">
        <f aca="false">SUM(BJ20:BJ28)</f>
        <v>30033.3333333333</v>
      </c>
      <c r="BK29" s="70" t="n">
        <f aca="false">SUM(BK20:BK28)</f>
        <v>30729.1666666667</v>
      </c>
      <c r="BL29" s="70" t="n">
        <f aca="false">SUM(BL20:BL28)</f>
        <v>31425</v>
      </c>
      <c r="BM29" s="70" t="n">
        <f aca="false">SUM(BM20:BM28)</f>
        <v>32120.8333333333</v>
      </c>
      <c r="BN29" s="70" t="n">
        <f aca="false">SUM(BN20:BN28)</f>
        <v>32483.3333333333</v>
      </c>
    </row>
    <row r="31" customFormat="false" ht="16.5" hidden="false" customHeight="true" outlineLevel="0" collapsed="false">
      <c r="A31" s="15" t="s">
        <v>794</v>
      </c>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row>
    <row r="32" customFormat="false" ht="15" hidden="false" customHeight="true" outlineLevel="0" collapsed="false">
      <c r="A32" s="26" t="s">
        <v>481</v>
      </c>
      <c r="B32" s="61" t="s">
        <v>81</v>
      </c>
      <c r="C32" s="62" t="s">
        <v>482</v>
      </c>
      <c r="D32" s="62" t="s">
        <v>483</v>
      </c>
      <c r="E32" s="62" t="s">
        <v>484</v>
      </c>
      <c r="F32" s="62" t="s">
        <v>485</v>
      </c>
      <c r="G32" s="62" t="s">
        <v>486</v>
      </c>
      <c r="H32" s="62" t="s">
        <v>487</v>
      </c>
      <c r="I32" s="62" t="s">
        <v>488</v>
      </c>
      <c r="J32" s="62" t="s">
        <v>489</v>
      </c>
      <c r="K32" s="62" t="s">
        <v>490</v>
      </c>
      <c r="L32" s="62" t="s">
        <v>491</v>
      </c>
      <c r="M32" s="62" t="s">
        <v>492</v>
      </c>
      <c r="N32" s="62" t="s">
        <v>493</v>
      </c>
      <c r="O32" s="61" t="s">
        <v>82</v>
      </c>
      <c r="P32" s="63" t="s">
        <v>494</v>
      </c>
      <c r="Q32" s="63" t="s">
        <v>495</v>
      </c>
      <c r="R32" s="63" t="s">
        <v>496</v>
      </c>
      <c r="S32" s="63" t="s">
        <v>497</v>
      </c>
      <c r="T32" s="63" t="s">
        <v>498</v>
      </c>
      <c r="U32" s="63" t="s">
        <v>499</v>
      </c>
      <c r="V32" s="63" t="s">
        <v>500</v>
      </c>
      <c r="W32" s="63" t="s">
        <v>501</v>
      </c>
      <c r="X32" s="63" t="s">
        <v>502</v>
      </c>
      <c r="Y32" s="63" t="s">
        <v>503</v>
      </c>
      <c r="Z32" s="63" t="s">
        <v>504</v>
      </c>
      <c r="AA32" s="63" t="s">
        <v>505</v>
      </c>
      <c r="AB32" s="61" t="s">
        <v>83</v>
      </c>
      <c r="AC32" s="62" t="s">
        <v>506</v>
      </c>
      <c r="AD32" s="62" t="s">
        <v>507</v>
      </c>
      <c r="AE32" s="62" t="s">
        <v>508</v>
      </c>
      <c r="AF32" s="62" t="s">
        <v>509</v>
      </c>
      <c r="AG32" s="62" t="s">
        <v>510</v>
      </c>
      <c r="AH32" s="62" t="s">
        <v>511</v>
      </c>
      <c r="AI32" s="62" t="s">
        <v>512</v>
      </c>
      <c r="AJ32" s="62" t="s">
        <v>513</v>
      </c>
      <c r="AK32" s="62" t="s">
        <v>514</v>
      </c>
      <c r="AL32" s="62" t="s">
        <v>515</v>
      </c>
      <c r="AM32" s="62" t="s">
        <v>516</v>
      </c>
      <c r="AN32" s="62" t="s">
        <v>517</v>
      </c>
      <c r="AO32" s="61" t="s">
        <v>84</v>
      </c>
      <c r="AP32" s="63" t="s">
        <v>518</v>
      </c>
      <c r="AQ32" s="63" t="s">
        <v>519</v>
      </c>
      <c r="AR32" s="63" t="s">
        <v>520</v>
      </c>
      <c r="AS32" s="63" t="s">
        <v>521</v>
      </c>
      <c r="AT32" s="63" t="s">
        <v>522</v>
      </c>
      <c r="AU32" s="63" t="s">
        <v>523</v>
      </c>
      <c r="AV32" s="63" t="s">
        <v>524</v>
      </c>
      <c r="AW32" s="63" t="s">
        <v>525</v>
      </c>
      <c r="AX32" s="63" t="s">
        <v>526</v>
      </c>
      <c r="AY32" s="63" t="s">
        <v>527</v>
      </c>
      <c r="AZ32" s="63" t="s">
        <v>528</v>
      </c>
      <c r="BA32" s="63" t="s">
        <v>529</v>
      </c>
      <c r="BB32" s="61" t="s">
        <v>85</v>
      </c>
      <c r="BC32" s="62" t="s">
        <v>530</v>
      </c>
      <c r="BD32" s="62" t="s">
        <v>531</v>
      </c>
      <c r="BE32" s="62" t="s">
        <v>532</v>
      </c>
      <c r="BF32" s="62" t="s">
        <v>533</v>
      </c>
      <c r="BG32" s="62" t="s">
        <v>534</v>
      </c>
      <c r="BH32" s="62" t="s">
        <v>535</v>
      </c>
      <c r="BI32" s="62" t="s">
        <v>536</v>
      </c>
      <c r="BJ32" s="62" t="s">
        <v>537</v>
      </c>
      <c r="BK32" s="62" t="s">
        <v>538</v>
      </c>
      <c r="BL32" s="62" t="s">
        <v>539</v>
      </c>
      <c r="BM32" s="62" t="s">
        <v>540</v>
      </c>
      <c r="BN32" s="62" t="s">
        <v>541</v>
      </c>
    </row>
    <row r="33" customFormat="false" ht="15" hidden="false" customHeight="false" outlineLevel="0" collapsed="false">
      <c r="A33" s="12" t="s">
        <v>467</v>
      </c>
      <c r="B33" s="64" t="n">
        <f aca="false">N33</f>
        <v>3125</v>
      </c>
      <c r="C33" s="65" t="n">
        <f aca="false">'Capital Expenditure'!C$20-C20</f>
        <v>4500</v>
      </c>
      <c r="D33" s="65" t="n">
        <f aca="false">'Capital Expenditure'!D$20-D20</f>
        <v>4375</v>
      </c>
      <c r="E33" s="65" t="n">
        <f aca="false">'Capital Expenditure'!E$20-E20</f>
        <v>4250</v>
      </c>
      <c r="F33" s="65" t="n">
        <f aca="false">'Capital Expenditure'!F$20-F20</f>
        <v>4125</v>
      </c>
      <c r="G33" s="65" t="n">
        <f aca="false">'Capital Expenditure'!G$20-G20</f>
        <v>4000</v>
      </c>
      <c r="H33" s="65" t="n">
        <f aca="false">'Capital Expenditure'!H$20-H20</f>
        <v>3875</v>
      </c>
      <c r="I33" s="65" t="n">
        <f aca="false">'Capital Expenditure'!I$20-I20</f>
        <v>3750</v>
      </c>
      <c r="J33" s="65" t="n">
        <f aca="false">'Capital Expenditure'!J$20-J20</f>
        <v>3625</v>
      </c>
      <c r="K33" s="65" t="n">
        <f aca="false">'Capital Expenditure'!K$20-K20</f>
        <v>3500</v>
      </c>
      <c r="L33" s="65" t="n">
        <f aca="false">'Capital Expenditure'!L$20-L20</f>
        <v>3375</v>
      </c>
      <c r="M33" s="65" t="n">
        <f aca="false">'Capital Expenditure'!M$20-M20</f>
        <v>3250</v>
      </c>
      <c r="N33" s="65" t="n">
        <f aca="false">'Capital Expenditure'!N$20-N20</f>
        <v>3125</v>
      </c>
      <c r="O33" s="64" t="n">
        <f aca="false">AA33</f>
        <v>3187.5</v>
      </c>
      <c r="P33" s="65" t="n">
        <f aca="false">'Capital Expenditure'!P$20-P20</f>
        <v>5250</v>
      </c>
      <c r="Q33" s="65" t="n">
        <f aca="false">'Capital Expenditure'!Q$20-Q20</f>
        <v>5062.5</v>
      </c>
      <c r="R33" s="65" t="n">
        <f aca="false">'Capital Expenditure'!R$20-R20</f>
        <v>4875</v>
      </c>
      <c r="S33" s="65" t="n">
        <f aca="false">'Capital Expenditure'!S$20-S20</f>
        <v>4687.5</v>
      </c>
      <c r="T33" s="65" t="n">
        <f aca="false">'Capital Expenditure'!T$20-T20</f>
        <v>4500</v>
      </c>
      <c r="U33" s="65" t="n">
        <f aca="false">'Capital Expenditure'!U$20-U20</f>
        <v>4312.5</v>
      </c>
      <c r="V33" s="65" t="n">
        <f aca="false">'Capital Expenditure'!V$20-V20</f>
        <v>4125</v>
      </c>
      <c r="W33" s="65" t="n">
        <f aca="false">'Capital Expenditure'!W$20-W20</f>
        <v>3937.5</v>
      </c>
      <c r="X33" s="65" t="n">
        <f aca="false">'Capital Expenditure'!X$20-X20</f>
        <v>3750</v>
      </c>
      <c r="Y33" s="65" t="n">
        <f aca="false">'Capital Expenditure'!Y$20-Y20</f>
        <v>3562.5</v>
      </c>
      <c r="Z33" s="65" t="n">
        <f aca="false">'Capital Expenditure'!Z$20-Z20</f>
        <v>3375</v>
      </c>
      <c r="AA33" s="65" t="n">
        <f aca="false">'Capital Expenditure'!AA$20-AA20</f>
        <v>3187.5</v>
      </c>
      <c r="AB33" s="64" t="n">
        <f aca="false">AN33</f>
        <v>2500</v>
      </c>
      <c r="AC33" s="65" t="n">
        <f aca="false">'Capital Expenditure'!AC$20-AC20</f>
        <v>5250</v>
      </c>
      <c r="AD33" s="65" t="n">
        <f aca="false">'Capital Expenditure'!AD$20-AD20</f>
        <v>5000</v>
      </c>
      <c r="AE33" s="65" t="n">
        <f aca="false">'Capital Expenditure'!AE$20-AE20</f>
        <v>4750</v>
      </c>
      <c r="AF33" s="65" t="n">
        <f aca="false">'Capital Expenditure'!AF$20-AF20</f>
        <v>4500</v>
      </c>
      <c r="AG33" s="65" t="n">
        <f aca="false">'Capital Expenditure'!AG$20-AG20</f>
        <v>4250</v>
      </c>
      <c r="AH33" s="65" t="n">
        <f aca="false">'Capital Expenditure'!AH$20-AH20</f>
        <v>4000</v>
      </c>
      <c r="AI33" s="65" t="n">
        <f aca="false">'Capital Expenditure'!AI$20-AI20</f>
        <v>3750</v>
      </c>
      <c r="AJ33" s="65" t="n">
        <f aca="false">'Capital Expenditure'!AJ$20-AJ20</f>
        <v>3500</v>
      </c>
      <c r="AK33" s="65" t="n">
        <f aca="false">'Capital Expenditure'!AK$20-AK20</f>
        <v>3250</v>
      </c>
      <c r="AL33" s="65" t="n">
        <f aca="false">'Capital Expenditure'!AL$20-AL20</f>
        <v>3000</v>
      </c>
      <c r="AM33" s="65" t="n">
        <f aca="false">'Capital Expenditure'!AM$20-AM20</f>
        <v>2750</v>
      </c>
      <c r="AN33" s="65" t="n">
        <f aca="false">'Capital Expenditure'!AN$20-AN20</f>
        <v>2500</v>
      </c>
      <c r="AO33" s="64" t="n">
        <f aca="false">BA33</f>
        <v>1583.33333333333</v>
      </c>
      <c r="AP33" s="65" t="n">
        <f aca="false">'Capital Expenditure'!AP$20-AP20</f>
        <v>5250</v>
      </c>
      <c r="AQ33" s="65" t="n">
        <f aca="false">'Capital Expenditure'!AQ$20-AQ20</f>
        <v>4916.66666666667</v>
      </c>
      <c r="AR33" s="65" t="n">
        <f aca="false">'Capital Expenditure'!AR$20-AR20</f>
        <v>4583.33333333333</v>
      </c>
      <c r="AS33" s="65" t="n">
        <f aca="false">'Capital Expenditure'!AS$20-AS20</f>
        <v>4250</v>
      </c>
      <c r="AT33" s="65" t="n">
        <f aca="false">'Capital Expenditure'!AT$20-AT20</f>
        <v>3916.66666666667</v>
      </c>
      <c r="AU33" s="65" t="n">
        <f aca="false">'Capital Expenditure'!AU$20-AU20</f>
        <v>3583.33333333333</v>
      </c>
      <c r="AV33" s="65" t="n">
        <f aca="false">'Capital Expenditure'!AV$20-AV20</f>
        <v>3250</v>
      </c>
      <c r="AW33" s="65" t="n">
        <f aca="false">'Capital Expenditure'!AW$20-AW20</f>
        <v>2916.66666666667</v>
      </c>
      <c r="AX33" s="65" t="n">
        <f aca="false">'Capital Expenditure'!AX$20-AX20</f>
        <v>2583.33333333333</v>
      </c>
      <c r="AY33" s="65" t="n">
        <f aca="false">'Capital Expenditure'!AY$20-AY20</f>
        <v>2250</v>
      </c>
      <c r="AZ33" s="65" t="n">
        <f aca="false">'Capital Expenditure'!AZ$20-AZ20</f>
        <v>1916.66666666666</v>
      </c>
      <c r="BA33" s="65" t="n">
        <f aca="false">'Capital Expenditure'!BA$20-BA20</f>
        <v>1583.33333333333</v>
      </c>
      <c r="BB33" s="64" t="n">
        <f aca="false">BN33</f>
        <v>0</v>
      </c>
      <c r="BC33" s="65" t="n">
        <f aca="false">'Capital Expenditure'!BC$20-BC20</f>
        <v>4250</v>
      </c>
      <c r="BD33" s="65" t="n">
        <f aca="false">'Capital Expenditure'!BD$20-BD20</f>
        <v>3833.33333333333</v>
      </c>
      <c r="BE33" s="65" t="n">
        <f aca="false">'Capital Expenditure'!BE$20-BE20</f>
        <v>3416.66666666666</v>
      </c>
      <c r="BF33" s="65" t="n">
        <f aca="false">'Capital Expenditure'!BF$20-BF20</f>
        <v>3000</v>
      </c>
      <c r="BG33" s="65" t="n">
        <f aca="false">'Capital Expenditure'!BG$20-BG20</f>
        <v>2583.33333333333</v>
      </c>
      <c r="BH33" s="65" t="n">
        <f aca="false">'Capital Expenditure'!BH$20-BH20</f>
        <v>2166.66666666667</v>
      </c>
      <c r="BI33" s="65" t="n">
        <f aca="false">'Capital Expenditure'!BI$20-BI20</f>
        <v>1750</v>
      </c>
      <c r="BJ33" s="65" t="n">
        <f aca="false">'Capital Expenditure'!BJ$20-BJ20</f>
        <v>1333.33333333333</v>
      </c>
      <c r="BK33" s="65" t="n">
        <f aca="false">'Capital Expenditure'!BK$20-BK20</f>
        <v>916.666666666668</v>
      </c>
      <c r="BL33" s="65" t="n">
        <f aca="false">'Capital Expenditure'!BL$20-BL20</f>
        <v>500.000000000002</v>
      </c>
      <c r="BM33" s="65" t="n">
        <f aca="false">'Capital Expenditure'!BM$20-BM20</f>
        <v>83.3333333333358</v>
      </c>
      <c r="BN33" s="65" t="n">
        <f aca="false">'Capital Expenditure'!BN$20-BN20</f>
        <v>0</v>
      </c>
    </row>
    <row r="34" customFormat="false" ht="15" hidden="false" customHeight="false" outlineLevel="0" collapsed="false">
      <c r="A34" s="12" t="s">
        <v>468</v>
      </c>
      <c r="B34" s="64" t="n">
        <f aca="false">N34</f>
        <v>693.75</v>
      </c>
      <c r="C34" s="65" t="n">
        <f aca="false">'Capital Expenditure'!C$21-C21</f>
        <v>900</v>
      </c>
      <c r="D34" s="65" t="n">
        <f aca="false">'Capital Expenditure'!D$21-D21</f>
        <v>881.25</v>
      </c>
      <c r="E34" s="65" t="n">
        <f aca="false">'Capital Expenditure'!E$21-E21</f>
        <v>862.5</v>
      </c>
      <c r="F34" s="65" t="n">
        <f aca="false">'Capital Expenditure'!F$21-F21</f>
        <v>843.75</v>
      </c>
      <c r="G34" s="65" t="n">
        <f aca="false">'Capital Expenditure'!G$21-G21</f>
        <v>825</v>
      </c>
      <c r="H34" s="65" t="n">
        <f aca="false">'Capital Expenditure'!H$21-H21</f>
        <v>806.25</v>
      </c>
      <c r="I34" s="65" t="n">
        <f aca="false">'Capital Expenditure'!I$21-I21</f>
        <v>787.5</v>
      </c>
      <c r="J34" s="65" t="n">
        <f aca="false">'Capital Expenditure'!J$21-J21</f>
        <v>768.75</v>
      </c>
      <c r="K34" s="65" t="n">
        <f aca="false">'Capital Expenditure'!K$21-K21</f>
        <v>750</v>
      </c>
      <c r="L34" s="65" t="n">
        <f aca="false">'Capital Expenditure'!L$21-L21</f>
        <v>731.25</v>
      </c>
      <c r="M34" s="65" t="n">
        <f aca="false">'Capital Expenditure'!M$21-M21</f>
        <v>712.5</v>
      </c>
      <c r="N34" s="65" t="n">
        <f aca="false">'Capital Expenditure'!N$21-N21</f>
        <v>693.75</v>
      </c>
      <c r="O34" s="64" t="n">
        <f aca="false">AA34</f>
        <v>815.625</v>
      </c>
      <c r="P34" s="65" t="n">
        <f aca="false">'Capital Expenditure'!P$21-P21</f>
        <v>1125</v>
      </c>
      <c r="Q34" s="65" t="n">
        <f aca="false">'Capital Expenditure'!Q$21-Q21</f>
        <v>1096.875</v>
      </c>
      <c r="R34" s="65" t="n">
        <f aca="false">'Capital Expenditure'!R$21-R21</f>
        <v>1068.75</v>
      </c>
      <c r="S34" s="65" t="n">
        <f aca="false">'Capital Expenditure'!S$21-S21</f>
        <v>1040.625</v>
      </c>
      <c r="T34" s="65" t="n">
        <f aca="false">'Capital Expenditure'!T$21-T21</f>
        <v>1012.5</v>
      </c>
      <c r="U34" s="65" t="n">
        <f aca="false">'Capital Expenditure'!U$21-U21</f>
        <v>984.375</v>
      </c>
      <c r="V34" s="65" t="n">
        <f aca="false">'Capital Expenditure'!V$21-V21</f>
        <v>956.25</v>
      </c>
      <c r="W34" s="65" t="n">
        <f aca="false">'Capital Expenditure'!W$21-W21</f>
        <v>928.125</v>
      </c>
      <c r="X34" s="65" t="n">
        <f aca="false">'Capital Expenditure'!X$21-X21</f>
        <v>900</v>
      </c>
      <c r="Y34" s="65" t="n">
        <f aca="false">'Capital Expenditure'!Y$21-Y21</f>
        <v>871.875</v>
      </c>
      <c r="Z34" s="65" t="n">
        <f aca="false">'Capital Expenditure'!Z$21-Z21</f>
        <v>843.75</v>
      </c>
      <c r="AA34" s="65" t="n">
        <f aca="false">'Capital Expenditure'!AA$21-AA21</f>
        <v>815.625</v>
      </c>
      <c r="AB34" s="64" t="n">
        <f aca="false">AN34</f>
        <v>825</v>
      </c>
      <c r="AC34" s="65" t="n">
        <f aca="false">'Capital Expenditure'!AC$21-AC21</f>
        <v>1237.5</v>
      </c>
      <c r="AD34" s="65" t="n">
        <f aca="false">'Capital Expenditure'!AD$21-AD21</f>
        <v>1200</v>
      </c>
      <c r="AE34" s="65" t="n">
        <f aca="false">'Capital Expenditure'!AE$21-AE21</f>
        <v>1162.5</v>
      </c>
      <c r="AF34" s="65" t="n">
        <f aca="false">'Capital Expenditure'!AF$21-AF21</f>
        <v>1125</v>
      </c>
      <c r="AG34" s="65" t="n">
        <f aca="false">'Capital Expenditure'!AG$21-AG21</f>
        <v>1087.5</v>
      </c>
      <c r="AH34" s="65" t="n">
        <f aca="false">'Capital Expenditure'!AH$21-AH21</f>
        <v>1050</v>
      </c>
      <c r="AI34" s="65" t="n">
        <f aca="false">'Capital Expenditure'!AI$21-AI21</f>
        <v>1012.5</v>
      </c>
      <c r="AJ34" s="65" t="n">
        <f aca="false">'Capital Expenditure'!AJ$21-AJ21</f>
        <v>975</v>
      </c>
      <c r="AK34" s="65" t="n">
        <f aca="false">'Capital Expenditure'!AK$21-AK21</f>
        <v>937.5</v>
      </c>
      <c r="AL34" s="65" t="n">
        <f aca="false">'Capital Expenditure'!AL$21-AL21</f>
        <v>900</v>
      </c>
      <c r="AM34" s="65" t="n">
        <f aca="false">'Capital Expenditure'!AM$21-AM21</f>
        <v>862.5</v>
      </c>
      <c r="AN34" s="65" t="n">
        <f aca="false">'Capital Expenditure'!AN$21-AN21</f>
        <v>825</v>
      </c>
      <c r="AO34" s="64" t="n">
        <f aca="false">BA34</f>
        <v>837.5</v>
      </c>
      <c r="AP34" s="65" t="n">
        <f aca="false">'Capital Expenditure'!AP$21-AP21</f>
        <v>1387.5</v>
      </c>
      <c r="AQ34" s="65" t="n">
        <f aca="false">'Capital Expenditure'!AQ$21-AQ21</f>
        <v>1337.5</v>
      </c>
      <c r="AR34" s="65" t="n">
        <f aca="false">'Capital Expenditure'!AR$21-AR21</f>
        <v>1287.5</v>
      </c>
      <c r="AS34" s="65" t="n">
        <f aca="false">'Capital Expenditure'!AS$21-AS21</f>
        <v>1237.5</v>
      </c>
      <c r="AT34" s="65" t="n">
        <f aca="false">'Capital Expenditure'!AT$21-AT21</f>
        <v>1187.5</v>
      </c>
      <c r="AU34" s="65" t="n">
        <f aca="false">'Capital Expenditure'!AU$21-AU21</f>
        <v>1137.5</v>
      </c>
      <c r="AV34" s="65" t="n">
        <f aca="false">'Capital Expenditure'!AV$21-AV21</f>
        <v>1087.5</v>
      </c>
      <c r="AW34" s="65" t="n">
        <f aca="false">'Capital Expenditure'!AW$21-AW21</f>
        <v>1037.5</v>
      </c>
      <c r="AX34" s="65" t="n">
        <f aca="false">'Capital Expenditure'!AX$21-AX21</f>
        <v>987.5</v>
      </c>
      <c r="AY34" s="65" t="n">
        <f aca="false">'Capital Expenditure'!AY$21-AY21</f>
        <v>937.5</v>
      </c>
      <c r="AZ34" s="65" t="n">
        <f aca="false">'Capital Expenditure'!AZ$21-AZ21</f>
        <v>887.5</v>
      </c>
      <c r="BA34" s="65" t="n">
        <f aca="false">'Capital Expenditure'!BA$21-BA21</f>
        <v>837.5</v>
      </c>
      <c r="BB34" s="64" t="n">
        <f aca="false">BN34</f>
        <v>700</v>
      </c>
      <c r="BC34" s="65" t="n">
        <f aca="false">'Capital Expenditure'!BC$21-BC21</f>
        <v>1387.5</v>
      </c>
      <c r="BD34" s="65" t="n">
        <f aca="false">'Capital Expenditure'!BD$21-BD21</f>
        <v>1325</v>
      </c>
      <c r="BE34" s="65" t="n">
        <f aca="false">'Capital Expenditure'!BE$21-BE21</f>
        <v>1262.5</v>
      </c>
      <c r="BF34" s="65" t="n">
        <f aca="false">'Capital Expenditure'!BF$21-BF21</f>
        <v>1200</v>
      </c>
      <c r="BG34" s="65" t="n">
        <f aca="false">'Capital Expenditure'!BG$21-BG21</f>
        <v>1137.5</v>
      </c>
      <c r="BH34" s="65" t="n">
        <f aca="false">'Capital Expenditure'!BH$21-BH21</f>
        <v>1075</v>
      </c>
      <c r="BI34" s="65" t="n">
        <f aca="false">'Capital Expenditure'!BI$21-BI21</f>
        <v>1012.5</v>
      </c>
      <c r="BJ34" s="65" t="n">
        <f aca="false">'Capital Expenditure'!BJ$21-BJ21</f>
        <v>950</v>
      </c>
      <c r="BK34" s="65" t="n">
        <f aca="false">'Capital Expenditure'!BK$21-BK21</f>
        <v>887.5</v>
      </c>
      <c r="BL34" s="65" t="n">
        <f aca="false">'Capital Expenditure'!BL$21-BL21</f>
        <v>825</v>
      </c>
      <c r="BM34" s="65" t="n">
        <f aca="false">'Capital Expenditure'!BM$21-BM21</f>
        <v>762.5</v>
      </c>
      <c r="BN34" s="65" t="n">
        <f aca="false">'Capital Expenditure'!BN$21-BN21</f>
        <v>700</v>
      </c>
    </row>
    <row r="35" customFormat="false" ht="15" hidden="false" customHeight="false" outlineLevel="0" collapsed="false">
      <c r="A35" s="12" t="s">
        <v>469</v>
      </c>
      <c r="B35" s="64" t="n">
        <f aca="false">N35</f>
        <v>585</v>
      </c>
      <c r="C35" s="65" t="n">
        <f aca="false">'Capital Expenditure'!C$22-C22</f>
        <v>1080</v>
      </c>
      <c r="D35" s="65" t="n">
        <f aca="false">'Capital Expenditure'!D$22-D22</f>
        <v>1035</v>
      </c>
      <c r="E35" s="65" t="n">
        <f aca="false">'Capital Expenditure'!E$22-E22</f>
        <v>990</v>
      </c>
      <c r="F35" s="65" t="n">
        <f aca="false">'Capital Expenditure'!F$22-F22</f>
        <v>945</v>
      </c>
      <c r="G35" s="65" t="n">
        <f aca="false">'Capital Expenditure'!G$22-G22</f>
        <v>900</v>
      </c>
      <c r="H35" s="65" t="n">
        <f aca="false">'Capital Expenditure'!H$22-H22</f>
        <v>855</v>
      </c>
      <c r="I35" s="65" t="n">
        <f aca="false">'Capital Expenditure'!I$22-I22</f>
        <v>810</v>
      </c>
      <c r="J35" s="65" t="n">
        <f aca="false">'Capital Expenditure'!J$22-J22</f>
        <v>765</v>
      </c>
      <c r="K35" s="65" t="n">
        <f aca="false">'Capital Expenditure'!K$22-K22</f>
        <v>720</v>
      </c>
      <c r="L35" s="65" t="n">
        <f aca="false">'Capital Expenditure'!L$22-L22</f>
        <v>675</v>
      </c>
      <c r="M35" s="65" t="n">
        <f aca="false">'Capital Expenditure'!M$22-M22</f>
        <v>630</v>
      </c>
      <c r="N35" s="65" t="n">
        <f aca="false">'Capital Expenditure'!N$22-N22</f>
        <v>585</v>
      </c>
      <c r="O35" s="64" t="n">
        <f aca="false">AA35</f>
        <v>337.5</v>
      </c>
      <c r="P35" s="65" t="n">
        <f aca="false">'Capital Expenditure'!P$22-P22</f>
        <v>1080</v>
      </c>
      <c r="Q35" s="65" t="n">
        <f aca="false">'Capital Expenditure'!Q$22-Q22</f>
        <v>1012.5</v>
      </c>
      <c r="R35" s="65" t="n">
        <f aca="false">'Capital Expenditure'!R$22-R22</f>
        <v>945</v>
      </c>
      <c r="S35" s="65" t="n">
        <f aca="false">'Capital Expenditure'!S$22-S22</f>
        <v>877.5</v>
      </c>
      <c r="T35" s="65" t="n">
        <f aca="false">'Capital Expenditure'!T$22-T22</f>
        <v>810</v>
      </c>
      <c r="U35" s="65" t="n">
        <f aca="false">'Capital Expenditure'!U$22-U22</f>
        <v>742.5</v>
      </c>
      <c r="V35" s="65" t="n">
        <f aca="false">'Capital Expenditure'!V$22-V22</f>
        <v>675</v>
      </c>
      <c r="W35" s="65" t="n">
        <f aca="false">'Capital Expenditure'!W$22-W22</f>
        <v>607.5</v>
      </c>
      <c r="X35" s="65" t="n">
        <f aca="false">'Capital Expenditure'!X$22-X22</f>
        <v>540</v>
      </c>
      <c r="Y35" s="65" t="n">
        <f aca="false">'Capital Expenditure'!Y$22-Y22</f>
        <v>472.5</v>
      </c>
      <c r="Z35" s="65" t="n">
        <f aca="false">'Capital Expenditure'!Z$22-Z22</f>
        <v>405</v>
      </c>
      <c r="AA35" s="65" t="n">
        <f aca="false">'Capital Expenditure'!AA$22-AA22</f>
        <v>337.5</v>
      </c>
      <c r="AB35" s="64" t="n">
        <f aca="false">AN35</f>
        <v>0</v>
      </c>
      <c r="AC35" s="65" t="n">
        <f aca="false">'Capital Expenditure'!AC$22-AC22</f>
        <v>810</v>
      </c>
      <c r="AD35" s="65" t="n">
        <f aca="false">'Capital Expenditure'!AD$22-AD22</f>
        <v>720</v>
      </c>
      <c r="AE35" s="65" t="n">
        <f aca="false">'Capital Expenditure'!AE$22-AE22</f>
        <v>630</v>
      </c>
      <c r="AF35" s="65" t="n">
        <f aca="false">'Capital Expenditure'!AF$22-AF22</f>
        <v>540</v>
      </c>
      <c r="AG35" s="65" t="n">
        <f aca="false">'Capital Expenditure'!AG$22-AG22</f>
        <v>450</v>
      </c>
      <c r="AH35" s="65" t="n">
        <f aca="false">'Capital Expenditure'!AH$22-AH22</f>
        <v>360</v>
      </c>
      <c r="AI35" s="65" t="n">
        <f aca="false">'Capital Expenditure'!AI$22-AI22</f>
        <v>270</v>
      </c>
      <c r="AJ35" s="65" t="n">
        <f aca="false">'Capital Expenditure'!AJ$22-AJ22</f>
        <v>180</v>
      </c>
      <c r="AK35" s="65" t="n">
        <f aca="false">'Capital Expenditure'!AK$22-AK22</f>
        <v>90</v>
      </c>
      <c r="AL35" s="65" t="n">
        <f aca="false">'Capital Expenditure'!AL$22-AL22</f>
        <v>0</v>
      </c>
      <c r="AM35" s="65" t="n">
        <f aca="false">'Capital Expenditure'!AM$22-AM22</f>
        <v>0</v>
      </c>
      <c r="AN35" s="65" t="n">
        <f aca="false">'Capital Expenditure'!AN$22-AN22</f>
        <v>0</v>
      </c>
      <c r="AO35" s="64" t="n">
        <f aca="false">BA35</f>
        <v>0</v>
      </c>
      <c r="AP35" s="65" t="n">
        <f aca="false">'Capital Expenditure'!AP$22-AP22</f>
        <v>720</v>
      </c>
      <c r="AQ35" s="65" t="n">
        <f aca="false">'Capital Expenditure'!AQ$22-AQ22</f>
        <v>600</v>
      </c>
      <c r="AR35" s="65" t="n">
        <f aca="false">'Capital Expenditure'!AR$22-AR22</f>
        <v>480</v>
      </c>
      <c r="AS35" s="65" t="n">
        <f aca="false">'Capital Expenditure'!AS$22-AS22</f>
        <v>360</v>
      </c>
      <c r="AT35" s="65" t="n">
        <f aca="false">'Capital Expenditure'!AT$22-AT22</f>
        <v>240</v>
      </c>
      <c r="AU35" s="65" t="n">
        <f aca="false">'Capital Expenditure'!AU$22-AU22</f>
        <v>120</v>
      </c>
      <c r="AV35" s="65" t="n">
        <f aca="false">'Capital Expenditure'!AV$22-AV22</f>
        <v>0</v>
      </c>
      <c r="AW35" s="65" t="n">
        <f aca="false">'Capital Expenditure'!AW$22-AW22</f>
        <v>0</v>
      </c>
      <c r="AX35" s="65" t="n">
        <f aca="false">'Capital Expenditure'!AX$22-AX22</f>
        <v>0</v>
      </c>
      <c r="AY35" s="65" t="n">
        <f aca="false">'Capital Expenditure'!AY$22-AY22</f>
        <v>0</v>
      </c>
      <c r="AZ35" s="65" t="n">
        <f aca="false">'Capital Expenditure'!AZ$22-AZ22</f>
        <v>0</v>
      </c>
      <c r="BA35" s="65" t="n">
        <f aca="false">'Capital Expenditure'!BA$22-BA22</f>
        <v>0</v>
      </c>
      <c r="BB35" s="64" t="n">
        <f aca="false">BN35</f>
        <v>0</v>
      </c>
      <c r="BC35" s="65" t="n">
        <f aca="false">'Capital Expenditure'!BC$22-BC22</f>
        <v>720</v>
      </c>
      <c r="BD35" s="65" t="n">
        <f aca="false">'Capital Expenditure'!BD$22-BD22</f>
        <v>570</v>
      </c>
      <c r="BE35" s="65" t="n">
        <f aca="false">'Capital Expenditure'!BE$22-BE22</f>
        <v>420</v>
      </c>
      <c r="BF35" s="65" t="n">
        <f aca="false">'Capital Expenditure'!BF$22-BF22</f>
        <v>270</v>
      </c>
      <c r="BG35" s="65" t="n">
        <f aca="false">'Capital Expenditure'!BG$22-BG22</f>
        <v>120</v>
      </c>
      <c r="BH35" s="65" t="n">
        <f aca="false">'Capital Expenditure'!BH$22-BH22</f>
        <v>0</v>
      </c>
      <c r="BI35" s="65" t="n">
        <f aca="false">'Capital Expenditure'!BI$22-BI22</f>
        <v>0</v>
      </c>
      <c r="BJ35" s="65" t="n">
        <f aca="false">'Capital Expenditure'!BJ$22-BJ22</f>
        <v>0</v>
      </c>
      <c r="BK35" s="65" t="n">
        <f aca="false">'Capital Expenditure'!BK$22-BK22</f>
        <v>0</v>
      </c>
      <c r="BL35" s="65" t="n">
        <f aca="false">'Capital Expenditure'!BL$22-BL22</f>
        <v>0</v>
      </c>
      <c r="BM35" s="65" t="n">
        <f aca="false">'Capital Expenditure'!BM$22-BM22</f>
        <v>0</v>
      </c>
      <c r="BN35" s="65" t="n">
        <f aca="false">'Capital Expenditure'!BN$22-BN22</f>
        <v>0</v>
      </c>
    </row>
    <row r="36" customFormat="false" ht="15" hidden="false" customHeight="false" outlineLevel="0" collapsed="false">
      <c r="A36" s="12" t="s">
        <v>470</v>
      </c>
      <c r="B36" s="64" t="n">
        <f aca="false">N36</f>
        <v>0</v>
      </c>
      <c r="C36" s="65" t="n">
        <f aca="false">'Capital Expenditure'!C$23-C23</f>
        <v>0</v>
      </c>
      <c r="D36" s="65" t="n">
        <f aca="false">'Capital Expenditure'!D$23-D23</f>
        <v>0</v>
      </c>
      <c r="E36" s="65" t="n">
        <f aca="false">'Capital Expenditure'!E$23-E23</f>
        <v>0</v>
      </c>
      <c r="F36" s="65" t="n">
        <f aca="false">'Capital Expenditure'!F$23-F23</f>
        <v>0</v>
      </c>
      <c r="G36" s="65" t="n">
        <f aca="false">'Capital Expenditure'!G$23-G23</f>
        <v>0</v>
      </c>
      <c r="H36" s="65" t="n">
        <f aca="false">'Capital Expenditure'!H$23-H23</f>
        <v>0</v>
      </c>
      <c r="I36" s="65" t="n">
        <f aca="false">'Capital Expenditure'!I$23-I23</f>
        <v>0</v>
      </c>
      <c r="J36" s="65" t="n">
        <f aca="false">'Capital Expenditure'!J$23-J23</f>
        <v>0</v>
      </c>
      <c r="K36" s="65" t="n">
        <f aca="false">'Capital Expenditure'!K$23-K23</f>
        <v>0</v>
      </c>
      <c r="L36" s="65" t="n">
        <f aca="false">'Capital Expenditure'!L$23-L23</f>
        <v>0</v>
      </c>
      <c r="M36" s="65" t="n">
        <f aca="false">'Capital Expenditure'!M$23-M23</f>
        <v>0</v>
      </c>
      <c r="N36" s="65" t="n">
        <f aca="false">'Capital Expenditure'!N$23-N23</f>
        <v>0</v>
      </c>
      <c r="O36" s="64" t="n">
        <f aca="false">AA36</f>
        <v>0</v>
      </c>
      <c r="P36" s="65" t="n">
        <f aca="false">'Capital Expenditure'!P$23-P23</f>
        <v>0</v>
      </c>
      <c r="Q36" s="65" t="n">
        <f aca="false">'Capital Expenditure'!Q$23-Q23</f>
        <v>0</v>
      </c>
      <c r="R36" s="65" t="n">
        <f aca="false">'Capital Expenditure'!R$23-R23</f>
        <v>0</v>
      </c>
      <c r="S36" s="65" t="n">
        <f aca="false">'Capital Expenditure'!S$23-S23</f>
        <v>0</v>
      </c>
      <c r="T36" s="65" t="n">
        <f aca="false">'Capital Expenditure'!T$23-T23</f>
        <v>0</v>
      </c>
      <c r="U36" s="65" t="n">
        <f aca="false">'Capital Expenditure'!U$23-U23</f>
        <v>0</v>
      </c>
      <c r="V36" s="65" t="n">
        <f aca="false">'Capital Expenditure'!V$23-V23</f>
        <v>0</v>
      </c>
      <c r="W36" s="65" t="n">
        <f aca="false">'Capital Expenditure'!W$23-W23</f>
        <v>0</v>
      </c>
      <c r="X36" s="65" t="n">
        <f aca="false">'Capital Expenditure'!X$23-X23</f>
        <v>0</v>
      </c>
      <c r="Y36" s="65" t="n">
        <f aca="false">'Capital Expenditure'!Y$23-Y23</f>
        <v>0</v>
      </c>
      <c r="Z36" s="65" t="n">
        <f aca="false">'Capital Expenditure'!Z$23-Z23</f>
        <v>0</v>
      </c>
      <c r="AA36" s="65" t="n">
        <f aca="false">'Capital Expenditure'!AA$23-AA23</f>
        <v>0</v>
      </c>
      <c r="AB36" s="64" t="n">
        <f aca="false">AN36</f>
        <v>0</v>
      </c>
      <c r="AC36" s="65" t="n">
        <f aca="false">'Capital Expenditure'!AC$23-AC23</f>
        <v>0</v>
      </c>
      <c r="AD36" s="65" t="n">
        <f aca="false">'Capital Expenditure'!AD$23-AD23</f>
        <v>0</v>
      </c>
      <c r="AE36" s="65" t="n">
        <f aca="false">'Capital Expenditure'!AE$23-AE23</f>
        <v>0</v>
      </c>
      <c r="AF36" s="65" t="n">
        <f aca="false">'Capital Expenditure'!AF$23-AF23</f>
        <v>0</v>
      </c>
      <c r="AG36" s="65" t="n">
        <f aca="false">'Capital Expenditure'!AG$23-AG23</f>
        <v>0</v>
      </c>
      <c r="AH36" s="65" t="n">
        <f aca="false">'Capital Expenditure'!AH$23-AH23</f>
        <v>0</v>
      </c>
      <c r="AI36" s="65" t="n">
        <f aca="false">'Capital Expenditure'!AI$23-AI23</f>
        <v>0</v>
      </c>
      <c r="AJ36" s="65" t="n">
        <f aca="false">'Capital Expenditure'!AJ$23-AJ23</f>
        <v>0</v>
      </c>
      <c r="AK36" s="65" t="n">
        <f aca="false">'Capital Expenditure'!AK$23-AK23</f>
        <v>0</v>
      </c>
      <c r="AL36" s="65" t="n">
        <f aca="false">'Capital Expenditure'!AL$23-AL23</f>
        <v>0</v>
      </c>
      <c r="AM36" s="65" t="n">
        <f aca="false">'Capital Expenditure'!AM$23-AM23</f>
        <v>0</v>
      </c>
      <c r="AN36" s="65" t="n">
        <f aca="false">'Capital Expenditure'!AN$23-AN23</f>
        <v>0</v>
      </c>
      <c r="AO36" s="64" t="n">
        <f aca="false">BA36</f>
        <v>0</v>
      </c>
      <c r="AP36" s="65" t="n">
        <f aca="false">'Capital Expenditure'!AP$23-AP23</f>
        <v>0</v>
      </c>
      <c r="AQ36" s="65" t="n">
        <f aca="false">'Capital Expenditure'!AQ$23-AQ23</f>
        <v>0</v>
      </c>
      <c r="AR36" s="65" t="n">
        <f aca="false">'Capital Expenditure'!AR$23-AR23</f>
        <v>0</v>
      </c>
      <c r="AS36" s="65" t="n">
        <f aca="false">'Capital Expenditure'!AS$23-AS23</f>
        <v>0</v>
      </c>
      <c r="AT36" s="65" t="n">
        <f aca="false">'Capital Expenditure'!AT$23-AT23</f>
        <v>0</v>
      </c>
      <c r="AU36" s="65" t="n">
        <f aca="false">'Capital Expenditure'!AU$23-AU23</f>
        <v>0</v>
      </c>
      <c r="AV36" s="65" t="n">
        <f aca="false">'Capital Expenditure'!AV$23-AV23</f>
        <v>0</v>
      </c>
      <c r="AW36" s="65" t="n">
        <f aca="false">'Capital Expenditure'!AW$23-AW23</f>
        <v>0</v>
      </c>
      <c r="AX36" s="65" t="n">
        <f aca="false">'Capital Expenditure'!AX$23-AX23</f>
        <v>0</v>
      </c>
      <c r="AY36" s="65" t="n">
        <f aca="false">'Capital Expenditure'!AY$23-AY23</f>
        <v>0</v>
      </c>
      <c r="AZ36" s="65" t="n">
        <f aca="false">'Capital Expenditure'!AZ$23-AZ23</f>
        <v>0</v>
      </c>
      <c r="BA36" s="65" t="n">
        <f aca="false">'Capital Expenditure'!BA$23-BA23</f>
        <v>0</v>
      </c>
      <c r="BB36" s="64" t="n">
        <f aca="false">BN36</f>
        <v>0</v>
      </c>
      <c r="BC36" s="65" t="n">
        <f aca="false">'Capital Expenditure'!BC$23-BC23</f>
        <v>0</v>
      </c>
      <c r="BD36" s="65" t="n">
        <f aca="false">'Capital Expenditure'!BD$23-BD23</f>
        <v>0</v>
      </c>
      <c r="BE36" s="65" t="n">
        <f aca="false">'Capital Expenditure'!BE$23-BE23</f>
        <v>0</v>
      </c>
      <c r="BF36" s="65" t="n">
        <f aca="false">'Capital Expenditure'!BF$23-BF23</f>
        <v>0</v>
      </c>
      <c r="BG36" s="65" t="n">
        <f aca="false">'Capital Expenditure'!BG$23-BG23</f>
        <v>0</v>
      </c>
      <c r="BH36" s="65" t="n">
        <f aca="false">'Capital Expenditure'!BH$23-BH23</f>
        <v>0</v>
      </c>
      <c r="BI36" s="65" t="n">
        <f aca="false">'Capital Expenditure'!BI$23-BI23</f>
        <v>0</v>
      </c>
      <c r="BJ36" s="65" t="n">
        <f aca="false">'Capital Expenditure'!BJ$23-BJ23</f>
        <v>0</v>
      </c>
      <c r="BK36" s="65" t="n">
        <f aca="false">'Capital Expenditure'!BK$23-BK23</f>
        <v>0</v>
      </c>
      <c r="BL36" s="65" t="n">
        <f aca="false">'Capital Expenditure'!BL$23-BL23</f>
        <v>0</v>
      </c>
      <c r="BM36" s="65" t="n">
        <f aca="false">'Capital Expenditure'!BM$23-BM23</f>
        <v>0</v>
      </c>
      <c r="BN36" s="65" t="n">
        <f aca="false">'Capital Expenditure'!BN$23-BN23</f>
        <v>0</v>
      </c>
    </row>
    <row r="37" customFormat="false" ht="15" hidden="false" customHeight="false" outlineLevel="0" collapsed="false">
      <c r="A37" s="12" t="s">
        <v>474</v>
      </c>
      <c r="B37" s="64" t="n">
        <f aca="false">N37</f>
        <v>1741.66666666667</v>
      </c>
      <c r="C37" s="65" t="n">
        <f aca="false">'Capital Expenditure'!C$24-C24</f>
        <v>0</v>
      </c>
      <c r="D37" s="65" t="n">
        <f aca="false">'Capital Expenditure'!D$24-D24</f>
        <v>2200</v>
      </c>
      <c r="E37" s="65" t="n">
        <f aca="false">'Capital Expenditure'!E$24-E24</f>
        <v>2154.16666666667</v>
      </c>
      <c r="F37" s="65" t="n">
        <f aca="false">'Capital Expenditure'!F$24-F24</f>
        <v>2108.33333333333</v>
      </c>
      <c r="G37" s="65" t="n">
        <f aca="false">'Capital Expenditure'!G$24-G24</f>
        <v>2062.5</v>
      </c>
      <c r="H37" s="65" t="n">
        <f aca="false">'Capital Expenditure'!H$24-H24</f>
        <v>2016.66666666667</v>
      </c>
      <c r="I37" s="65" t="n">
        <f aca="false">'Capital Expenditure'!I$24-I24</f>
        <v>1970.83333333333</v>
      </c>
      <c r="J37" s="65" t="n">
        <f aca="false">'Capital Expenditure'!J$24-J24</f>
        <v>1925</v>
      </c>
      <c r="K37" s="65" t="n">
        <f aca="false">'Capital Expenditure'!K$24-K24</f>
        <v>1879.16666666667</v>
      </c>
      <c r="L37" s="65" t="n">
        <f aca="false">'Capital Expenditure'!L$24-L24</f>
        <v>1833.33333333333</v>
      </c>
      <c r="M37" s="65" t="n">
        <f aca="false">'Capital Expenditure'!M$24-M24</f>
        <v>1787.5</v>
      </c>
      <c r="N37" s="65" t="n">
        <f aca="false">'Capital Expenditure'!N$24-N24</f>
        <v>1741.66666666667</v>
      </c>
      <c r="O37" s="64" t="n">
        <f aca="false">AA37</f>
        <v>1191.66666666667</v>
      </c>
      <c r="P37" s="65" t="n">
        <f aca="false">'Capital Expenditure'!P$24-P24</f>
        <v>1695.83333333333</v>
      </c>
      <c r="Q37" s="65" t="n">
        <f aca="false">'Capital Expenditure'!Q$24-Q24</f>
        <v>1650</v>
      </c>
      <c r="R37" s="65" t="n">
        <f aca="false">'Capital Expenditure'!R$24-R24</f>
        <v>1604.16666666667</v>
      </c>
      <c r="S37" s="65" t="n">
        <f aca="false">'Capital Expenditure'!S$24-S24</f>
        <v>1558.33333333333</v>
      </c>
      <c r="T37" s="65" t="n">
        <f aca="false">'Capital Expenditure'!T$24-T24</f>
        <v>1512.5</v>
      </c>
      <c r="U37" s="65" t="n">
        <f aca="false">'Capital Expenditure'!U$24-U24</f>
        <v>1466.66666666667</v>
      </c>
      <c r="V37" s="65" t="n">
        <f aca="false">'Capital Expenditure'!V$24-V24</f>
        <v>1420.83333333333</v>
      </c>
      <c r="W37" s="65" t="n">
        <f aca="false">'Capital Expenditure'!W$24-W24</f>
        <v>1375</v>
      </c>
      <c r="X37" s="65" t="n">
        <f aca="false">'Capital Expenditure'!X$24-X24</f>
        <v>1329.16666666667</v>
      </c>
      <c r="Y37" s="65" t="n">
        <f aca="false">'Capital Expenditure'!Y$24-Y24</f>
        <v>1283.33333333333</v>
      </c>
      <c r="Z37" s="65" t="n">
        <f aca="false">'Capital Expenditure'!Z$24-Z24</f>
        <v>1237.5</v>
      </c>
      <c r="AA37" s="65" t="n">
        <f aca="false">'Capital Expenditure'!AA$24-AA24</f>
        <v>1191.66666666667</v>
      </c>
      <c r="AB37" s="64" t="n">
        <f aca="false">AN37</f>
        <v>641.666666666667</v>
      </c>
      <c r="AC37" s="65" t="n">
        <f aca="false">'Capital Expenditure'!AC$24-AC24</f>
        <v>1145.83333333333</v>
      </c>
      <c r="AD37" s="65" t="n">
        <f aca="false">'Capital Expenditure'!AD$24-AD24</f>
        <v>1100</v>
      </c>
      <c r="AE37" s="65" t="n">
        <f aca="false">'Capital Expenditure'!AE$24-AE24</f>
        <v>1054.16666666667</v>
      </c>
      <c r="AF37" s="65" t="n">
        <f aca="false">'Capital Expenditure'!AF$24-AF24</f>
        <v>1008.33333333333</v>
      </c>
      <c r="AG37" s="65" t="n">
        <f aca="false">'Capital Expenditure'!AG$24-AG24</f>
        <v>962.5</v>
      </c>
      <c r="AH37" s="65" t="n">
        <f aca="false">'Capital Expenditure'!AH$24-AH24</f>
        <v>916.666666666667</v>
      </c>
      <c r="AI37" s="65" t="n">
        <f aca="false">'Capital Expenditure'!AI$24-AI24</f>
        <v>870.833333333334</v>
      </c>
      <c r="AJ37" s="65" t="n">
        <f aca="false">'Capital Expenditure'!AJ$24-AJ24</f>
        <v>825</v>
      </c>
      <c r="AK37" s="65" t="n">
        <f aca="false">'Capital Expenditure'!AK$24-AK24</f>
        <v>779.166666666667</v>
      </c>
      <c r="AL37" s="65" t="n">
        <f aca="false">'Capital Expenditure'!AL$24-AL24</f>
        <v>733.333333333334</v>
      </c>
      <c r="AM37" s="65" t="n">
        <f aca="false">'Capital Expenditure'!AM$24-AM24</f>
        <v>687.500000000001</v>
      </c>
      <c r="AN37" s="65" t="n">
        <f aca="false">'Capital Expenditure'!AN$24-AN24</f>
        <v>641.666666666667</v>
      </c>
      <c r="AO37" s="64" t="n">
        <f aca="false">BA37</f>
        <v>91.6666666666679</v>
      </c>
      <c r="AP37" s="65" t="n">
        <f aca="false">'Capital Expenditure'!AP$24-AP24</f>
        <v>595.833333333334</v>
      </c>
      <c r="AQ37" s="65" t="n">
        <f aca="false">'Capital Expenditure'!AQ$24-AQ24</f>
        <v>550.000000000001</v>
      </c>
      <c r="AR37" s="65" t="n">
        <f aca="false">'Capital Expenditure'!AR$24-AR24</f>
        <v>504.166666666667</v>
      </c>
      <c r="AS37" s="65" t="n">
        <f aca="false">'Capital Expenditure'!AS$24-AS24</f>
        <v>458.333333333334</v>
      </c>
      <c r="AT37" s="65" t="n">
        <f aca="false">'Capital Expenditure'!AT$24-AT24</f>
        <v>412.500000000001</v>
      </c>
      <c r="AU37" s="65" t="n">
        <f aca="false">'Capital Expenditure'!AU$24-AU24</f>
        <v>366.666666666668</v>
      </c>
      <c r="AV37" s="65" t="n">
        <f aca="false">'Capital Expenditure'!AV$24-AV24</f>
        <v>320.833333333334</v>
      </c>
      <c r="AW37" s="65" t="n">
        <f aca="false">'Capital Expenditure'!AW$24-AW24</f>
        <v>275.000000000001</v>
      </c>
      <c r="AX37" s="65" t="n">
        <f aca="false">'Capital Expenditure'!AX$24-AX24</f>
        <v>229.166666666668</v>
      </c>
      <c r="AY37" s="65" t="n">
        <f aca="false">'Capital Expenditure'!AY$24-AY24</f>
        <v>183.333333333335</v>
      </c>
      <c r="AZ37" s="65" t="n">
        <f aca="false">'Capital Expenditure'!AZ$24-AZ24</f>
        <v>137.500000000001</v>
      </c>
      <c r="BA37" s="65" t="n">
        <f aca="false">'Capital Expenditure'!BA$24-BA24</f>
        <v>91.6666666666679</v>
      </c>
      <c r="BB37" s="64" t="n">
        <f aca="false">BN37</f>
        <v>0</v>
      </c>
      <c r="BC37" s="65" t="n">
        <f aca="false">'Capital Expenditure'!BC$24-BC24</f>
        <v>45.8333333333344</v>
      </c>
      <c r="BD37" s="65" t="n">
        <f aca="false">'Capital Expenditure'!BD$24-BD24</f>
        <v>0</v>
      </c>
      <c r="BE37" s="65" t="n">
        <f aca="false">'Capital Expenditure'!BE$24-BE24</f>
        <v>0</v>
      </c>
      <c r="BF37" s="65" t="n">
        <f aca="false">'Capital Expenditure'!BF$24-BF24</f>
        <v>0</v>
      </c>
      <c r="BG37" s="65" t="n">
        <f aca="false">'Capital Expenditure'!BG$24-BG24</f>
        <v>0</v>
      </c>
      <c r="BH37" s="65" t="n">
        <f aca="false">'Capital Expenditure'!BH$24-BH24</f>
        <v>0</v>
      </c>
      <c r="BI37" s="65" t="n">
        <f aca="false">'Capital Expenditure'!BI$24-BI24</f>
        <v>0</v>
      </c>
      <c r="BJ37" s="65" t="n">
        <f aca="false">'Capital Expenditure'!BJ$24-BJ24</f>
        <v>0</v>
      </c>
      <c r="BK37" s="65" t="n">
        <f aca="false">'Capital Expenditure'!BK$24-BK24</f>
        <v>0</v>
      </c>
      <c r="BL37" s="65" t="n">
        <f aca="false">'Capital Expenditure'!BL$24-BL24</f>
        <v>0</v>
      </c>
      <c r="BM37" s="65" t="n">
        <f aca="false">'Capital Expenditure'!BM$24-BM24</f>
        <v>0</v>
      </c>
      <c r="BN37" s="65" t="n">
        <f aca="false">'Capital Expenditure'!BN$24-BN24</f>
        <v>0</v>
      </c>
    </row>
    <row r="38" customFormat="false" ht="15" hidden="false" customHeight="false" outlineLevel="0" collapsed="false">
      <c r="A38" s="12" t="s">
        <v>475</v>
      </c>
      <c r="B38" s="64" t="n">
        <f aca="false">N38</f>
        <v>462.5</v>
      </c>
      <c r="C38" s="65" t="n">
        <f aca="false">'Capital Expenditure'!C$25-C25</f>
        <v>600</v>
      </c>
      <c r="D38" s="65" t="n">
        <f aca="false">'Capital Expenditure'!D$25-D25</f>
        <v>587.5</v>
      </c>
      <c r="E38" s="65" t="n">
        <f aca="false">'Capital Expenditure'!E$25-E25</f>
        <v>575</v>
      </c>
      <c r="F38" s="65" t="n">
        <f aca="false">'Capital Expenditure'!F$25-F25</f>
        <v>562.5</v>
      </c>
      <c r="G38" s="65" t="n">
        <f aca="false">'Capital Expenditure'!G$25-G25</f>
        <v>550</v>
      </c>
      <c r="H38" s="65" t="n">
        <f aca="false">'Capital Expenditure'!H$25-H25</f>
        <v>537.5</v>
      </c>
      <c r="I38" s="65" t="n">
        <f aca="false">'Capital Expenditure'!I$25-I25</f>
        <v>525</v>
      </c>
      <c r="J38" s="65" t="n">
        <f aca="false">'Capital Expenditure'!J$25-J25</f>
        <v>512.5</v>
      </c>
      <c r="K38" s="65" t="n">
        <f aca="false">'Capital Expenditure'!K$25-K25</f>
        <v>500</v>
      </c>
      <c r="L38" s="65" t="n">
        <f aca="false">'Capital Expenditure'!L$25-L25</f>
        <v>487.5</v>
      </c>
      <c r="M38" s="65" t="n">
        <f aca="false">'Capital Expenditure'!M$25-M25</f>
        <v>475</v>
      </c>
      <c r="N38" s="65" t="n">
        <f aca="false">'Capital Expenditure'!N$25-N25</f>
        <v>462.5</v>
      </c>
      <c r="O38" s="64" t="n">
        <f aca="false">AA38</f>
        <v>312.5</v>
      </c>
      <c r="P38" s="65" t="n">
        <f aca="false">'Capital Expenditure'!P$25-P25</f>
        <v>450</v>
      </c>
      <c r="Q38" s="65" t="n">
        <f aca="false">'Capital Expenditure'!Q$25-Q25</f>
        <v>437.5</v>
      </c>
      <c r="R38" s="65" t="n">
        <f aca="false">'Capital Expenditure'!R$25-R25</f>
        <v>425</v>
      </c>
      <c r="S38" s="65" t="n">
        <f aca="false">'Capital Expenditure'!S$25-S25</f>
        <v>412.5</v>
      </c>
      <c r="T38" s="65" t="n">
        <f aca="false">'Capital Expenditure'!T$25-T25</f>
        <v>400</v>
      </c>
      <c r="U38" s="65" t="n">
        <f aca="false">'Capital Expenditure'!U$25-U25</f>
        <v>387.5</v>
      </c>
      <c r="V38" s="65" t="n">
        <f aca="false">'Capital Expenditure'!V$25-V25</f>
        <v>375</v>
      </c>
      <c r="W38" s="65" t="n">
        <f aca="false">'Capital Expenditure'!W$25-W25</f>
        <v>362.5</v>
      </c>
      <c r="X38" s="65" t="n">
        <f aca="false">'Capital Expenditure'!X$25-X25</f>
        <v>350</v>
      </c>
      <c r="Y38" s="65" t="n">
        <f aca="false">'Capital Expenditure'!Y$25-Y25</f>
        <v>337.5</v>
      </c>
      <c r="Z38" s="65" t="n">
        <f aca="false">'Capital Expenditure'!Z$25-Z25</f>
        <v>325</v>
      </c>
      <c r="AA38" s="65" t="n">
        <f aca="false">'Capital Expenditure'!AA$25-AA25</f>
        <v>312.5</v>
      </c>
      <c r="AB38" s="64" t="n">
        <f aca="false">AN38</f>
        <v>162.5</v>
      </c>
      <c r="AC38" s="65" t="n">
        <f aca="false">'Capital Expenditure'!AC$25-AC25</f>
        <v>300</v>
      </c>
      <c r="AD38" s="65" t="n">
        <f aca="false">'Capital Expenditure'!AD$25-AD25</f>
        <v>287.5</v>
      </c>
      <c r="AE38" s="65" t="n">
        <f aca="false">'Capital Expenditure'!AE$25-AE25</f>
        <v>275</v>
      </c>
      <c r="AF38" s="65" t="n">
        <f aca="false">'Capital Expenditure'!AF$25-AF25</f>
        <v>262.5</v>
      </c>
      <c r="AG38" s="65" t="n">
        <f aca="false">'Capital Expenditure'!AG$25-AG25</f>
        <v>250</v>
      </c>
      <c r="AH38" s="65" t="n">
        <f aca="false">'Capital Expenditure'!AH$25-AH25</f>
        <v>237.5</v>
      </c>
      <c r="AI38" s="65" t="n">
        <f aca="false">'Capital Expenditure'!AI$25-AI25</f>
        <v>225</v>
      </c>
      <c r="AJ38" s="65" t="n">
        <f aca="false">'Capital Expenditure'!AJ$25-AJ25</f>
        <v>212.5</v>
      </c>
      <c r="AK38" s="65" t="n">
        <f aca="false">'Capital Expenditure'!AK$25-AK25</f>
        <v>200</v>
      </c>
      <c r="AL38" s="65" t="n">
        <f aca="false">'Capital Expenditure'!AL$25-AL25</f>
        <v>187.5</v>
      </c>
      <c r="AM38" s="65" t="n">
        <f aca="false">'Capital Expenditure'!AM$25-AM25</f>
        <v>175</v>
      </c>
      <c r="AN38" s="65" t="n">
        <f aca="false">'Capital Expenditure'!AN$25-AN25</f>
        <v>162.5</v>
      </c>
      <c r="AO38" s="64" t="n">
        <f aca="false">BA38</f>
        <v>12.5</v>
      </c>
      <c r="AP38" s="65" t="n">
        <f aca="false">'Capital Expenditure'!AP$25-AP25</f>
        <v>150</v>
      </c>
      <c r="AQ38" s="65" t="n">
        <f aca="false">'Capital Expenditure'!AQ$25-AQ25</f>
        <v>137.5</v>
      </c>
      <c r="AR38" s="65" t="n">
        <f aca="false">'Capital Expenditure'!AR$25-AR25</f>
        <v>125</v>
      </c>
      <c r="AS38" s="65" t="n">
        <f aca="false">'Capital Expenditure'!AS$25-AS25</f>
        <v>112.5</v>
      </c>
      <c r="AT38" s="65" t="n">
        <f aca="false">'Capital Expenditure'!AT$25-AT25</f>
        <v>100</v>
      </c>
      <c r="AU38" s="65" t="n">
        <f aca="false">'Capital Expenditure'!AU$25-AU25</f>
        <v>87.5</v>
      </c>
      <c r="AV38" s="65" t="n">
        <f aca="false">'Capital Expenditure'!AV$25-AV25</f>
        <v>75</v>
      </c>
      <c r="AW38" s="65" t="n">
        <f aca="false">'Capital Expenditure'!AW$25-AW25</f>
        <v>62.5</v>
      </c>
      <c r="AX38" s="65" t="n">
        <f aca="false">'Capital Expenditure'!AX$25-AX25</f>
        <v>50</v>
      </c>
      <c r="AY38" s="65" t="n">
        <f aca="false">'Capital Expenditure'!AY$25-AY25</f>
        <v>37.5</v>
      </c>
      <c r="AZ38" s="65" t="n">
        <f aca="false">'Capital Expenditure'!AZ$25-AZ25</f>
        <v>25</v>
      </c>
      <c r="BA38" s="65" t="n">
        <f aca="false">'Capital Expenditure'!BA$25-BA25</f>
        <v>12.5</v>
      </c>
      <c r="BB38" s="64" t="n">
        <f aca="false">BN38</f>
        <v>0</v>
      </c>
      <c r="BC38" s="65" t="n">
        <f aca="false">'Capital Expenditure'!BC$25-BC25</f>
        <v>0</v>
      </c>
      <c r="BD38" s="65" t="n">
        <f aca="false">'Capital Expenditure'!BD$25-BD25</f>
        <v>0</v>
      </c>
      <c r="BE38" s="65" t="n">
        <f aca="false">'Capital Expenditure'!BE$25-BE25</f>
        <v>0</v>
      </c>
      <c r="BF38" s="65" t="n">
        <f aca="false">'Capital Expenditure'!BF$25-BF25</f>
        <v>0</v>
      </c>
      <c r="BG38" s="65" t="n">
        <f aca="false">'Capital Expenditure'!BG$25-BG25</f>
        <v>0</v>
      </c>
      <c r="BH38" s="65" t="n">
        <f aca="false">'Capital Expenditure'!BH$25-BH25</f>
        <v>0</v>
      </c>
      <c r="BI38" s="65" t="n">
        <f aca="false">'Capital Expenditure'!BI$25-BI25</f>
        <v>0</v>
      </c>
      <c r="BJ38" s="65" t="n">
        <f aca="false">'Capital Expenditure'!BJ$25-BJ25</f>
        <v>0</v>
      </c>
      <c r="BK38" s="65" t="n">
        <f aca="false">'Capital Expenditure'!BK$25-BK25</f>
        <v>0</v>
      </c>
      <c r="BL38" s="65" t="n">
        <f aca="false">'Capital Expenditure'!BL$25-BL25</f>
        <v>0</v>
      </c>
      <c r="BM38" s="65" t="n">
        <f aca="false">'Capital Expenditure'!BM$25-BM25</f>
        <v>0</v>
      </c>
      <c r="BN38" s="65" t="n">
        <f aca="false">'Capital Expenditure'!BN$25-BN25</f>
        <v>0</v>
      </c>
    </row>
    <row r="39" customFormat="false" ht="15" hidden="false" customHeight="false" outlineLevel="0" collapsed="false">
      <c r="A39" s="12" t="s">
        <v>476</v>
      </c>
      <c r="B39" s="64" t="n">
        <f aca="false">N39</f>
        <v>2450</v>
      </c>
      <c r="C39" s="65" t="n">
        <f aca="false">'Capital Expenditure'!C$26-C26</f>
        <v>3000</v>
      </c>
      <c r="D39" s="65" t="n">
        <f aca="false">'Capital Expenditure'!D$26-D26</f>
        <v>2950</v>
      </c>
      <c r="E39" s="65" t="n">
        <f aca="false">'Capital Expenditure'!E$26-E26</f>
        <v>2900</v>
      </c>
      <c r="F39" s="65" t="n">
        <f aca="false">'Capital Expenditure'!F$26-F26</f>
        <v>2850</v>
      </c>
      <c r="G39" s="65" t="n">
        <f aca="false">'Capital Expenditure'!G$26-G26</f>
        <v>2800</v>
      </c>
      <c r="H39" s="65" t="n">
        <f aca="false">'Capital Expenditure'!H$26-H26</f>
        <v>2750</v>
      </c>
      <c r="I39" s="65" t="n">
        <f aca="false">'Capital Expenditure'!I$26-I26</f>
        <v>2700</v>
      </c>
      <c r="J39" s="65" t="n">
        <f aca="false">'Capital Expenditure'!J$26-J26</f>
        <v>2650</v>
      </c>
      <c r="K39" s="65" t="n">
        <f aca="false">'Capital Expenditure'!K$26-K26</f>
        <v>2600</v>
      </c>
      <c r="L39" s="65" t="n">
        <f aca="false">'Capital Expenditure'!L$26-L26</f>
        <v>2550</v>
      </c>
      <c r="M39" s="65" t="n">
        <f aca="false">'Capital Expenditure'!M$26-M26</f>
        <v>2500</v>
      </c>
      <c r="N39" s="65" t="n">
        <f aca="false">'Capital Expenditure'!N$26-N26</f>
        <v>2450</v>
      </c>
      <c r="O39" s="64" t="n">
        <f aca="false">AA39</f>
        <v>1850</v>
      </c>
      <c r="P39" s="65" t="n">
        <f aca="false">'Capital Expenditure'!P$26-P26</f>
        <v>2400</v>
      </c>
      <c r="Q39" s="65" t="n">
        <f aca="false">'Capital Expenditure'!Q$26-Q26</f>
        <v>2350</v>
      </c>
      <c r="R39" s="65" t="n">
        <f aca="false">'Capital Expenditure'!R$26-R26</f>
        <v>2300</v>
      </c>
      <c r="S39" s="65" t="n">
        <f aca="false">'Capital Expenditure'!S$26-S26</f>
        <v>2250</v>
      </c>
      <c r="T39" s="65" t="n">
        <f aca="false">'Capital Expenditure'!T$26-T26</f>
        <v>2200</v>
      </c>
      <c r="U39" s="65" t="n">
        <f aca="false">'Capital Expenditure'!U$26-U26</f>
        <v>2150</v>
      </c>
      <c r="V39" s="65" t="n">
        <f aca="false">'Capital Expenditure'!V$26-V26</f>
        <v>2100</v>
      </c>
      <c r="W39" s="65" t="n">
        <f aca="false">'Capital Expenditure'!W$26-W26</f>
        <v>2050</v>
      </c>
      <c r="X39" s="65" t="n">
        <f aca="false">'Capital Expenditure'!X$26-X26</f>
        <v>2000</v>
      </c>
      <c r="Y39" s="65" t="n">
        <f aca="false">'Capital Expenditure'!Y$26-Y26</f>
        <v>1950</v>
      </c>
      <c r="Z39" s="65" t="n">
        <f aca="false">'Capital Expenditure'!Z$26-Z26</f>
        <v>1900</v>
      </c>
      <c r="AA39" s="65" t="n">
        <f aca="false">'Capital Expenditure'!AA$26-AA26</f>
        <v>1850</v>
      </c>
      <c r="AB39" s="64" t="n">
        <f aca="false">AN39</f>
        <v>1250</v>
      </c>
      <c r="AC39" s="65" t="n">
        <f aca="false">'Capital Expenditure'!AC$26-AC26</f>
        <v>1800</v>
      </c>
      <c r="AD39" s="65" t="n">
        <f aca="false">'Capital Expenditure'!AD$26-AD26</f>
        <v>1750</v>
      </c>
      <c r="AE39" s="65" t="n">
        <f aca="false">'Capital Expenditure'!AE$26-AE26</f>
        <v>1700</v>
      </c>
      <c r="AF39" s="65" t="n">
        <f aca="false">'Capital Expenditure'!AF$26-AF26</f>
        <v>1650</v>
      </c>
      <c r="AG39" s="65" t="n">
        <f aca="false">'Capital Expenditure'!AG$26-AG26</f>
        <v>1600</v>
      </c>
      <c r="AH39" s="65" t="n">
        <f aca="false">'Capital Expenditure'!AH$26-AH26</f>
        <v>1550</v>
      </c>
      <c r="AI39" s="65" t="n">
        <f aca="false">'Capital Expenditure'!AI$26-AI26</f>
        <v>1500</v>
      </c>
      <c r="AJ39" s="65" t="n">
        <f aca="false">'Capital Expenditure'!AJ$26-AJ26</f>
        <v>1450</v>
      </c>
      <c r="AK39" s="65" t="n">
        <f aca="false">'Capital Expenditure'!AK$26-AK26</f>
        <v>1400</v>
      </c>
      <c r="AL39" s="65" t="n">
        <f aca="false">'Capital Expenditure'!AL$26-AL26</f>
        <v>1350</v>
      </c>
      <c r="AM39" s="65" t="n">
        <f aca="false">'Capital Expenditure'!AM$26-AM26</f>
        <v>1300</v>
      </c>
      <c r="AN39" s="65" t="n">
        <f aca="false">'Capital Expenditure'!AN$26-AN26</f>
        <v>1250</v>
      </c>
      <c r="AO39" s="64" t="n">
        <f aca="false">BA39</f>
        <v>650</v>
      </c>
      <c r="AP39" s="65" t="n">
        <f aca="false">'Capital Expenditure'!AP$26-AP26</f>
        <v>1200</v>
      </c>
      <c r="AQ39" s="65" t="n">
        <f aca="false">'Capital Expenditure'!AQ$26-AQ26</f>
        <v>1150</v>
      </c>
      <c r="AR39" s="65" t="n">
        <f aca="false">'Capital Expenditure'!AR$26-AR26</f>
        <v>1100</v>
      </c>
      <c r="AS39" s="65" t="n">
        <f aca="false">'Capital Expenditure'!AS$26-AS26</f>
        <v>1050</v>
      </c>
      <c r="AT39" s="65" t="n">
        <f aca="false">'Capital Expenditure'!AT$26-AT26</f>
        <v>1000</v>
      </c>
      <c r="AU39" s="65" t="n">
        <f aca="false">'Capital Expenditure'!AU$26-AU26</f>
        <v>950</v>
      </c>
      <c r="AV39" s="65" t="n">
        <f aca="false">'Capital Expenditure'!AV$26-AV26</f>
        <v>900</v>
      </c>
      <c r="AW39" s="65" t="n">
        <f aca="false">'Capital Expenditure'!AW$26-AW26</f>
        <v>850</v>
      </c>
      <c r="AX39" s="65" t="n">
        <f aca="false">'Capital Expenditure'!AX$26-AX26</f>
        <v>800</v>
      </c>
      <c r="AY39" s="65" t="n">
        <f aca="false">'Capital Expenditure'!AY$26-AY26</f>
        <v>750</v>
      </c>
      <c r="AZ39" s="65" t="n">
        <f aca="false">'Capital Expenditure'!AZ$26-AZ26</f>
        <v>700</v>
      </c>
      <c r="BA39" s="65" t="n">
        <f aca="false">'Capital Expenditure'!BA$26-BA26</f>
        <v>650</v>
      </c>
      <c r="BB39" s="64" t="n">
        <f aca="false">BN39</f>
        <v>50</v>
      </c>
      <c r="BC39" s="65" t="n">
        <f aca="false">'Capital Expenditure'!BC$26-BC26</f>
        <v>600</v>
      </c>
      <c r="BD39" s="65" t="n">
        <f aca="false">'Capital Expenditure'!BD$26-BD26</f>
        <v>550</v>
      </c>
      <c r="BE39" s="65" t="n">
        <f aca="false">'Capital Expenditure'!BE$26-BE26</f>
        <v>500</v>
      </c>
      <c r="BF39" s="65" t="n">
        <f aca="false">'Capital Expenditure'!BF$26-BF26</f>
        <v>450</v>
      </c>
      <c r="BG39" s="65" t="n">
        <f aca="false">'Capital Expenditure'!BG$26-BG26</f>
        <v>400</v>
      </c>
      <c r="BH39" s="65" t="n">
        <f aca="false">'Capital Expenditure'!BH$26-BH26</f>
        <v>350</v>
      </c>
      <c r="BI39" s="65" t="n">
        <f aca="false">'Capital Expenditure'!BI$26-BI26</f>
        <v>300</v>
      </c>
      <c r="BJ39" s="65" t="n">
        <f aca="false">'Capital Expenditure'!BJ$26-BJ26</f>
        <v>250</v>
      </c>
      <c r="BK39" s="65" t="n">
        <f aca="false">'Capital Expenditure'!BK$26-BK26</f>
        <v>200</v>
      </c>
      <c r="BL39" s="65" t="n">
        <f aca="false">'Capital Expenditure'!BL$26-BL26</f>
        <v>150</v>
      </c>
      <c r="BM39" s="65" t="n">
        <f aca="false">'Capital Expenditure'!BM$26-BM26</f>
        <v>100</v>
      </c>
      <c r="BN39" s="65" t="n">
        <f aca="false">'Capital Expenditure'!BN$26-BN26</f>
        <v>50</v>
      </c>
    </row>
    <row r="40" customFormat="false" ht="15" hidden="false" customHeight="false" outlineLevel="0" collapsed="false">
      <c r="A40" s="12" t="s">
        <v>477</v>
      </c>
      <c r="B40" s="64" t="n">
        <f aca="false">N40</f>
        <v>0</v>
      </c>
      <c r="C40" s="65" t="n">
        <f aca="false">'Capital Expenditure'!C$27-C27</f>
        <v>0</v>
      </c>
      <c r="D40" s="65" t="n">
        <f aca="false">'Capital Expenditure'!D$27-D27</f>
        <v>0</v>
      </c>
      <c r="E40" s="65" t="n">
        <f aca="false">'Capital Expenditure'!E$27-E27</f>
        <v>0</v>
      </c>
      <c r="F40" s="65" t="n">
        <f aca="false">'Capital Expenditure'!F$27-F27</f>
        <v>0</v>
      </c>
      <c r="G40" s="65" t="n">
        <f aca="false">'Capital Expenditure'!G$27-G27</f>
        <v>0</v>
      </c>
      <c r="H40" s="65" t="n">
        <f aca="false">'Capital Expenditure'!H$27-H27</f>
        <v>0</v>
      </c>
      <c r="I40" s="65" t="n">
        <f aca="false">'Capital Expenditure'!I$27-I27</f>
        <v>0</v>
      </c>
      <c r="J40" s="65" t="n">
        <f aca="false">'Capital Expenditure'!J$27-J27</f>
        <v>0</v>
      </c>
      <c r="K40" s="65" t="n">
        <f aca="false">'Capital Expenditure'!K$27-K27</f>
        <v>0</v>
      </c>
      <c r="L40" s="65" t="n">
        <f aca="false">'Capital Expenditure'!L$27-L27</f>
        <v>0</v>
      </c>
      <c r="M40" s="65" t="n">
        <f aca="false">'Capital Expenditure'!M$27-M27</f>
        <v>0</v>
      </c>
      <c r="N40" s="65" t="n">
        <f aca="false">'Capital Expenditure'!N$27-N27</f>
        <v>0</v>
      </c>
      <c r="O40" s="64" t="n">
        <f aca="false">AA40</f>
        <v>0</v>
      </c>
      <c r="P40" s="65" t="n">
        <f aca="false">'Capital Expenditure'!P$27-P27</f>
        <v>0</v>
      </c>
      <c r="Q40" s="65" t="n">
        <f aca="false">'Capital Expenditure'!Q$27-Q27</f>
        <v>0</v>
      </c>
      <c r="R40" s="65" t="n">
        <f aca="false">'Capital Expenditure'!R$27-R27</f>
        <v>0</v>
      </c>
      <c r="S40" s="65" t="n">
        <f aca="false">'Capital Expenditure'!S$27-S27</f>
        <v>0</v>
      </c>
      <c r="T40" s="65" t="n">
        <f aca="false">'Capital Expenditure'!T$27-T27</f>
        <v>0</v>
      </c>
      <c r="U40" s="65" t="n">
        <f aca="false">'Capital Expenditure'!U$27-U27</f>
        <v>0</v>
      </c>
      <c r="V40" s="65" t="n">
        <f aca="false">'Capital Expenditure'!V$27-V27</f>
        <v>0</v>
      </c>
      <c r="W40" s="65" t="n">
        <f aca="false">'Capital Expenditure'!W$27-W27</f>
        <v>0</v>
      </c>
      <c r="X40" s="65" t="n">
        <f aca="false">'Capital Expenditure'!X$27-X27</f>
        <v>0</v>
      </c>
      <c r="Y40" s="65" t="n">
        <f aca="false">'Capital Expenditure'!Y$27-Y27</f>
        <v>0</v>
      </c>
      <c r="Z40" s="65" t="n">
        <f aca="false">'Capital Expenditure'!Z$27-Z27</f>
        <v>0</v>
      </c>
      <c r="AA40" s="65" t="n">
        <f aca="false">'Capital Expenditure'!AA$27-AA27</f>
        <v>0</v>
      </c>
      <c r="AB40" s="64" t="n">
        <f aca="false">AN40</f>
        <v>3266.66666666667</v>
      </c>
      <c r="AC40" s="65" t="n">
        <f aca="false">'Capital Expenditure'!AC$27-AC27</f>
        <v>4000</v>
      </c>
      <c r="AD40" s="65" t="n">
        <f aca="false">'Capital Expenditure'!AD$27-AD27</f>
        <v>3933.33333333333</v>
      </c>
      <c r="AE40" s="65" t="n">
        <f aca="false">'Capital Expenditure'!AE$27-AE27</f>
        <v>3866.66666666667</v>
      </c>
      <c r="AF40" s="65" t="n">
        <f aca="false">'Capital Expenditure'!AF$27-AF27</f>
        <v>3800</v>
      </c>
      <c r="AG40" s="65" t="n">
        <f aca="false">'Capital Expenditure'!AG$27-AG27</f>
        <v>3733.33333333333</v>
      </c>
      <c r="AH40" s="65" t="n">
        <f aca="false">'Capital Expenditure'!AH$27-AH27</f>
        <v>3666.66666666667</v>
      </c>
      <c r="AI40" s="65" t="n">
        <f aca="false">'Capital Expenditure'!AI$27-AI27</f>
        <v>3600</v>
      </c>
      <c r="AJ40" s="65" t="n">
        <f aca="false">'Capital Expenditure'!AJ$27-AJ27</f>
        <v>3533.33333333333</v>
      </c>
      <c r="AK40" s="65" t="n">
        <f aca="false">'Capital Expenditure'!AK$27-AK27</f>
        <v>3466.66666666667</v>
      </c>
      <c r="AL40" s="65" t="n">
        <f aca="false">'Capital Expenditure'!AL$27-AL27</f>
        <v>3400</v>
      </c>
      <c r="AM40" s="65" t="n">
        <f aca="false">'Capital Expenditure'!AM$27-AM27</f>
        <v>3333.33333333333</v>
      </c>
      <c r="AN40" s="65" t="n">
        <f aca="false">'Capital Expenditure'!AN$27-AN27</f>
        <v>3266.66666666667</v>
      </c>
      <c r="AO40" s="64" t="n">
        <f aca="false">BA40</f>
        <v>2466.66666666667</v>
      </c>
      <c r="AP40" s="65" t="n">
        <f aca="false">'Capital Expenditure'!AP$27-AP27</f>
        <v>3200</v>
      </c>
      <c r="AQ40" s="65" t="n">
        <f aca="false">'Capital Expenditure'!AQ$27-AQ27</f>
        <v>3133.33333333333</v>
      </c>
      <c r="AR40" s="65" t="n">
        <f aca="false">'Capital Expenditure'!AR$27-AR27</f>
        <v>3066.66666666667</v>
      </c>
      <c r="AS40" s="65" t="n">
        <f aca="false">'Capital Expenditure'!AS$27-AS27</f>
        <v>3000</v>
      </c>
      <c r="AT40" s="65" t="n">
        <f aca="false">'Capital Expenditure'!AT$27-AT27</f>
        <v>2933.33333333333</v>
      </c>
      <c r="AU40" s="65" t="n">
        <f aca="false">'Capital Expenditure'!AU$27-AU27</f>
        <v>2866.66666666667</v>
      </c>
      <c r="AV40" s="65" t="n">
        <f aca="false">'Capital Expenditure'!AV$27-AV27</f>
        <v>2800</v>
      </c>
      <c r="AW40" s="65" t="n">
        <f aca="false">'Capital Expenditure'!AW$27-AW27</f>
        <v>2733.33333333333</v>
      </c>
      <c r="AX40" s="65" t="n">
        <f aca="false">'Capital Expenditure'!AX$27-AX27</f>
        <v>2666.66666666667</v>
      </c>
      <c r="AY40" s="65" t="n">
        <f aca="false">'Capital Expenditure'!AY$27-AY27</f>
        <v>2600</v>
      </c>
      <c r="AZ40" s="65" t="n">
        <f aca="false">'Capital Expenditure'!AZ$27-AZ27</f>
        <v>2533.33333333333</v>
      </c>
      <c r="BA40" s="65" t="n">
        <f aca="false">'Capital Expenditure'!BA$27-BA27</f>
        <v>2466.66666666667</v>
      </c>
      <c r="BB40" s="64" t="n">
        <f aca="false">BN40</f>
        <v>1666.66666666667</v>
      </c>
      <c r="BC40" s="65" t="n">
        <f aca="false">'Capital Expenditure'!BC$27-BC27</f>
        <v>2400</v>
      </c>
      <c r="BD40" s="65" t="n">
        <f aca="false">'Capital Expenditure'!BD$27-BD27</f>
        <v>2333.33333333333</v>
      </c>
      <c r="BE40" s="65" t="n">
        <f aca="false">'Capital Expenditure'!BE$27-BE27</f>
        <v>2266.66666666667</v>
      </c>
      <c r="BF40" s="65" t="n">
        <f aca="false">'Capital Expenditure'!BF$27-BF27</f>
        <v>2200</v>
      </c>
      <c r="BG40" s="65" t="n">
        <f aca="false">'Capital Expenditure'!BG$27-BG27</f>
        <v>2133.33333333333</v>
      </c>
      <c r="BH40" s="65" t="n">
        <f aca="false">'Capital Expenditure'!BH$27-BH27</f>
        <v>2066.66666666667</v>
      </c>
      <c r="BI40" s="65" t="n">
        <f aca="false">'Capital Expenditure'!BI$27-BI27</f>
        <v>2000</v>
      </c>
      <c r="BJ40" s="65" t="n">
        <f aca="false">'Capital Expenditure'!BJ$27-BJ27</f>
        <v>1933.33333333333</v>
      </c>
      <c r="BK40" s="65" t="n">
        <f aca="false">'Capital Expenditure'!BK$27-BK27</f>
        <v>1866.66666666667</v>
      </c>
      <c r="BL40" s="65" t="n">
        <f aca="false">'Capital Expenditure'!BL$27-BL27</f>
        <v>1800</v>
      </c>
      <c r="BM40" s="65" t="n">
        <f aca="false">'Capital Expenditure'!BM$27-BM27</f>
        <v>1733.33333333333</v>
      </c>
      <c r="BN40" s="65" t="n">
        <f aca="false">'Capital Expenditure'!BN$27-BN27</f>
        <v>1666.66666666667</v>
      </c>
    </row>
    <row r="41" customFormat="false" ht="15" hidden="false" customHeight="false" outlineLevel="0" collapsed="false">
      <c r="A41" s="12" t="s">
        <v>478</v>
      </c>
      <c r="B41" s="64" t="n">
        <f aca="false">N41</f>
        <v>0</v>
      </c>
      <c r="C41" s="65" t="n">
        <f aca="false">'Capital Expenditure'!C$28-C28</f>
        <v>0</v>
      </c>
      <c r="D41" s="65" t="n">
        <f aca="false">'Capital Expenditure'!D$28-D28</f>
        <v>0</v>
      </c>
      <c r="E41" s="65" t="n">
        <f aca="false">'Capital Expenditure'!E$28-E28</f>
        <v>0</v>
      </c>
      <c r="F41" s="65" t="n">
        <f aca="false">'Capital Expenditure'!F$28-F28</f>
        <v>0</v>
      </c>
      <c r="G41" s="65" t="n">
        <f aca="false">'Capital Expenditure'!G$28-G28</f>
        <v>0</v>
      </c>
      <c r="H41" s="65" t="n">
        <f aca="false">'Capital Expenditure'!H$28-H28</f>
        <v>0</v>
      </c>
      <c r="I41" s="65" t="n">
        <f aca="false">'Capital Expenditure'!I$28-I28</f>
        <v>0</v>
      </c>
      <c r="J41" s="65" t="n">
        <f aca="false">'Capital Expenditure'!J$28-J28</f>
        <v>0</v>
      </c>
      <c r="K41" s="65" t="n">
        <f aca="false">'Capital Expenditure'!K$28-K28</f>
        <v>0</v>
      </c>
      <c r="L41" s="65" t="n">
        <f aca="false">'Capital Expenditure'!L$28-L28</f>
        <v>0</v>
      </c>
      <c r="M41" s="65" t="n">
        <f aca="false">'Capital Expenditure'!M$28-M28</f>
        <v>0</v>
      </c>
      <c r="N41" s="65" t="n">
        <f aca="false">'Capital Expenditure'!N$28-N28</f>
        <v>0</v>
      </c>
      <c r="O41" s="64" t="n">
        <f aca="false">AA41</f>
        <v>0</v>
      </c>
      <c r="P41" s="65" t="n">
        <f aca="false">'Capital Expenditure'!P$28-P28</f>
        <v>0</v>
      </c>
      <c r="Q41" s="65" t="n">
        <f aca="false">'Capital Expenditure'!Q$28-Q28</f>
        <v>0</v>
      </c>
      <c r="R41" s="65" t="n">
        <f aca="false">'Capital Expenditure'!R$28-R28</f>
        <v>0</v>
      </c>
      <c r="S41" s="65" t="n">
        <f aca="false">'Capital Expenditure'!S$28-S28</f>
        <v>0</v>
      </c>
      <c r="T41" s="65" t="n">
        <f aca="false">'Capital Expenditure'!T$28-T28</f>
        <v>0</v>
      </c>
      <c r="U41" s="65" t="n">
        <f aca="false">'Capital Expenditure'!U$28-U28</f>
        <v>0</v>
      </c>
      <c r="V41" s="65" t="n">
        <f aca="false">'Capital Expenditure'!V$28-V28</f>
        <v>0</v>
      </c>
      <c r="W41" s="65" t="n">
        <f aca="false">'Capital Expenditure'!W$28-W28</f>
        <v>0</v>
      </c>
      <c r="X41" s="65" t="n">
        <f aca="false">'Capital Expenditure'!X$28-X28</f>
        <v>0</v>
      </c>
      <c r="Y41" s="65" t="n">
        <f aca="false">'Capital Expenditure'!Y$28-Y28</f>
        <v>0</v>
      </c>
      <c r="Z41" s="65" t="n">
        <f aca="false">'Capital Expenditure'!Z$28-Z28</f>
        <v>0</v>
      </c>
      <c r="AA41" s="65" t="n">
        <f aca="false">'Capital Expenditure'!AA$28-AA28</f>
        <v>0</v>
      </c>
      <c r="AB41" s="64" t="n">
        <f aca="false">AN41</f>
        <v>4900</v>
      </c>
      <c r="AC41" s="65" t="n">
        <f aca="false">'Capital Expenditure'!AC$28-AC28</f>
        <v>6000</v>
      </c>
      <c r="AD41" s="65" t="n">
        <f aca="false">'Capital Expenditure'!AD$28-AD28</f>
        <v>5900</v>
      </c>
      <c r="AE41" s="65" t="n">
        <f aca="false">'Capital Expenditure'!AE$28-AE28</f>
        <v>5800</v>
      </c>
      <c r="AF41" s="65" t="n">
        <f aca="false">'Capital Expenditure'!AF$28-AF28</f>
        <v>5700</v>
      </c>
      <c r="AG41" s="65" t="n">
        <f aca="false">'Capital Expenditure'!AG$28-AG28</f>
        <v>5600</v>
      </c>
      <c r="AH41" s="65" t="n">
        <f aca="false">'Capital Expenditure'!AH$28-AH28</f>
        <v>5500</v>
      </c>
      <c r="AI41" s="65" t="n">
        <f aca="false">'Capital Expenditure'!AI$28-AI28</f>
        <v>5400</v>
      </c>
      <c r="AJ41" s="65" t="n">
        <f aca="false">'Capital Expenditure'!AJ$28-AJ28</f>
        <v>5300</v>
      </c>
      <c r="AK41" s="65" t="n">
        <f aca="false">'Capital Expenditure'!AK$28-AK28</f>
        <v>5200</v>
      </c>
      <c r="AL41" s="65" t="n">
        <f aca="false">'Capital Expenditure'!AL$28-AL28</f>
        <v>5100</v>
      </c>
      <c r="AM41" s="65" t="n">
        <f aca="false">'Capital Expenditure'!AM$28-AM28</f>
        <v>5000</v>
      </c>
      <c r="AN41" s="65" t="n">
        <f aca="false">'Capital Expenditure'!AN$28-AN28</f>
        <v>4900</v>
      </c>
      <c r="AO41" s="64" t="n">
        <f aca="false">BA41</f>
        <v>3700</v>
      </c>
      <c r="AP41" s="65" t="n">
        <f aca="false">'Capital Expenditure'!AP$28-AP28</f>
        <v>4800</v>
      </c>
      <c r="AQ41" s="65" t="n">
        <f aca="false">'Capital Expenditure'!AQ$28-AQ28</f>
        <v>4700</v>
      </c>
      <c r="AR41" s="65" t="n">
        <f aca="false">'Capital Expenditure'!AR$28-AR28</f>
        <v>4600</v>
      </c>
      <c r="AS41" s="65" t="n">
        <f aca="false">'Capital Expenditure'!AS$28-AS28</f>
        <v>4500</v>
      </c>
      <c r="AT41" s="65" t="n">
        <f aca="false">'Capital Expenditure'!AT$28-AT28</f>
        <v>4400</v>
      </c>
      <c r="AU41" s="65" t="n">
        <f aca="false">'Capital Expenditure'!AU$28-AU28</f>
        <v>4300</v>
      </c>
      <c r="AV41" s="65" t="n">
        <f aca="false">'Capital Expenditure'!AV$28-AV28</f>
        <v>4200</v>
      </c>
      <c r="AW41" s="65" t="n">
        <f aca="false">'Capital Expenditure'!AW$28-AW28</f>
        <v>4100</v>
      </c>
      <c r="AX41" s="65" t="n">
        <f aca="false">'Capital Expenditure'!AX$28-AX28</f>
        <v>4000</v>
      </c>
      <c r="AY41" s="65" t="n">
        <f aca="false">'Capital Expenditure'!AY$28-AY28</f>
        <v>3900</v>
      </c>
      <c r="AZ41" s="65" t="n">
        <f aca="false">'Capital Expenditure'!AZ$28-AZ28</f>
        <v>3800</v>
      </c>
      <c r="BA41" s="65" t="n">
        <f aca="false">'Capital Expenditure'!BA$28-BA28</f>
        <v>3700</v>
      </c>
      <c r="BB41" s="64" t="n">
        <f aca="false">BN41</f>
        <v>2500</v>
      </c>
      <c r="BC41" s="65" t="n">
        <f aca="false">'Capital Expenditure'!BC$28-BC28</f>
        <v>3600</v>
      </c>
      <c r="BD41" s="65" t="n">
        <f aca="false">'Capital Expenditure'!BD$28-BD28</f>
        <v>3500</v>
      </c>
      <c r="BE41" s="65" t="n">
        <f aca="false">'Capital Expenditure'!BE$28-BE28</f>
        <v>3400</v>
      </c>
      <c r="BF41" s="65" t="n">
        <f aca="false">'Capital Expenditure'!BF$28-BF28</f>
        <v>3300</v>
      </c>
      <c r="BG41" s="65" t="n">
        <f aca="false">'Capital Expenditure'!BG$28-BG28</f>
        <v>3200</v>
      </c>
      <c r="BH41" s="65" t="n">
        <f aca="false">'Capital Expenditure'!BH$28-BH28</f>
        <v>3100</v>
      </c>
      <c r="BI41" s="65" t="n">
        <f aca="false">'Capital Expenditure'!BI$28-BI28</f>
        <v>3000</v>
      </c>
      <c r="BJ41" s="65" t="n">
        <f aca="false">'Capital Expenditure'!BJ$28-BJ28</f>
        <v>2900</v>
      </c>
      <c r="BK41" s="65" t="n">
        <f aca="false">'Capital Expenditure'!BK$28-BK28</f>
        <v>2800</v>
      </c>
      <c r="BL41" s="65" t="n">
        <f aca="false">'Capital Expenditure'!BL$28-BL28</f>
        <v>2700</v>
      </c>
      <c r="BM41" s="65" t="n">
        <f aca="false">'Capital Expenditure'!BM$28-BM28</f>
        <v>2600</v>
      </c>
      <c r="BN41" s="65" t="n">
        <f aca="false">'Capital Expenditure'!BN$28-BN28</f>
        <v>2500</v>
      </c>
    </row>
    <row r="42" customFormat="false" ht="15" hidden="false" customHeight="false" outlineLevel="0" collapsed="false">
      <c r="A42" s="69" t="s">
        <v>795</v>
      </c>
      <c r="B42" s="64" t="n">
        <f aca="false">N42</f>
        <v>9057.91666666667</v>
      </c>
      <c r="C42" s="70" t="n">
        <f aca="false">SUM(C33:C41)</f>
        <v>10080</v>
      </c>
      <c r="D42" s="70" t="n">
        <f aca="false">SUM(D33:D41)</f>
        <v>12028.75</v>
      </c>
      <c r="E42" s="70" t="n">
        <f aca="false">SUM(E33:E41)</f>
        <v>11731.6666666667</v>
      </c>
      <c r="F42" s="70" t="n">
        <f aca="false">SUM(F33:F41)</f>
        <v>11434.5833333333</v>
      </c>
      <c r="G42" s="70" t="n">
        <f aca="false">SUM(G33:G41)</f>
        <v>11137.5</v>
      </c>
      <c r="H42" s="70" t="n">
        <f aca="false">SUM(H33:H41)</f>
        <v>10840.4166666667</v>
      </c>
      <c r="I42" s="70" t="n">
        <f aca="false">SUM(I33:I41)</f>
        <v>10543.3333333333</v>
      </c>
      <c r="J42" s="70" t="n">
        <f aca="false">SUM(J33:J41)</f>
        <v>10246.25</v>
      </c>
      <c r="K42" s="70" t="n">
        <f aca="false">SUM(K33:K41)</f>
        <v>9949.16666666667</v>
      </c>
      <c r="L42" s="70" t="n">
        <f aca="false">SUM(L33:L41)</f>
        <v>9652.08333333333</v>
      </c>
      <c r="M42" s="70" t="n">
        <f aca="false">SUM(M33:M41)</f>
        <v>9355</v>
      </c>
      <c r="N42" s="70" t="n">
        <f aca="false">SUM(N33:N41)</f>
        <v>9057.91666666667</v>
      </c>
      <c r="O42" s="64" t="n">
        <f aca="false">AA42</f>
        <v>7694.79166666667</v>
      </c>
      <c r="P42" s="70" t="n">
        <f aca="false">SUM(P33:P41)</f>
        <v>12000.8333333333</v>
      </c>
      <c r="Q42" s="70" t="n">
        <f aca="false">SUM(Q33:Q41)</f>
        <v>11609.375</v>
      </c>
      <c r="R42" s="70" t="n">
        <f aca="false">SUM(R33:R41)</f>
        <v>11217.9166666667</v>
      </c>
      <c r="S42" s="70" t="n">
        <f aca="false">SUM(S33:S41)</f>
        <v>10826.4583333333</v>
      </c>
      <c r="T42" s="70" t="n">
        <f aca="false">SUM(T33:T41)</f>
        <v>10435</v>
      </c>
      <c r="U42" s="70" t="n">
        <f aca="false">SUM(U33:U41)</f>
        <v>10043.5416666667</v>
      </c>
      <c r="V42" s="70" t="n">
        <f aca="false">SUM(V33:V41)</f>
        <v>9652.08333333333</v>
      </c>
      <c r="W42" s="70" t="n">
        <f aca="false">SUM(W33:W41)</f>
        <v>9260.625</v>
      </c>
      <c r="X42" s="70" t="n">
        <f aca="false">SUM(X33:X41)</f>
        <v>8869.16666666667</v>
      </c>
      <c r="Y42" s="70" t="n">
        <f aca="false">SUM(Y33:Y41)</f>
        <v>8477.70833333333</v>
      </c>
      <c r="Z42" s="70" t="n">
        <f aca="false">SUM(Z33:Z41)</f>
        <v>8086.25</v>
      </c>
      <c r="AA42" s="70" t="n">
        <f aca="false">SUM(AA33:AA41)</f>
        <v>7694.79166666667</v>
      </c>
      <c r="AB42" s="64" t="n">
        <f aca="false">AN42</f>
        <v>13545.8333333333</v>
      </c>
      <c r="AC42" s="70" t="n">
        <f aca="false">SUM(AC33:AC41)</f>
        <v>20543.3333333333</v>
      </c>
      <c r="AD42" s="70" t="n">
        <f aca="false">SUM(AD33:AD41)</f>
        <v>19890.8333333333</v>
      </c>
      <c r="AE42" s="70" t="n">
        <f aca="false">SUM(AE33:AE41)</f>
        <v>19238.3333333333</v>
      </c>
      <c r="AF42" s="70" t="n">
        <f aca="false">SUM(AF33:AF41)</f>
        <v>18585.8333333333</v>
      </c>
      <c r="AG42" s="70" t="n">
        <f aca="false">SUM(AG33:AG41)</f>
        <v>17933.3333333333</v>
      </c>
      <c r="AH42" s="70" t="n">
        <f aca="false">SUM(AH33:AH41)</f>
        <v>17280.8333333333</v>
      </c>
      <c r="AI42" s="70" t="n">
        <f aca="false">SUM(AI33:AI41)</f>
        <v>16628.3333333333</v>
      </c>
      <c r="AJ42" s="70" t="n">
        <f aca="false">SUM(AJ33:AJ41)</f>
        <v>15975.8333333333</v>
      </c>
      <c r="AK42" s="70" t="n">
        <f aca="false">SUM(AK33:AK41)</f>
        <v>15323.3333333333</v>
      </c>
      <c r="AL42" s="70" t="n">
        <f aca="false">SUM(AL33:AL41)</f>
        <v>14670.8333333333</v>
      </c>
      <c r="AM42" s="70" t="n">
        <f aca="false">SUM(AM33:AM41)</f>
        <v>14108.3333333333</v>
      </c>
      <c r="AN42" s="70" t="n">
        <f aca="false">SUM(AN33:AN41)</f>
        <v>13545.8333333333</v>
      </c>
      <c r="AO42" s="64" t="n">
        <f aca="false">BA42</f>
        <v>9341.66666666666</v>
      </c>
      <c r="AP42" s="70" t="n">
        <f aca="false">SUM(AP33:AP41)</f>
        <v>17303.3333333333</v>
      </c>
      <c r="AQ42" s="70" t="n">
        <f aca="false">SUM(AQ33:AQ41)</f>
        <v>16525</v>
      </c>
      <c r="AR42" s="70" t="n">
        <f aca="false">SUM(AR33:AR41)</f>
        <v>15746.6666666667</v>
      </c>
      <c r="AS42" s="70" t="n">
        <f aca="false">SUM(AS33:AS41)</f>
        <v>14968.3333333333</v>
      </c>
      <c r="AT42" s="70" t="n">
        <f aca="false">SUM(AT33:AT41)</f>
        <v>14190</v>
      </c>
      <c r="AU42" s="70" t="n">
        <f aca="false">SUM(AU33:AU41)</f>
        <v>13411.6666666667</v>
      </c>
      <c r="AV42" s="70" t="n">
        <f aca="false">SUM(AV33:AV41)</f>
        <v>12633.3333333333</v>
      </c>
      <c r="AW42" s="70" t="n">
        <f aca="false">SUM(AW33:AW41)</f>
        <v>11975</v>
      </c>
      <c r="AX42" s="70" t="n">
        <f aca="false">SUM(AX33:AX41)</f>
        <v>11316.6666666667</v>
      </c>
      <c r="AY42" s="70" t="n">
        <f aca="false">SUM(AY33:AY41)</f>
        <v>10658.3333333333</v>
      </c>
      <c r="AZ42" s="70" t="n">
        <f aca="false">SUM(AZ33:AZ41)</f>
        <v>10000</v>
      </c>
      <c r="BA42" s="70" t="n">
        <f aca="false">SUM(BA33:BA41)</f>
        <v>9341.66666666666</v>
      </c>
      <c r="BB42" s="64" t="n">
        <f aca="false">BN42</f>
        <v>4916.66666666667</v>
      </c>
      <c r="BC42" s="70" t="n">
        <f aca="false">SUM(BC33:BC41)</f>
        <v>13003.3333333333</v>
      </c>
      <c r="BD42" s="70" t="n">
        <f aca="false">SUM(BD33:BD41)</f>
        <v>12111.6666666667</v>
      </c>
      <c r="BE42" s="70" t="n">
        <f aca="false">SUM(BE33:BE41)</f>
        <v>11265.8333333333</v>
      </c>
      <c r="BF42" s="70" t="n">
        <f aca="false">SUM(BF33:BF41)</f>
        <v>10420</v>
      </c>
      <c r="BG42" s="70" t="n">
        <f aca="false">SUM(BG33:BG41)</f>
        <v>9574.16666666666</v>
      </c>
      <c r="BH42" s="70" t="n">
        <f aca="false">SUM(BH33:BH41)</f>
        <v>8758.33333333333</v>
      </c>
      <c r="BI42" s="70" t="n">
        <f aca="false">SUM(BI33:BI41)</f>
        <v>8062.5</v>
      </c>
      <c r="BJ42" s="70" t="n">
        <f aca="false">SUM(BJ33:BJ41)</f>
        <v>7366.66666666667</v>
      </c>
      <c r="BK42" s="70" t="n">
        <f aca="false">SUM(BK33:BK41)</f>
        <v>6670.83333333333</v>
      </c>
      <c r="BL42" s="70" t="n">
        <f aca="false">SUM(BL33:BL41)</f>
        <v>5975</v>
      </c>
      <c r="BM42" s="70" t="n">
        <f aca="false">SUM(BM33:BM41)</f>
        <v>5279.16666666667</v>
      </c>
      <c r="BN42" s="70" t="n">
        <f aca="false">SUM(BN33:BN41)</f>
        <v>4916.66666666667</v>
      </c>
    </row>
    <row r="44" customFormat="false" ht="15" hidden="false" customHeight="false" outlineLevel="0" collapsed="false">
      <c r="A44" s="18" t="s">
        <v>796</v>
      </c>
      <c r="B44" s="64" t="n">
        <f aca="false">N44</f>
        <v>6607.91666666667</v>
      </c>
      <c r="C44" s="77" t="n">
        <f aca="false">C33+C34+C35+C36+C37+C38+C40+C41</f>
        <v>7080</v>
      </c>
      <c r="D44" s="77" t="n">
        <f aca="false">D33+D34+D35+D36+D37+D38+D40+D41</f>
        <v>9078.75</v>
      </c>
      <c r="E44" s="77" t="n">
        <f aca="false">E33+E34+E35+E36+E37+E38+E40+E41</f>
        <v>8831.66666666667</v>
      </c>
      <c r="F44" s="77" t="n">
        <f aca="false">F33+F34+F35+F36+F37+F38+F40+F41</f>
        <v>8584.58333333333</v>
      </c>
      <c r="G44" s="77" t="n">
        <f aca="false">G33+G34+G35+G36+G37+G38+G40+G41</f>
        <v>8337.5</v>
      </c>
      <c r="H44" s="77" t="n">
        <f aca="false">H33+H34+H35+H36+H37+H38+H40+H41</f>
        <v>8090.41666666667</v>
      </c>
      <c r="I44" s="77" t="n">
        <f aca="false">I33+I34+I35+I36+I37+I38+I40+I41</f>
        <v>7843.33333333333</v>
      </c>
      <c r="J44" s="77" t="n">
        <f aca="false">J33+J34+J35+J36+J37+J38+J40+J41</f>
        <v>7596.25</v>
      </c>
      <c r="K44" s="77" t="n">
        <f aca="false">K33+K34+K35+K36+K37+K38+K40+K41</f>
        <v>7349.16666666667</v>
      </c>
      <c r="L44" s="77" t="n">
        <f aca="false">L33+L34+L35+L36+L37+L38+L40+L41</f>
        <v>7102.08333333333</v>
      </c>
      <c r="M44" s="77" t="n">
        <f aca="false">M33+M34+M35+M36+M37+M38+M40+M41</f>
        <v>6855</v>
      </c>
      <c r="N44" s="77" t="n">
        <f aca="false">N33+N34+N35+N36+N37+N38+N40+N41</f>
        <v>6607.91666666667</v>
      </c>
      <c r="O44" s="64" t="n">
        <f aca="false">AA44</f>
        <v>5844.79166666667</v>
      </c>
      <c r="P44" s="77" t="n">
        <f aca="false">P33+P34+P35+P36+P37+P38+P40+P41</f>
        <v>9600.83333333333</v>
      </c>
      <c r="Q44" s="77" t="n">
        <f aca="false">Q33+Q34+Q35+Q36+Q37+Q38+Q40+Q41</f>
        <v>9259.375</v>
      </c>
      <c r="R44" s="77" t="n">
        <f aca="false">R33+R34+R35+R36+R37+R38+R40+R41</f>
        <v>8917.91666666667</v>
      </c>
      <c r="S44" s="77" t="n">
        <f aca="false">S33+S34+S35+S36+S37+S38+S40+S41</f>
        <v>8576.45833333333</v>
      </c>
      <c r="T44" s="77" t="n">
        <f aca="false">T33+T34+T35+T36+T37+T38+T40+T41</f>
        <v>8235</v>
      </c>
      <c r="U44" s="77" t="n">
        <f aca="false">U33+U34+U35+U36+U37+U38+U40+U41</f>
        <v>7893.54166666667</v>
      </c>
      <c r="V44" s="77" t="n">
        <f aca="false">V33+V34+V35+V36+V37+V38+V40+V41</f>
        <v>7552.08333333333</v>
      </c>
      <c r="W44" s="77" t="n">
        <f aca="false">W33+W34+W35+W36+W37+W38+W40+W41</f>
        <v>7210.625</v>
      </c>
      <c r="X44" s="77" t="n">
        <f aca="false">X33+X34+X35+X36+X37+X38+X40+X41</f>
        <v>6869.16666666667</v>
      </c>
      <c r="Y44" s="77" t="n">
        <f aca="false">Y33+Y34+Y35+Y36+Y37+Y38+Y40+Y41</f>
        <v>6527.70833333333</v>
      </c>
      <c r="Z44" s="77" t="n">
        <f aca="false">Z33+Z34+Z35+Z36+Z37+Z38+Z40+Z41</f>
        <v>6186.25</v>
      </c>
      <c r="AA44" s="77" t="n">
        <f aca="false">AA33+AA34+AA35+AA36+AA37+AA38+AA40+AA41</f>
        <v>5844.79166666667</v>
      </c>
      <c r="AB44" s="64" t="n">
        <f aca="false">AN44</f>
        <v>12295.8333333333</v>
      </c>
      <c r="AC44" s="77" t="n">
        <f aca="false">AC33+AC34+AC35+AC36+AC37+AC38+AC40+AC41</f>
        <v>18743.3333333333</v>
      </c>
      <c r="AD44" s="77" t="n">
        <f aca="false">AD33+AD34+AD35+AD36+AD37+AD38+AD40+AD41</f>
        <v>18140.8333333333</v>
      </c>
      <c r="AE44" s="77" t="n">
        <f aca="false">AE33+AE34+AE35+AE36+AE37+AE38+AE40+AE41</f>
        <v>17538.3333333333</v>
      </c>
      <c r="AF44" s="77" t="n">
        <f aca="false">AF33+AF34+AF35+AF36+AF37+AF38+AF40+AF41</f>
        <v>16935.8333333333</v>
      </c>
      <c r="AG44" s="77" t="n">
        <f aca="false">AG33+AG34+AG35+AG36+AG37+AG38+AG40+AG41</f>
        <v>16333.3333333333</v>
      </c>
      <c r="AH44" s="77" t="n">
        <f aca="false">AH33+AH34+AH35+AH36+AH37+AH38+AH40+AH41</f>
        <v>15730.8333333333</v>
      </c>
      <c r="AI44" s="77" t="n">
        <f aca="false">AI33+AI34+AI35+AI36+AI37+AI38+AI40+AI41</f>
        <v>15128.3333333333</v>
      </c>
      <c r="AJ44" s="77" t="n">
        <f aca="false">AJ33+AJ34+AJ35+AJ36+AJ37+AJ38+AJ40+AJ41</f>
        <v>14525.8333333333</v>
      </c>
      <c r="AK44" s="77" t="n">
        <f aca="false">AK33+AK34+AK35+AK36+AK37+AK38+AK40+AK41</f>
        <v>13923.3333333333</v>
      </c>
      <c r="AL44" s="77" t="n">
        <f aca="false">AL33+AL34+AL35+AL36+AL37+AL38+AL40+AL41</f>
        <v>13320.8333333333</v>
      </c>
      <c r="AM44" s="77" t="n">
        <f aca="false">AM33+AM34+AM35+AM36+AM37+AM38+AM40+AM41</f>
        <v>12808.3333333333</v>
      </c>
      <c r="AN44" s="77" t="n">
        <f aca="false">AN33+AN34+AN35+AN36+AN37+AN38+AN40+AN41</f>
        <v>12295.8333333333</v>
      </c>
      <c r="AO44" s="64" t="n">
        <f aca="false">BA44</f>
        <v>8691.66666666666</v>
      </c>
      <c r="AP44" s="77" t="n">
        <f aca="false">AP33+AP34+AP35+AP36+AP37+AP38+AP40+AP41</f>
        <v>16103.3333333333</v>
      </c>
      <c r="AQ44" s="77" t="n">
        <f aca="false">AQ33+AQ34+AQ35+AQ36+AQ37+AQ38+AQ40+AQ41</f>
        <v>15375</v>
      </c>
      <c r="AR44" s="77" t="n">
        <f aca="false">AR33+AR34+AR35+AR36+AR37+AR38+AR40+AR41</f>
        <v>14646.6666666667</v>
      </c>
      <c r="AS44" s="77" t="n">
        <f aca="false">AS33+AS34+AS35+AS36+AS37+AS38+AS40+AS41</f>
        <v>13918.3333333333</v>
      </c>
      <c r="AT44" s="77" t="n">
        <f aca="false">AT33+AT34+AT35+AT36+AT37+AT38+AT40+AT41</f>
        <v>13190</v>
      </c>
      <c r="AU44" s="77" t="n">
        <f aca="false">AU33+AU34+AU35+AU36+AU37+AU38+AU40+AU41</f>
        <v>12461.6666666667</v>
      </c>
      <c r="AV44" s="77" t="n">
        <f aca="false">AV33+AV34+AV35+AV36+AV37+AV38+AV40+AV41</f>
        <v>11733.3333333333</v>
      </c>
      <c r="AW44" s="77" t="n">
        <f aca="false">AW33+AW34+AW35+AW36+AW37+AW38+AW40+AW41</f>
        <v>11125</v>
      </c>
      <c r="AX44" s="77" t="n">
        <f aca="false">AX33+AX34+AX35+AX36+AX37+AX38+AX40+AX41</f>
        <v>10516.6666666667</v>
      </c>
      <c r="AY44" s="77" t="n">
        <f aca="false">AY33+AY34+AY35+AY36+AY37+AY38+AY40+AY41</f>
        <v>9908.33333333333</v>
      </c>
      <c r="AZ44" s="77" t="n">
        <f aca="false">AZ33+AZ34+AZ35+AZ36+AZ37+AZ38+AZ40+AZ41</f>
        <v>9300</v>
      </c>
      <c r="BA44" s="77" t="n">
        <f aca="false">BA33+BA34+BA35+BA36+BA37+BA38+BA40+BA41</f>
        <v>8691.66666666666</v>
      </c>
      <c r="BB44" s="64" t="n">
        <f aca="false">BN44</f>
        <v>4866.66666666667</v>
      </c>
      <c r="BC44" s="77" t="n">
        <f aca="false">BC33+BC34+BC35+BC36+BC37+BC38+BC40+BC41</f>
        <v>12403.3333333333</v>
      </c>
      <c r="BD44" s="77" t="n">
        <f aca="false">BD33+BD34+BD35+BD36+BD37+BD38+BD40+BD41</f>
        <v>11561.6666666667</v>
      </c>
      <c r="BE44" s="77" t="n">
        <f aca="false">BE33+BE34+BE35+BE36+BE37+BE38+BE40+BE41</f>
        <v>10765.8333333333</v>
      </c>
      <c r="BF44" s="77" t="n">
        <f aca="false">BF33+BF34+BF35+BF36+BF37+BF38+BF40+BF41</f>
        <v>9970</v>
      </c>
      <c r="BG44" s="77" t="n">
        <f aca="false">BG33+BG34+BG35+BG36+BG37+BG38+BG40+BG41</f>
        <v>9174.16666666666</v>
      </c>
      <c r="BH44" s="77" t="n">
        <f aca="false">BH33+BH34+BH35+BH36+BH37+BH38+BH40+BH41</f>
        <v>8408.33333333333</v>
      </c>
      <c r="BI44" s="77" t="n">
        <f aca="false">BI33+BI34+BI35+BI36+BI37+BI38+BI40+BI41</f>
        <v>7762.5</v>
      </c>
      <c r="BJ44" s="77" t="n">
        <f aca="false">BJ33+BJ34+BJ35+BJ36+BJ37+BJ38+BJ40+BJ41</f>
        <v>7116.66666666667</v>
      </c>
      <c r="BK44" s="77" t="n">
        <f aca="false">BK33+BK34+BK35+BK36+BK37+BK38+BK40+BK41</f>
        <v>6470.83333333333</v>
      </c>
      <c r="BL44" s="77" t="n">
        <f aca="false">BL33+BL34+BL35+BL36+BL37+BL38+BL40+BL41</f>
        <v>5825</v>
      </c>
      <c r="BM44" s="77" t="n">
        <f aca="false">BM33+BM34+BM35+BM36+BM37+BM38+BM40+BM41</f>
        <v>5179.16666666667</v>
      </c>
      <c r="BN44" s="77" t="n">
        <f aca="false">BN33+BN34+BN35+BN36+BN37+BN38+BN40+BN41</f>
        <v>4866.66666666667</v>
      </c>
    </row>
    <row r="45" customFormat="false" ht="15" hidden="false" customHeight="false" outlineLevel="0" collapsed="false">
      <c r="A45" s="18" t="s">
        <v>797</v>
      </c>
      <c r="B45" s="64" t="n">
        <f aca="false">N45</f>
        <v>2450</v>
      </c>
      <c r="C45" s="77" t="n">
        <f aca="false">C39</f>
        <v>3000</v>
      </c>
      <c r="D45" s="77" t="n">
        <f aca="false">D39</f>
        <v>2950</v>
      </c>
      <c r="E45" s="77" t="n">
        <f aca="false">E39</f>
        <v>2900</v>
      </c>
      <c r="F45" s="77" t="n">
        <f aca="false">F39</f>
        <v>2850</v>
      </c>
      <c r="G45" s="77" t="n">
        <f aca="false">G39</f>
        <v>2800</v>
      </c>
      <c r="H45" s="77" t="n">
        <f aca="false">H39</f>
        <v>2750</v>
      </c>
      <c r="I45" s="77" t="n">
        <f aca="false">I39</f>
        <v>2700</v>
      </c>
      <c r="J45" s="77" t="n">
        <f aca="false">J39</f>
        <v>2650</v>
      </c>
      <c r="K45" s="77" t="n">
        <f aca="false">K39</f>
        <v>2600</v>
      </c>
      <c r="L45" s="77" t="n">
        <f aca="false">L39</f>
        <v>2550</v>
      </c>
      <c r="M45" s="77" t="n">
        <f aca="false">M39</f>
        <v>2500</v>
      </c>
      <c r="N45" s="77" t="n">
        <f aca="false">N39</f>
        <v>2450</v>
      </c>
      <c r="O45" s="64" t="n">
        <f aca="false">AA45</f>
        <v>1850</v>
      </c>
      <c r="P45" s="77" t="n">
        <f aca="false">P39</f>
        <v>2400</v>
      </c>
      <c r="Q45" s="77" t="n">
        <f aca="false">Q39</f>
        <v>2350</v>
      </c>
      <c r="R45" s="77" t="n">
        <f aca="false">R39</f>
        <v>2300</v>
      </c>
      <c r="S45" s="77" t="n">
        <f aca="false">S39</f>
        <v>2250</v>
      </c>
      <c r="T45" s="77" t="n">
        <f aca="false">T39</f>
        <v>2200</v>
      </c>
      <c r="U45" s="77" t="n">
        <f aca="false">U39</f>
        <v>2150</v>
      </c>
      <c r="V45" s="77" t="n">
        <f aca="false">V39</f>
        <v>2100</v>
      </c>
      <c r="W45" s="77" t="n">
        <f aca="false">W39</f>
        <v>2050</v>
      </c>
      <c r="X45" s="77" t="n">
        <f aca="false">X39</f>
        <v>2000</v>
      </c>
      <c r="Y45" s="77" t="n">
        <f aca="false">Y39</f>
        <v>1950</v>
      </c>
      <c r="Z45" s="77" t="n">
        <f aca="false">Z39</f>
        <v>1900</v>
      </c>
      <c r="AA45" s="77" t="n">
        <f aca="false">AA39</f>
        <v>1850</v>
      </c>
      <c r="AB45" s="64" t="n">
        <f aca="false">AN45</f>
        <v>1250</v>
      </c>
      <c r="AC45" s="77" t="n">
        <f aca="false">AC39</f>
        <v>1800</v>
      </c>
      <c r="AD45" s="77" t="n">
        <f aca="false">AD39</f>
        <v>1750</v>
      </c>
      <c r="AE45" s="77" t="n">
        <f aca="false">AE39</f>
        <v>1700</v>
      </c>
      <c r="AF45" s="77" t="n">
        <f aca="false">AF39</f>
        <v>1650</v>
      </c>
      <c r="AG45" s="77" t="n">
        <f aca="false">AG39</f>
        <v>1600</v>
      </c>
      <c r="AH45" s="77" t="n">
        <f aca="false">AH39</f>
        <v>1550</v>
      </c>
      <c r="AI45" s="77" t="n">
        <f aca="false">AI39</f>
        <v>1500</v>
      </c>
      <c r="AJ45" s="77" t="n">
        <f aca="false">AJ39</f>
        <v>1450</v>
      </c>
      <c r="AK45" s="77" t="n">
        <f aca="false">AK39</f>
        <v>1400</v>
      </c>
      <c r="AL45" s="77" t="n">
        <f aca="false">AL39</f>
        <v>1350</v>
      </c>
      <c r="AM45" s="77" t="n">
        <f aca="false">AM39</f>
        <v>1300</v>
      </c>
      <c r="AN45" s="77" t="n">
        <f aca="false">AN39</f>
        <v>1250</v>
      </c>
      <c r="AO45" s="64" t="n">
        <f aca="false">BA45</f>
        <v>650</v>
      </c>
      <c r="AP45" s="77" t="n">
        <f aca="false">AP39</f>
        <v>1200</v>
      </c>
      <c r="AQ45" s="77" t="n">
        <f aca="false">AQ39</f>
        <v>1150</v>
      </c>
      <c r="AR45" s="77" t="n">
        <f aca="false">AR39</f>
        <v>1100</v>
      </c>
      <c r="AS45" s="77" t="n">
        <f aca="false">AS39</f>
        <v>1050</v>
      </c>
      <c r="AT45" s="77" t="n">
        <f aca="false">AT39</f>
        <v>1000</v>
      </c>
      <c r="AU45" s="77" t="n">
        <f aca="false">AU39</f>
        <v>950</v>
      </c>
      <c r="AV45" s="77" t="n">
        <f aca="false">AV39</f>
        <v>900</v>
      </c>
      <c r="AW45" s="77" t="n">
        <f aca="false">AW39</f>
        <v>850</v>
      </c>
      <c r="AX45" s="77" t="n">
        <f aca="false">AX39</f>
        <v>800</v>
      </c>
      <c r="AY45" s="77" t="n">
        <f aca="false">AY39</f>
        <v>750</v>
      </c>
      <c r="AZ45" s="77" t="n">
        <f aca="false">AZ39</f>
        <v>700</v>
      </c>
      <c r="BA45" s="77" t="n">
        <f aca="false">BA39</f>
        <v>650</v>
      </c>
      <c r="BB45" s="64" t="n">
        <f aca="false">BN45</f>
        <v>50</v>
      </c>
      <c r="BC45" s="77" t="n">
        <f aca="false">BC39</f>
        <v>600</v>
      </c>
      <c r="BD45" s="77" t="n">
        <f aca="false">BD39</f>
        <v>550</v>
      </c>
      <c r="BE45" s="77" t="n">
        <f aca="false">BE39</f>
        <v>500</v>
      </c>
      <c r="BF45" s="77" t="n">
        <f aca="false">BF39</f>
        <v>450</v>
      </c>
      <c r="BG45" s="77" t="n">
        <f aca="false">BG39</f>
        <v>400</v>
      </c>
      <c r="BH45" s="77" t="n">
        <f aca="false">BH39</f>
        <v>350</v>
      </c>
      <c r="BI45" s="77" t="n">
        <f aca="false">BI39</f>
        <v>300</v>
      </c>
      <c r="BJ45" s="77" t="n">
        <f aca="false">BJ39</f>
        <v>250</v>
      </c>
      <c r="BK45" s="77" t="n">
        <f aca="false">BK39</f>
        <v>200</v>
      </c>
      <c r="BL45" s="77" t="n">
        <f aca="false">BL39</f>
        <v>150</v>
      </c>
      <c r="BM45" s="77" t="n">
        <f aca="false">BM39</f>
        <v>100</v>
      </c>
      <c r="BN45" s="77" t="n">
        <f aca="false">BN39</f>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593</v>
      </c>
    </row>
    <row r="2" customFormat="false" ht="13.5" hidden="false" customHeight="true" outlineLevel="0" collapsed="false">
      <c r="A2" s="6" t="s">
        <v>798</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799</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800</v>
      </c>
      <c r="B7" s="64" t="n">
        <f aca="false">SUM(C7:N7)</f>
        <v>23905.391142812</v>
      </c>
      <c r="C7" s="65" t="n">
        <f aca="false">('Revenue Streams'!C$7+'Revenue Streams'!C$8)*'Assumption Setting'!$C$148*'Assumption Setting'!$C$149*'Assumption Setting'!$C$150</f>
        <v>850</v>
      </c>
      <c r="D7" s="65" t="n">
        <f aca="false">('Revenue Streams'!D$7+'Revenue Streams'!D$8)*'Assumption Setting'!$C$148*'Assumption Setting'!$C$149*'Assumption Setting'!$C$150</f>
        <v>1360</v>
      </c>
      <c r="E7" s="65" t="n">
        <f aca="false">('Revenue Streams'!E$7+'Revenue Streams'!E$8)*'Assumption Setting'!$C$148*'Assumption Setting'!$C$149*'Assumption Setting'!$C$150</f>
        <v>1700</v>
      </c>
      <c r="F7" s="65" t="n">
        <f aca="false">('Revenue Streams'!F$7+'Revenue Streams'!F$8)*'Assumption Setting'!$C$148*'Assumption Setting'!$C$149*'Assumption Setting'!$C$150</f>
        <v>1700</v>
      </c>
      <c r="G7" s="65" t="n">
        <f aca="false">('Revenue Streams'!G$7+'Revenue Streams'!G$8)*'Assumption Setting'!$C$148*'Assumption Setting'!$C$149*'Assumption Setting'!$C$150</f>
        <v>1700</v>
      </c>
      <c r="H7" s="65" t="n">
        <f aca="false">('Revenue Streams'!H$7+'Revenue Streams'!H$8)*'Assumption Setting'!$C$148*'Assumption Setting'!$C$149*'Assumption Setting'!$C$150</f>
        <v>1700</v>
      </c>
      <c r="I7" s="65" t="n">
        <f aca="false">('Revenue Streams'!I$7+'Revenue Streams'!I$8)*'Assumption Setting'!$C$148*'Assumption Setting'!$C$149*'Assumption Setting'!$C$150</f>
        <v>1923.59005441962</v>
      </c>
      <c r="J7" s="65" t="n">
        <f aca="false">('Revenue Streams'!J$7+'Revenue Streams'!J$8)*'Assumption Setting'!$C$148*'Assumption Setting'!$C$149*'Assumption Setting'!$C$150</f>
        <v>2147.18010883924</v>
      </c>
      <c r="K7" s="65" t="n">
        <f aca="false">('Revenue Streams'!K$7+'Revenue Streams'!K$8)*'Assumption Setting'!$C$148*'Assumption Setting'!$C$149*'Assumption Setting'!$C$150</f>
        <v>2370.77016325886</v>
      </c>
      <c r="L7" s="65" t="n">
        <f aca="false">('Revenue Streams'!L$7+'Revenue Streams'!L$8)*'Assumption Setting'!$C$148*'Assumption Setting'!$C$149*'Assumption Setting'!$C$150</f>
        <v>2594.36021767848</v>
      </c>
      <c r="M7" s="65" t="n">
        <f aca="false">('Revenue Streams'!M$7+'Revenue Streams'!M$8)*'Assumption Setting'!$C$148*'Assumption Setting'!$C$149*'Assumption Setting'!$C$150</f>
        <v>2817.9502720981</v>
      </c>
      <c r="N7" s="65" t="n">
        <f aca="false">('Revenue Streams'!N$7+'Revenue Streams'!N$8)*'Assumption Setting'!$C$148*'Assumption Setting'!$C$149*'Assumption Setting'!$C$150</f>
        <v>3041.54032651773</v>
      </c>
      <c r="O7" s="64" t="n">
        <f aca="false">SUM(P7:AA7)</f>
        <v>55054.4246247142</v>
      </c>
      <c r="P7" s="65" t="n">
        <f aca="false">('Revenue Streams'!P$7+'Revenue Streams'!P$8)*'Assumption Setting'!$D$148*'Assumption Setting'!$C$149*'Assumption Setting'!$C$150</f>
        <v>3548.11548516872</v>
      </c>
      <c r="Q7" s="65" t="n">
        <f aca="false">('Revenue Streams'!Q$7+'Revenue Streams'!Q$8)*'Assumption Setting'!$D$148*'Assumption Setting'!$C$149*'Assumption Setting'!$C$150</f>
        <v>3696.86237011174</v>
      </c>
      <c r="R7" s="65" t="n">
        <f aca="false">('Revenue Streams'!R$7+'Revenue Streams'!R$8)*'Assumption Setting'!$D$148*'Assumption Setting'!$C$149*'Assumption Setting'!$C$150</f>
        <v>3860.48394354907</v>
      </c>
      <c r="S7" s="65" t="n">
        <f aca="false">('Revenue Streams'!S$7+'Revenue Streams'!S$8)*'Assumption Setting'!$D$148*'Assumption Setting'!$C$149*'Assumption Setting'!$C$150</f>
        <v>4024.1055169864</v>
      </c>
      <c r="T7" s="65" t="n">
        <f aca="false">('Revenue Streams'!T$7+'Revenue Streams'!T$8)*'Assumption Setting'!$D$148*'Assumption Setting'!$C$149*'Assumption Setting'!$C$150</f>
        <v>4187.72709042373</v>
      </c>
      <c r="U7" s="65" t="n">
        <f aca="false">('Revenue Streams'!U$7+'Revenue Streams'!U$8)*'Assumption Setting'!$D$148*'Assumption Setting'!$C$149*'Assumption Setting'!$C$150</f>
        <v>4351.34866386105</v>
      </c>
      <c r="V7" s="65" t="n">
        <f aca="false">('Revenue Streams'!V$7+'Revenue Streams'!V$8)*'Assumption Setting'!$D$148*'Assumption Setting'!$C$149*'Assumption Setting'!$C$150</f>
        <v>4602.66721488235</v>
      </c>
      <c r="W7" s="65" t="n">
        <f aca="false">('Revenue Streams'!W$7+'Revenue Streams'!W$8)*'Assumption Setting'!$D$148*'Assumption Setting'!$C$149*'Assumption Setting'!$C$150</f>
        <v>4853.98576590364</v>
      </c>
      <c r="X7" s="65" t="n">
        <f aca="false">('Revenue Streams'!X$7+'Revenue Streams'!X$8)*'Assumption Setting'!$D$148*'Assumption Setting'!$C$149*'Assumption Setting'!$C$150</f>
        <v>5105.30431692493</v>
      </c>
      <c r="Y7" s="65" t="n">
        <f aca="false">('Revenue Streams'!Y$7+'Revenue Streams'!Y$8)*'Assumption Setting'!$D$148*'Assumption Setting'!$C$149*'Assumption Setting'!$C$150</f>
        <v>5356.62286794622</v>
      </c>
      <c r="Z7" s="65" t="n">
        <f aca="false">('Revenue Streams'!Z$7+'Revenue Streams'!Z$8)*'Assumption Setting'!$D$148*'Assumption Setting'!$C$149*'Assumption Setting'!$C$150</f>
        <v>5607.94141896752</v>
      </c>
      <c r="AA7" s="65" t="n">
        <f aca="false">('Revenue Streams'!AA$7+'Revenue Streams'!AA$8)*'Assumption Setting'!$D$148*'Assumption Setting'!$C$149*'Assumption Setting'!$C$150</f>
        <v>5859.25996998881</v>
      </c>
      <c r="AB7" s="64" t="n">
        <f aca="false">SUM(AC7:AN7)</f>
        <v>75509.1976797333</v>
      </c>
      <c r="AC7" s="65" t="n">
        <f aca="false">('Revenue Streams'!AC$7+'Revenue Streams'!AC$8)*'Assumption Setting'!$E$148*'Assumption Setting'!$C$149*'Assumption Setting'!$C$150</f>
        <v>5715.35267512549</v>
      </c>
      <c r="AD7" s="65" t="n">
        <f aca="false">('Revenue Streams'!AD$7+'Revenue Streams'!AD$8)*'Assumption Setting'!$E$148*'Assumption Setting'!$C$149*'Assumption Setting'!$C$150</f>
        <v>5374.68117289493</v>
      </c>
      <c r="AE7" s="65" t="n">
        <f aca="false">('Revenue Streams'!AE$7+'Revenue Streams'!AE$8)*'Assumption Setting'!$E$148*'Assumption Setting'!$C$149*'Assumption Setting'!$C$150</f>
        <v>5270.31226137068</v>
      </c>
      <c r="AF7" s="65" t="n">
        <f aca="false">('Revenue Streams'!AF$7+'Revenue Streams'!AF$8)*'Assumption Setting'!$E$148*'Assumption Setting'!$C$149*'Assumption Setting'!$C$150</f>
        <v>5585.94334984643</v>
      </c>
      <c r="AG7" s="65" t="n">
        <f aca="false">('Revenue Streams'!AG$7+'Revenue Streams'!AG$8)*'Assumption Setting'!$E$148*'Assumption Setting'!$C$149*'Assumption Setting'!$C$150</f>
        <v>5901.57443832218</v>
      </c>
      <c r="AH7" s="65" t="n">
        <f aca="false">('Revenue Streams'!AH$7+'Revenue Streams'!AH$8)*'Assumption Setting'!$E$148*'Assumption Setting'!$C$149*'Assumption Setting'!$C$150</f>
        <v>6217.20552679794</v>
      </c>
      <c r="AI7" s="65" t="n">
        <f aca="false">('Revenue Streams'!AI$7+'Revenue Streams'!AI$8)*'Assumption Setting'!$E$148*'Assumption Setting'!$C$149*'Assumption Setting'!$C$150</f>
        <v>6414.3910074926</v>
      </c>
      <c r="AJ7" s="65" t="n">
        <f aca="false">('Revenue Streams'!AJ$7+'Revenue Streams'!AJ$8)*'Assumption Setting'!$E$148*'Assumption Setting'!$C$149*'Assumption Setting'!$C$150</f>
        <v>6611.57648818727</v>
      </c>
      <c r="AK7" s="65" t="n">
        <f aca="false">('Revenue Streams'!AK$7+'Revenue Streams'!AK$8)*'Assumption Setting'!$E$148*'Assumption Setting'!$C$149*'Assumption Setting'!$C$150</f>
        <v>6808.76196888194</v>
      </c>
      <c r="AL7" s="65" t="n">
        <f aca="false">('Revenue Streams'!AL$7+'Revenue Streams'!AL$8)*'Assumption Setting'!$E$148*'Assumption Setting'!$C$149*'Assumption Setting'!$C$150</f>
        <v>7005.94744957661</v>
      </c>
      <c r="AM7" s="65" t="n">
        <f aca="false">('Revenue Streams'!AM$7+'Revenue Streams'!AM$8)*'Assumption Setting'!$E$148*'Assumption Setting'!$C$149*'Assumption Setting'!$C$150</f>
        <v>7203.13293027128</v>
      </c>
      <c r="AN7" s="65" t="n">
        <f aca="false">('Revenue Streams'!AN$7+'Revenue Streams'!AN$8)*'Assumption Setting'!$E$148*'Assumption Setting'!$C$149*'Assumption Setting'!$C$150</f>
        <v>7400.31841096594</v>
      </c>
      <c r="AO7" s="64" t="n">
        <f aca="false">SUM(AP7:BA7)</f>
        <v>119558.231521948</v>
      </c>
      <c r="AP7" s="65" t="n">
        <f aca="false">('Revenue Streams'!AP$7+'Revenue Streams'!AP$8)*'Assumption Setting'!$F$148*'Assumption Setting'!$C$149*'Assumption Setting'!$C$150</f>
        <v>8076.40839119759</v>
      </c>
      <c r="AQ7" s="65" t="n">
        <f aca="false">('Revenue Streams'!AQ$7+'Revenue Streams'!AQ$8)*'Assumption Setting'!$F$148*'Assumption Setting'!$C$149*'Assumption Setting'!$C$150</f>
        <v>8400.10225662133</v>
      </c>
      <c r="AR7" s="65" t="n">
        <f aca="false">('Revenue Streams'!AR$7+'Revenue Streams'!AR$8)*'Assumption Setting'!$F$148*'Assumption Setting'!$C$149*'Assumption Setting'!$C$150</f>
        <v>8727.23642771788</v>
      </c>
      <c r="AS7" s="65" t="n">
        <f aca="false">('Revenue Streams'!AS$7+'Revenue Streams'!AS$8)*'Assumption Setting'!$F$148*'Assumption Setting'!$C$149*'Assumption Setting'!$C$150</f>
        <v>9054.37059881444</v>
      </c>
      <c r="AT7" s="65" t="n">
        <f aca="false">('Revenue Streams'!AT$7+'Revenue Streams'!AT$8)*'Assumption Setting'!$F$148*'Assumption Setting'!$C$149*'Assumption Setting'!$C$150</f>
        <v>9381.504769911</v>
      </c>
      <c r="AU7" s="65" t="n">
        <f aca="false">('Revenue Streams'!AU$7+'Revenue Streams'!AU$8)*'Assumption Setting'!$F$148*'Assumption Setting'!$C$149*'Assumption Setting'!$C$150</f>
        <v>9708.63894100756</v>
      </c>
      <c r="AV7" s="65" t="n">
        <f aca="false">('Revenue Streams'!AV$7+'Revenue Streams'!AV$8)*'Assumption Setting'!$F$148*'Assumption Setting'!$C$149*'Assumption Setting'!$C$150</f>
        <v>10087.5978215139</v>
      </c>
      <c r="AW7" s="65" t="n">
        <f aca="false">('Revenue Streams'!AW$7+'Revenue Streams'!AW$8)*'Assumption Setting'!$F$148*'Assumption Setting'!$C$149*'Assumption Setting'!$C$150</f>
        <v>10466.5567020202</v>
      </c>
      <c r="AX7" s="65" t="n">
        <f aca="false">('Revenue Streams'!AX$7+'Revenue Streams'!AX$8)*'Assumption Setting'!$F$148*'Assumption Setting'!$C$149*'Assumption Setting'!$C$150</f>
        <v>10845.5155825265</v>
      </c>
      <c r="AY7" s="65" t="n">
        <f aca="false">('Revenue Streams'!AY$7+'Revenue Streams'!AY$8)*'Assumption Setting'!$F$148*'Assumption Setting'!$C$149*'Assumption Setting'!$C$150</f>
        <v>11224.4744630328</v>
      </c>
      <c r="AZ7" s="65" t="n">
        <f aca="false">('Revenue Streams'!AZ$7+'Revenue Streams'!AZ$8)*'Assumption Setting'!$F$148*'Assumption Setting'!$C$149*'Assumption Setting'!$C$150</f>
        <v>11603.4333435391</v>
      </c>
      <c r="BA7" s="65" t="n">
        <f aca="false">('Revenue Streams'!BA$7+'Revenue Streams'!BA$8)*'Assumption Setting'!$F$148*'Assumption Setting'!$C$149*'Assumption Setting'!$C$150</f>
        <v>11982.3922240454</v>
      </c>
      <c r="BB7" s="64" t="n">
        <f aca="false">SUM(BC7:BN7)</f>
        <v>180063.293871772</v>
      </c>
      <c r="BC7" s="65" t="n">
        <f aca="false">('Revenue Streams'!BC$7+'Revenue Streams'!BC$8)*'Assumption Setting'!$G$148*'Assumption Setting'!$C$149*'Assumption Setting'!$C$150</f>
        <v>12910.5748270754</v>
      </c>
      <c r="BD7" s="65" t="n">
        <f aca="false">('Revenue Streams'!BD$7+'Revenue Streams'!BD$8)*'Assumption Setting'!$G$148*'Assumption Setting'!$C$149*'Assumption Setting'!$C$150</f>
        <v>13294.1032381034</v>
      </c>
      <c r="BE7" s="65" t="n">
        <f aca="false">('Revenue Streams'!BE$7+'Revenue Streams'!BE$8)*'Assumption Setting'!$G$148*'Assumption Setting'!$C$149*'Assumption Setting'!$C$150</f>
        <v>13676.8405299392</v>
      </c>
      <c r="BF7" s="65" t="n">
        <f aca="false">('Revenue Streams'!BF$7+'Revenue Streams'!BF$8)*'Assumption Setting'!$G$148*'Assumption Setting'!$C$149*'Assumption Setting'!$C$150</f>
        <v>14059.5778217751</v>
      </c>
      <c r="BG7" s="65" t="n">
        <f aca="false">('Revenue Streams'!BG$7+'Revenue Streams'!BG$8)*'Assumption Setting'!$G$148*'Assumption Setting'!$C$149*'Assumption Setting'!$C$150</f>
        <v>14442.3151136109</v>
      </c>
      <c r="BH7" s="65" t="n">
        <f aca="false">('Revenue Streams'!BH$7+'Revenue Streams'!BH$8)*'Assumption Setting'!$G$148*'Assumption Setting'!$C$149*'Assumption Setting'!$C$150</f>
        <v>14825.0524054468</v>
      </c>
      <c r="BI7" s="65" t="n">
        <f aca="false">('Revenue Streams'!BI$7+'Revenue Streams'!BI$8)*'Assumption Setting'!$G$148*'Assumption Setting'!$C$149*'Assumption Setting'!$C$150</f>
        <v>15201.4579055963</v>
      </c>
      <c r="BJ7" s="65" t="n">
        <f aca="false">('Revenue Streams'!BJ$7+'Revenue Streams'!BJ$8)*'Assumption Setting'!$G$148*'Assumption Setting'!$C$149*'Assumption Setting'!$C$150</f>
        <v>15577.8634057458</v>
      </c>
      <c r="BK7" s="65" t="n">
        <f aca="false">('Revenue Streams'!BK$7+'Revenue Streams'!BK$8)*'Assumption Setting'!$G$148*'Assumption Setting'!$C$149*'Assumption Setting'!$C$150</f>
        <v>15954.2689058954</v>
      </c>
      <c r="BL7" s="65" t="n">
        <f aca="false">('Revenue Streams'!BL$7+'Revenue Streams'!BL$8)*'Assumption Setting'!$G$148*'Assumption Setting'!$C$149*'Assumption Setting'!$C$150</f>
        <v>16330.6744060449</v>
      </c>
      <c r="BM7" s="65" t="n">
        <f aca="false">('Revenue Streams'!BM$7+'Revenue Streams'!BM$8)*'Assumption Setting'!$G$148*'Assumption Setting'!$C$149*'Assumption Setting'!$C$150</f>
        <v>16707.0799061944</v>
      </c>
      <c r="BN7" s="65" t="n">
        <f aca="false">('Revenue Streams'!BN$7+'Revenue Streams'!BN$8)*'Assumption Setting'!$G$148*'Assumption Setting'!$C$149*'Assumption Setting'!$C$150</f>
        <v>17083.485406344</v>
      </c>
    </row>
    <row r="8" customFormat="false" ht="15" hidden="false" customHeight="false" outlineLevel="0" collapsed="false">
      <c r="A8" s="12" t="s">
        <v>801</v>
      </c>
      <c r="B8" s="64" t="n">
        <f aca="false">SUM(C8:N8)</f>
        <v>0</v>
      </c>
      <c r="C8" s="65" t="n">
        <f aca="false">'Revenue Streams'!C$10*'Assumption Setting'!$C$148*'Assumption Setting'!$C$149*'Assumption Setting'!$C$151</f>
        <v>0</v>
      </c>
      <c r="D8" s="65" t="n">
        <f aca="false">'Revenue Streams'!D$10*'Assumption Setting'!$C$148*'Assumption Setting'!$C$149*'Assumption Setting'!$C$151</f>
        <v>0</v>
      </c>
      <c r="E8" s="65" t="n">
        <f aca="false">'Revenue Streams'!E$10*'Assumption Setting'!$C$148*'Assumption Setting'!$C$149*'Assumption Setting'!$C$151</f>
        <v>0</v>
      </c>
      <c r="F8" s="65" t="n">
        <f aca="false">'Revenue Streams'!F$10*'Assumption Setting'!$C$148*'Assumption Setting'!$C$149*'Assumption Setting'!$C$151</f>
        <v>0</v>
      </c>
      <c r="G8" s="65" t="n">
        <f aca="false">'Revenue Streams'!G$10*'Assumption Setting'!$C$148*'Assumption Setting'!$C$149*'Assumption Setting'!$C$151</f>
        <v>0</v>
      </c>
      <c r="H8" s="65" t="n">
        <f aca="false">'Revenue Streams'!H$10*'Assumption Setting'!$C$148*'Assumption Setting'!$C$149*'Assumption Setting'!$C$151</f>
        <v>0</v>
      </c>
      <c r="I8" s="65" t="n">
        <f aca="false">'Revenue Streams'!I$10*'Assumption Setting'!$C$148*'Assumption Setting'!$C$149*'Assumption Setting'!$C$151</f>
        <v>0</v>
      </c>
      <c r="J8" s="65" t="n">
        <f aca="false">'Revenue Streams'!J$10*'Assumption Setting'!$C$148*'Assumption Setting'!$C$149*'Assumption Setting'!$C$151</f>
        <v>0</v>
      </c>
      <c r="K8" s="65" t="n">
        <f aca="false">'Revenue Streams'!K$10*'Assumption Setting'!$C$148*'Assumption Setting'!$C$149*'Assumption Setting'!$C$151</f>
        <v>0</v>
      </c>
      <c r="L8" s="65" t="n">
        <f aca="false">'Revenue Streams'!L$10*'Assumption Setting'!$C$148*'Assumption Setting'!$C$149*'Assumption Setting'!$C$151</f>
        <v>0</v>
      </c>
      <c r="M8" s="65" t="n">
        <f aca="false">'Revenue Streams'!M$10*'Assumption Setting'!$C$148*'Assumption Setting'!$C$149*'Assumption Setting'!$C$151</f>
        <v>0</v>
      </c>
      <c r="N8" s="65" t="n">
        <f aca="false">'Revenue Streams'!N$10*'Assumption Setting'!$C$148*'Assumption Setting'!$C$149*'Assumption Setting'!$C$151</f>
        <v>0</v>
      </c>
      <c r="O8" s="64" t="n">
        <f aca="false">SUM(P8:AA8)</f>
        <v>3327.80033180137</v>
      </c>
      <c r="P8" s="65" t="n">
        <f aca="false">'Revenue Streams'!P$10*'Assumption Setting'!$D$148*'Assumption Setting'!$C$149*'Assumption Setting'!$C$151</f>
        <v>34.7076064867058</v>
      </c>
      <c r="Q8" s="65" t="n">
        <f aca="false">'Revenue Streams'!Q$10*'Assumption Setting'!$D$148*'Assumption Setting'!$C$149*'Assumption Setting'!$C$151</f>
        <v>69.4152129734117</v>
      </c>
      <c r="R8" s="65" t="n">
        <f aca="false">'Revenue Streams'!R$10*'Assumption Setting'!$D$148*'Assumption Setting'!$C$149*'Assumption Setting'!$C$151</f>
        <v>107.593580108788</v>
      </c>
      <c r="S8" s="65" t="n">
        <f aca="false">'Revenue Streams'!S$10*'Assumption Setting'!$D$148*'Assumption Setting'!$C$149*'Assumption Setting'!$C$151</f>
        <v>145.771947244165</v>
      </c>
      <c r="T8" s="65" t="n">
        <f aca="false">'Revenue Streams'!T$10*'Assumption Setting'!$D$148*'Assumption Setting'!$C$149*'Assumption Setting'!$C$151</f>
        <v>183.950314379541</v>
      </c>
      <c r="U8" s="65" t="n">
        <f aca="false">'Revenue Streams'!U$10*'Assumption Setting'!$D$148*'Assumption Setting'!$C$149*'Assumption Setting'!$C$151</f>
        <v>222.128681514917</v>
      </c>
      <c r="V8" s="65" t="n">
        <f aca="false">'Revenue Streams'!V$10*'Assumption Setting'!$D$148*'Assumption Setting'!$C$149*'Assumption Setting'!$C$151</f>
        <v>280.769676753219</v>
      </c>
      <c r="W8" s="65" t="n">
        <f aca="false">'Revenue Streams'!W$10*'Assumption Setting'!$D$148*'Assumption Setting'!$C$149*'Assumption Setting'!$C$151</f>
        <v>339.410671991521</v>
      </c>
      <c r="X8" s="65" t="n">
        <f aca="false">'Revenue Streams'!X$10*'Assumption Setting'!$D$148*'Assumption Setting'!$C$149*'Assumption Setting'!$C$151</f>
        <v>398.051667229822</v>
      </c>
      <c r="Y8" s="65" t="n">
        <f aca="false">'Revenue Streams'!Y$10*'Assumption Setting'!$D$148*'Assumption Setting'!$C$149*'Assumption Setting'!$C$151</f>
        <v>456.692662468124</v>
      </c>
      <c r="Z8" s="65" t="n">
        <f aca="false">'Revenue Streams'!Z$10*'Assumption Setting'!$D$148*'Assumption Setting'!$C$149*'Assumption Setting'!$C$151</f>
        <v>515.333657706425</v>
      </c>
      <c r="AA8" s="65" t="n">
        <f aca="false">'Revenue Streams'!AA$10*'Assumption Setting'!$D$148*'Assumption Setting'!$C$149*'Assumption Setting'!$C$151</f>
        <v>573.974652944727</v>
      </c>
      <c r="AB8" s="64" t="n">
        <f aca="false">SUM(AC8:AN8)</f>
        <v>12754.9120482816</v>
      </c>
      <c r="AC8" s="65" t="n">
        <f aca="false">'Revenue Streams'!AC$10*'Assumption Setting'!$E$148*'Assumption Setting'!$C$149*'Assumption Setting'!$C$151</f>
        <v>688.836571991732</v>
      </c>
      <c r="AD8" s="65" t="n">
        <f aca="false">'Revenue Streams'!AD$10*'Assumption Setting'!$E$148*'Assumption Setting'!$C$149*'Assumption Setting'!$C$151</f>
        <v>743.280106518239</v>
      </c>
      <c r="AE8" s="65" t="n">
        <f aca="false">'Revenue Streams'!AE$10*'Assumption Setting'!$E$148*'Assumption Setting'!$C$149*'Assumption Setting'!$C$151</f>
        <v>802.673053274429</v>
      </c>
      <c r="AF8" s="65" t="n">
        <f aca="false">'Revenue Streams'!AF$10*'Assumption Setting'!$E$148*'Assumption Setting'!$C$149*'Assumption Setting'!$C$151</f>
        <v>862.066000030619</v>
      </c>
      <c r="AG8" s="65" t="n">
        <f aca="false">'Revenue Streams'!AG$10*'Assumption Setting'!$E$148*'Assumption Setting'!$C$149*'Assumption Setting'!$C$151</f>
        <v>921.458946786809</v>
      </c>
      <c r="AH8" s="65" t="n">
        <f aca="false">'Revenue Streams'!AH$10*'Assumption Setting'!$E$148*'Assumption Setting'!$C$149*'Assumption Setting'!$C$151</f>
        <v>980.851893542998</v>
      </c>
      <c r="AI8" s="65" t="n">
        <f aca="false">'Revenue Streams'!AI$10*'Assumption Setting'!$E$148*'Assumption Setting'!$C$149*'Assumption Setting'!$C$151</f>
        <v>1069.92970853723</v>
      </c>
      <c r="AJ8" s="65" t="n">
        <f aca="false">'Revenue Streams'!AJ$10*'Assumption Setting'!$E$148*'Assumption Setting'!$C$149*'Assumption Setting'!$C$151</f>
        <v>1159.00752353145</v>
      </c>
      <c r="AK8" s="65" t="n">
        <f aca="false">'Revenue Streams'!AK$10*'Assumption Setting'!$E$148*'Assumption Setting'!$C$149*'Assumption Setting'!$C$151</f>
        <v>1248.08533852568</v>
      </c>
      <c r="AL8" s="65" t="n">
        <f aca="false">'Revenue Streams'!AL$10*'Assumption Setting'!$E$148*'Assumption Setting'!$C$149*'Assumption Setting'!$C$151</f>
        <v>1337.16315351991</v>
      </c>
      <c r="AM8" s="65" t="n">
        <f aca="false">'Revenue Streams'!AM$10*'Assumption Setting'!$E$148*'Assumption Setting'!$C$149*'Assumption Setting'!$C$151</f>
        <v>1426.24096851414</v>
      </c>
      <c r="AN8" s="65" t="n">
        <f aca="false">'Revenue Streams'!AN$10*'Assumption Setting'!$E$148*'Assumption Setting'!$C$149*'Assumption Setting'!$C$151</f>
        <v>1515.31878350837</v>
      </c>
      <c r="AO8" s="64" t="n">
        <f aca="false">SUM(AP8:BA8)</f>
        <v>23295.3200908023</v>
      </c>
      <c r="AP8" s="65" t="n">
        <f aca="false">'Revenue Streams'!AP$10*'Assumption Setting'!$F$148*'Assumption Setting'!$C$149*'Assumption Setting'!$C$151</f>
        <v>1640.60868164718</v>
      </c>
      <c r="AQ8" s="65" t="n">
        <f aca="false">'Revenue Streams'!AQ$10*'Assumption Setting'!$F$148*'Assumption Setting'!$C$149*'Assumption Setting'!$C$151</f>
        <v>1693.74054247608</v>
      </c>
      <c r="AR8" s="65" t="n">
        <f aca="false">'Revenue Streams'!AR$10*'Assumption Setting'!$F$148*'Assumption Setting'!$C$149*'Assumption Setting'!$C$151</f>
        <v>1746.74194513822</v>
      </c>
      <c r="AS8" s="65" t="n">
        <f aca="false">'Revenue Streams'!AS$10*'Assumption Setting'!$F$148*'Assumption Setting'!$C$149*'Assumption Setting'!$C$151</f>
        <v>1799.74334780035</v>
      </c>
      <c r="AT8" s="65" t="n">
        <f aca="false">'Revenue Streams'!AT$10*'Assumption Setting'!$F$148*'Assumption Setting'!$C$149*'Assumption Setting'!$C$151</f>
        <v>1852.74475046249</v>
      </c>
      <c r="AU8" s="65" t="n">
        <f aca="false">'Revenue Streams'!AU$10*'Assumption Setting'!$F$148*'Assumption Setting'!$C$149*'Assumption Setting'!$C$151</f>
        <v>1905.74615312463</v>
      </c>
      <c r="AV8" s="65" t="n">
        <f aca="false">'Revenue Streams'!AV$10*'Assumption Setting'!$F$148*'Assumption Setting'!$C$149*'Assumption Setting'!$C$151</f>
        <v>1963.91366509632</v>
      </c>
      <c r="AW8" s="65" t="n">
        <f aca="false">'Revenue Streams'!AW$10*'Assumption Setting'!$F$148*'Assumption Setting'!$C$149*'Assumption Setting'!$C$151</f>
        <v>2022.08117706801</v>
      </c>
      <c r="AX8" s="65" t="n">
        <f aca="false">'Revenue Streams'!AX$10*'Assumption Setting'!$F$148*'Assumption Setting'!$C$149*'Assumption Setting'!$C$151</f>
        <v>2080.24868903971</v>
      </c>
      <c r="AY8" s="65" t="n">
        <f aca="false">'Revenue Streams'!AY$10*'Assumption Setting'!$F$148*'Assumption Setting'!$C$149*'Assumption Setting'!$C$151</f>
        <v>2138.4162010114</v>
      </c>
      <c r="AZ8" s="65" t="n">
        <f aca="false">'Revenue Streams'!AZ$10*'Assumption Setting'!$F$148*'Assumption Setting'!$C$149*'Assumption Setting'!$C$151</f>
        <v>2196.58371298309</v>
      </c>
      <c r="BA8" s="65" t="n">
        <f aca="false">'Revenue Streams'!BA$10*'Assumption Setting'!$F$148*'Assumption Setting'!$C$149*'Assumption Setting'!$C$151</f>
        <v>2254.75122495478</v>
      </c>
      <c r="BB8" s="64" t="n">
        <f aca="false">SUM(BC8:BN8)</f>
        <v>33882.8778790968</v>
      </c>
      <c r="BC8" s="65" t="n">
        <f aca="false">'Revenue Streams'!BC$10*'Assumption Setting'!$G$148*'Assumption Setting'!$C$149*'Assumption Setting'!$C$151</f>
        <v>2429.40924165398</v>
      </c>
      <c r="BD8" s="65" t="n">
        <f aca="false">'Revenue Streams'!BD$10*'Assumption Setting'!$G$148*'Assumption Setting'!$C$149*'Assumption Setting'!$C$151</f>
        <v>2501.57856630977</v>
      </c>
      <c r="BE8" s="65" t="n">
        <f aca="false">'Revenue Streams'!BE$10*'Assumption Setting'!$G$148*'Assumption Setting'!$C$149*'Assumption Setting'!$C$151</f>
        <v>2573.59902445093</v>
      </c>
      <c r="BF8" s="65" t="n">
        <f aca="false">'Revenue Streams'!BF$10*'Assumption Setting'!$G$148*'Assumption Setting'!$C$149*'Assumption Setting'!$C$151</f>
        <v>2645.61948259208</v>
      </c>
      <c r="BG8" s="65" t="n">
        <f aca="false">'Revenue Streams'!BG$10*'Assumption Setting'!$G$148*'Assumption Setting'!$C$149*'Assumption Setting'!$C$151</f>
        <v>2717.63994073324</v>
      </c>
      <c r="BH8" s="65" t="n">
        <f aca="false">'Revenue Streams'!BH$10*'Assumption Setting'!$G$148*'Assumption Setting'!$C$149*'Assumption Setting'!$C$151</f>
        <v>2789.6603988744</v>
      </c>
      <c r="BI8" s="65" t="n">
        <f aca="false">'Revenue Streams'!BI$10*'Assumption Setting'!$G$148*'Assumption Setting'!$C$149*'Assumption Setting'!$C$151</f>
        <v>2860.48939083802</v>
      </c>
      <c r="BJ8" s="65" t="n">
        <f aca="false">'Revenue Streams'!BJ$10*'Assumption Setting'!$G$148*'Assumption Setting'!$C$149*'Assumption Setting'!$C$151</f>
        <v>2931.31838280164</v>
      </c>
      <c r="BK8" s="65" t="n">
        <f aca="false">'Revenue Streams'!BK$10*'Assumption Setting'!$G$148*'Assumption Setting'!$C$149*'Assumption Setting'!$C$151</f>
        <v>3002.14737476526</v>
      </c>
      <c r="BL8" s="65" t="n">
        <f aca="false">'Revenue Streams'!BL$10*'Assumption Setting'!$G$148*'Assumption Setting'!$C$149*'Assumption Setting'!$C$151</f>
        <v>3072.97636672888</v>
      </c>
      <c r="BM8" s="65" t="n">
        <f aca="false">'Revenue Streams'!BM$10*'Assumption Setting'!$G$148*'Assumption Setting'!$C$149*'Assumption Setting'!$C$151</f>
        <v>3143.8053586925</v>
      </c>
      <c r="BN8" s="65" t="n">
        <f aca="false">'Revenue Streams'!BN$10*'Assumption Setting'!$G$148*'Assumption Setting'!$C$149*'Assumption Setting'!$C$151</f>
        <v>3214.63435065612</v>
      </c>
    </row>
    <row r="9" customFormat="false" ht="15" hidden="false" customHeight="false" outlineLevel="0" collapsed="false">
      <c r="A9" s="12" t="s">
        <v>802</v>
      </c>
      <c r="B9" s="64" t="n">
        <f aca="false">SUM(C9:N9)</f>
        <v>0</v>
      </c>
      <c r="C9" s="65" t="n">
        <f aca="false">'Revenue Streams'!C$12*'Assumption Setting'!$C$148*'Assumption Setting'!$C$149*'Assumption Setting'!$C$152</f>
        <v>0</v>
      </c>
      <c r="D9" s="65" t="n">
        <f aca="false">'Revenue Streams'!D$12*'Assumption Setting'!$C$148*'Assumption Setting'!$C$149*'Assumption Setting'!$C$152</f>
        <v>0</v>
      </c>
      <c r="E9" s="65" t="n">
        <f aca="false">'Revenue Streams'!E$12*'Assumption Setting'!$C$148*'Assumption Setting'!$C$149*'Assumption Setting'!$C$152</f>
        <v>0</v>
      </c>
      <c r="F9" s="65" t="n">
        <f aca="false">'Revenue Streams'!F$12*'Assumption Setting'!$C$148*'Assumption Setting'!$C$149*'Assumption Setting'!$C$152</f>
        <v>0</v>
      </c>
      <c r="G9" s="65" t="n">
        <f aca="false">'Revenue Streams'!G$12*'Assumption Setting'!$C$148*'Assumption Setting'!$C$149*'Assumption Setting'!$C$152</f>
        <v>0</v>
      </c>
      <c r="H9" s="65" t="n">
        <f aca="false">'Revenue Streams'!H$12*'Assumption Setting'!$C$148*'Assumption Setting'!$C$149*'Assumption Setting'!$C$152</f>
        <v>0</v>
      </c>
      <c r="I9" s="65" t="n">
        <f aca="false">'Revenue Streams'!I$12*'Assumption Setting'!$C$148*'Assumption Setting'!$C$149*'Assumption Setting'!$C$152</f>
        <v>0</v>
      </c>
      <c r="J9" s="65" t="n">
        <f aca="false">'Revenue Streams'!J$12*'Assumption Setting'!$C$148*'Assumption Setting'!$C$149*'Assumption Setting'!$C$152</f>
        <v>0</v>
      </c>
      <c r="K9" s="65" t="n">
        <f aca="false">'Revenue Streams'!K$12*'Assumption Setting'!$C$148*'Assumption Setting'!$C$149*'Assumption Setting'!$C$152</f>
        <v>0</v>
      </c>
      <c r="L9" s="65" t="n">
        <f aca="false">'Revenue Streams'!L$12*'Assumption Setting'!$C$148*'Assumption Setting'!$C$149*'Assumption Setting'!$C$152</f>
        <v>0</v>
      </c>
      <c r="M9" s="65" t="n">
        <f aca="false">'Revenue Streams'!M$12*'Assumption Setting'!$C$148*'Assumption Setting'!$C$149*'Assumption Setting'!$C$152</f>
        <v>0</v>
      </c>
      <c r="N9" s="65" t="n">
        <f aca="false">'Revenue Streams'!N$12*'Assumption Setting'!$C$148*'Assumption Setting'!$C$149*'Assumption Setting'!$C$152</f>
        <v>0</v>
      </c>
      <c r="O9" s="64" t="n">
        <f aca="false">SUM(P9:AA9)</f>
        <v>1069.65010665044</v>
      </c>
      <c r="P9" s="65" t="n">
        <f aca="false">'Revenue Streams'!P$12*'Assumption Setting'!$D$148*'Assumption Setting'!$C$149*'Assumption Setting'!$C$152</f>
        <v>11.1560163707269</v>
      </c>
      <c r="Q9" s="65" t="n">
        <f aca="false">'Revenue Streams'!Q$12*'Assumption Setting'!$D$148*'Assumption Setting'!$C$149*'Assumption Setting'!$C$152</f>
        <v>22.3120327414538</v>
      </c>
      <c r="R9" s="65" t="n">
        <f aca="false">'Revenue Streams'!R$12*'Assumption Setting'!$D$148*'Assumption Setting'!$C$149*'Assumption Setting'!$C$152</f>
        <v>34.5836507492533</v>
      </c>
      <c r="S9" s="65" t="n">
        <f aca="false">'Revenue Streams'!S$12*'Assumption Setting'!$D$148*'Assumption Setting'!$C$149*'Assumption Setting'!$C$152</f>
        <v>46.8552687570529</v>
      </c>
      <c r="T9" s="65" t="n">
        <f aca="false">'Revenue Streams'!T$12*'Assumption Setting'!$D$148*'Assumption Setting'!$C$149*'Assumption Setting'!$C$152</f>
        <v>59.1268867648525</v>
      </c>
      <c r="U9" s="65" t="n">
        <f aca="false">'Revenue Streams'!U$12*'Assumption Setting'!$D$148*'Assumption Setting'!$C$149*'Assumption Setting'!$C$152</f>
        <v>71.398504772652</v>
      </c>
      <c r="V9" s="65" t="n">
        <f aca="false">'Revenue Streams'!V$12*'Assumption Setting'!$D$148*'Assumption Setting'!$C$149*'Assumption Setting'!$C$152</f>
        <v>90.247396099249</v>
      </c>
      <c r="W9" s="65" t="n">
        <f aca="false">'Revenue Streams'!W$12*'Assumption Setting'!$D$148*'Assumption Setting'!$C$149*'Assumption Setting'!$C$152</f>
        <v>109.096287425846</v>
      </c>
      <c r="X9" s="65" t="n">
        <f aca="false">'Revenue Streams'!X$12*'Assumption Setting'!$D$148*'Assumption Setting'!$C$149*'Assumption Setting'!$C$152</f>
        <v>127.945178752443</v>
      </c>
      <c r="Y9" s="65" t="n">
        <f aca="false">'Revenue Streams'!Y$12*'Assumption Setting'!$D$148*'Assumption Setting'!$C$149*'Assumption Setting'!$C$152</f>
        <v>146.79407007904</v>
      </c>
      <c r="Z9" s="65" t="n">
        <f aca="false">'Revenue Streams'!Z$12*'Assumption Setting'!$D$148*'Assumption Setting'!$C$149*'Assumption Setting'!$C$152</f>
        <v>165.642961405637</v>
      </c>
      <c r="AA9" s="65" t="n">
        <f aca="false">'Revenue Streams'!AA$12*'Assumption Setting'!$D$148*'Assumption Setting'!$C$149*'Assumption Setting'!$C$152</f>
        <v>184.491852732234</v>
      </c>
      <c r="AB9" s="64" t="n">
        <f aca="false">SUM(AC9:AN9)</f>
        <v>4099.79315837623</v>
      </c>
      <c r="AC9" s="65" t="n">
        <f aca="false">'Revenue Streams'!AC$12*'Assumption Setting'!$E$148*'Assumption Setting'!$C$149*'Assumption Setting'!$C$152</f>
        <v>221.411755283057</v>
      </c>
      <c r="AD9" s="65" t="n">
        <f aca="false">'Revenue Streams'!AD$12*'Assumption Setting'!$E$148*'Assumption Setting'!$C$149*'Assumption Setting'!$C$152</f>
        <v>238.911462809434</v>
      </c>
      <c r="AE9" s="65" t="n">
        <f aca="false">'Revenue Streams'!AE$12*'Assumption Setting'!$E$148*'Assumption Setting'!$C$149*'Assumption Setting'!$C$152</f>
        <v>258.002052838209</v>
      </c>
      <c r="AF9" s="65" t="n">
        <f aca="false">'Revenue Streams'!AF$12*'Assumption Setting'!$E$148*'Assumption Setting'!$C$149*'Assumption Setting'!$C$152</f>
        <v>277.092642866985</v>
      </c>
      <c r="AG9" s="65" t="n">
        <f aca="false">'Revenue Streams'!AG$12*'Assumption Setting'!$E$148*'Assumption Setting'!$C$149*'Assumption Setting'!$C$152</f>
        <v>296.18323289576</v>
      </c>
      <c r="AH9" s="65" t="n">
        <f aca="false">'Revenue Streams'!AH$12*'Assumption Setting'!$E$148*'Assumption Setting'!$C$149*'Assumption Setting'!$C$152</f>
        <v>315.273822924535</v>
      </c>
      <c r="AI9" s="65" t="n">
        <f aca="false">'Revenue Streams'!AI$12*'Assumption Setting'!$E$148*'Assumption Setting'!$C$149*'Assumption Setting'!$C$152</f>
        <v>343.905977744108</v>
      </c>
      <c r="AJ9" s="65" t="n">
        <f aca="false">'Revenue Streams'!AJ$12*'Assumption Setting'!$E$148*'Assumption Setting'!$C$149*'Assumption Setting'!$C$152</f>
        <v>372.538132563682</v>
      </c>
      <c r="AK9" s="65" t="n">
        <f aca="false">'Revenue Streams'!AK$12*'Assumption Setting'!$E$148*'Assumption Setting'!$C$149*'Assumption Setting'!$C$152</f>
        <v>401.170287383255</v>
      </c>
      <c r="AL9" s="65" t="n">
        <f aca="false">'Revenue Streams'!AL$12*'Assumption Setting'!$E$148*'Assumption Setting'!$C$149*'Assumption Setting'!$C$152</f>
        <v>429.802442202828</v>
      </c>
      <c r="AM9" s="65" t="n">
        <f aca="false">'Revenue Streams'!AM$12*'Assumption Setting'!$E$148*'Assumption Setting'!$C$149*'Assumption Setting'!$C$152</f>
        <v>458.434597022402</v>
      </c>
      <c r="AN9" s="65" t="n">
        <f aca="false">'Revenue Streams'!AN$12*'Assumption Setting'!$E$148*'Assumption Setting'!$C$149*'Assumption Setting'!$C$152</f>
        <v>487.066751841975</v>
      </c>
      <c r="AO9" s="64" t="n">
        <f aca="false">SUM(AP9:BA9)</f>
        <v>7487.78145775787</v>
      </c>
      <c r="AP9" s="65" t="n">
        <f aca="false">'Revenue Streams'!AP$12*'Assumption Setting'!$F$148*'Assumption Setting'!$C$149*'Assumption Setting'!$C$152</f>
        <v>527.338504815166</v>
      </c>
      <c r="AQ9" s="65" t="n">
        <f aca="false">'Revenue Streams'!AQ$12*'Assumption Setting'!$F$148*'Assumption Setting'!$C$149*'Assumption Setting'!$C$152</f>
        <v>544.41660293874</v>
      </c>
      <c r="AR9" s="65" t="n">
        <f aca="false">'Revenue Streams'!AR$12*'Assumption Setting'!$F$148*'Assumption Setting'!$C$149*'Assumption Setting'!$C$152</f>
        <v>561.452768080141</v>
      </c>
      <c r="AS9" s="65" t="n">
        <f aca="false">'Revenue Streams'!AS$12*'Assumption Setting'!$F$148*'Assumption Setting'!$C$149*'Assumption Setting'!$C$152</f>
        <v>578.488933221542</v>
      </c>
      <c r="AT9" s="65" t="n">
        <f aca="false">'Revenue Streams'!AT$12*'Assumption Setting'!$F$148*'Assumption Setting'!$C$149*'Assumption Setting'!$C$152</f>
        <v>595.525098362944</v>
      </c>
      <c r="AU9" s="65" t="n">
        <f aca="false">'Revenue Streams'!AU$12*'Assumption Setting'!$F$148*'Assumption Setting'!$C$149*'Assumption Setting'!$C$152</f>
        <v>612.561263504345</v>
      </c>
      <c r="AV9" s="65" t="n">
        <f aca="false">'Revenue Streams'!AV$12*'Assumption Setting'!$F$148*'Assumption Setting'!$C$149*'Assumption Setting'!$C$152</f>
        <v>631.25796378096</v>
      </c>
      <c r="AW9" s="65" t="n">
        <f aca="false">'Revenue Streams'!AW$12*'Assumption Setting'!$F$148*'Assumption Setting'!$C$149*'Assumption Setting'!$C$152</f>
        <v>649.954664057576</v>
      </c>
      <c r="AX9" s="65" t="n">
        <f aca="false">'Revenue Streams'!AX$12*'Assumption Setting'!$F$148*'Assumption Setting'!$C$149*'Assumption Setting'!$C$152</f>
        <v>668.651364334191</v>
      </c>
      <c r="AY9" s="65" t="n">
        <f aca="false">'Revenue Streams'!AY$12*'Assumption Setting'!$F$148*'Assumption Setting'!$C$149*'Assumption Setting'!$C$152</f>
        <v>687.348064610807</v>
      </c>
      <c r="AZ9" s="65" t="n">
        <f aca="false">'Revenue Streams'!AZ$12*'Assumption Setting'!$F$148*'Assumption Setting'!$C$149*'Assumption Setting'!$C$152</f>
        <v>706.044764887422</v>
      </c>
      <c r="BA9" s="65" t="n">
        <f aca="false">'Revenue Streams'!BA$12*'Assumption Setting'!$F$148*'Assumption Setting'!$C$149*'Assumption Setting'!$C$152</f>
        <v>724.741465164037</v>
      </c>
      <c r="BB9" s="64" t="n">
        <f aca="false">SUM(BC9:BN9)</f>
        <v>10890.9250325668</v>
      </c>
      <c r="BC9" s="65" t="n">
        <f aca="false">'Revenue Streams'!BC$12*'Assumption Setting'!$G$148*'Assumption Setting'!$C$149*'Assumption Setting'!$C$152</f>
        <v>780.881541960207</v>
      </c>
      <c r="BD9" s="65" t="n">
        <f aca="false">'Revenue Streams'!BD$12*'Assumption Setting'!$G$148*'Assumption Setting'!$C$149*'Assumption Setting'!$C$152</f>
        <v>804.078824885284</v>
      </c>
      <c r="BE9" s="65" t="n">
        <f aca="false">'Revenue Streams'!BE$12*'Assumption Setting'!$G$148*'Assumption Setting'!$C$149*'Assumption Setting'!$C$152</f>
        <v>827.228257859227</v>
      </c>
      <c r="BF9" s="65" t="n">
        <f aca="false">'Revenue Streams'!BF$12*'Assumption Setting'!$G$148*'Assumption Setting'!$C$149*'Assumption Setting'!$C$152</f>
        <v>850.37769083317</v>
      </c>
      <c r="BG9" s="65" t="n">
        <f aca="false">'Revenue Streams'!BG$12*'Assumption Setting'!$G$148*'Assumption Setting'!$C$149*'Assumption Setting'!$C$152</f>
        <v>873.527123807113</v>
      </c>
      <c r="BH9" s="65" t="n">
        <f aca="false">'Revenue Streams'!BH$12*'Assumption Setting'!$G$148*'Assumption Setting'!$C$149*'Assumption Setting'!$C$152</f>
        <v>896.676556781055</v>
      </c>
      <c r="BI9" s="65" t="n">
        <f aca="false">'Revenue Streams'!BI$12*'Assumption Setting'!$G$148*'Assumption Setting'!$C$149*'Assumption Setting'!$C$152</f>
        <v>919.443018483648</v>
      </c>
      <c r="BJ9" s="65" t="n">
        <f aca="false">'Revenue Streams'!BJ$12*'Assumption Setting'!$G$148*'Assumption Setting'!$C$149*'Assumption Setting'!$C$152</f>
        <v>942.209480186241</v>
      </c>
      <c r="BK9" s="65" t="n">
        <f aca="false">'Revenue Streams'!BK$12*'Assumption Setting'!$G$148*'Assumption Setting'!$C$149*'Assumption Setting'!$C$152</f>
        <v>964.975941888833</v>
      </c>
      <c r="BL9" s="65" t="n">
        <f aca="false">'Revenue Streams'!BL$12*'Assumption Setting'!$G$148*'Assumption Setting'!$C$149*'Assumption Setting'!$C$152</f>
        <v>987.742403591426</v>
      </c>
      <c r="BM9" s="65" t="n">
        <f aca="false">'Revenue Streams'!BM$12*'Assumption Setting'!$G$148*'Assumption Setting'!$C$149*'Assumption Setting'!$C$152</f>
        <v>1010.50886529402</v>
      </c>
      <c r="BN9" s="65" t="n">
        <f aca="false">'Revenue Streams'!BN$12*'Assumption Setting'!$G$148*'Assumption Setting'!$C$149*'Assumption Setting'!$C$152</f>
        <v>1033.27532699661</v>
      </c>
    </row>
    <row r="10" customFormat="false" ht="15" hidden="false" customHeight="false" outlineLevel="0" collapsed="false">
      <c r="A10" s="12" t="s">
        <v>803</v>
      </c>
      <c r="B10" s="64" t="n">
        <f aca="false">SUM(C10:N10)</f>
        <v>6562.26423528174</v>
      </c>
      <c r="C10" s="65" t="n">
        <f aca="false">('Revenue Streams'!C$7+'Revenue Streams'!C$8)*'Assumption Setting'!$C$157+'Revenue Streams'!C$10*'Assumption Setting'!$C$158+'Revenue Streams'!C$12*'Assumption Setting'!$C$159</f>
        <v>233.333333333333</v>
      </c>
      <c r="D10" s="65" t="n">
        <f aca="false">('Revenue Streams'!D$7+'Revenue Streams'!D$8)*'Assumption Setting'!$C$157+'Revenue Streams'!D$10*'Assumption Setting'!$C$158+'Revenue Streams'!D$12*'Assumption Setting'!$C$159</f>
        <v>373.333333333333</v>
      </c>
      <c r="E10" s="65" t="n">
        <f aca="false">('Revenue Streams'!E$7+'Revenue Streams'!E$8)*'Assumption Setting'!$C$157+'Revenue Streams'!E$10*'Assumption Setting'!$C$158+'Revenue Streams'!E$12*'Assumption Setting'!$C$159</f>
        <v>466.666666666667</v>
      </c>
      <c r="F10" s="65" t="n">
        <f aca="false">('Revenue Streams'!F$7+'Revenue Streams'!F$8)*'Assumption Setting'!$C$157+'Revenue Streams'!F$10*'Assumption Setting'!$C$158+'Revenue Streams'!F$12*'Assumption Setting'!$C$159</f>
        <v>466.666666666667</v>
      </c>
      <c r="G10" s="65" t="n">
        <f aca="false">('Revenue Streams'!G$7+'Revenue Streams'!G$8)*'Assumption Setting'!$C$157+'Revenue Streams'!G$10*'Assumption Setting'!$C$158+'Revenue Streams'!G$12*'Assumption Setting'!$C$159</f>
        <v>466.666666666667</v>
      </c>
      <c r="H10" s="65" t="n">
        <f aca="false">('Revenue Streams'!H$7+'Revenue Streams'!H$8)*'Assumption Setting'!$C$157+'Revenue Streams'!H$10*'Assumption Setting'!$C$158+'Revenue Streams'!H$12*'Assumption Setting'!$C$159</f>
        <v>466.666666666667</v>
      </c>
      <c r="I10" s="65" t="n">
        <f aca="false">('Revenue Streams'!I$7+'Revenue Streams'!I$8)*'Assumption Setting'!$C$157+'Revenue Streams'!I$10*'Assumption Setting'!$C$158+'Revenue Streams'!I$12*'Assumption Setting'!$C$159</f>
        <v>528.04432866421</v>
      </c>
      <c r="J10" s="65" t="n">
        <f aca="false">('Revenue Streams'!J$7+'Revenue Streams'!J$8)*'Assumption Setting'!$C$157+'Revenue Streams'!J$10*'Assumption Setting'!$C$158+'Revenue Streams'!J$12*'Assumption Setting'!$C$159</f>
        <v>589.421990661753</v>
      </c>
      <c r="K10" s="65" t="n">
        <f aca="false">('Revenue Streams'!K$7+'Revenue Streams'!K$8)*'Assumption Setting'!$C$157+'Revenue Streams'!K$10*'Assumption Setting'!$C$158+'Revenue Streams'!K$12*'Assumption Setting'!$C$159</f>
        <v>650.799652659296</v>
      </c>
      <c r="L10" s="65" t="n">
        <f aca="false">('Revenue Streams'!L$7+'Revenue Streams'!L$8)*'Assumption Setting'!$C$157+'Revenue Streams'!L$10*'Assumption Setting'!$C$158+'Revenue Streams'!L$12*'Assumption Setting'!$C$159</f>
        <v>712.177314656839</v>
      </c>
      <c r="M10" s="65" t="n">
        <f aca="false">('Revenue Streams'!M$7+'Revenue Streams'!M$8)*'Assumption Setting'!$C$157+'Revenue Streams'!M$10*'Assumption Setting'!$C$158+'Revenue Streams'!M$12*'Assumption Setting'!$C$159</f>
        <v>773.554976654382</v>
      </c>
      <c r="N10" s="65" t="n">
        <f aca="false">('Revenue Streams'!N$7+'Revenue Streams'!N$8)*'Assumption Setting'!$C$157+'Revenue Streams'!N$10*'Assumption Setting'!$C$158+'Revenue Streams'!N$12*'Assumption Setting'!$C$159</f>
        <v>834.932638651925</v>
      </c>
      <c r="O10" s="64" t="n">
        <f aca="false">SUM(P10:AA10)</f>
        <v>16215.7375220623</v>
      </c>
      <c r="P10" s="65" t="n">
        <f aca="false">('Revenue Streams'!P$7+'Revenue Streams'!P$8)*'Assumption Setting'!$D$157+'Revenue Streams'!P$10*'Assumption Setting'!$C$158+'Revenue Streams'!P$12*'Assumption Setting'!$C$159</f>
        <v>977.821153907135</v>
      </c>
      <c r="Q10" s="65" t="n">
        <f aca="false">('Revenue Streams'!Q$7+'Revenue Streams'!Q$8)*'Assumption Setting'!$D$157+'Revenue Streams'!Q$10*'Assumption Setting'!$C$158+'Revenue Streams'!Q$12*'Assumption Setting'!$C$159</f>
        <v>1031.25260073535</v>
      </c>
      <c r="R10" s="65" t="n">
        <f aca="false">('Revenue Streams'!R$7+'Revenue Streams'!R$8)*'Assumption Setting'!$D$157+'Revenue Streams'!R$10*'Assumption Setting'!$C$158+'Revenue Streams'!R$12*'Assumption Setting'!$C$159</f>
        <v>1090.02719224639</v>
      </c>
      <c r="S10" s="65" t="n">
        <f aca="false">('Revenue Streams'!S$7+'Revenue Streams'!S$8)*'Assumption Setting'!$D$157+'Revenue Streams'!S$10*'Assumption Setting'!$C$158+'Revenue Streams'!S$12*'Assumption Setting'!$C$159</f>
        <v>1148.80178375743</v>
      </c>
      <c r="T10" s="65" t="n">
        <f aca="false">('Revenue Streams'!T$7+'Revenue Streams'!T$8)*'Assumption Setting'!$D$157+'Revenue Streams'!T$10*'Assumption Setting'!$C$158+'Revenue Streams'!T$12*'Assumption Setting'!$C$159</f>
        <v>1207.57637526847</v>
      </c>
      <c r="U10" s="65" t="n">
        <f aca="false">('Revenue Streams'!U$7+'Revenue Streams'!U$8)*'Assumption Setting'!$D$157+'Revenue Streams'!U$10*'Assumption Setting'!$C$158+'Revenue Streams'!U$12*'Assumption Setting'!$C$159</f>
        <v>1266.35096677951</v>
      </c>
      <c r="V10" s="65" t="n">
        <f aca="false">('Revenue Streams'!V$7+'Revenue Streams'!V$8)*'Assumption Setting'!$D$157+'Revenue Streams'!V$10*'Assumption Setting'!$C$158+'Revenue Streams'!V$12*'Assumption Setting'!$C$159</f>
        <v>1356.62723576479</v>
      </c>
      <c r="W10" s="65" t="n">
        <f aca="false">('Revenue Streams'!W$7+'Revenue Streams'!W$8)*'Assumption Setting'!$D$157+'Revenue Streams'!W$10*'Assumption Setting'!$C$158+'Revenue Streams'!W$12*'Assumption Setting'!$C$159</f>
        <v>1446.90350475007</v>
      </c>
      <c r="X10" s="65" t="n">
        <f aca="false">('Revenue Streams'!X$7+'Revenue Streams'!X$8)*'Assumption Setting'!$D$157+'Revenue Streams'!X$10*'Assumption Setting'!$C$158+'Revenue Streams'!X$12*'Assumption Setting'!$C$159</f>
        <v>1537.17977373535</v>
      </c>
      <c r="Y10" s="65" t="n">
        <f aca="false">('Revenue Streams'!Y$7+'Revenue Streams'!Y$8)*'Assumption Setting'!$D$157+'Revenue Streams'!Y$10*'Assumption Setting'!$C$158+'Revenue Streams'!Y$12*'Assumption Setting'!$C$159</f>
        <v>1627.45604272063</v>
      </c>
      <c r="Z10" s="65" t="n">
        <f aca="false">('Revenue Streams'!Z$7+'Revenue Streams'!Z$8)*'Assumption Setting'!$D$157+'Revenue Streams'!Z$10*'Assumption Setting'!$C$158+'Revenue Streams'!Z$12*'Assumption Setting'!$C$159</f>
        <v>1717.73231170591</v>
      </c>
      <c r="AA10" s="65" t="n">
        <f aca="false">('Revenue Streams'!AA$7+'Revenue Streams'!AA$8)*'Assumption Setting'!$D$157+'Revenue Streams'!AA$10*'Assumption Setting'!$C$158+'Revenue Streams'!AA$12*'Assumption Setting'!$C$159</f>
        <v>1808.00858069119</v>
      </c>
      <c r="AB10" s="64" t="n">
        <f aca="false">SUM(AC10:AN10)</f>
        <v>24692.2112179009</v>
      </c>
      <c r="AC10" s="65" t="n">
        <f aca="false">('Revenue Streams'!AC$7+'Revenue Streams'!AC$8)*'Assumption Setting'!$E$157+'Revenue Streams'!AC$10*'Assumption Setting'!$C$158+'Revenue Streams'!AC$12*'Assumption Setting'!$C$159</f>
        <v>1775.36468641655</v>
      </c>
      <c r="AD10" s="65" t="n">
        <f aca="false">('Revenue Streams'!AD$7+'Revenue Streams'!AD$8)*'Assumption Setting'!$E$157+'Revenue Streams'!AD$10*'Assumption Setting'!$C$158+'Revenue Streams'!AD$12*'Assumption Setting'!$C$159</f>
        <v>1701.86307363343</v>
      </c>
      <c r="AE10" s="65" t="n">
        <f aca="false">('Revenue Streams'!AE$7+'Revenue Streams'!AE$8)*'Assumption Setting'!$E$157+'Revenue Streams'!AE$10*'Assumption Setting'!$C$158+'Revenue Streams'!AE$12*'Assumption Setting'!$C$159</f>
        <v>1693.80070817306</v>
      </c>
      <c r="AF10" s="65" t="n">
        <f aca="false">('Revenue Streams'!AF$7+'Revenue Streams'!AF$8)*'Assumption Setting'!$E$157+'Revenue Streams'!AF$10*'Assumption Setting'!$C$158+'Revenue Streams'!AF$12*'Assumption Setting'!$C$159</f>
        <v>1799.07167604602</v>
      </c>
      <c r="AG10" s="65" t="n">
        <f aca="false">('Revenue Streams'!AG$7+'Revenue Streams'!AG$8)*'Assumption Setting'!$E$157+'Revenue Streams'!AG$10*'Assumption Setting'!$C$158+'Revenue Streams'!AG$12*'Assumption Setting'!$C$159</f>
        <v>1904.34264391898</v>
      </c>
      <c r="AH10" s="65" t="n">
        <f aca="false">('Revenue Streams'!AH$7+'Revenue Streams'!AH$8)*'Assumption Setting'!$E$157+'Revenue Streams'!AH$10*'Assumption Setting'!$C$158+'Revenue Streams'!AH$12*'Assumption Setting'!$C$159</f>
        <v>2009.61361179194</v>
      </c>
      <c r="AI10" s="65" t="n">
        <f aca="false">('Revenue Streams'!AI$7+'Revenue Streams'!AI$8)*'Assumption Setting'!$E$157+'Revenue Streams'!AI$10*'Assumption Setting'!$C$158+'Revenue Streams'!AI$12*'Assumption Setting'!$C$159</f>
        <v>2092.96947594286</v>
      </c>
      <c r="AJ10" s="65" t="n">
        <f aca="false">('Revenue Streams'!AJ$7+'Revenue Streams'!AJ$8)*'Assumption Setting'!$E$157+'Revenue Streams'!AJ$10*'Assumption Setting'!$C$158+'Revenue Streams'!AJ$12*'Assumption Setting'!$C$159</f>
        <v>2176.32534009378</v>
      </c>
      <c r="AK10" s="65" t="n">
        <f aca="false">('Revenue Streams'!AK$7+'Revenue Streams'!AK$8)*'Assumption Setting'!$E$157+'Revenue Streams'!AK$10*'Assumption Setting'!$C$158+'Revenue Streams'!AK$12*'Assumption Setting'!$C$159</f>
        <v>2259.68120424469</v>
      </c>
      <c r="AL10" s="65" t="n">
        <f aca="false">('Revenue Streams'!AL$7+'Revenue Streams'!AL$8)*'Assumption Setting'!$E$157+'Revenue Streams'!AL$10*'Assumption Setting'!$C$158+'Revenue Streams'!AL$12*'Assumption Setting'!$C$159</f>
        <v>2343.03706839561</v>
      </c>
      <c r="AM10" s="65" t="n">
        <f aca="false">('Revenue Streams'!AM$7+'Revenue Streams'!AM$8)*'Assumption Setting'!$E$157+'Revenue Streams'!AM$10*'Assumption Setting'!$C$158+'Revenue Streams'!AM$12*'Assumption Setting'!$C$159</f>
        <v>2426.39293254652</v>
      </c>
      <c r="AN10" s="65" t="n">
        <f aca="false">('Revenue Streams'!AN$7+'Revenue Streams'!AN$8)*'Assumption Setting'!$E$157+'Revenue Streams'!AN$10*'Assumption Setting'!$C$158+'Revenue Streams'!AN$12*'Assumption Setting'!$C$159</f>
        <v>2509.74879669744</v>
      </c>
      <c r="AO10" s="64" t="n">
        <f aca="false">SUM(AP10:BA10)</f>
        <v>40132.388950904</v>
      </c>
      <c r="AP10" s="65" t="n">
        <f aca="false">('Revenue Streams'!AP$7+'Revenue Streams'!AP$8)*'Assumption Setting'!$F$157+'Revenue Streams'!AP$10*'Assumption Setting'!$C$158+'Revenue Streams'!AP$12*'Assumption Setting'!$C$159</f>
        <v>2732.65866456004</v>
      </c>
      <c r="AQ10" s="65" t="n">
        <f aca="false">('Revenue Streams'!AQ$7+'Revenue Streams'!AQ$8)*'Assumption Setting'!$F$157+'Revenue Streams'!AQ$10*'Assumption Setting'!$C$158+'Revenue Streams'!AQ$12*'Assumption Setting'!$C$159</f>
        <v>2838.10316082</v>
      </c>
      <c r="AR10" s="65" t="n">
        <f aca="false">('Revenue Streams'!AR$7+'Revenue Streams'!AR$8)*'Assumption Setting'!$F$157+'Revenue Streams'!AR$10*'Assumption Setting'!$C$158+'Revenue Streams'!AR$12*'Assumption Setting'!$C$159</f>
        <v>2944.44377749856</v>
      </c>
      <c r="AS10" s="65" t="n">
        <f aca="false">('Revenue Streams'!AS$7+'Revenue Streams'!AS$8)*'Assumption Setting'!$F$157+'Revenue Streams'!AS$10*'Assumption Setting'!$C$158+'Revenue Streams'!AS$12*'Assumption Setting'!$C$159</f>
        <v>3050.78439417711</v>
      </c>
      <c r="AT10" s="65" t="n">
        <f aca="false">('Revenue Streams'!AT$7+'Revenue Streams'!AT$8)*'Assumption Setting'!$F$157+'Revenue Streams'!AT$10*'Assumption Setting'!$C$158+'Revenue Streams'!AT$12*'Assumption Setting'!$C$159</f>
        <v>3157.12501085566</v>
      </c>
      <c r="AU10" s="65" t="n">
        <f aca="false">('Revenue Streams'!AU$7+'Revenue Streams'!AU$8)*'Assumption Setting'!$F$157+'Revenue Streams'!AU$10*'Assumption Setting'!$C$158+'Revenue Streams'!AU$12*'Assumption Setting'!$C$159</f>
        <v>3263.46562753421</v>
      </c>
      <c r="AV10" s="65" t="n">
        <f aca="false">('Revenue Streams'!AV$7+'Revenue Streams'!AV$8)*'Assumption Setting'!$F$157+'Revenue Streams'!AV$10*'Assumption Setting'!$C$158+'Revenue Streams'!AV$12*'Assumption Setting'!$C$159</f>
        <v>3385.60917754626</v>
      </c>
      <c r="AW10" s="65" t="n">
        <f aca="false">('Revenue Streams'!AW$7+'Revenue Streams'!AW$8)*'Assumption Setting'!$F$157+'Revenue Streams'!AW$10*'Assumption Setting'!$C$158+'Revenue Streams'!AW$12*'Assumption Setting'!$C$159</f>
        <v>3507.75272755832</v>
      </c>
      <c r="AX10" s="65" t="n">
        <f aca="false">('Revenue Streams'!AX$7+'Revenue Streams'!AX$8)*'Assumption Setting'!$F$157+'Revenue Streams'!AX$10*'Assumption Setting'!$C$158+'Revenue Streams'!AX$12*'Assumption Setting'!$C$159</f>
        <v>3629.89627757038</v>
      </c>
      <c r="AY10" s="65" t="n">
        <f aca="false">('Revenue Streams'!AY$7+'Revenue Streams'!AY$8)*'Assumption Setting'!$F$157+'Revenue Streams'!AY$10*'Assumption Setting'!$C$158+'Revenue Streams'!AY$12*'Assumption Setting'!$C$159</f>
        <v>3752.03982758243</v>
      </c>
      <c r="AZ10" s="65" t="n">
        <f aca="false">('Revenue Streams'!AZ$7+'Revenue Streams'!AZ$8)*'Assumption Setting'!$F$157+'Revenue Streams'!AZ$10*'Assumption Setting'!$C$158+'Revenue Streams'!AZ$12*'Assumption Setting'!$C$159</f>
        <v>3874.18337759449</v>
      </c>
      <c r="BA10" s="65" t="n">
        <f aca="false">('Revenue Streams'!BA$7+'Revenue Streams'!BA$8)*'Assumption Setting'!$F$157+'Revenue Streams'!BA$10*'Assumption Setting'!$C$158+'Revenue Streams'!BA$12*'Assumption Setting'!$C$159</f>
        <v>3996.32692760654</v>
      </c>
      <c r="BB10" s="64" t="n">
        <f aca="false">SUM(BC10:BN10)</f>
        <v>60052.6658559023</v>
      </c>
      <c r="BC10" s="65" t="n">
        <f aca="false">('Revenue Streams'!BC$7+'Revenue Streams'!BC$8)*'Assumption Setting'!$G$157+'Revenue Streams'!BC$10*'Assumption Setting'!$C$158+'Revenue Streams'!BC$12*'Assumption Setting'!$C$159</f>
        <v>4305.78836711778</v>
      </c>
      <c r="BD10" s="65" t="n">
        <f aca="false">('Revenue Streams'!BD$7+'Revenue Streams'!BD$8)*'Assumption Setting'!$G$157+'Revenue Streams'!BD$10*'Assumption Setting'!$C$158+'Revenue Streams'!BD$12*'Assumption Setting'!$C$159</f>
        <v>4433.69840929499</v>
      </c>
      <c r="BE10" s="65" t="n">
        <f aca="false">('Revenue Streams'!BE$7+'Revenue Streams'!BE$8)*'Assumption Setting'!$G$157+'Revenue Streams'!BE$10*'Assumption Setting'!$C$158+'Revenue Streams'!BE$12*'Assumption Setting'!$C$159</f>
        <v>4561.34460637933</v>
      </c>
      <c r="BF10" s="65" t="n">
        <f aca="false">('Revenue Streams'!BF$7+'Revenue Streams'!BF$8)*'Assumption Setting'!$G$157+'Revenue Streams'!BF$10*'Assumption Setting'!$C$158+'Revenue Streams'!BF$12*'Assumption Setting'!$C$159</f>
        <v>4688.99080346367</v>
      </c>
      <c r="BG10" s="65" t="n">
        <f aca="false">('Revenue Streams'!BG$7+'Revenue Streams'!BG$8)*'Assumption Setting'!$G$157+'Revenue Streams'!BG$10*'Assumption Setting'!$C$158+'Revenue Streams'!BG$12*'Assumption Setting'!$C$159</f>
        <v>4816.63700054801</v>
      </c>
      <c r="BH10" s="65" t="n">
        <f aca="false">('Revenue Streams'!BH$7+'Revenue Streams'!BH$8)*'Assumption Setting'!$G$157+'Revenue Streams'!BH$10*'Assumption Setting'!$C$158+'Revenue Streams'!BH$12*'Assumption Setting'!$C$159</f>
        <v>4944.28319763235</v>
      </c>
      <c r="BI10" s="65" t="n">
        <f aca="false">('Revenue Streams'!BI$7+'Revenue Streams'!BI$8)*'Assumption Setting'!$G$157+'Revenue Streams'!BI$10*'Assumption Setting'!$C$158+'Revenue Streams'!BI$12*'Assumption Setting'!$C$159</f>
        <v>5069.81768742626</v>
      </c>
      <c r="BJ10" s="65" t="n">
        <f aca="false">('Revenue Streams'!BJ$7+'Revenue Streams'!BJ$8)*'Assumption Setting'!$G$157+'Revenue Streams'!BJ$10*'Assumption Setting'!$C$158+'Revenue Streams'!BJ$12*'Assumption Setting'!$C$159</f>
        <v>5195.35217722017</v>
      </c>
      <c r="BK10" s="65" t="n">
        <f aca="false">('Revenue Streams'!BK$7+'Revenue Streams'!BK$8)*'Assumption Setting'!$G$157+'Revenue Streams'!BK$10*'Assumption Setting'!$C$158+'Revenue Streams'!BK$12*'Assumption Setting'!$C$159</f>
        <v>5320.88666701408</v>
      </c>
      <c r="BL10" s="65" t="n">
        <f aca="false">('Revenue Streams'!BL$7+'Revenue Streams'!BL$8)*'Assumption Setting'!$G$157+'Revenue Streams'!BL$10*'Assumption Setting'!$C$158+'Revenue Streams'!BL$12*'Assumption Setting'!$C$159</f>
        <v>5446.42115680799</v>
      </c>
      <c r="BM10" s="65" t="n">
        <f aca="false">('Revenue Streams'!BM$7+'Revenue Streams'!BM$8)*'Assumption Setting'!$G$157+'Revenue Streams'!BM$10*'Assumption Setting'!$C$158+'Revenue Streams'!BM$12*'Assumption Setting'!$C$159</f>
        <v>5571.9556466019</v>
      </c>
      <c r="BN10" s="65" t="n">
        <f aca="false">('Revenue Streams'!BN$7+'Revenue Streams'!BN$8)*'Assumption Setting'!$G$157+'Revenue Streams'!BN$10*'Assumption Setting'!$C$158+'Revenue Streams'!BN$12*'Assumption Setting'!$C$159</f>
        <v>5697.4901363958</v>
      </c>
    </row>
    <row r="11" customFormat="false" ht="15" hidden="false" customHeight="false" outlineLevel="0" collapsed="false">
      <c r="A11" s="12" t="s">
        <v>804</v>
      </c>
      <c r="B11" s="64" t="n">
        <f aca="false">SUM(C11:N11)</f>
        <v>2181.78407881891</v>
      </c>
      <c r="C11" s="65" t="n">
        <f aca="false">'Revenue Streams'!C$16*'Assumption Setting'!$C$160</f>
        <v>0</v>
      </c>
      <c r="D11" s="65" t="n">
        <f aca="false">'Revenue Streams'!D$16*'Assumption Setting'!$C$160</f>
        <v>0</v>
      </c>
      <c r="E11" s="65" t="n">
        <f aca="false">'Revenue Streams'!E$16*'Assumption Setting'!$C$160</f>
        <v>0</v>
      </c>
      <c r="F11" s="65" t="n">
        <f aca="false">'Revenue Streams'!F$16*'Assumption Setting'!$C$160</f>
        <v>0</v>
      </c>
      <c r="G11" s="65" t="n">
        <f aca="false">'Revenue Streams'!G$16*'Assumption Setting'!$C$160</f>
        <v>0</v>
      </c>
      <c r="H11" s="65" t="n">
        <f aca="false">'Revenue Streams'!H$16*'Assumption Setting'!$C$160</f>
        <v>0</v>
      </c>
      <c r="I11" s="65" t="n">
        <f aca="false">'Revenue Streams'!I$16*'Assumption Setting'!$C$160</f>
        <v>103.894479943758</v>
      </c>
      <c r="J11" s="65" t="n">
        <f aca="false">'Revenue Streams'!J$16*'Assumption Setting'!$C$160</f>
        <v>207.788959887515</v>
      </c>
      <c r="K11" s="65" t="n">
        <f aca="false">'Revenue Streams'!K$16*'Assumption Setting'!$C$160</f>
        <v>311.683439831273</v>
      </c>
      <c r="L11" s="65" t="n">
        <f aca="false">'Revenue Streams'!L$16*'Assumption Setting'!$C$160</f>
        <v>415.57791977503</v>
      </c>
      <c r="M11" s="65" t="n">
        <f aca="false">'Revenue Streams'!M$16*'Assumption Setting'!$C$160</f>
        <v>519.472399718788</v>
      </c>
      <c r="N11" s="65" t="n">
        <f aca="false">'Revenue Streams'!N$16*'Assumption Setting'!$C$160</f>
        <v>623.366879662545</v>
      </c>
      <c r="O11" s="64" t="n">
        <f aca="false">SUM(P11:AA11)</f>
        <v>18449.291972686</v>
      </c>
      <c r="P11" s="65" t="n">
        <f aca="false">'Revenue Streams'!P$16*'Assumption Setting'!$D$160</f>
        <v>872.713631527564</v>
      </c>
      <c r="Q11" s="65" t="n">
        <f aca="false">'Revenue Streams'!Q$16*'Assumption Setting'!$D$160</f>
        <v>1009.85434505332</v>
      </c>
      <c r="R11" s="65" t="n">
        <f aca="false">'Revenue Streams'!R$16*'Assumption Setting'!$D$160</f>
        <v>1146.99505857908</v>
      </c>
      <c r="S11" s="65" t="n">
        <f aca="false">'Revenue Streams'!S$16*'Assumption Setting'!$D$160</f>
        <v>1284.13577210484</v>
      </c>
      <c r="T11" s="65" t="n">
        <f aca="false">'Revenue Streams'!T$16*'Assumption Setting'!$D$160</f>
        <v>1421.2764856306</v>
      </c>
      <c r="U11" s="65" t="n">
        <f aca="false">'Revenue Streams'!U$16*'Assumption Setting'!$D$160</f>
        <v>1558.41719915636</v>
      </c>
      <c r="V11" s="65" t="n">
        <f aca="false">'Revenue Streams'!V$16*'Assumption Setting'!$D$160</f>
        <v>1644.38845085617</v>
      </c>
      <c r="W11" s="65" t="n">
        <f aca="false">'Revenue Streams'!W$16*'Assumption Setting'!$D$160</f>
        <v>1730.35970255599</v>
      </c>
      <c r="X11" s="65" t="n">
        <f aca="false">'Revenue Streams'!X$16*'Assumption Setting'!$D$160</f>
        <v>1816.3309542558</v>
      </c>
      <c r="Y11" s="65" t="n">
        <f aca="false">'Revenue Streams'!Y$16*'Assumption Setting'!$D$160</f>
        <v>1902.30220595561</v>
      </c>
      <c r="Z11" s="65" t="n">
        <f aca="false">'Revenue Streams'!Z$16*'Assumption Setting'!$D$160</f>
        <v>1988.27345765542</v>
      </c>
      <c r="AA11" s="65" t="n">
        <f aca="false">'Revenue Streams'!AA$16*'Assumption Setting'!$D$160</f>
        <v>2074.24470935523</v>
      </c>
      <c r="AB11" s="64" t="n">
        <f aca="false">SUM(AC11:AN11)</f>
        <v>39173.8464018931</v>
      </c>
      <c r="AC11" s="65" t="n">
        <f aca="false">'Revenue Streams'!AC$16*'Assumption Setting'!$E$160</f>
        <v>2571.68566792267</v>
      </c>
      <c r="AD11" s="65" t="n">
        <f aca="false">'Revenue Streams'!AD$16*'Assumption Setting'!$E$160</f>
        <v>2681.98736519588</v>
      </c>
      <c r="AE11" s="65" t="n">
        <f aca="false">'Revenue Streams'!AE$16*'Assumption Setting'!$E$160</f>
        <v>2792.28906246909</v>
      </c>
      <c r="AF11" s="65" t="n">
        <f aca="false">'Revenue Streams'!AF$16*'Assumption Setting'!$E$160</f>
        <v>2902.5907597423</v>
      </c>
      <c r="AG11" s="65" t="n">
        <f aca="false">'Revenue Streams'!AG$16*'Assumption Setting'!$E$160</f>
        <v>3012.89245701551</v>
      </c>
      <c r="AH11" s="65" t="n">
        <f aca="false">'Revenue Streams'!AH$16*'Assumption Setting'!$E$160</f>
        <v>3123.19415428873</v>
      </c>
      <c r="AI11" s="65" t="n">
        <f aca="false">'Revenue Streams'!AI$16*'Assumption Setting'!$E$160</f>
        <v>3282.71996426618</v>
      </c>
      <c r="AJ11" s="65" t="n">
        <f aca="false">'Revenue Streams'!AJ$16*'Assumption Setting'!$E$160</f>
        <v>3442.24577424364</v>
      </c>
      <c r="AK11" s="65" t="n">
        <f aca="false">'Revenue Streams'!AK$16*'Assumption Setting'!$E$160</f>
        <v>3601.77158422109</v>
      </c>
      <c r="AL11" s="65" t="n">
        <f aca="false">'Revenue Streams'!AL$16*'Assumption Setting'!$E$160</f>
        <v>3761.29739419855</v>
      </c>
      <c r="AM11" s="65" t="n">
        <f aca="false">'Revenue Streams'!AM$16*'Assumption Setting'!$E$160</f>
        <v>3920.823204176</v>
      </c>
      <c r="AN11" s="65" t="n">
        <f aca="false">'Revenue Streams'!AN$16*'Assumption Setting'!$E$160</f>
        <v>4080.34901415346</v>
      </c>
      <c r="AO11" s="64" t="n">
        <f aca="false">SUM(AP11:BA11)</f>
        <v>68123.104029846</v>
      </c>
      <c r="AP11" s="65" t="n">
        <f aca="false">'Revenue Streams'!AP$16*'Assumption Setting'!$F$160</f>
        <v>4748.65980302662</v>
      </c>
      <c r="AQ11" s="65" t="n">
        <f aca="false">'Revenue Streams'!AQ$16*'Assumption Setting'!$F$160</f>
        <v>4920.94304517597</v>
      </c>
      <c r="AR11" s="65" t="n">
        <f aca="false">'Revenue Streams'!AR$16*'Assumption Setting'!$F$160</f>
        <v>5093.22628732533</v>
      </c>
      <c r="AS11" s="65" t="n">
        <f aca="false">'Revenue Streams'!AS$16*'Assumption Setting'!$F$160</f>
        <v>5265.50952947468</v>
      </c>
      <c r="AT11" s="65" t="n">
        <f aca="false">'Revenue Streams'!AT$16*'Assumption Setting'!$F$160</f>
        <v>5437.79277162403</v>
      </c>
      <c r="AU11" s="65" t="n">
        <f aca="false">'Revenue Streams'!AU$16*'Assumption Setting'!$F$160</f>
        <v>5610.07601377339</v>
      </c>
      <c r="AV11" s="65" t="n">
        <f aca="false">'Revenue Streams'!AV$16*'Assumption Setting'!$F$160</f>
        <v>5771.33508504985</v>
      </c>
      <c r="AW11" s="65" t="n">
        <f aca="false">'Revenue Streams'!AW$16*'Assumption Setting'!$F$160</f>
        <v>5932.59415632631</v>
      </c>
      <c r="AX11" s="65" t="n">
        <f aca="false">'Revenue Streams'!AX$16*'Assumption Setting'!$F$160</f>
        <v>6093.85322760277</v>
      </c>
      <c r="AY11" s="65" t="n">
        <f aca="false">'Revenue Streams'!AY$16*'Assumption Setting'!$F$160</f>
        <v>6255.11229887923</v>
      </c>
      <c r="AZ11" s="65" t="n">
        <f aca="false">'Revenue Streams'!AZ$16*'Assumption Setting'!$F$160</f>
        <v>6416.37137015569</v>
      </c>
      <c r="BA11" s="65" t="n">
        <f aca="false">'Revenue Streams'!BA$16*'Assumption Setting'!$F$160</f>
        <v>6577.63044143215</v>
      </c>
      <c r="BB11" s="64" t="n">
        <f aca="false">SUM(BC11:BN11)</f>
        <v>101855.598085352</v>
      </c>
      <c r="BC11" s="65" t="n">
        <f aca="false">'Revenue Streams'!BC$16*'Assumption Setting'!$G$160</f>
        <v>7460.91338907025</v>
      </c>
      <c r="BD11" s="65" t="n">
        <f aca="false">'Revenue Streams'!BD$16*'Assumption Setting'!$G$160</f>
        <v>7645.74375181076</v>
      </c>
      <c r="BE11" s="65" t="n">
        <f aca="false">'Revenue Streams'!BE$16*'Assumption Setting'!$G$160</f>
        <v>7830.57411455128</v>
      </c>
      <c r="BF11" s="65" t="n">
        <f aca="false">'Revenue Streams'!BF$16*'Assumption Setting'!$G$160</f>
        <v>8015.40447729179</v>
      </c>
      <c r="BG11" s="65" t="n">
        <f aca="false">'Revenue Streams'!BG$16*'Assumption Setting'!$G$160</f>
        <v>8200.2348400323</v>
      </c>
      <c r="BH11" s="65" t="n">
        <f aca="false">'Revenue Streams'!BH$16*'Assumption Setting'!$G$160</f>
        <v>8385.06520277282</v>
      </c>
      <c r="BI11" s="65" t="n">
        <f aca="false">'Revenue Streams'!BI$16*'Assumption Setting'!$G$160</f>
        <v>8575.88763578169</v>
      </c>
      <c r="BJ11" s="65" t="n">
        <f aca="false">'Revenue Streams'!BJ$16*'Assumption Setting'!$G$160</f>
        <v>8766.71006879056</v>
      </c>
      <c r="BK11" s="65" t="n">
        <f aca="false">'Revenue Streams'!BK$16*'Assumption Setting'!$G$160</f>
        <v>8957.53250179943</v>
      </c>
      <c r="BL11" s="65" t="n">
        <f aca="false">'Revenue Streams'!BL$16*'Assumption Setting'!$G$160</f>
        <v>9148.3549348083</v>
      </c>
      <c r="BM11" s="65" t="n">
        <f aca="false">'Revenue Streams'!BM$16*'Assumption Setting'!$G$160</f>
        <v>9339.17736781717</v>
      </c>
      <c r="BN11" s="65" t="n">
        <f aca="false">'Revenue Streams'!BN$16*'Assumption Setting'!$G$160</f>
        <v>9529.99980082605</v>
      </c>
    </row>
    <row r="12" customFormat="false" ht="15" hidden="false" customHeight="false" outlineLevel="0" collapsed="false">
      <c r="A12" s="12" t="s">
        <v>805</v>
      </c>
      <c r="B12" s="64" t="n">
        <f aca="false">SUM(C12:N12)</f>
        <v>2961.85567010309</v>
      </c>
      <c r="C12" s="65" t="n">
        <f aca="false">'Revenue Streams'!C$20*('Assumption Setting'!$C$161+'Assumption Setting'!$C$19)</f>
        <v>2961.85567010309</v>
      </c>
      <c r="D12" s="65" t="n">
        <f aca="false">'Revenue Streams'!D$20*('Assumption Setting'!$C$161+'Assumption Setting'!$C$19)</f>
        <v>0</v>
      </c>
      <c r="E12" s="65" t="n">
        <f aca="false">'Revenue Streams'!E$20*('Assumption Setting'!$C$161+'Assumption Setting'!$C$19)</f>
        <v>0</v>
      </c>
      <c r="F12" s="65" t="n">
        <f aca="false">'Revenue Streams'!F$20*('Assumption Setting'!$C$161+'Assumption Setting'!$C$19)</f>
        <v>0</v>
      </c>
      <c r="G12" s="65" t="n">
        <f aca="false">'Revenue Streams'!G$20*('Assumption Setting'!$C$161+'Assumption Setting'!$C$19)</f>
        <v>0</v>
      </c>
      <c r="H12" s="65" t="n">
        <f aca="false">'Revenue Streams'!H$20*('Assumption Setting'!$C$161+'Assumption Setting'!$C$19)</f>
        <v>0</v>
      </c>
      <c r="I12" s="65" t="n">
        <f aca="false">'Revenue Streams'!I$20*('Assumption Setting'!$C$161+'Assumption Setting'!$C$19)</f>
        <v>0</v>
      </c>
      <c r="J12" s="65" t="n">
        <f aca="false">'Revenue Streams'!J$20*('Assumption Setting'!$C$161+'Assumption Setting'!$C$19)</f>
        <v>0</v>
      </c>
      <c r="K12" s="65" t="n">
        <f aca="false">'Revenue Streams'!K$20*('Assumption Setting'!$C$161+'Assumption Setting'!$C$19)</f>
        <v>0</v>
      </c>
      <c r="L12" s="65" t="n">
        <f aca="false">'Revenue Streams'!L$20*('Assumption Setting'!$C$161+'Assumption Setting'!$C$19)</f>
        <v>0</v>
      </c>
      <c r="M12" s="65" t="n">
        <f aca="false">'Revenue Streams'!M$20*('Assumption Setting'!$C$161+'Assumption Setting'!$C$19)</f>
        <v>0</v>
      </c>
      <c r="N12" s="65" t="n">
        <f aca="false">'Revenue Streams'!N$20*('Assumption Setting'!$C$161+'Assumption Setting'!$C$19)</f>
        <v>0</v>
      </c>
      <c r="O12" s="64" t="n">
        <f aca="false">SUM(P12:AA12)</f>
        <v>0</v>
      </c>
      <c r="P12" s="65" t="n">
        <f aca="false">'Revenue Streams'!P$20*('Assumption Setting'!$C$161+'Assumption Setting'!$C$19)</f>
        <v>0</v>
      </c>
      <c r="Q12" s="65" t="n">
        <f aca="false">'Revenue Streams'!Q$20*('Assumption Setting'!$C$161+'Assumption Setting'!$C$19)</f>
        <v>0</v>
      </c>
      <c r="R12" s="65" t="n">
        <f aca="false">'Revenue Streams'!R$20*('Assumption Setting'!$C$161+'Assumption Setting'!$C$19)</f>
        <v>0</v>
      </c>
      <c r="S12" s="65" t="n">
        <f aca="false">'Revenue Streams'!S$20*('Assumption Setting'!$C$161+'Assumption Setting'!$C$19)</f>
        <v>0</v>
      </c>
      <c r="T12" s="65" t="n">
        <f aca="false">'Revenue Streams'!T$20*('Assumption Setting'!$C$161+'Assumption Setting'!$C$19)</f>
        <v>0</v>
      </c>
      <c r="U12" s="65" t="n">
        <f aca="false">'Revenue Streams'!U$20*('Assumption Setting'!$C$161+'Assumption Setting'!$C$19)</f>
        <v>0</v>
      </c>
      <c r="V12" s="65" t="n">
        <f aca="false">'Revenue Streams'!V$20*('Assumption Setting'!$C$161+'Assumption Setting'!$C$19)</f>
        <v>0</v>
      </c>
      <c r="W12" s="65" t="n">
        <f aca="false">'Revenue Streams'!W$20*('Assumption Setting'!$C$161+'Assumption Setting'!$C$19)</f>
        <v>0</v>
      </c>
      <c r="X12" s="65" t="n">
        <f aca="false">'Revenue Streams'!X$20*('Assumption Setting'!$C$161+'Assumption Setting'!$C$19)</f>
        <v>0</v>
      </c>
      <c r="Y12" s="65" t="n">
        <f aca="false">'Revenue Streams'!Y$20*('Assumption Setting'!$C$161+'Assumption Setting'!$C$19)</f>
        <v>0</v>
      </c>
      <c r="Z12" s="65" t="n">
        <f aca="false">'Revenue Streams'!Z$20*('Assumption Setting'!$C$161+'Assumption Setting'!$C$19)</f>
        <v>0</v>
      </c>
      <c r="AA12" s="65" t="n">
        <f aca="false">'Revenue Streams'!AA$20*('Assumption Setting'!$C$161+'Assumption Setting'!$C$19)</f>
        <v>0</v>
      </c>
      <c r="AB12" s="64" t="n">
        <f aca="false">SUM(AC12:AN12)</f>
        <v>0</v>
      </c>
      <c r="AC12" s="65" t="n">
        <f aca="false">'Revenue Streams'!AC$20*('Assumption Setting'!$C$161+'Assumption Setting'!$C$19)</f>
        <v>0</v>
      </c>
      <c r="AD12" s="65" t="n">
        <f aca="false">'Revenue Streams'!AD$20*('Assumption Setting'!$C$161+'Assumption Setting'!$C$19)</f>
        <v>0</v>
      </c>
      <c r="AE12" s="65" t="n">
        <f aca="false">'Revenue Streams'!AE$20*('Assumption Setting'!$C$161+'Assumption Setting'!$C$19)</f>
        <v>0</v>
      </c>
      <c r="AF12" s="65" t="n">
        <f aca="false">'Revenue Streams'!AF$20*('Assumption Setting'!$C$161+'Assumption Setting'!$C$19)</f>
        <v>0</v>
      </c>
      <c r="AG12" s="65" t="n">
        <f aca="false">'Revenue Streams'!AG$20*('Assumption Setting'!$C$161+'Assumption Setting'!$C$19)</f>
        <v>0</v>
      </c>
      <c r="AH12" s="65" t="n">
        <f aca="false">'Revenue Streams'!AH$20*('Assumption Setting'!$C$161+'Assumption Setting'!$C$19)</f>
        <v>0</v>
      </c>
      <c r="AI12" s="65" t="n">
        <f aca="false">'Revenue Streams'!AI$20*('Assumption Setting'!$C$161+'Assumption Setting'!$C$19)</f>
        <v>0</v>
      </c>
      <c r="AJ12" s="65" t="n">
        <f aca="false">'Revenue Streams'!AJ$20*('Assumption Setting'!$C$161+'Assumption Setting'!$C$19)</f>
        <v>0</v>
      </c>
      <c r="AK12" s="65" t="n">
        <f aca="false">'Revenue Streams'!AK$20*('Assumption Setting'!$C$161+'Assumption Setting'!$C$19)</f>
        <v>0</v>
      </c>
      <c r="AL12" s="65" t="n">
        <f aca="false">'Revenue Streams'!AL$20*('Assumption Setting'!$C$161+'Assumption Setting'!$C$19)</f>
        <v>0</v>
      </c>
      <c r="AM12" s="65" t="n">
        <f aca="false">'Revenue Streams'!AM$20*('Assumption Setting'!$C$161+'Assumption Setting'!$C$19)</f>
        <v>0</v>
      </c>
      <c r="AN12" s="65" t="n">
        <f aca="false">'Revenue Streams'!AN$20*('Assumption Setting'!$C$161+'Assumption Setting'!$C$19)</f>
        <v>0</v>
      </c>
      <c r="AO12" s="64" t="n">
        <f aca="false">SUM(AP12:BA12)</f>
        <v>0</v>
      </c>
      <c r="AP12" s="65" t="n">
        <f aca="false">'Revenue Streams'!AP$20*('Assumption Setting'!$C$161+'Assumption Setting'!$C$19)</f>
        <v>0</v>
      </c>
      <c r="AQ12" s="65" t="n">
        <f aca="false">'Revenue Streams'!AQ$20*('Assumption Setting'!$C$161+'Assumption Setting'!$C$19)</f>
        <v>0</v>
      </c>
      <c r="AR12" s="65" t="n">
        <f aca="false">'Revenue Streams'!AR$20*('Assumption Setting'!$C$161+'Assumption Setting'!$C$19)</f>
        <v>0</v>
      </c>
      <c r="AS12" s="65" t="n">
        <f aca="false">'Revenue Streams'!AS$20*('Assumption Setting'!$C$161+'Assumption Setting'!$C$19)</f>
        <v>0</v>
      </c>
      <c r="AT12" s="65" t="n">
        <f aca="false">'Revenue Streams'!AT$20*('Assumption Setting'!$C$161+'Assumption Setting'!$C$19)</f>
        <v>0</v>
      </c>
      <c r="AU12" s="65" t="n">
        <f aca="false">'Revenue Streams'!AU$20*('Assumption Setting'!$C$161+'Assumption Setting'!$C$19)</f>
        <v>0</v>
      </c>
      <c r="AV12" s="65" t="n">
        <f aca="false">'Revenue Streams'!AV$20*('Assumption Setting'!$C$161+'Assumption Setting'!$C$19)</f>
        <v>0</v>
      </c>
      <c r="AW12" s="65" t="n">
        <f aca="false">'Revenue Streams'!AW$20*('Assumption Setting'!$C$161+'Assumption Setting'!$C$19)</f>
        <v>0</v>
      </c>
      <c r="AX12" s="65" t="n">
        <f aca="false">'Revenue Streams'!AX$20*('Assumption Setting'!$C$161+'Assumption Setting'!$C$19)</f>
        <v>0</v>
      </c>
      <c r="AY12" s="65" t="n">
        <f aca="false">'Revenue Streams'!AY$20*('Assumption Setting'!$C$161+'Assumption Setting'!$C$19)</f>
        <v>0</v>
      </c>
      <c r="AZ12" s="65" t="n">
        <f aca="false">'Revenue Streams'!AZ$20*('Assumption Setting'!$C$161+'Assumption Setting'!$C$19)</f>
        <v>0</v>
      </c>
      <c r="BA12" s="65" t="n">
        <f aca="false">'Revenue Streams'!BA$20*('Assumption Setting'!$C$161+'Assumption Setting'!$C$19)</f>
        <v>0</v>
      </c>
      <c r="BB12" s="64" t="n">
        <f aca="false">SUM(BC12:BN12)</f>
        <v>0</v>
      </c>
      <c r="BC12" s="65" t="n">
        <f aca="false">'Revenue Streams'!BC$20*('Assumption Setting'!$C$161+'Assumption Setting'!$C$19)</f>
        <v>0</v>
      </c>
      <c r="BD12" s="65" t="n">
        <f aca="false">'Revenue Streams'!BD$20*('Assumption Setting'!$C$161+'Assumption Setting'!$C$19)</f>
        <v>0</v>
      </c>
      <c r="BE12" s="65" t="n">
        <f aca="false">'Revenue Streams'!BE$20*('Assumption Setting'!$C$161+'Assumption Setting'!$C$19)</f>
        <v>0</v>
      </c>
      <c r="BF12" s="65" t="n">
        <f aca="false">'Revenue Streams'!BF$20*('Assumption Setting'!$C$161+'Assumption Setting'!$C$19)</f>
        <v>0</v>
      </c>
      <c r="BG12" s="65" t="n">
        <f aca="false">'Revenue Streams'!BG$20*('Assumption Setting'!$C$161+'Assumption Setting'!$C$19)</f>
        <v>0</v>
      </c>
      <c r="BH12" s="65" t="n">
        <f aca="false">'Revenue Streams'!BH$20*('Assumption Setting'!$C$161+'Assumption Setting'!$C$19)</f>
        <v>0</v>
      </c>
      <c r="BI12" s="65" t="n">
        <f aca="false">'Revenue Streams'!BI$20*('Assumption Setting'!$C$161+'Assumption Setting'!$C$19)</f>
        <v>0</v>
      </c>
      <c r="BJ12" s="65" t="n">
        <f aca="false">'Revenue Streams'!BJ$20*('Assumption Setting'!$C$161+'Assumption Setting'!$C$19)</f>
        <v>0</v>
      </c>
      <c r="BK12" s="65" t="n">
        <f aca="false">'Revenue Streams'!BK$20*('Assumption Setting'!$C$161+'Assumption Setting'!$C$19)</f>
        <v>0</v>
      </c>
      <c r="BL12" s="65" t="n">
        <f aca="false">'Revenue Streams'!BL$20*('Assumption Setting'!$C$161+'Assumption Setting'!$C$19)</f>
        <v>0</v>
      </c>
      <c r="BM12" s="65" t="n">
        <f aca="false">'Revenue Streams'!BM$20*('Assumption Setting'!$C$161+'Assumption Setting'!$C$19)</f>
        <v>0</v>
      </c>
      <c r="BN12" s="65" t="n">
        <f aca="false">'Revenue Streams'!BN$20*('Assumption Setting'!$C$161+'Assumption Setting'!$C$19)</f>
        <v>0</v>
      </c>
    </row>
    <row r="13" customFormat="false" ht="15" hidden="false" customHeight="false" outlineLevel="0" collapsed="false">
      <c r="A13" s="12" t="s">
        <v>806</v>
      </c>
      <c r="B13" s="64" t="n">
        <f aca="false">SUM(C13:N13)</f>
        <v>2500</v>
      </c>
      <c r="C13" s="65" t="n">
        <f aca="false">'Assumption Setting'!$C$117/12*'Assumption Setting'!$C$162</f>
        <v>208.333333333333</v>
      </c>
      <c r="D13" s="65" t="n">
        <f aca="false">'Assumption Setting'!$C$117/12*'Assumption Setting'!$C$162</f>
        <v>208.333333333333</v>
      </c>
      <c r="E13" s="65" t="n">
        <f aca="false">'Assumption Setting'!$C$117/12*'Assumption Setting'!$C$162</f>
        <v>208.333333333333</v>
      </c>
      <c r="F13" s="65" t="n">
        <f aca="false">'Assumption Setting'!$C$117/12*'Assumption Setting'!$C$162</f>
        <v>208.333333333333</v>
      </c>
      <c r="G13" s="65" t="n">
        <f aca="false">'Assumption Setting'!$C$117/12*'Assumption Setting'!$C$162</f>
        <v>208.333333333333</v>
      </c>
      <c r="H13" s="65" t="n">
        <f aca="false">'Assumption Setting'!$C$117/12*'Assumption Setting'!$C$162</f>
        <v>208.333333333333</v>
      </c>
      <c r="I13" s="65" t="n">
        <f aca="false">'Assumption Setting'!$C$117/12*'Assumption Setting'!$C$162</f>
        <v>208.333333333333</v>
      </c>
      <c r="J13" s="65" t="n">
        <f aca="false">'Assumption Setting'!$C$117/12*'Assumption Setting'!$C$162</f>
        <v>208.333333333333</v>
      </c>
      <c r="K13" s="65" t="n">
        <f aca="false">'Assumption Setting'!$C$117/12*'Assumption Setting'!$C$162</f>
        <v>208.333333333333</v>
      </c>
      <c r="L13" s="65" t="n">
        <f aca="false">'Assumption Setting'!$C$117/12*'Assumption Setting'!$C$162</f>
        <v>208.333333333333</v>
      </c>
      <c r="M13" s="65" t="n">
        <f aca="false">'Assumption Setting'!$C$117/12*'Assumption Setting'!$C$162</f>
        <v>208.333333333333</v>
      </c>
      <c r="N13" s="65" t="n">
        <f aca="false">'Assumption Setting'!$C$117/12*'Assumption Setting'!$C$162</f>
        <v>208.333333333333</v>
      </c>
      <c r="O13" s="64" t="n">
        <f aca="false">SUM(P13:AA13)</f>
        <v>7000</v>
      </c>
      <c r="P13" s="65" t="n">
        <f aca="false">'Assumption Setting'!$D$117/12*'Assumption Setting'!$D$162</f>
        <v>583.333333333333</v>
      </c>
      <c r="Q13" s="65" t="n">
        <f aca="false">'Assumption Setting'!$D$117/12*'Assumption Setting'!$D$162</f>
        <v>583.333333333333</v>
      </c>
      <c r="R13" s="65" t="n">
        <f aca="false">'Assumption Setting'!$D$117/12*'Assumption Setting'!$D$162</f>
        <v>583.333333333333</v>
      </c>
      <c r="S13" s="65" t="n">
        <f aca="false">'Assumption Setting'!$D$117/12*'Assumption Setting'!$D$162</f>
        <v>583.333333333333</v>
      </c>
      <c r="T13" s="65" t="n">
        <f aca="false">'Assumption Setting'!$D$117/12*'Assumption Setting'!$D$162</f>
        <v>583.333333333333</v>
      </c>
      <c r="U13" s="65" t="n">
        <f aca="false">'Assumption Setting'!$D$117/12*'Assumption Setting'!$D$162</f>
        <v>583.333333333333</v>
      </c>
      <c r="V13" s="65" t="n">
        <f aca="false">'Assumption Setting'!$D$117/12*'Assumption Setting'!$D$162</f>
        <v>583.333333333333</v>
      </c>
      <c r="W13" s="65" t="n">
        <f aca="false">'Assumption Setting'!$D$117/12*'Assumption Setting'!$D$162</f>
        <v>583.333333333333</v>
      </c>
      <c r="X13" s="65" t="n">
        <f aca="false">'Assumption Setting'!$D$117/12*'Assumption Setting'!$D$162</f>
        <v>583.333333333333</v>
      </c>
      <c r="Y13" s="65" t="n">
        <f aca="false">'Assumption Setting'!$D$117/12*'Assumption Setting'!$D$162</f>
        <v>583.333333333333</v>
      </c>
      <c r="Z13" s="65" t="n">
        <f aca="false">'Assumption Setting'!$D$117/12*'Assumption Setting'!$D$162</f>
        <v>583.333333333333</v>
      </c>
      <c r="AA13" s="65" t="n">
        <f aca="false">'Assumption Setting'!$D$117/12*'Assumption Setting'!$D$162</f>
        <v>583.333333333333</v>
      </c>
      <c r="AB13" s="64" t="n">
        <f aca="false">SUM(AC13:AN13)</f>
        <v>13500</v>
      </c>
      <c r="AC13" s="65" t="n">
        <f aca="false">'Assumption Setting'!$E$117/12*'Assumption Setting'!$E$162</f>
        <v>1125</v>
      </c>
      <c r="AD13" s="65" t="n">
        <f aca="false">'Assumption Setting'!$E$117/12*'Assumption Setting'!$E$162</f>
        <v>1125</v>
      </c>
      <c r="AE13" s="65" t="n">
        <f aca="false">'Assumption Setting'!$E$117/12*'Assumption Setting'!$E$162</f>
        <v>1125</v>
      </c>
      <c r="AF13" s="65" t="n">
        <f aca="false">'Assumption Setting'!$E$117/12*'Assumption Setting'!$E$162</f>
        <v>1125</v>
      </c>
      <c r="AG13" s="65" t="n">
        <f aca="false">'Assumption Setting'!$E$117/12*'Assumption Setting'!$E$162</f>
        <v>1125</v>
      </c>
      <c r="AH13" s="65" t="n">
        <f aca="false">'Assumption Setting'!$E$117/12*'Assumption Setting'!$E$162</f>
        <v>1125</v>
      </c>
      <c r="AI13" s="65" t="n">
        <f aca="false">'Assumption Setting'!$E$117/12*'Assumption Setting'!$E$162</f>
        <v>1125</v>
      </c>
      <c r="AJ13" s="65" t="n">
        <f aca="false">'Assumption Setting'!$E$117/12*'Assumption Setting'!$E$162</f>
        <v>1125</v>
      </c>
      <c r="AK13" s="65" t="n">
        <f aca="false">'Assumption Setting'!$E$117/12*'Assumption Setting'!$E$162</f>
        <v>1125</v>
      </c>
      <c r="AL13" s="65" t="n">
        <f aca="false">'Assumption Setting'!$E$117/12*'Assumption Setting'!$E$162</f>
        <v>1125</v>
      </c>
      <c r="AM13" s="65" t="n">
        <f aca="false">'Assumption Setting'!$E$117/12*'Assumption Setting'!$E$162</f>
        <v>1125</v>
      </c>
      <c r="AN13" s="65" t="n">
        <f aca="false">'Assumption Setting'!$E$117/12*'Assumption Setting'!$E$162</f>
        <v>1125</v>
      </c>
      <c r="AO13" s="64" t="n">
        <f aca="false">SUM(AP13:BA13)</f>
        <v>15600</v>
      </c>
      <c r="AP13" s="65" t="n">
        <f aca="false">'Assumption Setting'!$F$117/12*'Assumption Setting'!$F$162</f>
        <v>1300</v>
      </c>
      <c r="AQ13" s="65" t="n">
        <f aca="false">'Assumption Setting'!$F$117/12*'Assumption Setting'!$F$162</f>
        <v>1300</v>
      </c>
      <c r="AR13" s="65" t="n">
        <f aca="false">'Assumption Setting'!$F$117/12*'Assumption Setting'!$F$162</f>
        <v>1300</v>
      </c>
      <c r="AS13" s="65" t="n">
        <f aca="false">'Assumption Setting'!$F$117/12*'Assumption Setting'!$F$162</f>
        <v>1300</v>
      </c>
      <c r="AT13" s="65" t="n">
        <f aca="false">'Assumption Setting'!$F$117/12*'Assumption Setting'!$F$162</f>
        <v>1300</v>
      </c>
      <c r="AU13" s="65" t="n">
        <f aca="false">'Assumption Setting'!$F$117/12*'Assumption Setting'!$F$162</f>
        <v>1300</v>
      </c>
      <c r="AV13" s="65" t="n">
        <f aca="false">'Assumption Setting'!$F$117/12*'Assumption Setting'!$F$162</f>
        <v>1300</v>
      </c>
      <c r="AW13" s="65" t="n">
        <f aca="false">'Assumption Setting'!$F$117/12*'Assumption Setting'!$F$162</f>
        <v>1300</v>
      </c>
      <c r="AX13" s="65" t="n">
        <f aca="false">'Assumption Setting'!$F$117/12*'Assumption Setting'!$F$162</f>
        <v>1300</v>
      </c>
      <c r="AY13" s="65" t="n">
        <f aca="false">'Assumption Setting'!$F$117/12*'Assumption Setting'!$F$162</f>
        <v>1300</v>
      </c>
      <c r="AZ13" s="65" t="n">
        <f aca="false">'Assumption Setting'!$F$117/12*'Assumption Setting'!$F$162</f>
        <v>1300</v>
      </c>
      <c r="BA13" s="65" t="n">
        <f aca="false">'Assumption Setting'!$F$117/12*'Assumption Setting'!$F$162</f>
        <v>1300</v>
      </c>
      <c r="BB13" s="64" t="n">
        <f aca="false">SUM(BC13:BN13)</f>
        <v>17400</v>
      </c>
      <c r="BC13" s="65" t="n">
        <f aca="false">'Assumption Setting'!$G$117/12*'Assumption Setting'!$G$162</f>
        <v>1450</v>
      </c>
      <c r="BD13" s="65" t="n">
        <f aca="false">'Assumption Setting'!$G$117/12*'Assumption Setting'!$G$162</f>
        <v>1450</v>
      </c>
      <c r="BE13" s="65" t="n">
        <f aca="false">'Assumption Setting'!$G$117/12*'Assumption Setting'!$G$162</f>
        <v>1450</v>
      </c>
      <c r="BF13" s="65" t="n">
        <f aca="false">'Assumption Setting'!$G$117/12*'Assumption Setting'!$G$162</f>
        <v>1450</v>
      </c>
      <c r="BG13" s="65" t="n">
        <f aca="false">'Assumption Setting'!$G$117/12*'Assumption Setting'!$G$162</f>
        <v>1450</v>
      </c>
      <c r="BH13" s="65" t="n">
        <f aca="false">'Assumption Setting'!$G$117/12*'Assumption Setting'!$G$162</f>
        <v>1450</v>
      </c>
      <c r="BI13" s="65" t="n">
        <f aca="false">'Assumption Setting'!$G$117/12*'Assumption Setting'!$G$162</f>
        <v>1450</v>
      </c>
      <c r="BJ13" s="65" t="n">
        <f aca="false">'Assumption Setting'!$G$117/12*'Assumption Setting'!$G$162</f>
        <v>1450</v>
      </c>
      <c r="BK13" s="65" t="n">
        <f aca="false">'Assumption Setting'!$G$117/12*'Assumption Setting'!$G$162</f>
        <v>1450</v>
      </c>
      <c r="BL13" s="65" t="n">
        <f aca="false">'Assumption Setting'!$G$117/12*'Assumption Setting'!$G$162</f>
        <v>1450</v>
      </c>
      <c r="BM13" s="65" t="n">
        <f aca="false">'Assumption Setting'!$G$117/12*'Assumption Setting'!$G$162</f>
        <v>1450</v>
      </c>
      <c r="BN13" s="65" t="n">
        <f aca="false">'Assumption Setting'!$G$117/12*'Assumption Setting'!$G$162</f>
        <v>1450</v>
      </c>
    </row>
    <row r="14" customFormat="false" ht="15" hidden="false" customHeight="false" outlineLevel="0" collapsed="false">
      <c r="A14" s="12" t="s">
        <v>807</v>
      </c>
      <c r="B14" s="64" t="n">
        <f aca="false">SUM(C14:N14)</f>
        <v>0</v>
      </c>
      <c r="C14" s="65" t="n">
        <f aca="false">'Revenue Streams'!C$15*'Assumption Setting'!$C$163</f>
        <v>0</v>
      </c>
      <c r="D14" s="65" t="n">
        <f aca="false">'Revenue Streams'!D$15*'Assumption Setting'!$C$163</f>
        <v>0</v>
      </c>
      <c r="E14" s="65" t="n">
        <f aca="false">'Revenue Streams'!E$15*'Assumption Setting'!$C$163</f>
        <v>0</v>
      </c>
      <c r="F14" s="65" t="n">
        <f aca="false">'Revenue Streams'!F$15*'Assumption Setting'!$C$163</f>
        <v>0</v>
      </c>
      <c r="G14" s="65" t="n">
        <f aca="false">'Revenue Streams'!G$15*'Assumption Setting'!$C$163</f>
        <v>0</v>
      </c>
      <c r="H14" s="65" t="n">
        <f aca="false">'Revenue Streams'!H$15*'Assumption Setting'!$C$163</f>
        <v>0</v>
      </c>
      <c r="I14" s="65" t="n">
        <f aca="false">'Revenue Streams'!I$15*'Assumption Setting'!$C$163</f>
        <v>0</v>
      </c>
      <c r="J14" s="65" t="n">
        <f aca="false">'Revenue Streams'!J$15*'Assumption Setting'!$C$163</f>
        <v>0</v>
      </c>
      <c r="K14" s="65" t="n">
        <f aca="false">'Revenue Streams'!K$15*'Assumption Setting'!$C$163</f>
        <v>0</v>
      </c>
      <c r="L14" s="65" t="n">
        <f aca="false">'Revenue Streams'!L$15*'Assumption Setting'!$C$163</f>
        <v>0</v>
      </c>
      <c r="M14" s="65" t="n">
        <f aca="false">'Revenue Streams'!M$15*'Assumption Setting'!$C$163</f>
        <v>0</v>
      </c>
      <c r="N14" s="65" t="n">
        <f aca="false">'Revenue Streams'!N$15*'Assumption Setting'!$C$163</f>
        <v>0</v>
      </c>
      <c r="O14" s="64" t="n">
        <f aca="false">SUM(P14:AA14)</f>
        <v>3560.38390884185</v>
      </c>
      <c r="P14" s="65" t="n">
        <f aca="false">'Revenue Streams'!P$15*'Assumption Setting'!$D$163</f>
        <v>0</v>
      </c>
      <c r="Q14" s="65" t="n">
        <f aca="false">'Revenue Streams'!Q$15*'Assumption Setting'!$D$163</f>
        <v>0</v>
      </c>
      <c r="R14" s="65" t="n">
        <f aca="false">'Revenue Streams'!R$15*'Assumption Setting'!$D$163</f>
        <v>0</v>
      </c>
      <c r="S14" s="65" t="n">
        <f aca="false">'Revenue Streams'!S$15*'Assumption Setting'!$D$163</f>
        <v>79.1196424187077</v>
      </c>
      <c r="T14" s="65" t="n">
        <f aca="false">'Revenue Streams'!T$15*'Assumption Setting'!$D$163</f>
        <v>158.239284837415</v>
      </c>
      <c r="U14" s="65" t="n">
        <f aca="false">'Revenue Streams'!U$15*'Assumption Setting'!$D$163</f>
        <v>237.358927256123</v>
      </c>
      <c r="V14" s="65" t="n">
        <f aca="false">'Revenue Streams'!V$15*'Assumption Setting'!$D$163</f>
        <v>316.478569674831</v>
      </c>
      <c r="W14" s="65" t="n">
        <f aca="false">'Revenue Streams'!W$15*'Assumption Setting'!$D$163</f>
        <v>395.598212093539</v>
      </c>
      <c r="X14" s="65" t="n">
        <f aca="false">'Revenue Streams'!X$15*'Assumption Setting'!$D$163</f>
        <v>474.717854512246</v>
      </c>
      <c r="Y14" s="65" t="n">
        <f aca="false">'Revenue Streams'!Y$15*'Assumption Setting'!$D$163</f>
        <v>553.837496930954</v>
      </c>
      <c r="Z14" s="65" t="n">
        <f aca="false">'Revenue Streams'!Z$15*'Assumption Setting'!$D$163</f>
        <v>632.957139349662</v>
      </c>
      <c r="AA14" s="65" t="n">
        <f aca="false">'Revenue Streams'!AA$15*'Assumption Setting'!$D$163</f>
        <v>712.076781768369</v>
      </c>
      <c r="AB14" s="64" t="n">
        <f aca="false">SUM(AC14:AN14)</f>
        <v>19236.4883943761</v>
      </c>
      <c r="AC14" s="65" t="n">
        <f aca="false">'Revenue Streams'!AC$15*'Assumption Setting'!$E$163</f>
        <v>914.271423505067</v>
      </c>
      <c r="AD14" s="65" t="n">
        <f aca="false">'Revenue Streams'!AD$15*'Assumption Setting'!$E$163</f>
        <v>1005.69856585557</v>
      </c>
      <c r="AE14" s="65" t="n">
        <f aca="false">'Revenue Streams'!AE$15*'Assumption Setting'!$E$163</f>
        <v>1097.12570820608</v>
      </c>
      <c r="AF14" s="65" t="n">
        <f aca="false">'Revenue Streams'!AF$15*'Assumption Setting'!$E$163</f>
        <v>1250.32180102959</v>
      </c>
      <c r="AG14" s="65" t="n">
        <f aca="false">'Revenue Streams'!AG$15*'Assumption Setting'!$E$163</f>
        <v>1403.51789385309</v>
      </c>
      <c r="AH14" s="65" t="n">
        <f aca="false">'Revenue Streams'!AH$15*'Assumption Setting'!$E$163</f>
        <v>1556.7139866766</v>
      </c>
      <c r="AI14" s="65" t="n">
        <f aca="false">'Revenue Streams'!AI$15*'Assumption Setting'!$E$163</f>
        <v>1709.9100795001</v>
      </c>
      <c r="AJ14" s="65" t="n">
        <f aca="false">'Revenue Streams'!AJ$15*'Assumption Setting'!$E$163</f>
        <v>1863.10617232361</v>
      </c>
      <c r="AK14" s="65" t="n">
        <f aca="false">'Revenue Streams'!AK$15*'Assumption Setting'!$E$163</f>
        <v>2016.30226514711</v>
      </c>
      <c r="AL14" s="65" t="n">
        <f aca="false">'Revenue Streams'!AL$15*'Assumption Setting'!$E$163</f>
        <v>2078.07121562011</v>
      </c>
      <c r="AM14" s="65" t="n">
        <f aca="false">'Revenue Streams'!AM$15*'Assumption Setting'!$E$163</f>
        <v>2139.84016609311</v>
      </c>
      <c r="AN14" s="65" t="n">
        <f aca="false">'Revenue Streams'!AN$15*'Assumption Setting'!$E$163</f>
        <v>2201.60911656611</v>
      </c>
      <c r="AO14" s="64" t="n">
        <f aca="false">SUM(AP14:BA14)</f>
        <v>37415.5888413027</v>
      </c>
      <c r="AP14" s="65" t="n">
        <f aca="false">'Revenue Streams'!AP$15*'Assumption Setting'!$F$163</f>
        <v>2437.48407219596</v>
      </c>
      <c r="AQ14" s="65" t="n">
        <f aca="false">'Revenue Streams'!AQ$15*'Assumption Setting'!$F$163</f>
        <v>2504.00448039765</v>
      </c>
      <c r="AR14" s="65" t="n">
        <f aca="false">'Revenue Streams'!AR$15*'Assumption Setting'!$F$163</f>
        <v>2570.52488859934</v>
      </c>
      <c r="AS14" s="65" t="n">
        <f aca="false">'Revenue Streams'!AS$15*'Assumption Setting'!$F$163</f>
        <v>2729.81319641992</v>
      </c>
      <c r="AT14" s="65" t="n">
        <f aca="false">'Revenue Streams'!AT$15*'Assumption Setting'!$F$163</f>
        <v>2889.10150424049</v>
      </c>
      <c r="AU14" s="65" t="n">
        <f aca="false">'Revenue Streams'!AU$15*'Assumption Setting'!$F$163</f>
        <v>3048.38981206106</v>
      </c>
      <c r="AV14" s="65" t="n">
        <f aca="false">'Revenue Streams'!AV$15*'Assumption Setting'!$F$163</f>
        <v>3207.67811988163</v>
      </c>
      <c r="AW14" s="65" t="n">
        <f aca="false">'Revenue Streams'!AW$15*'Assumption Setting'!$F$163</f>
        <v>3366.96642770221</v>
      </c>
      <c r="AX14" s="65" t="n">
        <f aca="false">'Revenue Streams'!AX$15*'Assumption Setting'!$F$163</f>
        <v>3526.25473552278</v>
      </c>
      <c r="AY14" s="65" t="n">
        <f aca="false">'Revenue Streams'!AY$15*'Assumption Setting'!$F$163</f>
        <v>3619.02263514166</v>
      </c>
      <c r="AZ14" s="65" t="n">
        <f aca="false">'Revenue Streams'!AZ$15*'Assumption Setting'!$F$163</f>
        <v>3711.79053476055</v>
      </c>
      <c r="BA14" s="65" t="n">
        <f aca="false">'Revenue Streams'!BA$15*'Assumption Setting'!$F$163</f>
        <v>3804.55843437943</v>
      </c>
      <c r="BB14" s="64" t="n">
        <f aca="false">SUM(BC14:BN14)</f>
        <v>60406.2436105239</v>
      </c>
      <c r="BC14" s="65" t="n">
        <f aca="false">'Revenue Streams'!BC$15*'Assumption Setting'!$G$163</f>
        <v>4175.70678642676</v>
      </c>
      <c r="BD14" s="65" t="n">
        <f aca="false">'Revenue Streams'!BD$15*'Assumption Setting'!$G$163</f>
        <v>4275.10096458985</v>
      </c>
      <c r="BE14" s="65" t="n">
        <f aca="false">'Revenue Streams'!BE$15*'Assumption Setting'!$G$163</f>
        <v>4374.49514275294</v>
      </c>
      <c r="BF14" s="65" t="n">
        <f aca="false">'Revenue Streams'!BF$15*'Assumption Setting'!$G$163</f>
        <v>4570.20290944086</v>
      </c>
      <c r="BG14" s="65" t="n">
        <f aca="false">'Revenue Streams'!BG$15*'Assumption Setting'!$G$163</f>
        <v>4765.91067612878</v>
      </c>
      <c r="BH14" s="65" t="n">
        <f aca="false">'Revenue Streams'!BH$15*'Assumption Setting'!$G$163</f>
        <v>4961.6184428167</v>
      </c>
      <c r="BI14" s="65" t="n">
        <f aca="false">'Revenue Streams'!BI$15*'Assumption Setting'!$G$163</f>
        <v>5157.32620950462</v>
      </c>
      <c r="BJ14" s="65" t="n">
        <f aca="false">'Revenue Streams'!BJ$15*'Assumption Setting'!$G$163</f>
        <v>5353.03397619254</v>
      </c>
      <c r="BK14" s="65" t="n">
        <f aca="false">'Revenue Streams'!BK$15*'Assumption Setting'!$G$163</f>
        <v>5548.74174288047</v>
      </c>
      <c r="BL14" s="65" t="n">
        <f aca="false">'Revenue Streams'!BL$15*'Assumption Setting'!$G$163</f>
        <v>5645.0553314053</v>
      </c>
      <c r="BM14" s="65" t="n">
        <f aca="false">'Revenue Streams'!BM$15*'Assumption Setting'!$G$163</f>
        <v>5741.36891993013</v>
      </c>
      <c r="BN14" s="65" t="n">
        <f aca="false">'Revenue Streams'!BN$15*'Assumption Setting'!$G$163</f>
        <v>5837.68250845497</v>
      </c>
    </row>
    <row r="15" customFormat="false" ht="15" hidden="false" customHeight="false" outlineLevel="0" collapsed="false">
      <c r="A15" s="12" t="s">
        <v>808</v>
      </c>
      <c r="B15" s="64" t="n">
        <f aca="false">SUM(C15:N15)</f>
        <v>0</v>
      </c>
      <c r="C15" s="65" t="n">
        <f aca="false">'Revenue Streams'!C$18*'Assumption Setting'!$C$164</f>
        <v>0</v>
      </c>
      <c r="D15" s="65" t="n">
        <f aca="false">'Revenue Streams'!D$18*'Assumption Setting'!$C$164</f>
        <v>0</v>
      </c>
      <c r="E15" s="65" t="n">
        <f aca="false">'Revenue Streams'!E$18*'Assumption Setting'!$C$164</f>
        <v>0</v>
      </c>
      <c r="F15" s="65" t="n">
        <f aca="false">'Revenue Streams'!F$18*'Assumption Setting'!$C$164</f>
        <v>0</v>
      </c>
      <c r="G15" s="65" t="n">
        <f aca="false">'Revenue Streams'!G$18*'Assumption Setting'!$C$164</f>
        <v>0</v>
      </c>
      <c r="H15" s="65" t="n">
        <f aca="false">'Revenue Streams'!H$18*'Assumption Setting'!$C$164</f>
        <v>0</v>
      </c>
      <c r="I15" s="65" t="n">
        <f aca="false">'Revenue Streams'!I$18*'Assumption Setting'!$C$164</f>
        <v>0</v>
      </c>
      <c r="J15" s="65" t="n">
        <f aca="false">'Revenue Streams'!J$18*'Assumption Setting'!$C$164</f>
        <v>0</v>
      </c>
      <c r="K15" s="65" t="n">
        <f aca="false">'Revenue Streams'!K$18*'Assumption Setting'!$C$164</f>
        <v>0</v>
      </c>
      <c r="L15" s="65" t="n">
        <f aca="false">'Revenue Streams'!L$18*'Assumption Setting'!$C$164</f>
        <v>0</v>
      </c>
      <c r="M15" s="65" t="n">
        <f aca="false">'Revenue Streams'!M$18*'Assumption Setting'!$C$164</f>
        <v>0</v>
      </c>
      <c r="N15" s="65" t="n">
        <f aca="false">'Revenue Streams'!N$18*'Assumption Setting'!$C$164</f>
        <v>0</v>
      </c>
      <c r="O15" s="64" t="n">
        <f aca="false">SUM(P15:AA15)</f>
        <v>8198.06003606062</v>
      </c>
      <c r="P15" s="65" t="n">
        <f aca="false">'Revenue Streams'!P$18*'Assumption Setting'!$D$164</f>
        <v>94.1900504984616</v>
      </c>
      <c r="Q15" s="65" t="n">
        <f aca="false">'Revenue Streams'!Q$18*'Assumption Setting'!$D$164</f>
        <v>188.380100996923</v>
      </c>
      <c r="R15" s="65" t="n">
        <f aca="false">'Revenue Streams'!R$18*'Assumption Setting'!$D$164</f>
        <v>291.989156545231</v>
      </c>
      <c r="S15" s="65" t="n">
        <f aca="false">'Revenue Streams'!S$18*'Assumption Setting'!$D$164</f>
        <v>395.598212093539</v>
      </c>
      <c r="T15" s="65" t="n">
        <f aca="false">'Revenue Streams'!T$18*'Assumption Setting'!$D$164</f>
        <v>499.207267641846</v>
      </c>
      <c r="U15" s="65" t="n">
        <f aca="false">'Revenue Streams'!U$18*'Assumption Setting'!$D$164</f>
        <v>602.816323190154</v>
      </c>
      <c r="V15" s="65" t="n">
        <f aca="false">'Revenue Streams'!V$18*'Assumption Setting'!$D$164</f>
        <v>706.425378738462</v>
      </c>
      <c r="W15" s="65" t="n">
        <f aca="false">'Revenue Streams'!W$18*'Assumption Setting'!$D$164</f>
        <v>810.034434286769</v>
      </c>
      <c r="X15" s="65" t="n">
        <f aca="false">'Revenue Streams'!X$18*'Assumption Setting'!$D$164</f>
        <v>913.643489835077</v>
      </c>
      <c r="Y15" s="65" t="n">
        <f aca="false">'Revenue Streams'!Y$18*'Assumption Setting'!$D$164</f>
        <v>1072.78434862323</v>
      </c>
      <c r="Z15" s="65" t="n">
        <f aca="false">'Revenue Streams'!Z$18*'Assumption Setting'!$D$164</f>
        <v>1231.92520741138</v>
      </c>
      <c r="AA15" s="65" t="n">
        <f aca="false">'Revenue Streams'!AA$18*'Assumption Setting'!$D$164</f>
        <v>1391.06606619954</v>
      </c>
      <c r="AB15" s="64" t="n">
        <f aca="false">SUM(AC15:AN15)</f>
        <v>26668.8541589839</v>
      </c>
      <c r="AC15" s="65" t="n">
        <f aca="false">'Revenue Streams'!AC$18*'Assumption Setting'!$E$164</f>
        <v>1747.22024938708</v>
      </c>
      <c r="AD15" s="65" t="n">
        <f aca="false">'Revenue Streams'!AD$18*'Assumption Setting'!$E$164</f>
        <v>1825.16121933471</v>
      </c>
      <c r="AE15" s="65" t="n">
        <f aca="false">'Revenue Streams'!AE$18*'Assumption Setting'!$E$164</f>
        <v>1909.16020418123</v>
      </c>
      <c r="AF15" s="65" t="n">
        <f aca="false">'Revenue Streams'!AF$18*'Assumption Setting'!$E$164</f>
        <v>1993.15918902775</v>
      </c>
      <c r="AG15" s="65" t="n">
        <f aca="false">'Revenue Streams'!AG$18*'Assumption Setting'!$E$164</f>
        <v>2077.15817387428</v>
      </c>
      <c r="AH15" s="65" t="n">
        <f aca="false">'Revenue Streams'!AH$18*'Assumption Setting'!$E$164</f>
        <v>2161.1571587208</v>
      </c>
      <c r="AI15" s="65" t="n">
        <f aca="false">'Revenue Streams'!AI$18*'Assumption Setting'!$E$164</f>
        <v>2245.15614356732</v>
      </c>
      <c r="AJ15" s="65" t="n">
        <f aca="false">'Revenue Streams'!AJ$18*'Assumption Setting'!$E$164</f>
        <v>2329.15512841385</v>
      </c>
      <c r="AK15" s="65" t="n">
        <f aca="false">'Revenue Streams'!AK$18*'Assumption Setting'!$E$164</f>
        <v>2413.15411326037</v>
      </c>
      <c r="AL15" s="65" t="n">
        <f aca="false">'Revenue Streams'!AL$18*'Assumption Setting'!$E$164</f>
        <v>2534.63915316628</v>
      </c>
      <c r="AM15" s="65" t="n">
        <f aca="false">'Revenue Streams'!AM$18*'Assumption Setting'!$E$164</f>
        <v>2656.12419307218</v>
      </c>
      <c r="AN15" s="65" t="n">
        <f aca="false">'Revenue Streams'!AN$18*'Assumption Setting'!$E$164</f>
        <v>2777.60923297809</v>
      </c>
      <c r="AO15" s="64" t="n">
        <f aca="false">SUM(AP15:BA15)</f>
        <v>48193.1462644305</v>
      </c>
      <c r="AP15" s="65" t="n">
        <f aca="false">'Revenue Streams'!AP$18*'Assumption Setting'!$F$164</f>
        <v>3285.6401759352</v>
      </c>
      <c r="AQ15" s="65" t="n">
        <f aca="false">'Revenue Streams'!AQ$18*'Assumption Setting'!$F$164</f>
        <v>3423.3232211619</v>
      </c>
      <c r="AR15" s="65" t="n">
        <f aca="false">'Revenue Streams'!AR$18*'Assumption Setting'!$F$164</f>
        <v>3556.08544485116</v>
      </c>
      <c r="AS15" s="65" t="n">
        <f aca="false">'Revenue Streams'!AS$18*'Assumption Setting'!$F$164</f>
        <v>3688.84766854043</v>
      </c>
      <c r="AT15" s="65" t="n">
        <f aca="false">'Revenue Streams'!AT$18*'Assumption Setting'!$F$164</f>
        <v>3821.6098922297</v>
      </c>
      <c r="AU15" s="65" t="n">
        <f aca="false">'Revenue Streams'!AU$18*'Assumption Setting'!$F$164</f>
        <v>3954.37211591897</v>
      </c>
      <c r="AV15" s="65" t="n">
        <f aca="false">'Revenue Streams'!AV$18*'Assumption Setting'!$F$164</f>
        <v>4087.13433960824</v>
      </c>
      <c r="AW15" s="65" t="n">
        <f aca="false">'Revenue Streams'!AW$18*'Assumption Setting'!$F$164</f>
        <v>4219.89656329751</v>
      </c>
      <c r="AX15" s="65" t="n">
        <f aca="false">'Revenue Streams'!AX$18*'Assumption Setting'!$F$164</f>
        <v>4352.65878698677</v>
      </c>
      <c r="AY15" s="65" t="n">
        <f aca="false">'Revenue Streams'!AY$18*'Assumption Setting'!$F$164</f>
        <v>4476.9257361435</v>
      </c>
      <c r="AZ15" s="65" t="n">
        <f aca="false">'Revenue Streams'!AZ$18*'Assumption Setting'!$F$164</f>
        <v>4601.19268530022</v>
      </c>
      <c r="BA15" s="65" t="n">
        <f aca="false">'Revenue Streams'!BA$18*'Assumption Setting'!$F$164</f>
        <v>4725.45963445695</v>
      </c>
      <c r="BB15" s="64" t="n">
        <f aca="false">SUM(BC15:BN15)</f>
        <v>72546.4314784783</v>
      </c>
      <c r="BC15" s="65" t="n">
        <f aca="false">'Revenue Streams'!BC$18*'Assumption Setting'!$G$164</f>
        <v>5277.64363510899</v>
      </c>
      <c r="BD15" s="65" t="n">
        <f aca="false">'Revenue Streams'!BD$18*'Assumption Setting'!$G$164</f>
        <v>5412.87531507366</v>
      </c>
      <c r="BE15" s="65" t="n">
        <f aca="false">'Revenue Streams'!BE$18*'Assumption Setting'!$G$164</f>
        <v>5552.87399553654</v>
      </c>
      <c r="BF15" s="65" t="n">
        <f aca="false">'Revenue Streams'!BF$18*'Assumption Setting'!$G$164</f>
        <v>5692.87267599943</v>
      </c>
      <c r="BG15" s="65" t="n">
        <f aca="false">'Revenue Streams'!BG$18*'Assumption Setting'!$G$164</f>
        <v>5832.87135646231</v>
      </c>
      <c r="BH15" s="65" t="n">
        <f aca="false">'Revenue Streams'!BH$18*'Assumption Setting'!$G$164</f>
        <v>5972.87003692519</v>
      </c>
      <c r="BI15" s="65" t="n">
        <f aca="false">'Revenue Streams'!BI$18*'Assumption Setting'!$G$164</f>
        <v>6112.86871738808</v>
      </c>
      <c r="BJ15" s="65" t="n">
        <f aca="false">'Revenue Streams'!BJ$18*'Assumption Setting'!$G$164</f>
        <v>6252.86739785096</v>
      </c>
      <c r="BK15" s="65" t="n">
        <f aca="false">'Revenue Streams'!BK$18*'Assumption Setting'!$G$164</f>
        <v>6392.86607831384</v>
      </c>
      <c r="BL15" s="65" t="n">
        <f aca="false">'Revenue Streams'!BL$18*'Assumption Setting'!$G$164</f>
        <v>6537.40341746014</v>
      </c>
      <c r="BM15" s="65" t="n">
        <f aca="false">'Revenue Streams'!BM$18*'Assumption Setting'!$G$164</f>
        <v>6681.94075660643</v>
      </c>
      <c r="BN15" s="65" t="n">
        <f aca="false">'Revenue Streams'!BN$18*'Assumption Setting'!$G$164</f>
        <v>6826.47809575273</v>
      </c>
    </row>
    <row r="16" customFormat="false" ht="15" hidden="false" customHeight="false" outlineLevel="0" collapsed="false">
      <c r="A16" s="12" t="s">
        <v>809</v>
      </c>
      <c r="B16" s="64" t="n">
        <f aca="false">SUM(C16:N16)</f>
        <v>0</v>
      </c>
      <c r="C16" s="65" t="n">
        <f aca="false">'Revenue Streams'!C$14*'Assumption Setting'!$C$165</f>
        <v>0</v>
      </c>
      <c r="D16" s="65" t="n">
        <f aca="false">'Revenue Streams'!D$14*'Assumption Setting'!$C$165</f>
        <v>0</v>
      </c>
      <c r="E16" s="65" t="n">
        <f aca="false">'Revenue Streams'!E$14*'Assumption Setting'!$C$165</f>
        <v>0</v>
      </c>
      <c r="F16" s="65" t="n">
        <f aca="false">'Revenue Streams'!F$14*'Assumption Setting'!$C$165</f>
        <v>0</v>
      </c>
      <c r="G16" s="65" t="n">
        <f aca="false">'Revenue Streams'!G$14*'Assumption Setting'!$C$165</f>
        <v>0</v>
      </c>
      <c r="H16" s="65" t="n">
        <f aca="false">'Revenue Streams'!H$14*'Assumption Setting'!$C$165</f>
        <v>0</v>
      </c>
      <c r="I16" s="65" t="n">
        <f aca="false">'Revenue Streams'!I$14*'Assumption Setting'!$C$165</f>
        <v>0</v>
      </c>
      <c r="J16" s="65" t="n">
        <f aca="false">'Revenue Streams'!J$14*'Assumption Setting'!$C$165</f>
        <v>0</v>
      </c>
      <c r="K16" s="65" t="n">
        <f aca="false">'Revenue Streams'!K$14*'Assumption Setting'!$C$165</f>
        <v>0</v>
      </c>
      <c r="L16" s="65" t="n">
        <f aca="false">'Revenue Streams'!L$14*'Assumption Setting'!$C$165</f>
        <v>0</v>
      </c>
      <c r="M16" s="65" t="n">
        <f aca="false">'Revenue Streams'!M$14*'Assumption Setting'!$C$165</f>
        <v>0</v>
      </c>
      <c r="N16" s="65" t="n">
        <f aca="false">'Revenue Streams'!N$14*'Assumption Setting'!$C$165</f>
        <v>0</v>
      </c>
      <c r="O16" s="64" t="n">
        <f aca="false">SUM(P16:AA16)</f>
        <v>209.615676018394</v>
      </c>
      <c r="P16" s="65" t="n">
        <f aca="false">'Revenue Streams'!P$14*'Assumption Setting'!$D$165</f>
        <v>0</v>
      </c>
      <c r="Q16" s="65" t="n">
        <f aca="false">'Revenue Streams'!Q$14*'Assumption Setting'!$D$165</f>
        <v>0</v>
      </c>
      <c r="R16" s="65" t="n">
        <f aca="false">'Revenue Streams'!R$14*'Assumption Setting'!$D$165</f>
        <v>3.52295253812428</v>
      </c>
      <c r="S16" s="65" t="n">
        <f aca="false">'Revenue Streams'!S$14*'Assumption Setting'!$D$165</f>
        <v>7.39820033006098</v>
      </c>
      <c r="T16" s="65" t="n">
        <f aca="false">'Revenue Streams'!T$14*'Assumption Setting'!$D$165</f>
        <v>11.2734481219977</v>
      </c>
      <c r="U16" s="65" t="n">
        <f aca="false">'Revenue Streams'!U$14*'Assumption Setting'!$D$165</f>
        <v>15.1486959139344</v>
      </c>
      <c r="V16" s="65" t="n">
        <f aca="false">'Revenue Streams'!V$14*'Assumption Setting'!$D$165</f>
        <v>19.0239437058711</v>
      </c>
      <c r="W16" s="65" t="n">
        <f aca="false">'Revenue Streams'!W$14*'Assumption Setting'!$D$165</f>
        <v>22.8991914978078</v>
      </c>
      <c r="X16" s="65" t="n">
        <f aca="false">'Revenue Streams'!X$14*'Assumption Setting'!$D$165</f>
        <v>26.7744392897445</v>
      </c>
      <c r="Y16" s="65" t="n">
        <f aca="false">'Revenue Streams'!Y$14*'Assumption Setting'!$D$165</f>
        <v>30.6496870816812</v>
      </c>
      <c r="Z16" s="65" t="n">
        <f aca="false">'Revenue Streams'!Z$14*'Assumption Setting'!$D$165</f>
        <v>34.5249348736179</v>
      </c>
      <c r="AA16" s="65" t="n">
        <f aca="false">'Revenue Streams'!AA$14*'Assumption Setting'!$D$165</f>
        <v>38.4001826655546</v>
      </c>
      <c r="AB16" s="64" t="n">
        <f aca="false">SUM(AC16:AN16)</f>
        <v>972.354732318399</v>
      </c>
      <c r="AC16" s="65" t="n">
        <f aca="false">'Revenue Streams'!AC$14*'Assumption Setting'!$E$165</f>
        <v>47.5598592646777</v>
      </c>
      <c r="AD16" s="65" t="n">
        <f aca="false">'Revenue Streams'!AD$14*'Assumption Setting'!$E$165</f>
        <v>51.9195130306065</v>
      </c>
      <c r="AE16" s="65" t="n">
        <f aca="false">'Revenue Streams'!AE$14*'Assumption Setting'!$E$165</f>
        <v>58.6158296861081</v>
      </c>
      <c r="AF16" s="65" t="n">
        <f aca="false">'Revenue Streams'!AF$14*'Assumption Setting'!$E$165</f>
        <v>65.9209024012006</v>
      </c>
      <c r="AG16" s="65" t="n">
        <f aca="false">'Revenue Streams'!AG$14*'Assumption Setting'!$E$165</f>
        <v>73.2259751162932</v>
      </c>
      <c r="AH16" s="65" t="n">
        <f aca="false">'Revenue Streams'!AH$14*'Assumption Setting'!$E$165</f>
        <v>80.5310478313858</v>
      </c>
      <c r="AI16" s="65" t="n">
        <f aca="false">'Revenue Streams'!AI$14*'Assumption Setting'!$E$165</f>
        <v>87.8361205464784</v>
      </c>
      <c r="AJ16" s="65" t="n">
        <f aca="false">'Revenue Streams'!AJ$14*'Assumption Setting'!$E$165</f>
        <v>95.141193261571</v>
      </c>
      <c r="AK16" s="65" t="n">
        <f aca="false">'Revenue Streams'!AK$14*'Assumption Setting'!$E$165</f>
        <v>98.4829443712738</v>
      </c>
      <c r="AL16" s="65" t="n">
        <f aca="false">'Revenue Streams'!AL$14*'Assumption Setting'!$E$165</f>
        <v>101.428363320438</v>
      </c>
      <c r="AM16" s="65" t="n">
        <f aca="false">'Revenue Streams'!AM$14*'Assumption Setting'!$E$165</f>
        <v>104.373782269601</v>
      </c>
      <c r="AN16" s="65" t="n">
        <f aca="false">'Revenue Streams'!AN$14*'Assumption Setting'!$E$165</f>
        <v>107.319201218765</v>
      </c>
      <c r="AO16" s="64" t="n">
        <f aca="false">SUM(AP16:BA16)</f>
        <v>1854.56674190829</v>
      </c>
      <c r="AP16" s="65" t="n">
        <f aca="false">'Revenue Streams'!AP$14*'Assumption Setting'!$F$165</f>
        <v>119.453338515256</v>
      </c>
      <c r="AQ16" s="65" t="n">
        <f aca="false">'Revenue Streams'!AQ$14*'Assumption Setting'!$F$165</f>
        <v>122.644209043517</v>
      </c>
      <c r="AR16" s="65" t="n">
        <f aca="false">'Revenue Streams'!AR$14*'Assumption Setting'!$F$165</f>
        <v>129.790447629188</v>
      </c>
      <c r="AS16" s="65" t="n">
        <f aca="false">'Revenue Streams'!AS$14*'Assumption Setting'!$F$165</f>
        <v>137.431236082862</v>
      </c>
      <c r="AT16" s="65" t="n">
        <f aca="false">'Revenue Streams'!AT$14*'Assumption Setting'!$F$165</f>
        <v>145.072024536537</v>
      </c>
      <c r="AU16" s="65" t="n">
        <f aca="false">'Revenue Streams'!AU$14*'Assumption Setting'!$F$165</f>
        <v>152.712812990212</v>
      </c>
      <c r="AV16" s="65" t="n">
        <f aca="false">'Revenue Streams'!AV$14*'Assumption Setting'!$F$165</f>
        <v>160.353601443886</v>
      </c>
      <c r="AW16" s="65" t="n">
        <f aca="false">'Revenue Streams'!AW$14*'Assumption Setting'!$F$165</f>
        <v>167.994389897561</v>
      </c>
      <c r="AX16" s="65" t="n">
        <f aca="false">'Revenue Streams'!AX$14*'Assumption Setting'!$F$165</f>
        <v>173.103793554198</v>
      </c>
      <c r="AY16" s="65" t="n">
        <f aca="false">'Revenue Streams'!AY$14*'Assumption Setting'!$F$165</f>
        <v>177.553711479612</v>
      </c>
      <c r="AZ16" s="65" t="n">
        <f aca="false">'Revenue Streams'!AZ$14*'Assumption Setting'!$F$165</f>
        <v>182.003629405026</v>
      </c>
      <c r="BA16" s="65" t="n">
        <f aca="false">'Revenue Streams'!BA$14*'Assumption Setting'!$F$165</f>
        <v>186.453547330439</v>
      </c>
      <c r="BB16" s="64" t="n">
        <f aca="false">SUM(BC16:BN16)</f>
        <v>2986.05070076071</v>
      </c>
      <c r="BC16" s="65" t="n">
        <f aca="false">'Revenue Streams'!BC$14*'Assumption Setting'!$G$165</f>
        <v>205.588347198611</v>
      </c>
      <c r="BD16" s="65" t="n">
        <f aca="false">'Revenue Streams'!BD$14*'Assumption Setting'!$G$165</f>
        <v>210.380566502903</v>
      </c>
      <c r="BE16" s="65" t="n">
        <f aca="false">'Revenue Streams'!BE$14*'Assumption Setting'!$G$165</f>
        <v>219.125765335812</v>
      </c>
      <c r="BF16" s="65" t="n">
        <f aca="false">'Revenue Streams'!BF$14*'Assumption Setting'!$G$165</f>
        <v>228.561675515408</v>
      </c>
      <c r="BG16" s="65" t="n">
        <f aca="false">'Revenue Streams'!BG$14*'Assumption Setting'!$G$165</f>
        <v>237.997585695004</v>
      </c>
      <c r="BH16" s="65" t="n">
        <f aca="false">'Revenue Streams'!BH$14*'Assumption Setting'!$G$165</f>
        <v>247.4334958746</v>
      </c>
      <c r="BI16" s="65" t="n">
        <f aca="false">'Revenue Streams'!BI$14*'Assumption Setting'!$G$165</f>
        <v>256.869406054197</v>
      </c>
      <c r="BJ16" s="65" t="n">
        <f aca="false">'Revenue Streams'!BJ$14*'Assumption Setting'!$G$165</f>
        <v>266.305316233793</v>
      </c>
      <c r="BK16" s="65" t="n">
        <f aca="false">'Revenue Streams'!BK$14*'Assumption Setting'!$G$165</f>
        <v>271.48159927464</v>
      </c>
      <c r="BL16" s="65" t="n">
        <f aca="false">'Revenue Streams'!BL$14*'Assumption Setting'!$G$165</f>
        <v>276.125290149944</v>
      </c>
      <c r="BM16" s="65" t="n">
        <f aca="false">'Revenue Streams'!BM$14*'Assumption Setting'!$G$165</f>
        <v>280.768981025249</v>
      </c>
      <c r="BN16" s="65" t="n">
        <f aca="false">'Revenue Streams'!BN$14*'Assumption Setting'!$G$165</f>
        <v>285.412671900553</v>
      </c>
    </row>
    <row r="17" customFormat="false" ht="15" hidden="false" customHeight="false" outlineLevel="0" collapsed="false">
      <c r="A17" s="12" t="s">
        <v>810</v>
      </c>
      <c r="B17" s="64" t="n">
        <f aca="false">SUM(C17:N17)</f>
        <v>0</v>
      </c>
      <c r="C17" s="65" t="n">
        <f aca="false">'Revenue Streams'!C$13*'Assumption Setting'!$C$166</f>
        <v>0</v>
      </c>
      <c r="D17" s="65" t="n">
        <f aca="false">'Revenue Streams'!D$13*'Assumption Setting'!$C$166</f>
        <v>0</v>
      </c>
      <c r="E17" s="65" t="n">
        <f aca="false">'Revenue Streams'!E$13*'Assumption Setting'!$C$166</f>
        <v>0</v>
      </c>
      <c r="F17" s="65" t="n">
        <f aca="false">'Revenue Streams'!F$13*'Assumption Setting'!$C$166</f>
        <v>0</v>
      </c>
      <c r="G17" s="65" t="n">
        <f aca="false">'Revenue Streams'!G$13*'Assumption Setting'!$C$166</f>
        <v>0</v>
      </c>
      <c r="H17" s="65" t="n">
        <f aca="false">'Revenue Streams'!H$13*'Assumption Setting'!$C$166</f>
        <v>0</v>
      </c>
      <c r="I17" s="65" t="n">
        <f aca="false">'Revenue Streams'!I$13*'Assumption Setting'!$C$166</f>
        <v>0</v>
      </c>
      <c r="J17" s="65" t="n">
        <f aca="false">'Revenue Streams'!J$13*'Assumption Setting'!$C$166</f>
        <v>0</v>
      </c>
      <c r="K17" s="65" t="n">
        <f aca="false">'Revenue Streams'!K$13*'Assumption Setting'!$C$166</f>
        <v>0</v>
      </c>
      <c r="L17" s="65" t="n">
        <f aca="false">'Revenue Streams'!L$13*'Assumption Setting'!$C$166</f>
        <v>0</v>
      </c>
      <c r="M17" s="65" t="n">
        <f aca="false">'Revenue Streams'!M$13*'Assumption Setting'!$C$166</f>
        <v>0</v>
      </c>
      <c r="N17" s="65" t="n">
        <f aca="false">'Revenue Streams'!N$13*'Assumption Setting'!$C$166</f>
        <v>0</v>
      </c>
      <c r="O17" s="64" t="n">
        <f aca="false">SUM(P17:AA17)</f>
        <v>3362.58480279508</v>
      </c>
      <c r="P17" s="65" t="n">
        <f aca="false">'Revenue Streams'!P$13*'Assumption Setting'!$D$166</f>
        <v>0</v>
      </c>
      <c r="Q17" s="65" t="n">
        <f aca="false">'Revenue Streams'!Q$13*'Assumption Setting'!$D$166</f>
        <v>0</v>
      </c>
      <c r="R17" s="65" t="n">
        <f aca="false">'Revenue Streams'!R$13*'Assumption Setting'!$D$166</f>
        <v>56.5140302990769</v>
      </c>
      <c r="S17" s="65" t="n">
        <f aca="false">'Revenue Streams'!S$13*'Assumption Setting'!$D$166</f>
        <v>118.679463628062</v>
      </c>
      <c r="T17" s="65" t="n">
        <f aca="false">'Revenue Streams'!T$13*'Assumption Setting'!$D$166</f>
        <v>180.844896957046</v>
      </c>
      <c r="U17" s="65" t="n">
        <f aca="false">'Revenue Streams'!U$13*'Assumption Setting'!$D$166</f>
        <v>243.010330286031</v>
      </c>
      <c r="V17" s="65" t="n">
        <f aca="false">'Revenue Streams'!V$13*'Assumption Setting'!$D$166</f>
        <v>305.175763615015</v>
      </c>
      <c r="W17" s="65" t="n">
        <f aca="false">'Revenue Streams'!W$13*'Assumption Setting'!$D$166</f>
        <v>367.341196944</v>
      </c>
      <c r="X17" s="65" t="n">
        <f aca="false">'Revenue Streams'!X$13*'Assumption Setting'!$D$166</f>
        <v>429.506630272985</v>
      </c>
      <c r="Y17" s="65" t="n">
        <f aca="false">'Revenue Streams'!Y$13*'Assumption Setting'!$D$166</f>
        <v>491.672063601969</v>
      </c>
      <c r="Z17" s="65" t="n">
        <f aca="false">'Revenue Streams'!Z$13*'Assumption Setting'!$D$166</f>
        <v>553.837496930954</v>
      </c>
      <c r="AA17" s="65" t="n">
        <f aca="false">'Revenue Streams'!AA$13*'Assumption Setting'!$D$166</f>
        <v>616.002930259939</v>
      </c>
      <c r="AB17" s="64" t="n">
        <f aca="false">SUM(AC17:AN17)</f>
        <v>13149.1881284236</v>
      </c>
      <c r="AC17" s="65" t="n">
        <f aca="false">'Revenue Streams'!AC$13*'Assumption Setting'!$E$166</f>
        <v>616.516694171748</v>
      </c>
      <c r="AD17" s="65" t="n">
        <f aca="false">'Revenue Streams'!AD$13*'Assumption Setting'!$E$166</f>
        <v>673.030724470825</v>
      </c>
      <c r="AE17" s="65" t="n">
        <f aca="false">'Revenue Streams'!AE$13*'Assumption Setting'!$E$166</f>
        <v>759.834829264364</v>
      </c>
      <c r="AF17" s="65" t="n">
        <f aca="false">'Revenue Streams'!AF$13*'Assumption Setting'!$E$166</f>
        <v>854.53021631186</v>
      </c>
      <c r="AG17" s="65" t="n">
        <f aca="false">'Revenue Streams'!AG$13*'Assumption Setting'!$E$166</f>
        <v>949.225603359357</v>
      </c>
      <c r="AH17" s="65" t="n">
        <f aca="false">'Revenue Streams'!AH$13*'Assumption Setting'!$E$166</f>
        <v>1043.92099040685</v>
      </c>
      <c r="AI17" s="65" t="n">
        <f aca="false">'Revenue Streams'!AI$13*'Assumption Setting'!$E$166</f>
        <v>1138.61637745435</v>
      </c>
      <c r="AJ17" s="65" t="n">
        <f aca="false">'Revenue Streams'!AJ$13*'Assumption Setting'!$E$166</f>
        <v>1233.31176450185</v>
      </c>
      <c r="AK17" s="65" t="n">
        <f aca="false">'Revenue Streams'!AK$13*'Assumption Setting'!$E$166</f>
        <v>1328.00715154934</v>
      </c>
      <c r="AL17" s="65" t="n">
        <f aca="false">'Revenue Streams'!AL$13*'Assumption Setting'!$E$166</f>
        <v>1422.70253859684</v>
      </c>
      <c r="AM17" s="65" t="n">
        <f aca="false">'Revenue Streams'!AM$13*'Assumption Setting'!$E$166</f>
        <v>1517.39792564434</v>
      </c>
      <c r="AN17" s="65" t="n">
        <f aca="false">'Revenue Streams'!AN$13*'Assumption Setting'!$E$166</f>
        <v>1612.09331269183</v>
      </c>
      <c r="AO17" s="64" t="n">
        <f aca="false">SUM(AP17:BA17)</f>
        <v>24553.0762564506</v>
      </c>
      <c r="AP17" s="65" t="n">
        <f aca="false">'Revenue Streams'!AP$13*'Assumption Setting'!$F$166</f>
        <v>1578.77954725888</v>
      </c>
      <c r="AQ17" s="65" t="n">
        <f aca="false">'Revenue Streams'!AQ$13*'Assumption Setting'!$F$166</f>
        <v>1666.37278027781</v>
      </c>
      <c r="AR17" s="65" t="n">
        <f aca="false">'Revenue Streams'!AR$13*'Assumption Setting'!$F$166</f>
        <v>1750.2223526026</v>
      </c>
      <c r="AS17" s="65" t="n">
        <f aca="false">'Revenue Streams'!AS$13*'Assumption Setting'!$F$166</f>
        <v>1834.79347266677</v>
      </c>
      <c r="AT17" s="65" t="n">
        <f aca="false">'Revenue Streams'!AT$13*'Assumption Setting'!$F$166</f>
        <v>1919.36459273095</v>
      </c>
      <c r="AU17" s="65" t="n">
        <f aca="false">'Revenue Streams'!AU$13*'Assumption Setting'!$F$166</f>
        <v>2003.93571279512</v>
      </c>
      <c r="AV17" s="65" t="n">
        <f aca="false">'Revenue Streams'!AV$13*'Assumption Setting'!$F$166</f>
        <v>2088.5068328593</v>
      </c>
      <c r="AW17" s="65" t="n">
        <f aca="false">'Revenue Streams'!AW$13*'Assumption Setting'!$F$166</f>
        <v>2173.07795292347</v>
      </c>
      <c r="AX17" s="65" t="n">
        <f aca="false">'Revenue Streams'!AX$13*'Assumption Setting'!$F$166</f>
        <v>2257.64907298765</v>
      </c>
      <c r="AY17" s="65" t="n">
        <f aca="false">'Revenue Streams'!AY$13*'Assumption Setting'!$F$166</f>
        <v>2342.22019305182</v>
      </c>
      <c r="AZ17" s="65" t="n">
        <f aca="false">'Revenue Streams'!AZ$13*'Assumption Setting'!$F$166</f>
        <v>2426.791313116</v>
      </c>
      <c r="BA17" s="65" t="n">
        <f aca="false">'Revenue Streams'!BA$13*'Assumption Setting'!$F$166</f>
        <v>2511.36243318018</v>
      </c>
      <c r="BB17" s="64" t="n">
        <f aca="false">SUM(BC17:BN17)</f>
        <v>35394.8377251016</v>
      </c>
      <c r="BC17" s="65" t="n">
        <f aca="false">'Revenue Streams'!BC$13*'Assumption Setting'!$G$166</f>
        <v>2455.61282063655</v>
      </c>
      <c r="BD17" s="65" t="n">
        <f aca="false">'Revenue Streams'!BD$13*'Assumption Setting'!$G$166</f>
        <v>2535.61252880536</v>
      </c>
      <c r="BE17" s="65" t="n">
        <f aca="false">'Revenue Streams'!BE$13*'Assumption Setting'!$G$166</f>
        <v>2627.54016720863</v>
      </c>
      <c r="BF17" s="65" t="n">
        <f aca="false">'Revenue Streams'!BF$13*'Assumption Setting'!$G$166</f>
        <v>2719.2781828436</v>
      </c>
      <c r="BG17" s="65" t="n">
        <f aca="false">'Revenue Streams'!BG$13*'Assumption Setting'!$G$166</f>
        <v>2811.01619847856</v>
      </c>
      <c r="BH17" s="65" t="n">
        <f aca="false">'Revenue Streams'!BH$13*'Assumption Setting'!$G$166</f>
        <v>2902.75421411352</v>
      </c>
      <c r="BI17" s="65" t="n">
        <f aca="false">'Revenue Streams'!BI$13*'Assumption Setting'!$G$166</f>
        <v>2994.49222974849</v>
      </c>
      <c r="BJ17" s="65" t="n">
        <f aca="false">'Revenue Streams'!BJ$13*'Assumption Setting'!$G$166</f>
        <v>3086.23024538345</v>
      </c>
      <c r="BK17" s="65" t="n">
        <f aca="false">'Revenue Streams'!BK$13*'Assumption Setting'!$G$166</f>
        <v>3177.96826101841</v>
      </c>
      <c r="BL17" s="65" t="n">
        <f aca="false">'Revenue Streams'!BL$13*'Assumption Setting'!$G$166</f>
        <v>3269.70627665338</v>
      </c>
      <c r="BM17" s="65" t="n">
        <f aca="false">'Revenue Streams'!BM$13*'Assumption Setting'!$G$166</f>
        <v>3361.44429228834</v>
      </c>
      <c r="BN17" s="65" t="n">
        <f aca="false">'Revenue Streams'!BN$13*'Assumption Setting'!$G$166</f>
        <v>3453.1823079233</v>
      </c>
    </row>
    <row r="18" customFormat="false" ht="15" hidden="false" customHeight="false" outlineLevel="0" collapsed="false">
      <c r="A18" s="12" t="s">
        <v>811</v>
      </c>
      <c r="B18" s="64" t="n">
        <f aca="false">SUM(C18:N18)</f>
        <v>1542.60152723003</v>
      </c>
      <c r="C18" s="65" t="n">
        <f aca="false">'Revenue Streams'!C$19*'Assumption Setting'!$C$167</f>
        <v>41.25</v>
      </c>
      <c r="D18" s="65" t="n">
        <f aca="false">'Revenue Streams'!D$19*'Assumption Setting'!$C$167</f>
        <v>66</v>
      </c>
      <c r="E18" s="65" t="n">
        <f aca="false">'Revenue Streams'!E$19*'Assumption Setting'!$C$167</f>
        <v>82.5</v>
      </c>
      <c r="F18" s="65" t="n">
        <f aca="false">'Revenue Streams'!F$19*'Assumption Setting'!$C$167</f>
        <v>82.5</v>
      </c>
      <c r="G18" s="65" t="n">
        <f aca="false">'Revenue Streams'!G$19*'Assumption Setting'!$C$167</f>
        <v>99.4542090897231</v>
      </c>
      <c r="H18" s="65" t="n">
        <f aca="false">'Revenue Streams'!H$19*'Assumption Setting'!$C$167</f>
        <v>116.408418179446</v>
      </c>
      <c r="I18" s="65" t="n">
        <f aca="false">'Revenue Streams'!I$19*'Assumption Setting'!$C$167</f>
        <v>133.362627269169</v>
      </c>
      <c r="J18" s="65" t="n">
        <f aca="false">'Revenue Streams'!J$19*'Assumption Setting'!$C$167</f>
        <v>150.316836358892</v>
      </c>
      <c r="K18" s="65" t="n">
        <f aca="false">'Revenue Streams'!K$19*'Assumption Setting'!$C$167</f>
        <v>167.271045448615</v>
      </c>
      <c r="L18" s="65" t="n">
        <f aca="false">'Revenue Streams'!L$19*'Assumption Setting'!$C$167</f>
        <v>184.225254538338</v>
      </c>
      <c r="M18" s="65" t="n">
        <f aca="false">'Revenue Streams'!M$19*'Assumption Setting'!$C$167</f>
        <v>201.179463628062</v>
      </c>
      <c r="N18" s="65" t="n">
        <f aca="false">'Revenue Streams'!N$19*'Assumption Setting'!$C$167</f>
        <v>218.133672717785</v>
      </c>
      <c r="O18" s="64" t="n">
        <f aca="false">SUM(P18:AA18)</f>
        <v>4411.77624659819</v>
      </c>
      <c r="P18" s="65" t="n">
        <f aca="false">'Revenue Streams'!P$19*'Assumption Setting'!$C$167</f>
        <v>235.087881807508</v>
      </c>
      <c r="Q18" s="65" t="n">
        <f aca="false">'Revenue Streams'!Q$19*'Assumption Setting'!$C$167</f>
        <v>253.737511806203</v>
      </c>
      <c r="R18" s="65" t="n">
        <f aca="false">'Revenue Streams'!R$19*'Assumption Setting'!$C$167</f>
        <v>272.387141804899</v>
      </c>
      <c r="S18" s="65" t="n">
        <f aca="false">'Revenue Streams'!S$19*'Assumption Setting'!$C$167</f>
        <v>291.036771803594</v>
      </c>
      <c r="T18" s="65" t="n">
        <f aca="false">'Revenue Streams'!T$19*'Assumption Setting'!$C$167</f>
        <v>319.682126385462</v>
      </c>
      <c r="U18" s="65" t="n">
        <f aca="false">'Revenue Streams'!U$19*'Assumption Setting'!$C$167</f>
        <v>348.327480967329</v>
      </c>
      <c r="V18" s="65" t="n">
        <f aca="false">'Revenue Streams'!V$19*'Assumption Setting'!$C$167</f>
        <v>376.972835549197</v>
      </c>
      <c r="W18" s="65" t="n">
        <f aca="false">'Revenue Streams'!W$19*'Assumption Setting'!$C$167</f>
        <v>405.618190131065</v>
      </c>
      <c r="X18" s="65" t="n">
        <f aca="false">'Revenue Streams'!X$19*'Assumption Setting'!$C$167</f>
        <v>434.263544712932</v>
      </c>
      <c r="Y18" s="65" t="n">
        <f aca="false">'Revenue Streams'!Y$19*'Assumption Setting'!$C$167</f>
        <v>462.9088992948</v>
      </c>
      <c r="Z18" s="65" t="n">
        <f aca="false">'Revenue Streams'!Z$19*'Assumption Setting'!$C$167</f>
        <v>491.554253876668</v>
      </c>
      <c r="AA18" s="65" t="n">
        <f aca="false">'Revenue Streams'!AA$19*'Assumption Setting'!$C$167</f>
        <v>520.199608458535</v>
      </c>
      <c r="AB18" s="64" t="n">
        <f aca="false">SUM(AC18:AN18)</f>
        <v>7668.27434146416</v>
      </c>
      <c r="AC18" s="65" t="n">
        <f aca="false">'Revenue Streams'!AC$19*'Assumption Setting'!$C$167</f>
        <v>507.594963040403</v>
      </c>
      <c r="AD18" s="65" t="n">
        <f aca="false">'Revenue Streams'!AD$19*'Assumption Setting'!$C$167</f>
        <v>514.094440766077</v>
      </c>
      <c r="AE18" s="65" t="n">
        <f aca="false">'Revenue Streams'!AE$19*'Assumption Setting'!$C$167</f>
        <v>528.843918491751</v>
      </c>
      <c r="AF18" s="65" t="n">
        <f aca="false">'Revenue Streams'!AF$19*'Assumption Setting'!$C$167</f>
        <v>560.093396217425</v>
      </c>
      <c r="AG18" s="65" t="n">
        <f aca="false">'Revenue Streams'!AG$19*'Assumption Setting'!$C$167</f>
        <v>590.007297695455</v>
      </c>
      <c r="AH18" s="65" t="n">
        <f aca="false">'Revenue Streams'!AH$19*'Assumption Setting'!$C$167</f>
        <v>619.921199173486</v>
      </c>
      <c r="AI18" s="65" t="n">
        <f aca="false">'Revenue Streams'!AI$19*'Assumption Setting'!$C$167</f>
        <v>649.835100651517</v>
      </c>
      <c r="AJ18" s="65" t="n">
        <f aca="false">'Revenue Streams'!AJ$19*'Assumption Setting'!$C$167</f>
        <v>679.749002129548</v>
      </c>
      <c r="AK18" s="65" t="n">
        <f aca="false">'Revenue Streams'!AK$19*'Assumption Setting'!$C$167</f>
        <v>709.662903607579</v>
      </c>
      <c r="AL18" s="65" t="n">
        <f aca="false">'Revenue Streams'!AL$19*'Assumption Setting'!$C$167</f>
        <v>739.576805085609</v>
      </c>
      <c r="AM18" s="65" t="n">
        <f aca="false">'Revenue Streams'!AM$19*'Assumption Setting'!$C$167</f>
        <v>769.49070656364</v>
      </c>
      <c r="AN18" s="65" t="n">
        <f aca="false">'Revenue Streams'!AN$19*'Assumption Setting'!$C$167</f>
        <v>799.404608041671</v>
      </c>
      <c r="AO18" s="64" t="n">
        <f aca="false">SUM(AP18:BA18)</f>
        <v>12105.0763486389</v>
      </c>
      <c r="AP18" s="65" t="n">
        <f aca="false">'Revenue Streams'!AP$19*'Assumption Setting'!$C$167</f>
        <v>829.318509519702</v>
      </c>
      <c r="AQ18" s="65" t="n">
        <f aca="false">'Revenue Streams'!AQ$19*'Assumption Setting'!$C$167</f>
        <v>859.489828029083</v>
      </c>
      <c r="AR18" s="65" t="n">
        <f aca="false">'Revenue Streams'!AR$19*'Assumption Setting'!$C$167</f>
        <v>889.661146538465</v>
      </c>
      <c r="AS18" s="65" t="n">
        <f aca="false">'Revenue Streams'!AS$19*'Assumption Setting'!$C$167</f>
        <v>919.832465047846</v>
      </c>
      <c r="AT18" s="65" t="n">
        <f aca="false">'Revenue Streams'!AT$19*'Assumption Setting'!$C$167</f>
        <v>954.502317245651</v>
      </c>
      <c r="AU18" s="65" t="n">
        <f aca="false">'Revenue Streams'!AU$19*'Assumption Setting'!$C$167</f>
        <v>989.172169443457</v>
      </c>
      <c r="AV18" s="65" t="n">
        <f aca="false">'Revenue Streams'!AV$19*'Assumption Setting'!$C$167</f>
        <v>1023.84202164126</v>
      </c>
      <c r="AW18" s="65" t="n">
        <f aca="false">'Revenue Streams'!AW$19*'Assumption Setting'!$C$167</f>
        <v>1058.51187383907</v>
      </c>
      <c r="AX18" s="65" t="n">
        <f aca="false">'Revenue Streams'!AX$19*'Assumption Setting'!$C$167</f>
        <v>1093.18172603687</v>
      </c>
      <c r="AY18" s="65" t="n">
        <f aca="false">'Revenue Streams'!AY$19*'Assumption Setting'!$C$167</f>
        <v>1127.85157823468</v>
      </c>
      <c r="AZ18" s="65" t="n">
        <f aca="false">'Revenue Streams'!AZ$19*'Assumption Setting'!$C$167</f>
        <v>1162.52143043248</v>
      </c>
      <c r="BA18" s="65" t="n">
        <f aca="false">'Revenue Streams'!BA$19*'Assumption Setting'!$C$167</f>
        <v>1197.19128263029</v>
      </c>
      <c r="BB18" s="64" t="n">
        <f aca="false">SUM(BC18:BN18)</f>
        <v>17045.2183619083</v>
      </c>
      <c r="BC18" s="65" t="n">
        <f aca="false">'Revenue Streams'!BC$19*'Assumption Setting'!$C$167</f>
        <v>1231.86113482809</v>
      </c>
      <c r="BD18" s="65" t="n">
        <f aca="false">'Revenue Streams'!BD$19*'Assumption Setting'!$C$167</f>
        <v>1266.45947215328</v>
      </c>
      <c r="BE18" s="65" t="n">
        <f aca="false">'Revenue Streams'!BE$19*'Assumption Setting'!$C$167</f>
        <v>1301.05780947847</v>
      </c>
      <c r="BF18" s="65" t="n">
        <f aca="false">'Revenue Streams'!BF$19*'Assumption Setting'!$C$167</f>
        <v>1335.65614680365</v>
      </c>
      <c r="BG18" s="65" t="n">
        <f aca="false">'Revenue Streams'!BG$19*'Assumption Setting'!$C$167</f>
        <v>1369.68210858742</v>
      </c>
      <c r="BH18" s="65" t="n">
        <f aca="false">'Revenue Streams'!BH$19*'Assumption Setting'!$C$167</f>
        <v>1403.70807037118</v>
      </c>
      <c r="BI18" s="65" t="n">
        <f aca="false">'Revenue Streams'!BI$19*'Assumption Setting'!$C$167</f>
        <v>1437.73403215495</v>
      </c>
      <c r="BJ18" s="65" t="n">
        <f aca="false">'Revenue Streams'!BJ$19*'Assumption Setting'!$C$167</f>
        <v>1471.75999393872</v>
      </c>
      <c r="BK18" s="65" t="n">
        <f aca="false">'Revenue Streams'!BK$19*'Assumption Setting'!$C$167</f>
        <v>1505.78595572248</v>
      </c>
      <c r="BL18" s="65" t="n">
        <f aca="false">'Revenue Streams'!BL$19*'Assumption Setting'!$C$167</f>
        <v>1539.81191750625</v>
      </c>
      <c r="BM18" s="65" t="n">
        <f aca="false">'Revenue Streams'!BM$19*'Assumption Setting'!$C$167</f>
        <v>1573.83787929002</v>
      </c>
      <c r="BN18" s="65" t="n">
        <f aca="false">'Revenue Streams'!BN$19*'Assumption Setting'!$C$167</f>
        <v>1607.86384107378</v>
      </c>
    </row>
    <row r="19" customFormat="false" ht="15" hidden="false" customHeight="false" outlineLevel="0" collapsed="false">
      <c r="A19" s="12" t="s">
        <v>812</v>
      </c>
      <c r="B19" s="64" t="n">
        <f aca="false">SUM(C19:N19)</f>
        <v>74.1454263771333</v>
      </c>
      <c r="C19" s="65" t="n">
        <f aca="false">Acquisitions!C$149*'Assumption Setting'!$C$168</f>
        <v>3.28055634531069</v>
      </c>
      <c r="D19" s="65" t="n">
        <f aca="false">Acquisitions!D$149*'Assumption Setting'!$C$168</f>
        <v>3.63390430990274</v>
      </c>
      <c r="E19" s="65" t="n">
        <f aca="false">Acquisitions!E$149*'Assumption Setting'!$C$168</f>
        <v>4.06580139661926</v>
      </c>
      <c r="F19" s="65" t="n">
        <f aca="false">Acquisitions!F$149*'Assumption Setting'!$C$168</f>
        <v>4.4717846581328</v>
      </c>
      <c r="G19" s="65" t="n">
        <f aca="false">Acquisitions!G$149*'Assumption Setting'!$C$168</f>
        <v>4.90195961362154</v>
      </c>
      <c r="H19" s="65" t="n">
        <f aca="false">Acquisitions!H$149*'Assumption Setting'!$C$168</f>
        <v>5.35487476144699</v>
      </c>
      <c r="I19" s="65" t="n">
        <f aca="false">Acquisitions!I$149*'Assumption Setting'!$C$168</f>
        <v>5.93849465050206</v>
      </c>
      <c r="J19" s="65" t="n">
        <f aca="false">Acquisitions!J$149*'Assumption Setting'!$C$168</f>
        <v>6.64497699631297</v>
      </c>
      <c r="K19" s="65" t="n">
        <f aca="false">Acquisitions!K$149*'Assumption Setting'!$C$168</f>
        <v>7.46695005147438</v>
      </c>
      <c r="L19" s="65" t="n">
        <f aca="false">Acquisitions!L$149*'Assumption Setting'!$C$168</f>
        <v>8.39748437342525</v>
      </c>
      <c r="M19" s="65" t="n">
        <f aca="false">Acquisitions!M$149*'Assumption Setting'!$C$168</f>
        <v>9.43006628615822</v>
      </c>
      <c r="N19" s="65" t="n">
        <f aca="false">Acquisitions!N$149*'Assumption Setting'!$C$168</f>
        <v>10.5585729342264</v>
      </c>
      <c r="O19" s="64" t="n">
        <f aca="false">SUM(P19:AA19)</f>
        <v>347.738494376385</v>
      </c>
      <c r="P19" s="65" t="n">
        <f aca="false">Acquisitions!P$149*'Assumption Setting'!$C$168</f>
        <v>12.5821710665099</v>
      </c>
      <c r="Q19" s="65" t="n">
        <f aca="false">Acquisitions!Q$149*'Assumption Setting'!$C$168</f>
        <v>14.6820966368214</v>
      </c>
      <c r="R19" s="65" t="n">
        <f aca="false">Acquisitions!R$149*'Assumption Setting'!$C$168</f>
        <v>17.0429918898131</v>
      </c>
      <c r="S19" s="65" t="n">
        <f aca="false">Acquisitions!S$149*'Assumption Setting'!$C$168</f>
        <v>19.6828851166936</v>
      </c>
      <c r="T19" s="65" t="n">
        <f aca="false">Acquisitions!T$149*'Assumption Setting'!$C$168</f>
        <v>22.6177497194838</v>
      </c>
      <c r="U19" s="65" t="n">
        <f aca="false">Acquisitions!U$149*'Assumption Setting'!$C$168</f>
        <v>25.829887415629</v>
      </c>
      <c r="V19" s="65" t="n">
        <f aca="false">Acquisitions!V$149*'Assumption Setting'!$C$168</f>
        <v>29.2887322383113</v>
      </c>
      <c r="W19" s="65" t="n">
        <f aca="false">Acquisitions!W$149*'Assumption Setting'!$C$168</f>
        <v>32.9794817599384</v>
      </c>
      <c r="X19" s="65" t="n">
        <f aca="false">Acquisitions!X$149*'Assumption Setting'!$C$168</f>
        <v>36.8882216985737</v>
      </c>
      <c r="Y19" s="65" t="n">
        <f aca="false">Acquisitions!Y$149*'Assumption Setting'!$C$168</f>
        <v>41.0058709190299</v>
      </c>
      <c r="Z19" s="65" t="n">
        <f aca="false">Acquisitions!Z$149*'Assumption Setting'!$C$168</f>
        <v>45.3198948643978</v>
      </c>
      <c r="AA19" s="65" t="n">
        <f aca="false">Acquisitions!AA$149*'Assumption Setting'!$C$168</f>
        <v>49.8185110511827</v>
      </c>
      <c r="AB19" s="64" t="n">
        <f aca="false">SUM(AC19:AN19)</f>
        <v>1135.95308160913</v>
      </c>
      <c r="AC19" s="65" t="n">
        <f aca="false">Acquisitions!AC$149*'Assumption Setting'!$C$168</f>
        <v>56.1198419104752</v>
      </c>
      <c r="AD19" s="65" t="n">
        <f aca="false">Acquisitions!AD$149*'Assumption Setting'!$C$168</f>
        <v>62.3547798861938</v>
      </c>
      <c r="AE19" s="65" t="n">
        <f aca="false">Acquisitions!AE$149*'Assumption Setting'!$C$168</f>
        <v>68.720544441056</v>
      </c>
      <c r="AF19" s="65" t="n">
        <f aca="false">Acquisitions!AF$149*'Assumption Setting'!$C$168</f>
        <v>75.3810417157225</v>
      </c>
      <c r="AG19" s="65" t="n">
        <f aca="false">Acquisitions!AG$149*'Assumption Setting'!$C$168</f>
        <v>82.3136703980932</v>
      </c>
      <c r="AH19" s="65" t="n">
        <f aca="false">Acquisitions!AH$149*'Assumption Setting'!$C$168</f>
        <v>89.5021026037059</v>
      </c>
      <c r="AI19" s="65" t="n">
        <f aca="false">Acquisitions!AI$149*'Assumption Setting'!$C$168</f>
        <v>96.9546470439684</v>
      </c>
      <c r="AJ19" s="65" t="n">
        <f aca="false">Acquisitions!AJ$149*'Assumption Setting'!$C$168</f>
        <v>104.655456984802</v>
      </c>
      <c r="AK19" s="65" t="n">
        <f aca="false">Acquisitions!AK$149*'Assumption Setting'!$C$168</f>
        <v>112.589636496171</v>
      </c>
      <c r="AL19" s="65" t="n">
        <f aca="false">Acquisitions!AL$149*'Assumption Setting'!$C$168</f>
        <v>120.728623869799</v>
      </c>
      <c r="AM19" s="65" t="n">
        <f aca="false">Acquisitions!AM$149*'Assumption Setting'!$C$168</f>
        <v>129.06013063395</v>
      </c>
      <c r="AN19" s="65" t="n">
        <f aca="false">Acquisitions!AN$149*'Assumption Setting'!$C$168</f>
        <v>137.572605625193</v>
      </c>
      <c r="AO19" s="64" t="n">
        <f aca="false">SUM(AP19:BA19)</f>
        <v>2576.86460777862</v>
      </c>
      <c r="AP19" s="65" t="n">
        <f aca="false">Acquisitions!AP$149*'Assumption Setting'!$C$168</f>
        <v>149.23833306362</v>
      </c>
      <c r="AQ19" s="65" t="n">
        <f aca="false">Acquisitions!AQ$149*'Assumption Setting'!$C$168</f>
        <v>160.962036853746</v>
      </c>
      <c r="AR19" s="65" t="n">
        <f aca="false">Acquisitions!AR$149*'Assumption Setting'!$C$168</f>
        <v>172.722236464652</v>
      </c>
      <c r="AS19" s="65" t="n">
        <f aca="false">Acquisitions!AS$149*'Assumption Setting'!$C$168</f>
        <v>184.538143331406</v>
      </c>
      <c r="AT19" s="65" t="n">
        <f aca="false">Acquisitions!AT$149*'Assumption Setting'!$C$168</f>
        <v>196.424818111018</v>
      </c>
      <c r="AU19" s="65" t="n">
        <f aca="false">Acquisitions!AU$149*'Assumption Setting'!$C$168</f>
        <v>208.378014728718</v>
      </c>
      <c r="AV19" s="65" t="n">
        <f aca="false">Acquisitions!AV$149*'Assumption Setting'!$C$168</f>
        <v>220.397481306678</v>
      </c>
      <c r="AW19" s="65" t="n">
        <f aca="false">Acquisitions!AW$149*'Assumption Setting'!$C$168</f>
        <v>232.479241647282</v>
      </c>
      <c r="AX19" s="65" t="n">
        <f aca="false">Acquisitions!AX$149*'Assumption Setting'!$C$168</f>
        <v>244.619558124772</v>
      </c>
      <c r="AY19" s="65" t="n">
        <f aca="false">Acquisitions!AY$149*'Assumption Setting'!$C$168</f>
        <v>256.801526247782</v>
      </c>
      <c r="AZ19" s="65" t="n">
        <f aca="false">Acquisitions!AZ$149*'Assumption Setting'!$C$168</f>
        <v>269.022646917581</v>
      </c>
      <c r="BA19" s="65" t="n">
        <f aca="false">Acquisitions!BA$149*'Assumption Setting'!$C$168</f>
        <v>281.280570981362</v>
      </c>
      <c r="BB19" s="64" t="n">
        <f aca="false">SUM(BC19:BN19)</f>
        <v>4641.40545781605</v>
      </c>
      <c r="BC19" s="65" t="n">
        <f aca="false">Acquisitions!BC$149*'Assumption Setting'!$C$168</f>
        <v>297.742082080426</v>
      </c>
      <c r="BD19" s="65" t="n">
        <f aca="false">Acquisitions!BD$149*'Assumption Setting'!$C$168</f>
        <v>314.069017778604</v>
      </c>
      <c r="BE19" s="65" t="n">
        <f aca="false">Acquisitions!BE$149*'Assumption Setting'!$C$168</f>
        <v>330.337047177685</v>
      </c>
      <c r="BF19" s="65" t="n">
        <f aca="false">Acquisitions!BF$149*'Assumption Setting'!$C$168</f>
        <v>346.567702023054</v>
      </c>
      <c r="BG19" s="65" t="n">
        <f aca="false">Acquisitions!BG$149*'Assumption Setting'!$C$168</f>
        <v>362.760649097997</v>
      </c>
      <c r="BH19" s="65" t="n">
        <f aca="false">Acquisitions!BH$149*'Assumption Setting'!$C$168</f>
        <v>378.91815086874</v>
      </c>
      <c r="BI19" s="65" t="n">
        <f aca="false">Acquisitions!BI$149*'Assumption Setting'!$C$168</f>
        <v>395.044542110871</v>
      </c>
      <c r="BJ19" s="65" t="n">
        <f aca="false">Acquisitions!BJ$149*'Assumption Setting'!$C$168</f>
        <v>411.141689456107</v>
      </c>
      <c r="BK19" s="65" t="n">
        <f aca="false">Acquisitions!BK$149*'Assumption Setting'!$C$168</f>
        <v>427.211347538262</v>
      </c>
      <c r="BL19" s="65" t="n">
        <f aca="false">Acquisitions!BL$149*'Assumption Setting'!$C$168</f>
        <v>443.23578926531</v>
      </c>
      <c r="BM19" s="65" t="n">
        <f aca="false">Acquisitions!BM$149*'Assumption Setting'!$C$168</f>
        <v>459.217727618558</v>
      </c>
      <c r="BN19" s="65" t="n">
        <f aca="false">Acquisitions!BN$149*'Assumption Setting'!$C$168</f>
        <v>475.159712800433</v>
      </c>
    </row>
    <row r="20" customFormat="false" ht="15" hidden="false" customHeight="false" outlineLevel="0" collapsed="false">
      <c r="A20" s="12" t="s">
        <v>813</v>
      </c>
      <c r="B20" s="64" t="n">
        <f aca="false">SUM(C20:N20)</f>
        <v>1560</v>
      </c>
      <c r="C20" s="65" t="n">
        <f aca="false">'GTM Capacity and Timing'!C$16*'Assumption Setting'!$C$155</f>
        <v>480</v>
      </c>
      <c r="D20" s="65" t="n">
        <f aca="false">'GTM Capacity and Timing'!D$16*'Assumption Setting'!$C$155</f>
        <v>240</v>
      </c>
      <c r="E20" s="65" t="n">
        <f aca="false">'GTM Capacity and Timing'!E$16*'Assumption Setting'!$C$155</f>
        <v>120</v>
      </c>
      <c r="F20" s="65" t="n">
        <f aca="false">'GTM Capacity and Timing'!F$16*'Assumption Setting'!$C$155</f>
        <v>0</v>
      </c>
      <c r="G20" s="65" t="n">
        <f aca="false">'GTM Capacity and Timing'!G$16*'Assumption Setting'!$C$155</f>
        <v>0</v>
      </c>
      <c r="H20" s="65" t="n">
        <f aca="false">'GTM Capacity and Timing'!H$16*'Assumption Setting'!$C$155</f>
        <v>0</v>
      </c>
      <c r="I20" s="65" t="n">
        <f aca="false">'GTM Capacity and Timing'!I$16*'Assumption Setting'!$C$155</f>
        <v>120</v>
      </c>
      <c r="J20" s="65" t="n">
        <f aca="false">'GTM Capacity and Timing'!J$16*'Assumption Setting'!$C$155</f>
        <v>120</v>
      </c>
      <c r="K20" s="65" t="n">
        <f aca="false">'GTM Capacity and Timing'!K$16*'Assumption Setting'!$C$155</f>
        <v>120</v>
      </c>
      <c r="L20" s="65" t="n">
        <f aca="false">'GTM Capacity and Timing'!L$16*'Assumption Setting'!$C$155</f>
        <v>120</v>
      </c>
      <c r="M20" s="65" t="n">
        <f aca="false">'GTM Capacity and Timing'!M$16*'Assumption Setting'!$C$155</f>
        <v>120</v>
      </c>
      <c r="N20" s="65" t="n">
        <f aca="false">'GTM Capacity and Timing'!N$16*'Assumption Setting'!$C$155</f>
        <v>120</v>
      </c>
      <c r="O20" s="64" t="n">
        <f aca="false">SUM(P20:AA20)</f>
        <v>1320</v>
      </c>
      <c r="P20" s="65" t="n">
        <f aca="false">'GTM Capacity and Timing'!P$16*'Assumption Setting'!$C$155</f>
        <v>0</v>
      </c>
      <c r="Q20" s="65" t="n">
        <f aca="false">'GTM Capacity and Timing'!Q$16*'Assumption Setting'!$C$155</f>
        <v>120</v>
      </c>
      <c r="R20" s="65" t="n">
        <f aca="false">'GTM Capacity and Timing'!R$16*'Assumption Setting'!$C$155</f>
        <v>120</v>
      </c>
      <c r="S20" s="65" t="n">
        <f aca="false">'GTM Capacity and Timing'!S$16*'Assumption Setting'!$C$155</f>
        <v>120</v>
      </c>
      <c r="T20" s="65" t="n">
        <f aca="false">'GTM Capacity and Timing'!T$16*'Assumption Setting'!$C$155</f>
        <v>0</v>
      </c>
      <c r="U20" s="65" t="n">
        <f aca="false">'GTM Capacity and Timing'!U$16*'Assumption Setting'!$C$155</f>
        <v>120</v>
      </c>
      <c r="V20" s="65" t="n">
        <f aca="false">'GTM Capacity and Timing'!V$16*'Assumption Setting'!$C$155</f>
        <v>120</v>
      </c>
      <c r="W20" s="65" t="n">
        <f aca="false">'GTM Capacity and Timing'!W$16*'Assumption Setting'!$C$155</f>
        <v>240</v>
      </c>
      <c r="X20" s="65" t="n">
        <f aca="false">'GTM Capacity and Timing'!X$16*'Assumption Setting'!$C$155</f>
        <v>120</v>
      </c>
      <c r="Y20" s="65" t="n">
        <f aca="false">'GTM Capacity and Timing'!Y$16*'Assumption Setting'!$C$155</f>
        <v>120</v>
      </c>
      <c r="Z20" s="65" t="n">
        <f aca="false">'GTM Capacity and Timing'!Z$16*'Assumption Setting'!$C$155</f>
        <v>120</v>
      </c>
      <c r="AA20" s="65" t="n">
        <f aca="false">'GTM Capacity and Timing'!AA$16*'Assumption Setting'!$C$155</f>
        <v>120</v>
      </c>
      <c r="AB20" s="64" t="n">
        <f aca="false">SUM(AC20:AN20)</f>
        <v>1200</v>
      </c>
      <c r="AC20" s="65" t="n">
        <f aca="false">'GTM Capacity and Timing'!AC$16*'Assumption Setting'!$C$155</f>
        <v>0</v>
      </c>
      <c r="AD20" s="65" t="n">
        <f aca="false">'GTM Capacity and Timing'!AD$16*'Assumption Setting'!$C$155</f>
        <v>0</v>
      </c>
      <c r="AE20" s="65" t="n">
        <f aca="false">'GTM Capacity and Timing'!AE$16*'Assumption Setting'!$C$155</f>
        <v>0</v>
      </c>
      <c r="AF20" s="65" t="n">
        <f aca="false">'GTM Capacity and Timing'!AF$16*'Assumption Setting'!$C$155</f>
        <v>120</v>
      </c>
      <c r="AG20" s="65" t="n">
        <f aca="false">'GTM Capacity and Timing'!AG$16*'Assumption Setting'!$C$155</f>
        <v>240</v>
      </c>
      <c r="AH20" s="65" t="n">
        <f aca="false">'GTM Capacity and Timing'!AH$16*'Assumption Setting'!$C$155</f>
        <v>120</v>
      </c>
      <c r="AI20" s="65" t="n">
        <f aca="false">'GTM Capacity and Timing'!AI$16*'Assumption Setting'!$C$155</f>
        <v>120</v>
      </c>
      <c r="AJ20" s="65" t="n">
        <f aca="false">'GTM Capacity and Timing'!AJ$16*'Assumption Setting'!$C$155</f>
        <v>120</v>
      </c>
      <c r="AK20" s="65" t="n">
        <f aca="false">'GTM Capacity and Timing'!AK$16*'Assumption Setting'!$C$155</f>
        <v>120</v>
      </c>
      <c r="AL20" s="65" t="n">
        <f aca="false">'GTM Capacity and Timing'!AL$16*'Assumption Setting'!$C$155</f>
        <v>120</v>
      </c>
      <c r="AM20" s="65" t="n">
        <f aca="false">'GTM Capacity and Timing'!AM$16*'Assumption Setting'!$C$155</f>
        <v>120</v>
      </c>
      <c r="AN20" s="65" t="n">
        <f aca="false">'GTM Capacity and Timing'!AN$16*'Assumption Setting'!$C$155</f>
        <v>120</v>
      </c>
      <c r="AO20" s="64" t="n">
        <f aca="false">SUM(AP20:BA20)</f>
        <v>1920</v>
      </c>
      <c r="AP20" s="65" t="n">
        <f aca="false">'GTM Capacity and Timing'!AP$16*'Assumption Setting'!$C$155</f>
        <v>120</v>
      </c>
      <c r="AQ20" s="65" t="n">
        <f aca="false">'GTM Capacity and Timing'!AQ$16*'Assumption Setting'!$C$155</f>
        <v>240</v>
      </c>
      <c r="AR20" s="65" t="n">
        <f aca="false">'GTM Capacity and Timing'!AR$16*'Assumption Setting'!$C$155</f>
        <v>120</v>
      </c>
      <c r="AS20" s="65" t="n">
        <f aca="false">'GTM Capacity and Timing'!AS$16*'Assumption Setting'!$C$155</f>
        <v>120</v>
      </c>
      <c r="AT20" s="65" t="n">
        <f aca="false">'GTM Capacity and Timing'!AT$16*'Assumption Setting'!$C$155</f>
        <v>120</v>
      </c>
      <c r="AU20" s="65" t="n">
        <f aca="false">'GTM Capacity and Timing'!AU$16*'Assumption Setting'!$C$155</f>
        <v>240</v>
      </c>
      <c r="AV20" s="65" t="n">
        <f aca="false">'GTM Capacity and Timing'!AV$16*'Assumption Setting'!$C$155</f>
        <v>120</v>
      </c>
      <c r="AW20" s="65" t="n">
        <f aca="false">'GTM Capacity and Timing'!AW$16*'Assumption Setting'!$C$155</f>
        <v>120</v>
      </c>
      <c r="AX20" s="65" t="n">
        <f aca="false">'GTM Capacity and Timing'!AX$16*'Assumption Setting'!$C$155</f>
        <v>240</v>
      </c>
      <c r="AY20" s="65" t="n">
        <f aca="false">'GTM Capacity and Timing'!AY$16*'Assumption Setting'!$C$155</f>
        <v>120</v>
      </c>
      <c r="AZ20" s="65" t="n">
        <f aca="false">'GTM Capacity and Timing'!AZ$16*'Assumption Setting'!$C$155</f>
        <v>240</v>
      </c>
      <c r="BA20" s="65" t="n">
        <f aca="false">'GTM Capacity and Timing'!BA$16*'Assumption Setting'!$C$155</f>
        <v>120</v>
      </c>
      <c r="BB20" s="64" t="n">
        <f aca="false">SUM(BC20:BN20)</f>
        <v>2040</v>
      </c>
      <c r="BC20" s="65" t="n">
        <f aca="false">'GTM Capacity and Timing'!BC$16*'Assumption Setting'!$C$155</f>
        <v>240</v>
      </c>
      <c r="BD20" s="65" t="n">
        <f aca="false">'GTM Capacity and Timing'!BD$16*'Assumption Setting'!$C$155</f>
        <v>120</v>
      </c>
      <c r="BE20" s="65" t="n">
        <f aca="false">'GTM Capacity and Timing'!BE$16*'Assumption Setting'!$C$155</f>
        <v>120</v>
      </c>
      <c r="BF20" s="65" t="n">
        <f aca="false">'GTM Capacity and Timing'!BF$16*'Assumption Setting'!$C$155</f>
        <v>240</v>
      </c>
      <c r="BG20" s="65" t="n">
        <f aca="false">'GTM Capacity and Timing'!BG$16*'Assumption Setting'!$C$155</f>
        <v>120</v>
      </c>
      <c r="BH20" s="65" t="n">
        <f aca="false">'GTM Capacity and Timing'!BH$16*'Assumption Setting'!$C$155</f>
        <v>240</v>
      </c>
      <c r="BI20" s="65" t="n">
        <f aca="false">'GTM Capacity and Timing'!BI$16*'Assumption Setting'!$C$155</f>
        <v>120</v>
      </c>
      <c r="BJ20" s="65" t="n">
        <f aca="false">'GTM Capacity and Timing'!BJ$16*'Assumption Setting'!$C$155</f>
        <v>120</v>
      </c>
      <c r="BK20" s="65" t="n">
        <f aca="false">'GTM Capacity and Timing'!BK$16*'Assumption Setting'!$C$155</f>
        <v>240</v>
      </c>
      <c r="BL20" s="65" t="n">
        <f aca="false">'GTM Capacity and Timing'!BL$16*'Assumption Setting'!$C$155</f>
        <v>120</v>
      </c>
      <c r="BM20" s="65" t="n">
        <f aca="false">'GTM Capacity and Timing'!BM$16*'Assumption Setting'!$C$155</f>
        <v>240</v>
      </c>
      <c r="BN20" s="65" t="n">
        <f aca="false">'GTM Capacity and Timing'!BN$16*'Assumption Setting'!$C$155</f>
        <v>120</v>
      </c>
    </row>
    <row r="21" customFormat="false" ht="15" hidden="false" customHeight="false" outlineLevel="0" collapsed="false">
      <c r="A21" s="12" t="s">
        <v>814</v>
      </c>
      <c r="B21" s="64" t="n">
        <f aca="false">SUM(C21:N21)</f>
        <v>0</v>
      </c>
      <c r="C21" s="65" t="n">
        <f aca="false">('Revenue Streams'!C$25+'Revenue Streams'!C$27+'Revenue Streams'!C$29)*'Assumption Setting'!$C$173*'Assumption Setting'!$C$174</f>
        <v>0</v>
      </c>
      <c r="D21" s="65" t="n">
        <f aca="false">('Revenue Streams'!D$25+'Revenue Streams'!D$27+'Revenue Streams'!D$29)*'Assumption Setting'!$C$173*'Assumption Setting'!$C$174</f>
        <v>0</v>
      </c>
      <c r="E21" s="65" t="n">
        <f aca="false">('Revenue Streams'!E$25+'Revenue Streams'!E$27+'Revenue Streams'!E$29)*'Assumption Setting'!$C$173*'Assumption Setting'!$C$174</f>
        <v>0</v>
      </c>
      <c r="F21" s="65" t="n">
        <f aca="false">('Revenue Streams'!F$25+'Revenue Streams'!F$27+'Revenue Streams'!F$29)*'Assumption Setting'!$C$173*'Assumption Setting'!$C$174</f>
        <v>0</v>
      </c>
      <c r="G21" s="65" t="n">
        <f aca="false">('Revenue Streams'!G$25+'Revenue Streams'!G$27+'Revenue Streams'!G$29)*'Assumption Setting'!$C$173*'Assumption Setting'!$C$174</f>
        <v>0</v>
      </c>
      <c r="H21" s="65" t="n">
        <f aca="false">('Revenue Streams'!H$25+'Revenue Streams'!H$27+'Revenue Streams'!H$29)*'Assumption Setting'!$C$173*'Assumption Setting'!$C$174</f>
        <v>0</v>
      </c>
      <c r="I21" s="65" t="n">
        <f aca="false">('Revenue Streams'!I$25+'Revenue Streams'!I$27+'Revenue Streams'!I$29)*'Assumption Setting'!$C$173*'Assumption Setting'!$C$174</f>
        <v>0</v>
      </c>
      <c r="J21" s="65" t="n">
        <f aca="false">('Revenue Streams'!J$25+'Revenue Streams'!J$27+'Revenue Streams'!J$29)*'Assumption Setting'!$C$173*'Assumption Setting'!$C$174</f>
        <v>0</v>
      </c>
      <c r="K21" s="65" t="n">
        <f aca="false">('Revenue Streams'!K$25+'Revenue Streams'!K$27+'Revenue Streams'!K$29)*'Assumption Setting'!$C$173*'Assumption Setting'!$C$174</f>
        <v>0</v>
      </c>
      <c r="L21" s="65" t="n">
        <f aca="false">('Revenue Streams'!L$25+'Revenue Streams'!L$27+'Revenue Streams'!L$29)*'Assumption Setting'!$C$173*'Assumption Setting'!$C$174</f>
        <v>0</v>
      </c>
      <c r="M21" s="65" t="n">
        <f aca="false">('Revenue Streams'!M$25+'Revenue Streams'!M$27+'Revenue Streams'!M$29)*'Assumption Setting'!$C$173*'Assumption Setting'!$C$174</f>
        <v>0</v>
      </c>
      <c r="N21" s="65" t="n">
        <f aca="false">('Revenue Streams'!N$25+'Revenue Streams'!N$27+'Revenue Streams'!N$29)*'Assumption Setting'!$C$173*'Assumption Setting'!$C$174</f>
        <v>0</v>
      </c>
      <c r="O21" s="64" t="n">
        <f aca="false">SUM(P21:AA21)</f>
        <v>6337.66341687817</v>
      </c>
      <c r="P21" s="65" t="n">
        <f aca="false">('Revenue Streams'!P$25+'Revenue Streams'!P$27+'Revenue Streams'!P$29)*'Assumption Setting'!$D$173*'Assumption Setting'!$C$174</f>
        <v>383.317409794945</v>
      </c>
      <c r="Q21" s="65" t="n">
        <f aca="false">('Revenue Streams'!Q$25+'Revenue Streams'!Q$27+'Revenue Streams'!Q$29)*'Assumption Setting'!$D$173*'Assumption Setting'!$C$174</f>
        <v>404.035502232483</v>
      </c>
      <c r="R21" s="65" t="n">
        <f aca="false">('Revenue Streams'!R$25+'Revenue Streams'!R$27+'Revenue Streams'!R$29)*'Assumption Setting'!$D$173*'Assumption Setting'!$C$174</f>
        <v>426.825403913775</v>
      </c>
      <c r="S21" s="65" t="n">
        <f aca="false">('Revenue Streams'!S$25+'Revenue Streams'!S$27+'Revenue Streams'!S$29)*'Assumption Setting'!$D$173*'Assumption Setting'!$C$174</f>
        <v>449.615305595067</v>
      </c>
      <c r="T21" s="65" t="n">
        <f aca="false">('Revenue Streams'!T$25+'Revenue Streams'!T$27+'Revenue Streams'!T$29)*'Assumption Setting'!$D$173*'Assumption Setting'!$C$174</f>
        <v>472.405207276359</v>
      </c>
      <c r="U21" s="65" t="n">
        <f aca="false">('Revenue Streams'!U$25+'Revenue Streams'!U$27+'Revenue Streams'!U$29)*'Assumption Setting'!$D$173*'Assumption Setting'!$C$174</f>
        <v>495.19510895765</v>
      </c>
      <c r="V21" s="65" t="n">
        <f aca="false">('Revenue Streams'!V$25+'Revenue Streams'!V$27+'Revenue Streams'!V$29)*'Assumption Setting'!$D$173*'Assumption Setting'!$C$174</f>
        <v>530.199814927269</v>
      </c>
      <c r="W21" s="65" t="n">
        <f aca="false">('Revenue Streams'!W$25+'Revenue Streams'!W$27+'Revenue Streams'!W$29)*'Assumption Setting'!$D$173*'Assumption Setting'!$C$174</f>
        <v>565.204520896887</v>
      </c>
      <c r="X21" s="65" t="n">
        <f aca="false">('Revenue Streams'!X$25+'Revenue Streams'!X$27+'Revenue Streams'!X$29)*'Assumption Setting'!$D$173*'Assumption Setting'!$C$174</f>
        <v>600.209226866505</v>
      </c>
      <c r="Y21" s="65" t="n">
        <f aca="false">('Revenue Streams'!Y$25+'Revenue Streams'!Y$27+'Revenue Streams'!Y$29)*'Assumption Setting'!$D$173*'Assumption Setting'!$C$174</f>
        <v>635.213932836124</v>
      </c>
      <c r="Z21" s="65" t="n">
        <f aca="false">('Revenue Streams'!Z$25+'Revenue Streams'!Z$27+'Revenue Streams'!Z$29)*'Assumption Setting'!$D$173*'Assumption Setting'!$C$174</f>
        <v>670.218638805742</v>
      </c>
      <c r="AA21" s="65" t="n">
        <f aca="false">('Revenue Streams'!AA$25+'Revenue Streams'!AA$27+'Revenue Streams'!AA$29)*'Assumption Setting'!$D$173*'Assumption Setting'!$C$174</f>
        <v>705.22334477536</v>
      </c>
      <c r="AB21" s="64" t="n">
        <f aca="false">SUM(AC21:AN21)</f>
        <v>27089.5937165378</v>
      </c>
      <c r="AC21" s="65" t="n">
        <f aca="false">('Revenue Streams'!AC$25+'Revenue Streams'!AC$27+'Revenue Streams'!AC$29)*'Assumption Setting'!$E$173*'Assumption Setting'!$C$174</f>
        <v>1943.30344499546</v>
      </c>
      <c r="AD21" s="65" t="n">
        <f aca="false">('Revenue Streams'!AD$25+'Revenue Streams'!AD$27+'Revenue Streams'!AD$29)*'Assumption Setting'!$E$173*'Assumption Setting'!$C$174</f>
        <v>1864.46019265273</v>
      </c>
      <c r="AE21" s="65" t="n">
        <f aca="false">('Revenue Streams'!AE$25+'Revenue Streams'!AE$27+'Revenue Streams'!AE$29)*'Assumption Setting'!$E$173*'Assumption Setting'!$C$174</f>
        <v>1856.84937191522</v>
      </c>
      <c r="AF21" s="65" t="n">
        <f aca="false">('Revenue Streams'!AF$25+'Revenue Streams'!AF$27+'Revenue Streams'!AF$29)*'Assumption Setting'!$E$173*'Assumption Setting'!$C$174</f>
        <v>1972.4385511777</v>
      </c>
      <c r="AG21" s="65" t="n">
        <f aca="false">('Revenue Streams'!AG$25+'Revenue Streams'!AG$27+'Revenue Streams'!AG$29)*'Assumption Setting'!$E$173*'Assumption Setting'!$C$174</f>
        <v>2088.02773044018</v>
      </c>
      <c r="AH21" s="65" t="n">
        <f aca="false">('Revenue Streams'!AH$25+'Revenue Streams'!AH$27+'Revenue Streams'!AH$29)*'Assumption Setting'!$E$173*'Assumption Setting'!$C$174</f>
        <v>2203.61690970266</v>
      </c>
      <c r="AI21" s="65" t="n">
        <f aca="false">('Revenue Streams'!AI$25+'Revenue Streams'!AI$27+'Revenue Streams'!AI$29)*'Assumption Setting'!$E$173*'Assumption Setting'!$C$174</f>
        <v>2295.95957910447</v>
      </c>
      <c r="AJ21" s="65" t="n">
        <f aca="false">('Revenue Streams'!AJ$25+'Revenue Streams'!AJ$27+'Revenue Streams'!AJ$29)*'Assumption Setting'!$E$173*'Assumption Setting'!$C$174</f>
        <v>2388.30224850627</v>
      </c>
      <c r="AK21" s="65" t="n">
        <f aca="false">('Revenue Streams'!AK$25+'Revenue Streams'!AK$27+'Revenue Streams'!AK$29)*'Assumption Setting'!$E$173*'Assumption Setting'!$C$174</f>
        <v>2480.64491790808</v>
      </c>
      <c r="AL21" s="65" t="n">
        <f aca="false">('Revenue Streams'!AL$25+'Revenue Streams'!AL$27+'Revenue Streams'!AL$29)*'Assumption Setting'!$E$173*'Assumption Setting'!$C$174</f>
        <v>2572.98758730988</v>
      </c>
      <c r="AM21" s="65" t="n">
        <f aca="false">('Revenue Streams'!AM$25+'Revenue Streams'!AM$27+'Revenue Streams'!AM$29)*'Assumption Setting'!$E$173*'Assumption Setting'!$C$174</f>
        <v>2665.33025671169</v>
      </c>
      <c r="AN21" s="65" t="n">
        <f aca="false">('Revenue Streams'!AN$25+'Revenue Streams'!AN$27+'Revenue Streams'!AN$29)*'Assumption Setting'!$E$173*'Assumption Setting'!$C$174</f>
        <v>2757.6729261135</v>
      </c>
      <c r="AO21" s="64" t="n">
        <f aca="false">SUM(AP21:BA21)</f>
        <v>71695.5797561517</v>
      </c>
      <c r="AP21" s="65" t="n">
        <f aca="false">('Revenue Streams'!AP$25+'Revenue Streams'!AP$27+'Revenue Streams'!AP$29)*'Assumption Setting'!$F$173*'Assumption Setting'!$C$174</f>
        <v>4885.25000399721</v>
      </c>
      <c r="AQ21" s="65" t="n">
        <f aca="false">('Revenue Streams'!AQ$25+'Revenue Streams'!AQ$27+'Revenue Streams'!AQ$29)*'Assumption Setting'!$F$173*'Assumption Setting'!$C$174</f>
        <v>5073.11672688833</v>
      </c>
      <c r="AR21" s="65" t="n">
        <f aca="false">('Revenue Streams'!AR$25+'Revenue Streams'!AR$27+'Revenue Streams'!AR$29)*'Assumption Setting'!$F$173*'Assumption Setting'!$C$174</f>
        <v>5262.54346240218</v>
      </c>
      <c r="AS21" s="65" t="n">
        <f aca="false">('Revenue Streams'!AS$25+'Revenue Streams'!AS$27+'Revenue Streams'!AS$29)*'Assumption Setting'!$F$173*'Assumption Setting'!$C$174</f>
        <v>5451.97019791602</v>
      </c>
      <c r="AT21" s="65" t="n">
        <f aca="false">('Revenue Streams'!AT$25+'Revenue Streams'!AT$27+'Revenue Streams'!AT$29)*'Assumption Setting'!$F$173*'Assumption Setting'!$C$174</f>
        <v>5641.39693342987</v>
      </c>
      <c r="AU21" s="65" t="n">
        <f aca="false">('Revenue Streams'!AU$25+'Revenue Streams'!AU$27+'Revenue Streams'!AU$29)*'Assumption Setting'!$F$173*'Assumption Setting'!$C$174</f>
        <v>5830.82366894372</v>
      </c>
      <c r="AV21" s="65" t="n">
        <f aca="false">('Revenue Streams'!AV$25+'Revenue Streams'!AV$27+'Revenue Streams'!AV$29)*'Assumption Setting'!$F$173*'Assumption Setting'!$C$174</f>
        <v>6048.23018079667</v>
      </c>
      <c r="AW21" s="65" t="n">
        <f aca="false">('Revenue Streams'!AW$25+'Revenue Streams'!AW$27+'Revenue Streams'!AW$29)*'Assumption Setting'!$F$173*'Assumption Setting'!$C$174</f>
        <v>6265.63669264963</v>
      </c>
      <c r="AX21" s="65" t="n">
        <f aca="false">('Revenue Streams'!AX$25+'Revenue Streams'!AX$27+'Revenue Streams'!AX$29)*'Assumption Setting'!$F$173*'Assumption Setting'!$C$174</f>
        <v>6483.04320450259</v>
      </c>
      <c r="AY21" s="65" t="n">
        <f aca="false">('Revenue Streams'!AY$25+'Revenue Streams'!AY$27+'Revenue Streams'!AY$29)*'Assumption Setting'!$F$173*'Assumption Setting'!$C$174</f>
        <v>6700.44971635554</v>
      </c>
      <c r="AZ21" s="65" t="n">
        <f aca="false">('Revenue Streams'!AZ$25+'Revenue Streams'!AZ$27+'Revenue Streams'!AZ$29)*'Assumption Setting'!$F$173*'Assumption Setting'!$C$174</f>
        <v>6917.8562282085</v>
      </c>
      <c r="BA21" s="65" t="n">
        <f aca="false">('Revenue Streams'!BA$25+'Revenue Streams'!BA$27+'Revenue Streams'!BA$29)*'Assumption Setting'!$F$173*'Assumption Setting'!$C$174</f>
        <v>7135.26274006145</v>
      </c>
      <c r="BB21" s="64" t="n">
        <f aca="false">SUM(BC21:BN21)</f>
        <v>140578.166246454</v>
      </c>
      <c r="BC21" s="65" t="n">
        <f aca="false">('Revenue Streams'!BC$25+'Revenue Streams'!BC$27+'Revenue Streams'!BC$29)*'Assumption Setting'!$G$173*'Assumption Setting'!$C$174</f>
        <v>10079.4831381368</v>
      </c>
      <c r="BD21" s="65" t="n">
        <f aca="false">('Revenue Streams'!BD$25+'Revenue Streams'!BD$27+'Revenue Streams'!BD$29)*'Assumption Setting'!$G$173*'Assumption Setting'!$C$174</f>
        <v>10378.9096318236</v>
      </c>
      <c r="BE21" s="65" t="n">
        <f aca="false">('Revenue Streams'!BE$25+'Revenue Streams'!BE$27+'Revenue Streams'!BE$29)*'Assumption Setting'!$G$173*'Assumption Setting'!$C$174</f>
        <v>10677.7184866629</v>
      </c>
      <c r="BF21" s="65" t="n">
        <f aca="false">('Revenue Streams'!BF$25+'Revenue Streams'!BF$27+'Revenue Streams'!BF$29)*'Assumption Setting'!$G$173*'Assumption Setting'!$C$174</f>
        <v>10976.5273415022</v>
      </c>
      <c r="BG21" s="65" t="n">
        <f aca="false">('Revenue Streams'!BG$25+'Revenue Streams'!BG$27+'Revenue Streams'!BG$29)*'Assumption Setting'!$G$173*'Assumption Setting'!$C$174</f>
        <v>11275.3361963415</v>
      </c>
      <c r="BH21" s="65" t="n">
        <f aca="false">('Revenue Streams'!BH$25+'Revenue Streams'!BH$27+'Revenue Streams'!BH$29)*'Assumption Setting'!$G$173*'Assumption Setting'!$C$174</f>
        <v>11574.1450511809</v>
      </c>
      <c r="BI21" s="65" t="n">
        <f aca="false">('Revenue Streams'!BI$25+'Revenue Streams'!BI$27+'Revenue Streams'!BI$29)*'Assumption Setting'!$G$173*'Assumption Setting'!$C$174</f>
        <v>11868.0105794533</v>
      </c>
      <c r="BJ21" s="65" t="n">
        <f aca="false">('Revenue Streams'!BJ$25+'Revenue Streams'!BJ$27+'Revenue Streams'!BJ$29)*'Assumption Setting'!$G$173*'Assumption Setting'!$C$174</f>
        <v>12161.8761077257</v>
      </c>
      <c r="BK21" s="65" t="n">
        <f aca="false">('Revenue Streams'!BK$25+'Revenue Streams'!BK$27+'Revenue Streams'!BK$29)*'Assumption Setting'!$G$173*'Assumption Setting'!$C$174</f>
        <v>12455.7416359981</v>
      </c>
      <c r="BL21" s="65" t="n">
        <f aca="false">('Revenue Streams'!BL$25+'Revenue Streams'!BL$27+'Revenue Streams'!BL$29)*'Assumption Setting'!$G$173*'Assumption Setting'!$C$174</f>
        <v>12749.6071642705</v>
      </c>
      <c r="BM21" s="65" t="n">
        <f aca="false">('Revenue Streams'!BM$25+'Revenue Streams'!BM$27+'Revenue Streams'!BM$29)*'Assumption Setting'!$G$173*'Assumption Setting'!$C$174</f>
        <v>13043.472692543</v>
      </c>
      <c r="BN21" s="65" t="n">
        <f aca="false">('Revenue Streams'!BN$25+'Revenue Streams'!BN$27+'Revenue Streams'!BN$29)*'Assumption Setting'!$G$173*'Assumption Setting'!$C$174</f>
        <v>13337.3382208154</v>
      </c>
    </row>
    <row r="22" customFormat="false" ht="15" hidden="false" customHeight="false" outlineLevel="0" collapsed="false">
      <c r="A22" s="12" t="s">
        <v>815</v>
      </c>
      <c r="B22" s="64" t="n">
        <f aca="false">SUM(C22:N22)</f>
        <v>1885.49540194166</v>
      </c>
      <c r="C22" s="65" t="n">
        <f aca="false">'Revenue Streams'!C$33*'Assumption Setting'!$C$175+'Revenue Streams'!C$35*'Assumption Setting'!$C$176</f>
        <v>33.75</v>
      </c>
      <c r="D22" s="65" t="n">
        <f aca="false">'Revenue Streams'!D$33*'Assumption Setting'!$C$175+'Revenue Streams'!D$35*'Assumption Setting'!$C$176</f>
        <v>54</v>
      </c>
      <c r="E22" s="65" t="n">
        <f aca="false">'Revenue Streams'!E$33*'Assumption Setting'!$C$175+'Revenue Streams'!E$35*'Assumption Setting'!$C$176</f>
        <v>67.5</v>
      </c>
      <c r="F22" s="65" t="n">
        <f aca="false">'Revenue Streams'!F$33*'Assumption Setting'!$C$175+'Revenue Streams'!F$35*'Assumption Setting'!$C$176</f>
        <v>67.5</v>
      </c>
      <c r="G22" s="65" t="n">
        <f aca="false">'Revenue Streams'!G$33*'Assumption Setting'!$C$175+'Revenue Streams'!G$35*'Assumption Setting'!$C$176</f>
        <v>81.3716256188644</v>
      </c>
      <c r="H22" s="65" t="n">
        <f aca="false">'Revenue Streams'!H$33*'Assumption Setting'!$C$175+'Revenue Streams'!H$35*'Assumption Setting'!$C$176</f>
        <v>95.2432512377287</v>
      </c>
      <c r="I22" s="65" t="n">
        <f aca="false">'Revenue Streams'!I$33*'Assumption Setting'!$C$175+'Revenue Streams'!I$35*'Assumption Setting'!$C$176</f>
        <v>138.799013983381</v>
      </c>
      <c r="J22" s="65" t="n">
        <f aca="false">'Revenue Streams'!J$33*'Assumption Setting'!$C$175+'Revenue Streams'!J$35*'Assumption Setting'!$C$176</f>
        <v>182.354776729033</v>
      </c>
      <c r="K22" s="65" t="n">
        <f aca="false">'Revenue Streams'!K$33*'Assumption Setting'!$C$175+'Revenue Streams'!K$35*'Assumption Setting'!$C$176</f>
        <v>225.910539474685</v>
      </c>
      <c r="L22" s="65" t="n">
        <f aca="false">'Revenue Streams'!L$33*'Assumption Setting'!$C$175+'Revenue Streams'!L$35*'Assumption Setting'!$C$176</f>
        <v>269.466302220338</v>
      </c>
      <c r="M22" s="65" t="n">
        <f aca="false">'Revenue Streams'!M$33*'Assumption Setting'!$C$175+'Revenue Streams'!M$35*'Assumption Setting'!$C$176</f>
        <v>313.02206496599</v>
      </c>
      <c r="N22" s="65" t="n">
        <f aca="false">'Revenue Streams'!N$33*'Assumption Setting'!$C$175+'Revenue Streams'!N$35*'Assumption Setting'!$C$176</f>
        <v>356.577827711642</v>
      </c>
      <c r="O22" s="64" t="n">
        <f aca="false">SUM(P22:AA22)</f>
        <v>9281.93195663591</v>
      </c>
      <c r="P22" s="65" t="n">
        <f aca="false">'Revenue Streams'!P$33*'Assumption Setting'!$D$175+'Revenue Streams'!P$35*'Assumption Setting'!$C$176</f>
        <v>463.063008053662</v>
      </c>
      <c r="Q22" s="65" t="n">
        <f aca="false">'Revenue Streams'!Q$33*'Assumption Setting'!$D$175+'Revenue Streams'!Q$35*'Assumption Setting'!$C$176</f>
        <v>519.200278150745</v>
      </c>
      <c r="R22" s="65" t="n">
        <f aca="false">'Revenue Streams'!R$33*'Assumption Setting'!$D$175+'Revenue Streams'!R$35*'Assumption Setting'!$C$176</f>
        <v>575.337548247828</v>
      </c>
      <c r="S22" s="65" t="n">
        <f aca="false">'Revenue Streams'!S$33*'Assumption Setting'!$D$175+'Revenue Streams'!S$35*'Assumption Setting'!$C$176</f>
        <v>631.474818344911</v>
      </c>
      <c r="T22" s="65" t="n">
        <f aca="false">'Revenue Streams'!T$33*'Assumption Setting'!$D$175+'Revenue Streams'!T$35*'Assumption Setting'!$C$176</f>
        <v>696.699110790333</v>
      </c>
      <c r="U22" s="65" t="n">
        <f aca="false">'Revenue Streams'!U$33*'Assumption Setting'!$D$175+'Revenue Streams'!U$35*'Assumption Setting'!$C$176</f>
        <v>761.923403235754</v>
      </c>
      <c r="V22" s="65" t="n">
        <f aca="false">'Revenue Streams'!V$33*'Assumption Setting'!$D$175+'Revenue Streams'!V$35*'Assumption Setting'!$C$176</f>
        <v>812.52784944519</v>
      </c>
      <c r="W22" s="65" t="n">
        <f aca="false">'Revenue Streams'!W$33*'Assumption Setting'!$D$175+'Revenue Streams'!W$35*'Assumption Setting'!$C$176</f>
        <v>863.132295654626</v>
      </c>
      <c r="X22" s="65" t="n">
        <f aca="false">'Revenue Streams'!X$33*'Assumption Setting'!$D$175+'Revenue Streams'!X$35*'Assumption Setting'!$C$176</f>
        <v>913.736741864062</v>
      </c>
      <c r="Y22" s="65" t="n">
        <f aca="false">'Revenue Streams'!Y$33*'Assumption Setting'!$D$175+'Revenue Streams'!Y$35*'Assumption Setting'!$C$176</f>
        <v>964.341188073499</v>
      </c>
      <c r="Z22" s="65" t="n">
        <f aca="false">'Revenue Streams'!Z$33*'Assumption Setting'!$D$175+'Revenue Streams'!Z$35*'Assumption Setting'!$C$176</f>
        <v>1014.94563428293</v>
      </c>
      <c r="AA22" s="65" t="n">
        <f aca="false">'Revenue Streams'!AA$33*'Assumption Setting'!$D$175+'Revenue Streams'!AA$35*'Assumption Setting'!$C$176</f>
        <v>1065.55008049237</v>
      </c>
      <c r="AB22" s="64" t="n">
        <f aca="false">SUM(AC22:AN22)</f>
        <v>18636.9513339942</v>
      </c>
      <c r="AC22" s="65" t="n">
        <f aca="false">'Revenue Streams'!AC$33*'Assumption Setting'!$E$175+'Revenue Streams'!AC$35*'Assumption Setting'!$C$176</f>
        <v>1227.66695005875</v>
      </c>
      <c r="AD22" s="65" t="n">
        <f aca="false">'Revenue Streams'!AD$33*'Assumption Setting'!$E$175+'Revenue Streams'!AD$35*'Assumption Setting'!$C$176</f>
        <v>1265.05090302092</v>
      </c>
      <c r="AE22" s="65" t="n">
        <f aca="false">'Revenue Streams'!AE$33*'Assumption Setting'!$E$175+'Revenue Streams'!AE$35*'Assumption Setting'!$C$176</f>
        <v>1310.6848559831</v>
      </c>
      <c r="AF22" s="65" t="n">
        <f aca="false">'Revenue Streams'!AF$33*'Assumption Setting'!$E$175+'Revenue Streams'!AF$35*'Assumption Setting'!$C$176</f>
        <v>1372.81880894527</v>
      </c>
      <c r="AG22" s="65" t="n">
        <f aca="false">'Revenue Streams'!AG$33*'Assumption Setting'!$E$175+'Revenue Streams'!AG$35*'Assumption Setting'!$C$176</f>
        <v>1433.6171856598</v>
      </c>
      <c r="AH22" s="65" t="n">
        <f aca="false">'Revenue Streams'!AH$33*'Assumption Setting'!$E$175+'Revenue Streams'!AH$35*'Assumption Setting'!$C$176</f>
        <v>1494.41556237433</v>
      </c>
      <c r="AI22" s="65" t="n">
        <f aca="false">'Revenue Streams'!AI$33*'Assumption Setting'!$E$175+'Revenue Streams'!AI$35*'Assumption Setting'!$C$176</f>
        <v>1568.99669064605</v>
      </c>
      <c r="AJ22" s="65" t="n">
        <f aca="false">'Revenue Streams'!AJ$33*'Assumption Setting'!$E$175+'Revenue Streams'!AJ$35*'Assumption Setting'!$C$176</f>
        <v>1643.57781891777</v>
      </c>
      <c r="AK22" s="65" t="n">
        <f aca="false">'Revenue Streams'!AK$33*'Assumption Setting'!$E$175+'Revenue Streams'!AK$35*'Assumption Setting'!$C$176</f>
        <v>1718.15894718948</v>
      </c>
      <c r="AL22" s="65" t="n">
        <f aca="false">'Revenue Streams'!AL$33*'Assumption Setting'!$E$175+'Revenue Streams'!AL$35*'Assumption Setting'!$C$176</f>
        <v>1792.7400754612</v>
      </c>
      <c r="AM22" s="65" t="n">
        <f aca="false">'Revenue Streams'!AM$33*'Assumption Setting'!$E$175+'Revenue Streams'!AM$35*'Assumption Setting'!$C$176</f>
        <v>1867.32120373292</v>
      </c>
      <c r="AN22" s="65" t="n">
        <f aca="false">'Revenue Streams'!AN$33*'Assumption Setting'!$E$175+'Revenue Streams'!AN$35*'Assumption Setting'!$C$176</f>
        <v>1941.90233200464</v>
      </c>
      <c r="AO22" s="64" t="n">
        <f aca="false">SUM(AP22:BA22)</f>
        <v>32669.2818434062</v>
      </c>
      <c r="AP22" s="65" t="n">
        <f aca="false">'Revenue Streams'!AP$33*'Assumption Setting'!$F$175+'Revenue Streams'!AP$35*'Assumption Setting'!$C$176</f>
        <v>2261.47104501611</v>
      </c>
      <c r="AQ22" s="65" t="n">
        <f aca="false">'Revenue Streams'!AQ$33*'Assumption Setting'!$F$175+'Revenue Streams'!AQ$35*'Assumption Setting'!$C$176</f>
        <v>2343.60899413395</v>
      </c>
      <c r="AR22" s="65" t="n">
        <f aca="false">'Revenue Streams'!AR$33*'Assumption Setting'!$F$175+'Revenue Streams'!AR$35*'Assumption Setting'!$C$176</f>
        <v>2425.74694325179</v>
      </c>
      <c r="AS22" s="65" t="n">
        <f aca="false">'Revenue Streams'!AS$33*'Assumption Setting'!$F$175+'Revenue Streams'!AS$35*'Assumption Setting'!$C$176</f>
        <v>2507.88489236964</v>
      </c>
      <c r="AT22" s="65" t="n">
        <f aca="false">'Revenue Streams'!AT$33*'Assumption Setting'!$F$175+'Revenue Streams'!AT$35*'Assumption Setting'!$C$176</f>
        <v>2594.93033278394</v>
      </c>
      <c r="AU22" s="65" t="n">
        <f aca="false">'Revenue Streams'!AU$33*'Assumption Setting'!$F$175+'Revenue Streams'!AU$35*'Assumption Setting'!$C$176</f>
        <v>2681.97577319824</v>
      </c>
      <c r="AV22" s="65" t="n">
        <f aca="false">'Revenue Streams'!AV$33*'Assumption Setting'!$F$175+'Revenue Streams'!AV$35*'Assumption Setting'!$C$176</f>
        <v>2765.87145050601</v>
      </c>
      <c r="AW22" s="65" t="n">
        <f aca="false">'Revenue Streams'!AW$33*'Assumption Setting'!$F$175+'Revenue Streams'!AW$35*'Assumption Setting'!$C$176</f>
        <v>2849.76712781377</v>
      </c>
      <c r="AX22" s="65" t="n">
        <f aca="false">'Revenue Streams'!AX$33*'Assumption Setting'!$F$175+'Revenue Streams'!AX$35*'Assumption Setting'!$C$176</f>
        <v>2933.66280512154</v>
      </c>
      <c r="AY22" s="65" t="n">
        <f aca="false">'Revenue Streams'!AY$33*'Assumption Setting'!$F$175+'Revenue Streams'!AY$35*'Assumption Setting'!$C$176</f>
        <v>3017.5584824293</v>
      </c>
      <c r="AZ22" s="65" t="n">
        <f aca="false">'Revenue Streams'!AZ$33*'Assumption Setting'!$F$175+'Revenue Streams'!AZ$35*'Assumption Setting'!$C$176</f>
        <v>3101.45415973706</v>
      </c>
      <c r="BA22" s="65" t="n">
        <f aca="false">'Revenue Streams'!BA$33*'Assumption Setting'!$F$175+'Revenue Streams'!BA$35*'Assumption Setting'!$C$176</f>
        <v>3185.34983704483</v>
      </c>
      <c r="BB22" s="64" t="n">
        <f aca="false">SUM(BC22:BN22)</f>
        <v>49715.3290624602</v>
      </c>
      <c r="BC22" s="65" t="n">
        <f aca="false">'Revenue Streams'!BC$33*'Assumption Setting'!$G$175+'Revenue Streams'!BC$35*'Assumption Setting'!$C$176</f>
        <v>3621.90751569993</v>
      </c>
      <c r="BD22" s="65" t="n">
        <f aca="false">'Revenue Streams'!BD$33*'Assumption Setting'!$G$175+'Revenue Streams'!BD$35*'Assumption Setting'!$C$176</f>
        <v>3716.45688770392</v>
      </c>
      <c r="BE22" s="65" t="n">
        <f aca="false">'Revenue Streams'!BE$33*'Assumption Setting'!$G$175+'Revenue Streams'!BE$35*'Assumption Setting'!$C$176</f>
        <v>3811.00625970791</v>
      </c>
      <c r="BF22" s="65" t="n">
        <f aca="false">'Revenue Streams'!BF$33*'Assumption Setting'!$G$175+'Revenue Streams'!BF$35*'Assumption Setting'!$C$176</f>
        <v>3905.5556317119</v>
      </c>
      <c r="BG22" s="65" t="n">
        <f aca="false">'Revenue Streams'!BG$33*'Assumption Setting'!$G$175+'Revenue Streams'!BG$35*'Assumption Setting'!$C$176</f>
        <v>3999.42855989422</v>
      </c>
      <c r="BH22" s="65" t="n">
        <f aca="false">'Revenue Streams'!BH$33*'Assumption Setting'!$G$175+'Revenue Streams'!BH$35*'Assumption Setting'!$C$176</f>
        <v>4093.30148807653</v>
      </c>
      <c r="BI22" s="65" t="n">
        <f aca="false">'Revenue Streams'!BI$33*'Assumption Setting'!$G$175+'Revenue Streams'!BI$35*'Assumption Setting'!$C$176</f>
        <v>4188.91404956256</v>
      </c>
      <c r="BJ22" s="65" t="n">
        <f aca="false">'Revenue Streams'!BJ$33*'Assumption Setting'!$G$175+'Revenue Streams'!BJ$35*'Assumption Setting'!$C$176</f>
        <v>4284.52661104859</v>
      </c>
      <c r="BK22" s="65" t="n">
        <f aca="false">'Revenue Streams'!BK$33*'Assumption Setting'!$G$175+'Revenue Streams'!BK$35*'Assumption Setting'!$C$176</f>
        <v>4380.13917253462</v>
      </c>
      <c r="BL22" s="65" t="n">
        <f aca="false">'Revenue Streams'!BL$33*'Assumption Setting'!$G$175+'Revenue Streams'!BL$35*'Assumption Setting'!$C$176</f>
        <v>4475.75173402065</v>
      </c>
      <c r="BM22" s="65" t="n">
        <f aca="false">'Revenue Streams'!BM$33*'Assumption Setting'!$G$175+'Revenue Streams'!BM$35*'Assumption Setting'!$C$176</f>
        <v>4571.36429550668</v>
      </c>
      <c r="BN22" s="65" t="n">
        <f aca="false">'Revenue Streams'!BN$33*'Assumption Setting'!$G$175+'Revenue Streams'!BN$35*'Assumption Setting'!$C$176</f>
        <v>4666.97685699271</v>
      </c>
    </row>
    <row r="23" customFormat="false" ht="15" hidden="false" customHeight="false" outlineLevel="0" collapsed="false">
      <c r="A23" s="12" t="s">
        <v>816</v>
      </c>
      <c r="B23" s="64" t="n">
        <f aca="false">SUM(C23:N23)</f>
        <v>25.8980748478701</v>
      </c>
      <c r="C23" s="65" t="n">
        <f aca="false">'Revenue Streams'!C$30*'Assumption Setting'!$C$177+'Revenue Streams'!C$45*'Assumption Setting'!$C$178</f>
        <v>0.851828934048951</v>
      </c>
      <c r="D23" s="65" t="n">
        <f aca="false">'Revenue Streams'!D$30*'Assumption Setting'!$C$177+'Revenue Streams'!D$45*'Assumption Setting'!$C$178</f>
        <v>1.0122984930979</v>
      </c>
      <c r="E23" s="65" t="n">
        <f aca="false">'Revenue Streams'!E$30*'Assumption Setting'!$C$177+'Revenue Streams'!E$45*'Assumption Setting'!$C$178</f>
        <v>1.20186180214685</v>
      </c>
      <c r="F23" s="65" t="n">
        <f aca="false">'Revenue Streams'!F$30*'Assumption Setting'!$C$177+'Revenue Streams'!F$45*'Assumption Setting'!$C$178</f>
        <v>1.3914251111958</v>
      </c>
      <c r="G23" s="65" t="n">
        <f aca="false">'Revenue Streams'!G$30*'Assumption Setting'!$C$177+'Revenue Streams'!G$45*'Assumption Setting'!$C$178</f>
        <v>1.59514903806401</v>
      </c>
      <c r="H23" s="65" t="n">
        <f aca="false">'Revenue Streams'!H$30*'Assumption Setting'!$C$177+'Revenue Streams'!H$45*'Assumption Setting'!$C$178</f>
        <v>1.81303358275148</v>
      </c>
      <c r="I23" s="65" t="n">
        <f aca="false">'Revenue Streams'!I$30*'Assumption Setting'!$C$177+'Revenue Streams'!I$45*'Assumption Setting'!$C$178</f>
        <v>2.07696635871786</v>
      </c>
      <c r="J23" s="65" t="n">
        <f aca="false">'Revenue Streams'!J$30*'Assumption Setting'!$C$177+'Revenue Streams'!J$45*'Assumption Setting'!$C$178</f>
        <v>2.38694736596317</v>
      </c>
      <c r="K23" s="65" t="n">
        <f aca="false">'Revenue Streams'!K$30*'Assumption Setting'!$C$177+'Revenue Streams'!K$45*'Assumption Setting'!$C$178</f>
        <v>2.74297660448739</v>
      </c>
      <c r="L23" s="65" t="n">
        <f aca="false">'Revenue Streams'!L$30*'Assumption Setting'!$C$177+'Revenue Streams'!L$45*'Assumption Setting'!$C$178</f>
        <v>3.14505407429053</v>
      </c>
      <c r="M23" s="65" t="n">
        <f aca="false">'Revenue Streams'!M$30*'Assumption Setting'!$C$177+'Revenue Streams'!M$45*'Assumption Setting'!$C$178</f>
        <v>3.59317977537258</v>
      </c>
      <c r="N23" s="65" t="n">
        <f aca="false">'Revenue Streams'!N$30*'Assumption Setting'!$C$177+'Revenue Streams'!N$45*'Assumption Setting'!$C$178</f>
        <v>4.08735370773356</v>
      </c>
      <c r="O23" s="64" t="n">
        <f aca="false">SUM(P23:AA23)</f>
        <v>970.717254868407</v>
      </c>
      <c r="P23" s="65" t="n">
        <f aca="false">'Revenue Streams'!P$30*'Assumption Setting'!$D$177+'Revenue Streams'!P$45*'Assumption Setting'!$C$178</f>
        <v>4.01051592194961</v>
      </c>
      <c r="Q23" s="65" t="n">
        <f aca="false">'Revenue Streams'!Q$30*'Assumption Setting'!$D$177+'Revenue Streams'!Q$45*'Assumption Setting'!$C$178</f>
        <v>4.68271264790544</v>
      </c>
      <c r="R23" s="65" t="n">
        <f aca="false">'Revenue Streams'!R$30*'Assumption Setting'!$D$177+'Revenue Streams'!R$45*'Assumption Setting'!$C$178</f>
        <v>19.8240700094642</v>
      </c>
      <c r="S23" s="65" t="n">
        <f aca="false">'Revenue Streams'!S$30*'Assumption Setting'!$D$177+'Revenue Streams'!S$45*'Assumption Setting'!$C$178</f>
        <v>36.5266564000687</v>
      </c>
      <c r="T23" s="65" t="n">
        <f aca="false">'Revenue Streams'!T$30*'Assumption Setting'!$D$177+'Revenue Streams'!T$45*'Assumption Setting'!$C$178</f>
        <v>53.347313622298</v>
      </c>
      <c r="U23" s="65" t="n">
        <f aca="false">'Revenue Streams'!U$30*'Assumption Setting'!$D$177+'Revenue Streams'!U$45*'Assumption Setting'!$C$178</f>
        <v>70.286041676152</v>
      </c>
      <c r="V23" s="65" t="n">
        <f aca="false">'Revenue Streams'!V$30*'Assumption Setting'!$D$177+'Revenue Streams'!V$45*'Assumption Setting'!$C$178</f>
        <v>87.3068901536497</v>
      </c>
      <c r="W23" s="65" t="n">
        <f aca="false">'Revenue Streams'!W$30*'Assumption Setting'!$D$177+'Revenue Streams'!W$45*'Assumption Setting'!$C$178</f>
        <v>104.409859054791</v>
      </c>
      <c r="X23" s="65" t="n">
        <f aca="false">'Revenue Streams'!X$30*'Assumption Setting'!$D$177+'Revenue Streams'!X$45*'Assumption Setting'!$C$178</f>
        <v>121.594948379576</v>
      </c>
      <c r="Y23" s="65" t="n">
        <f aca="false">'Revenue Streams'!Y$30*'Assumption Setting'!$D$177+'Revenue Streams'!Y$45*'Assumption Setting'!$C$178</f>
        <v>138.863324295872</v>
      </c>
      <c r="Z23" s="65" t="n">
        <f aca="false">'Revenue Streams'!Z$30*'Assumption Setting'!$D$177+'Revenue Streams'!Z$45*'Assumption Setting'!$C$178</f>
        <v>156.21498680368</v>
      </c>
      <c r="AA23" s="65" t="n">
        <f aca="false">'Revenue Streams'!AA$30*'Assumption Setting'!$D$177+'Revenue Streams'!AA$45*'Assumption Setting'!$C$178</f>
        <v>173.649935903</v>
      </c>
      <c r="AB23" s="64" t="n">
        <f aca="false">SUM(AC23:AN23)</f>
        <v>3590.29926766105</v>
      </c>
      <c r="AC23" s="65" t="n">
        <f aca="false">'Revenue Streams'!AC$30*'Assumption Setting'!$E$177+'Revenue Streams'!AC$45*'Assumption Setting'!$C$178</f>
        <v>169.830501053155</v>
      </c>
      <c r="AD23" s="65" t="n">
        <f aca="false">'Revenue Streams'!AD$30*'Assumption Setting'!$E$177+'Revenue Streams'!AD$45*'Assumption Setting'!$C$178</f>
        <v>185.644393001109</v>
      </c>
      <c r="AE23" s="65" t="n">
        <f aca="false">'Revenue Streams'!AE$30*'Assumption Setting'!$E$177+'Revenue Streams'!AE$45*'Assumption Setting'!$C$178</f>
        <v>208.913757512102</v>
      </c>
      <c r="AF23" s="65" t="n">
        <f aca="false">'Revenue Streams'!AF$30*'Assumption Setting'!$E$177+'Revenue Streams'!AF$45*'Assumption Setting'!$C$178</f>
        <v>234.191160688989</v>
      </c>
      <c r="AG23" s="65" t="n">
        <f aca="false">'Revenue Streams'!AG$30*'Assumption Setting'!$E$177+'Revenue Streams'!AG$45*'Assumption Setting'!$C$178</f>
        <v>259.53226277932</v>
      </c>
      <c r="AH23" s="65" t="n">
        <f aca="false">'Revenue Streams'!AH$30*'Assumption Setting'!$E$177+'Revenue Streams'!AH$45*'Assumption Setting'!$C$178</f>
        <v>284.937063783094</v>
      </c>
      <c r="AI23" s="65" t="n">
        <f aca="false">'Revenue Streams'!AI$30*'Assumption Setting'!$E$177+'Revenue Streams'!AI$45*'Assumption Setting'!$C$178</f>
        <v>310.416526430649</v>
      </c>
      <c r="AJ23" s="65" t="n">
        <f aca="false">'Revenue Streams'!AJ$30*'Assumption Setting'!$E$177+'Revenue Streams'!AJ$45*'Assumption Setting'!$C$178</f>
        <v>335.970650721987</v>
      </c>
      <c r="AK23" s="65" t="n">
        <f aca="false">'Revenue Streams'!AK$30*'Assumption Setting'!$E$177+'Revenue Streams'!AK$45*'Assumption Setting'!$C$178</f>
        <v>361.599436657106</v>
      </c>
      <c r="AL23" s="65" t="n">
        <f aca="false">'Revenue Streams'!AL$30*'Assumption Setting'!$E$177+'Revenue Streams'!AL$45*'Assumption Setting'!$C$178</f>
        <v>387.297471537376</v>
      </c>
      <c r="AM23" s="65" t="n">
        <f aca="false">'Revenue Streams'!AM$30*'Assumption Setting'!$E$177+'Revenue Streams'!AM$45*'Assumption Setting'!$C$178</f>
        <v>413.064755362796</v>
      </c>
      <c r="AN23" s="65" t="n">
        <f aca="false">'Revenue Streams'!AN$30*'Assumption Setting'!$E$177+'Revenue Streams'!AN$45*'Assumption Setting'!$C$178</f>
        <v>438.901288133366</v>
      </c>
      <c r="AO23" s="64" t="n">
        <f aca="false">SUM(AP23:BA23)</f>
        <v>5962.06672849159</v>
      </c>
      <c r="AP23" s="65" t="n">
        <f aca="false">'Revenue Streams'!AP$30*'Assumption Setting'!$F$177+'Revenue Streams'!AP$45*'Assumption Setting'!$C$178</f>
        <v>379.862535296996</v>
      </c>
      <c r="AQ23" s="65" t="n">
        <f aca="false">'Revenue Streams'!AQ$30*'Assumption Setting'!$F$177+'Revenue Streams'!AQ$45*'Assumption Setting'!$C$178</f>
        <v>401.55859939564</v>
      </c>
      <c r="AR23" s="65" t="n">
        <f aca="false">'Revenue Streams'!AR$30*'Assumption Setting'!$F$177+'Revenue Streams'!AR$45*'Assumption Setting'!$C$178</f>
        <v>422.533999611846</v>
      </c>
      <c r="AS23" s="65" t="n">
        <f aca="false">'Revenue Streams'!AS$30*'Assumption Setting'!$F$177+'Revenue Streams'!AS$45*'Assumption Setting'!$C$178</f>
        <v>443.686196745191</v>
      </c>
      <c r="AT23" s="65" t="n">
        <f aca="false">'Revenue Streams'!AT$30*'Assumption Setting'!$F$177+'Revenue Streams'!AT$45*'Assumption Setting'!$C$178</f>
        <v>464.869882527069</v>
      </c>
      <c r="AU23" s="65" t="n">
        <f aca="false">'Revenue Streams'!AU$30*'Assumption Setting'!$F$177+'Revenue Streams'!AU$45*'Assumption Setting'!$C$178</f>
        <v>486.085056957477</v>
      </c>
      <c r="AV23" s="65" t="n">
        <f aca="false">'Revenue Streams'!AV$30*'Assumption Setting'!$F$177+'Revenue Streams'!AV$45*'Assumption Setting'!$C$178</f>
        <v>507.325910768401</v>
      </c>
      <c r="AW23" s="65" t="n">
        <f aca="false">'Revenue Streams'!AW$30*'Assumption Setting'!$F$177+'Revenue Streams'!AW$45*'Assumption Setting'!$C$178</f>
        <v>528.592443959838</v>
      </c>
      <c r="AX23" s="65" t="n">
        <f aca="false">'Revenue Streams'!AX$30*'Assumption Setting'!$F$177+'Revenue Streams'!AX$45*'Assumption Setting'!$C$178</f>
        <v>549.884656531791</v>
      </c>
      <c r="AY23" s="65" t="n">
        <f aca="false">'Revenue Streams'!AY$30*'Assumption Setting'!$F$177+'Revenue Streams'!AY$45*'Assumption Setting'!$C$178</f>
        <v>571.202889270768</v>
      </c>
      <c r="AZ23" s="65" t="n">
        <f aca="false">'Revenue Streams'!AZ$30*'Assumption Setting'!$F$177+'Revenue Streams'!AZ$45*'Assumption Setting'!$C$178</f>
        <v>592.547142176771</v>
      </c>
      <c r="BA23" s="65" t="n">
        <f aca="false">'Revenue Streams'!BA$30*'Assumption Setting'!$F$177+'Revenue Streams'!BA$45*'Assumption Setting'!$C$178</f>
        <v>613.917415249799</v>
      </c>
      <c r="BB23" s="64" t="n">
        <f aca="false">SUM(BC23:BN23)</f>
        <v>8612.92276522482</v>
      </c>
      <c r="BC23" s="65" t="n">
        <f aca="false">'Revenue Streams'!BC$30*'Assumption Setting'!$G$177+'Revenue Streams'!BC$45*'Assumption Setting'!$C$178</f>
        <v>593.563361487451</v>
      </c>
      <c r="BD23" s="65" t="n">
        <f aca="false">'Revenue Streams'!BD$30*'Assumption Setting'!$G$177+'Revenue Streams'!BD$45*'Assumption Setting'!$C$178</f>
        <v>613.961869225059</v>
      </c>
      <c r="BE23" s="65" t="n">
        <f aca="false">'Revenue Streams'!BE$30*'Assumption Setting'!$G$177+'Revenue Streams'!BE$45*'Assumption Setting'!$C$178</f>
        <v>636.866853550992</v>
      </c>
      <c r="BF23" s="65" t="n">
        <f aca="false">'Revenue Streams'!BF$30*'Assumption Setting'!$G$177+'Revenue Streams'!BF$45*'Assumption Setting'!$C$178</f>
        <v>659.784567924758</v>
      </c>
      <c r="BG23" s="65" t="n">
        <f aca="false">'Revenue Streams'!BG$30*'Assumption Setting'!$G$177+'Revenue Streams'!BG$45*'Assumption Setting'!$C$178</f>
        <v>682.747901647193</v>
      </c>
      <c r="BH23" s="65" t="n">
        <f aca="false">'Revenue Streams'!BH$30*'Assumption Setting'!$G$177+'Revenue Streams'!BH$45*'Assumption Setting'!$C$178</f>
        <v>705.756854718295</v>
      </c>
      <c r="BI23" s="65" t="n">
        <f aca="false">'Revenue Streams'!BI$30*'Assumption Setting'!$G$177+'Revenue Streams'!BI$45*'Assumption Setting'!$C$178</f>
        <v>728.810980486988</v>
      </c>
      <c r="BJ23" s="65" t="n">
        <f aca="false">'Revenue Streams'!BJ$30*'Assumption Setting'!$G$177+'Revenue Streams'!BJ$45*'Assumption Setting'!$C$178</f>
        <v>751.910278953271</v>
      </c>
      <c r="BK23" s="65" t="n">
        <f aca="false">'Revenue Streams'!BK$30*'Assumption Setting'!$G$177+'Revenue Streams'!BK$45*'Assumption Setting'!$C$178</f>
        <v>775.054750117145</v>
      </c>
      <c r="BL23" s="65" t="n">
        <f aca="false">'Revenue Streams'!BL$30*'Assumption Setting'!$G$177+'Revenue Streams'!BL$45*'Assumption Setting'!$C$178</f>
        <v>798.242648258918</v>
      </c>
      <c r="BM23" s="65" t="n">
        <f aca="false">'Revenue Streams'!BM$30*'Assumption Setting'!$G$177+'Revenue Streams'!BM$45*'Assumption Setting'!$C$178</f>
        <v>821.47397337859</v>
      </c>
      <c r="BN23" s="65" t="n">
        <f aca="false">'Revenue Streams'!BN$30*'Assumption Setting'!$G$177+'Revenue Streams'!BN$45*'Assumption Setting'!$C$178</f>
        <v>844.748725476161</v>
      </c>
    </row>
    <row r="24" customFormat="false" ht="15" hidden="false" customHeight="false" outlineLevel="0" collapsed="false">
      <c r="A24" s="69" t="s">
        <v>817</v>
      </c>
      <c r="B24" s="64" t="n">
        <f aca="false">SUM(C24:N24)</f>
        <v>43199.4355574125</v>
      </c>
      <c r="C24" s="70" t="n">
        <f aca="false">SUM(C7:C23)</f>
        <v>4812.65472204912</v>
      </c>
      <c r="D24" s="70" t="n">
        <f aca="false">SUM(D7:D23)</f>
        <v>2306.31286946967</v>
      </c>
      <c r="E24" s="70" t="n">
        <f aca="false">SUM(E7:E23)</f>
        <v>2650.26766319877</v>
      </c>
      <c r="F24" s="70" t="n">
        <f aca="false">SUM(F7:F23)</f>
        <v>2530.86320976933</v>
      </c>
      <c r="G24" s="70" t="n">
        <f aca="false">SUM(G7:G23)</f>
        <v>2562.32294336027</v>
      </c>
      <c r="H24" s="70" t="n">
        <f aca="false">SUM(H7:H23)</f>
        <v>2593.81957776137</v>
      </c>
      <c r="I24" s="70" t="n">
        <f aca="false">SUM(I7:I23)</f>
        <v>3164.03929862269</v>
      </c>
      <c r="J24" s="70" t="n">
        <f aca="false">SUM(J7:J23)</f>
        <v>3614.42793017204</v>
      </c>
      <c r="K24" s="70" t="n">
        <f aca="false">SUM(K7:K23)</f>
        <v>4064.97810066203</v>
      </c>
      <c r="L24" s="70" t="n">
        <f aca="false">SUM(L7:L23)</f>
        <v>4515.68288065008</v>
      </c>
      <c r="M24" s="70" t="n">
        <f aca="false">SUM(M7:M23)</f>
        <v>4966.53575646019</v>
      </c>
      <c r="N24" s="70" t="n">
        <f aca="false">SUM(N7:N23)</f>
        <v>5417.53060523692</v>
      </c>
      <c r="O24" s="64" t="n">
        <f aca="false">SUM(P24:AA24)</f>
        <v>139117.376350987</v>
      </c>
      <c r="P24" s="70" t="n">
        <f aca="false">SUM(P7:P23)</f>
        <v>7220.09826393722</v>
      </c>
      <c r="Q24" s="70" t="n">
        <f aca="false">SUM(Q7:Q23)</f>
        <v>7917.7480974197</v>
      </c>
      <c r="R24" s="70" t="n">
        <f aca="false">SUM(R7:R23)</f>
        <v>8606.46005381413</v>
      </c>
      <c r="S24" s="70" t="n">
        <f aca="false">SUM(S7:S23)</f>
        <v>9382.13557791393</v>
      </c>
      <c r="T24" s="70" t="n">
        <f aca="false">SUM(T7:T23)</f>
        <v>10057.3068911528</v>
      </c>
      <c r="U24" s="70" t="n">
        <f aca="false">SUM(U7:U23)</f>
        <v>10972.8735483166</v>
      </c>
      <c r="V24" s="70" t="n">
        <f aca="false">SUM(V7:V23)</f>
        <v>11861.4330857369</v>
      </c>
      <c r="W24" s="70" t="n">
        <f aca="false">SUM(W7:W23)</f>
        <v>12870.3066482798</v>
      </c>
      <c r="X24" s="70" t="n">
        <f aca="false">SUM(X7:X23)</f>
        <v>13639.4803216634</v>
      </c>
      <c r="Y24" s="70" t="n">
        <f aca="false">SUM(Y7:Y23)</f>
        <v>14584.4779941601</v>
      </c>
      <c r="Z24" s="70" t="n">
        <f aca="false">SUM(Z7:Z23)</f>
        <v>15529.7553279733</v>
      </c>
      <c r="AA24" s="70" t="n">
        <f aca="false">SUM(AA7:AA23)</f>
        <v>16475.3005406194</v>
      </c>
      <c r="AB24" s="64" t="n">
        <f aca="false">SUM(AC24:AN24)</f>
        <v>289077.917661554</v>
      </c>
      <c r="AC24" s="70" t="n">
        <f aca="false">SUM(AC7:AC23)</f>
        <v>19327.7352841263</v>
      </c>
      <c r="AD24" s="70" t="n">
        <f aca="false">SUM(AD7:AD23)</f>
        <v>19313.1379130707</v>
      </c>
      <c r="AE24" s="70" t="n">
        <f aca="false">SUM(AE7:AE23)</f>
        <v>19740.8261578065</v>
      </c>
      <c r="AF24" s="70" t="n">
        <f aca="false">SUM(AF7:AF23)</f>
        <v>21050.6194960479</v>
      </c>
      <c r="AG24" s="70" t="n">
        <f aca="false">SUM(AG7:AG23)</f>
        <v>22358.0775121151</v>
      </c>
      <c r="AH24" s="70" t="n">
        <f aca="false">SUM(AH7:AH23)</f>
        <v>23425.8550306191</v>
      </c>
      <c r="AI24" s="70" t="n">
        <f aca="false">SUM(AI7:AI23)</f>
        <v>24552.5973989279</v>
      </c>
      <c r="AJ24" s="70" t="n">
        <f aca="false">SUM(AJ7:AJ23)</f>
        <v>25679.6626943811</v>
      </c>
      <c r="AK24" s="70" t="n">
        <f aca="false">SUM(AK7:AK23)</f>
        <v>26803.0726994432</v>
      </c>
      <c r="AL24" s="70" t="n">
        <f aca="false">SUM(AL7:AL23)</f>
        <v>27872.419341861</v>
      </c>
      <c r="AM24" s="70" t="n">
        <f aca="false">SUM(AM7:AM23)</f>
        <v>28942.0277526146</v>
      </c>
      <c r="AN24" s="70" t="n">
        <f aca="false">SUM(AN7:AN23)</f>
        <v>30011.8863805403</v>
      </c>
      <c r="AO24" s="64" t="n">
        <f aca="false">SUM(AP24:BA24)</f>
        <v>513142.073439817</v>
      </c>
      <c r="AP24" s="70" t="n">
        <f aca="false">SUM(AP7:AP23)</f>
        <v>35072.1716060455</v>
      </c>
      <c r="AQ24" s="70" t="n">
        <f aca="false">SUM(AQ7:AQ23)</f>
        <v>36492.3864842138</v>
      </c>
      <c r="AR24" s="70" t="n">
        <f aca="false">SUM(AR7:AR23)</f>
        <v>37672.9321277114</v>
      </c>
      <c r="AS24" s="70" t="n">
        <f aca="false">SUM(AS7:AS23)</f>
        <v>39067.6942726082</v>
      </c>
      <c r="AT24" s="70" t="n">
        <f aca="false">SUM(AT7:AT23)</f>
        <v>40471.9646990514</v>
      </c>
      <c r="AU24" s="70" t="n">
        <f aca="false">SUM(AU7:AU23)</f>
        <v>41996.3331359811</v>
      </c>
      <c r="AV24" s="70" t="n">
        <f aca="false">SUM(AV7:AV23)</f>
        <v>43369.0536517993</v>
      </c>
      <c r="AW24" s="70" t="n">
        <f aca="false">SUM(AW7:AW23)</f>
        <v>44861.8621407607</v>
      </c>
      <c r="AX24" s="70" t="n">
        <f aca="false">SUM(AX7:AX23)</f>
        <v>46472.2234804425</v>
      </c>
      <c r="AY24" s="70" t="n">
        <f aca="false">SUM(AY7:AY23)</f>
        <v>47766.9773234713</v>
      </c>
      <c r="AZ24" s="70" t="n">
        <f aca="false">SUM(AZ7:AZ23)</f>
        <v>49301.796339214</v>
      </c>
      <c r="BA24" s="70" t="n">
        <f aca="false">SUM(BA7:BA23)</f>
        <v>50596.6781785176</v>
      </c>
      <c r="BB24" s="64" t="n">
        <f aca="false">SUM(BC24:BN24)</f>
        <v>798111.966133418</v>
      </c>
      <c r="BC24" s="70" t="n">
        <f aca="false">SUM(BC7:BC23)</f>
        <v>57516.6761884812</v>
      </c>
      <c r="BD24" s="70" t="n">
        <f aca="false">SUM(BD7:BD23)</f>
        <v>58973.0290440604</v>
      </c>
      <c r="BE24" s="70" t="n">
        <f aca="false">SUM(BE7:BE23)</f>
        <v>60570.6080605919</v>
      </c>
      <c r="BF24" s="70" t="n">
        <f aca="false">SUM(BF7:BF23)</f>
        <v>62384.9771097207</v>
      </c>
      <c r="BG24" s="70" t="n">
        <f aca="false">SUM(BG7:BG23)</f>
        <v>63958.1052510646</v>
      </c>
      <c r="BH24" s="70" t="n">
        <f aca="false">SUM(BH7:BH23)</f>
        <v>65771.243566453</v>
      </c>
      <c r="BI24" s="70" t="n">
        <f aca="false">SUM(BI7:BI23)</f>
        <v>67337.1663845899</v>
      </c>
      <c r="BJ24" s="70" t="n">
        <f aca="false">SUM(BJ7:BJ23)</f>
        <v>69023.1051315276</v>
      </c>
      <c r="BK24" s="70" t="n">
        <f aca="false">SUM(BK7:BK23)</f>
        <v>70824.801934761</v>
      </c>
      <c r="BL24" s="70" t="n">
        <f aca="false">SUM(BL7:BL23)</f>
        <v>72291.1088369719</v>
      </c>
      <c r="BM24" s="70" t="n">
        <f aca="false">SUM(BM7:BM23)</f>
        <v>73997.416662787</v>
      </c>
      <c r="BN24" s="70" t="n">
        <f aca="false">SUM(BN7:BN23)</f>
        <v>75463.7279624086</v>
      </c>
    </row>
    <row r="25" customFormat="false" ht="15" hidden="false" customHeight="false" outlineLevel="0" collapsed="false">
      <c r="A25" s="66" t="s">
        <v>87</v>
      </c>
      <c r="B25" s="67" t="n">
        <f aca="false">SUM(C25:N25)</f>
        <v>59542.6300288428</v>
      </c>
      <c r="C25" s="68" t="n">
        <f aca="false">'Total Revenue'!C$25-C24</f>
        <v>-1534.1500858382</v>
      </c>
      <c r="D25" s="68" t="n">
        <f aca="false">'Total Revenue'!D$25-D24</f>
        <v>2929.27661128551</v>
      </c>
      <c r="E25" s="68" t="n">
        <f aca="false">'Total Revenue'!E$25-E24</f>
        <v>3892.40457876733</v>
      </c>
      <c r="F25" s="68" t="n">
        <f aca="false">'Total Revenue'!F$25-F24</f>
        <v>4017.22512674103</v>
      </c>
      <c r="G25" s="68" t="n">
        <f aca="false">'Total Revenue'!G$25-G24</f>
        <v>4130.30233296353</v>
      </c>
      <c r="H25" s="68" t="n">
        <f aca="false">'Total Revenue'!H$25-H24</f>
        <v>4243.74722745643</v>
      </c>
      <c r="I25" s="68" t="n">
        <f aca="false">'Total Revenue'!I$25-I24</f>
        <v>4937.12606596108</v>
      </c>
      <c r="J25" s="68" t="n">
        <f aca="false">'Total Revenue'!J$25-J24</f>
        <v>5751.65165752853</v>
      </c>
      <c r="K25" s="68" t="n">
        <f aca="false">'Total Revenue'!K$25-K24</f>
        <v>6567.33137390617</v>
      </c>
      <c r="L25" s="68" t="n">
        <f aca="false">'Total Revenue'!L$25-L24</f>
        <v>7384.17214453656</v>
      </c>
      <c r="M25" s="68" t="n">
        <f aca="false">'Total Revenue'!M$25-M24</f>
        <v>8202.18048309573</v>
      </c>
      <c r="N25" s="68" t="n">
        <f aca="false">'Total Revenue'!N$25-N24</f>
        <v>9021.3625124391</v>
      </c>
      <c r="O25" s="67" t="n">
        <f aca="false">SUM(P25:AA25)</f>
        <v>225163.513965362</v>
      </c>
      <c r="P25" s="68" t="n">
        <f aca="false">'Total Revenue'!P$25-P24</f>
        <v>10406.7610959904</v>
      </c>
      <c r="Q25" s="68" t="n">
        <f aca="false">'Total Revenue'!Q$25-Q24</f>
        <v>11400.0176657961</v>
      </c>
      <c r="R25" s="68" t="n">
        <f aca="false">'Total Revenue'!R$25-R24</f>
        <v>12726.1500177757</v>
      </c>
      <c r="S25" s="68" t="n">
        <f aca="false">'Total Revenue'!S$25-S24</f>
        <v>14272.0101806217</v>
      </c>
      <c r="T25" s="68" t="n">
        <f aca="false">'Total Revenue'!T$25-T24</f>
        <v>16012.6182301442</v>
      </c>
      <c r="U25" s="68" t="n">
        <f aca="false">'Total Revenue'!U$25-U24</f>
        <v>17516.2043880739</v>
      </c>
      <c r="V25" s="68" t="n">
        <f aca="false">'Total Revenue'!V$25-V24</f>
        <v>19278.6606227479</v>
      </c>
      <c r="W25" s="68" t="n">
        <f aca="false">'Total Revenue'!W$25-W24</f>
        <v>20923.1491301177</v>
      </c>
      <c r="X25" s="68" t="n">
        <f aca="false">'Total Revenue'!X$25-X24</f>
        <v>22809.6838244652</v>
      </c>
      <c r="Y25" s="68" t="n">
        <f aca="false">'Total Revenue'!Y$25-Y24</f>
        <v>24722.6886282633</v>
      </c>
      <c r="Z25" s="68" t="n">
        <f aca="false">'Total Revenue'!Z$25-Z24</f>
        <v>26614.8947377661</v>
      </c>
      <c r="AA25" s="68" t="n">
        <f aca="false">'Total Revenue'!AA$25-AA24</f>
        <v>28480.6754436003</v>
      </c>
      <c r="AB25" s="67" t="n">
        <f aca="false">SUM(AC25:AN25)</f>
        <v>463503.346230496</v>
      </c>
      <c r="AC25" s="68" t="n">
        <f aca="false">'Total Revenue'!AC$25-AC24</f>
        <v>29710.8237846079</v>
      </c>
      <c r="AD25" s="68" t="n">
        <f aca="false">'Total Revenue'!AD$25-AD24</f>
        <v>30177.3633977864</v>
      </c>
      <c r="AE25" s="68" t="n">
        <f aca="false">'Total Revenue'!AE$25-AE24</f>
        <v>31234.064669827</v>
      </c>
      <c r="AF25" s="68" t="n">
        <f aca="false">'Total Revenue'!AF$25-AF24</f>
        <v>33219.5292366897</v>
      </c>
      <c r="AG25" s="68" t="n">
        <f aca="false">'Total Revenue'!AG$25-AG24</f>
        <v>35195.7933322056</v>
      </c>
      <c r="AH25" s="68" t="n">
        <f aca="false">'Total Revenue'!AH$25-AH24</f>
        <v>37413.5578942403</v>
      </c>
      <c r="AI25" s="68" t="n">
        <f aca="false">'Total Revenue'!AI$25-AI24</f>
        <v>39501.2119207625</v>
      </c>
      <c r="AJ25" s="68" t="n">
        <f aca="false">'Total Revenue'!AJ$25-AJ24</f>
        <v>41590.6762099627</v>
      </c>
      <c r="AK25" s="68" t="n">
        <f aca="false">'Total Revenue'!AK$25-AK24</f>
        <v>43593.6578689772</v>
      </c>
      <c r="AL25" s="68" t="n">
        <f aca="false">'Total Revenue'!AL$25-AL24</f>
        <v>45440.1271465647</v>
      </c>
      <c r="AM25" s="68" t="n">
        <f aca="false">'Total Revenue'!AM$25-AM24</f>
        <v>47288.3131971064</v>
      </c>
      <c r="AN25" s="68" t="n">
        <f aca="false">'Total Revenue'!AN$25-AN24</f>
        <v>49138.227571766</v>
      </c>
      <c r="AO25" s="67" t="n">
        <f aca="false">SUM(AP25:BA25)</f>
        <v>803468.853243025</v>
      </c>
      <c r="AP25" s="68" t="n">
        <f aca="false">'Total Revenue'!AP$25-AP24</f>
        <v>54596.010158615</v>
      </c>
      <c r="AQ25" s="68" t="n">
        <f aca="false">'Total Revenue'!AQ$25-AQ24</f>
        <v>56541.5817203735</v>
      </c>
      <c r="AR25" s="68" t="n">
        <f aca="false">'Total Revenue'!AR$25-AR24</f>
        <v>58721.6072981058</v>
      </c>
      <c r="AS25" s="68" t="n">
        <f aca="false">'Total Revenue'!AS$25-AS24</f>
        <v>61023.7968383258</v>
      </c>
      <c r="AT25" s="68" t="n">
        <f aca="false">'Total Revenue'!AT$25-AT24</f>
        <v>63366.4526856364</v>
      </c>
      <c r="AU25" s="68" t="n">
        <f aca="false">'Total Revenue'!AU$25-AU24</f>
        <v>65589.9101981327</v>
      </c>
      <c r="AV25" s="68" t="n">
        <f aca="false">'Total Revenue'!AV$25-AV24</f>
        <v>68129.9640926082</v>
      </c>
      <c r="AW25" s="68" t="n">
        <f aca="false">'Total Revenue'!AW$25-AW24</f>
        <v>70550.6637105266</v>
      </c>
      <c r="AX25" s="68" t="n">
        <f aca="false">'Total Revenue'!AX$25-AX24</f>
        <v>72845.1975227526</v>
      </c>
      <c r="AY25" s="68" t="n">
        <f aca="false">'Total Revenue'!AY$25-AY24</f>
        <v>75186.0910324224</v>
      </c>
      <c r="AZ25" s="68" t="n">
        <f aca="false">'Total Revenue'!AZ$25-AZ24</f>
        <v>77287.6628027221</v>
      </c>
      <c r="BA25" s="68" t="n">
        <f aca="false">'Total Revenue'!BA$25-BA24</f>
        <v>79629.9151828043</v>
      </c>
      <c r="BB25" s="67" t="n">
        <f aca="false">SUM(BC25:BN25)</f>
        <v>1203111.23005978</v>
      </c>
      <c r="BC25" s="68" t="n">
        <f aca="false">'Total Revenue'!BC$25-BC24</f>
        <v>86239.7378068892</v>
      </c>
      <c r="BD25" s="68" t="n">
        <f aca="false">'Total Revenue'!BD$25-BD24</f>
        <v>88702.1042614438</v>
      </c>
      <c r="BE25" s="68" t="n">
        <f aca="false">'Total Revenue'!BE$25-BE24</f>
        <v>91095.5942953647</v>
      </c>
      <c r="BF25" s="68" t="n">
        <f aca="false">'Total Revenue'!BF$25-BF24</f>
        <v>93628.7719364761</v>
      </c>
      <c r="BG25" s="68" t="n">
        <f aca="false">'Total Revenue'!BG$25-BG24</f>
        <v>96397.7294571174</v>
      </c>
      <c r="BH25" s="68" t="n">
        <f aca="false">'Total Revenue'!BH$25-BH24</f>
        <v>98927.9802136763</v>
      </c>
      <c r="BI25" s="68" t="n">
        <f aca="false">'Total Revenue'!BI$25-BI24</f>
        <v>101698.882980369</v>
      </c>
      <c r="BJ25" s="68" t="n">
        <f aca="false">'Total Revenue'!BJ$25-BJ24</f>
        <v>104351.060466764</v>
      </c>
      <c r="BK25" s="68" t="n">
        <f aca="false">'Total Revenue'!BK$25-BK24</f>
        <v>106873.354751911</v>
      </c>
      <c r="BL25" s="68" t="n">
        <f aca="false">'Total Revenue'!BL$25-BL24</f>
        <v>109381.853551155</v>
      </c>
      <c r="BM25" s="68" t="n">
        <f aca="false">'Total Revenue'!BM$25-BM24</f>
        <v>111651.592197593</v>
      </c>
      <c r="BN25" s="68" t="n">
        <f aca="false">'Total Revenue'!BN$25-BN24</f>
        <v>114162.56814102</v>
      </c>
    </row>
    <row r="26" customFormat="false" ht="15" hidden="false" customHeight="false" outlineLevel="0" collapsed="false">
      <c r="A26" s="12" t="s">
        <v>818</v>
      </c>
      <c r="B26" s="89" t="n">
        <f aca="false">IFERROR(AVERAGE(C26:N26),0)</f>
        <v>0.520595602752742</v>
      </c>
      <c r="C26" s="90" t="n">
        <f aca="false">IFERROR(C25/'Total Revenue'!C$25,0)</f>
        <v>-0.467942021156104</v>
      </c>
      <c r="D26" s="90" t="n">
        <f aca="false">IFERROR(D25/'Total Revenue'!D$25,0)</f>
        <v>0.559493180672942</v>
      </c>
      <c r="E26" s="90" t="n">
        <f aca="false">IFERROR(E25/'Total Revenue'!E$25,0)</f>
        <v>0.594925809335308</v>
      </c>
      <c r="F26" s="90" t="n">
        <f aca="false">IFERROR(F25/'Total Revenue'!F$25,0)</f>
        <v>0.613495866319041</v>
      </c>
      <c r="G26" s="90" t="n">
        <f aca="false">IFERROR(G25/'Total Revenue'!G$25,0)</f>
        <v>0.61714232643132</v>
      </c>
      <c r="H26" s="90" t="n">
        <f aca="false">IFERROR(H25/'Total Revenue'!H$25,0)</f>
        <v>0.620651665767711</v>
      </c>
      <c r="I26" s="90" t="n">
        <f aca="false">IFERROR(I25/'Total Revenue'!I$25,0)</f>
        <v>0.609434055937796</v>
      </c>
      <c r="J26" s="90" t="n">
        <f aca="false">IFERROR(J25/'Total Revenue'!J$25,0)</f>
        <v>0.614093826949915</v>
      </c>
      <c r="K26" s="90" t="n">
        <f aca="false">IFERROR(K25/'Total Revenue'!K$25,0)</f>
        <v>0.617676845243717</v>
      </c>
      <c r="L26" s="90" t="n">
        <f aca="false">IFERROR(L25/'Total Revenue'!L$25,0)</f>
        <v>0.620526227328618</v>
      </c>
      <c r="M26" s="90" t="n">
        <f aca="false">IFERROR(M25/'Total Revenue'!M$25,0)</f>
        <v>0.622853460723695</v>
      </c>
      <c r="N26" s="90" t="n">
        <f aca="false">IFERROR(N25/'Total Revenue'!N$25,0)</f>
        <v>0.624795989478944</v>
      </c>
      <c r="O26" s="89" t="n">
        <f aca="false">IFERROR(AVERAGE(P26:AA26),0)</f>
        <v>0.613961347203493</v>
      </c>
      <c r="P26" s="90" t="n">
        <f aca="false">IFERROR(P25/'Total Revenue'!P$25,0)</f>
        <v>0.59039224648543</v>
      </c>
      <c r="Q26" s="90" t="n">
        <f aca="false">IFERROR(Q25/'Total Revenue'!Q$25,0)</f>
        <v>0.590131271158885</v>
      </c>
      <c r="R26" s="90" t="n">
        <f aca="false">IFERROR(R25/'Total Revenue'!R$25,0)</f>
        <v>0.596558507143204</v>
      </c>
      <c r="S26" s="90" t="n">
        <f aca="false">IFERROR(S25/'Total Revenue'!S$25,0)</f>
        <v>0.603361893780148</v>
      </c>
      <c r="T26" s="90" t="n">
        <f aca="false">IFERROR(T25/'Total Revenue'!T$25,0)</f>
        <v>0.614218036900429</v>
      </c>
      <c r="U26" s="90" t="n">
        <f aca="false">IFERROR(U25/'Total Revenue'!U$25,0)</f>
        <v>0.614839287785428</v>
      </c>
      <c r="V26" s="90" t="n">
        <f aca="false">IFERROR(V25/'Total Revenue'!V$25,0)</f>
        <v>0.619094496093151</v>
      </c>
      <c r="W26" s="90" t="n">
        <f aca="false">IFERROR(W25/'Total Revenue'!W$25,0)</f>
        <v>0.619147957738398</v>
      </c>
      <c r="X26" s="90" t="n">
        <f aca="false">IFERROR(X25/'Total Revenue'!X$25,0)</f>
        <v>0.625794427905637</v>
      </c>
      <c r="Y26" s="90" t="n">
        <f aca="false">IFERROR(Y25/'Total Revenue'!Y$25,0)</f>
        <v>0.628961351138442</v>
      </c>
      <c r="Z26" s="90" t="n">
        <f aca="false">IFERROR(Z25/'Total Revenue'!Z$25,0)</f>
        <v>0.631513008086455</v>
      </c>
      <c r="AA26" s="90" t="n">
        <f aca="false">IFERROR(AA25/'Total Revenue'!AA$25,0)</f>
        <v>0.633523682226307</v>
      </c>
      <c r="AB26" s="89" t="n">
        <f aca="false">IFERROR(AVERAGE(AC26:AN26),0)</f>
        <v>0.615178135391278</v>
      </c>
      <c r="AC26" s="90" t="n">
        <f aca="false">IFERROR(AC25/'Total Revenue'!AC$25,0)</f>
        <v>0.60586657415778</v>
      </c>
      <c r="AD26" s="90" t="n">
        <f aca="false">IFERROR(AD25/'Total Revenue'!AD$25,0)</f>
        <v>0.609760713641553</v>
      </c>
      <c r="AE26" s="90" t="n">
        <f aca="false">IFERROR(AE25/'Total Revenue'!AE$25,0)</f>
        <v>0.612734312182088</v>
      </c>
      <c r="AF26" s="90" t="n">
        <f aca="false">IFERROR(AF25/'Total Revenue'!AF$25,0)</f>
        <v>0.612114210342132</v>
      </c>
      <c r="AG26" s="90" t="n">
        <f aca="false">IFERROR(AG25/'Total Revenue'!AG$25,0)</f>
        <v>0.611527822818517</v>
      </c>
      <c r="AH26" s="90" t="n">
        <f aca="false">IFERROR(AH25/'Total Revenue'!AH$25,0)</f>
        <v>0.614955932274502</v>
      </c>
      <c r="AI26" s="90" t="n">
        <f aca="false">IFERROR(AI25/'Total Revenue'!AI$25,0)</f>
        <v>0.616687943157499</v>
      </c>
      <c r="AJ26" s="90" t="n">
        <f aca="false">IFERROR(AJ25/'Total Revenue'!AJ$25,0)</f>
        <v>0.61826173150552</v>
      </c>
      <c r="AK26" s="90" t="n">
        <f aca="false">IFERROR(AK25/'Total Revenue'!AK$25,0)</f>
        <v>0.61925685350696</v>
      </c>
      <c r="AL26" s="90" t="n">
        <f aca="false">IFERROR(AL25/'Total Revenue'!AL$25,0)</f>
        <v>0.619813787995191</v>
      </c>
      <c r="AM26" s="90" t="n">
        <f aca="false">IFERROR(AM25/'Total Revenue'!AM$25,0)</f>
        <v>0.620334536195978</v>
      </c>
      <c r="AN26" s="90" t="n">
        <f aca="false">IFERROR(AN25/'Total Revenue'!AN$25,0)</f>
        <v>0.620823206917621</v>
      </c>
      <c r="AO26" s="89" t="n">
        <f aca="false">IFERROR(AVERAGE(AP26:BA26),0)</f>
        <v>0.610143802058157</v>
      </c>
      <c r="AP26" s="90" t="n">
        <f aca="false">IFERROR(AP25/'Total Revenue'!AP$25,0)</f>
        <v>0.608867148682746</v>
      </c>
      <c r="AQ26" s="90" t="n">
        <f aca="false">IFERROR(AQ25/'Total Revenue'!AQ$25,0)</f>
        <v>0.607752015866239</v>
      </c>
      <c r="AR26" s="90" t="n">
        <f aca="false">IFERROR(AR25/'Total Revenue'!AR$25,0)</f>
        <v>0.609179810888525</v>
      </c>
      <c r="AS26" s="90" t="n">
        <f aca="false">IFERROR(AS25/'Total Revenue'!AS$25,0)</f>
        <v>0.609680165226947</v>
      </c>
      <c r="AT26" s="90" t="n">
        <f aca="false">IFERROR(AT25/'Total Revenue'!AT$25,0)</f>
        <v>0.610240932803167</v>
      </c>
      <c r="AU26" s="90" t="n">
        <f aca="false">IFERROR(AU25/'Total Revenue'!AU$25,0)</f>
        <v>0.609649599851167</v>
      </c>
      <c r="AV26" s="90" t="n">
        <f aca="false">IFERROR(AV25/'Total Revenue'!AV$25,0)</f>
        <v>0.611036451000712</v>
      </c>
      <c r="AW26" s="90" t="n">
        <f aca="false">IFERROR(AW25/'Total Revenue'!AW$25,0)</f>
        <v>0.611291219823344</v>
      </c>
      <c r="AX26" s="90" t="n">
        <f aca="false">IFERROR(AX25/'Total Revenue'!AX$25,0)</f>
        <v>0.610516024485661</v>
      </c>
      <c r="AY26" s="90" t="n">
        <f aca="false">IFERROR(AY25/'Total Revenue'!AY$25,0)</f>
        <v>0.611502356450289</v>
      </c>
      <c r="AZ26" s="90" t="n">
        <f aca="false">IFERROR(AZ25/'Total Revenue'!AZ$25,0)</f>
        <v>0.610537902022828</v>
      </c>
      <c r="BA26" s="90" t="n">
        <f aca="false">IFERROR(BA25/'Total Revenue'!BA$25,0)</f>
        <v>0.611471997596267</v>
      </c>
      <c r="BB26" s="89" t="n">
        <f aca="false">IFERROR(AVERAGE(BC26:BN26),0)</f>
        <v>0.601134891977235</v>
      </c>
      <c r="BC26" s="90" t="n">
        <f aca="false">IFERROR(BC25/'Total Revenue'!BC$25,0)</f>
        <v>0.599901843751239</v>
      </c>
      <c r="BD26" s="90" t="n">
        <f aca="false">IFERROR(BD25/'Total Revenue'!BD$25,0)</f>
        <v>0.600657011617119</v>
      </c>
      <c r="BE26" s="90" t="n">
        <f aca="false">IFERROR(BE25/'Total Revenue'!BE$25,0)</f>
        <v>0.600632130826127</v>
      </c>
      <c r="BF26" s="90" t="n">
        <f aca="false">IFERROR(BF25/'Total Revenue'!BF$25,0)</f>
        <v>0.600131542949794</v>
      </c>
      <c r="BG26" s="90" t="n">
        <f aca="false">IFERROR(BG25/'Total Revenue'!BG$25,0)</f>
        <v>0.601148873893759</v>
      </c>
      <c r="BH26" s="90" t="n">
        <f aca="false">IFERROR(BH25/'Total Revenue'!BH$25,0)</f>
        <v>0.600658448431691</v>
      </c>
      <c r="BI26" s="90" t="n">
        <f aca="false">IFERROR(BI25/'Total Revenue'!BI$25,0)</f>
        <v>0.601640202562917</v>
      </c>
      <c r="BJ26" s="90" t="n">
        <f aca="false">IFERROR(BJ25/'Total Revenue'!BJ$25,0)</f>
        <v>0.6018835626788</v>
      </c>
      <c r="BK26" s="90" t="n">
        <f aca="false">IFERROR(BK25/'Total Revenue'!BK$25,0)</f>
        <v>0.601431983002258</v>
      </c>
      <c r="BL26" s="90" t="n">
        <f aca="false">IFERROR(BL25/'Total Revenue'!BL$25,0)</f>
        <v>0.602081080824076</v>
      </c>
      <c r="BM26" s="90" t="n">
        <f aca="false">IFERROR(BM25/'Total Revenue'!BM$25,0)</f>
        <v>0.601412271915559</v>
      </c>
      <c r="BN26" s="90" t="n">
        <f aca="false">IFERROR(BN25/'Total Revenue'!BN$25,0)</f>
        <v>0.602039751273484</v>
      </c>
    </row>
    <row r="28" customFormat="false" ht="16.5" hidden="false" customHeight="true" outlineLevel="0" collapsed="false">
      <c r="A28" s="15" t="s">
        <v>819</v>
      </c>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row>
    <row r="29" customFormat="false" ht="15" hidden="false" customHeight="true" outlineLevel="0" collapsed="false">
      <c r="A29" s="26" t="s">
        <v>481</v>
      </c>
      <c r="B29" s="61" t="s">
        <v>81</v>
      </c>
      <c r="C29" s="62" t="s">
        <v>482</v>
      </c>
      <c r="D29" s="62" t="s">
        <v>483</v>
      </c>
      <c r="E29" s="62" t="s">
        <v>484</v>
      </c>
      <c r="F29" s="62" t="s">
        <v>485</v>
      </c>
      <c r="G29" s="62" t="s">
        <v>486</v>
      </c>
      <c r="H29" s="62" t="s">
        <v>487</v>
      </c>
      <c r="I29" s="62" t="s">
        <v>488</v>
      </c>
      <c r="J29" s="62" t="s">
        <v>489</v>
      </c>
      <c r="K29" s="62" t="s">
        <v>490</v>
      </c>
      <c r="L29" s="62" t="s">
        <v>491</v>
      </c>
      <c r="M29" s="62" t="s">
        <v>492</v>
      </c>
      <c r="N29" s="62" t="s">
        <v>493</v>
      </c>
      <c r="O29" s="61" t="s">
        <v>82</v>
      </c>
      <c r="P29" s="63" t="s">
        <v>494</v>
      </c>
      <c r="Q29" s="63" t="s">
        <v>495</v>
      </c>
      <c r="R29" s="63" t="s">
        <v>496</v>
      </c>
      <c r="S29" s="63" t="s">
        <v>497</v>
      </c>
      <c r="T29" s="63" t="s">
        <v>498</v>
      </c>
      <c r="U29" s="63" t="s">
        <v>499</v>
      </c>
      <c r="V29" s="63" t="s">
        <v>500</v>
      </c>
      <c r="W29" s="63" t="s">
        <v>501</v>
      </c>
      <c r="X29" s="63" t="s">
        <v>502</v>
      </c>
      <c r="Y29" s="63" t="s">
        <v>503</v>
      </c>
      <c r="Z29" s="63" t="s">
        <v>504</v>
      </c>
      <c r="AA29" s="63" t="s">
        <v>505</v>
      </c>
      <c r="AB29" s="61" t="s">
        <v>83</v>
      </c>
      <c r="AC29" s="62" t="s">
        <v>506</v>
      </c>
      <c r="AD29" s="62" t="s">
        <v>507</v>
      </c>
      <c r="AE29" s="62" t="s">
        <v>508</v>
      </c>
      <c r="AF29" s="62" t="s">
        <v>509</v>
      </c>
      <c r="AG29" s="62" t="s">
        <v>510</v>
      </c>
      <c r="AH29" s="62" t="s">
        <v>511</v>
      </c>
      <c r="AI29" s="62" t="s">
        <v>512</v>
      </c>
      <c r="AJ29" s="62" t="s">
        <v>513</v>
      </c>
      <c r="AK29" s="62" t="s">
        <v>514</v>
      </c>
      <c r="AL29" s="62" t="s">
        <v>515</v>
      </c>
      <c r="AM29" s="62" t="s">
        <v>516</v>
      </c>
      <c r="AN29" s="62" t="s">
        <v>517</v>
      </c>
      <c r="AO29" s="61" t="s">
        <v>84</v>
      </c>
      <c r="AP29" s="63" t="s">
        <v>518</v>
      </c>
      <c r="AQ29" s="63" t="s">
        <v>519</v>
      </c>
      <c r="AR29" s="63" t="s">
        <v>520</v>
      </c>
      <c r="AS29" s="63" t="s">
        <v>521</v>
      </c>
      <c r="AT29" s="63" t="s">
        <v>522</v>
      </c>
      <c r="AU29" s="63" t="s">
        <v>523</v>
      </c>
      <c r="AV29" s="63" t="s">
        <v>524</v>
      </c>
      <c r="AW29" s="63" t="s">
        <v>525</v>
      </c>
      <c r="AX29" s="63" t="s">
        <v>526</v>
      </c>
      <c r="AY29" s="63" t="s">
        <v>527</v>
      </c>
      <c r="AZ29" s="63" t="s">
        <v>528</v>
      </c>
      <c r="BA29" s="63" t="s">
        <v>529</v>
      </c>
      <c r="BB29" s="61" t="s">
        <v>85</v>
      </c>
      <c r="BC29" s="62" t="s">
        <v>530</v>
      </c>
      <c r="BD29" s="62" t="s">
        <v>531</v>
      </c>
      <c r="BE29" s="62" t="s">
        <v>532</v>
      </c>
      <c r="BF29" s="62" t="s">
        <v>533</v>
      </c>
      <c r="BG29" s="62" t="s">
        <v>534</v>
      </c>
      <c r="BH29" s="62" t="s">
        <v>535</v>
      </c>
      <c r="BI29" s="62" t="s">
        <v>536</v>
      </c>
      <c r="BJ29" s="62" t="s">
        <v>537</v>
      </c>
      <c r="BK29" s="62" t="s">
        <v>538</v>
      </c>
      <c r="BL29" s="62" t="s">
        <v>539</v>
      </c>
      <c r="BM29" s="62" t="s">
        <v>540</v>
      </c>
      <c r="BN29" s="62" t="s">
        <v>541</v>
      </c>
    </row>
    <row r="30" customFormat="false" ht="15" hidden="false" customHeight="false" outlineLevel="0" collapsed="false">
      <c r="A30" s="12" t="s">
        <v>820</v>
      </c>
      <c r="B30" s="64" t="n">
        <f aca="false">SUM(C30:N30)</f>
        <v>60984</v>
      </c>
      <c r="C30" s="76" t="n">
        <f aca="false">Payroll!C$45</f>
        <v>5082</v>
      </c>
      <c r="D30" s="76" t="n">
        <f aca="false">Payroll!D$45</f>
        <v>5082</v>
      </c>
      <c r="E30" s="76" t="n">
        <f aca="false">Payroll!E$45</f>
        <v>5082</v>
      </c>
      <c r="F30" s="76" t="n">
        <f aca="false">Payroll!F$45</f>
        <v>5082</v>
      </c>
      <c r="G30" s="76" t="n">
        <f aca="false">Payroll!G$45</f>
        <v>5082</v>
      </c>
      <c r="H30" s="76" t="n">
        <f aca="false">Payroll!H$45</f>
        <v>5082</v>
      </c>
      <c r="I30" s="76" t="n">
        <f aca="false">Payroll!I$45</f>
        <v>5082</v>
      </c>
      <c r="J30" s="76" t="n">
        <f aca="false">Payroll!J$45</f>
        <v>5082</v>
      </c>
      <c r="K30" s="76" t="n">
        <f aca="false">Payroll!K$45</f>
        <v>5082</v>
      </c>
      <c r="L30" s="76" t="n">
        <f aca="false">Payroll!L$45</f>
        <v>5082</v>
      </c>
      <c r="M30" s="76" t="n">
        <f aca="false">Payroll!M$45</f>
        <v>5082</v>
      </c>
      <c r="N30" s="76" t="n">
        <f aca="false">Payroll!N$45</f>
        <v>5082</v>
      </c>
      <c r="O30" s="64" t="n">
        <f aca="false">SUM(P30:AA30)</f>
        <v>127512</v>
      </c>
      <c r="P30" s="76" t="n">
        <f aca="false">Payroll!P$45</f>
        <v>10626</v>
      </c>
      <c r="Q30" s="76" t="n">
        <f aca="false">Payroll!Q$45</f>
        <v>10626</v>
      </c>
      <c r="R30" s="76" t="n">
        <f aca="false">Payroll!R$45</f>
        <v>10626</v>
      </c>
      <c r="S30" s="76" t="n">
        <f aca="false">Payroll!S$45</f>
        <v>10626</v>
      </c>
      <c r="T30" s="76" t="n">
        <f aca="false">Payroll!T$45</f>
        <v>10626</v>
      </c>
      <c r="U30" s="76" t="n">
        <f aca="false">Payroll!U$45</f>
        <v>10626</v>
      </c>
      <c r="V30" s="76" t="n">
        <f aca="false">Payroll!V$45</f>
        <v>10626</v>
      </c>
      <c r="W30" s="76" t="n">
        <f aca="false">Payroll!W$45</f>
        <v>10626</v>
      </c>
      <c r="X30" s="76" t="n">
        <f aca="false">Payroll!X$45</f>
        <v>10626</v>
      </c>
      <c r="Y30" s="76" t="n">
        <f aca="false">Payroll!Y$45</f>
        <v>10626</v>
      </c>
      <c r="Z30" s="76" t="n">
        <f aca="false">Payroll!Z$45</f>
        <v>10626</v>
      </c>
      <c r="AA30" s="76" t="n">
        <f aca="false">Payroll!AA$45</f>
        <v>10626</v>
      </c>
      <c r="AB30" s="64" t="n">
        <f aca="false">SUM(AC30:AN30)</f>
        <v>216216</v>
      </c>
      <c r="AC30" s="76" t="n">
        <f aca="false">Payroll!AC$45</f>
        <v>18018</v>
      </c>
      <c r="AD30" s="76" t="n">
        <f aca="false">Payroll!AD$45</f>
        <v>18018</v>
      </c>
      <c r="AE30" s="76" t="n">
        <f aca="false">Payroll!AE$45</f>
        <v>18018</v>
      </c>
      <c r="AF30" s="76" t="n">
        <f aca="false">Payroll!AF$45</f>
        <v>18018</v>
      </c>
      <c r="AG30" s="76" t="n">
        <f aca="false">Payroll!AG$45</f>
        <v>18018</v>
      </c>
      <c r="AH30" s="76" t="n">
        <f aca="false">Payroll!AH$45</f>
        <v>18018</v>
      </c>
      <c r="AI30" s="76" t="n">
        <f aca="false">Payroll!AI$45</f>
        <v>18018</v>
      </c>
      <c r="AJ30" s="76" t="n">
        <f aca="false">Payroll!AJ$45</f>
        <v>18018</v>
      </c>
      <c r="AK30" s="76" t="n">
        <f aca="false">Payroll!AK$45</f>
        <v>18018</v>
      </c>
      <c r="AL30" s="76" t="n">
        <f aca="false">Payroll!AL$45</f>
        <v>18018</v>
      </c>
      <c r="AM30" s="76" t="n">
        <f aca="false">Payroll!AM$45</f>
        <v>18018</v>
      </c>
      <c r="AN30" s="76" t="n">
        <f aca="false">Payroll!AN$45</f>
        <v>18018</v>
      </c>
      <c r="AO30" s="64" t="n">
        <f aca="false">SUM(AP30:BA30)</f>
        <v>297990</v>
      </c>
      <c r="AP30" s="76" t="n">
        <f aca="false">Payroll!AP$45</f>
        <v>24832.5</v>
      </c>
      <c r="AQ30" s="76" t="n">
        <f aca="false">Payroll!AQ$45</f>
        <v>24832.5</v>
      </c>
      <c r="AR30" s="76" t="n">
        <f aca="false">Payroll!AR$45</f>
        <v>24832.5</v>
      </c>
      <c r="AS30" s="76" t="n">
        <f aca="false">Payroll!AS$45</f>
        <v>24832.5</v>
      </c>
      <c r="AT30" s="76" t="n">
        <f aca="false">Payroll!AT$45</f>
        <v>24832.5</v>
      </c>
      <c r="AU30" s="76" t="n">
        <f aca="false">Payroll!AU$45</f>
        <v>24832.5</v>
      </c>
      <c r="AV30" s="76" t="n">
        <f aca="false">Payroll!AV$45</f>
        <v>24832.5</v>
      </c>
      <c r="AW30" s="76" t="n">
        <f aca="false">Payroll!AW$45</f>
        <v>24832.5</v>
      </c>
      <c r="AX30" s="76" t="n">
        <f aca="false">Payroll!AX$45</f>
        <v>24832.5</v>
      </c>
      <c r="AY30" s="76" t="n">
        <f aca="false">Payroll!AY$45</f>
        <v>24832.5</v>
      </c>
      <c r="AZ30" s="76" t="n">
        <f aca="false">Payroll!AZ$45</f>
        <v>24832.5</v>
      </c>
      <c r="BA30" s="76" t="n">
        <f aca="false">Payroll!BA$45</f>
        <v>24832.5</v>
      </c>
      <c r="BB30" s="64" t="n">
        <f aca="false">SUM(BC30:BN30)</f>
        <v>374220</v>
      </c>
      <c r="BC30" s="76" t="n">
        <f aca="false">Payroll!BC$45</f>
        <v>31185</v>
      </c>
      <c r="BD30" s="76" t="n">
        <f aca="false">Payroll!BD$45</f>
        <v>31185</v>
      </c>
      <c r="BE30" s="76" t="n">
        <f aca="false">Payroll!BE$45</f>
        <v>31185</v>
      </c>
      <c r="BF30" s="76" t="n">
        <f aca="false">Payroll!BF$45</f>
        <v>31185</v>
      </c>
      <c r="BG30" s="76" t="n">
        <f aca="false">Payroll!BG$45</f>
        <v>31185</v>
      </c>
      <c r="BH30" s="76" t="n">
        <f aca="false">Payroll!BH$45</f>
        <v>31185</v>
      </c>
      <c r="BI30" s="76" t="n">
        <f aca="false">Payroll!BI$45</f>
        <v>31185</v>
      </c>
      <c r="BJ30" s="76" t="n">
        <f aca="false">Payroll!BJ$45</f>
        <v>31185</v>
      </c>
      <c r="BK30" s="76" t="n">
        <f aca="false">Payroll!BK$45</f>
        <v>31185</v>
      </c>
      <c r="BL30" s="76" t="n">
        <f aca="false">Payroll!BL$45</f>
        <v>31185</v>
      </c>
      <c r="BM30" s="76" t="n">
        <f aca="false">Payroll!BM$45</f>
        <v>31185</v>
      </c>
      <c r="BN30" s="76" t="n">
        <f aca="false">Payroll!BN$45</f>
        <v>31185</v>
      </c>
    </row>
    <row r="31" customFormat="false" ht="15" hidden="false" customHeight="false" outlineLevel="0" collapsed="false">
      <c r="A31" s="12" t="s">
        <v>821</v>
      </c>
      <c r="B31" s="64" t="n">
        <f aca="false">SUM(C31:N31)</f>
        <v>4080.08482362407</v>
      </c>
      <c r="C31" s="65" t="n">
        <f aca="false">'Revenue Streams'!C$37*'Assumption Setting'!$C$196</f>
        <v>130.166666666667</v>
      </c>
      <c r="D31" s="65" t="n">
        <f aca="false">'Revenue Streams'!D$37*'Assumption Setting'!$C$196</f>
        <v>208.266666666667</v>
      </c>
      <c r="E31" s="65" t="n">
        <f aca="false">'Revenue Streams'!E$37*'Assumption Setting'!$C$196</f>
        <v>260.333333333333</v>
      </c>
      <c r="F31" s="65" t="n">
        <f aca="false">'Revenue Streams'!F$37*'Assumption Setting'!$C$196</f>
        <v>260.333333333333</v>
      </c>
      <c r="G31" s="65" t="n">
        <f aca="false">'Revenue Streams'!G$37*'Assumption Setting'!$C$196</f>
        <v>265.881983580879</v>
      </c>
      <c r="H31" s="65" t="n">
        <f aca="false">'Revenue Streams'!H$37*'Assumption Setting'!$C$196</f>
        <v>271.430633828425</v>
      </c>
      <c r="I31" s="65" t="n">
        <f aca="false">'Revenue Streams'!I$37*'Assumption Setting'!$C$196</f>
        <v>321.672938744816</v>
      </c>
      <c r="J31" s="65" t="n">
        <f aca="false">'Revenue Streams'!J$37*'Assumption Setting'!$C$196</f>
        <v>371.915243661208</v>
      </c>
      <c r="K31" s="65" t="n">
        <f aca="false">'Revenue Streams'!K$37*'Assumption Setting'!$C$196</f>
        <v>422.157548577599</v>
      </c>
      <c r="L31" s="65" t="n">
        <f aca="false">'Revenue Streams'!L$37*'Assumption Setting'!$C$196</f>
        <v>472.399853493991</v>
      </c>
      <c r="M31" s="65" t="n">
        <f aca="false">'Revenue Streams'!M$37*'Assumption Setting'!$C$196</f>
        <v>522.642158410382</v>
      </c>
      <c r="N31" s="65" t="n">
        <f aca="false">'Revenue Streams'!N$37*'Assumption Setting'!$C$196</f>
        <v>572.884463326774</v>
      </c>
      <c r="O31" s="64" t="n">
        <f aca="false">SUM(P31:AA31)</f>
        <v>14440.0509523188</v>
      </c>
      <c r="P31" s="65" t="n">
        <f aca="false">'Revenue Streams'!P$37*'Assumption Setting'!$C$196</f>
        <v>700.490927629162</v>
      </c>
      <c r="Q31" s="65" t="n">
        <f aca="false">'Revenue Streams'!Q$37*'Assumption Setting'!$C$196</f>
        <v>767.358958931028</v>
      </c>
      <c r="R31" s="65" t="n">
        <f aca="false">'Revenue Streams'!R$37*'Assumption Setting'!$C$196</f>
        <v>847.08876803069</v>
      </c>
      <c r="S31" s="65" t="n">
        <f aca="false">'Revenue Streams'!S$37*'Assumption Setting'!$C$196</f>
        <v>938.946015043537</v>
      </c>
      <c r="T31" s="65" t="n">
        <f aca="false">'Revenue Streams'!T$37*'Assumption Setting'!$C$196</f>
        <v>1034.43807099572</v>
      </c>
      <c r="U31" s="65" t="n">
        <f aca="false">'Revenue Streams'!U$37*'Assumption Setting'!$C$196</f>
        <v>1129.9301269479</v>
      </c>
      <c r="V31" s="65" t="n">
        <f aca="false">'Revenue Streams'!V$37*'Assumption Setting'!$C$196</f>
        <v>1234.60284926738</v>
      </c>
      <c r="W31" s="65" t="n">
        <f aca="false">'Revenue Streams'!W$37*'Assumption Setting'!$C$196</f>
        <v>1339.27557158686</v>
      </c>
      <c r="X31" s="65" t="n">
        <f aca="false">'Revenue Streams'!X$37*'Assumption Setting'!$C$196</f>
        <v>1443.94829390634</v>
      </c>
      <c r="Y31" s="65" t="n">
        <f aca="false">'Revenue Streams'!Y$37*'Assumption Setting'!$C$196</f>
        <v>1556.61759589236</v>
      </c>
      <c r="Z31" s="65" t="n">
        <f aca="false">'Revenue Streams'!Z$37*'Assumption Setting'!$C$196</f>
        <v>1668.3709518832</v>
      </c>
      <c r="AA31" s="65" t="n">
        <f aca="false">'Revenue Streams'!AA$37*'Assumption Setting'!$C$196</f>
        <v>1778.98282220461</v>
      </c>
      <c r="AB31" s="64" t="n">
        <f aca="false">SUM(AC31:AN31)</f>
        <v>29681.8240685994</v>
      </c>
      <c r="AC31" s="65" t="n">
        <f aca="false">'Revenue Streams'!AC$37*'Assumption Setting'!$C$196</f>
        <v>1940.07503591385</v>
      </c>
      <c r="AD31" s="65" t="n">
        <f aca="false">'Revenue Streams'!AD$37*'Assumption Setting'!$C$196</f>
        <v>1955.90363471342</v>
      </c>
      <c r="AE31" s="65" t="n">
        <f aca="false">'Revenue Streams'!AE$37*'Assumption Setting'!$C$196</f>
        <v>2012.99080528553</v>
      </c>
      <c r="AF31" s="65" t="n">
        <f aca="false">'Revenue Streams'!AF$37*'Assumption Setting'!$C$196</f>
        <v>2142.42736908941</v>
      </c>
      <c r="AG31" s="65" t="n">
        <f aca="false">'Revenue Streams'!AG$37*'Assumption Setting'!$C$196</f>
        <v>2271.32970239422</v>
      </c>
      <c r="AH31" s="65" t="n">
        <f aca="false">'Revenue Streams'!AH$37*'Assumption Setting'!$C$196</f>
        <v>2400.23203569904</v>
      </c>
      <c r="AI31" s="65" t="n">
        <f aca="false">'Revenue Streams'!AI$37*'Assumption Setting'!$C$196</f>
        <v>2526.20321398266</v>
      </c>
      <c r="AJ31" s="65" t="n">
        <f aca="false">'Revenue Streams'!AJ$37*'Assumption Setting'!$C$196</f>
        <v>2652.17439226628</v>
      </c>
      <c r="AK31" s="65" t="n">
        <f aca="false">'Revenue Streams'!AK$37*'Assumption Setting'!$C$196</f>
        <v>2774.45472613394</v>
      </c>
      <c r="AL31" s="65" t="n">
        <f aca="false">'Revenue Streams'!AL$37*'Assumption Setting'!$C$196</f>
        <v>2888.23288858714</v>
      </c>
      <c r="AM31" s="65" t="n">
        <f aca="false">'Revenue Streams'!AM$37*'Assumption Setting'!$C$196</f>
        <v>3002.01105104034</v>
      </c>
      <c r="AN31" s="65" t="n">
        <f aca="false">'Revenue Streams'!AN$37*'Assumption Setting'!$C$196</f>
        <v>3115.78921349355</v>
      </c>
      <c r="AO31" s="64" t="n">
        <f aca="false">SUM(AP31:BA31)</f>
        <v>51766.1367073485</v>
      </c>
      <c r="AP31" s="65" t="n">
        <f aca="false">'Revenue Streams'!AP$37*'Assumption Setting'!$C$196</f>
        <v>3532.96871190319</v>
      </c>
      <c r="AQ31" s="65" t="n">
        <f aca="false">'Revenue Streams'!AQ$37*'Assumption Setting'!$C$196</f>
        <v>3663.90821107239</v>
      </c>
      <c r="AR31" s="65" t="n">
        <f aca="false">'Revenue Streams'!AR$37*'Assumption Setting'!$C$196</f>
        <v>3794.56076976356</v>
      </c>
      <c r="AS31" s="65" t="n">
        <f aca="false">'Revenue Streams'!AS$37*'Assumption Setting'!$C$196</f>
        <v>3938.64033346373</v>
      </c>
      <c r="AT31" s="65" t="n">
        <f aca="false">'Revenue Streams'!AT$37*'Assumption Setting'!$C$196</f>
        <v>4084.68289368249</v>
      </c>
      <c r="AU31" s="65" t="n">
        <f aca="false">'Revenue Streams'!AU$37*'Assumption Setting'!$C$196</f>
        <v>4230.72545390124</v>
      </c>
      <c r="AV31" s="65" t="n">
        <f aca="false">'Revenue Streams'!AV$37*'Assumption Setting'!$C$196</f>
        <v>4383.33660469126</v>
      </c>
      <c r="AW31" s="65" t="n">
        <f aca="false">'Revenue Streams'!AW$37*'Assumption Setting'!$C$196</f>
        <v>4535.94775548127</v>
      </c>
      <c r="AX31" s="65" t="n">
        <f aca="false">'Revenue Streams'!AX$37*'Assumption Setting'!$C$196</f>
        <v>4688.18504020896</v>
      </c>
      <c r="AY31" s="65" t="n">
        <f aca="false">'Revenue Streams'!AY$37*'Assumption Setting'!$C$196</f>
        <v>4829.62267563454</v>
      </c>
      <c r="AZ31" s="65" t="n">
        <f aca="false">'Revenue Streams'!AZ$37*'Assumption Setting'!$C$196</f>
        <v>4971.06031106012</v>
      </c>
      <c r="BA31" s="65" t="n">
        <f aca="false">'Revenue Streams'!BA$37*'Assumption Setting'!$C$196</f>
        <v>5112.4979464857</v>
      </c>
      <c r="BB31" s="64" t="n">
        <f aca="false">SUM(BC31:BN31)</f>
        <v>78526.9861281479</v>
      </c>
      <c r="BC31" s="65" t="n">
        <f aca="false">'Revenue Streams'!BC$37*'Assumption Setting'!$C$196</f>
        <v>5649.21801798698</v>
      </c>
      <c r="BD31" s="65" t="n">
        <f aca="false">'Revenue Streams'!BD$37*'Assumption Setting'!$C$196</f>
        <v>5801.46230477598</v>
      </c>
      <c r="BE31" s="65" t="n">
        <f aca="false">'Revenue Streams'!BE$37*'Assumption Setting'!$C$196</f>
        <v>5956.54031724618</v>
      </c>
      <c r="BF31" s="65" t="n">
        <f aca="false">'Revenue Streams'!BF$37*'Assumption Setting'!$C$196</f>
        <v>6125.81830598199</v>
      </c>
      <c r="BG31" s="65" t="n">
        <f aca="false">'Revenue Streams'!BG$37*'Assumption Setting'!$C$196</f>
        <v>6294.82571718912</v>
      </c>
      <c r="BH31" s="65" t="n">
        <f aca="false">'Revenue Streams'!BH$37*'Assumption Setting'!$C$196</f>
        <v>6463.83312839626</v>
      </c>
      <c r="BI31" s="65" t="n">
        <f aca="false">'Revenue Streams'!BI$37*'Assumption Setting'!$C$196</f>
        <v>6632.5263741786</v>
      </c>
      <c r="BJ31" s="65" t="n">
        <f aca="false">'Revenue Streams'!BJ$37*'Assumption Setting'!$C$196</f>
        <v>6801.21961996093</v>
      </c>
      <c r="BK31" s="65" t="n">
        <f aca="false">'Revenue Streams'!BK$37*'Assumption Setting'!$C$196</f>
        <v>6969.29623400509</v>
      </c>
      <c r="BL31" s="65" t="n">
        <f aca="false">'Revenue Streams'!BL$37*'Assumption Setting'!$C$196</f>
        <v>7123.35580174035</v>
      </c>
      <c r="BM31" s="65" t="n">
        <f aca="false">'Revenue Streams'!BM$37*'Assumption Setting'!$C$196</f>
        <v>7277.4153694756</v>
      </c>
      <c r="BN31" s="65" t="n">
        <f aca="false">'Revenue Streams'!BN$37*'Assumption Setting'!$C$196</f>
        <v>7431.47493721085</v>
      </c>
    </row>
    <row r="32" customFormat="false" ht="15" hidden="false" customHeight="false" outlineLevel="0" collapsed="false">
      <c r="A32" s="12" t="s">
        <v>822</v>
      </c>
      <c r="B32" s="64" t="n">
        <f aca="false">SUM(C32:N32)</f>
        <v>6060</v>
      </c>
      <c r="C32" s="76" t="n">
        <f aca="false">Acquisitions!C$58</f>
        <v>505</v>
      </c>
      <c r="D32" s="76" t="n">
        <f aca="false">Acquisitions!D$58</f>
        <v>505</v>
      </c>
      <c r="E32" s="76" t="n">
        <f aca="false">Acquisitions!E$58</f>
        <v>505</v>
      </c>
      <c r="F32" s="76" t="n">
        <f aca="false">Acquisitions!F$58</f>
        <v>505</v>
      </c>
      <c r="G32" s="76" t="n">
        <f aca="false">Acquisitions!G$58</f>
        <v>505</v>
      </c>
      <c r="H32" s="76" t="n">
        <f aca="false">Acquisitions!H$58</f>
        <v>505</v>
      </c>
      <c r="I32" s="76" t="n">
        <f aca="false">Acquisitions!I$58</f>
        <v>505</v>
      </c>
      <c r="J32" s="76" t="n">
        <f aca="false">Acquisitions!J$58</f>
        <v>505</v>
      </c>
      <c r="K32" s="76" t="n">
        <f aca="false">Acquisitions!K$58</f>
        <v>505</v>
      </c>
      <c r="L32" s="76" t="n">
        <f aca="false">Acquisitions!L$58</f>
        <v>505</v>
      </c>
      <c r="M32" s="76" t="n">
        <f aca="false">Acquisitions!M$58</f>
        <v>505</v>
      </c>
      <c r="N32" s="76" t="n">
        <f aca="false">Acquisitions!N$58</f>
        <v>505</v>
      </c>
      <c r="O32" s="64" t="n">
        <f aca="false">SUM(P32:AA32)</f>
        <v>23340</v>
      </c>
      <c r="P32" s="76" t="n">
        <f aca="false">Acquisitions!P$58</f>
        <v>1945</v>
      </c>
      <c r="Q32" s="76" t="n">
        <f aca="false">Acquisitions!Q$58</f>
        <v>1945</v>
      </c>
      <c r="R32" s="76" t="n">
        <f aca="false">Acquisitions!R$58</f>
        <v>1945</v>
      </c>
      <c r="S32" s="76" t="n">
        <f aca="false">Acquisitions!S$58</f>
        <v>1945</v>
      </c>
      <c r="T32" s="76" t="n">
        <f aca="false">Acquisitions!T$58</f>
        <v>1945</v>
      </c>
      <c r="U32" s="76" t="n">
        <f aca="false">Acquisitions!U$58</f>
        <v>1945</v>
      </c>
      <c r="V32" s="76" t="n">
        <f aca="false">Acquisitions!V$58</f>
        <v>1945</v>
      </c>
      <c r="W32" s="76" t="n">
        <f aca="false">Acquisitions!W$58</f>
        <v>1945</v>
      </c>
      <c r="X32" s="76" t="n">
        <f aca="false">Acquisitions!X$58</f>
        <v>1945</v>
      </c>
      <c r="Y32" s="76" t="n">
        <f aca="false">Acquisitions!Y$58</f>
        <v>1945</v>
      </c>
      <c r="Z32" s="76" t="n">
        <f aca="false">Acquisitions!Z$58</f>
        <v>1945</v>
      </c>
      <c r="AA32" s="76" t="n">
        <f aca="false">Acquisitions!AA$58</f>
        <v>1945</v>
      </c>
      <c r="AB32" s="64" t="n">
        <f aca="false">SUM(AC32:AN32)</f>
        <v>45720</v>
      </c>
      <c r="AC32" s="76" t="n">
        <f aca="false">Acquisitions!AC$58</f>
        <v>3810</v>
      </c>
      <c r="AD32" s="76" t="n">
        <f aca="false">Acquisitions!AD$58</f>
        <v>3810</v>
      </c>
      <c r="AE32" s="76" t="n">
        <f aca="false">Acquisitions!AE$58</f>
        <v>3810</v>
      </c>
      <c r="AF32" s="76" t="n">
        <f aca="false">Acquisitions!AF$58</f>
        <v>3810</v>
      </c>
      <c r="AG32" s="76" t="n">
        <f aca="false">Acquisitions!AG$58</f>
        <v>3810</v>
      </c>
      <c r="AH32" s="76" t="n">
        <f aca="false">Acquisitions!AH$58</f>
        <v>3810</v>
      </c>
      <c r="AI32" s="76" t="n">
        <f aca="false">Acquisitions!AI$58</f>
        <v>3810</v>
      </c>
      <c r="AJ32" s="76" t="n">
        <f aca="false">Acquisitions!AJ$58</f>
        <v>3810</v>
      </c>
      <c r="AK32" s="76" t="n">
        <f aca="false">Acquisitions!AK$58</f>
        <v>3810</v>
      </c>
      <c r="AL32" s="76" t="n">
        <f aca="false">Acquisitions!AL$58</f>
        <v>3810</v>
      </c>
      <c r="AM32" s="76" t="n">
        <f aca="false">Acquisitions!AM$58</f>
        <v>3810</v>
      </c>
      <c r="AN32" s="76" t="n">
        <f aca="false">Acquisitions!AN$58</f>
        <v>3810</v>
      </c>
      <c r="AO32" s="64" t="n">
        <f aca="false">SUM(AP32:BA32)</f>
        <v>60480</v>
      </c>
      <c r="AP32" s="76" t="n">
        <f aca="false">Acquisitions!AP$58</f>
        <v>5040</v>
      </c>
      <c r="AQ32" s="76" t="n">
        <f aca="false">Acquisitions!AQ$58</f>
        <v>5040</v>
      </c>
      <c r="AR32" s="76" t="n">
        <f aca="false">Acquisitions!AR$58</f>
        <v>5040</v>
      </c>
      <c r="AS32" s="76" t="n">
        <f aca="false">Acquisitions!AS$58</f>
        <v>5040</v>
      </c>
      <c r="AT32" s="76" t="n">
        <f aca="false">Acquisitions!AT$58</f>
        <v>5040</v>
      </c>
      <c r="AU32" s="76" t="n">
        <f aca="false">Acquisitions!AU$58</f>
        <v>5040</v>
      </c>
      <c r="AV32" s="76" t="n">
        <f aca="false">Acquisitions!AV$58</f>
        <v>5040</v>
      </c>
      <c r="AW32" s="76" t="n">
        <f aca="false">Acquisitions!AW$58</f>
        <v>5040</v>
      </c>
      <c r="AX32" s="76" t="n">
        <f aca="false">Acquisitions!AX$58</f>
        <v>5040</v>
      </c>
      <c r="AY32" s="76" t="n">
        <f aca="false">Acquisitions!AY$58</f>
        <v>5040</v>
      </c>
      <c r="AZ32" s="76" t="n">
        <f aca="false">Acquisitions!AZ$58</f>
        <v>5040</v>
      </c>
      <c r="BA32" s="76" t="n">
        <f aca="false">Acquisitions!BA$58</f>
        <v>5040</v>
      </c>
      <c r="BB32" s="64" t="n">
        <f aca="false">SUM(BC32:BN32)</f>
        <v>75240</v>
      </c>
      <c r="BC32" s="76" t="n">
        <f aca="false">Acquisitions!BC$58</f>
        <v>6270</v>
      </c>
      <c r="BD32" s="76" t="n">
        <f aca="false">Acquisitions!BD$58</f>
        <v>6270</v>
      </c>
      <c r="BE32" s="76" t="n">
        <f aca="false">Acquisitions!BE$58</f>
        <v>6270</v>
      </c>
      <c r="BF32" s="76" t="n">
        <f aca="false">Acquisitions!BF$58</f>
        <v>6270</v>
      </c>
      <c r="BG32" s="76" t="n">
        <f aca="false">Acquisitions!BG$58</f>
        <v>6270</v>
      </c>
      <c r="BH32" s="76" t="n">
        <f aca="false">Acquisitions!BH$58</f>
        <v>6270</v>
      </c>
      <c r="BI32" s="76" t="n">
        <f aca="false">Acquisitions!BI$58</f>
        <v>6270</v>
      </c>
      <c r="BJ32" s="76" t="n">
        <f aca="false">Acquisitions!BJ$58</f>
        <v>6270</v>
      </c>
      <c r="BK32" s="76" t="n">
        <f aca="false">Acquisitions!BK$58</f>
        <v>6270</v>
      </c>
      <c r="BL32" s="76" t="n">
        <f aca="false">Acquisitions!BL$58</f>
        <v>6270</v>
      </c>
      <c r="BM32" s="76" t="n">
        <f aca="false">Acquisitions!BM$58</f>
        <v>6270</v>
      </c>
      <c r="BN32" s="76" t="n">
        <f aca="false">Acquisitions!BN$58</f>
        <v>6270</v>
      </c>
    </row>
    <row r="33" customFormat="false" ht="15" hidden="false" customHeight="false" outlineLevel="0" collapsed="false">
      <c r="A33" s="12" t="s">
        <v>823</v>
      </c>
      <c r="B33" s="64" t="n">
        <f aca="false">SUM(C33:N33)</f>
        <v>4080</v>
      </c>
      <c r="C33" s="76" t="n">
        <f aca="false">Acquisitions!C$31</f>
        <v>340</v>
      </c>
      <c r="D33" s="76" t="n">
        <f aca="false">Acquisitions!D$31</f>
        <v>340</v>
      </c>
      <c r="E33" s="76" t="n">
        <f aca="false">Acquisitions!E$31</f>
        <v>340</v>
      </c>
      <c r="F33" s="76" t="n">
        <f aca="false">Acquisitions!F$31</f>
        <v>340</v>
      </c>
      <c r="G33" s="76" t="n">
        <f aca="false">Acquisitions!G$31</f>
        <v>340</v>
      </c>
      <c r="H33" s="76" t="n">
        <f aca="false">Acquisitions!H$31</f>
        <v>340</v>
      </c>
      <c r="I33" s="76" t="n">
        <f aca="false">Acquisitions!I$31</f>
        <v>340</v>
      </c>
      <c r="J33" s="76" t="n">
        <f aca="false">Acquisitions!J$31</f>
        <v>340</v>
      </c>
      <c r="K33" s="76" t="n">
        <f aca="false">Acquisitions!K$31</f>
        <v>340</v>
      </c>
      <c r="L33" s="76" t="n">
        <f aca="false">Acquisitions!L$31</f>
        <v>340</v>
      </c>
      <c r="M33" s="76" t="n">
        <f aca="false">Acquisitions!M$31</f>
        <v>340</v>
      </c>
      <c r="N33" s="76" t="n">
        <f aca="false">Acquisitions!N$31</f>
        <v>340</v>
      </c>
      <c r="O33" s="64" t="n">
        <f aca="false">SUM(P33:AA33)</f>
        <v>14160</v>
      </c>
      <c r="P33" s="76" t="n">
        <f aca="false">Acquisitions!P$31</f>
        <v>1180</v>
      </c>
      <c r="Q33" s="76" t="n">
        <f aca="false">Acquisitions!Q$31</f>
        <v>1180</v>
      </c>
      <c r="R33" s="76" t="n">
        <f aca="false">Acquisitions!R$31</f>
        <v>1180</v>
      </c>
      <c r="S33" s="76" t="n">
        <f aca="false">Acquisitions!S$31</f>
        <v>1180</v>
      </c>
      <c r="T33" s="76" t="n">
        <f aca="false">Acquisitions!T$31</f>
        <v>1180</v>
      </c>
      <c r="U33" s="76" t="n">
        <f aca="false">Acquisitions!U$31</f>
        <v>1180</v>
      </c>
      <c r="V33" s="76" t="n">
        <f aca="false">Acquisitions!V$31</f>
        <v>1180</v>
      </c>
      <c r="W33" s="76" t="n">
        <f aca="false">Acquisitions!W$31</f>
        <v>1180</v>
      </c>
      <c r="X33" s="76" t="n">
        <f aca="false">Acquisitions!X$31</f>
        <v>1180</v>
      </c>
      <c r="Y33" s="76" t="n">
        <f aca="false">Acquisitions!Y$31</f>
        <v>1180</v>
      </c>
      <c r="Z33" s="76" t="n">
        <f aca="false">Acquisitions!Z$31</f>
        <v>1180</v>
      </c>
      <c r="AA33" s="76" t="n">
        <f aca="false">Acquisitions!AA$31</f>
        <v>1180</v>
      </c>
      <c r="AB33" s="64" t="n">
        <f aca="false">SUM(AC33:AN33)</f>
        <v>28800</v>
      </c>
      <c r="AC33" s="76" t="n">
        <f aca="false">Acquisitions!AC$31</f>
        <v>2400</v>
      </c>
      <c r="AD33" s="76" t="n">
        <f aca="false">Acquisitions!AD$31</f>
        <v>2400</v>
      </c>
      <c r="AE33" s="76" t="n">
        <f aca="false">Acquisitions!AE$31</f>
        <v>2400</v>
      </c>
      <c r="AF33" s="76" t="n">
        <f aca="false">Acquisitions!AF$31</f>
        <v>2400</v>
      </c>
      <c r="AG33" s="76" t="n">
        <f aca="false">Acquisitions!AG$31</f>
        <v>2400</v>
      </c>
      <c r="AH33" s="76" t="n">
        <f aca="false">Acquisitions!AH$31</f>
        <v>2400</v>
      </c>
      <c r="AI33" s="76" t="n">
        <f aca="false">Acquisitions!AI$31</f>
        <v>2400</v>
      </c>
      <c r="AJ33" s="76" t="n">
        <f aca="false">Acquisitions!AJ$31</f>
        <v>2400</v>
      </c>
      <c r="AK33" s="76" t="n">
        <f aca="false">Acquisitions!AK$31</f>
        <v>2400</v>
      </c>
      <c r="AL33" s="76" t="n">
        <f aca="false">Acquisitions!AL$31</f>
        <v>2400</v>
      </c>
      <c r="AM33" s="76" t="n">
        <f aca="false">Acquisitions!AM$31</f>
        <v>2400</v>
      </c>
      <c r="AN33" s="76" t="n">
        <f aca="false">Acquisitions!AN$31</f>
        <v>2400</v>
      </c>
      <c r="AO33" s="64" t="n">
        <f aca="false">SUM(AP33:BA33)</f>
        <v>44400</v>
      </c>
      <c r="AP33" s="76" t="n">
        <f aca="false">Acquisitions!AP$31</f>
        <v>3700</v>
      </c>
      <c r="AQ33" s="76" t="n">
        <f aca="false">Acquisitions!AQ$31</f>
        <v>3700</v>
      </c>
      <c r="AR33" s="76" t="n">
        <f aca="false">Acquisitions!AR$31</f>
        <v>3700</v>
      </c>
      <c r="AS33" s="76" t="n">
        <f aca="false">Acquisitions!AS$31</f>
        <v>3700</v>
      </c>
      <c r="AT33" s="76" t="n">
        <f aca="false">Acquisitions!AT$31</f>
        <v>3700</v>
      </c>
      <c r="AU33" s="76" t="n">
        <f aca="false">Acquisitions!AU$31</f>
        <v>3700</v>
      </c>
      <c r="AV33" s="76" t="n">
        <f aca="false">Acquisitions!AV$31</f>
        <v>3700</v>
      </c>
      <c r="AW33" s="76" t="n">
        <f aca="false">Acquisitions!AW$31</f>
        <v>3700</v>
      </c>
      <c r="AX33" s="76" t="n">
        <f aca="false">Acquisitions!AX$31</f>
        <v>3700</v>
      </c>
      <c r="AY33" s="76" t="n">
        <f aca="false">Acquisitions!AY$31</f>
        <v>3700</v>
      </c>
      <c r="AZ33" s="76" t="n">
        <f aca="false">Acquisitions!AZ$31</f>
        <v>3700</v>
      </c>
      <c r="BA33" s="76" t="n">
        <f aca="false">Acquisitions!BA$31</f>
        <v>3700</v>
      </c>
      <c r="BB33" s="64" t="n">
        <f aca="false">SUM(BC33:BN33)</f>
        <v>59400</v>
      </c>
      <c r="BC33" s="76" t="n">
        <f aca="false">Acquisitions!BC$31</f>
        <v>4950</v>
      </c>
      <c r="BD33" s="76" t="n">
        <f aca="false">Acquisitions!BD$31</f>
        <v>4950</v>
      </c>
      <c r="BE33" s="76" t="n">
        <f aca="false">Acquisitions!BE$31</f>
        <v>4950</v>
      </c>
      <c r="BF33" s="76" t="n">
        <f aca="false">Acquisitions!BF$31</f>
        <v>4950</v>
      </c>
      <c r="BG33" s="76" t="n">
        <f aca="false">Acquisitions!BG$31</f>
        <v>4950</v>
      </c>
      <c r="BH33" s="76" t="n">
        <f aca="false">Acquisitions!BH$31</f>
        <v>4950</v>
      </c>
      <c r="BI33" s="76" t="n">
        <f aca="false">Acquisitions!BI$31</f>
        <v>4950</v>
      </c>
      <c r="BJ33" s="76" t="n">
        <f aca="false">Acquisitions!BJ$31</f>
        <v>4950</v>
      </c>
      <c r="BK33" s="76" t="n">
        <f aca="false">Acquisitions!BK$31</f>
        <v>4950</v>
      </c>
      <c r="BL33" s="76" t="n">
        <f aca="false">Acquisitions!BL$31</f>
        <v>4950</v>
      </c>
      <c r="BM33" s="76" t="n">
        <f aca="false">Acquisitions!BM$31</f>
        <v>4950</v>
      </c>
      <c r="BN33" s="76" t="n">
        <f aca="false">Acquisitions!BN$31</f>
        <v>4950</v>
      </c>
    </row>
    <row r="34" customFormat="false" ht="15" hidden="false" customHeight="false" outlineLevel="0" collapsed="false">
      <c r="A34" s="12" t="s">
        <v>824</v>
      </c>
      <c r="B34" s="64" t="n">
        <f aca="false">SUM(C34:N34)</f>
        <v>1680</v>
      </c>
      <c r="C34" s="65" t="n">
        <f aca="false">'Assumption Setting'!$C$193*'Assumption Setting'!$C$194*'Assumption Setting'!$C$195/12</f>
        <v>140</v>
      </c>
      <c r="D34" s="65" t="n">
        <f aca="false">'Assumption Setting'!$C$193*'Assumption Setting'!$C$194*'Assumption Setting'!$C$195/12</f>
        <v>140</v>
      </c>
      <c r="E34" s="65" t="n">
        <f aca="false">'Assumption Setting'!$C$193*'Assumption Setting'!$C$194*'Assumption Setting'!$C$195/12</f>
        <v>140</v>
      </c>
      <c r="F34" s="65" t="n">
        <f aca="false">'Assumption Setting'!$C$193*'Assumption Setting'!$C$194*'Assumption Setting'!$C$195/12</f>
        <v>140</v>
      </c>
      <c r="G34" s="65" t="n">
        <f aca="false">'Assumption Setting'!$C$193*'Assumption Setting'!$C$194*'Assumption Setting'!$C$195/12</f>
        <v>140</v>
      </c>
      <c r="H34" s="65" t="n">
        <f aca="false">'Assumption Setting'!$C$193*'Assumption Setting'!$C$194*'Assumption Setting'!$C$195/12</f>
        <v>140</v>
      </c>
      <c r="I34" s="65" t="n">
        <f aca="false">'Assumption Setting'!$C$193*'Assumption Setting'!$C$194*'Assumption Setting'!$C$195/12</f>
        <v>140</v>
      </c>
      <c r="J34" s="65" t="n">
        <f aca="false">'Assumption Setting'!$C$193*'Assumption Setting'!$C$194*'Assumption Setting'!$C$195/12</f>
        <v>140</v>
      </c>
      <c r="K34" s="65" t="n">
        <f aca="false">'Assumption Setting'!$C$193*'Assumption Setting'!$C$194*'Assumption Setting'!$C$195/12</f>
        <v>140</v>
      </c>
      <c r="L34" s="65" t="n">
        <f aca="false">'Assumption Setting'!$C$193*'Assumption Setting'!$C$194*'Assumption Setting'!$C$195/12</f>
        <v>140</v>
      </c>
      <c r="M34" s="65" t="n">
        <f aca="false">'Assumption Setting'!$C$193*'Assumption Setting'!$C$194*'Assumption Setting'!$C$195/12</f>
        <v>140</v>
      </c>
      <c r="N34" s="65" t="n">
        <f aca="false">'Assumption Setting'!$C$193*'Assumption Setting'!$C$194*'Assumption Setting'!$C$195/12</f>
        <v>140</v>
      </c>
      <c r="O34" s="64" t="n">
        <f aca="false">SUM(P34:AA34)</f>
        <v>5250</v>
      </c>
      <c r="P34" s="65" t="n">
        <f aca="false">'Assumption Setting'!$D$193*'Assumption Setting'!$C$194*'Assumption Setting'!$C$195/12</f>
        <v>437.5</v>
      </c>
      <c r="Q34" s="65" t="n">
        <f aca="false">'Assumption Setting'!$D$193*'Assumption Setting'!$C$194*'Assumption Setting'!$C$195/12</f>
        <v>437.5</v>
      </c>
      <c r="R34" s="65" t="n">
        <f aca="false">'Assumption Setting'!$D$193*'Assumption Setting'!$C$194*'Assumption Setting'!$C$195/12</f>
        <v>437.5</v>
      </c>
      <c r="S34" s="65" t="n">
        <f aca="false">'Assumption Setting'!$D$193*'Assumption Setting'!$C$194*'Assumption Setting'!$C$195/12</f>
        <v>437.5</v>
      </c>
      <c r="T34" s="65" t="n">
        <f aca="false">'Assumption Setting'!$D$193*'Assumption Setting'!$C$194*'Assumption Setting'!$C$195/12</f>
        <v>437.5</v>
      </c>
      <c r="U34" s="65" t="n">
        <f aca="false">'Assumption Setting'!$D$193*'Assumption Setting'!$C$194*'Assumption Setting'!$C$195/12</f>
        <v>437.5</v>
      </c>
      <c r="V34" s="65" t="n">
        <f aca="false">'Assumption Setting'!$D$193*'Assumption Setting'!$C$194*'Assumption Setting'!$C$195/12</f>
        <v>437.5</v>
      </c>
      <c r="W34" s="65" t="n">
        <f aca="false">'Assumption Setting'!$D$193*'Assumption Setting'!$C$194*'Assumption Setting'!$C$195/12</f>
        <v>437.5</v>
      </c>
      <c r="X34" s="65" t="n">
        <f aca="false">'Assumption Setting'!$D$193*'Assumption Setting'!$C$194*'Assumption Setting'!$C$195/12</f>
        <v>437.5</v>
      </c>
      <c r="Y34" s="65" t="n">
        <f aca="false">'Assumption Setting'!$D$193*'Assumption Setting'!$C$194*'Assumption Setting'!$C$195/12</f>
        <v>437.5</v>
      </c>
      <c r="Z34" s="65" t="n">
        <f aca="false">'Assumption Setting'!$D$193*'Assumption Setting'!$C$194*'Assumption Setting'!$C$195/12</f>
        <v>437.5</v>
      </c>
      <c r="AA34" s="65" t="n">
        <f aca="false">'Assumption Setting'!$D$193*'Assumption Setting'!$C$194*'Assumption Setting'!$C$195/12</f>
        <v>437.5</v>
      </c>
      <c r="AB34" s="64" t="n">
        <f aca="false">SUM(AC34:AN34)</f>
        <v>11550</v>
      </c>
      <c r="AC34" s="65" t="n">
        <f aca="false">'Assumption Setting'!$E$193*'Assumption Setting'!$C$194*'Assumption Setting'!$C$195/12</f>
        <v>962.5</v>
      </c>
      <c r="AD34" s="65" t="n">
        <f aca="false">'Assumption Setting'!$E$193*'Assumption Setting'!$C$194*'Assumption Setting'!$C$195/12</f>
        <v>962.5</v>
      </c>
      <c r="AE34" s="65" t="n">
        <f aca="false">'Assumption Setting'!$E$193*'Assumption Setting'!$C$194*'Assumption Setting'!$C$195/12</f>
        <v>962.5</v>
      </c>
      <c r="AF34" s="65" t="n">
        <f aca="false">'Assumption Setting'!$E$193*'Assumption Setting'!$C$194*'Assumption Setting'!$C$195/12</f>
        <v>962.5</v>
      </c>
      <c r="AG34" s="65" t="n">
        <f aca="false">'Assumption Setting'!$E$193*'Assumption Setting'!$C$194*'Assumption Setting'!$C$195/12</f>
        <v>962.5</v>
      </c>
      <c r="AH34" s="65" t="n">
        <f aca="false">'Assumption Setting'!$E$193*'Assumption Setting'!$C$194*'Assumption Setting'!$C$195/12</f>
        <v>962.5</v>
      </c>
      <c r="AI34" s="65" t="n">
        <f aca="false">'Assumption Setting'!$E$193*'Assumption Setting'!$C$194*'Assumption Setting'!$C$195/12</f>
        <v>962.5</v>
      </c>
      <c r="AJ34" s="65" t="n">
        <f aca="false">'Assumption Setting'!$E$193*'Assumption Setting'!$C$194*'Assumption Setting'!$C$195/12</f>
        <v>962.5</v>
      </c>
      <c r="AK34" s="65" t="n">
        <f aca="false">'Assumption Setting'!$E$193*'Assumption Setting'!$C$194*'Assumption Setting'!$C$195/12</f>
        <v>962.5</v>
      </c>
      <c r="AL34" s="65" t="n">
        <f aca="false">'Assumption Setting'!$E$193*'Assumption Setting'!$C$194*'Assumption Setting'!$C$195/12</f>
        <v>962.5</v>
      </c>
      <c r="AM34" s="65" t="n">
        <f aca="false">'Assumption Setting'!$E$193*'Assumption Setting'!$C$194*'Assumption Setting'!$C$195/12</f>
        <v>962.5</v>
      </c>
      <c r="AN34" s="65" t="n">
        <f aca="false">'Assumption Setting'!$E$193*'Assumption Setting'!$C$194*'Assumption Setting'!$C$195/12</f>
        <v>962.5</v>
      </c>
      <c r="AO34" s="64" t="n">
        <f aca="false">SUM(AP34:BA34)</f>
        <v>18900</v>
      </c>
      <c r="AP34" s="65" t="n">
        <f aca="false">'Assumption Setting'!$F$193*'Assumption Setting'!$C$194*'Assumption Setting'!$C$195/12</f>
        <v>1575</v>
      </c>
      <c r="AQ34" s="65" t="n">
        <f aca="false">'Assumption Setting'!$F$193*'Assumption Setting'!$C$194*'Assumption Setting'!$C$195/12</f>
        <v>1575</v>
      </c>
      <c r="AR34" s="65" t="n">
        <f aca="false">'Assumption Setting'!$F$193*'Assumption Setting'!$C$194*'Assumption Setting'!$C$195/12</f>
        <v>1575</v>
      </c>
      <c r="AS34" s="65" t="n">
        <f aca="false">'Assumption Setting'!$F$193*'Assumption Setting'!$C$194*'Assumption Setting'!$C$195/12</f>
        <v>1575</v>
      </c>
      <c r="AT34" s="65" t="n">
        <f aca="false">'Assumption Setting'!$F$193*'Assumption Setting'!$C$194*'Assumption Setting'!$C$195/12</f>
        <v>1575</v>
      </c>
      <c r="AU34" s="65" t="n">
        <f aca="false">'Assumption Setting'!$F$193*'Assumption Setting'!$C$194*'Assumption Setting'!$C$195/12</f>
        <v>1575</v>
      </c>
      <c r="AV34" s="65" t="n">
        <f aca="false">'Assumption Setting'!$F$193*'Assumption Setting'!$C$194*'Assumption Setting'!$C$195/12</f>
        <v>1575</v>
      </c>
      <c r="AW34" s="65" t="n">
        <f aca="false">'Assumption Setting'!$F$193*'Assumption Setting'!$C$194*'Assumption Setting'!$C$195/12</f>
        <v>1575</v>
      </c>
      <c r="AX34" s="65" t="n">
        <f aca="false">'Assumption Setting'!$F$193*'Assumption Setting'!$C$194*'Assumption Setting'!$C$195/12</f>
        <v>1575</v>
      </c>
      <c r="AY34" s="65" t="n">
        <f aca="false">'Assumption Setting'!$F$193*'Assumption Setting'!$C$194*'Assumption Setting'!$C$195/12</f>
        <v>1575</v>
      </c>
      <c r="AZ34" s="65" t="n">
        <f aca="false">'Assumption Setting'!$F$193*'Assumption Setting'!$C$194*'Assumption Setting'!$C$195/12</f>
        <v>1575</v>
      </c>
      <c r="BA34" s="65" t="n">
        <f aca="false">'Assumption Setting'!$F$193*'Assumption Setting'!$C$194*'Assumption Setting'!$C$195/12</f>
        <v>1575</v>
      </c>
      <c r="BB34" s="64" t="n">
        <f aca="false">SUM(BC34:BN34)</f>
        <v>26250</v>
      </c>
      <c r="BC34" s="65" t="n">
        <f aca="false">'Assumption Setting'!$G$193*'Assumption Setting'!$C$194*'Assumption Setting'!$C$195/12</f>
        <v>2187.5</v>
      </c>
      <c r="BD34" s="65" t="n">
        <f aca="false">'Assumption Setting'!$G$193*'Assumption Setting'!$C$194*'Assumption Setting'!$C$195/12</f>
        <v>2187.5</v>
      </c>
      <c r="BE34" s="65" t="n">
        <f aca="false">'Assumption Setting'!$G$193*'Assumption Setting'!$C$194*'Assumption Setting'!$C$195/12</f>
        <v>2187.5</v>
      </c>
      <c r="BF34" s="65" t="n">
        <f aca="false">'Assumption Setting'!$G$193*'Assumption Setting'!$C$194*'Assumption Setting'!$C$195/12</f>
        <v>2187.5</v>
      </c>
      <c r="BG34" s="65" t="n">
        <f aca="false">'Assumption Setting'!$G$193*'Assumption Setting'!$C$194*'Assumption Setting'!$C$195/12</f>
        <v>2187.5</v>
      </c>
      <c r="BH34" s="65" t="n">
        <f aca="false">'Assumption Setting'!$G$193*'Assumption Setting'!$C$194*'Assumption Setting'!$C$195/12</f>
        <v>2187.5</v>
      </c>
      <c r="BI34" s="65" t="n">
        <f aca="false">'Assumption Setting'!$G$193*'Assumption Setting'!$C$194*'Assumption Setting'!$C$195/12</f>
        <v>2187.5</v>
      </c>
      <c r="BJ34" s="65" t="n">
        <f aca="false">'Assumption Setting'!$G$193*'Assumption Setting'!$C$194*'Assumption Setting'!$C$195/12</f>
        <v>2187.5</v>
      </c>
      <c r="BK34" s="65" t="n">
        <f aca="false">'Assumption Setting'!$G$193*'Assumption Setting'!$C$194*'Assumption Setting'!$C$195/12</f>
        <v>2187.5</v>
      </c>
      <c r="BL34" s="65" t="n">
        <f aca="false">'Assumption Setting'!$G$193*'Assumption Setting'!$C$194*'Assumption Setting'!$C$195/12</f>
        <v>2187.5</v>
      </c>
      <c r="BM34" s="65" t="n">
        <f aca="false">'Assumption Setting'!$G$193*'Assumption Setting'!$C$194*'Assumption Setting'!$C$195/12</f>
        <v>2187.5</v>
      </c>
      <c r="BN34" s="65" t="n">
        <f aca="false">'Assumption Setting'!$G$193*'Assumption Setting'!$C$194*'Assumption Setting'!$C$195/12</f>
        <v>2187.5</v>
      </c>
    </row>
    <row r="35" customFormat="false" ht="15" hidden="false" customHeight="false" outlineLevel="0" collapsed="false">
      <c r="A35" s="12" t="s">
        <v>825</v>
      </c>
      <c r="B35" s="64" t="n">
        <f aca="false">SUM(C35:N35)</f>
        <v>4680</v>
      </c>
      <c r="C35" s="65" t="n">
        <f aca="false">Payroll!C$64*'Assumption Setting'!$C$183</f>
        <v>390</v>
      </c>
      <c r="D35" s="65" t="n">
        <f aca="false">Payroll!D$64*'Assumption Setting'!$C$183</f>
        <v>390</v>
      </c>
      <c r="E35" s="65" t="n">
        <f aca="false">Payroll!E$64*'Assumption Setting'!$C$183</f>
        <v>390</v>
      </c>
      <c r="F35" s="65" t="n">
        <f aca="false">Payroll!F$64*'Assumption Setting'!$C$183</f>
        <v>390</v>
      </c>
      <c r="G35" s="65" t="n">
        <f aca="false">Payroll!G$64*'Assumption Setting'!$C$183</f>
        <v>390</v>
      </c>
      <c r="H35" s="65" t="n">
        <f aca="false">Payroll!H$64*'Assumption Setting'!$C$183</f>
        <v>390</v>
      </c>
      <c r="I35" s="65" t="n">
        <f aca="false">Payroll!I$64*'Assumption Setting'!$C$183</f>
        <v>390</v>
      </c>
      <c r="J35" s="65" t="n">
        <f aca="false">Payroll!J$64*'Assumption Setting'!$C$183</f>
        <v>390</v>
      </c>
      <c r="K35" s="65" t="n">
        <f aca="false">Payroll!K$64*'Assumption Setting'!$C$183</f>
        <v>390</v>
      </c>
      <c r="L35" s="65" t="n">
        <f aca="false">Payroll!L$64*'Assumption Setting'!$C$183</f>
        <v>390</v>
      </c>
      <c r="M35" s="65" t="n">
        <f aca="false">Payroll!M$64*'Assumption Setting'!$C$183</f>
        <v>390</v>
      </c>
      <c r="N35" s="65" t="n">
        <f aca="false">Payroll!N$64*'Assumption Setting'!$C$183</f>
        <v>390</v>
      </c>
      <c r="O35" s="64" t="n">
        <f aca="false">SUM(P35:AA35)</f>
        <v>9180</v>
      </c>
      <c r="P35" s="65" t="n">
        <f aca="false">Payroll!P$64*'Assumption Setting'!$D$183</f>
        <v>765</v>
      </c>
      <c r="Q35" s="65" t="n">
        <f aca="false">Payroll!Q$64*'Assumption Setting'!$D$183</f>
        <v>765</v>
      </c>
      <c r="R35" s="65" t="n">
        <f aca="false">Payroll!R$64*'Assumption Setting'!$D$183</f>
        <v>765</v>
      </c>
      <c r="S35" s="65" t="n">
        <f aca="false">Payroll!S$64*'Assumption Setting'!$D$183</f>
        <v>765</v>
      </c>
      <c r="T35" s="65" t="n">
        <f aca="false">Payroll!T$64*'Assumption Setting'!$D$183</f>
        <v>765</v>
      </c>
      <c r="U35" s="65" t="n">
        <f aca="false">Payroll!U$64*'Assumption Setting'!$D$183</f>
        <v>765</v>
      </c>
      <c r="V35" s="65" t="n">
        <f aca="false">Payroll!V$64*'Assumption Setting'!$D$183</f>
        <v>765</v>
      </c>
      <c r="W35" s="65" t="n">
        <f aca="false">Payroll!W$64*'Assumption Setting'!$D$183</f>
        <v>765</v>
      </c>
      <c r="X35" s="65" t="n">
        <f aca="false">Payroll!X$64*'Assumption Setting'!$D$183</f>
        <v>765</v>
      </c>
      <c r="Y35" s="65" t="n">
        <f aca="false">Payroll!Y$64*'Assumption Setting'!$D$183</f>
        <v>765</v>
      </c>
      <c r="Z35" s="65" t="n">
        <f aca="false">Payroll!Z$64*'Assumption Setting'!$D$183</f>
        <v>765</v>
      </c>
      <c r="AA35" s="65" t="n">
        <f aca="false">Payroll!AA$64*'Assumption Setting'!$D$183</f>
        <v>765</v>
      </c>
      <c r="AB35" s="64" t="n">
        <f aca="false">SUM(AC35:AN35)</f>
        <v>14400</v>
      </c>
      <c r="AC35" s="65" t="n">
        <f aca="false">Payroll!AC$64*'Assumption Setting'!$E$183</f>
        <v>1200</v>
      </c>
      <c r="AD35" s="65" t="n">
        <f aca="false">Payroll!AD$64*'Assumption Setting'!$E$183</f>
        <v>1200</v>
      </c>
      <c r="AE35" s="65" t="n">
        <f aca="false">Payroll!AE$64*'Assumption Setting'!$E$183</f>
        <v>1200</v>
      </c>
      <c r="AF35" s="65" t="n">
        <f aca="false">Payroll!AF$64*'Assumption Setting'!$E$183</f>
        <v>1200</v>
      </c>
      <c r="AG35" s="65" t="n">
        <f aca="false">Payroll!AG$64*'Assumption Setting'!$E$183</f>
        <v>1200</v>
      </c>
      <c r="AH35" s="65" t="n">
        <f aca="false">Payroll!AH$64*'Assumption Setting'!$E$183</f>
        <v>1200</v>
      </c>
      <c r="AI35" s="65" t="n">
        <f aca="false">Payroll!AI$64*'Assumption Setting'!$E$183</f>
        <v>1200</v>
      </c>
      <c r="AJ35" s="65" t="n">
        <f aca="false">Payroll!AJ$64*'Assumption Setting'!$E$183</f>
        <v>1200</v>
      </c>
      <c r="AK35" s="65" t="n">
        <f aca="false">Payroll!AK$64*'Assumption Setting'!$E$183</f>
        <v>1200</v>
      </c>
      <c r="AL35" s="65" t="n">
        <f aca="false">Payroll!AL$64*'Assumption Setting'!$E$183</f>
        <v>1200</v>
      </c>
      <c r="AM35" s="65" t="n">
        <f aca="false">Payroll!AM$64*'Assumption Setting'!$E$183</f>
        <v>1200</v>
      </c>
      <c r="AN35" s="65" t="n">
        <f aca="false">Payroll!AN$64*'Assumption Setting'!$E$183</f>
        <v>1200</v>
      </c>
      <c r="AO35" s="64" t="n">
        <f aca="false">SUM(AP35:BA35)</f>
        <v>21120</v>
      </c>
      <c r="AP35" s="65" t="n">
        <f aca="false">Payroll!AP$64*'Assumption Setting'!$F$183</f>
        <v>1760</v>
      </c>
      <c r="AQ35" s="65" t="n">
        <f aca="false">Payroll!AQ$64*'Assumption Setting'!$F$183</f>
        <v>1760</v>
      </c>
      <c r="AR35" s="65" t="n">
        <f aca="false">Payroll!AR$64*'Assumption Setting'!$F$183</f>
        <v>1760</v>
      </c>
      <c r="AS35" s="65" t="n">
        <f aca="false">Payroll!AS$64*'Assumption Setting'!$F$183</f>
        <v>1760</v>
      </c>
      <c r="AT35" s="65" t="n">
        <f aca="false">Payroll!AT$64*'Assumption Setting'!$F$183</f>
        <v>1760</v>
      </c>
      <c r="AU35" s="65" t="n">
        <f aca="false">Payroll!AU$64*'Assumption Setting'!$F$183</f>
        <v>1760</v>
      </c>
      <c r="AV35" s="65" t="n">
        <f aca="false">Payroll!AV$64*'Assumption Setting'!$F$183</f>
        <v>1760</v>
      </c>
      <c r="AW35" s="65" t="n">
        <f aca="false">Payroll!AW$64*'Assumption Setting'!$F$183</f>
        <v>1760</v>
      </c>
      <c r="AX35" s="65" t="n">
        <f aca="false">Payroll!AX$64*'Assumption Setting'!$F$183</f>
        <v>1760</v>
      </c>
      <c r="AY35" s="65" t="n">
        <f aca="false">Payroll!AY$64*'Assumption Setting'!$F$183</f>
        <v>1760</v>
      </c>
      <c r="AZ35" s="65" t="n">
        <f aca="false">Payroll!AZ$64*'Assumption Setting'!$F$183</f>
        <v>1760</v>
      </c>
      <c r="BA35" s="65" t="n">
        <f aca="false">Payroll!BA$64*'Assumption Setting'!$F$183</f>
        <v>1760</v>
      </c>
      <c r="BB35" s="64" t="n">
        <f aca="false">SUM(BC35:BN35)</f>
        <v>28800</v>
      </c>
      <c r="BC35" s="65" t="n">
        <f aca="false">Payroll!BC$64*'Assumption Setting'!$G$183</f>
        <v>2400</v>
      </c>
      <c r="BD35" s="65" t="n">
        <f aca="false">Payroll!BD$64*'Assumption Setting'!$G$183</f>
        <v>2400</v>
      </c>
      <c r="BE35" s="65" t="n">
        <f aca="false">Payroll!BE$64*'Assumption Setting'!$G$183</f>
        <v>2400</v>
      </c>
      <c r="BF35" s="65" t="n">
        <f aca="false">Payroll!BF$64*'Assumption Setting'!$G$183</f>
        <v>2400</v>
      </c>
      <c r="BG35" s="65" t="n">
        <f aca="false">Payroll!BG$64*'Assumption Setting'!$G$183</f>
        <v>2400</v>
      </c>
      <c r="BH35" s="65" t="n">
        <f aca="false">Payroll!BH$64*'Assumption Setting'!$G$183</f>
        <v>2400</v>
      </c>
      <c r="BI35" s="65" t="n">
        <f aca="false">Payroll!BI$64*'Assumption Setting'!$G$183</f>
        <v>2400</v>
      </c>
      <c r="BJ35" s="65" t="n">
        <f aca="false">Payroll!BJ$64*'Assumption Setting'!$G$183</f>
        <v>2400</v>
      </c>
      <c r="BK35" s="65" t="n">
        <f aca="false">Payroll!BK$64*'Assumption Setting'!$G$183</f>
        <v>2400</v>
      </c>
      <c r="BL35" s="65" t="n">
        <f aca="false">Payroll!BL$64*'Assumption Setting'!$G$183</f>
        <v>2400</v>
      </c>
      <c r="BM35" s="65" t="n">
        <f aca="false">Payroll!BM$64*'Assumption Setting'!$G$183</f>
        <v>2400</v>
      </c>
      <c r="BN35" s="65" t="n">
        <f aca="false">Payroll!BN$64*'Assumption Setting'!$G$183</f>
        <v>2400</v>
      </c>
    </row>
    <row r="36" customFormat="false" ht="15" hidden="false" customHeight="false" outlineLevel="0" collapsed="false">
      <c r="A36" s="12" t="s">
        <v>826</v>
      </c>
      <c r="B36" s="64" t="n">
        <f aca="false">SUM(C36:N36)</f>
        <v>1440</v>
      </c>
      <c r="C36" s="65" t="n">
        <f aca="false">Payroll!C$64*'Assumption Setting'!$C$184</f>
        <v>120</v>
      </c>
      <c r="D36" s="65" t="n">
        <f aca="false">Payroll!D$64*'Assumption Setting'!$C$184</f>
        <v>120</v>
      </c>
      <c r="E36" s="65" t="n">
        <f aca="false">Payroll!E$64*'Assumption Setting'!$C$184</f>
        <v>120</v>
      </c>
      <c r="F36" s="65" t="n">
        <f aca="false">Payroll!F$64*'Assumption Setting'!$C$184</f>
        <v>120</v>
      </c>
      <c r="G36" s="65" t="n">
        <f aca="false">Payroll!G$64*'Assumption Setting'!$C$184</f>
        <v>120</v>
      </c>
      <c r="H36" s="65" t="n">
        <f aca="false">Payroll!H$64*'Assumption Setting'!$C$184</f>
        <v>120</v>
      </c>
      <c r="I36" s="65" t="n">
        <f aca="false">Payroll!I$64*'Assumption Setting'!$C$184</f>
        <v>120</v>
      </c>
      <c r="J36" s="65" t="n">
        <f aca="false">Payroll!J$64*'Assumption Setting'!$C$184</f>
        <v>120</v>
      </c>
      <c r="K36" s="65" t="n">
        <f aca="false">Payroll!K$64*'Assumption Setting'!$C$184</f>
        <v>120</v>
      </c>
      <c r="L36" s="65" t="n">
        <f aca="false">Payroll!L$64*'Assumption Setting'!$C$184</f>
        <v>120</v>
      </c>
      <c r="M36" s="65" t="n">
        <f aca="false">Payroll!M$64*'Assumption Setting'!$C$184</f>
        <v>120</v>
      </c>
      <c r="N36" s="65" t="n">
        <f aca="false">Payroll!N$64*'Assumption Setting'!$C$184</f>
        <v>120</v>
      </c>
      <c r="O36" s="64" t="n">
        <f aca="false">SUM(P36:AA36)</f>
        <v>2700</v>
      </c>
      <c r="P36" s="65" t="n">
        <f aca="false">Payroll!P$64*'Assumption Setting'!$D$184</f>
        <v>225</v>
      </c>
      <c r="Q36" s="65" t="n">
        <f aca="false">Payroll!Q$64*'Assumption Setting'!$D$184</f>
        <v>225</v>
      </c>
      <c r="R36" s="65" t="n">
        <f aca="false">Payroll!R$64*'Assumption Setting'!$D$184</f>
        <v>225</v>
      </c>
      <c r="S36" s="65" t="n">
        <f aca="false">Payroll!S$64*'Assumption Setting'!$D$184</f>
        <v>225</v>
      </c>
      <c r="T36" s="65" t="n">
        <f aca="false">Payroll!T$64*'Assumption Setting'!$D$184</f>
        <v>225</v>
      </c>
      <c r="U36" s="65" t="n">
        <f aca="false">Payroll!U$64*'Assumption Setting'!$D$184</f>
        <v>225</v>
      </c>
      <c r="V36" s="65" t="n">
        <f aca="false">Payroll!V$64*'Assumption Setting'!$D$184</f>
        <v>225</v>
      </c>
      <c r="W36" s="65" t="n">
        <f aca="false">Payroll!W$64*'Assumption Setting'!$D$184</f>
        <v>225</v>
      </c>
      <c r="X36" s="65" t="n">
        <f aca="false">Payroll!X$64*'Assumption Setting'!$D$184</f>
        <v>225</v>
      </c>
      <c r="Y36" s="65" t="n">
        <f aca="false">Payroll!Y$64*'Assumption Setting'!$D$184</f>
        <v>225</v>
      </c>
      <c r="Z36" s="65" t="n">
        <f aca="false">Payroll!Z$64*'Assumption Setting'!$D$184</f>
        <v>225</v>
      </c>
      <c r="AA36" s="65" t="n">
        <f aca="false">Payroll!AA$64*'Assumption Setting'!$D$184</f>
        <v>225</v>
      </c>
      <c r="AB36" s="64" t="n">
        <f aca="false">SUM(AC36:AN36)</f>
        <v>4032</v>
      </c>
      <c r="AC36" s="65" t="n">
        <f aca="false">Payroll!AC$64*'Assumption Setting'!$E$184</f>
        <v>336</v>
      </c>
      <c r="AD36" s="65" t="n">
        <f aca="false">Payroll!AD$64*'Assumption Setting'!$E$184</f>
        <v>336</v>
      </c>
      <c r="AE36" s="65" t="n">
        <f aca="false">Payroll!AE$64*'Assumption Setting'!$E$184</f>
        <v>336</v>
      </c>
      <c r="AF36" s="65" t="n">
        <f aca="false">Payroll!AF$64*'Assumption Setting'!$E$184</f>
        <v>336</v>
      </c>
      <c r="AG36" s="65" t="n">
        <f aca="false">Payroll!AG$64*'Assumption Setting'!$E$184</f>
        <v>336</v>
      </c>
      <c r="AH36" s="65" t="n">
        <f aca="false">Payroll!AH$64*'Assumption Setting'!$E$184</f>
        <v>336</v>
      </c>
      <c r="AI36" s="65" t="n">
        <f aca="false">Payroll!AI$64*'Assumption Setting'!$E$184</f>
        <v>336</v>
      </c>
      <c r="AJ36" s="65" t="n">
        <f aca="false">Payroll!AJ$64*'Assumption Setting'!$E$184</f>
        <v>336</v>
      </c>
      <c r="AK36" s="65" t="n">
        <f aca="false">Payroll!AK$64*'Assumption Setting'!$E$184</f>
        <v>336</v>
      </c>
      <c r="AL36" s="65" t="n">
        <f aca="false">Payroll!AL$64*'Assumption Setting'!$E$184</f>
        <v>336</v>
      </c>
      <c r="AM36" s="65" t="n">
        <f aca="false">Payroll!AM$64*'Assumption Setting'!$E$184</f>
        <v>336</v>
      </c>
      <c r="AN36" s="65" t="n">
        <f aca="false">Payroll!AN$64*'Assumption Setting'!$E$184</f>
        <v>336</v>
      </c>
      <c r="AO36" s="64" t="n">
        <f aca="false">SUM(AP36:BA36)</f>
        <v>5760</v>
      </c>
      <c r="AP36" s="65" t="n">
        <f aca="false">Payroll!AP$64*'Assumption Setting'!$F$184</f>
        <v>480</v>
      </c>
      <c r="AQ36" s="65" t="n">
        <f aca="false">Payroll!AQ$64*'Assumption Setting'!$F$184</f>
        <v>480</v>
      </c>
      <c r="AR36" s="65" t="n">
        <f aca="false">Payroll!AR$64*'Assumption Setting'!$F$184</f>
        <v>480</v>
      </c>
      <c r="AS36" s="65" t="n">
        <f aca="false">Payroll!AS$64*'Assumption Setting'!$F$184</f>
        <v>480</v>
      </c>
      <c r="AT36" s="65" t="n">
        <f aca="false">Payroll!AT$64*'Assumption Setting'!$F$184</f>
        <v>480</v>
      </c>
      <c r="AU36" s="65" t="n">
        <f aca="false">Payroll!AU$64*'Assumption Setting'!$F$184</f>
        <v>480</v>
      </c>
      <c r="AV36" s="65" t="n">
        <f aca="false">Payroll!AV$64*'Assumption Setting'!$F$184</f>
        <v>480</v>
      </c>
      <c r="AW36" s="65" t="n">
        <f aca="false">Payroll!AW$64*'Assumption Setting'!$F$184</f>
        <v>480</v>
      </c>
      <c r="AX36" s="65" t="n">
        <f aca="false">Payroll!AX$64*'Assumption Setting'!$F$184</f>
        <v>480</v>
      </c>
      <c r="AY36" s="65" t="n">
        <f aca="false">Payroll!AY$64*'Assumption Setting'!$F$184</f>
        <v>480</v>
      </c>
      <c r="AZ36" s="65" t="n">
        <f aca="false">Payroll!AZ$64*'Assumption Setting'!$F$184</f>
        <v>480</v>
      </c>
      <c r="BA36" s="65" t="n">
        <f aca="false">Payroll!BA$64*'Assumption Setting'!$F$184</f>
        <v>480</v>
      </c>
      <c r="BB36" s="64" t="n">
        <f aca="false">SUM(BC36:BN36)</f>
        <v>7680</v>
      </c>
      <c r="BC36" s="65" t="n">
        <f aca="false">Payroll!BC$64*'Assumption Setting'!$G$184</f>
        <v>640</v>
      </c>
      <c r="BD36" s="65" t="n">
        <f aca="false">Payroll!BD$64*'Assumption Setting'!$G$184</f>
        <v>640</v>
      </c>
      <c r="BE36" s="65" t="n">
        <f aca="false">Payroll!BE$64*'Assumption Setting'!$G$184</f>
        <v>640</v>
      </c>
      <c r="BF36" s="65" t="n">
        <f aca="false">Payroll!BF$64*'Assumption Setting'!$G$184</f>
        <v>640</v>
      </c>
      <c r="BG36" s="65" t="n">
        <f aca="false">Payroll!BG$64*'Assumption Setting'!$G$184</f>
        <v>640</v>
      </c>
      <c r="BH36" s="65" t="n">
        <f aca="false">Payroll!BH$64*'Assumption Setting'!$G$184</f>
        <v>640</v>
      </c>
      <c r="BI36" s="65" t="n">
        <f aca="false">Payroll!BI$64*'Assumption Setting'!$G$184</f>
        <v>640</v>
      </c>
      <c r="BJ36" s="65" t="n">
        <f aca="false">Payroll!BJ$64*'Assumption Setting'!$G$184</f>
        <v>640</v>
      </c>
      <c r="BK36" s="65" t="n">
        <f aca="false">Payroll!BK$64*'Assumption Setting'!$G$184</f>
        <v>640</v>
      </c>
      <c r="BL36" s="65" t="n">
        <f aca="false">Payroll!BL$64*'Assumption Setting'!$G$184</f>
        <v>640</v>
      </c>
      <c r="BM36" s="65" t="n">
        <f aca="false">Payroll!BM$64*'Assumption Setting'!$G$184</f>
        <v>640</v>
      </c>
      <c r="BN36" s="65" t="n">
        <f aca="false">Payroll!BN$64*'Assumption Setting'!$G$184</f>
        <v>640</v>
      </c>
    </row>
    <row r="37" customFormat="false" ht="15" hidden="false" customHeight="false" outlineLevel="0" collapsed="false">
      <c r="A37" s="12" t="s">
        <v>827</v>
      </c>
      <c r="B37" s="64" t="n">
        <f aca="false">SUM(C37:N37)</f>
        <v>1895.6478333626</v>
      </c>
      <c r="C37" s="65" t="n">
        <f aca="false">'Assumption Setting'!$C$185+(Acquisitions!C$146+Acquisitions!C$149)*'Assumption Setting'!$C$186</f>
        <v>165.834000297978</v>
      </c>
      <c r="D37" s="65" t="n">
        <f aca="false">'Assumption Setting'!$C$185+(Acquisitions!D$146+Acquisitions!D$149)*'Assumption Setting'!$C$186</f>
        <v>154.60539162541</v>
      </c>
      <c r="E37" s="65" t="n">
        <f aca="false">'Assumption Setting'!$C$185+(Acquisitions!E$146+Acquisitions!E$149)*'Assumption Setting'!$C$186</f>
        <v>155.152374473196</v>
      </c>
      <c r="F37" s="65" t="n">
        <f aca="false">'Assumption Setting'!$C$185+(Acquisitions!F$146+Acquisitions!F$149)*'Assumption Setting'!$C$186</f>
        <v>155.220038350115</v>
      </c>
      <c r="G37" s="65" t="n">
        <f aca="false">'Assumption Setting'!$C$185+(Acquisitions!G$146+Acquisitions!G$149)*'Assumption Setting'!$C$186</f>
        <v>155.522927936344</v>
      </c>
      <c r="H37" s="65" t="n">
        <f aca="false">'Assumption Setting'!$C$185+(Acquisitions!H$146+Acquisitions!H$149)*'Assumption Setting'!$C$186</f>
        <v>155.82960755463</v>
      </c>
      <c r="I37" s="65" t="n">
        <f aca="false">'Assumption Setting'!$C$185+(Acquisitions!I$146+Acquisitions!I$149)*'Assumption Setting'!$C$186</f>
        <v>156.678685393754</v>
      </c>
      <c r="J37" s="65" t="n">
        <f aca="false">'Assumption Setting'!$C$185+(Acquisitions!J$146+Acquisitions!J$149)*'Assumption Setting'!$C$186</f>
        <v>157.548240309004</v>
      </c>
      <c r="K37" s="65" t="n">
        <f aca="false">'Assumption Setting'!$C$185+(Acquisitions!K$146+Acquisitions!K$149)*'Assumption Setting'!$C$186</f>
        <v>158.437043675812</v>
      </c>
      <c r="L37" s="65" t="n">
        <f aca="false">'Assumption Setting'!$C$185+(Acquisitions!L$146+Acquisitions!L$149)*'Assumption Setting'!$C$186</f>
        <v>159.343940587086</v>
      </c>
      <c r="M37" s="65" t="n">
        <f aca="false">'Assumption Setting'!$C$185+(Acquisitions!M$146+Acquisitions!M$149)*'Assumption Setting'!$C$186</f>
        <v>160.267845430156</v>
      </c>
      <c r="N37" s="65" t="n">
        <f aca="false">'Assumption Setting'!$C$185+(Acquisitions!N$146+Acquisitions!N$149)*'Assumption Setting'!$C$186</f>
        <v>161.207737729116</v>
      </c>
      <c r="O37" s="64" t="n">
        <f aca="false">SUM(P37:AA37)</f>
        <v>4917.81667563122</v>
      </c>
      <c r="P37" s="65" t="n">
        <f aca="false">'Assumption Setting'!$D$185+(Acquisitions!P$146+Acquisitions!P$149)*'Assumption Setting'!$C$186</f>
        <v>398.098126074961</v>
      </c>
      <c r="Q37" s="65" t="n">
        <f aca="false">'Assumption Setting'!$D$185+(Acquisitions!Q$146+Acquisitions!Q$149)*'Assumption Setting'!$C$186</f>
        <v>399.272044194866</v>
      </c>
      <c r="R37" s="65" t="n">
        <f aca="false">'Assumption Setting'!$D$185+(Acquisitions!R$146+Acquisitions!R$149)*'Assumption Setting'!$C$186</f>
        <v>401.277881807444</v>
      </c>
      <c r="S37" s="65" t="n">
        <f aca="false">'Assumption Setting'!$D$185+(Acquisitions!S$146+Acquisitions!S$149)*'Assumption Setting'!$C$186</f>
        <v>403.470579383042</v>
      </c>
      <c r="T37" s="65" t="n">
        <f aca="false">'Assumption Setting'!$D$185+(Acquisitions!T$146+Acquisitions!T$149)*'Assumption Setting'!$C$186</f>
        <v>405.848744189851</v>
      </c>
      <c r="U37" s="65" t="n">
        <f aca="false">'Assumption Setting'!$D$185+(Acquisitions!U$146+Acquisitions!U$149)*'Assumption Setting'!$C$186</f>
        <v>408.273121178885</v>
      </c>
      <c r="V37" s="65" t="n">
        <f aca="false">'Assumption Setting'!$D$185+(Acquisitions!V$146+Acquisitions!V$149)*'Assumption Setting'!$C$186</f>
        <v>410.680576100606</v>
      </c>
      <c r="W37" s="65" t="n">
        <f aca="false">'Assumption Setting'!$D$185+(Acquisitions!W$146+Acquisitions!W$149)*'Assumption Setting'!$C$186</f>
        <v>413.126681805485</v>
      </c>
      <c r="X37" s="65" t="n">
        <f aca="false">'Assumption Setting'!$D$185+(Acquisitions!X$146+Acquisitions!X$149)*'Assumption Setting'!$C$186</f>
        <v>415.609119246531</v>
      </c>
      <c r="Y37" s="65" t="n">
        <f aca="false">'Assumption Setting'!$D$185+(Acquisitions!Y$146+Acquisitions!Y$149)*'Assumption Setting'!$C$186</f>
        <v>418.143034442187</v>
      </c>
      <c r="Z37" s="65" t="n">
        <f aca="false">'Assumption Setting'!$D$185+(Acquisitions!Z$146+Acquisitions!Z$149)*'Assumption Setting'!$C$186</f>
        <v>420.709678758661</v>
      </c>
      <c r="AA37" s="65" t="n">
        <f aca="false">'Assumption Setting'!$D$185+(Acquisitions!AA$146+Acquisitions!AA$149)*'Assumption Setting'!$C$186</f>
        <v>423.307088448705</v>
      </c>
      <c r="AB37" s="64" t="n">
        <f aca="false">SUM(AC37:AN37)</f>
        <v>11067.2963223211</v>
      </c>
      <c r="AC37" s="65" t="n">
        <f aca="false">'Assumption Setting'!$E$185+(Acquisitions!AC$146+Acquisitions!AC$149)*'Assumption Setting'!$C$186</f>
        <v>903.764227610549</v>
      </c>
      <c r="AD37" s="65" t="n">
        <f aca="false">'Assumption Setting'!$E$185+(Acquisitions!AD$146+Acquisitions!AD$149)*'Assumption Setting'!$C$186</f>
        <v>905.957780117553</v>
      </c>
      <c r="AE37" s="65" t="n">
        <f aca="false">'Assumption Setting'!$E$185+(Acquisitions!AE$146+Acquisitions!AE$149)*'Assumption Setting'!$C$186</f>
        <v>908.888825534796</v>
      </c>
      <c r="AF37" s="65" t="n">
        <f aca="false">'Assumption Setting'!$E$185+(Acquisitions!AF$146+Acquisitions!AF$149)*'Assumption Setting'!$C$186</f>
        <v>912.505125425374</v>
      </c>
      <c r="AG37" s="65" t="n">
        <f aca="false">'Assumption Setting'!$E$185+(Acquisitions!AG$146+Acquisitions!AG$149)*'Assumption Setting'!$C$186</f>
        <v>916.148568147192</v>
      </c>
      <c r="AH37" s="65" t="n">
        <f aca="false">'Assumption Setting'!$E$185+(Acquisitions!AH$146+Acquisitions!AH$149)*'Assumption Setting'!$C$186</f>
        <v>919.83464478955</v>
      </c>
      <c r="AI37" s="65" t="n">
        <f aca="false">'Assumption Setting'!$E$185+(Acquisitions!AI$146+Acquisitions!AI$149)*'Assumption Setting'!$C$186</f>
        <v>923.652358370285</v>
      </c>
      <c r="AJ37" s="65" t="n">
        <f aca="false">'Assumption Setting'!$E$185+(Acquisitions!AJ$146+Acquisitions!AJ$149)*'Assumption Setting'!$C$186</f>
        <v>927.511449534448</v>
      </c>
      <c r="AK37" s="65" t="n">
        <f aca="false">'Assumption Setting'!$E$185+(Acquisitions!AK$146+Acquisitions!AK$149)*'Assumption Setting'!$C$186</f>
        <v>931.409435627033</v>
      </c>
      <c r="AL37" s="65" t="n">
        <f aca="false">'Assumption Setting'!$E$185+(Acquisitions!AL$146+Acquisitions!AL$149)*'Assumption Setting'!$C$186</f>
        <v>935.287632163159</v>
      </c>
      <c r="AM37" s="65" t="n">
        <f aca="false">'Assumption Setting'!$E$185+(Acquisitions!AM$146+Acquisitions!AM$149)*'Assumption Setting'!$C$186</f>
        <v>939.197915264371</v>
      </c>
      <c r="AN37" s="65" t="n">
        <f aca="false">'Assumption Setting'!$E$185+(Acquisitions!AN$146+Acquisitions!AN$149)*'Assumption Setting'!$C$186</f>
        <v>943.138359736765</v>
      </c>
      <c r="AO37" s="64" t="n">
        <f aca="false">SUM(AP37:BA37)</f>
        <v>18366.2172576581</v>
      </c>
      <c r="AP37" s="65" t="n">
        <f aca="false">'Assumption Setting'!$F$185+(Acquisitions!AP$146+Acquisitions!AP$149)*'Assumption Setting'!$C$186</f>
        <v>1505.53016337678</v>
      </c>
      <c r="AQ37" s="65" t="n">
        <f aca="false">'Assumption Setting'!$F$185+(Acquisitions!AQ$146+Acquisitions!AQ$149)*'Assumption Setting'!$C$186</f>
        <v>1510.01051400182</v>
      </c>
      <c r="AR37" s="65" t="n">
        <f aca="false">'Assumption Setting'!$F$185+(Acquisitions!AR$146+Acquisitions!AR$149)*'Assumption Setting'!$C$186</f>
        <v>1514.43694076426</v>
      </c>
      <c r="AS37" s="65" t="n">
        <f aca="false">'Assumption Setting'!$F$185+(Acquisitions!AS$146+Acquisitions!AS$149)*'Assumption Setting'!$C$186</f>
        <v>1518.94398935039</v>
      </c>
      <c r="AT37" s="65" t="n">
        <f aca="false">'Assumption Setting'!$F$185+(Acquisitions!AT$146+Acquisitions!AT$149)*'Assumption Setting'!$C$186</f>
        <v>1523.52417622987</v>
      </c>
      <c r="AU37" s="65" t="n">
        <f aca="false">'Assumption Setting'!$F$185+(Acquisitions!AU$146+Acquisitions!AU$149)*'Assumption Setting'!$C$186</f>
        <v>1528.11545008237</v>
      </c>
      <c r="AV37" s="65" t="n">
        <f aca="false">'Assumption Setting'!$F$185+(Acquisitions!AV$146+Acquisitions!AV$149)*'Assumption Setting'!$C$186</f>
        <v>1532.7302337031</v>
      </c>
      <c r="AW37" s="65" t="n">
        <f aca="false">'Assumption Setting'!$F$185+(Acquisitions!AW$146+Acquisitions!AW$149)*'Assumption Setting'!$C$186</f>
        <v>1537.35539961761</v>
      </c>
      <c r="AX37" s="65" t="n">
        <f aca="false">'Assumption Setting'!$F$185+(Acquisitions!AX$146+Acquisitions!AX$149)*'Assumption Setting'!$C$186</f>
        <v>1541.99032488827</v>
      </c>
      <c r="AY37" s="65" t="n">
        <f aca="false">'Assumption Setting'!$F$185+(Acquisitions!AY$146+Acquisitions!AY$149)*'Assumption Setting'!$C$186</f>
        <v>1546.58755502267</v>
      </c>
      <c r="AZ37" s="65" t="n">
        <f aca="false">'Assumption Setting'!$F$185+(Acquisitions!AZ$146+Acquisitions!AZ$149)*'Assumption Setting'!$C$186</f>
        <v>1551.19131058153</v>
      </c>
      <c r="BA37" s="65" t="n">
        <f aca="false">'Assumption Setting'!$F$185+(Acquisitions!BA$146+Acquisitions!BA$149)*'Assumption Setting'!$C$186</f>
        <v>1555.80120003939</v>
      </c>
      <c r="BB37" s="64" t="n">
        <f aca="false">SUM(BC37:BN37)</f>
        <v>25188.4407081966</v>
      </c>
      <c r="BC37" s="65" t="n">
        <f aca="false">'Assumption Setting'!$G$185+(Acquisitions!BC$146+Acquisitions!BC$149)*'Assumption Setting'!$C$186</f>
        <v>2068.87558869054</v>
      </c>
      <c r="BD37" s="65" t="n">
        <f aca="false">'Assumption Setting'!$G$185+(Acquisitions!BD$146+Acquisitions!BD$149)*'Assumption Setting'!$C$186</f>
        <v>2074.18194241314</v>
      </c>
      <c r="BE37" s="65" t="n">
        <f aca="false">'Assumption Setting'!$G$185+(Acquisitions!BE$146+Acquisitions!BE$149)*'Assumption Setting'!$C$186</f>
        <v>2079.68331047297</v>
      </c>
      <c r="BF37" s="65" t="n">
        <f aca="false">'Assumption Setting'!$G$185+(Acquisitions!BF$146+Acquisitions!BF$149)*'Assumption Setting'!$C$186</f>
        <v>2085.2329869176</v>
      </c>
      <c r="BG37" s="65" t="n">
        <f aca="false">'Assumption Setting'!$G$185+(Acquisitions!BG$146+Acquisitions!BG$149)*'Assumption Setting'!$C$186</f>
        <v>2090.7685736128</v>
      </c>
      <c r="BH37" s="65" t="n">
        <f aca="false">'Assumption Setting'!$G$185+(Acquisitions!BH$146+Acquisitions!BH$149)*'Assumption Setting'!$C$186</f>
        <v>2096.29825275731</v>
      </c>
      <c r="BI37" s="65" t="n">
        <f aca="false">'Assumption Setting'!$G$185+(Acquisitions!BI$146+Acquisitions!BI$149)*'Assumption Setting'!$C$186</f>
        <v>2101.82943789655</v>
      </c>
      <c r="BJ37" s="65" t="n">
        <f aca="false">'Assumption Setting'!$G$185+(Acquisitions!BJ$146+Acquisitions!BJ$149)*'Assumption Setting'!$C$186</f>
        <v>2107.35574905298</v>
      </c>
      <c r="BK37" s="65" t="n">
        <f aca="false">'Assumption Setting'!$G$185+(Acquisitions!BK$146+Acquisitions!BK$149)*'Assumption Setting'!$C$186</f>
        <v>2112.87747866556</v>
      </c>
      <c r="BL37" s="65" t="n">
        <f aca="false">'Assumption Setting'!$G$185+(Acquisitions!BL$146+Acquisitions!BL$149)*'Assumption Setting'!$C$186</f>
        <v>2118.33295571044</v>
      </c>
      <c r="BM37" s="65" t="n">
        <f aca="false">'Assumption Setting'!$G$185+(Acquisitions!BM$146+Acquisitions!BM$149)*'Assumption Setting'!$C$186</f>
        <v>2123.78134885968</v>
      </c>
      <c r="BN37" s="65" t="n">
        <f aca="false">'Assumption Setting'!$G$185+(Acquisitions!BN$146+Acquisitions!BN$149)*'Assumption Setting'!$C$186</f>
        <v>2129.22308314703</v>
      </c>
    </row>
    <row r="38" customFormat="false" ht="15" hidden="false" customHeight="false" outlineLevel="0" collapsed="false">
      <c r="A38" s="12" t="s">
        <v>828</v>
      </c>
      <c r="B38" s="64" t="n">
        <f aca="false">SUM(C38:N38)</f>
        <v>3960</v>
      </c>
      <c r="C38" s="65" t="n">
        <f aca="false">Payroll!C$64*'Assumption Setting'!$C$187</f>
        <v>330</v>
      </c>
      <c r="D38" s="65" t="n">
        <f aca="false">Payroll!D$64*'Assumption Setting'!$C$187</f>
        <v>330</v>
      </c>
      <c r="E38" s="65" t="n">
        <f aca="false">Payroll!E$64*'Assumption Setting'!$C$187</f>
        <v>330</v>
      </c>
      <c r="F38" s="65" t="n">
        <f aca="false">Payroll!F$64*'Assumption Setting'!$C$187</f>
        <v>330</v>
      </c>
      <c r="G38" s="65" t="n">
        <f aca="false">Payroll!G$64*'Assumption Setting'!$C$187</f>
        <v>330</v>
      </c>
      <c r="H38" s="65" t="n">
        <f aca="false">Payroll!H$64*'Assumption Setting'!$C$187</f>
        <v>330</v>
      </c>
      <c r="I38" s="65" t="n">
        <f aca="false">Payroll!I$64*'Assumption Setting'!$C$187</f>
        <v>330</v>
      </c>
      <c r="J38" s="65" t="n">
        <f aca="false">Payroll!J$64*'Assumption Setting'!$C$187</f>
        <v>330</v>
      </c>
      <c r="K38" s="65" t="n">
        <f aca="false">Payroll!K$64*'Assumption Setting'!$C$187</f>
        <v>330</v>
      </c>
      <c r="L38" s="65" t="n">
        <f aca="false">Payroll!L$64*'Assumption Setting'!$C$187</f>
        <v>330</v>
      </c>
      <c r="M38" s="65" t="n">
        <f aca="false">Payroll!M$64*'Assumption Setting'!$C$187</f>
        <v>330</v>
      </c>
      <c r="N38" s="65" t="n">
        <f aca="false">Payroll!N$64*'Assumption Setting'!$C$187</f>
        <v>330</v>
      </c>
      <c r="O38" s="64" t="n">
        <f aca="false">SUM(P38:AA38)</f>
        <v>7560</v>
      </c>
      <c r="P38" s="65" t="n">
        <f aca="false">Payroll!P$64*'Assumption Setting'!$D$187</f>
        <v>630</v>
      </c>
      <c r="Q38" s="65" t="n">
        <f aca="false">Payroll!Q$64*'Assumption Setting'!$D$187</f>
        <v>630</v>
      </c>
      <c r="R38" s="65" t="n">
        <f aca="false">Payroll!R$64*'Assumption Setting'!$D$187</f>
        <v>630</v>
      </c>
      <c r="S38" s="65" t="n">
        <f aca="false">Payroll!S$64*'Assumption Setting'!$D$187</f>
        <v>630</v>
      </c>
      <c r="T38" s="65" t="n">
        <f aca="false">Payroll!T$64*'Assumption Setting'!$D$187</f>
        <v>630</v>
      </c>
      <c r="U38" s="65" t="n">
        <f aca="false">Payroll!U$64*'Assumption Setting'!$D$187</f>
        <v>630</v>
      </c>
      <c r="V38" s="65" t="n">
        <f aca="false">Payroll!V$64*'Assumption Setting'!$D$187</f>
        <v>630</v>
      </c>
      <c r="W38" s="65" t="n">
        <f aca="false">Payroll!W$64*'Assumption Setting'!$D$187</f>
        <v>630</v>
      </c>
      <c r="X38" s="65" t="n">
        <f aca="false">Payroll!X$64*'Assumption Setting'!$D$187</f>
        <v>630</v>
      </c>
      <c r="Y38" s="65" t="n">
        <f aca="false">Payroll!Y$64*'Assumption Setting'!$D$187</f>
        <v>630</v>
      </c>
      <c r="Z38" s="65" t="n">
        <f aca="false">Payroll!Z$64*'Assumption Setting'!$D$187</f>
        <v>630</v>
      </c>
      <c r="AA38" s="65" t="n">
        <f aca="false">Payroll!AA$64*'Assumption Setting'!$D$187</f>
        <v>630</v>
      </c>
      <c r="AB38" s="64" t="n">
        <f aca="false">SUM(AC38:AN38)</f>
        <v>11520</v>
      </c>
      <c r="AC38" s="65" t="n">
        <f aca="false">Payroll!AC$64*'Assumption Setting'!$E$187</f>
        <v>960</v>
      </c>
      <c r="AD38" s="65" t="n">
        <f aca="false">Payroll!AD$64*'Assumption Setting'!$E$187</f>
        <v>960</v>
      </c>
      <c r="AE38" s="65" t="n">
        <f aca="false">Payroll!AE$64*'Assumption Setting'!$E$187</f>
        <v>960</v>
      </c>
      <c r="AF38" s="65" t="n">
        <f aca="false">Payroll!AF$64*'Assumption Setting'!$E$187</f>
        <v>960</v>
      </c>
      <c r="AG38" s="65" t="n">
        <f aca="false">Payroll!AG$64*'Assumption Setting'!$E$187</f>
        <v>960</v>
      </c>
      <c r="AH38" s="65" t="n">
        <f aca="false">Payroll!AH$64*'Assumption Setting'!$E$187</f>
        <v>960</v>
      </c>
      <c r="AI38" s="65" t="n">
        <f aca="false">Payroll!AI$64*'Assumption Setting'!$E$187</f>
        <v>960</v>
      </c>
      <c r="AJ38" s="65" t="n">
        <f aca="false">Payroll!AJ$64*'Assumption Setting'!$E$187</f>
        <v>960</v>
      </c>
      <c r="AK38" s="65" t="n">
        <f aca="false">Payroll!AK$64*'Assumption Setting'!$E$187</f>
        <v>960</v>
      </c>
      <c r="AL38" s="65" t="n">
        <f aca="false">Payroll!AL$64*'Assumption Setting'!$E$187</f>
        <v>960</v>
      </c>
      <c r="AM38" s="65" t="n">
        <f aca="false">Payroll!AM$64*'Assumption Setting'!$E$187</f>
        <v>960</v>
      </c>
      <c r="AN38" s="65" t="n">
        <f aca="false">Payroll!AN$64*'Assumption Setting'!$E$187</f>
        <v>960</v>
      </c>
      <c r="AO38" s="64" t="n">
        <f aca="false">SUM(AP38:BA38)</f>
        <v>16320</v>
      </c>
      <c r="AP38" s="65" t="n">
        <f aca="false">Payroll!AP$64*'Assumption Setting'!$F$187</f>
        <v>1360</v>
      </c>
      <c r="AQ38" s="65" t="n">
        <f aca="false">Payroll!AQ$64*'Assumption Setting'!$F$187</f>
        <v>1360</v>
      </c>
      <c r="AR38" s="65" t="n">
        <f aca="false">Payroll!AR$64*'Assumption Setting'!$F$187</f>
        <v>1360</v>
      </c>
      <c r="AS38" s="65" t="n">
        <f aca="false">Payroll!AS$64*'Assumption Setting'!$F$187</f>
        <v>1360</v>
      </c>
      <c r="AT38" s="65" t="n">
        <f aca="false">Payroll!AT$64*'Assumption Setting'!$F$187</f>
        <v>1360</v>
      </c>
      <c r="AU38" s="65" t="n">
        <f aca="false">Payroll!AU$64*'Assumption Setting'!$F$187</f>
        <v>1360</v>
      </c>
      <c r="AV38" s="65" t="n">
        <f aca="false">Payroll!AV$64*'Assumption Setting'!$F$187</f>
        <v>1360</v>
      </c>
      <c r="AW38" s="65" t="n">
        <f aca="false">Payroll!AW$64*'Assumption Setting'!$F$187</f>
        <v>1360</v>
      </c>
      <c r="AX38" s="65" t="n">
        <f aca="false">Payroll!AX$64*'Assumption Setting'!$F$187</f>
        <v>1360</v>
      </c>
      <c r="AY38" s="65" t="n">
        <f aca="false">Payroll!AY$64*'Assumption Setting'!$F$187</f>
        <v>1360</v>
      </c>
      <c r="AZ38" s="65" t="n">
        <f aca="false">Payroll!AZ$64*'Assumption Setting'!$F$187</f>
        <v>1360</v>
      </c>
      <c r="BA38" s="65" t="n">
        <f aca="false">Payroll!BA$64*'Assumption Setting'!$F$187</f>
        <v>1360</v>
      </c>
      <c r="BB38" s="64" t="n">
        <f aca="false">SUM(BC38:BN38)</f>
        <v>21600</v>
      </c>
      <c r="BC38" s="65" t="n">
        <f aca="false">Payroll!BC$64*'Assumption Setting'!$G$187</f>
        <v>1800</v>
      </c>
      <c r="BD38" s="65" t="n">
        <f aca="false">Payroll!BD$64*'Assumption Setting'!$G$187</f>
        <v>1800</v>
      </c>
      <c r="BE38" s="65" t="n">
        <f aca="false">Payroll!BE$64*'Assumption Setting'!$G$187</f>
        <v>1800</v>
      </c>
      <c r="BF38" s="65" t="n">
        <f aca="false">Payroll!BF$64*'Assumption Setting'!$G$187</f>
        <v>1800</v>
      </c>
      <c r="BG38" s="65" t="n">
        <f aca="false">Payroll!BG$64*'Assumption Setting'!$G$187</f>
        <v>1800</v>
      </c>
      <c r="BH38" s="65" t="n">
        <f aca="false">Payroll!BH$64*'Assumption Setting'!$G$187</f>
        <v>1800</v>
      </c>
      <c r="BI38" s="65" t="n">
        <f aca="false">Payroll!BI$64*'Assumption Setting'!$G$187</f>
        <v>1800</v>
      </c>
      <c r="BJ38" s="65" t="n">
        <f aca="false">Payroll!BJ$64*'Assumption Setting'!$G$187</f>
        <v>1800</v>
      </c>
      <c r="BK38" s="65" t="n">
        <f aca="false">Payroll!BK$64*'Assumption Setting'!$G$187</f>
        <v>1800</v>
      </c>
      <c r="BL38" s="65" t="n">
        <f aca="false">Payroll!BL$64*'Assumption Setting'!$G$187</f>
        <v>1800</v>
      </c>
      <c r="BM38" s="65" t="n">
        <f aca="false">Payroll!BM$64*'Assumption Setting'!$G$187</f>
        <v>1800</v>
      </c>
      <c r="BN38" s="65" t="n">
        <f aca="false">Payroll!BN$64*'Assumption Setting'!$G$187</f>
        <v>1800</v>
      </c>
    </row>
    <row r="39" customFormat="false" ht="15" hidden="false" customHeight="false" outlineLevel="0" collapsed="false">
      <c r="A39" s="12" t="s">
        <v>829</v>
      </c>
      <c r="B39" s="64" t="n">
        <f aca="false">SUM(C39:N39)</f>
        <v>2880</v>
      </c>
      <c r="C39" s="65" t="n">
        <f aca="false">Payroll!C$64*'Assumption Setting'!$C$188</f>
        <v>240</v>
      </c>
      <c r="D39" s="65" t="n">
        <f aca="false">Payroll!D$64*'Assumption Setting'!$C$188</f>
        <v>240</v>
      </c>
      <c r="E39" s="65" t="n">
        <f aca="false">Payroll!E$64*'Assumption Setting'!$C$188</f>
        <v>240</v>
      </c>
      <c r="F39" s="65" t="n">
        <f aca="false">Payroll!F$64*'Assumption Setting'!$C$188</f>
        <v>240</v>
      </c>
      <c r="G39" s="65" t="n">
        <f aca="false">Payroll!G$64*'Assumption Setting'!$C$188</f>
        <v>240</v>
      </c>
      <c r="H39" s="65" t="n">
        <f aca="false">Payroll!H$64*'Assumption Setting'!$C$188</f>
        <v>240</v>
      </c>
      <c r="I39" s="65" t="n">
        <f aca="false">Payroll!I$64*'Assumption Setting'!$C$188</f>
        <v>240</v>
      </c>
      <c r="J39" s="65" t="n">
        <f aca="false">Payroll!J$64*'Assumption Setting'!$C$188</f>
        <v>240</v>
      </c>
      <c r="K39" s="65" t="n">
        <f aca="false">Payroll!K$64*'Assumption Setting'!$C$188</f>
        <v>240</v>
      </c>
      <c r="L39" s="65" t="n">
        <f aca="false">Payroll!L$64*'Assumption Setting'!$C$188</f>
        <v>240</v>
      </c>
      <c r="M39" s="65" t="n">
        <f aca="false">Payroll!M$64*'Assumption Setting'!$C$188</f>
        <v>240</v>
      </c>
      <c r="N39" s="65" t="n">
        <f aca="false">Payroll!N$64*'Assumption Setting'!$C$188</f>
        <v>240</v>
      </c>
      <c r="O39" s="64" t="n">
        <f aca="false">SUM(P39:AA39)</f>
        <v>8640</v>
      </c>
      <c r="P39" s="65" t="n">
        <f aca="false">Payroll!P$64*'Assumption Setting'!$D$188</f>
        <v>720</v>
      </c>
      <c r="Q39" s="65" t="n">
        <f aca="false">Payroll!Q$64*'Assumption Setting'!$D$188</f>
        <v>720</v>
      </c>
      <c r="R39" s="65" t="n">
        <f aca="false">Payroll!R$64*'Assumption Setting'!$D$188</f>
        <v>720</v>
      </c>
      <c r="S39" s="65" t="n">
        <f aca="false">Payroll!S$64*'Assumption Setting'!$D$188</f>
        <v>720</v>
      </c>
      <c r="T39" s="65" t="n">
        <f aca="false">Payroll!T$64*'Assumption Setting'!$D$188</f>
        <v>720</v>
      </c>
      <c r="U39" s="65" t="n">
        <f aca="false">Payroll!U$64*'Assumption Setting'!$D$188</f>
        <v>720</v>
      </c>
      <c r="V39" s="65" t="n">
        <f aca="false">Payroll!V$64*'Assumption Setting'!$D$188</f>
        <v>720</v>
      </c>
      <c r="W39" s="65" t="n">
        <f aca="false">Payroll!W$64*'Assumption Setting'!$D$188</f>
        <v>720</v>
      </c>
      <c r="X39" s="65" t="n">
        <f aca="false">Payroll!X$64*'Assumption Setting'!$D$188</f>
        <v>720</v>
      </c>
      <c r="Y39" s="65" t="n">
        <f aca="false">Payroll!Y$64*'Assumption Setting'!$D$188</f>
        <v>720</v>
      </c>
      <c r="Z39" s="65" t="n">
        <f aca="false">Payroll!Z$64*'Assumption Setting'!$D$188</f>
        <v>720</v>
      </c>
      <c r="AA39" s="65" t="n">
        <f aca="false">Payroll!AA$64*'Assumption Setting'!$D$188</f>
        <v>720</v>
      </c>
      <c r="AB39" s="64" t="n">
        <f aca="false">SUM(AC39:AN39)</f>
        <v>15840</v>
      </c>
      <c r="AC39" s="65" t="n">
        <f aca="false">Payroll!AC$64*'Assumption Setting'!$E$188</f>
        <v>1320</v>
      </c>
      <c r="AD39" s="65" t="n">
        <f aca="false">Payroll!AD$64*'Assumption Setting'!$E$188</f>
        <v>1320</v>
      </c>
      <c r="AE39" s="65" t="n">
        <f aca="false">Payroll!AE$64*'Assumption Setting'!$E$188</f>
        <v>1320</v>
      </c>
      <c r="AF39" s="65" t="n">
        <f aca="false">Payroll!AF$64*'Assumption Setting'!$E$188</f>
        <v>1320</v>
      </c>
      <c r="AG39" s="65" t="n">
        <f aca="false">Payroll!AG$64*'Assumption Setting'!$E$188</f>
        <v>1320</v>
      </c>
      <c r="AH39" s="65" t="n">
        <f aca="false">Payroll!AH$64*'Assumption Setting'!$E$188</f>
        <v>1320</v>
      </c>
      <c r="AI39" s="65" t="n">
        <f aca="false">Payroll!AI$64*'Assumption Setting'!$E$188</f>
        <v>1320</v>
      </c>
      <c r="AJ39" s="65" t="n">
        <f aca="false">Payroll!AJ$64*'Assumption Setting'!$E$188</f>
        <v>1320</v>
      </c>
      <c r="AK39" s="65" t="n">
        <f aca="false">Payroll!AK$64*'Assumption Setting'!$E$188</f>
        <v>1320</v>
      </c>
      <c r="AL39" s="65" t="n">
        <f aca="false">Payroll!AL$64*'Assumption Setting'!$E$188</f>
        <v>1320</v>
      </c>
      <c r="AM39" s="65" t="n">
        <f aca="false">Payroll!AM$64*'Assumption Setting'!$E$188</f>
        <v>1320</v>
      </c>
      <c r="AN39" s="65" t="n">
        <f aca="false">Payroll!AN$64*'Assumption Setting'!$E$188</f>
        <v>1320</v>
      </c>
      <c r="AO39" s="64" t="n">
        <f aca="false">SUM(AP39:BA39)</f>
        <v>23040</v>
      </c>
      <c r="AP39" s="65" t="n">
        <f aca="false">Payroll!AP$64*'Assumption Setting'!$F$188</f>
        <v>1920</v>
      </c>
      <c r="AQ39" s="65" t="n">
        <f aca="false">Payroll!AQ$64*'Assumption Setting'!$F$188</f>
        <v>1920</v>
      </c>
      <c r="AR39" s="65" t="n">
        <f aca="false">Payroll!AR$64*'Assumption Setting'!$F$188</f>
        <v>1920</v>
      </c>
      <c r="AS39" s="65" t="n">
        <f aca="false">Payroll!AS$64*'Assumption Setting'!$F$188</f>
        <v>1920</v>
      </c>
      <c r="AT39" s="65" t="n">
        <f aca="false">Payroll!AT$64*'Assumption Setting'!$F$188</f>
        <v>1920</v>
      </c>
      <c r="AU39" s="65" t="n">
        <f aca="false">Payroll!AU$64*'Assumption Setting'!$F$188</f>
        <v>1920</v>
      </c>
      <c r="AV39" s="65" t="n">
        <f aca="false">Payroll!AV$64*'Assumption Setting'!$F$188</f>
        <v>1920</v>
      </c>
      <c r="AW39" s="65" t="n">
        <f aca="false">Payroll!AW$64*'Assumption Setting'!$F$188</f>
        <v>1920</v>
      </c>
      <c r="AX39" s="65" t="n">
        <f aca="false">Payroll!AX$64*'Assumption Setting'!$F$188</f>
        <v>1920</v>
      </c>
      <c r="AY39" s="65" t="n">
        <f aca="false">Payroll!AY$64*'Assumption Setting'!$F$188</f>
        <v>1920</v>
      </c>
      <c r="AZ39" s="65" t="n">
        <f aca="false">Payroll!AZ$64*'Assumption Setting'!$F$188</f>
        <v>1920</v>
      </c>
      <c r="BA39" s="65" t="n">
        <f aca="false">Payroll!BA$64*'Assumption Setting'!$F$188</f>
        <v>1920</v>
      </c>
      <c r="BB39" s="64" t="n">
        <f aca="false">SUM(BC39:BN39)</f>
        <v>31200</v>
      </c>
      <c r="BC39" s="65" t="n">
        <f aca="false">Payroll!BC$64*'Assumption Setting'!$G$188</f>
        <v>2600</v>
      </c>
      <c r="BD39" s="65" t="n">
        <f aca="false">Payroll!BD$64*'Assumption Setting'!$G$188</f>
        <v>2600</v>
      </c>
      <c r="BE39" s="65" t="n">
        <f aca="false">Payroll!BE$64*'Assumption Setting'!$G$188</f>
        <v>2600</v>
      </c>
      <c r="BF39" s="65" t="n">
        <f aca="false">Payroll!BF$64*'Assumption Setting'!$G$188</f>
        <v>2600</v>
      </c>
      <c r="BG39" s="65" t="n">
        <f aca="false">Payroll!BG$64*'Assumption Setting'!$G$188</f>
        <v>2600</v>
      </c>
      <c r="BH39" s="65" t="n">
        <f aca="false">Payroll!BH$64*'Assumption Setting'!$G$188</f>
        <v>2600</v>
      </c>
      <c r="BI39" s="65" t="n">
        <f aca="false">Payroll!BI$64*'Assumption Setting'!$G$188</f>
        <v>2600</v>
      </c>
      <c r="BJ39" s="65" t="n">
        <f aca="false">Payroll!BJ$64*'Assumption Setting'!$G$188</f>
        <v>2600</v>
      </c>
      <c r="BK39" s="65" t="n">
        <f aca="false">Payroll!BK$64*'Assumption Setting'!$G$188</f>
        <v>2600</v>
      </c>
      <c r="BL39" s="65" t="n">
        <f aca="false">Payroll!BL$64*'Assumption Setting'!$G$188</f>
        <v>2600</v>
      </c>
      <c r="BM39" s="65" t="n">
        <f aca="false">Payroll!BM$64*'Assumption Setting'!$G$188</f>
        <v>2600</v>
      </c>
      <c r="BN39" s="65" t="n">
        <f aca="false">Payroll!BN$64*'Assumption Setting'!$G$188</f>
        <v>2600</v>
      </c>
    </row>
    <row r="40" customFormat="false" ht="15" hidden="false" customHeight="false" outlineLevel="0" collapsed="false">
      <c r="A40" s="12" t="s">
        <v>830</v>
      </c>
      <c r="B40" s="64" t="n">
        <f aca="false">SUM(C40:N40)</f>
        <v>3960</v>
      </c>
      <c r="C40" s="65" t="n">
        <f aca="false">'Assumption Setting'!$C$189</f>
        <v>330</v>
      </c>
      <c r="D40" s="65" t="n">
        <f aca="false">'Assumption Setting'!$C$189</f>
        <v>330</v>
      </c>
      <c r="E40" s="65" t="n">
        <f aca="false">'Assumption Setting'!$C$189</f>
        <v>330</v>
      </c>
      <c r="F40" s="65" t="n">
        <f aca="false">'Assumption Setting'!$C$189</f>
        <v>330</v>
      </c>
      <c r="G40" s="65" t="n">
        <f aca="false">'Assumption Setting'!$C$189</f>
        <v>330</v>
      </c>
      <c r="H40" s="65" t="n">
        <f aca="false">'Assumption Setting'!$C$189</f>
        <v>330</v>
      </c>
      <c r="I40" s="65" t="n">
        <f aca="false">'Assumption Setting'!$C$189</f>
        <v>330</v>
      </c>
      <c r="J40" s="65" t="n">
        <f aca="false">'Assumption Setting'!$C$189</f>
        <v>330</v>
      </c>
      <c r="K40" s="65" t="n">
        <f aca="false">'Assumption Setting'!$C$189</f>
        <v>330</v>
      </c>
      <c r="L40" s="65" t="n">
        <f aca="false">'Assumption Setting'!$C$189</f>
        <v>330</v>
      </c>
      <c r="M40" s="65" t="n">
        <f aca="false">'Assumption Setting'!$C$189</f>
        <v>330</v>
      </c>
      <c r="N40" s="65" t="n">
        <f aca="false">'Assumption Setting'!$C$189</f>
        <v>330</v>
      </c>
      <c r="O40" s="64" t="n">
        <f aca="false">SUM(P40:AA40)</f>
        <v>9600</v>
      </c>
      <c r="P40" s="65" t="n">
        <f aca="false">'Assumption Setting'!$D$189</f>
        <v>800</v>
      </c>
      <c r="Q40" s="65" t="n">
        <f aca="false">'Assumption Setting'!$D$189</f>
        <v>800</v>
      </c>
      <c r="R40" s="65" t="n">
        <f aca="false">'Assumption Setting'!$D$189</f>
        <v>800</v>
      </c>
      <c r="S40" s="65" t="n">
        <f aca="false">'Assumption Setting'!$D$189</f>
        <v>800</v>
      </c>
      <c r="T40" s="65" t="n">
        <f aca="false">'Assumption Setting'!$D$189</f>
        <v>800</v>
      </c>
      <c r="U40" s="65" t="n">
        <f aca="false">'Assumption Setting'!$D$189</f>
        <v>800</v>
      </c>
      <c r="V40" s="65" t="n">
        <f aca="false">'Assumption Setting'!$D$189</f>
        <v>800</v>
      </c>
      <c r="W40" s="65" t="n">
        <f aca="false">'Assumption Setting'!$D$189</f>
        <v>800</v>
      </c>
      <c r="X40" s="65" t="n">
        <f aca="false">'Assumption Setting'!$D$189</f>
        <v>800</v>
      </c>
      <c r="Y40" s="65" t="n">
        <f aca="false">'Assumption Setting'!$D$189</f>
        <v>800</v>
      </c>
      <c r="Z40" s="65" t="n">
        <f aca="false">'Assumption Setting'!$D$189</f>
        <v>800</v>
      </c>
      <c r="AA40" s="65" t="n">
        <f aca="false">'Assumption Setting'!$D$189</f>
        <v>800</v>
      </c>
      <c r="AB40" s="64" t="n">
        <f aca="false">SUM(AC40:AN40)</f>
        <v>16800</v>
      </c>
      <c r="AC40" s="65" t="n">
        <f aca="false">'Assumption Setting'!$E$189</f>
        <v>1400</v>
      </c>
      <c r="AD40" s="65" t="n">
        <f aca="false">'Assumption Setting'!$E$189</f>
        <v>1400</v>
      </c>
      <c r="AE40" s="65" t="n">
        <f aca="false">'Assumption Setting'!$E$189</f>
        <v>1400</v>
      </c>
      <c r="AF40" s="65" t="n">
        <f aca="false">'Assumption Setting'!$E$189</f>
        <v>1400</v>
      </c>
      <c r="AG40" s="65" t="n">
        <f aca="false">'Assumption Setting'!$E$189</f>
        <v>1400</v>
      </c>
      <c r="AH40" s="65" t="n">
        <f aca="false">'Assumption Setting'!$E$189</f>
        <v>1400</v>
      </c>
      <c r="AI40" s="65" t="n">
        <f aca="false">'Assumption Setting'!$E$189</f>
        <v>1400</v>
      </c>
      <c r="AJ40" s="65" t="n">
        <f aca="false">'Assumption Setting'!$E$189</f>
        <v>1400</v>
      </c>
      <c r="AK40" s="65" t="n">
        <f aca="false">'Assumption Setting'!$E$189</f>
        <v>1400</v>
      </c>
      <c r="AL40" s="65" t="n">
        <f aca="false">'Assumption Setting'!$E$189</f>
        <v>1400</v>
      </c>
      <c r="AM40" s="65" t="n">
        <f aca="false">'Assumption Setting'!$E$189</f>
        <v>1400</v>
      </c>
      <c r="AN40" s="65" t="n">
        <f aca="false">'Assumption Setting'!$E$189</f>
        <v>1400</v>
      </c>
      <c r="AO40" s="64" t="n">
        <f aca="false">SUM(AP40:BA40)</f>
        <v>22800</v>
      </c>
      <c r="AP40" s="65" t="n">
        <f aca="false">'Assumption Setting'!$F$189</f>
        <v>1900</v>
      </c>
      <c r="AQ40" s="65" t="n">
        <f aca="false">'Assumption Setting'!$F$189</f>
        <v>1900</v>
      </c>
      <c r="AR40" s="65" t="n">
        <f aca="false">'Assumption Setting'!$F$189</f>
        <v>1900</v>
      </c>
      <c r="AS40" s="65" t="n">
        <f aca="false">'Assumption Setting'!$F$189</f>
        <v>1900</v>
      </c>
      <c r="AT40" s="65" t="n">
        <f aca="false">'Assumption Setting'!$F$189</f>
        <v>1900</v>
      </c>
      <c r="AU40" s="65" t="n">
        <f aca="false">'Assumption Setting'!$F$189</f>
        <v>1900</v>
      </c>
      <c r="AV40" s="65" t="n">
        <f aca="false">'Assumption Setting'!$F$189</f>
        <v>1900</v>
      </c>
      <c r="AW40" s="65" t="n">
        <f aca="false">'Assumption Setting'!$F$189</f>
        <v>1900</v>
      </c>
      <c r="AX40" s="65" t="n">
        <f aca="false">'Assumption Setting'!$F$189</f>
        <v>1900</v>
      </c>
      <c r="AY40" s="65" t="n">
        <f aca="false">'Assumption Setting'!$F$189</f>
        <v>1900</v>
      </c>
      <c r="AZ40" s="65" t="n">
        <f aca="false">'Assumption Setting'!$F$189</f>
        <v>1900</v>
      </c>
      <c r="BA40" s="65" t="n">
        <f aca="false">'Assumption Setting'!$F$189</f>
        <v>1900</v>
      </c>
      <c r="BB40" s="64" t="n">
        <f aca="false">SUM(BC40:BN40)</f>
        <v>27600</v>
      </c>
      <c r="BC40" s="65" t="n">
        <f aca="false">'Assumption Setting'!$G$189</f>
        <v>2300</v>
      </c>
      <c r="BD40" s="65" t="n">
        <f aca="false">'Assumption Setting'!$G$189</f>
        <v>2300</v>
      </c>
      <c r="BE40" s="65" t="n">
        <f aca="false">'Assumption Setting'!$G$189</f>
        <v>2300</v>
      </c>
      <c r="BF40" s="65" t="n">
        <f aca="false">'Assumption Setting'!$G$189</f>
        <v>2300</v>
      </c>
      <c r="BG40" s="65" t="n">
        <f aca="false">'Assumption Setting'!$G$189</f>
        <v>2300</v>
      </c>
      <c r="BH40" s="65" t="n">
        <f aca="false">'Assumption Setting'!$G$189</f>
        <v>2300</v>
      </c>
      <c r="BI40" s="65" t="n">
        <f aca="false">'Assumption Setting'!$G$189</f>
        <v>2300</v>
      </c>
      <c r="BJ40" s="65" t="n">
        <f aca="false">'Assumption Setting'!$G$189</f>
        <v>2300</v>
      </c>
      <c r="BK40" s="65" t="n">
        <f aca="false">'Assumption Setting'!$G$189</f>
        <v>2300</v>
      </c>
      <c r="BL40" s="65" t="n">
        <f aca="false">'Assumption Setting'!$G$189</f>
        <v>2300</v>
      </c>
      <c r="BM40" s="65" t="n">
        <f aca="false">'Assumption Setting'!$G$189</f>
        <v>2300</v>
      </c>
      <c r="BN40" s="65" t="n">
        <f aca="false">'Assumption Setting'!$G$189</f>
        <v>2300</v>
      </c>
    </row>
    <row r="41" customFormat="false" ht="15" hidden="false" customHeight="false" outlineLevel="0" collapsed="false">
      <c r="A41" s="12" t="s">
        <v>831</v>
      </c>
      <c r="B41" s="64" t="n">
        <f aca="false">SUM(C41:N41)</f>
        <v>480</v>
      </c>
      <c r="C41" s="65" t="n">
        <f aca="false">'Assumption Setting'!$C$190</f>
        <v>40</v>
      </c>
      <c r="D41" s="65" t="n">
        <f aca="false">'Assumption Setting'!$C$190</f>
        <v>40</v>
      </c>
      <c r="E41" s="65" t="n">
        <f aca="false">'Assumption Setting'!$C$190</f>
        <v>40</v>
      </c>
      <c r="F41" s="65" t="n">
        <f aca="false">'Assumption Setting'!$C$190</f>
        <v>40</v>
      </c>
      <c r="G41" s="65" t="n">
        <f aca="false">'Assumption Setting'!$C$190</f>
        <v>40</v>
      </c>
      <c r="H41" s="65" t="n">
        <f aca="false">'Assumption Setting'!$C$190</f>
        <v>40</v>
      </c>
      <c r="I41" s="65" t="n">
        <f aca="false">'Assumption Setting'!$C$190</f>
        <v>40</v>
      </c>
      <c r="J41" s="65" t="n">
        <f aca="false">'Assumption Setting'!$C$190</f>
        <v>40</v>
      </c>
      <c r="K41" s="65" t="n">
        <f aca="false">'Assumption Setting'!$C$190</f>
        <v>40</v>
      </c>
      <c r="L41" s="65" t="n">
        <f aca="false">'Assumption Setting'!$C$190</f>
        <v>40</v>
      </c>
      <c r="M41" s="65" t="n">
        <f aca="false">'Assumption Setting'!$C$190</f>
        <v>40</v>
      </c>
      <c r="N41" s="65" t="n">
        <f aca="false">'Assumption Setting'!$C$190</f>
        <v>40</v>
      </c>
      <c r="O41" s="64" t="n">
        <f aca="false">SUM(P41:AA41)</f>
        <v>2160</v>
      </c>
      <c r="P41" s="65" t="n">
        <f aca="false">'Assumption Setting'!$D$190</f>
        <v>180</v>
      </c>
      <c r="Q41" s="65" t="n">
        <f aca="false">'Assumption Setting'!$D$190</f>
        <v>180</v>
      </c>
      <c r="R41" s="65" t="n">
        <f aca="false">'Assumption Setting'!$D$190</f>
        <v>180</v>
      </c>
      <c r="S41" s="65" t="n">
        <f aca="false">'Assumption Setting'!$D$190</f>
        <v>180</v>
      </c>
      <c r="T41" s="65" t="n">
        <f aca="false">'Assumption Setting'!$D$190</f>
        <v>180</v>
      </c>
      <c r="U41" s="65" t="n">
        <f aca="false">'Assumption Setting'!$D$190</f>
        <v>180</v>
      </c>
      <c r="V41" s="65" t="n">
        <f aca="false">'Assumption Setting'!$D$190</f>
        <v>180</v>
      </c>
      <c r="W41" s="65" t="n">
        <f aca="false">'Assumption Setting'!$D$190</f>
        <v>180</v>
      </c>
      <c r="X41" s="65" t="n">
        <f aca="false">'Assumption Setting'!$D$190</f>
        <v>180</v>
      </c>
      <c r="Y41" s="65" t="n">
        <f aca="false">'Assumption Setting'!$D$190</f>
        <v>180</v>
      </c>
      <c r="Z41" s="65" t="n">
        <f aca="false">'Assumption Setting'!$D$190</f>
        <v>180</v>
      </c>
      <c r="AA41" s="65" t="n">
        <f aca="false">'Assumption Setting'!$D$190</f>
        <v>180</v>
      </c>
      <c r="AB41" s="64" t="n">
        <f aca="false">SUM(AC41:AN41)</f>
        <v>5400</v>
      </c>
      <c r="AC41" s="65" t="n">
        <f aca="false">'Assumption Setting'!$E$190</f>
        <v>450</v>
      </c>
      <c r="AD41" s="65" t="n">
        <f aca="false">'Assumption Setting'!$E$190</f>
        <v>450</v>
      </c>
      <c r="AE41" s="65" t="n">
        <f aca="false">'Assumption Setting'!$E$190</f>
        <v>450</v>
      </c>
      <c r="AF41" s="65" t="n">
        <f aca="false">'Assumption Setting'!$E$190</f>
        <v>450</v>
      </c>
      <c r="AG41" s="65" t="n">
        <f aca="false">'Assumption Setting'!$E$190</f>
        <v>450</v>
      </c>
      <c r="AH41" s="65" t="n">
        <f aca="false">'Assumption Setting'!$E$190</f>
        <v>450</v>
      </c>
      <c r="AI41" s="65" t="n">
        <f aca="false">'Assumption Setting'!$E$190</f>
        <v>450</v>
      </c>
      <c r="AJ41" s="65" t="n">
        <f aca="false">'Assumption Setting'!$E$190</f>
        <v>450</v>
      </c>
      <c r="AK41" s="65" t="n">
        <f aca="false">'Assumption Setting'!$E$190</f>
        <v>450</v>
      </c>
      <c r="AL41" s="65" t="n">
        <f aca="false">'Assumption Setting'!$E$190</f>
        <v>450</v>
      </c>
      <c r="AM41" s="65" t="n">
        <f aca="false">'Assumption Setting'!$E$190</f>
        <v>450</v>
      </c>
      <c r="AN41" s="65" t="n">
        <f aca="false">'Assumption Setting'!$E$190</f>
        <v>450</v>
      </c>
      <c r="AO41" s="64" t="n">
        <f aca="false">SUM(AP41:BA41)</f>
        <v>8400</v>
      </c>
      <c r="AP41" s="65" t="n">
        <f aca="false">'Assumption Setting'!$F$190</f>
        <v>700</v>
      </c>
      <c r="AQ41" s="65" t="n">
        <f aca="false">'Assumption Setting'!$F$190</f>
        <v>700</v>
      </c>
      <c r="AR41" s="65" t="n">
        <f aca="false">'Assumption Setting'!$F$190</f>
        <v>700</v>
      </c>
      <c r="AS41" s="65" t="n">
        <f aca="false">'Assumption Setting'!$F$190</f>
        <v>700</v>
      </c>
      <c r="AT41" s="65" t="n">
        <f aca="false">'Assumption Setting'!$F$190</f>
        <v>700</v>
      </c>
      <c r="AU41" s="65" t="n">
        <f aca="false">'Assumption Setting'!$F$190</f>
        <v>700</v>
      </c>
      <c r="AV41" s="65" t="n">
        <f aca="false">'Assumption Setting'!$F$190</f>
        <v>700</v>
      </c>
      <c r="AW41" s="65" t="n">
        <f aca="false">'Assumption Setting'!$F$190</f>
        <v>700</v>
      </c>
      <c r="AX41" s="65" t="n">
        <f aca="false">'Assumption Setting'!$F$190</f>
        <v>700</v>
      </c>
      <c r="AY41" s="65" t="n">
        <f aca="false">'Assumption Setting'!$F$190</f>
        <v>700</v>
      </c>
      <c r="AZ41" s="65" t="n">
        <f aca="false">'Assumption Setting'!$F$190</f>
        <v>700</v>
      </c>
      <c r="BA41" s="65" t="n">
        <f aca="false">'Assumption Setting'!$F$190</f>
        <v>700</v>
      </c>
      <c r="BB41" s="64" t="n">
        <f aca="false">SUM(BC41:BN41)</f>
        <v>10800</v>
      </c>
      <c r="BC41" s="65" t="n">
        <f aca="false">'Assumption Setting'!$G$190</f>
        <v>900</v>
      </c>
      <c r="BD41" s="65" t="n">
        <f aca="false">'Assumption Setting'!$G$190</f>
        <v>900</v>
      </c>
      <c r="BE41" s="65" t="n">
        <f aca="false">'Assumption Setting'!$G$190</f>
        <v>900</v>
      </c>
      <c r="BF41" s="65" t="n">
        <f aca="false">'Assumption Setting'!$G$190</f>
        <v>900</v>
      </c>
      <c r="BG41" s="65" t="n">
        <f aca="false">'Assumption Setting'!$G$190</f>
        <v>900</v>
      </c>
      <c r="BH41" s="65" t="n">
        <f aca="false">'Assumption Setting'!$G$190</f>
        <v>900</v>
      </c>
      <c r="BI41" s="65" t="n">
        <f aca="false">'Assumption Setting'!$G$190</f>
        <v>900</v>
      </c>
      <c r="BJ41" s="65" t="n">
        <f aca="false">'Assumption Setting'!$G$190</f>
        <v>900</v>
      </c>
      <c r="BK41" s="65" t="n">
        <f aca="false">'Assumption Setting'!$G$190</f>
        <v>900</v>
      </c>
      <c r="BL41" s="65" t="n">
        <f aca="false">'Assumption Setting'!$G$190</f>
        <v>900</v>
      </c>
      <c r="BM41" s="65" t="n">
        <f aca="false">'Assumption Setting'!$G$190</f>
        <v>900</v>
      </c>
      <c r="BN41" s="65" t="n">
        <f aca="false">'Assumption Setting'!$G$190</f>
        <v>900</v>
      </c>
    </row>
    <row r="42" customFormat="false" ht="15" hidden="false" customHeight="false" outlineLevel="0" collapsed="false">
      <c r="A42" s="12" t="s">
        <v>832</v>
      </c>
      <c r="B42" s="64" t="n">
        <f aca="false">SUM(C42:N42)</f>
        <v>0</v>
      </c>
      <c r="C42" s="65" t="n">
        <f aca="false">'Assumption Setting'!$C$191</f>
        <v>0</v>
      </c>
      <c r="D42" s="65" t="n">
        <f aca="false">'Assumption Setting'!$C$191</f>
        <v>0</v>
      </c>
      <c r="E42" s="65" t="n">
        <f aca="false">'Assumption Setting'!$C$191</f>
        <v>0</v>
      </c>
      <c r="F42" s="65" t="n">
        <f aca="false">'Assumption Setting'!$C$191</f>
        <v>0</v>
      </c>
      <c r="G42" s="65" t="n">
        <f aca="false">'Assumption Setting'!$C$191</f>
        <v>0</v>
      </c>
      <c r="H42" s="65" t="n">
        <f aca="false">'Assumption Setting'!$C$191</f>
        <v>0</v>
      </c>
      <c r="I42" s="65" t="n">
        <f aca="false">'Assumption Setting'!$C$191</f>
        <v>0</v>
      </c>
      <c r="J42" s="65" t="n">
        <f aca="false">'Assumption Setting'!$C$191</f>
        <v>0</v>
      </c>
      <c r="K42" s="65" t="n">
        <f aca="false">'Assumption Setting'!$C$191</f>
        <v>0</v>
      </c>
      <c r="L42" s="65" t="n">
        <f aca="false">'Assumption Setting'!$C$191</f>
        <v>0</v>
      </c>
      <c r="M42" s="65" t="n">
        <f aca="false">'Assumption Setting'!$C$191</f>
        <v>0</v>
      </c>
      <c r="N42" s="65" t="n">
        <f aca="false">'Assumption Setting'!$C$191</f>
        <v>0</v>
      </c>
      <c r="O42" s="64" t="n">
        <f aca="false">SUM(P42:AA42)</f>
        <v>2400</v>
      </c>
      <c r="P42" s="65" t="n">
        <f aca="false">'Assumption Setting'!$D$191</f>
        <v>200</v>
      </c>
      <c r="Q42" s="65" t="n">
        <f aca="false">'Assumption Setting'!$D$191</f>
        <v>200</v>
      </c>
      <c r="R42" s="65" t="n">
        <f aca="false">'Assumption Setting'!$D$191</f>
        <v>200</v>
      </c>
      <c r="S42" s="65" t="n">
        <f aca="false">'Assumption Setting'!$D$191</f>
        <v>200</v>
      </c>
      <c r="T42" s="65" t="n">
        <f aca="false">'Assumption Setting'!$D$191</f>
        <v>200</v>
      </c>
      <c r="U42" s="65" t="n">
        <f aca="false">'Assumption Setting'!$D$191</f>
        <v>200</v>
      </c>
      <c r="V42" s="65" t="n">
        <f aca="false">'Assumption Setting'!$D$191</f>
        <v>200</v>
      </c>
      <c r="W42" s="65" t="n">
        <f aca="false">'Assumption Setting'!$D$191</f>
        <v>200</v>
      </c>
      <c r="X42" s="65" t="n">
        <f aca="false">'Assumption Setting'!$D$191</f>
        <v>200</v>
      </c>
      <c r="Y42" s="65" t="n">
        <f aca="false">'Assumption Setting'!$D$191</f>
        <v>200</v>
      </c>
      <c r="Z42" s="65" t="n">
        <f aca="false">'Assumption Setting'!$D$191</f>
        <v>200</v>
      </c>
      <c r="AA42" s="65" t="n">
        <f aca="false">'Assumption Setting'!$D$191</f>
        <v>200</v>
      </c>
      <c r="AB42" s="64" t="n">
        <f aca="false">SUM(AC42:AN42)</f>
        <v>9600</v>
      </c>
      <c r="AC42" s="65" t="n">
        <f aca="false">'Assumption Setting'!$E$191</f>
        <v>800</v>
      </c>
      <c r="AD42" s="65" t="n">
        <f aca="false">'Assumption Setting'!$E$191</f>
        <v>800</v>
      </c>
      <c r="AE42" s="65" t="n">
        <f aca="false">'Assumption Setting'!$E$191</f>
        <v>800</v>
      </c>
      <c r="AF42" s="65" t="n">
        <f aca="false">'Assumption Setting'!$E$191</f>
        <v>800</v>
      </c>
      <c r="AG42" s="65" t="n">
        <f aca="false">'Assumption Setting'!$E$191</f>
        <v>800</v>
      </c>
      <c r="AH42" s="65" t="n">
        <f aca="false">'Assumption Setting'!$E$191</f>
        <v>800</v>
      </c>
      <c r="AI42" s="65" t="n">
        <f aca="false">'Assumption Setting'!$E$191</f>
        <v>800</v>
      </c>
      <c r="AJ42" s="65" t="n">
        <f aca="false">'Assumption Setting'!$E$191</f>
        <v>800</v>
      </c>
      <c r="AK42" s="65" t="n">
        <f aca="false">'Assumption Setting'!$E$191</f>
        <v>800</v>
      </c>
      <c r="AL42" s="65" t="n">
        <f aca="false">'Assumption Setting'!$E$191</f>
        <v>800</v>
      </c>
      <c r="AM42" s="65" t="n">
        <f aca="false">'Assumption Setting'!$E$191</f>
        <v>800</v>
      </c>
      <c r="AN42" s="65" t="n">
        <f aca="false">'Assumption Setting'!$E$191</f>
        <v>800</v>
      </c>
      <c r="AO42" s="64" t="n">
        <f aca="false">SUM(AP42:BA42)</f>
        <v>18000</v>
      </c>
      <c r="AP42" s="65" t="n">
        <f aca="false">'Assumption Setting'!$F$191</f>
        <v>1500</v>
      </c>
      <c r="AQ42" s="65" t="n">
        <f aca="false">'Assumption Setting'!$F$191</f>
        <v>1500</v>
      </c>
      <c r="AR42" s="65" t="n">
        <f aca="false">'Assumption Setting'!$F$191</f>
        <v>1500</v>
      </c>
      <c r="AS42" s="65" t="n">
        <f aca="false">'Assumption Setting'!$F$191</f>
        <v>1500</v>
      </c>
      <c r="AT42" s="65" t="n">
        <f aca="false">'Assumption Setting'!$F$191</f>
        <v>1500</v>
      </c>
      <c r="AU42" s="65" t="n">
        <f aca="false">'Assumption Setting'!$F$191</f>
        <v>1500</v>
      </c>
      <c r="AV42" s="65" t="n">
        <f aca="false">'Assumption Setting'!$F$191</f>
        <v>1500</v>
      </c>
      <c r="AW42" s="65" t="n">
        <f aca="false">'Assumption Setting'!$F$191</f>
        <v>1500</v>
      </c>
      <c r="AX42" s="65" t="n">
        <f aca="false">'Assumption Setting'!$F$191</f>
        <v>1500</v>
      </c>
      <c r="AY42" s="65" t="n">
        <f aca="false">'Assumption Setting'!$F$191</f>
        <v>1500</v>
      </c>
      <c r="AZ42" s="65" t="n">
        <f aca="false">'Assumption Setting'!$F$191</f>
        <v>1500</v>
      </c>
      <c r="BA42" s="65" t="n">
        <f aca="false">'Assumption Setting'!$F$191</f>
        <v>1500</v>
      </c>
      <c r="BB42" s="64" t="n">
        <f aca="false">SUM(BC42:BN42)</f>
        <v>25200</v>
      </c>
      <c r="BC42" s="65" t="n">
        <f aca="false">'Assumption Setting'!$G$191</f>
        <v>2100</v>
      </c>
      <c r="BD42" s="65" t="n">
        <f aca="false">'Assumption Setting'!$G$191</f>
        <v>2100</v>
      </c>
      <c r="BE42" s="65" t="n">
        <f aca="false">'Assumption Setting'!$G$191</f>
        <v>2100</v>
      </c>
      <c r="BF42" s="65" t="n">
        <f aca="false">'Assumption Setting'!$G$191</f>
        <v>2100</v>
      </c>
      <c r="BG42" s="65" t="n">
        <f aca="false">'Assumption Setting'!$G$191</f>
        <v>2100</v>
      </c>
      <c r="BH42" s="65" t="n">
        <f aca="false">'Assumption Setting'!$G$191</f>
        <v>2100</v>
      </c>
      <c r="BI42" s="65" t="n">
        <f aca="false">'Assumption Setting'!$G$191</f>
        <v>2100</v>
      </c>
      <c r="BJ42" s="65" t="n">
        <f aca="false">'Assumption Setting'!$G$191</f>
        <v>2100</v>
      </c>
      <c r="BK42" s="65" t="n">
        <f aca="false">'Assumption Setting'!$G$191</f>
        <v>2100</v>
      </c>
      <c r="BL42" s="65" t="n">
        <f aca="false">'Assumption Setting'!$G$191</f>
        <v>2100</v>
      </c>
      <c r="BM42" s="65" t="n">
        <f aca="false">'Assumption Setting'!$G$191</f>
        <v>2100</v>
      </c>
      <c r="BN42" s="65" t="n">
        <f aca="false">'Assumption Setting'!$G$191</f>
        <v>2100</v>
      </c>
    </row>
    <row r="43" customFormat="false" ht="15" hidden="false" customHeight="false" outlineLevel="0" collapsed="false">
      <c r="A43" s="12" t="s">
        <v>833</v>
      </c>
      <c r="B43" s="64" t="n">
        <f aca="false">SUM(C43:N43)</f>
        <v>1320</v>
      </c>
      <c r="C43" s="65" t="n">
        <f aca="false">'Assumption Setting'!$C$192</f>
        <v>110</v>
      </c>
      <c r="D43" s="65" t="n">
        <f aca="false">'Assumption Setting'!$C$192</f>
        <v>110</v>
      </c>
      <c r="E43" s="65" t="n">
        <f aca="false">'Assumption Setting'!$C$192</f>
        <v>110</v>
      </c>
      <c r="F43" s="65" t="n">
        <f aca="false">'Assumption Setting'!$C$192</f>
        <v>110</v>
      </c>
      <c r="G43" s="65" t="n">
        <f aca="false">'Assumption Setting'!$C$192</f>
        <v>110</v>
      </c>
      <c r="H43" s="65" t="n">
        <f aca="false">'Assumption Setting'!$C$192</f>
        <v>110</v>
      </c>
      <c r="I43" s="65" t="n">
        <f aca="false">'Assumption Setting'!$C$192</f>
        <v>110</v>
      </c>
      <c r="J43" s="65" t="n">
        <f aca="false">'Assumption Setting'!$C$192</f>
        <v>110</v>
      </c>
      <c r="K43" s="65" t="n">
        <f aca="false">'Assumption Setting'!$C$192</f>
        <v>110</v>
      </c>
      <c r="L43" s="65" t="n">
        <f aca="false">'Assumption Setting'!$C$192</f>
        <v>110</v>
      </c>
      <c r="M43" s="65" t="n">
        <f aca="false">'Assumption Setting'!$C$192</f>
        <v>110</v>
      </c>
      <c r="N43" s="65" t="n">
        <f aca="false">'Assumption Setting'!$C$192</f>
        <v>110</v>
      </c>
      <c r="O43" s="64" t="n">
        <f aca="false">SUM(P43:AA43)</f>
        <v>2160</v>
      </c>
      <c r="P43" s="65" t="n">
        <f aca="false">'Assumption Setting'!$D$192</f>
        <v>180</v>
      </c>
      <c r="Q43" s="65" t="n">
        <f aca="false">'Assumption Setting'!$D$192</f>
        <v>180</v>
      </c>
      <c r="R43" s="65" t="n">
        <f aca="false">'Assumption Setting'!$D$192</f>
        <v>180</v>
      </c>
      <c r="S43" s="65" t="n">
        <f aca="false">'Assumption Setting'!$D$192</f>
        <v>180</v>
      </c>
      <c r="T43" s="65" t="n">
        <f aca="false">'Assumption Setting'!$D$192</f>
        <v>180</v>
      </c>
      <c r="U43" s="65" t="n">
        <f aca="false">'Assumption Setting'!$D$192</f>
        <v>180</v>
      </c>
      <c r="V43" s="65" t="n">
        <f aca="false">'Assumption Setting'!$D$192</f>
        <v>180</v>
      </c>
      <c r="W43" s="65" t="n">
        <f aca="false">'Assumption Setting'!$D$192</f>
        <v>180</v>
      </c>
      <c r="X43" s="65" t="n">
        <f aca="false">'Assumption Setting'!$D$192</f>
        <v>180</v>
      </c>
      <c r="Y43" s="65" t="n">
        <f aca="false">'Assumption Setting'!$D$192</f>
        <v>180</v>
      </c>
      <c r="Z43" s="65" t="n">
        <f aca="false">'Assumption Setting'!$D$192</f>
        <v>180</v>
      </c>
      <c r="AA43" s="65" t="n">
        <f aca="false">'Assumption Setting'!$D$192</f>
        <v>180</v>
      </c>
      <c r="AB43" s="64" t="n">
        <f aca="false">SUM(AC43:AN43)</f>
        <v>3360</v>
      </c>
      <c r="AC43" s="65" t="n">
        <f aca="false">'Assumption Setting'!$E$192</f>
        <v>280</v>
      </c>
      <c r="AD43" s="65" t="n">
        <f aca="false">'Assumption Setting'!$E$192</f>
        <v>280</v>
      </c>
      <c r="AE43" s="65" t="n">
        <f aca="false">'Assumption Setting'!$E$192</f>
        <v>280</v>
      </c>
      <c r="AF43" s="65" t="n">
        <f aca="false">'Assumption Setting'!$E$192</f>
        <v>280</v>
      </c>
      <c r="AG43" s="65" t="n">
        <f aca="false">'Assumption Setting'!$E$192</f>
        <v>280</v>
      </c>
      <c r="AH43" s="65" t="n">
        <f aca="false">'Assumption Setting'!$E$192</f>
        <v>280</v>
      </c>
      <c r="AI43" s="65" t="n">
        <f aca="false">'Assumption Setting'!$E$192</f>
        <v>280</v>
      </c>
      <c r="AJ43" s="65" t="n">
        <f aca="false">'Assumption Setting'!$E$192</f>
        <v>280</v>
      </c>
      <c r="AK43" s="65" t="n">
        <f aca="false">'Assumption Setting'!$E$192</f>
        <v>280</v>
      </c>
      <c r="AL43" s="65" t="n">
        <f aca="false">'Assumption Setting'!$E$192</f>
        <v>280</v>
      </c>
      <c r="AM43" s="65" t="n">
        <f aca="false">'Assumption Setting'!$E$192</f>
        <v>280</v>
      </c>
      <c r="AN43" s="65" t="n">
        <f aca="false">'Assumption Setting'!$E$192</f>
        <v>280</v>
      </c>
      <c r="AO43" s="64" t="n">
        <f aca="false">SUM(AP43:BA43)</f>
        <v>4320</v>
      </c>
      <c r="AP43" s="65" t="n">
        <f aca="false">'Assumption Setting'!$F$192</f>
        <v>360</v>
      </c>
      <c r="AQ43" s="65" t="n">
        <f aca="false">'Assumption Setting'!$F$192</f>
        <v>360</v>
      </c>
      <c r="AR43" s="65" t="n">
        <f aca="false">'Assumption Setting'!$F$192</f>
        <v>360</v>
      </c>
      <c r="AS43" s="65" t="n">
        <f aca="false">'Assumption Setting'!$F$192</f>
        <v>360</v>
      </c>
      <c r="AT43" s="65" t="n">
        <f aca="false">'Assumption Setting'!$F$192</f>
        <v>360</v>
      </c>
      <c r="AU43" s="65" t="n">
        <f aca="false">'Assumption Setting'!$F$192</f>
        <v>360</v>
      </c>
      <c r="AV43" s="65" t="n">
        <f aca="false">'Assumption Setting'!$F$192</f>
        <v>360</v>
      </c>
      <c r="AW43" s="65" t="n">
        <f aca="false">'Assumption Setting'!$F$192</f>
        <v>360</v>
      </c>
      <c r="AX43" s="65" t="n">
        <f aca="false">'Assumption Setting'!$F$192</f>
        <v>360</v>
      </c>
      <c r="AY43" s="65" t="n">
        <f aca="false">'Assumption Setting'!$F$192</f>
        <v>360</v>
      </c>
      <c r="AZ43" s="65" t="n">
        <f aca="false">'Assumption Setting'!$F$192</f>
        <v>360</v>
      </c>
      <c r="BA43" s="65" t="n">
        <f aca="false">'Assumption Setting'!$F$192</f>
        <v>360</v>
      </c>
      <c r="BB43" s="64" t="n">
        <f aca="false">SUM(BC43:BN43)</f>
        <v>5280</v>
      </c>
      <c r="BC43" s="65" t="n">
        <f aca="false">'Assumption Setting'!$G$192</f>
        <v>440</v>
      </c>
      <c r="BD43" s="65" t="n">
        <f aca="false">'Assumption Setting'!$G$192</f>
        <v>440</v>
      </c>
      <c r="BE43" s="65" t="n">
        <f aca="false">'Assumption Setting'!$G$192</f>
        <v>440</v>
      </c>
      <c r="BF43" s="65" t="n">
        <f aca="false">'Assumption Setting'!$G$192</f>
        <v>440</v>
      </c>
      <c r="BG43" s="65" t="n">
        <f aca="false">'Assumption Setting'!$G$192</f>
        <v>440</v>
      </c>
      <c r="BH43" s="65" t="n">
        <f aca="false">'Assumption Setting'!$G$192</f>
        <v>440</v>
      </c>
      <c r="BI43" s="65" t="n">
        <f aca="false">'Assumption Setting'!$G$192</f>
        <v>440</v>
      </c>
      <c r="BJ43" s="65" t="n">
        <f aca="false">'Assumption Setting'!$G$192</f>
        <v>440</v>
      </c>
      <c r="BK43" s="65" t="n">
        <f aca="false">'Assumption Setting'!$G$192</f>
        <v>440</v>
      </c>
      <c r="BL43" s="65" t="n">
        <f aca="false">'Assumption Setting'!$G$192</f>
        <v>440</v>
      </c>
      <c r="BM43" s="65" t="n">
        <f aca="false">'Assumption Setting'!$G$192</f>
        <v>440</v>
      </c>
      <c r="BN43" s="65" t="n">
        <f aca="false">'Assumption Setting'!$G$192</f>
        <v>440</v>
      </c>
    </row>
    <row r="44" customFormat="false" ht="15" hidden="false" customHeight="false" outlineLevel="0" collapsed="false">
      <c r="A44" s="12" t="s">
        <v>834</v>
      </c>
      <c r="B44" s="64" t="n">
        <f aca="false">SUM(C44:N44)</f>
        <v>3899.98930627947</v>
      </c>
      <c r="C44" s="65" t="n">
        <f aca="false">SUM(C30:C43)*'Assumption Setting'!$C$197</f>
        <v>316.920026678586</v>
      </c>
      <c r="D44" s="65" t="n">
        <f aca="false">SUM(D30:D43)*'Assumption Setting'!$C$197</f>
        <v>319.594882331683</v>
      </c>
      <c r="E44" s="65" t="n">
        <f aca="false">SUM(E30:E43)*'Assumption Setting'!$C$197</f>
        <v>321.699428312261</v>
      </c>
      <c r="F44" s="65" t="n">
        <f aca="false">SUM(F30:F43)*'Assumption Setting'!$C$197</f>
        <v>321.702134867338</v>
      </c>
      <c r="G44" s="65" t="n">
        <f aca="false">SUM(G30:G43)*'Assumption Setting'!$C$197</f>
        <v>321.936196460689</v>
      </c>
      <c r="H44" s="65" t="n">
        <f aca="false">SUM(H30:H43)*'Assumption Setting'!$C$197</f>
        <v>322.170409655322</v>
      </c>
      <c r="I44" s="65" t="n">
        <f aca="false">SUM(I30:I43)*'Assumption Setting'!$C$197</f>
        <v>324.214064965543</v>
      </c>
      <c r="J44" s="65" t="n">
        <f aca="false">SUM(J30:J43)*'Assumption Setting'!$C$197</f>
        <v>326.258539358809</v>
      </c>
      <c r="K44" s="65" t="n">
        <f aca="false">SUM(K30:K43)*'Assumption Setting'!$C$197</f>
        <v>328.303783690136</v>
      </c>
      <c r="L44" s="65" t="n">
        <f aca="false">SUM(L30:L43)*'Assumption Setting'!$C$197</f>
        <v>330.349751763243</v>
      </c>
      <c r="M44" s="65" t="n">
        <f aca="false">SUM(M30:M43)*'Assumption Setting'!$C$197</f>
        <v>332.396400153622</v>
      </c>
      <c r="N44" s="65" t="n">
        <f aca="false">SUM(N30:N43)*'Assumption Setting'!$C$197</f>
        <v>334.443688042236</v>
      </c>
      <c r="O44" s="64" t="n">
        <f aca="false">SUM(P44:AA44)</f>
        <v>9360.794705118</v>
      </c>
      <c r="P44" s="65" t="n">
        <f aca="false">SUM(P30:P43)*'Assumption Setting'!$C$197</f>
        <v>759.483562148165</v>
      </c>
      <c r="Q44" s="65" t="n">
        <f aca="false">SUM(Q30:Q43)*'Assumption Setting'!$C$197</f>
        <v>762.205240125036</v>
      </c>
      <c r="R44" s="65" t="n">
        <f aca="false">SUM(R30:R43)*'Assumption Setting'!$C$197</f>
        <v>765.474665993525</v>
      </c>
      <c r="S44" s="65" t="n">
        <f aca="false">SUM(S30:S43)*'Assumption Setting'!$C$197</f>
        <v>769.236663777063</v>
      </c>
      <c r="T44" s="65" t="n">
        <f aca="false">SUM(T30:T43)*'Assumption Setting'!$C$197</f>
        <v>773.151472607423</v>
      </c>
      <c r="U44" s="65" t="n">
        <f aca="false">SUM(U30:U43)*'Assumption Setting'!$C$197</f>
        <v>777.068129925071</v>
      </c>
      <c r="V44" s="65" t="n">
        <f aca="false">SUM(V30:V43)*'Assumption Setting'!$C$197</f>
        <v>781.351337014719</v>
      </c>
      <c r="W44" s="65" t="n">
        <f aca="false">SUM(W30:W43)*'Assumption Setting'!$C$197</f>
        <v>785.636090135694</v>
      </c>
      <c r="X44" s="65" t="n">
        <f aca="false">SUM(X30:X43)*'Assumption Setting'!$C$197</f>
        <v>789.922296526115</v>
      </c>
      <c r="Y44" s="65" t="n">
        <f aca="false">SUM(Y30:Y43)*'Assumption Setting'!$C$197</f>
        <v>794.530425213382</v>
      </c>
      <c r="Z44" s="65" t="n">
        <f aca="false">SUM(Z30:Z43)*'Assumption Setting'!$C$197</f>
        <v>799.103225225675</v>
      </c>
      <c r="AA44" s="65" t="n">
        <f aca="false">SUM(AA30:AA43)*'Assumption Setting'!$C$197</f>
        <v>803.631596426133</v>
      </c>
      <c r="AB44" s="64" t="n">
        <f aca="false">SUM(AC44:AN44)</f>
        <v>16959.4848156368</v>
      </c>
      <c r="AC44" s="65" t="n">
        <f aca="false">SUM(AC30:AC43)*'Assumption Setting'!$C$197</f>
        <v>1391.21357054098</v>
      </c>
      <c r="AD44" s="65" t="n">
        <f aca="false">SUM(AD30:AD43)*'Assumption Setting'!$C$197</f>
        <v>1391.93445659324</v>
      </c>
      <c r="AE44" s="65" t="n">
        <f aca="false">SUM(AE30:AE43)*'Assumption Setting'!$C$197</f>
        <v>1394.33518523281</v>
      </c>
      <c r="AF44" s="65" t="n">
        <f aca="false">SUM(AF30:AF43)*'Assumption Setting'!$C$197</f>
        <v>1399.65729978059</v>
      </c>
      <c r="AG44" s="65" t="n">
        <f aca="false">SUM(AG30:AG43)*'Assumption Setting'!$C$197</f>
        <v>1404.95913082166</v>
      </c>
      <c r="AH44" s="65" t="n">
        <f aca="false">SUM(AH30:AH43)*'Assumption Setting'!$C$197</f>
        <v>1410.26266721954</v>
      </c>
      <c r="AI44" s="65" t="n">
        <f aca="false">SUM(AI30:AI43)*'Assumption Setting'!$C$197</f>
        <v>1415.45422289412</v>
      </c>
      <c r="AJ44" s="65" t="n">
        <f aca="false">SUM(AJ30:AJ43)*'Assumption Setting'!$C$197</f>
        <v>1420.64743367203</v>
      </c>
      <c r="AK44" s="65" t="n">
        <f aca="false">SUM(AK30:AK43)*'Assumption Setting'!$C$197</f>
        <v>1425.69456647044</v>
      </c>
      <c r="AL44" s="65" t="n">
        <f aca="false">SUM(AL30:AL43)*'Assumption Setting'!$C$197</f>
        <v>1430.40082083001</v>
      </c>
      <c r="AM44" s="65" t="n">
        <f aca="false">SUM(AM30:AM43)*'Assumption Setting'!$C$197</f>
        <v>1435.10835865219</v>
      </c>
      <c r="AN44" s="65" t="n">
        <f aca="false">SUM(AN30:AN43)*'Assumption Setting'!$C$197</f>
        <v>1439.81710292921</v>
      </c>
      <c r="AO44" s="64" t="n">
        <f aca="false">SUM(AP44:BA44)</f>
        <v>24466.4941586003</v>
      </c>
      <c r="AP44" s="65" t="n">
        <f aca="false">SUM(AP30:AP43)*'Assumption Setting'!$C$197</f>
        <v>2006.6399550112</v>
      </c>
      <c r="AQ44" s="65" t="n">
        <f aca="false">SUM(AQ30:AQ43)*'Assumption Setting'!$C$197</f>
        <v>2012.05674900297</v>
      </c>
      <c r="AR44" s="65" t="n">
        <f aca="false">SUM(AR30:AR43)*'Assumption Setting'!$C$197</f>
        <v>2017.45990842111</v>
      </c>
      <c r="AS44" s="65" t="n">
        <f aca="false">SUM(AS30:AS43)*'Assumption Setting'!$C$197</f>
        <v>2023.40337291256</v>
      </c>
      <c r="AT44" s="65" t="n">
        <f aca="false">SUM(AT30:AT43)*'Assumption Setting'!$C$197</f>
        <v>2029.42828279649</v>
      </c>
      <c r="AU44" s="65" t="n">
        <f aca="false">SUM(AU30:AU43)*'Assumption Setting'!$C$197</f>
        <v>2035.45363615934</v>
      </c>
      <c r="AV44" s="65" t="n">
        <f aca="false">SUM(AV30:AV43)*'Assumption Setting'!$C$197</f>
        <v>2041.74267353577</v>
      </c>
      <c r="AW44" s="65" t="n">
        <f aca="false">SUM(AW30:AW43)*'Assumption Setting'!$C$197</f>
        <v>2048.03212620396</v>
      </c>
      <c r="AX44" s="65" t="n">
        <f aca="false">SUM(AX30:AX43)*'Assumption Setting'!$C$197</f>
        <v>2054.30701460389</v>
      </c>
      <c r="AY44" s="65" t="n">
        <f aca="false">SUM(AY30:AY43)*'Assumption Setting'!$C$197</f>
        <v>2060.14840922629</v>
      </c>
      <c r="AZ44" s="65" t="n">
        <f aca="false">SUM(AZ30:AZ43)*'Assumption Setting'!$C$197</f>
        <v>2065.99006486567</v>
      </c>
      <c r="BA44" s="65" t="n">
        <f aca="false">SUM(BA30:BA43)*'Assumption Setting'!$C$197</f>
        <v>2071.831965861</v>
      </c>
      <c r="BB44" s="64" t="n">
        <f aca="false">SUM(BC44:BN44)</f>
        <v>31879.4170734538</v>
      </c>
      <c r="BC44" s="65" t="n">
        <f aca="false">SUM(BC30:BC43)*'Assumption Setting'!$C$197</f>
        <v>2619.6237442671</v>
      </c>
      <c r="BD44" s="65" t="n">
        <f aca="false">SUM(BD30:BD43)*'Assumption Setting'!$C$197</f>
        <v>2625.92576988756</v>
      </c>
      <c r="BE44" s="65" t="n">
        <f aca="false">SUM(BE30:BE43)*'Assumption Setting'!$C$197</f>
        <v>2632.34894510877</v>
      </c>
      <c r="BF44" s="65" t="n">
        <f aca="false">SUM(BF30:BF43)*'Assumption Setting'!$C$197</f>
        <v>2639.34205171598</v>
      </c>
      <c r="BG44" s="65" t="n">
        <f aca="false">SUM(BG30:BG43)*'Assumption Setting'!$C$197</f>
        <v>2646.32377163208</v>
      </c>
      <c r="BH44" s="65" t="n">
        <f aca="false">SUM(BH30:BH43)*'Assumption Setting'!$C$197</f>
        <v>2653.30525524614</v>
      </c>
      <c r="BI44" s="65" t="n">
        <f aca="false">SUM(BI30:BI43)*'Assumption Setting'!$C$197</f>
        <v>2660.27423248301</v>
      </c>
      <c r="BJ44" s="65" t="n">
        <f aca="false">SUM(BJ30:BJ43)*'Assumption Setting'!$C$197</f>
        <v>2667.24301476056</v>
      </c>
      <c r="BK44" s="65" t="n">
        <f aca="false">SUM(BK30:BK43)*'Assumption Setting'!$C$197</f>
        <v>2674.18694850683</v>
      </c>
      <c r="BL44" s="65" t="n">
        <f aca="false">SUM(BL30:BL43)*'Assumption Setting'!$C$197</f>
        <v>2680.56755029803</v>
      </c>
      <c r="BM44" s="65" t="n">
        <f aca="false">SUM(BM30:BM43)*'Assumption Setting'!$C$197</f>
        <v>2686.94786873341</v>
      </c>
      <c r="BN44" s="65" t="n">
        <f aca="false">SUM(BN30:BN43)*'Assumption Setting'!$C$197</f>
        <v>2693.32792081432</v>
      </c>
    </row>
    <row r="45" customFormat="false" ht="15" hidden="false" customHeight="false" outlineLevel="0" collapsed="false">
      <c r="A45" s="69" t="s">
        <v>835</v>
      </c>
      <c r="B45" s="64" t="n">
        <f aca="false">SUM(C45:N45)</f>
        <v>101399.721963266</v>
      </c>
      <c r="C45" s="70" t="n">
        <f aca="false">SUM(C30:C43)+C44</f>
        <v>8239.92069364323</v>
      </c>
      <c r="D45" s="70" t="n">
        <f aca="false">SUM(D30:D43)+D44</f>
        <v>8309.46694062376</v>
      </c>
      <c r="E45" s="70" t="n">
        <f aca="false">SUM(E30:E43)+E44</f>
        <v>8364.18513611879</v>
      </c>
      <c r="F45" s="70" t="n">
        <f aca="false">SUM(F30:F43)+F44</f>
        <v>8364.25550655079</v>
      </c>
      <c r="G45" s="70" t="n">
        <f aca="false">SUM(G30:G43)+G44</f>
        <v>8370.34110797791</v>
      </c>
      <c r="H45" s="70" t="n">
        <f aca="false">SUM(H30:H43)+H44</f>
        <v>8376.43065103838</v>
      </c>
      <c r="I45" s="70" t="n">
        <f aca="false">SUM(I30:I43)+I44</f>
        <v>8429.56568910411</v>
      </c>
      <c r="J45" s="70" t="n">
        <f aca="false">SUM(J30:J43)+J44</f>
        <v>8482.72202332902</v>
      </c>
      <c r="K45" s="70" t="n">
        <f aca="false">SUM(K30:K43)+K44</f>
        <v>8535.89837594355</v>
      </c>
      <c r="L45" s="70" t="n">
        <f aca="false">SUM(L30:L43)+L44</f>
        <v>8589.09354584432</v>
      </c>
      <c r="M45" s="70" t="n">
        <f aca="false">SUM(M30:M43)+M44</f>
        <v>8642.30640399416</v>
      </c>
      <c r="N45" s="70" t="n">
        <f aca="false">SUM(N30:N43)+N44</f>
        <v>8695.53588909813</v>
      </c>
      <c r="O45" s="64" t="n">
        <f aca="false">SUM(P45:AA45)</f>
        <v>243380.662333068</v>
      </c>
      <c r="P45" s="70" t="n">
        <f aca="false">SUM(P30:P43)+P44</f>
        <v>19746.5726158523</v>
      </c>
      <c r="Q45" s="70" t="n">
        <f aca="false">SUM(Q30:Q43)+Q44</f>
        <v>19817.3362432509</v>
      </c>
      <c r="R45" s="70" t="n">
        <f aca="false">SUM(R30:R43)+R44</f>
        <v>19902.3413158317</v>
      </c>
      <c r="S45" s="70" t="n">
        <f aca="false">SUM(S30:S43)+S44</f>
        <v>20000.1532582036</v>
      </c>
      <c r="T45" s="70" t="n">
        <f aca="false">SUM(T30:T43)+T44</f>
        <v>20101.938287793</v>
      </c>
      <c r="U45" s="70" t="n">
        <f aca="false">SUM(U30:U43)+U44</f>
        <v>20203.7713780519</v>
      </c>
      <c r="V45" s="70" t="n">
        <f aca="false">SUM(V30:V43)+V44</f>
        <v>20315.1347623827</v>
      </c>
      <c r="W45" s="70" t="n">
        <f aca="false">SUM(W30:W43)+W44</f>
        <v>20426.538343528</v>
      </c>
      <c r="X45" s="70" t="n">
        <f aca="false">SUM(X30:X43)+X44</f>
        <v>20537.979709679</v>
      </c>
      <c r="Y45" s="70" t="n">
        <f aca="false">SUM(Y30:Y43)+Y44</f>
        <v>20657.7910555479</v>
      </c>
      <c r="Z45" s="70" t="n">
        <f aca="false">SUM(Z30:Z43)+Z44</f>
        <v>20776.6838558675</v>
      </c>
      <c r="AA45" s="70" t="n">
        <f aca="false">SUM(AA30:AA43)+AA44</f>
        <v>20894.4215070795</v>
      </c>
      <c r="AB45" s="64" t="n">
        <f aca="false">SUM(AC45:AN45)</f>
        <v>440946.605206557</v>
      </c>
      <c r="AC45" s="70" t="n">
        <f aca="false">SUM(AC30:AC43)+AC44</f>
        <v>36171.5528340654</v>
      </c>
      <c r="AD45" s="70" t="n">
        <f aca="false">SUM(AD30:AD43)+AD44</f>
        <v>36190.2958714242</v>
      </c>
      <c r="AE45" s="70" t="n">
        <f aca="false">SUM(AE30:AE43)+AE44</f>
        <v>36252.7148160531</v>
      </c>
      <c r="AF45" s="70" t="n">
        <f aca="false">SUM(AF30:AF43)+AF44</f>
        <v>36391.0897942954</v>
      </c>
      <c r="AG45" s="70" t="n">
        <f aca="false">SUM(AG30:AG43)+AG44</f>
        <v>36528.9374013631</v>
      </c>
      <c r="AH45" s="70" t="n">
        <f aca="false">SUM(AH30:AH43)+AH44</f>
        <v>36666.8293477081</v>
      </c>
      <c r="AI45" s="70" t="n">
        <f aca="false">SUM(AI30:AI43)+AI44</f>
        <v>36801.8097952471</v>
      </c>
      <c r="AJ45" s="70" t="n">
        <f aca="false">SUM(AJ30:AJ43)+AJ44</f>
        <v>36936.8332754728</v>
      </c>
      <c r="AK45" s="70" t="n">
        <f aca="false">SUM(AK30:AK43)+AK44</f>
        <v>37068.0587282314</v>
      </c>
      <c r="AL45" s="70" t="n">
        <f aca="false">SUM(AL30:AL43)+AL44</f>
        <v>37190.4213415803</v>
      </c>
      <c r="AM45" s="70" t="n">
        <f aca="false">SUM(AM30:AM43)+AM44</f>
        <v>37312.8173249569</v>
      </c>
      <c r="AN45" s="70" t="n">
        <f aca="false">SUM(AN30:AN43)+AN44</f>
        <v>37435.2446761595</v>
      </c>
      <c r="AO45" s="64" t="n">
        <f aca="false">SUM(AP45:BA45)</f>
        <v>636128.848123607</v>
      </c>
      <c r="AP45" s="70" t="n">
        <f aca="false">SUM(AP30:AP43)+AP44</f>
        <v>52172.6388302912</v>
      </c>
      <c r="AQ45" s="70" t="n">
        <f aca="false">SUM(AQ30:AQ43)+AQ44</f>
        <v>52313.4754740772</v>
      </c>
      <c r="AR45" s="70" t="n">
        <f aca="false">SUM(AR30:AR43)+AR44</f>
        <v>52453.9576189489</v>
      </c>
      <c r="AS45" s="70" t="n">
        <f aca="false">SUM(AS30:AS43)+AS44</f>
        <v>52608.4876957267</v>
      </c>
      <c r="AT45" s="70" t="n">
        <f aca="false">SUM(AT30:AT43)+AT44</f>
        <v>52765.1353527089</v>
      </c>
      <c r="AU45" s="70" t="n">
        <f aca="false">SUM(AU30:AU43)+AU44</f>
        <v>52921.794540143</v>
      </c>
      <c r="AV45" s="70" t="n">
        <f aca="false">SUM(AV30:AV43)+AV44</f>
        <v>53085.3095119301</v>
      </c>
      <c r="AW45" s="70" t="n">
        <f aca="false">SUM(AW30:AW43)+AW44</f>
        <v>53248.8352813028</v>
      </c>
      <c r="AX45" s="70" t="n">
        <f aca="false">SUM(AX30:AX43)+AX44</f>
        <v>53411.9823797011</v>
      </c>
      <c r="AY45" s="70" t="n">
        <f aca="false">SUM(AY30:AY43)+AY44</f>
        <v>53563.8586398835</v>
      </c>
      <c r="AZ45" s="70" t="n">
        <f aca="false">SUM(AZ30:AZ43)+AZ44</f>
        <v>53715.7416865073</v>
      </c>
      <c r="BA45" s="70" t="n">
        <f aca="false">SUM(BA30:BA43)+BA44</f>
        <v>53867.6311123861</v>
      </c>
      <c r="BB45" s="64" t="n">
        <f aca="false">SUM(BC45:BN45)</f>
        <v>828864.843909798</v>
      </c>
      <c r="BC45" s="70" t="n">
        <f aca="false">SUM(BC30:BC43)+BC44</f>
        <v>68110.2173509446</v>
      </c>
      <c r="BD45" s="70" t="n">
        <f aca="false">SUM(BD30:BD43)+BD44</f>
        <v>68274.0700170767</v>
      </c>
      <c r="BE45" s="70" t="n">
        <f aca="false">SUM(BE30:BE43)+BE44</f>
        <v>68441.0725728279</v>
      </c>
      <c r="BF45" s="70" t="n">
        <f aca="false">SUM(BF30:BF43)+BF44</f>
        <v>68622.8933446156</v>
      </c>
      <c r="BG45" s="70" t="n">
        <f aca="false">SUM(BG30:BG43)+BG44</f>
        <v>68804.418062434</v>
      </c>
      <c r="BH45" s="70" t="n">
        <f aca="false">SUM(BH30:BH43)+BH44</f>
        <v>68985.9366363997</v>
      </c>
      <c r="BI45" s="70" t="n">
        <f aca="false">SUM(BI30:BI43)+BI44</f>
        <v>69167.1300445581</v>
      </c>
      <c r="BJ45" s="70" t="n">
        <f aca="false">SUM(BJ30:BJ43)+BJ44</f>
        <v>69348.3183837745</v>
      </c>
      <c r="BK45" s="70" t="n">
        <f aca="false">SUM(BK30:BK43)+BK44</f>
        <v>69528.8606611775</v>
      </c>
      <c r="BL45" s="70" t="n">
        <f aca="false">SUM(BL30:BL43)+BL44</f>
        <v>69694.7563077488</v>
      </c>
      <c r="BM45" s="70" t="n">
        <f aca="false">SUM(BM30:BM43)+BM44</f>
        <v>69860.6445870687</v>
      </c>
      <c r="BN45" s="70" t="n">
        <f aca="false">SUM(BN30:BN43)+BN44</f>
        <v>70026.5259411722</v>
      </c>
    </row>
    <row r="46" customFormat="false" ht="15" hidden="false" customHeight="false" outlineLevel="0" collapsed="false">
      <c r="A46" s="12" t="s">
        <v>836</v>
      </c>
      <c r="B46" s="64" t="n">
        <f aca="false">SUM(C46:N46)</f>
        <v>3222.08333333333</v>
      </c>
      <c r="C46" s="76" t="n">
        <f aca="false">'Depreciation and Amortization'!C$16</f>
        <v>0</v>
      </c>
      <c r="D46" s="76" t="n">
        <f aca="false">'Depreciation and Amortization'!D$16</f>
        <v>251.25</v>
      </c>
      <c r="E46" s="76" t="n">
        <f aca="false">'Depreciation and Amortization'!E$16</f>
        <v>297.083333333333</v>
      </c>
      <c r="F46" s="76" t="n">
        <f aca="false">'Depreciation and Amortization'!F$16</f>
        <v>297.083333333333</v>
      </c>
      <c r="G46" s="76" t="n">
        <f aca="false">'Depreciation and Amortization'!G$16</f>
        <v>297.083333333333</v>
      </c>
      <c r="H46" s="76" t="n">
        <f aca="false">'Depreciation and Amortization'!H$16</f>
        <v>297.083333333333</v>
      </c>
      <c r="I46" s="76" t="n">
        <f aca="false">'Depreciation and Amortization'!I$16</f>
        <v>297.083333333333</v>
      </c>
      <c r="J46" s="76" t="n">
        <f aca="false">'Depreciation and Amortization'!J$16</f>
        <v>297.083333333333</v>
      </c>
      <c r="K46" s="76" t="n">
        <f aca="false">'Depreciation and Amortization'!K$16</f>
        <v>297.083333333333</v>
      </c>
      <c r="L46" s="76" t="n">
        <f aca="false">'Depreciation and Amortization'!L$16</f>
        <v>297.083333333333</v>
      </c>
      <c r="M46" s="76" t="n">
        <f aca="false">'Depreciation and Amortization'!M$16</f>
        <v>297.083333333333</v>
      </c>
      <c r="N46" s="76" t="n">
        <f aca="false">'Depreciation and Amortization'!N$16</f>
        <v>297.083333333333</v>
      </c>
      <c r="O46" s="64" t="n">
        <f aca="false">SUM(P46:AA46)</f>
        <v>4603.125</v>
      </c>
      <c r="P46" s="76" t="n">
        <f aca="false">'Depreciation and Amortization'!P$16</f>
        <v>297.083333333333</v>
      </c>
      <c r="Q46" s="76" t="n">
        <f aca="false">'Depreciation and Amortization'!Q$16</f>
        <v>391.458333333333</v>
      </c>
      <c r="R46" s="76" t="n">
        <f aca="false">'Depreciation and Amortization'!R$16</f>
        <v>391.458333333333</v>
      </c>
      <c r="S46" s="76" t="n">
        <f aca="false">'Depreciation and Amortization'!S$16</f>
        <v>391.458333333333</v>
      </c>
      <c r="T46" s="76" t="n">
        <f aca="false">'Depreciation and Amortization'!T$16</f>
        <v>391.458333333333</v>
      </c>
      <c r="U46" s="76" t="n">
        <f aca="false">'Depreciation and Amortization'!U$16</f>
        <v>391.458333333333</v>
      </c>
      <c r="V46" s="76" t="n">
        <f aca="false">'Depreciation and Amortization'!V$16</f>
        <v>391.458333333333</v>
      </c>
      <c r="W46" s="76" t="n">
        <f aca="false">'Depreciation and Amortization'!W$16</f>
        <v>391.458333333333</v>
      </c>
      <c r="X46" s="76" t="n">
        <f aca="false">'Depreciation and Amortization'!X$16</f>
        <v>391.458333333333</v>
      </c>
      <c r="Y46" s="76" t="n">
        <f aca="false">'Depreciation and Amortization'!Y$16</f>
        <v>391.458333333333</v>
      </c>
      <c r="Z46" s="76" t="n">
        <f aca="false">'Depreciation and Amortization'!Z$16</f>
        <v>391.458333333333</v>
      </c>
      <c r="AA46" s="76" t="n">
        <f aca="false">'Depreciation and Amortization'!AA$16</f>
        <v>391.458333333333</v>
      </c>
      <c r="AB46" s="64" t="n">
        <f aca="false">SUM(AC46:AN46)</f>
        <v>7388.95833333333</v>
      </c>
      <c r="AC46" s="76" t="n">
        <f aca="false">'Depreciation and Amortization'!AC$16</f>
        <v>391.458333333333</v>
      </c>
      <c r="AD46" s="76" t="n">
        <f aca="false">'Depreciation and Amortization'!AD$16</f>
        <v>652.5</v>
      </c>
      <c r="AE46" s="76" t="n">
        <f aca="false">'Depreciation and Amortization'!AE$16</f>
        <v>652.5</v>
      </c>
      <c r="AF46" s="76" t="n">
        <f aca="false">'Depreciation and Amortization'!AF$16</f>
        <v>652.5</v>
      </c>
      <c r="AG46" s="76" t="n">
        <f aca="false">'Depreciation and Amortization'!AG$16</f>
        <v>652.5</v>
      </c>
      <c r="AH46" s="76" t="n">
        <f aca="false">'Depreciation and Amortization'!AH$16</f>
        <v>652.5</v>
      </c>
      <c r="AI46" s="76" t="n">
        <f aca="false">'Depreciation and Amortization'!AI$16</f>
        <v>652.5</v>
      </c>
      <c r="AJ46" s="76" t="n">
        <f aca="false">'Depreciation and Amortization'!AJ$16</f>
        <v>652.5</v>
      </c>
      <c r="AK46" s="76" t="n">
        <f aca="false">'Depreciation and Amortization'!AK$16</f>
        <v>652.5</v>
      </c>
      <c r="AL46" s="76" t="n">
        <f aca="false">'Depreciation and Amortization'!AL$16</f>
        <v>652.5</v>
      </c>
      <c r="AM46" s="76" t="n">
        <f aca="false">'Depreciation and Amortization'!AM$16</f>
        <v>562.5</v>
      </c>
      <c r="AN46" s="76" t="n">
        <f aca="false">'Depreciation and Amortization'!AN$16</f>
        <v>562.5</v>
      </c>
      <c r="AO46" s="64" t="n">
        <f aca="false">SUM(AP46:BA46)</f>
        <v>8524.16666666667</v>
      </c>
      <c r="AP46" s="76" t="n">
        <f aca="false">'Depreciation and Amortization'!AP$16</f>
        <v>562.5</v>
      </c>
      <c r="AQ46" s="76" t="n">
        <f aca="false">'Depreciation and Amortization'!AQ$16</f>
        <v>778.333333333333</v>
      </c>
      <c r="AR46" s="76" t="n">
        <f aca="false">'Depreciation and Amortization'!AR$16</f>
        <v>778.333333333333</v>
      </c>
      <c r="AS46" s="76" t="n">
        <f aca="false">'Depreciation and Amortization'!AS$16</f>
        <v>778.333333333333</v>
      </c>
      <c r="AT46" s="76" t="n">
        <f aca="false">'Depreciation and Amortization'!AT$16</f>
        <v>778.333333333333</v>
      </c>
      <c r="AU46" s="76" t="n">
        <f aca="false">'Depreciation and Amortization'!AU$16</f>
        <v>778.333333333333</v>
      </c>
      <c r="AV46" s="76" t="n">
        <f aca="false">'Depreciation and Amortization'!AV$16</f>
        <v>778.333333333333</v>
      </c>
      <c r="AW46" s="76" t="n">
        <f aca="false">'Depreciation and Amortization'!AW$16</f>
        <v>658.333333333333</v>
      </c>
      <c r="AX46" s="76" t="n">
        <f aca="false">'Depreciation and Amortization'!AX$16</f>
        <v>658.333333333333</v>
      </c>
      <c r="AY46" s="76" t="n">
        <f aca="false">'Depreciation and Amortization'!AY$16</f>
        <v>658.333333333333</v>
      </c>
      <c r="AZ46" s="76" t="n">
        <f aca="false">'Depreciation and Amortization'!AZ$16</f>
        <v>658.333333333333</v>
      </c>
      <c r="BA46" s="76" t="n">
        <f aca="false">'Depreciation and Amortization'!BA$16</f>
        <v>658.333333333333</v>
      </c>
      <c r="BB46" s="64" t="n">
        <f aca="false">SUM(BC46:BN46)</f>
        <v>8745</v>
      </c>
      <c r="BC46" s="76" t="n">
        <f aca="false">'Depreciation and Amortization'!BC$16</f>
        <v>658.333333333333</v>
      </c>
      <c r="BD46" s="76" t="n">
        <f aca="false">'Depreciation and Amortization'!BD$16</f>
        <v>891.666666666667</v>
      </c>
      <c r="BE46" s="76" t="n">
        <f aca="false">'Depreciation and Amortization'!BE$16</f>
        <v>845.833333333333</v>
      </c>
      <c r="BF46" s="76" t="n">
        <f aca="false">'Depreciation and Amortization'!BF$16</f>
        <v>845.833333333333</v>
      </c>
      <c r="BG46" s="76" t="n">
        <f aca="false">'Depreciation and Amortization'!BG$16</f>
        <v>845.833333333333</v>
      </c>
      <c r="BH46" s="76" t="n">
        <f aca="false">'Depreciation and Amortization'!BH$16</f>
        <v>815.833333333333</v>
      </c>
      <c r="BI46" s="76" t="n">
        <f aca="false">'Depreciation and Amortization'!BI$16</f>
        <v>695.833333333333</v>
      </c>
      <c r="BJ46" s="76" t="n">
        <f aca="false">'Depreciation and Amortization'!BJ$16</f>
        <v>695.833333333333</v>
      </c>
      <c r="BK46" s="76" t="n">
        <f aca="false">'Depreciation and Amortization'!BK$16</f>
        <v>695.833333333333</v>
      </c>
      <c r="BL46" s="76" t="n">
        <f aca="false">'Depreciation and Amortization'!BL$16</f>
        <v>695.833333333333</v>
      </c>
      <c r="BM46" s="76" t="n">
        <f aca="false">'Depreciation and Amortization'!BM$16</f>
        <v>695.833333333333</v>
      </c>
      <c r="BN46" s="76" t="n">
        <f aca="false">'Depreciation and Amortization'!BN$16</f>
        <v>362.500000000002</v>
      </c>
    </row>
    <row r="47" customFormat="false" ht="15" hidden="false" customHeight="false" outlineLevel="0" collapsed="false">
      <c r="A47" s="69" t="s">
        <v>837</v>
      </c>
      <c r="B47" s="64" t="n">
        <f aca="false">SUM(C47:N47)</f>
        <v>104621.805296599</v>
      </c>
      <c r="C47" s="70" t="n">
        <f aca="false">C45+C46</f>
        <v>8239.92069364323</v>
      </c>
      <c r="D47" s="70" t="n">
        <f aca="false">D45+D46</f>
        <v>8560.71694062376</v>
      </c>
      <c r="E47" s="70" t="n">
        <f aca="false">E45+E46</f>
        <v>8661.26846945213</v>
      </c>
      <c r="F47" s="70" t="n">
        <f aca="false">F45+F46</f>
        <v>8661.33883988412</v>
      </c>
      <c r="G47" s="70" t="n">
        <f aca="false">G45+G46</f>
        <v>8667.42444131125</v>
      </c>
      <c r="H47" s="70" t="n">
        <f aca="false">H45+H46</f>
        <v>8673.51398437171</v>
      </c>
      <c r="I47" s="70" t="n">
        <f aca="false">I45+I46</f>
        <v>8726.64902243745</v>
      </c>
      <c r="J47" s="70" t="n">
        <f aca="false">J45+J46</f>
        <v>8779.80535666236</v>
      </c>
      <c r="K47" s="70" t="n">
        <f aca="false">K45+K46</f>
        <v>8832.98170927688</v>
      </c>
      <c r="L47" s="70" t="n">
        <f aca="false">L45+L46</f>
        <v>8886.17687917765</v>
      </c>
      <c r="M47" s="70" t="n">
        <f aca="false">M45+M46</f>
        <v>8939.3897373275</v>
      </c>
      <c r="N47" s="70" t="n">
        <f aca="false">N45+N46</f>
        <v>8992.61922243146</v>
      </c>
      <c r="O47" s="64" t="n">
        <f aca="false">SUM(P47:AA47)</f>
        <v>247983.787333068</v>
      </c>
      <c r="P47" s="70" t="n">
        <f aca="false">P45+P46</f>
        <v>20043.6559491856</v>
      </c>
      <c r="Q47" s="70" t="n">
        <f aca="false">Q45+Q46</f>
        <v>20208.7945765843</v>
      </c>
      <c r="R47" s="70" t="n">
        <f aca="false">R45+R46</f>
        <v>20293.799649165</v>
      </c>
      <c r="S47" s="70" t="n">
        <f aca="false">S45+S46</f>
        <v>20391.611591537</v>
      </c>
      <c r="T47" s="70" t="n">
        <f aca="false">T45+T46</f>
        <v>20493.3966211263</v>
      </c>
      <c r="U47" s="70" t="n">
        <f aca="false">U45+U46</f>
        <v>20595.2297113852</v>
      </c>
      <c r="V47" s="70" t="n">
        <f aca="false">V45+V46</f>
        <v>20706.593095716</v>
      </c>
      <c r="W47" s="70" t="n">
        <f aca="false">W45+W46</f>
        <v>20817.9966768614</v>
      </c>
      <c r="X47" s="70" t="n">
        <f aca="false">X45+X46</f>
        <v>20929.4380430123</v>
      </c>
      <c r="Y47" s="70" t="n">
        <f aca="false">Y45+Y46</f>
        <v>21049.2493888813</v>
      </c>
      <c r="Z47" s="70" t="n">
        <f aca="false">Z45+Z46</f>
        <v>21168.1421892009</v>
      </c>
      <c r="AA47" s="70" t="n">
        <f aca="false">AA45+AA46</f>
        <v>21285.8798404128</v>
      </c>
      <c r="AB47" s="64" t="n">
        <f aca="false">SUM(AC47:AN47)</f>
        <v>448335.563539891</v>
      </c>
      <c r="AC47" s="70" t="n">
        <f aca="false">AC45+AC46</f>
        <v>36563.0111673987</v>
      </c>
      <c r="AD47" s="70" t="n">
        <f aca="false">AD45+AD46</f>
        <v>36842.7958714242</v>
      </c>
      <c r="AE47" s="70" t="n">
        <f aca="false">AE45+AE46</f>
        <v>36905.2148160531</v>
      </c>
      <c r="AF47" s="70" t="n">
        <f aca="false">AF45+AF46</f>
        <v>37043.5897942954</v>
      </c>
      <c r="AG47" s="70" t="n">
        <f aca="false">AG45+AG46</f>
        <v>37181.4374013631</v>
      </c>
      <c r="AH47" s="70" t="n">
        <f aca="false">AH45+AH46</f>
        <v>37319.3293477081</v>
      </c>
      <c r="AI47" s="70" t="n">
        <f aca="false">AI45+AI46</f>
        <v>37454.3097952471</v>
      </c>
      <c r="AJ47" s="70" t="n">
        <f aca="false">AJ45+AJ46</f>
        <v>37589.3332754728</v>
      </c>
      <c r="AK47" s="70" t="n">
        <f aca="false">AK45+AK46</f>
        <v>37720.5587282314</v>
      </c>
      <c r="AL47" s="70" t="n">
        <f aca="false">AL45+AL46</f>
        <v>37842.9213415803</v>
      </c>
      <c r="AM47" s="70" t="n">
        <f aca="false">AM45+AM46</f>
        <v>37875.3173249569</v>
      </c>
      <c r="AN47" s="70" t="n">
        <f aca="false">AN45+AN46</f>
        <v>37997.7446761595</v>
      </c>
      <c r="AO47" s="64" t="n">
        <f aca="false">SUM(AP47:BA47)</f>
        <v>644653.014790274</v>
      </c>
      <c r="AP47" s="70" t="n">
        <f aca="false">AP45+AP46</f>
        <v>52735.1388302912</v>
      </c>
      <c r="AQ47" s="70" t="n">
        <f aca="false">AQ45+AQ46</f>
        <v>53091.8088074105</v>
      </c>
      <c r="AR47" s="70" t="n">
        <f aca="false">AR45+AR46</f>
        <v>53232.2909522823</v>
      </c>
      <c r="AS47" s="70" t="n">
        <f aca="false">AS45+AS46</f>
        <v>53386.82102906</v>
      </c>
      <c r="AT47" s="70" t="n">
        <f aca="false">AT45+AT46</f>
        <v>53543.4686860422</v>
      </c>
      <c r="AU47" s="70" t="n">
        <f aca="false">AU45+AU46</f>
        <v>53700.1278734763</v>
      </c>
      <c r="AV47" s="70" t="n">
        <f aca="false">AV45+AV46</f>
        <v>53863.6428452635</v>
      </c>
      <c r="AW47" s="70" t="n">
        <f aca="false">AW45+AW46</f>
        <v>53907.1686146362</v>
      </c>
      <c r="AX47" s="70" t="n">
        <f aca="false">AX45+AX46</f>
        <v>54070.3157130345</v>
      </c>
      <c r="AY47" s="70" t="n">
        <f aca="false">AY45+AY46</f>
        <v>54222.1919732168</v>
      </c>
      <c r="AZ47" s="70" t="n">
        <f aca="false">AZ45+AZ46</f>
        <v>54374.0750198407</v>
      </c>
      <c r="BA47" s="70" t="n">
        <f aca="false">BA45+BA46</f>
        <v>54525.9644457194</v>
      </c>
      <c r="BB47" s="64" t="n">
        <f aca="false">SUM(BC47:BN47)</f>
        <v>837609.843909798</v>
      </c>
      <c r="BC47" s="70" t="n">
        <f aca="false">BC45+BC46</f>
        <v>68768.5506842779</v>
      </c>
      <c r="BD47" s="70" t="n">
        <f aca="false">BD45+BD46</f>
        <v>69165.7366837433</v>
      </c>
      <c r="BE47" s="70" t="n">
        <f aca="false">BE45+BE46</f>
        <v>69286.9059061613</v>
      </c>
      <c r="BF47" s="70" t="n">
        <f aca="false">BF45+BF46</f>
        <v>69468.7266779489</v>
      </c>
      <c r="BG47" s="70" t="n">
        <f aca="false">BG45+BG46</f>
        <v>69650.2513957673</v>
      </c>
      <c r="BH47" s="70" t="n">
        <f aca="false">BH45+BH46</f>
        <v>69801.769969733</v>
      </c>
      <c r="BI47" s="70" t="n">
        <f aca="false">BI45+BI46</f>
        <v>69862.9633778915</v>
      </c>
      <c r="BJ47" s="70" t="n">
        <f aca="false">BJ45+BJ46</f>
        <v>70044.1517171078</v>
      </c>
      <c r="BK47" s="70" t="n">
        <f aca="false">BK45+BK46</f>
        <v>70224.6939945108</v>
      </c>
      <c r="BL47" s="70" t="n">
        <f aca="false">BL45+BL46</f>
        <v>70390.5896410821</v>
      </c>
      <c r="BM47" s="70" t="n">
        <f aca="false">BM45+BM46</f>
        <v>70556.477920402</v>
      </c>
      <c r="BN47" s="70" t="n">
        <f aca="false">BN45+BN46</f>
        <v>70389.0259411722</v>
      </c>
    </row>
    <row r="49" customFormat="false" ht="16.5" hidden="false" customHeight="true" outlineLevel="0" collapsed="false">
      <c r="A49" s="15" t="s">
        <v>838</v>
      </c>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row>
    <row r="50" customFormat="false" ht="15" hidden="false" customHeight="true" outlineLevel="0" collapsed="false">
      <c r="A50" s="26" t="s">
        <v>481</v>
      </c>
      <c r="B50" s="61" t="s">
        <v>81</v>
      </c>
      <c r="C50" s="62" t="s">
        <v>482</v>
      </c>
      <c r="D50" s="62" t="s">
        <v>483</v>
      </c>
      <c r="E50" s="62" t="s">
        <v>484</v>
      </c>
      <c r="F50" s="62" t="s">
        <v>485</v>
      </c>
      <c r="G50" s="62" t="s">
        <v>486</v>
      </c>
      <c r="H50" s="62" t="s">
        <v>487</v>
      </c>
      <c r="I50" s="62" t="s">
        <v>488</v>
      </c>
      <c r="J50" s="62" t="s">
        <v>489</v>
      </c>
      <c r="K50" s="62" t="s">
        <v>490</v>
      </c>
      <c r="L50" s="62" t="s">
        <v>491</v>
      </c>
      <c r="M50" s="62" t="s">
        <v>492</v>
      </c>
      <c r="N50" s="62" t="s">
        <v>493</v>
      </c>
      <c r="O50" s="61" t="s">
        <v>82</v>
      </c>
      <c r="P50" s="63" t="s">
        <v>494</v>
      </c>
      <c r="Q50" s="63" t="s">
        <v>495</v>
      </c>
      <c r="R50" s="63" t="s">
        <v>496</v>
      </c>
      <c r="S50" s="63" t="s">
        <v>497</v>
      </c>
      <c r="T50" s="63" t="s">
        <v>498</v>
      </c>
      <c r="U50" s="63" t="s">
        <v>499</v>
      </c>
      <c r="V50" s="63" t="s">
        <v>500</v>
      </c>
      <c r="W50" s="63" t="s">
        <v>501</v>
      </c>
      <c r="X50" s="63" t="s">
        <v>502</v>
      </c>
      <c r="Y50" s="63" t="s">
        <v>503</v>
      </c>
      <c r="Z50" s="63" t="s">
        <v>504</v>
      </c>
      <c r="AA50" s="63" t="s">
        <v>505</v>
      </c>
      <c r="AB50" s="61" t="s">
        <v>83</v>
      </c>
      <c r="AC50" s="62" t="s">
        <v>506</v>
      </c>
      <c r="AD50" s="62" t="s">
        <v>507</v>
      </c>
      <c r="AE50" s="62" t="s">
        <v>508</v>
      </c>
      <c r="AF50" s="62" t="s">
        <v>509</v>
      </c>
      <c r="AG50" s="62" t="s">
        <v>510</v>
      </c>
      <c r="AH50" s="62" t="s">
        <v>511</v>
      </c>
      <c r="AI50" s="62" t="s">
        <v>512</v>
      </c>
      <c r="AJ50" s="62" t="s">
        <v>513</v>
      </c>
      <c r="AK50" s="62" t="s">
        <v>514</v>
      </c>
      <c r="AL50" s="62" t="s">
        <v>515</v>
      </c>
      <c r="AM50" s="62" t="s">
        <v>516</v>
      </c>
      <c r="AN50" s="62" t="s">
        <v>517</v>
      </c>
      <c r="AO50" s="61" t="s">
        <v>84</v>
      </c>
      <c r="AP50" s="63" t="s">
        <v>518</v>
      </c>
      <c r="AQ50" s="63" t="s">
        <v>519</v>
      </c>
      <c r="AR50" s="63" t="s">
        <v>520</v>
      </c>
      <c r="AS50" s="63" t="s">
        <v>521</v>
      </c>
      <c r="AT50" s="63" t="s">
        <v>522</v>
      </c>
      <c r="AU50" s="63" t="s">
        <v>523</v>
      </c>
      <c r="AV50" s="63" t="s">
        <v>524</v>
      </c>
      <c r="AW50" s="63" t="s">
        <v>525</v>
      </c>
      <c r="AX50" s="63" t="s">
        <v>526</v>
      </c>
      <c r="AY50" s="63" t="s">
        <v>527</v>
      </c>
      <c r="AZ50" s="63" t="s">
        <v>528</v>
      </c>
      <c r="BA50" s="63" t="s">
        <v>529</v>
      </c>
      <c r="BB50" s="61" t="s">
        <v>85</v>
      </c>
      <c r="BC50" s="62" t="s">
        <v>530</v>
      </c>
      <c r="BD50" s="62" t="s">
        <v>531</v>
      </c>
      <c r="BE50" s="62" t="s">
        <v>532</v>
      </c>
      <c r="BF50" s="62" t="s">
        <v>533</v>
      </c>
      <c r="BG50" s="62" t="s">
        <v>534</v>
      </c>
      <c r="BH50" s="62" t="s">
        <v>535</v>
      </c>
      <c r="BI50" s="62" t="s">
        <v>536</v>
      </c>
      <c r="BJ50" s="62" t="s">
        <v>537</v>
      </c>
      <c r="BK50" s="62" t="s">
        <v>538</v>
      </c>
      <c r="BL50" s="62" t="s">
        <v>539</v>
      </c>
      <c r="BM50" s="62" t="s">
        <v>540</v>
      </c>
      <c r="BN50" s="62" t="s">
        <v>541</v>
      </c>
    </row>
    <row r="51" customFormat="false" ht="15" hidden="false" customHeight="false" outlineLevel="0" collapsed="false">
      <c r="A51" s="69" t="s">
        <v>90</v>
      </c>
      <c r="B51" s="64" t="n">
        <f aca="false">SUM(C51:N51)</f>
        <v>147821.240854012</v>
      </c>
      <c r="C51" s="70" t="n">
        <f aca="false">C24+C47</f>
        <v>13052.5754156924</v>
      </c>
      <c r="D51" s="70" t="n">
        <f aca="false">D24+D47</f>
        <v>10867.0298100934</v>
      </c>
      <c r="E51" s="70" t="n">
        <f aca="false">E24+E47</f>
        <v>11311.5361326509</v>
      </c>
      <c r="F51" s="70" t="n">
        <f aca="false">F24+F47</f>
        <v>11192.2020496535</v>
      </c>
      <c r="G51" s="70" t="n">
        <f aca="false">G24+G47</f>
        <v>11229.7473846715</v>
      </c>
      <c r="H51" s="70" t="n">
        <f aca="false">H24+H47</f>
        <v>11267.3335621331</v>
      </c>
      <c r="I51" s="70" t="n">
        <f aca="false">I24+I47</f>
        <v>11890.6883210601</v>
      </c>
      <c r="J51" s="70" t="n">
        <f aca="false">J24+J47</f>
        <v>12394.2332868344</v>
      </c>
      <c r="K51" s="70" t="n">
        <f aca="false">K24+K47</f>
        <v>12897.9598099389</v>
      </c>
      <c r="L51" s="70" t="n">
        <f aca="false">L24+L47</f>
        <v>13401.8597598277</v>
      </c>
      <c r="M51" s="70" t="n">
        <f aca="false">M24+M47</f>
        <v>13905.9254937877</v>
      </c>
      <c r="N51" s="70" t="n">
        <f aca="false">N24+N47</f>
        <v>14410.1498276684</v>
      </c>
      <c r="O51" s="64" t="n">
        <f aca="false">SUM(P51:AA51)</f>
        <v>387101.163684055</v>
      </c>
      <c r="P51" s="70" t="n">
        <f aca="false">P24+P47</f>
        <v>27263.7542131228</v>
      </c>
      <c r="Q51" s="70" t="n">
        <f aca="false">Q24+Q47</f>
        <v>28126.542674004</v>
      </c>
      <c r="R51" s="70" t="n">
        <f aca="false">R24+R47</f>
        <v>28900.2597029791</v>
      </c>
      <c r="S51" s="70" t="n">
        <f aca="false">S24+S47</f>
        <v>29773.7471694509</v>
      </c>
      <c r="T51" s="70" t="n">
        <f aca="false">T24+T47</f>
        <v>30550.7035122791</v>
      </c>
      <c r="U51" s="70" t="n">
        <f aca="false">U24+U47</f>
        <v>31568.1032597018</v>
      </c>
      <c r="V51" s="70" t="n">
        <f aca="false">V24+V47</f>
        <v>32568.0261814529</v>
      </c>
      <c r="W51" s="70" t="n">
        <f aca="false">W24+W47</f>
        <v>33688.3033251412</v>
      </c>
      <c r="X51" s="70" t="n">
        <f aca="false">X24+X47</f>
        <v>34568.9183646757</v>
      </c>
      <c r="Y51" s="70" t="n">
        <f aca="false">Y24+Y47</f>
        <v>35633.7273830414</v>
      </c>
      <c r="Z51" s="70" t="n">
        <f aca="false">Z24+Z47</f>
        <v>36697.8975171742</v>
      </c>
      <c r="AA51" s="70" t="n">
        <f aca="false">AA24+AA47</f>
        <v>37761.1803810322</v>
      </c>
      <c r="AB51" s="64" t="n">
        <f aca="false">SUM(AC51:AN51)</f>
        <v>737413.481201444</v>
      </c>
      <c r="AC51" s="70" t="n">
        <f aca="false">AC24+AC47</f>
        <v>55890.746451525</v>
      </c>
      <c r="AD51" s="70" t="n">
        <f aca="false">AD24+AD47</f>
        <v>56155.9337844949</v>
      </c>
      <c r="AE51" s="70" t="n">
        <f aca="false">AE24+AE47</f>
        <v>56646.0409738596</v>
      </c>
      <c r="AF51" s="70" t="n">
        <f aca="false">AF24+AF47</f>
        <v>58094.2092903432</v>
      </c>
      <c r="AG51" s="70" t="n">
        <f aca="false">AG24+AG47</f>
        <v>59539.5149134782</v>
      </c>
      <c r="AH51" s="70" t="n">
        <f aca="false">AH24+AH47</f>
        <v>60745.1843783272</v>
      </c>
      <c r="AI51" s="70" t="n">
        <f aca="false">AI24+AI47</f>
        <v>62006.907194175</v>
      </c>
      <c r="AJ51" s="70" t="n">
        <f aca="false">AJ24+AJ47</f>
        <v>63268.9959698538</v>
      </c>
      <c r="AK51" s="70" t="n">
        <f aca="false">AK24+AK47</f>
        <v>64523.6314276746</v>
      </c>
      <c r="AL51" s="70" t="n">
        <f aca="false">AL24+AL47</f>
        <v>65715.3406834414</v>
      </c>
      <c r="AM51" s="70" t="n">
        <f aca="false">AM24+AM47</f>
        <v>66817.3450775715</v>
      </c>
      <c r="AN51" s="70" t="n">
        <f aca="false">AN24+AN47</f>
        <v>68009.6310566999</v>
      </c>
      <c r="AO51" s="64" t="n">
        <f aca="false">SUM(AP51:BA51)</f>
        <v>1157795.08823009</v>
      </c>
      <c r="AP51" s="70" t="n">
        <f aca="false">AP24+AP47</f>
        <v>87807.3104363367</v>
      </c>
      <c r="AQ51" s="70" t="n">
        <f aca="false">AQ24+AQ47</f>
        <v>89584.1952916243</v>
      </c>
      <c r="AR51" s="70" t="n">
        <f aca="false">AR24+AR47</f>
        <v>90905.2230799936</v>
      </c>
      <c r="AS51" s="70" t="n">
        <f aca="false">AS24+AS47</f>
        <v>92454.5153016682</v>
      </c>
      <c r="AT51" s="70" t="n">
        <f aca="false">AT24+AT47</f>
        <v>94015.4333850935</v>
      </c>
      <c r="AU51" s="70" t="n">
        <f aca="false">AU24+AU47</f>
        <v>95696.4610094574</v>
      </c>
      <c r="AV51" s="70" t="n">
        <f aca="false">AV24+AV47</f>
        <v>97232.6964970628</v>
      </c>
      <c r="AW51" s="70" t="n">
        <f aca="false">AW24+AW47</f>
        <v>98769.0307553969</v>
      </c>
      <c r="AX51" s="70" t="n">
        <f aca="false">AX24+AX47</f>
        <v>100542.539193477</v>
      </c>
      <c r="AY51" s="70" t="n">
        <f aca="false">AY24+AY47</f>
        <v>101989.169296688</v>
      </c>
      <c r="AZ51" s="70" t="n">
        <f aca="false">AZ24+AZ47</f>
        <v>103675.871359055</v>
      </c>
      <c r="BA51" s="70" t="n">
        <f aca="false">BA24+BA47</f>
        <v>105122.642624237</v>
      </c>
      <c r="BB51" s="64" t="n">
        <f aca="false">SUM(BC51:BN51)</f>
        <v>1635721.81004322</v>
      </c>
      <c r="BC51" s="70" t="n">
        <f aca="false">BC24+BC47</f>
        <v>126285.226872759</v>
      </c>
      <c r="BD51" s="70" t="n">
        <f aca="false">BD24+BD47</f>
        <v>128138.765727804</v>
      </c>
      <c r="BE51" s="70" t="n">
        <f aca="false">BE24+BE47</f>
        <v>129857.513966753</v>
      </c>
      <c r="BF51" s="70" t="n">
        <f aca="false">BF24+BF47</f>
        <v>131853.70378767</v>
      </c>
      <c r="BG51" s="70" t="n">
        <f aca="false">BG24+BG47</f>
        <v>133608.356646832</v>
      </c>
      <c r="BH51" s="70" t="n">
        <f aca="false">BH24+BH47</f>
        <v>135573.013536186</v>
      </c>
      <c r="BI51" s="70" t="n">
        <f aca="false">BI24+BI47</f>
        <v>137200.129762481</v>
      </c>
      <c r="BJ51" s="70" t="n">
        <f aca="false">BJ24+BJ47</f>
        <v>139067.256848635</v>
      </c>
      <c r="BK51" s="70" t="n">
        <f aca="false">BK24+BK47</f>
        <v>141049.495929272</v>
      </c>
      <c r="BL51" s="70" t="n">
        <f aca="false">BL24+BL47</f>
        <v>142681.698478054</v>
      </c>
      <c r="BM51" s="70" t="n">
        <f aca="false">BM24+BM47</f>
        <v>144553.894583189</v>
      </c>
      <c r="BN51" s="70" t="n">
        <f aca="false">BN24+BN47</f>
        <v>145852.753903581</v>
      </c>
    </row>
    <row r="52" customFormat="false" ht="15" hidden="false" customHeight="false" outlineLevel="0" collapsed="false">
      <c r="A52" s="66" t="s">
        <v>88</v>
      </c>
      <c r="B52" s="67" t="n">
        <f aca="false">SUM(C52:N52)</f>
        <v>-41857.0919344233</v>
      </c>
      <c r="C52" s="68" t="n">
        <f aca="false">C25-C45</f>
        <v>-9774.07077948143</v>
      </c>
      <c r="D52" s="68" t="n">
        <f aca="false">D25-D45</f>
        <v>-5380.19032933825</v>
      </c>
      <c r="E52" s="68" t="n">
        <f aca="false">E25-E45</f>
        <v>-4471.78055735146</v>
      </c>
      <c r="F52" s="68" t="n">
        <f aca="false">F25-F45</f>
        <v>-4347.03037980976</v>
      </c>
      <c r="G52" s="68" t="n">
        <f aca="false">G25-G45</f>
        <v>-4240.03877501438</v>
      </c>
      <c r="H52" s="68" t="n">
        <f aca="false">H25-H45</f>
        <v>-4132.68342358194</v>
      </c>
      <c r="I52" s="68" t="n">
        <f aca="false">I25-I45</f>
        <v>-3492.43962314303</v>
      </c>
      <c r="J52" s="68" t="n">
        <f aca="false">J25-J45</f>
        <v>-2731.07036580049</v>
      </c>
      <c r="K52" s="68" t="n">
        <f aca="false">K25-K45</f>
        <v>-1968.56700203738</v>
      </c>
      <c r="L52" s="68" t="n">
        <f aca="false">L25-L45</f>
        <v>-1204.92140130776</v>
      </c>
      <c r="M52" s="68" t="n">
        <f aca="false">M25-M45</f>
        <v>-440.125920898432</v>
      </c>
      <c r="N52" s="68" t="n">
        <f aca="false">N25-N45</f>
        <v>325.826623340978</v>
      </c>
      <c r="O52" s="67" t="n">
        <f aca="false">SUM(P52:AA52)</f>
        <v>-18217.1483677056</v>
      </c>
      <c r="P52" s="68" t="n">
        <f aca="false">P25-P45</f>
        <v>-9339.81151986189</v>
      </c>
      <c r="Q52" s="68" t="n">
        <f aca="false">Q25-Q45</f>
        <v>-8417.31857745479</v>
      </c>
      <c r="R52" s="68" t="n">
        <f aca="false">R25-R45</f>
        <v>-7176.19129805597</v>
      </c>
      <c r="S52" s="68" t="n">
        <f aca="false">S25-S45</f>
        <v>-5728.14307758192</v>
      </c>
      <c r="T52" s="68" t="n">
        <f aca="false">T25-T45</f>
        <v>-4089.32005764878</v>
      </c>
      <c r="U52" s="68" t="n">
        <f aca="false">U25-U45</f>
        <v>-2687.56698997799</v>
      </c>
      <c r="V52" s="68" t="n">
        <f aca="false">V25-V45</f>
        <v>-1036.47413963484</v>
      </c>
      <c r="W52" s="68" t="n">
        <f aca="false">W25-W45</f>
        <v>496.61078658963</v>
      </c>
      <c r="X52" s="68" t="n">
        <f aca="false">X25-X45</f>
        <v>2271.70411478623</v>
      </c>
      <c r="Y52" s="68" t="n">
        <f aca="false">Y25-Y45</f>
        <v>4064.89757271541</v>
      </c>
      <c r="Z52" s="68" t="n">
        <f aca="false">Z25-Z45</f>
        <v>5838.21088189854</v>
      </c>
      <c r="AA52" s="68" t="n">
        <f aca="false">AA25-AA45</f>
        <v>7586.25393652081</v>
      </c>
      <c r="AB52" s="67" t="n">
        <f aca="false">SUM(AC52:AN52)</f>
        <v>22556.741023939</v>
      </c>
      <c r="AC52" s="68" t="n">
        <f aca="false">AC25-AC45</f>
        <v>-6460.72904945746</v>
      </c>
      <c r="AD52" s="68" t="n">
        <f aca="false">AD25-AD45</f>
        <v>-6012.93247363783</v>
      </c>
      <c r="AE52" s="68" t="n">
        <f aca="false">AE25-AE45</f>
        <v>-5018.6501462261</v>
      </c>
      <c r="AF52" s="68" t="n">
        <f aca="false">AF25-AF45</f>
        <v>-3171.56055760569</v>
      </c>
      <c r="AG52" s="68" t="n">
        <f aca="false">AG25-AG45</f>
        <v>-1333.14406915753</v>
      </c>
      <c r="AH52" s="68" t="n">
        <f aca="false">AH25-AH45</f>
        <v>746.728546532118</v>
      </c>
      <c r="AI52" s="68" t="n">
        <f aca="false">AI25-AI45</f>
        <v>2699.40212551541</v>
      </c>
      <c r="AJ52" s="68" t="n">
        <f aca="false">AJ25-AJ45</f>
        <v>4653.84293448994</v>
      </c>
      <c r="AK52" s="68" t="n">
        <f aca="false">AK25-AK45</f>
        <v>6525.5991407458</v>
      </c>
      <c r="AL52" s="68" t="n">
        <f aca="false">AL25-AL45</f>
        <v>8249.70580498434</v>
      </c>
      <c r="AM52" s="68" t="n">
        <f aca="false">AM25-AM45</f>
        <v>9975.49587214953</v>
      </c>
      <c r="AN52" s="68" t="n">
        <f aca="false">AN25-AN45</f>
        <v>11702.9828956065</v>
      </c>
      <c r="AO52" s="67" t="n">
        <f aca="false">SUM(AP52:BA52)</f>
        <v>167340.005119419</v>
      </c>
      <c r="AP52" s="68" t="n">
        <f aca="false">AP25-AP45</f>
        <v>2423.37132832388</v>
      </c>
      <c r="AQ52" s="68" t="n">
        <f aca="false">AQ25-AQ45</f>
        <v>4228.10624629631</v>
      </c>
      <c r="AR52" s="68" t="n">
        <f aca="false">AR25-AR45</f>
        <v>6267.64967915687</v>
      </c>
      <c r="AS52" s="68" t="n">
        <f aca="false">AS25-AS45</f>
        <v>8415.30914259906</v>
      </c>
      <c r="AT52" s="68" t="n">
        <f aca="false">AT25-AT45</f>
        <v>10601.3173329275</v>
      </c>
      <c r="AU52" s="68" t="n">
        <f aca="false">AU25-AU45</f>
        <v>12668.1156579898</v>
      </c>
      <c r="AV52" s="68" t="n">
        <f aca="false">AV25-AV45</f>
        <v>15044.6545806781</v>
      </c>
      <c r="AW52" s="68" t="n">
        <f aca="false">AW25-AW45</f>
        <v>17301.8284292238</v>
      </c>
      <c r="AX52" s="68" t="n">
        <f aca="false">AX25-AX45</f>
        <v>19433.2151430515</v>
      </c>
      <c r="AY52" s="68" t="n">
        <f aca="false">AY25-AY45</f>
        <v>21622.2323925389</v>
      </c>
      <c r="AZ52" s="68" t="n">
        <f aca="false">AZ25-AZ45</f>
        <v>23571.9211162148</v>
      </c>
      <c r="BA52" s="68" t="n">
        <f aca="false">BA25-BA45</f>
        <v>25762.2840704182</v>
      </c>
      <c r="BB52" s="67" t="n">
        <f aca="false">SUM(BC52:BN52)</f>
        <v>374246.386149982</v>
      </c>
      <c r="BC52" s="68" t="n">
        <f aca="false">BC25-BC45</f>
        <v>18129.5204559446</v>
      </c>
      <c r="BD52" s="68" t="n">
        <f aca="false">BD25-BD45</f>
        <v>20428.0342443672</v>
      </c>
      <c r="BE52" s="68" t="n">
        <f aca="false">BE25-BE45</f>
        <v>22654.5217225368</v>
      </c>
      <c r="BF52" s="68" t="n">
        <f aca="false">BF25-BF45</f>
        <v>25005.8785918605</v>
      </c>
      <c r="BG52" s="68" t="n">
        <f aca="false">BG25-BG45</f>
        <v>27593.3113946835</v>
      </c>
      <c r="BH52" s="68" t="n">
        <f aca="false">BH25-BH45</f>
        <v>29942.0435772766</v>
      </c>
      <c r="BI52" s="68" t="n">
        <f aca="false">BI25-BI45</f>
        <v>32531.7529358111</v>
      </c>
      <c r="BJ52" s="68" t="n">
        <f aca="false">BJ25-BJ45</f>
        <v>35002.7420829896</v>
      </c>
      <c r="BK52" s="68" t="n">
        <f aca="false">BK25-BK45</f>
        <v>37344.4940907337</v>
      </c>
      <c r="BL52" s="68" t="n">
        <f aca="false">BL25-BL45</f>
        <v>39687.0972434065</v>
      </c>
      <c r="BM52" s="68" t="n">
        <f aca="false">BM25-BM45</f>
        <v>41790.9476105238</v>
      </c>
      <c r="BN52" s="68" t="n">
        <f aca="false">BN25-BN45</f>
        <v>44136.042199848</v>
      </c>
    </row>
    <row r="53" customFormat="false" ht="15" hidden="false" customHeight="false" outlineLevel="0" collapsed="false">
      <c r="A53" s="66" t="s">
        <v>839</v>
      </c>
      <c r="B53" s="67" t="n">
        <f aca="false">SUM(C53:N53)</f>
        <v>-45079.1752677567</v>
      </c>
      <c r="C53" s="68" t="n">
        <f aca="false">C52-C46</f>
        <v>-9774.07077948143</v>
      </c>
      <c r="D53" s="68" t="n">
        <f aca="false">D52-D46</f>
        <v>-5631.44032933825</v>
      </c>
      <c r="E53" s="68" t="n">
        <f aca="false">E52-E46</f>
        <v>-4768.86389068479</v>
      </c>
      <c r="F53" s="68" t="n">
        <f aca="false">F52-F46</f>
        <v>-4644.11371314309</v>
      </c>
      <c r="G53" s="68" t="n">
        <f aca="false">G52-G46</f>
        <v>-4537.12210834771</v>
      </c>
      <c r="H53" s="68" t="n">
        <f aca="false">H52-H46</f>
        <v>-4429.76675691528</v>
      </c>
      <c r="I53" s="68" t="n">
        <f aca="false">I52-I46</f>
        <v>-3789.52295647636</v>
      </c>
      <c r="J53" s="68" t="n">
        <f aca="false">J52-J46</f>
        <v>-3028.15369913383</v>
      </c>
      <c r="K53" s="68" t="n">
        <f aca="false">K52-K46</f>
        <v>-2265.65033537072</v>
      </c>
      <c r="L53" s="68" t="n">
        <f aca="false">L52-L46</f>
        <v>-1502.00473464109</v>
      </c>
      <c r="M53" s="68" t="n">
        <f aca="false">M52-M46</f>
        <v>-737.209254231765</v>
      </c>
      <c r="N53" s="68" t="n">
        <f aca="false">N52-N46</f>
        <v>28.7432900076443</v>
      </c>
      <c r="O53" s="67" t="n">
        <f aca="false">SUM(P53:AA53)</f>
        <v>-22820.2733677056</v>
      </c>
      <c r="P53" s="68" t="n">
        <f aca="false">P52-P46</f>
        <v>-9636.89485319523</v>
      </c>
      <c r="Q53" s="68" t="n">
        <f aca="false">Q52-Q46</f>
        <v>-8808.77691078812</v>
      </c>
      <c r="R53" s="68" t="n">
        <f aca="false">R52-R46</f>
        <v>-7567.6496313893</v>
      </c>
      <c r="S53" s="68" t="n">
        <f aca="false">S52-S46</f>
        <v>-6119.60141091526</v>
      </c>
      <c r="T53" s="68" t="n">
        <f aca="false">T52-T46</f>
        <v>-4480.77839098212</v>
      </c>
      <c r="U53" s="68" t="n">
        <f aca="false">U52-U46</f>
        <v>-3079.02532331133</v>
      </c>
      <c r="V53" s="68" t="n">
        <f aca="false">V52-V46</f>
        <v>-1427.93247296817</v>
      </c>
      <c r="W53" s="68" t="n">
        <f aca="false">W52-W46</f>
        <v>105.152453256297</v>
      </c>
      <c r="X53" s="68" t="n">
        <f aca="false">X52-X46</f>
        <v>1880.24578145289</v>
      </c>
      <c r="Y53" s="68" t="n">
        <f aca="false">Y52-Y46</f>
        <v>3673.43923938207</v>
      </c>
      <c r="Z53" s="68" t="n">
        <f aca="false">Z52-Z46</f>
        <v>5446.7525485652</v>
      </c>
      <c r="AA53" s="68" t="n">
        <f aca="false">AA52-AA46</f>
        <v>7194.79560318747</v>
      </c>
      <c r="AB53" s="67" t="n">
        <f aca="false">SUM(AC53:AN53)</f>
        <v>15167.7826906056</v>
      </c>
      <c r="AC53" s="68" t="n">
        <f aca="false">AC52-AC46</f>
        <v>-6852.18738279079</v>
      </c>
      <c r="AD53" s="68" t="n">
        <f aca="false">AD52-AD46</f>
        <v>-6665.43247363783</v>
      </c>
      <c r="AE53" s="68" t="n">
        <f aca="false">AE52-AE46</f>
        <v>-5671.1501462261</v>
      </c>
      <c r="AF53" s="68" t="n">
        <f aca="false">AF52-AF46</f>
        <v>-3824.06055760569</v>
      </c>
      <c r="AG53" s="68" t="n">
        <f aca="false">AG52-AG46</f>
        <v>-1985.64406915753</v>
      </c>
      <c r="AH53" s="68" t="n">
        <f aca="false">AH52-AH46</f>
        <v>94.2285465321183</v>
      </c>
      <c r="AI53" s="68" t="n">
        <f aca="false">AI52-AI46</f>
        <v>2046.90212551541</v>
      </c>
      <c r="AJ53" s="68" t="n">
        <f aca="false">AJ52-AJ46</f>
        <v>4001.34293448994</v>
      </c>
      <c r="AK53" s="68" t="n">
        <f aca="false">AK52-AK46</f>
        <v>5873.0991407458</v>
      </c>
      <c r="AL53" s="68" t="n">
        <f aca="false">AL52-AL46</f>
        <v>7597.20580498434</v>
      </c>
      <c r="AM53" s="68" t="n">
        <f aca="false">AM52-AM46</f>
        <v>9412.99587214953</v>
      </c>
      <c r="AN53" s="68" t="n">
        <f aca="false">AN52-AN46</f>
        <v>11140.4828956065</v>
      </c>
      <c r="AO53" s="67" t="n">
        <f aca="false">SUM(AP53:BA53)</f>
        <v>158815.838452752</v>
      </c>
      <c r="AP53" s="68" t="n">
        <f aca="false">AP52-AP46</f>
        <v>1860.87132832388</v>
      </c>
      <c r="AQ53" s="68" t="n">
        <f aca="false">AQ52-AQ46</f>
        <v>3449.77291296298</v>
      </c>
      <c r="AR53" s="68" t="n">
        <f aca="false">AR52-AR46</f>
        <v>5489.31634582354</v>
      </c>
      <c r="AS53" s="68" t="n">
        <f aca="false">AS52-AS46</f>
        <v>7636.97580926573</v>
      </c>
      <c r="AT53" s="68" t="n">
        <f aca="false">AT52-AT46</f>
        <v>9822.98399959419</v>
      </c>
      <c r="AU53" s="68" t="n">
        <f aca="false">AU52-AU46</f>
        <v>11889.7823246564</v>
      </c>
      <c r="AV53" s="68" t="n">
        <f aca="false">AV52-AV46</f>
        <v>14266.3212473447</v>
      </c>
      <c r="AW53" s="68" t="n">
        <f aca="false">AW52-AW46</f>
        <v>16643.4950958905</v>
      </c>
      <c r="AX53" s="68" t="n">
        <f aca="false">AX52-AX46</f>
        <v>18774.8818097181</v>
      </c>
      <c r="AY53" s="68" t="n">
        <f aca="false">AY52-AY46</f>
        <v>20963.8990592056</v>
      </c>
      <c r="AZ53" s="68" t="n">
        <f aca="false">AZ52-AZ46</f>
        <v>22913.5877828814</v>
      </c>
      <c r="BA53" s="68" t="n">
        <f aca="false">BA52-BA46</f>
        <v>25103.9507370848</v>
      </c>
      <c r="BB53" s="67" t="n">
        <f aca="false">SUM(BC53:BN53)</f>
        <v>365501.386149982</v>
      </c>
      <c r="BC53" s="68" t="n">
        <f aca="false">BC52-BC46</f>
        <v>17471.1871226112</v>
      </c>
      <c r="BD53" s="68" t="n">
        <f aca="false">BD52-BD46</f>
        <v>19536.3675777005</v>
      </c>
      <c r="BE53" s="68" t="n">
        <f aca="false">BE52-BE46</f>
        <v>21808.6883892034</v>
      </c>
      <c r="BF53" s="68" t="n">
        <f aca="false">BF52-BF46</f>
        <v>24160.0452585272</v>
      </c>
      <c r="BG53" s="68" t="n">
        <f aca="false">BG52-BG46</f>
        <v>26747.4780613501</v>
      </c>
      <c r="BH53" s="68" t="n">
        <f aca="false">BH52-BH46</f>
        <v>29126.2102439432</v>
      </c>
      <c r="BI53" s="68" t="n">
        <f aca="false">BI52-BI46</f>
        <v>31835.9196024778</v>
      </c>
      <c r="BJ53" s="68" t="n">
        <f aca="false">BJ52-BJ46</f>
        <v>34306.9087496562</v>
      </c>
      <c r="BK53" s="68" t="n">
        <f aca="false">BK52-BK46</f>
        <v>36648.6607574004</v>
      </c>
      <c r="BL53" s="68" t="n">
        <f aca="false">BL52-BL46</f>
        <v>38991.2639100732</v>
      </c>
      <c r="BM53" s="68" t="n">
        <f aca="false">BM52-BM46</f>
        <v>41095.1142771905</v>
      </c>
      <c r="BN53" s="68" t="n">
        <f aca="false">BN52-BN46</f>
        <v>43773.542199848</v>
      </c>
    </row>
    <row r="54" customFormat="false" ht="15" hidden="false" customHeight="false" outlineLevel="0" collapsed="false">
      <c r="A54" s="12" t="s">
        <v>840</v>
      </c>
      <c r="B54" s="64" t="n">
        <f aca="false">SUM(C54:N54)</f>
        <v>40415.7219632662</v>
      </c>
      <c r="C54" s="65" t="n">
        <f aca="false">C45-Payroll!C$45</f>
        <v>3157.92069364323</v>
      </c>
      <c r="D54" s="65" t="n">
        <f aca="false">D45-Payroll!D$45</f>
        <v>3227.46694062376</v>
      </c>
      <c r="E54" s="65" t="n">
        <f aca="false">E45-Payroll!E$45</f>
        <v>3282.18513611879</v>
      </c>
      <c r="F54" s="65" t="n">
        <f aca="false">F45-Payroll!F$45</f>
        <v>3282.25550655079</v>
      </c>
      <c r="G54" s="65" t="n">
        <f aca="false">G45-Payroll!G$45</f>
        <v>3288.34110797791</v>
      </c>
      <c r="H54" s="65" t="n">
        <f aca="false">H45-Payroll!H$45</f>
        <v>3294.43065103838</v>
      </c>
      <c r="I54" s="65" t="n">
        <f aca="false">I45-Payroll!I$45</f>
        <v>3347.56568910411</v>
      </c>
      <c r="J54" s="65" t="n">
        <f aca="false">J45-Payroll!J$45</f>
        <v>3400.72202332902</v>
      </c>
      <c r="K54" s="65" t="n">
        <f aca="false">K45-Payroll!K$45</f>
        <v>3453.89837594355</v>
      </c>
      <c r="L54" s="65" t="n">
        <f aca="false">L45-Payroll!L$45</f>
        <v>3507.09354584432</v>
      </c>
      <c r="M54" s="65" t="n">
        <f aca="false">M45-Payroll!M$45</f>
        <v>3560.30640399416</v>
      </c>
      <c r="N54" s="65" t="n">
        <f aca="false">N45-Payroll!N$45</f>
        <v>3613.53588909813</v>
      </c>
      <c r="O54" s="64" t="n">
        <f aca="false">SUM(P54:AA54)</f>
        <v>115868.662333068</v>
      </c>
      <c r="P54" s="65" t="n">
        <f aca="false">P45-Payroll!P$45</f>
        <v>9120.57261585229</v>
      </c>
      <c r="Q54" s="65" t="n">
        <f aca="false">Q45-Payroll!Q$45</f>
        <v>9191.33624325093</v>
      </c>
      <c r="R54" s="65" t="n">
        <f aca="false">R45-Payroll!R$45</f>
        <v>9276.34131583166</v>
      </c>
      <c r="S54" s="65" t="n">
        <f aca="false">S45-Payroll!S$45</f>
        <v>9374.15325820364</v>
      </c>
      <c r="T54" s="65" t="n">
        <f aca="false">T45-Payroll!T$45</f>
        <v>9475.93828779299</v>
      </c>
      <c r="U54" s="65" t="n">
        <f aca="false">U45-Payroll!U$45</f>
        <v>9577.77137805186</v>
      </c>
      <c r="V54" s="65" t="n">
        <f aca="false">V45-Payroll!V$45</f>
        <v>9689.13476238271</v>
      </c>
      <c r="W54" s="65" t="n">
        <f aca="false">W45-Payroll!W$45</f>
        <v>9800.53834352804</v>
      </c>
      <c r="X54" s="65" t="n">
        <f aca="false">X45-Payroll!X$45</f>
        <v>9911.97970967898</v>
      </c>
      <c r="Y54" s="65" t="n">
        <f aca="false">Y45-Payroll!Y$45</f>
        <v>10031.7910555479</v>
      </c>
      <c r="Z54" s="65" t="n">
        <f aca="false">Z45-Payroll!Z$45</f>
        <v>10150.6838558675</v>
      </c>
      <c r="AA54" s="65" t="n">
        <f aca="false">AA45-Payroll!AA$45</f>
        <v>10268.4215070794</v>
      </c>
      <c r="AB54" s="64" t="n">
        <f aca="false">SUM(AC54:AN54)</f>
        <v>224730.605206557</v>
      </c>
      <c r="AC54" s="65" t="n">
        <f aca="false">AC45-Payroll!AC$45</f>
        <v>18153.5528340654</v>
      </c>
      <c r="AD54" s="65" t="n">
        <f aca="false">AD45-Payroll!AD$45</f>
        <v>18172.2958714242</v>
      </c>
      <c r="AE54" s="65" t="n">
        <f aca="false">AE45-Payroll!AE$45</f>
        <v>18234.7148160531</v>
      </c>
      <c r="AF54" s="65" t="n">
        <f aca="false">AF45-Payroll!AF$45</f>
        <v>18373.0897942954</v>
      </c>
      <c r="AG54" s="65" t="n">
        <f aca="false">AG45-Payroll!AG$45</f>
        <v>18510.9374013631</v>
      </c>
      <c r="AH54" s="65" t="n">
        <f aca="false">AH45-Payroll!AH$45</f>
        <v>18648.8293477081</v>
      </c>
      <c r="AI54" s="65" t="n">
        <f aca="false">AI45-Payroll!AI$45</f>
        <v>18783.8097952471</v>
      </c>
      <c r="AJ54" s="65" t="n">
        <f aca="false">AJ45-Payroll!AJ$45</f>
        <v>18918.8332754728</v>
      </c>
      <c r="AK54" s="65" t="n">
        <f aca="false">AK45-Payroll!AK$45</f>
        <v>19050.0587282314</v>
      </c>
      <c r="AL54" s="65" t="n">
        <f aca="false">AL45-Payroll!AL$45</f>
        <v>19172.4213415803</v>
      </c>
      <c r="AM54" s="65" t="n">
        <f aca="false">AM45-Payroll!AM$45</f>
        <v>19294.8173249569</v>
      </c>
      <c r="AN54" s="65" t="n">
        <f aca="false">AN45-Payroll!AN$45</f>
        <v>19417.2446761595</v>
      </c>
      <c r="AO54" s="64" t="n">
        <f aca="false">SUM(AP54:BA54)</f>
        <v>338138.848123607</v>
      </c>
      <c r="AP54" s="65" t="n">
        <f aca="false">AP45-Payroll!AP$45</f>
        <v>27340.1388302912</v>
      </c>
      <c r="AQ54" s="65" t="n">
        <f aca="false">AQ45-Payroll!AQ$45</f>
        <v>27480.9754740772</v>
      </c>
      <c r="AR54" s="65" t="n">
        <f aca="false">AR45-Payroll!AR$45</f>
        <v>27621.4576189489</v>
      </c>
      <c r="AS54" s="65" t="n">
        <f aca="false">AS45-Payroll!AS$45</f>
        <v>27775.9876957267</v>
      </c>
      <c r="AT54" s="65" t="n">
        <f aca="false">AT45-Payroll!AT$45</f>
        <v>27932.6353527089</v>
      </c>
      <c r="AU54" s="65" t="n">
        <f aca="false">AU45-Payroll!AU$45</f>
        <v>28089.294540143</v>
      </c>
      <c r="AV54" s="65" t="n">
        <f aca="false">AV45-Payroll!AV$45</f>
        <v>28252.8095119301</v>
      </c>
      <c r="AW54" s="65" t="n">
        <f aca="false">AW45-Payroll!AW$45</f>
        <v>28416.3352813028</v>
      </c>
      <c r="AX54" s="65" t="n">
        <f aca="false">AX45-Payroll!AX$45</f>
        <v>28579.4823797011</v>
      </c>
      <c r="AY54" s="65" t="n">
        <f aca="false">AY45-Payroll!AY$45</f>
        <v>28731.3586398835</v>
      </c>
      <c r="AZ54" s="65" t="n">
        <f aca="false">AZ45-Payroll!AZ$45</f>
        <v>28883.2416865073</v>
      </c>
      <c r="BA54" s="65" t="n">
        <f aca="false">BA45-Payroll!BA$45</f>
        <v>29035.1311123861</v>
      </c>
      <c r="BB54" s="64" t="n">
        <f aca="false">SUM(BC54:BN54)</f>
        <v>454644.843909798</v>
      </c>
      <c r="BC54" s="65" t="n">
        <f aca="false">BC45-Payroll!BC$45</f>
        <v>36925.2173509446</v>
      </c>
      <c r="BD54" s="65" t="n">
        <f aca="false">BD45-Payroll!BD$45</f>
        <v>37089.0700170767</v>
      </c>
      <c r="BE54" s="65" t="n">
        <f aca="false">BE45-Payroll!BE$45</f>
        <v>37256.0725728279</v>
      </c>
      <c r="BF54" s="65" t="n">
        <f aca="false">BF45-Payroll!BF$45</f>
        <v>37437.8933446156</v>
      </c>
      <c r="BG54" s="65" t="n">
        <f aca="false">BG45-Payroll!BG$45</f>
        <v>37619.418062434</v>
      </c>
      <c r="BH54" s="65" t="n">
        <f aca="false">BH45-Payroll!BH$45</f>
        <v>37800.9366363997</v>
      </c>
      <c r="BI54" s="65" t="n">
        <f aca="false">BI45-Payroll!BI$45</f>
        <v>37982.1300445581</v>
      </c>
      <c r="BJ54" s="65" t="n">
        <f aca="false">BJ45-Payroll!BJ$45</f>
        <v>38163.3183837745</v>
      </c>
      <c r="BK54" s="65" t="n">
        <f aca="false">BK45-Payroll!BK$45</f>
        <v>38343.8606611775</v>
      </c>
      <c r="BL54" s="65" t="n">
        <f aca="false">BL45-Payroll!BL$45</f>
        <v>38509.7563077488</v>
      </c>
      <c r="BM54" s="65" t="n">
        <f aca="false">BM45-Payroll!BM$45</f>
        <v>38675.6445870687</v>
      </c>
      <c r="BN54" s="65" t="n">
        <f aca="false">BN45-Payroll!BN$45</f>
        <v>38841.5259411722</v>
      </c>
    </row>
    <row r="56" customFormat="false" ht="15" hidden="false" customHeight="false" outlineLevel="0" collapsed="false">
      <c r="A56" s="113" t="s">
        <v>841</v>
      </c>
      <c r="B56" s="19" t="n">
        <f aca="false">B51</f>
        <v>147821.240854012</v>
      </c>
      <c r="C56" s="22" t="s">
        <v>842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56</v>
      </c>
    </row>
    <row r="3" customFormat="false" ht="15" hidden="false" customHeight="false" outlineLevel="0" collapsed="false">
      <c r="B3" s="3"/>
      <c r="C3" s="3"/>
    </row>
    <row r="5" customFormat="false" ht="30" hidden="false" customHeight="true" outlineLevel="0" collapsed="false">
      <c r="B5" s="35" t="s">
        <v>843</v>
      </c>
      <c r="C5" s="36" t="s">
        <v>59</v>
      </c>
    </row>
    <row r="6" customFormat="false" ht="30" hidden="false" customHeight="true" outlineLevel="0" collapsed="false">
      <c r="B6" s="35" t="s">
        <v>844</v>
      </c>
      <c r="C6" s="36" t="s">
        <v>61</v>
      </c>
    </row>
    <row r="7" customFormat="false" ht="30" hidden="false" customHeight="true" outlineLevel="0" collapsed="false">
      <c r="B7" s="35" t="s">
        <v>845</v>
      </c>
      <c r="C7" s="36" t="s">
        <v>63</v>
      </c>
    </row>
    <row r="8" customFormat="false" ht="30" hidden="false" customHeight="true" outlineLevel="0" collapsed="false">
      <c r="B8" s="35" t="s">
        <v>846</v>
      </c>
      <c r="C8" s="36" t="s">
        <v>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8" min="3" style="0" width="15"/>
  </cols>
  <sheetData>
    <row r="1" customFormat="false" ht="24.75" hidden="false" customHeight="true" outlineLevel="0" collapsed="false">
      <c r="A1" s="14" t="s">
        <v>843</v>
      </c>
    </row>
    <row r="2" customFormat="false" ht="13.5" hidden="false" customHeight="true" outlineLevel="0" collapsed="false">
      <c r="A2" s="6" t="s">
        <v>847</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848</v>
      </c>
      <c r="B5" s="15"/>
      <c r="C5" s="15"/>
      <c r="D5" s="15"/>
      <c r="E5" s="15"/>
      <c r="F5" s="15"/>
      <c r="G5" s="15"/>
      <c r="H5" s="15"/>
      <c r="I5" s="15"/>
      <c r="J5" s="15"/>
    </row>
    <row r="6" customFormat="false" ht="15" hidden="false" customHeight="false" outlineLevel="0" collapsed="false">
      <c r="A6" s="16"/>
      <c r="B6" s="16"/>
      <c r="C6" s="17" t="s">
        <v>81</v>
      </c>
      <c r="D6" s="17" t="s">
        <v>82</v>
      </c>
      <c r="E6" s="17" t="s">
        <v>83</v>
      </c>
      <c r="F6" s="17" t="s">
        <v>84</v>
      </c>
      <c r="G6" s="17" t="s">
        <v>85</v>
      </c>
    </row>
    <row r="7" customFormat="false" ht="15" hidden="false" customHeight="false" outlineLevel="0" collapsed="false">
      <c r="A7" s="18" t="s">
        <v>86</v>
      </c>
      <c r="B7" s="22" t="s">
        <v>849</v>
      </c>
      <c r="C7" s="117" t="n">
        <f aca="false">'Total Revenue'!B$25</f>
        <v>102742.065586255</v>
      </c>
      <c r="D7" s="117" t="n">
        <f aca="false">'Total Revenue'!O$25</f>
        <v>364280.89031635</v>
      </c>
      <c r="E7" s="117" t="n">
        <f aca="false">'Total Revenue'!AB$25</f>
        <v>752581.26389205</v>
      </c>
      <c r="F7" s="117" t="n">
        <f aca="false">'Total Revenue'!AO$25</f>
        <v>1316610.92668284</v>
      </c>
      <c r="G7" s="117" t="n">
        <f aca="false">'Total Revenue'!BB$25</f>
        <v>2001223.1961932</v>
      </c>
    </row>
    <row r="8" customFormat="false" ht="15" hidden="false" customHeight="false" outlineLevel="0" collapsed="false">
      <c r="A8" s="37" t="s">
        <v>850</v>
      </c>
      <c r="D8" s="118" t="n">
        <f aca="false">IFERROR(D7/C7-1,0)</f>
        <v>2.5455865933562</v>
      </c>
      <c r="E8" s="118" t="n">
        <f aca="false">IFERROR(E7/D7-1,0)</f>
        <v>1.06593670954985</v>
      </c>
      <c r="F8" s="118" t="n">
        <f aca="false">IFERROR(F7/E7-1,0)</f>
        <v>0.749460144508323</v>
      </c>
      <c r="G8" s="118" t="n">
        <f aca="false">IFERROR(G7/F7-1,0)</f>
        <v>0.519980698652725</v>
      </c>
    </row>
    <row r="9" customFormat="false" ht="15" hidden="false" customHeight="false" outlineLevel="0" collapsed="false">
      <c r="A9" s="12" t="s">
        <v>851</v>
      </c>
      <c r="B9" s="22" t="s">
        <v>852</v>
      </c>
      <c r="C9" s="20" t="n">
        <f aca="false">Expenses!B$24</f>
        <v>43199.4355574125</v>
      </c>
      <c r="D9" s="20" t="n">
        <f aca="false">Expenses!O$24</f>
        <v>139117.376350987</v>
      </c>
      <c r="E9" s="20" t="n">
        <f aca="false">Expenses!AB$24</f>
        <v>289077.917661554</v>
      </c>
      <c r="F9" s="20" t="n">
        <f aca="false">Expenses!AO$24</f>
        <v>513142.073439817</v>
      </c>
      <c r="G9" s="20" t="n">
        <f aca="false">Expenses!BB$24</f>
        <v>798111.966133418</v>
      </c>
    </row>
    <row r="10" customFormat="false" ht="15" hidden="false" customHeight="false" outlineLevel="0" collapsed="false">
      <c r="A10" s="18" t="s">
        <v>87</v>
      </c>
      <c r="C10" s="117" t="n">
        <f aca="false">Expenses!B$25</f>
        <v>59542.6300288428</v>
      </c>
      <c r="D10" s="117" t="n">
        <f aca="false">Expenses!O$25</f>
        <v>225163.513965362</v>
      </c>
      <c r="E10" s="117" t="n">
        <f aca="false">Expenses!AB$25</f>
        <v>463503.346230496</v>
      </c>
      <c r="F10" s="117" t="n">
        <f aca="false">Expenses!AO$25</f>
        <v>803468.853243025</v>
      </c>
      <c r="G10" s="117" t="n">
        <f aca="false">Expenses!BB$25</f>
        <v>1203111.23005978</v>
      </c>
    </row>
    <row r="11" customFormat="false" ht="15" hidden="false" customHeight="false" outlineLevel="0" collapsed="false">
      <c r="A11" s="37" t="s">
        <v>853</v>
      </c>
      <c r="C11" s="118" t="n">
        <f aca="false">IFERROR(C10/C7,0)</f>
        <v>0.579535068611745</v>
      </c>
      <c r="D11" s="118" t="n">
        <f aca="false">IFERROR(D10/D7,0)</f>
        <v>0.618104105789973</v>
      </c>
      <c r="E11" s="118" t="n">
        <f aca="false">IFERROR(E10/E7,0)</f>
        <v>0.615884780114565</v>
      </c>
      <c r="F11" s="118" t="n">
        <f aca="false">IFERROR(F10/F7,0)</f>
        <v>0.61025534344253</v>
      </c>
      <c r="G11" s="118" t="n">
        <f aca="false">IFERROR(G10/G7,0)</f>
        <v>0.601187929636426</v>
      </c>
    </row>
    <row r="13" customFormat="false" ht="15" hidden="false" customHeight="false" outlineLevel="0" collapsed="false">
      <c r="A13" s="113" t="s">
        <v>854</v>
      </c>
    </row>
    <row r="14" customFormat="false" ht="15" hidden="false" customHeight="false" outlineLevel="0" collapsed="false">
      <c r="A14" s="12" t="s">
        <v>855</v>
      </c>
      <c r="C14" s="20" t="n">
        <f aca="false">Expenses!B$30</f>
        <v>60984</v>
      </c>
      <c r="D14" s="20" t="n">
        <f aca="false">Expenses!O$30</f>
        <v>127512</v>
      </c>
      <c r="E14" s="20" t="n">
        <f aca="false">Expenses!AB$30</f>
        <v>216216</v>
      </c>
      <c r="F14" s="20" t="n">
        <f aca="false">Expenses!AO$30</f>
        <v>297990</v>
      </c>
      <c r="G14" s="20" t="n">
        <f aca="false">Expenses!BB$30</f>
        <v>374220</v>
      </c>
    </row>
    <row r="15" customFormat="false" ht="15" hidden="false" customHeight="false" outlineLevel="0" collapsed="false">
      <c r="A15" s="12" t="s">
        <v>856</v>
      </c>
      <c r="C15" s="20" t="n">
        <f aca="false">Expenses!B$31</f>
        <v>4080.08482362407</v>
      </c>
      <c r="D15" s="20" t="n">
        <f aca="false">Expenses!O$31</f>
        <v>14440.0509523188</v>
      </c>
      <c r="E15" s="20" t="n">
        <f aca="false">Expenses!AB$31</f>
        <v>29681.8240685994</v>
      </c>
      <c r="F15" s="20" t="n">
        <f aca="false">Expenses!AO$31</f>
        <v>51766.1367073485</v>
      </c>
      <c r="G15" s="20" t="n">
        <f aca="false">Expenses!BB$31</f>
        <v>78526.9861281479</v>
      </c>
    </row>
    <row r="16" customFormat="false" ht="15" hidden="false" customHeight="false" outlineLevel="0" collapsed="false">
      <c r="A16" s="12" t="s">
        <v>857</v>
      </c>
      <c r="C16" s="20" t="n">
        <f aca="false">Expenses!B$32</f>
        <v>6060</v>
      </c>
      <c r="D16" s="20" t="n">
        <f aca="false">Expenses!O$32</f>
        <v>23340</v>
      </c>
      <c r="E16" s="20" t="n">
        <f aca="false">Expenses!AB$32</f>
        <v>45720</v>
      </c>
      <c r="F16" s="20" t="n">
        <f aca="false">Expenses!AO$32</f>
        <v>60480</v>
      </c>
      <c r="G16" s="20" t="n">
        <f aca="false">Expenses!BB$32</f>
        <v>75240</v>
      </c>
    </row>
    <row r="17" customFormat="false" ht="15" hidden="false" customHeight="false" outlineLevel="0" collapsed="false">
      <c r="A17" s="12" t="s">
        <v>858</v>
      </c>
      <c r="C17" s="20" t="n">
        <f aca="false">Expenses!B$33</f>
        <v>4080</v>
      </c>
      <c r="D17" s="20" t="n">
        <f aca="false">Expenses!O$33</f>
        <v>14160</v>
      </c>
      <c r="E17" s="20" t="n">
        <f aca="false">Expenses!AB$33</f>
        <v>28800</v>
      </c>
      <c r="F17" s="20" t="n">
        <f aca="false">Expenses!AO$33</f>
        <v>44400</v>
      </c>
      <c r="G17" s="20" t="n">
        <f aca="false">Expenses!BB$33</f>
        <v>59400</v>
      </c>
    </row>
    <row r="18" customFormat="false" ht="15" hidden="false" customHeight="false" outlineLevel="0" collapsed="false">
      <c r="A18" s="12" t="s">
        <v>859</v>
      </c>
      <c r="C18" s="20" t="n">
        <f aca="false">Expenses!B$34</f>
        <v>1680</v>
      </c>
      <c r="D18" s="20" t="n">
        <f aca="false">Expenses!O$34</f>
        <v>5250</v>
      </c>
      <c r="E18" s="20" t="n">
        <f aca="false">Expenses!AB$34</f>
        <v>11550</v>
      </c>
      <c r="F18" s="20" t="n">
        <f aca="false">Expenses!AO$34</f>
        <v>18900</v>
      </c>
      <c r="G18" s="20" t="n">
        <f aca="false">Expenses!BB$34</f>
        <v>26250</v>
      </c>
    </row>
    <row r="19" customFormat="false" ht="15" hidden="false" customHeight="false" outlineLevel="0" collapsed="false">
      <c r="A19" s="12" t="s">
        <v>860</v>
      </c>
      <c r="C19" s="20" t="n">
        <f aca="false">Expenses!B$35</f>
        <v>4680</v>
      </c>
      <c r="D19" s="20" t="n">
        <f aca="false">Expenses!O$35</f>
        <v>9180</v>
      </c>
      <c r="E19" s="20" t="n">
        <f aca="false">Expenses!AB$35</f>
        <v>14400</v>
      </c>
      <c r="F19" s="20" t="n">
        <f aca="false">Expenses!AO$35</f>
        <v>21120</v>
      </c>
      <c r="G19" s="20" t="n">
        <f aca="false">Expenses!BB$35</f>
        <v>28800</v>
      </c>
    </row>
    <row r="20" customFormat="false" ht="15" hidden="false" customHeight="false" outlineLevel="0" collapsed="false">
      <c r="A20" s="12" t="s">
        <v>861</v>
      </c>
      <c r="C20" s="20" t="n">
        <f aca="false">Expenses!B$36</f>
        <v>1440</v>
      </c>
      <c r="D20" s="20" t="n">
        <f aca="false">Expenses!O$36</f>
        <v>2700</v>
      </c>
      <c r="E20" s="20" t="n">
        <f aca="false">Expenses!AB$36</f>
        <v>4032</v>
      </c>
      <c r="F20" s="20" t="n">
        <f aca="false">Expenses!AO$36</f>
        <v>5760</v>
      </c>
      <c r="G20" s="20" t="n">
        <f aca="false">Expenses!BB$36</f>
        <v>7680</v>
      </c>
    </row>
    <row r="21" customFormat="false" ht="15" hidden="false" customHeight="false" outlineLevel="0" collapsed="false">
      <c r="A21" s="12" t="s">
        <v>862</v>
      </c>
      <c r="C21" s="20" t="n">
        <f aca="false">Expenses!B$37</f>
        <v>1895.6478333626</v>
      </c>
      <c r="D21" s="20" t="n">
        <f aca="false">Expenses!O$37</f>
        <v>4917.81667563122</v>
      </c>
      <c r="E21" s="20" t="n">
        <f aca="false">Expenses!AB$37</f>
        <v>11067.2963223211</v>
      </c>
      <c r="F21" s="20" t="n">
        <f aca="false">Expenses!AO$37</f>
        <v>18366.2172576581</v>
      </c>
      <c r="G21" s="20" t="n">
        <f aca="false">Expenses!BB$37</f>
        <v>25188.4407081966</v>
      </c>
    </row>
    <row r="22" customFormat="false" ht="15" hidden="false" customHeight="false" outlineLevel="0" collapsed="false">
      <c r="A22" s="12" t="s">
        <v>863</v>
      </c>
      <c r="C22" s="20" t="n">
        <f aca="false">Expenses!B$38</f>
        <v>3960</v>
      </c>
      <c r="D22" s="20" t="n">
        <f aca="false">Expenses!O$38</f>
        <v>7560</v>
      </c>
      <c r="E22" s="20" t="n">
        <f aca="false">Expenses!AB$38</f>
        <v>11520</v>
      </c>
      <c r="F22" s="20" t="n">
        <f aca="false">Expenses!AO$38</f>
        <v>16320</v>
      </c>
      <c r="G22" s="20" t="n">
        <f aca="false">Expenses!BB$38</f>
        <v>21600</v>
      </c>
    </row>
    <row r="23" customFormat="false" ht="15" hidden="false" customHeight="false" outlineLevel="0" collapsed="false">
      <c r="A23" s="12" t="s">
        <v>864</v>
      </c>
      <c r="C23" s="20" t="n">
        <f aca="false">Expenses!B$39</f>
        <v>2880</v>
      </c>
      <c r="D23" s="20" t="n">
        <f aca="false">Expenses!O$39</f>
        <v>8640</v>
      </c>
      <c r="E23" s="20" t="n">
        <f aca="false">Expenses!AB$39</f>
        <v>15840</v>
      </c>
      <c r="F23" s="20" t="n">
        <f aca="false">Expenses!AO$39</f>
        <v>23040</v>
      </c>
      <c r="G23" s="20" t="n">
        <f aca="false">Expenses!BB$39</f>
        <v>31200</v>
      </c>
    </row>
    <row r="24" customFormat="false" ht="15" hidden="false" customHeight="false" outlineLevel="0" collapsed="false">
      <c r="A24" s="12" t="s">
        <v>865</v>
      </c>
      <c r="C24" s="20" t="n">
        <f aca="false">Expenses!B$40</f>
        <v>3960</v>
      </c>
      <c r="D24" s="20" t="n">
        <f aca="false">Expenses!O$40</f>
        <v>9600</v>
      </c>
      <c r="E24" s="20" t="n">
        <f aca="false">Expenses!AB$40</f>
        <v>16800</v>
      </c>
      <c r="F24" s="20" t="n">
        <f aca="false">Expenses!AO$40</f>
        <v>22800</v>
      </c>
      <c r="G24" s="20" t="n">
        <f aca="false">Expenses!BB$40</f>
        <v>27600</v>
      </c>
    </row>
    <row r="25" customFormat="false" ht="15" hidden="false" customHeight="false" outlineLevel="0" collapsed="false">
      <c r="A25" s="12" t="s">
        <v>866</v>
      </c>
      <c r="C25" s="20" t="n">
        <f aca="false">Expenses!B$41</f>
        <v>480</v>
      </c>
      <c r="D25" s="20" t="n">
        <f aca="false">Expenses!O$41</f>
        <v>2160</v>
      </c>
      <c r="E25" s="20" t="n">
        <f aca="false">Expenses!AB$41</f>
        <v>5400</v>
      </c>
      <c r="F25" s="20" t="n">
        <f aca="false">Expenses!AO$41</f>
        <v>8400</v>
      </c>
      <c r="G25" s="20" t="n">
        <f aca="false">Expenses!BB$41</f>
        <v>10800</v>
      </c>
    </row>
    <row r="26" customFormat="false" ht="15" hidden="false" customHeight="false" outlineLevel="0" collapsed="false">
      <c r="A26" s="12" t="s">
        <v>867</v>
      </c>
      <c r="C26" s="20" t="n">
        <f aca="false">Expenses!B$42</f>
        <v>0</v>
      </c>
      <c r="D26" s="20" t="n">
        <f aca="false">Expenses!O$42</f>
        <v>2400</v>
      </c>
      <c r="E26" s="20" t="n">
        <f aca="false">Expenses!AB$42</f>
        <v>9600</v>
      </c>
      <c r="F26" s="20" t="n">
        <f aca="false">Expenses!AO$42</f>
        <v>18000</v>
      </c>
      <c r="G26" s="20" t="n">
        <f aca="false">Expenses!BB$42</f>
        <v>25200</v>
      </c>
    </row>
    <row r="27" customFormat="false" ht="15" hidden="false" customHeight="false" outlineLevel="0" collapsed="false">
      <c r="A27" s="12" t="s">
        <v>868</v>
      </c>
      <c r="C27" s="20" t="n">
        <f aca="false">Expenses!B$43</f>
        <v>1320</v>
      </c>
      <c r="D27" s="20" t="n">
        <f aca="false">Expenses!O$43</f>
        <v>2160</v>
      </c>
      <c r="E27" s="20" t="n">
        <f aca="false">Expenses!AB$43</f>
        <v>3360</v>
      </c>
      <c r="F27" s="20" t="n">
        <f aca="false">Expenses!AO$43</f>
        <v>4320</v>
      </c>
      <c r="G27" s="20" t="n">
        <f aca="false">Expenses!BB$43</f>
        <v>5280</v>
      </c>
    </row>
    <row r="28" customFormat="false" ht="15" hidden="false" customHeight="false" outlineLevel="0" collapsed="false">
      <c r="A28" s="12" t="s">
        <v>869</v>
      </c>
      <c r="C28" s="20" t="n">
        <f aca="false">Expenses!B$44</f>
        <v>3899.98930627947</v>
      </c>
      <c r="D28" s="20" t="n">
        <f aca="false">Expenses!O$44</f>
        <v>9360.794705118</v>
      </c>
      <c r="E28" s="20" t="n">
        <f aca="false">Expenses!AB$44</f>
        <v>16959.4848156368</v>
      </c>
      <c r="F28" s="20" t="n">
        <f aca="false">Expenses!AO$44</f>
        <v>24466.4941586003</v>
      </c>
      <c r="G28" s="20" t="n">
        <f aca="false">Expenses!BB$44</f>
        <v>31879.4170734538</v>
      </c>
    </row>
    <row r="29" customFormat="false" ht="15" hidden="false" customHeight="false" outlineLevel="0" collapsed="false">
      <c r="A29" s="18" t="s">
        <v>870</v>
      </c>
      <c r="C29" s="117" t="n">
        <f aca="false">Expenses!B$45</f>
        <v>101399.721963266</v>
      </c>
      <c r="D29" s="117" t="n">
        <f aca="false">Expenses!O$45</f>
        <v>243380.662333068</v>
      </c>
      <c r="E29" s="117" t="n">
        <f aca="false">Expenses!AB$45</f>
        <v>440946.605206557</v>
      </c>
      <c r="F29" s="117" t="n">
        <f aca="false">Expenses!AO$45</f>
        <v>636128.848123607</v>
      </c>
      <c r="G29" s="117" t="n">
        <f aca="false">Expenses!BB$45</f>
        <v>828864.843909798</v>
      </c>
    </row>
    <row r="30" customFormat="false" ht="15" hidden="false" customHeight="false" outlineLevel="0" collapsed="false">
      <c r="A30" s="18" t="s">
        <v>88</v>
      </c>
      <c r="C30" s="119" t="n">
        <f aca="false">Expenses!B$52</f>
        <v>-41857.0919344233</v>
      </c>
      <c r="D30" s="119" t="n">
        <f aca="false">Expenses!O$52</f>
        <v>-18217.1483677056</v>
      </c>
      <c r="E30" s="119" t="n">
        <f aca="false">Expenses!AB$52</f>
        <v>22556.741023939</v>
      </c>
      <c r="F30" s="119" t="n">
        <f aca="false">Expenses!AO$52</f>
        <v>167340.005119419</v>
      </c>
      <c r="G30" s="119" t="n">
        <f aca="false">Expenses!BB$52</f>
        <v>374246.386149982</v>
      </c>
    </row>
    <row r="31" customFormat="false" ht="15" hidden="false" customHeight="false" outlineLevel="0" collapsed="false">
      <c r="A31" s="37" t="s">
        <v>871</v>
      </c>
      <c r="C31" s="118" t="n">
        <f aca="false">IFERROR(C30/C7,0)</f>
        <v>-0.407399750974278</v>
      </c>
      <c r="D31" s="118" t="n">
        <f aca="false">IFERROR(D30/D7,0)</f>
        <v>-0.0500085204905626</v>
      </c>
      <c r="E31" s="118" t="n">
        <f aca="false">IFERROR(E30/E7,0)</f>
        <v>0.0299724987933988</v>
      </c>
      <c r="F31" s="118" t="n">
        <f aca="false">IFERROR(F30/F7,0)</f>
        <v>0.127099055406616</v>
      </c>
      <c r="G31" s="118" t="n">
        <f aca="false">IFERROR(G30/G7,0)</f>
        <v>0.187008818837343</v>
      </c>
    </row>
    <row r="32" customFormat="false" ht="15" hidden="false" customHeight="false" outlineLevel="0" collapsed="false">
      <c r="A32" s="12" t="s">
        <v>836</v>
      </c>
      <c r="C32" s="20" t="n">
        <f aca="false">Expenses!B$46</f>
        <v>3222.08333333333</v>
      </c>
      <c r="D32" s="20" t="n">
        <f aca="false">Expenses!O$46</f>
        <v>4603.125</v>
      </c>
      <c r="E32" s="20" t="n">
        <f aca="false">Expenses!AB$46</f>
        <v>7388.95833333333</v>
      </c>
      <c r="F32" s="20" t="n">
        <f aca="false">Expenses!AO$46</f>
        <v>8524.16666666667</v>
      </c>
      <c r="G32" s="20" t="n">
        <f aca="false">Expenses!BB$46</f>
        <v>8745</v>
      </c>
    </row>
    <row r="33" customFormat="false" ht="15" hidden="false" customHeight="false" outlineLevel="0" collapsed="false">
      <c r="A33" s="18" t="s">
        <v>839</v>
      </c>
      <c r="C33" s="117" t="n">
        <f aca="false">Expenses!B$53</f>
        <v>-45079.1752677567</v>
      </c>
      <c r="D33" s="117" t="n">
        <f aca="false">Expenses!O$53</f>
        <v>-22820.2733677056</v>
      </c>
      <c r="E33" s="117" t="n">
        <f aca="false">Expenses!AB$53</f>
        <v>15167.7826906056</v>
      </c>
      <c r="F33" s="117" t="n">
        <f aca="false">Expenses!AO$53</f>
        <v>158815.838452752</v>
      </c>
      <c r="G33" s="117" t="n">
        <f aca="false">Expenses!BB$53</f>
        <v>365501.386149982</v>
      </c>
    </row>
    <row r="35" customFormat="false" ht="15" hidden="false" customHeight="false" outlineLevel="0" collapsed="false">
      <c r="A35" s="18" t="s">
        <v>872</v>
      </c>
      <c r="B35" s="22" t="s">
        <v>873</v>
      </c>
      <c r="C35" s="19" t="n">
        <f aca="false">C33</f>
        <v>-45079.1752677567</v>
      </c>
      <c r="D35" s="19" t="n">
        <f aca="false">D33</f>
        <v>-22820.2733677056</v>
      </c>
      <c r="E35" s="19" t="n">
        <f aca="false">E33</f>
        <v>15167.7826906056</v>
      </c>
      <c r="F35" s="19" t="n">
        <f aca="false">F33</f>
        <v>158815.838452752</v>
      </c>
      <c r="G35" s="19" t="n">
        <f aca="false">G33</f>
        <v>365501.386149982</v>
      </c>
    </row>
    <row r="36" customFormat="false" ht="15" hidden="false" customHeight="false" outlineLevel="0" collapsed="false">
      <c r="A36" s="12" t="s">
        <v>874</v>
      </c>
      <c r="B36" s="22" t="s">
        <v>875</v>
      </c>
      <c r="C36" s="120" t="n">
        <f aca="false">'Assumption Setting'!$C$213</f>
        <v>0</v>
      </c>
      <c r="D36" s="120" t="n">
        <f aca="false">C37</f>
        <v>45079.1752677567</v>
      </c>
      <c r="E36" s="120" t="n">
        <f aca="false">D37</f>
        <v>67899.4486354622</v>
      </c>
      <c r="F36" s="120" t="n">
        <f aca="false">E37</f>
        <v>52731.6659448566</v>
      </c>
      <c r="G36" s="120" t="n">
        <f aca="false">F37</f>
        <v>0</v>
      </c>
    </row>
    <row r="37" customFormat="false" ht="15" hidden="false" customHeight="false" outlineLevel="0" collapsed="false">
      <c r="A37" s="12" t="s">
        <v>876</v>
      </c>
      <c r="C37" s="120" t="n">
        <f aca="false">MAX(0,C36-MAX(0,C35))+MAX(0,-C35)</f>
        <v>45079.1752677567</v>
      </c>
      <c r="D37" s="120" t="n">
        <f aca="false">MAX(0,D36-MAX(0,D35))+MAX(0,-D35)</f>
        <v>67899.4486354622</v>
      </c>
      <c r="E37" s="120" t="n">
        <f aca="false">MAX(0,E36-MAX(0,E35))+MAX(0,-E35)</f>
        <v>52731.6659448566</v>
      </c>
      <c r="F37" s="120" t="n">
        <f aca="false">MAX(0,F36-MAX(0,F35))+MAX(0,-F35)</f>
        <v>0</v>
      </c>
      <c r="G37" s="120" t="n">
        <f aca="false">MAX(0,G36-MAX(0,G35))+MAX(0,-G35)</f>
        <v>0</v>
      </c>
    </row>
    <row r="38" customFormat="false" ht="15" hidden="false" customHeight="false" outlineLevel="0" collapsed="false">
      <c r="A38" s="12" t="s">
        <v>877</v>
      </c>
      <c r="C38" s="120" t="n">
        <f aca="false">MAX(0,C35-C36)</f>
        <v>0</v>
      </c>
      <c r="D38" s="120" t="n">
        <f aca="false">MAX(0,D35-D36)</f>
        <v>0</v>
      </c>
      <c r="E38" s="120" t="n">
        <f aca="false">MAX(0,E35-E36)</f>
        <v>0</v>
      </c>
      <c r="F38" s="120" t="n">
        <f aca="false">MAX(0,F35-F36)</f>
        <v>106084.172507895</v>
      </c>
      <c r="G38" s="120" t="n">
        <f aca="false">MAX(0,G35-G36)</f>
        <v>365501.386149982</v>
      </c>
    </row>
    <row r="39" customFormat="false" ht="15" hidden="false" customHeight="false" outlineLevel="0" collapsed="false">
      <c r="A39" s="12" t="s">
        <v>878</v>
      </c>
      <c r="C39" s="120" t="n">
        <f aca="false">-C38*'Assumption Setting'!$C$211</f>
        <v>-0</v>
      </c>
      <c r="D39" s="120" t="n">
        <f aca="false">-D38*'Assumption Setting'!$C$211</f>
        <v>-0</v>
      </c>
      <c r="E39" s="120" t="n">
        <f aca="false">-E38*'Assumption Setting'!$C$211</f>
        <v>-0</v>
      </c>
      <c r="F39" s="120" t="n">
        <f aca="false">-F38*'Assumption Setting'!$C$211</f>
        <v>-23868.9388142764</v>
      </c>
      <c r="G39" s="120" t="n">
        <f aca="false">-G38*'Assumption Setting'!$C$211</f>
        <v>-82237.8118837459</v>
      </c>
    </row>
    <row r="40" customFormat="false" ht="15" hidden="false" customHeight="false" outlineLevel="0" collapsed="false">
      <c r="A40" s="18" t="s">
        <v>879</v>
      </c>
      <c r="C40" s="119" t="n">
        <f aca="false">C35+C39</f>
        <v>-45079.1752677567</v>
      </c>
      <c r="D40" s="119" t="n">
        <f aca="false">D35+D39</f>
        <v>-22820.2733677056</v>
      </c>
      <c r="E40" s="119" t="n">
        <f aca="false">E35+E39</f>
        <v>15167.7826906056</v>
      </c>
      <c r="F40" s="119" t="n">
        <f aca="false">F35+F39</f>
        <v>134946.899638475</v>
      </c>
      <c r="G40" s="119" t="n">
        <f aca="false">G35+G39</f>
        <v>283263.574266236</v>
      </c>
    </row>
    <row r="41" customFormat="false" ht="15" hidden="false" customHeight="false" outlineLevel="0" collapsed="false">
      <c r="A41" s="37" t="s">
        <v>880</v>
      </c>
      <c r="C41" s="118" t="n">
        <f aca="false">IFERROR(C40/C7,0)</f>
        <v>-0.438760647944256</v>
      </c>
      <c r="D41" s="118" t="n">
        <f aca="false">IFERROR(D40/D7,0)</f>
        <v>-0.0626447172342418</v>
      </c>
      <c r="E41" s="118" t="n">
        <f aca="false">IFERROR(E40/E7,0)</f>
        <v>0.0201543453422743</v>
      </c>
      <c r="F41" s="118" t="n">
        <f aca="false">IFERROR(F40/F7,0)</f>
        <v>0.102495655249095</v>
      </c>
      <c r="G41" s="118" t="n">
        <f aca="false">IFERROR(G40/G7,0)</f>
        <v>0.141545218346994</v>
      </c>
    </row>
    <row r="43" customFormat="false" ht="15" hidden="false" customHeight="false" outlineLevel="0" collapsed="false">
      <c r="A43" s="18" t="s">
        <v>90</v>
      </c>
      <c r="C43" s="19" t="n">
        <f aca="false">Expenses!B$51</f>
        <v>147821.240854012</v>
      </c>
      <c r="D43" s="19" t="n">
        <f aca="false">Expenses!O$51</f>
        <v>387101.163684055</v>
      </c>
      <c r="E43" s="19" t="n">
        <f aca="false">Expenses!AB$51</f>
        <v>737413.481201444</v>
      </c>
      <c r="F43" s="19" t="n">
        <f aca="false">Expenses!AO$51</f>
        <v>1157795.08823009</v>
      </c>
      <c r="G43" s="19" t="n">
        <f aca="false">Expenses!BB$51</f>
        <v>1635721.81004322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4"/>
    <col collapsed="false" customWidth="true" hidden="false" outlineLevel="0" max="8" min="3" style="0" width="15"/>
  </cols>
  <sheetData>
    <row r="1" customFormat="false" ht="24.75" hidden="false" customHeight="true" outlineLevel="0" collapsed="false">
      <c r="A1" s="14" t="s">
        <v>844</v>
      </c>
    </row>
    <row r="2" customFormat="false" ht="13.5" hidden="false" customHeight="true" outlineLevel="0" collapsed="false">
      <c r="A2" s="6" t="s">
        <v>881</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882</v>
      </c>
      <c r="B5" s="15"/>
      <c r="C5" s="15"/>
      <c r="D5" s="15"/>
      <c r="E5" s="15"/>
      <c r="F5" s="15"/>
      <c r="G5" s="15"/>
      <c r="H5" s="15"/>
      <c r="I5" s="15"/>
      <c r="J5" s="15"/>
    </row>
    <row r="6" customFormat="false" ht="15" hidden="false" customHeight="false" outlineLevel="0" collapsed="false">
      <c r="A6" s="16"/>
      <c r="B6" s="16"/>
      <c r="C6" s="17" t="s">
        <v>883</v>
      </c>
      <c r="D6" s="17" t="s">
        <v>81</v>
      </c>
      <c r="E6" s="17" t="s">
        <v>82</v>
      </c>
      <c r="F6" s="17" t="s">
        <v>83</v>
      </c>
      <c r="G6" s="17" t="s">
        <v>84</v>
      </c>
      <c r="H6" s="17" t="s">
        <v>85</v>
      </c>
    </row>
    <row r="7" customFormat="false" ht="15" hidden="false" customHeight="false" outlineLevel="0" collapsed="false">
      <c r="A7" s="12" t="s">
        <v>884</v>
      </c>
      <c r="B7" s="22" t="s">
        <v>885</v>
      </c>
      <c r="C7" s="120" t="n">
        <f aca="false">Actuals!$C$6</f>
        <v>50000</v>
      </c>
      <c r="D7" s="120" t="n">
        <f aca="false">'Cash Flow Statement'!N$35</f>
        <v>126522.049229629</v>
      </c>
      <c r="E7" s="120" t="n">
        <f aca="false">'Cash Flow Statement'!AA$35</f>
        <v>62207.5733685357</v>
      </c>
      <c r="F7" s="120" t="n">
        <f aca="false">'Cash Flow Statement'!AN$35</f>
        <v>29736.6080497957</v>
      </c>
      <c r="G7" s="120" t="n">
        <f aca="false">'Cash Flow Statement'!BA$35</f>
        <v>124384.681530383</v>
      </c>
      <c r="H7" s="120" t="n">
        <f aca="false">'Cash Flow Statement'!BN$35</f>
        <v>390499.035742713</v>
      </c>
    </row>
    <row r="8" customFormat="false" ht="15" hidden="false" customHeight="false" outlineLevel="0" collapsed="false">
      <c r="A8" s="12" t="s">
        <v>548</v>
      </c>
      <c r="B8" s="22" t="s">
        <v>886</v>
      </c>
      <c r="C8" s="120" t="n">
        <f aca="false">Actuals!$C$7</f>
        <v>0</v>
      </c>
      <c r="D8" s="120" t="n">
        <f aca="false">'Cash Flow Statement'!N$14</f>
        <v>35813.0643935571</v>
      </c>
      <c r="E8" s="120" t="n">
        <f aca="false">'Cash Flow Statement'!AA$14</f>
        <v>111218.520083062</v>
      </c>
      <c r="F8" s="120" t="n">
        <f aca="false">'Cash Flow Statement'!AN$14</f>
        <v>194820.518084345</v>
      </c>
      <c r="G8" s="120" t="n">
        <f aca="false">'Cash Flow Statement'!BA$14</f>
        <v>319692.064635302</v>
      </c>
      <c r="H8" s="120" t="n">
        <f aca="false">'Cash Flow Statement'!BN$14</f>
        <v>464723.145087222</v>
      </c>
    </row>
    <row r="9" customFormat="false" ht="15" hidden="false" customHeight="false" outlineLevel="0" collapsed="false">
      <c r="A9" s="12" t="s">
        <v>550</v>
      </c>
      <c r="B9" s="22" t="s">
        <v>887</v>
      </c>
      <c r="C9" s="120" t="n">
        <f aca="false">Actuals!$C$8</f>
        <v>0</v>
      </c>
      <c r="D9" s="120" t="n">
        <f aca="false">'Depreciation and Amortization'!N$44</f>
        <v>6607.91666666667</v>
      </c>
      <c r="E9" s="120" t="n">
        <f aca="false">'Depreciation and Amortization'!AA$44</f>
        <v>5844.79166666667</v>
      </c>
      <c r="F9" s="120" t="n">
        <f aca="false">'Depreciation and Amortization'!AN$44</f>
        <v>12295.8333333333</v>
      </c>
      <c r="G9" s="120" t="n">
        <f aca="false">'Depreciation and Amortization'!BA$44</f>
        <v>8691.66666666666</v>
      </c>
      <c r="H9" s="120" t="n">
        <f aca="false">'Depreciation and Amortization'!BN$44</f>
        <v>4866.66666666667</v>
      </c>
    </row>
    <row r="10" customFormat="false" ht="15" hidden="false" customHeight="false" outlineLevel="0" collapsed="false">
      <c r="A10" s="12" t="s">
        <v>552</v>
      </c>
      <c r="B10" s="22" t="s">
        <v>888</v>
      </c>
      <c r="C10" s="120" t="n">
        <f aca="false">Actuals!$C$9</f>
        <v>0</v>
      </c>
      <c r="D10" s="120" t="n">
        <f aca="false">'Depreciation and Amortization'!N$45</f>
        <v>2450</v>
      </c>
      <c r="E10" s="120" t="n">
        <f aca="false">'Depreciation and Amortization'!AA$45</f>
        <v>1850</v>
      </c>
      <c r="F10" s="120" t="n">
        <f aca="false">'Depreciation and Amortization'!AN$45</f>
        <v>1250</v>
      </c>
      <c r="G10" s="120" t="n">
        <f aca="false">'Depreciation and Amortization'!BA$45</f>
        <v>650</v>
      </c>
      <c r="H10" s="120" t="n">
        <f aca="false">'Depreciation and Amortization'!BN$45</f>
        <v>50</v>
      </c>
    </row>
    <row r="11" customFormat="false" ht="15" hidden="false" customHeight="false" outlineLevel="0" collapsed="false">
      <c r="A11" s="18" t="s">
        <v>889</v>
      </c>
      <c r="C11" s="117" t="n">
        <f aca="false">SUM(C7:C10)</f>
        <v>50000</v>
      </c>
      <c r="D11" s="117" t="n">
        <f aca="false">SUM(D7:D10)</f>
        <v>171393.030289853</v>
      </c>
      <c r="E11" s="117" t="n">
        <f aca="false">SUM(E7:E10)</f>
        <v>181120.885118264</v>
      </c>
      <c r="F11" s="117" t="n">
        <f aca="false">SUM(F7:F10)</f>
        <v>238102.959467474</v>
      </c>
      <c r="G11" s="117" t="n">
        <f aca="false">SUM(G7:G10)</f>
        <v>453418.412832352</v>
      </c>
      <c r="H11" s="117" t="n">
        <f aca="false">SUM(H7:H10)</f>
        <v>860138.847496602</v>
      </c>
    </row>
    <row r="13" customFormat="false" ht="15" hidden="false" customHeight="false" outlineLevel="0" collapsed="false">
      <c r="A13" s="12" t="s">
        <v>555</v>
      </c>
      <c r="C13" s="120" t="n">
        <f aca="false">Actuals!$C$12</f>
        <v>0</v>
      </c>
      <c r="D13" s="120" t="n">
        <f aca="false">'Cash Flow Statement'!N$15</f>
        <v>10536.2442433909</v>
      </c>
      <c r="E13" s="120" t="n">
        <f aca="false">'Cash Flow Statement'!AA$15</f>
        <v>31201.0090556486</v>
      </c>
      <c r="F13" s="120" t="n">
        <f aca="false">'Cash Flow Statement'!AN$15</f>
        <v>57667.3195661499</v>
      </c>
      <c r="G13" s="120" t="n">
        <f aca="false">'Cash Flow Statement'!BA$15</f>
        <v>92903.7775060544</v>
      </c>
      <c r="H13" s="120" t="n">
        <f aca="false">'Cash Flow Statement'!BN$15</f>
        <v>133356.129554178</v>
      </c>
    </row>
    <row r="14" customFormat="false" ht="15" hidden="false" customHeight="false" outlineLevel="0" collapsed="false">
      <c r="A14" s="12" t="s">
        <v>557</v>
      </c>
      <c r="C14" s="120" t="n">
        <f aca="false">Actuals!$C$13</f>
        <v>0</v>
      </c>
      <c r="D14" s="120" t="n">
        <f aca="false">'Cash Flow Statement'!N$16</f>
        <v>1694</v>
      </c>
      <c r="E14" s="120" t="n">
        <f aca="false">'Cash Flow Statement'!AA$16</f>
        <v>3542</v>
      </c>
      <c r="F14" s="120" t="n">
        <f aca="false">'Cash Flow Statement'!AN$16</f>
        <v>6006</v>
      </c>
      <c r="G14" s="120" t="n">
        <f aca="false">'Cash Flow Statement'!BA$16</f>
        <v>8277.5</v>
      </c>
      <c r="H14" s="120" t="n">
        <f aca="false">'Cash Flow Statement'!BN$16</f>
        <v>10395</v>
      </c>
    </row>
    <row r="15" customFormat="false" ht="15" hidden="false" customHeight="false" outlineLevel="0" collapsed="false">
      <c r="A15" s="12" t="s">
        <v>559</v>
      </c>
      <c r="B15" s="22" t="s">
        <v>890</v>
      </c>
      <c r="C15" s="120" t="n">
        <f aca="false">Actuals!$C$14</f>
        <v>0</v>
      </c>
      <c r="D15" s="120" t="n">
        <f aca="false">'Cash Flow Statement'!N$17</f>
        <v>4241.96131421898</v>
      </c>
      <c r="E15" s="120" t="n">
        <f aca="false">'Cash Flow Statement'!AA$17</f>
        <v>14277.3246980778</v>
      </c>
      <c r="F15" s="120" t="n">
        <f aca="false">'Cash Flow Statement'!AN$17</f>
        <v>27161.3058461803</v>
      </c>
      <c r="G15" s="120" t="n">
        <f aca="false">'Cash Flow Statement'!BA$17</f>
        <v>46152.962818402</v>
      </c>
      <c r="H15" s="120" t="n">
        <f aca="false">'Cash Flow Statement'!BN$17</f>
        <v>68671.0980988234</v>
      </c>
    </row>
    <row r="16" customFormat="false" ht="15" hidden="false" customHeight="false" outlineLevel="0" collapsed="false">
      <c r="A16" s="12" t="s">
        <v>561</v>
      </c>
      <c r="B16" s="22" t="s">
        <v>891</v>
      </c>
      <c r="C16" s="120" t="n">
        <f aca="false">Actuals!$C$15</f>
        <v>0</v>
      </c>
      <c r="D16" s="120" t="n">
        <f aca="false">'Cash Flow Statement'!N$18</f>
        <v>0</v>
      </c>
      <c r="E16" s="120" t="n">
        <f aca="false">'Cash Flow Statement'!AA$18</f>
        <v>0</v>
      </c>
      <c r="F16" s="120" t="n">
        <f aca="false">'Cash Flow Statement'!AN$18</f>
        <v>0</v>
      </c>
      <c r="G16" s="120" t="n">
        <f aca="false">'Cash Flow Statement'!BA$18</f>
        <v>23868.9388142764</v>
      </c>
      <c r="H16" s="120" t="n">
        <f aca="false">'Cash Flow Statement'!BN$18</f>
        <v>82237.8118837459</v>
      </c>
    </row>
    <row r="17" customFormat="false" ht="15" hidden="false" customHeight="false" outlineLevel="0" collapsed="false">
      <c r="A17" s="18" t="s">
        <v>892</v>
      </c>
      <c r="C17" s="117" t="n">
        <f aca="false">SUM(C13:C16)</f>
        <v>0</v>
      </c>
      <c r="D17" s="117" t="n">
        <f aca="false">SUM(D13:D16)</f>
        <v>16472.2055576099</v>
      </c>
      <c r="E17" s="117" t="n">
        <f aca="false">SUM(E13:E16)</f>
        <v>49020.3337537264</v>
      </c>
      <c r="F17" s="117" t="n">
        <f aca="false">SUM(F13:F16)</f>
        <v>90834.6254123301</v>
      </c>
      <c r="G17" s="117" t="n">
        <f aca="false">SUM(G13:G16)</f>
        <v>171203.179138733</v>
      </c>
      <c r="H17" s="117" t="n">
        <f aca="false">SUM(H13:H16)</f>
        <v>294660.039536747</v>
      </c>
    </row>
    <row r="19" customFormat="false" ht="15" hidden="false" customHeight="false" outlineLevel="0" collapsed="false">
      <c r="A19" s="12" t="s">
        <v>893</v>
      </c>
      <c r="B19" s="22" t="s">
        <v>894</v>
      </c>
      <c r="C19" s="120" t="n">
        <f aca="false">Actuals!$C$16</f>
        <v>50000</v>
      </c>
      <c r="D19" s="120" t="n">
        <f aca="false">'Assumption Setting'!$C$18+IF(12&gt;='Assumption Setting'!$C$206,'Assumption Setting'!$C$205,0)</f>
        <v>200000</v>
      </c>
      <c r="E19" s="120" t="n">
        <f aca="false">'Assumption Setting'!$C$18+IF(24&gt;='Assumption Setting'!$C$206,'Assumption Setting'!$C$205,0)</f>
        <v>200000</v>
      </c>
      <c r="F19" s="120" t="n">
        <f aca="false">'Assumption Setting'!$C$18+IF(36&gt;='Assumption Setting'!$C$206,'Assumption Setting'!$C$205,0)</f>
        <v>200000</v>
      </c>
      <c r="G19" s="120" t="n">
        <f aca="false">'Assumption Setting'!$C$18+IF(48&gt;='Assumption Setting'!$C$206,'Assumption Setting'!$C$205,0)</f>
        <v>200000</v>
      </c>
      <c r="H19" s="120" t="n">
        <f aca="false">'Assumption Setting'!$C$18+IF(60&gt;='Assumption Setting'!$C$206,'Assumption Setting'!$C$205,0)</f>
        <v>200000</v>
      </c>
    </row>
    <row r="20" customFormat="false" ht="15" hidden="false" customHeight="false" outlineLevel="0" collapsed="false">
      <c r="A20" s="12" t="s">
        <v>565</v>
      </c>
      <c r="B20" s="22" t="s">
        <v>895</v>
      </c>
      <c r="C20" s="120" t="n">
        <f aca="false">Actuals!$C$17</f>
        <v>0</v>
      </c>
      <c r="D20" s="120" t="n">
        <f aca="false">'Income Statement'!$C$40</f>
        <v>-45079.1752677567</v>
      </c>
      <c r="E20" s="120" t="n">
        <f aca="false">'Income Statement'!$C$40+'Income Statement'!$D$40</f>
        <v>-67899.4486354622</v>
      </c>
      <c r="F20" s="120" t="n">
        <f aca="false">'Income Statement'!$C$40+'Income Statement'!$D$40+'Income Statement'!$E$40</f>
        <v>-52731.6659448566</v>
      </c>
      <c r="G20" s="120" t="n">
        <f aca="false">'Income Statement'!$C$40+'Income Statement'!$D$40+'Income Statement'!$E$40+'Income Statement'!$F$40</f>
        <v>82215.2336936189</v>
      </c>
      <c r="H20" s="120" t="n">
        <f aca="false">'Income Statement'!$C$40+'Income Statement'!$D$40+'Income Statement'!$E$40+'Income Statement'!$F$40+'Income Statement'!$G$40</f>
        <v>365478.807959855</v>
      </c>
    </row>
    <row r="21" customFormat="false" ht="15" hidden="false" customHeight="false" outlineLevel="0" collapsed="false">
      <c r="A21" s="18" t="s">
        <v>896</v>
      </c>
      <c r="C21" s="117" t="n">
        <f aca="false">C19+C20</f>
        <v>50000</v>
      </c>
      <c r="D21" s="117" t="n">
        <f aca="false">D19+D20</f>
        <v>154920.824732243</v>
      </c>
      <c r="E21" s="117" t="n">
        <f aca="false">E19+E20</f>
        <v>132100.551364538</v>
      </c>
      <c r="F21" s="117" t="n">
        <f aca="false">F19+F20</f>
        <v>147268.334055143</v>
      </c>
      <c r="G21" s="117" t="n">
        <f aca="false">G19+G20</f>
        <v>282215.233693619</v>
      </c>
      <c r="H21" s="117" t="n">
        <f aca="false">H19+H20</f>
        <v>565478.807959855</v>
      </c>
    </row>
    <row r="22" customFormat="false" ht="15" hidden="false" customHeight="false" outlineLevel="0" collapsed="false">
      <c r="A22" s="18" t="s">
        <v>897</v>
      </c>
      <c r="C22" s="119" t="n">
        <f aca="false">C17+C21</f>
        <v>50000</v>
      </c>
      <c r="D22" s="119" t="n">
        <f aca="false">D17+D21</f>
        <v>171393.030289853</v>
      </c>
      <c r="E22" s="119" t="n">
        <f aca="false">E17+E21</f>
        <v>181120.885118264</v>
      </c>
      <c r="F22" s="119" t="n">
        <f aca="false">F17+F21</f>
        <v>238102.959467474</v>
      </c>
      <c r="G22" s="119" t="n">
        <f aca="false">G17+G21</f>
        <v>453418.412832352</v>
      </c>
      <c r="H22" s="119" t="n">
        <f aca="false">H17+H21</f>
        <v>860138.847496602</v>
      </c>
    </row>
    <row r="24" customFormat="false" ht="15" hidden="false" customHeight="false" outlineLevel="0" collapsed="false">
      <c r="A24" s="18" t="s">
        <v>898</v>
      </c>
      <c r="B24" s="22" t="s">
        <v>899</v>
      </c>
      <c r="C24" s="23" t="n">
        <f aca="false">C11-C22</f>
        <v>0</v>
      </c>
      <c r="D24" s="23" t="n">
        <f aca="false">D11-D22</f>
        <v>0</v>
      </c>
      <c r="E24" s="23" t="n">
        <f aca="false">E11-E22</f>
        <v>0</v>
      </c>
      <c r="F24" s="23" t="n">
        <f aca="false">F11-F22</f>
        <v>0</v>
      </c>
      <c r="G24" s="23" t="n">
        <f aca="false">G11-G22</f>
        <v>0</v>
      </c>
      <c r="H24" s="23" t="n">
        <f aca="false">H11-H22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13.5"/>
    <col collapsed="false" customWidth="true" hidden="false" outlineLevel="0" max="14" min="3" style="0" width="10"/>
    <col collapsed="false" customWidth="true" hidden="false" outlineLevel="0" max="15" min="15" style="0" width="13.5"/>
    <col collapsed="false" customWidth="true" hidden="false" outlineLevel="0" max="27" min="16" style="0" width="10"/>
    <col collapsed="false" customWidth="true" hidden="false" outlineLevel="0" max="28" min="28" style="0" width="13.5"/>
    <col collapsed="false" customWidth="true" hidden="false" outlineLevel="0" max="40" min="29" style="0" width="10"/>
    <col collapsed="false" customWidth="true" hidden="false" outlineLevel="0" max="41" min="41" style="0" width="13.5"/>
    <col collapsed="false" customWidth="true" hidden="false" outlineLevel="0" max="53" min="42" style="0" width="10"/>
    <col collapsed="false" customWidth="true" hidden="false" outlineLevel="0" max="54" min="54" style="0" width="13.5"/>
    <col collapsed="false" customWidth="true" hidden="false" outlineLevel="0" max="66" min="55" style="0" width="10"/>
  </cols>
  <sheetData>
    <row r="1" customFormat="false" ht="24.75" hidden="false" customHeight="true" outlineLevel="0" collapsed="false">
      <c r="A1" s="14" t="s">
        <v>845</v>
      </c>
    </row>
    <row r="2" customFormat="false" ht="13.5" hidden="false" customHeight="true" outlineLevel="0" collapsed="false">
      <c r="A2" s="6" t="s">
        <v>900</v>
      </c>
    </row>
    <row r="3" customFormat="false" ht="3.75" hidden="false" customHeight="true" outlineLevel="0" collapsed="false">
      <c r="A3" s="3"/>
      <c r="B3" s="3"/>
      <c r="C3" s="3"/>
      <c r="D3" s="3"/>
      <c r="E3" s="3"/>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row>
    <row r="5" customFormat="false" ht="16.5" hidden="false" customHeight="true" outlineLevel="0" collapsed="false">
      <c r="A5" s="15" t="s">
        <v>901</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row>
    <row r="6" customFormat="false" ht="15" hidden="false" customHeight="true" outlineLevel="0" collapsed="false">
      <c r="A6" s="26" t="s">
        <v>481</v>
      </c>
      <c r="B6" s="61" t="s">
        <v>81</v>
      </c>
      <c r="C6" s="62" t="s">
        <v>482</v>
      </c>
      <c r="D6" s="62" t="s">
        <v>483</v>
      </c>
      <c r="E6" s="62" t="s">
        <v>484</v>
      </c>
      <c r="F6" s="62" t="s">
        <v>485</v>
      </c>
      <c r="G6" s="62" t="s">
        <v>486</v>
      </c>
      <c r="H6" s="62" t="s">
        <v>487</v>
      </c>
      <c r="I6" s="62" t="s">
        <v>488</v>
      </c>
      <c r="J6" s="62" t="s">
        <v>489</v>
      </c>
      <c r="K6" s="62" t="s">
        <v>490</v>
      </c>
      <c r="L6" s="62" t="s">
        <v>491</v>
      </c>
      <c r="M6" s="62" t="s">
        <v>492</v>
      </c>
      <c r="N6" s="62" t="s">
        <v>493</v>
      </c>
      <c r="O6" s="61" t="s">
        <v>82</v>
      </c>
      <c r="P6" s="63" t="s">
        <v>494</v>
      </c>
      <c r="Q6" s="63" t="s">
        <v>495</v>
      </c>
      <c r="R6" s="63" t="s">
        <v>496</v>
      </c>
      <c r="S6" s="63" t="s">
        <v>497</v>
      </c>
      <c r="T6" s="63" t="s">
        <v>498</v>
      </c>
      <c r="U6" s="63" t="s">
        <v>499</v>
      </c>
      <c r="V6" s="63" t="s">
        <v>500</v>
      </c>
      <c r="W6" s="63" t="s">
        <v>501</v>
      </c>
      <c r="X6" s="63" t="s">
        <v>502</v>
      </c>
      <c r="Y6" s="63" t="s">
        <v>503</v>
      </c>
      <c r="Z6" s="63" t="s">
        <v>504</v>
      </c>
      <c r="AA6" s="63" t="s">
        <v>505</v>
      </c>
      <c r="AB6" s="61" t="s">
        <v>83</v>
      </c>
      <c r="AC6" s="62" t="s">
        <v>506</v>
      </c>
      <c r="AD6" s="62" t="s">
        <v>507</v>
      </c>
      <c r="AE6" s="62" t="s">
        <v>508</v>
      </c>
      <c r="AF6" s="62" t="s">
        <v>509</v>
      </c>
      <c r="AG6" s="62" t="s">
        <v>510</v>
      </c>
      <c r="AH6" s="62" t="s">
        <v>511</v>
      </c>
      <c r="AI6" s="62" t="s">
        <v>512</v>
      </c>
      <c r="AJ6" s="62" t="s">
        <v>513</v>
      </c>
      <c r="AK6" s="62" t="s">
        <v>514</v>
      </c>
      <c r="AL6" s="62" t="s">
        <v>515</v>
      </c>
      <c r="AM6" s="62" t="s">
        <v>516</v>
      </c>
      <c r="AN6" s="62" t="s">
        <v>517</v>
      </c>
      <c r="AO6" s="61" t="s">
        <v>84</v>
      </c>
      <c r="AP6" s="63" t="s">
        <v>518</v>
      </c>
      <c r="AQ6" s="63" t="s">
        <v>519</v>
      </c>
      <c r="AR6" s="63" t="s">
        <v>520</v>
      </c>
      <c r="AS6" s="63" t="s">
        <v>521</v>
      </c>
      <c r="AT6" s="63" t="s">
        <v>522</v>
      </c>
      <c r="AU6" s="63" t="s">
        <v>523</v>
      </c>
      <c r="AV6" s="63" t="s">
        <v>524</v>
      </c>
      <c r="AW6" s="63" t="s">
        <v>525</v>
      </c>
      <c r="AX6" s="63" t="s">
        <v>526</v>
      </c>
      <c r="AY6" s="63" t="s">
        <v>527</v>
      </c>
      <c r="AZ6" s="63" t="s">
        <v>528</v>
      </c>
      <c r="BA6" s="63" t="s">
        <v>529</v>
      </c>
      <c r="BB6" s="61" t="s">
        <v>85</v>
      </c>
      <c r="BC6" s="62" t="s">
        <v>530</v>
      </c>
      <c r="BD6" s="62" t="s">
        <v>531</v>
      </c>
      <c r="BE6" s="62" t="s">
        <v>532</v>
      </c>
      <c r="BF6" s="62" t="s">
        <v>533</v>
      </c>
      <c r="BG6" s="62" t="s">
        <v>534</v>
      </c>
      <c r="BH6" s="62" t="s">
        <v>535</v>
      </c>
      <c r="BI6" s="62" t="s">
        <v>536</v>
      </c>
      <c r="BJ6" s="62" t="s">
        <v>537</v>
      </c>
      <c r="BK6" s="62" t="s">
        <v>538</v>
      </c>
      <c r="BL6" s="62" t="s">
        <v>539</v>
      </c>
      <c r="BM6" s="62" t="s">
        <v>540</v>
      </c>
      <c r="BN6" s="62" t="s">
        <v>541</v>
      </c>
    </row>
    <row r="7" customFormat="false" ht="15" hidden="false" customHeight="false" outlineLevel="0" collapsed="false">
      <c r="A7" s="12" t="s">
        <v>839</v>
      </c>
      <c r="B7" s="64" t="n">
        <f aca="false">SUM(C7:N7)</f>
        <v>-45079.1752677567</v>
      </c>
      <c r="C7" s="76" t="n">
        <f aca="false">Expenses!C$53</f>
        <v>-9774.07077948143</v>
      </c>
      <c r="D7" s="76" t="n">
        <f aca="false">Expenses!D$53</f>
        <v>-5631.44032933825</v>
      </c>
      <c r="E7" s="76" t="n">
        <f aca="false">Expenses!E$53</f>
        <v>-4768.86389068479</v>
      </c>
      <c r="F7" s="76" t="n">
        <f aca="false">Expenses!F$53</f>
        <v>-4644.11371314309</v>
      </c>
      <c r="G7" s="76" t="n">
        <f aca="false">Expenses!G$53</f>
        <v>-4537.12210834771</v>
      </c>
      <c r="H7" s="76" t="n">
        <f aca="false">Expenses!H$53</f>
        <v>-4429.76675691528</v>
      </c>
      <c r="I7" s="76" t="n">
        <f aca="false">Expenses!I$53</f>
        <v>-3789.52295647636</v>
      </c>
      <c r="J7" s="76" t="n">
        <f aca="false">Expenses!J$53</f>
        <v>-3028.15369913383</v>
      </c>
      <c r="K7" s="76" t="n">
        <f aca="false">Expenses!K$53</f>
        <v>-2265.65033537072</v>
      </c>
      <c r="L7" s="76" t="n">
        <f aca="false">Expenses!L$53</f>
        <v>-1502.00473464109</v>
      </c>
      <c r="M7" s="76" t="n">
        <f aca="false">Expenses!M$53</f>
        <v>-737.209254231765</v>
      </c>
      <c r="N7" s="76" t="n">
        <f aca="false">Expenses!N$53</f>
        <v>28.7432900076443</v>
      </c>
      <c r="O7" s="64" t="n">
        <f aca="false">SUM(P7:AA7)</f>
        <v>-22820.2733677056</v>
      </c>
      <c r="P7" s="76" t="n">
        <f aca="false">Expenses!P$53</f>
        <v>-9636.89485319523</v>
      </c>
      <c r="Q7" s="76" t="n">
        <f aca="false">Expenses!Q$53</f>
        <v>-8808.77691078812</v>
      </c>
      <c r="R7" s="76" t="n">
        <f aca="false">Expenses!R$53</f>
        <v>-7567.6496313893</v>
      </c>
      <c r="S7" s="76" t="n">
        <f aca="false">Expenses!S$53</f>
        <v>-6119.60141091526</v>
      </c>
      <c r="T7" s="76" t="n">
        <f aca="false">Expenses!T$53</f>
        <v>-4480.77839098212</v>
      </c>
      <c r="U7" s="76" t="n">
        <f aca="false">Expenses!U$53</f>
        <v>-3079.02532331133</v>
      </c>
      <c r="V7" s="76" t="n">
        <f aca="false">Expenses!V$53</f>
        <v>-1427.93247296817</v>
      </c>
      <c r="W7" s="76" t="n">
        <f aca="false">Expenses!W$53</f>
        <v>105.152453256297</v>
      </c>
      <c r="X7" s="76" t="n">
        <f aca="false">Expenses!X$53</f>
        <v>1880.24578145289</v>
      </c>
      <c r="Y7" s="76" t="n">
        <f aca="false">Expenses!Y$53</f>
        <v>3673.43923938207</v>
      </c>
      <c r="Z7" s="76" t="n">
        <f aca="false">Expenses!Z$53</f>
        <v>5446.7525485652</v>
      </c>
      <c r="AA7" s="76" t="n">
        <f aca="false">Expenses!AA$53</f>
        <v>7194.79560318747</v>
      </c>
      <c r="AB7" s="64" t="n">
        <f aca="false">SUM(AC7:AN7)</f>
        <v>15167.7826906056</v>
      </c>
      <c r="AC7" s="76" t="n">
        <f aca="false">Expenses!AC$53</f>
        <v>-6852.18738279079</v>
      </c>
      <c r="AD7" s="76" t="n">
        <f aca="false">Expenses!AD$53</f>
        <v>-6665.43247363783</v>
      </c>
      <c r="AE7" s="76" t="n">
        <f aca="false">Expenses!AE$53</f>
        <v>-5671.1501462261</v>
      </c>
      <c r="AF7" s="76" t="n">
        <f aca="false">Expenses!AF$53</f>
        <v>-3824.06055760569</v>
      </c>
      <c r="AG7" s="76" t="n">
        <f aca="false">Expenses!AG$53</f>
        <v>-1985.64406915753</v>
      </c>
      <c r="AH7" s="76" t="n">
        <f aca="false">Expenses!AH$53</f>
        <v>94.2285465321183</v>
      </c>
      <c r="AI7" s="76" t="n">
        <f aca="false">Expenses!AI$53</f>
        <v>2046.90212551541</v>
      </c>
      <c r="AJ7" s="76" t="n">
        <f aca="false">Expenses!AJ$53</f>
        <v>4001.34293448994</v>
      </c>
      <c r="AK7" s="76" t="n">
        <f aca="false">Expenses!AK$53</f>
        <v>5873.0991407458</v>
      </c>
      <c r="AL7" s="76" t="n">
        <f aca="false">Expenses!AL$53</f>
        <v>7597.20580498434</v>
      </c>
      <c r="AM7" s="76" t="n">
        <f aca="false">Expenses!AM$53</f>
        <v>9412.99587214953</v>
      </c>
      <c r="AN7" s="76" t="n">
        <f aca="false">Expenses!AN$53</f>
        <v>11140.4828956065</v>
      </c>
      <c r="AO7" s="64" t="n">
        <f aca="false">SUM(AP7:BA7)</f>
        <v>158815.838452752</v>
      </c>
      <c r="AP7" s="76" t="n">
        <f aca="false">Expenses!AP$53</f>
        <v>1860.87132832388</v>
      </c>
      <c r="AQ7" s="76" t="n">
        <f aca="false">Expenses!AQ$53</f>
        <v>3449.77291296298</v>
      </c>
      <c r="AR7" s="76" t="n">
        <f aca="false">Expenses!AR$53</f>
        <v>5489.31634582354</v>
      </c>
      <c r="AS7" s="76" t="n">
        <f aca="false">Expenses!AS$53</f>
        <v>7636.97580926573</v>
      </c>
      <c r="AT7" s="76" t="n">
        <f aca="false">Expenses!AT$53</f>
        <v>9822.98399959419</v>
      </c>
      <c r="AU7" s="76" t="n">
        <f aca="false">Expenses!AU$53</f>
        <v>11889.7823246564</v>
      </c>
      <c r="AV7" s="76" t="n">
        <f aca="false">Expenses!AV$53</f>
        <v>14266.3212473447</v>
      </c>
      <c r="AW7" s="76" t="n">
        <f aca="false">Expenses!AW$53</f>
        <v>16643.4950958905</v>
      </c>
      <c r="AX7" s="76" t="n">
        <f aca="false">Expenses!AX$53</f>
        <v>18774.8818097181</v>
      </c>
      <c r="AY7" s="76" t="n">
        <f aca="false">Expenses!AY$53</f>
        <v>20963.8990592056</v>
      </c>
      <c r="AZ7" s="76" t="n">
        <f aca="false">Expenses!AZ$53</f>
        <v>22913.5877828814</v>
      </c>
      <c r="BA7" s="76" t="n">
        <f aca="false">Expenses!BA$53</f>
        <v>25103.9507370848</v>
      </c>
      <c r="BB7" s="64" t="n">
        <f aca="false">SUM(BC7:BN7)</f>
        <v>365501.386149982</v>
      </c>
      <c r="BC7" s="76" t="n">
        <f aca="false">Expenses!BC$53</f>
        <v>17471.1871226112</v>
      </c>
      <c r="BD7" s="76" t="n">
        <f aca="false">Expenses!BD$53</f>
        <v>19536.3675777005</v>
      </c>
      <c r="BE7" s="76" t="n">
        <f aca="false">Expenses!BE$53</f>
        <v>21808.6883892034</v>
      </c>
      <c r="BF7" s="76" t="n">
        <f aca="false">Expenses!BF$53</f>
        <v>24160.0452585272</v>
      </c>
      <c r="BG7" s="76" t="n">
        <f aca="false">Expenses!BG$53</f>
        <v>26747.4780613501</v>
      </c>
      <c r="BH7" s="76" t="n">
        <f aca="false">Expenses!BH$53</f>
        <v>29126.2102439432</v>
      </c>
      <c r="BI7" s="76" t="n">
        <f aca="false">Expenses!BI$53</f>
        <v>31835.9196024778</v>
      </c>
      <c r="BJ7" s="76" t="n">
        <f aca="false">Expenses!BJ$53</f>
        <v>34306.9087496562</v>
      </c>
      <c r="BK7" s="76" t="n">
        <f aca="false">Expenses!BK$53</f>
        <v>36648.6607574004</v>
      </c>
      <c r="BL7" s="76" t="n">
        <f aca="false">Expenses!BL$53</f>
        <v>38991.2639100732</v>
      </c>
      <c r="BM7" s="76" t="n">
        <f aca="false">Expenses!BM$53</f>
        <v>41095.1142771905</v>
      </c>
      <c r="BN7" s="76" t="n">
        <f aca="false">Expenses!BN$53</f>
        <v>43773.542199848</v>
      </c>
    </row>
    <row r="8" customFormat="false" ht="15" hidden="false" customHeight="false" outlineLevel="0" collapsed="false">
      <c r="A8" s="12" t="s">
        <v>902</v>
      </c>
      <c r="B8" s="64" t="n">
        <f aca="false">SUM(C8:N8)</f>
        <v>0</v>
      </c>
      <c r="C8" s="76" t="n">
        <f aca="false">'Income Statement'!$C$39/12</f>
        <v>-0</v>
      </c>
      <c r="D8" s="76" t="n">
        <f aca="false">'Income Statement'!$C$39/12</f>
        <v>-0</v>
      </c>
      <c r="E8" s="76" t="n">
        <f aca="false">'Income Statement'!$C$39/12</f>
        <v>-0</v>
      </c>
      <c r="F8" s="76" t="n">
        <f aca="false">'Income Statement'!$C$39/12</f>
        <v>-0</v>
      </c>
      <c r="G8" s="76" t="n">
        <f aca="false">'Income Statement'!$C$39/12</f>
        <v>-0</v>
      </c>
      <c r="H8" s="76" t="n">
        <f aca="false">'Income Statement'!$C$39/12</f>
        <v>-0</v>
      </c>
      <c r="I8" s="76" t="n">
        <f aca="false">'Income Statement'!$C$39/12</f>
        <v>-0</v>
      </c>
      <c r="J8" s="76" t="n">
        <f aca="false">'Income Statement'!$C$39/12</f>
        <v>-0</v>
      </c>
      <c r="K8" s="76" t="n">
        <f aca="false">'Income Statement'!$C$39/12</f>
        <v>-0</v>
      </c>
      <c r="L8" s="76" t="n">
        <f aca="false">'Income Statement'!$C$39/12</f>
        <v>-0</v>
      </c>
      <c r="M8" s="76" t="n">
        <f aca="false">'Income Statement'!$C$39/12</f>
        <v>-0</v>
      </c>
      <c r="N8" s="76" t="n">
        <f aca="false">'Income Statement'!$C$39/12</f>
        <v>-0</v>
      </c>
      <c r="O8" s="64" t="n">
        <f aca="false">SUM(P8:AA8)</f>
        <v>0</v>
      </c>
      <c r="P8" s="76" t="n">
        <f aca="false">'Income Statement'!$D$39/12</f>
        <v>-0</v>
      </c>
      <c r="Q8" s="76" t="n">
        <f aca="false">'Income Statement'!$D$39/12</f>
        <v>-0</v>
      </c>
      <c r="R8" s="76" t="n">
        <f aca="false">'Income Statement'!$D$39/12</f>
        <v>-0</v>
      </c>
      <c r="S8" s="76" t="n">
        <f aca="false">'Income Statement'!$D$39/12</f>
        <v>-0</v>
      </c>
      <c r="T8" s="76" t="n">
        <f aca="false">'Income Statement'!$D$39/12</f>
        <v>-0</v>
      </c>
      <c r="U8" s="76" t="n">
        <f aca="false">'Income Statement'!$D$39/12</f>
        <v>-0</v>
      </c>
      <c r="V8" s="76" t="n">
        <f aca="false">'Income Statement'!$D$39/12</f>
        <v>-0</v>
      </c>
      <c r="W8" s="76" t="n">
        <f aca="false">'Income Statement'!$D$39/12</f>
        <v>-0</v>
      </c>
      <c r="X8" s="76" t="n">
        <f aca="false">'Income Statement'!$D$39/12</f>
        <v>-0</v>
      </c>
      <c r="Y8" s="76" t="n">
        <f aca="false">'Income Statement'!$D$39/12</f>
        <v>-0</v>
      </c>
      <c r="Z8" s="76" t="n">
        <f aca="false">'Income Statement'!$D$39/12</f>
        <v>-0</v>
      </c>
      <c r="AA8" s="76" t="n">
        <f aca="false">'Income Statement'!$D$39/12</f>
        <v>-0</v>
      </c>
      <c r="AB8" s="64" t="n">
        <f aca="false">SUM(AC8:AN8)</f>
        <v>0</v>
      </c>
      <c r="AC8" s="76" t="n">
        <f aca="false">'Income Statement'!$E$39/12</f>
        <v>-0</v>
      </c>
      <c r="AD8" s="76" t="n">
        <f aca="false">'Income Statement'!$E$39/12</f>
        <v>-0</v>
      </c>
      <c r="AE8" s="76" t="n">
        <f aca="false">'Income Statement'!$E$39/12</f>
        <v>-0</v>
      </c>
      <c r="AF8" s="76" t="n">
        <f aca="false">'Income Statement'!$E$39/12</f>
        <v>-0</v>
      </c>
      <c r="AG8" s="76" t="n">
        <f aca="false">'Income Statement'!$E$39/12</f>
        <v>-0</v>
      </c>
      <c r="AH8" s="76" t="n">
        <f aca="false">'Income Statement'!$E$39/12</f>
        <v>-0</v>
      </c>
      <c r="AI8" s="76" t="n">
        <f aca="false">'Income Statement'!$E$39/12</f>
        <v>-0</v>
      </c>
      <c r="AJ8" s="76" t="n">
        <f aca="false">'Income Statement'!$E$39/12</f>
        <v>-0</v>
      </c>
      <c r="AK8" s="76" t="n">
        <f aca="false">'Income Statement'!$E$39/12</f>
        <v>-0</v>
      </c>
      <c r="AL8" s="76" t="n">
        <f aca="false">'Income Statement'!$E$39/12</f>
        <v>-0</v>
      </c>
      <c r="AM8" s="76" t="n">
        <f aca="false">'Income Statement'!$E$39/12</f>
        <v>-0</v>
      </c>
      <c r="AN8" s="76" t="n">
        <f aca="false">'Income Statement'!$E$39/12</f>
        <v>-0</v>
      </c>
      <c r="AO8" s="64" t="n">
        <f aca="false">SUM(AP8:BA8)</f>
        <v>-23868.9388142764</v>
      </c>
      <c r="AP8" s="76" t="n">
        <f aca="false">'Income Statement'!$F$39/12</f>
        <v>-1989.07823452304</v>
      </c>
      <c r="AQ8" s="76" t="n">
        <f aca="false">'Income Statement'!$F$39/12</f>
        <v>-1989.07823452304</v>
      </c>
      <c r="AR8" s="76" t="n">
        <f aca="false">'Income Statement'!$F$39/12</f>
        <v>-1989.07823452304</v>
      </c>
      <c r="AS8" s="76" t="n">
        <f aca="false">'Income Statement'!$F$39/12</f>
        <v>-1989.07823452304</v>
      </c>
      <c r="AT8" s="76" t="n">
        <f aca="false">'Income Statement'!$F$39/12</f>
        <v>-1989.07823452304</v>
      </c>
      <c r="AU8" s="76" t="n">
        <f aca="false">'Income Statement'!$F$39/12</f>
        <v>-1989.07823452304</v>
      </c>
      <c r="AV8" s="76" t="n">
        <f aca="false">'Income Statement'!$F$39/12</f>
        <v>-1989.07823452304</v>
      </c>
      <c r="AW8" s="76" t="n">
        <f aca="false">'Income Statement'!$F$39/12</f>
        <v>-1989.07823452304</v>
      </c>
      <c r="AX8" s="76" t="n">
        <f aca="false">'Income Statement'!$F$39/12</f>
        <v>-1989.07823452304</v>
      </c>
      <c r="AY8" s="76" t="n">
        <f aca="false">'Income Statement'!$F$39/12</f>
        <v>-1989.07823452304</v>
      </c>
      <c r="AZ8" s="76" t="n">
        <f aca="false">'Income Statement'!$F$39/12</f>
        <v>-1989.07823452304</v>
      </c>
      <c r="BA8" s="76" t="n">
        <f aca="false">'Income Statement'!$F$39/12</f>
        <v>-1989.07823452304</v>
      </c>
      <c r="BB8" s="64" t="n">
        <f aca="false">SUM(BC8:BN8)</f>
        <v>-82237.8118837459</v>
      </c>
      <c r="BC8" s="76" t="n">
        <f aca="false">'Income Statement'!$G$39/12</f>
        <v>-6853.15099031216</v>
      </c>
      <c r="BD8" s="76" t="n">
        <f aca="false">'Income Statement'!$G$39/12</f>
        <v>-6853.15099031216</v>
      </c>
      <c r="BE8" s="76" t="n">
        <f aca="false">'Income Statement'!$G$39/12</f>
        <v>-6853.15099031216</v>
      </c>
      <c r="BF8" s="76" t="n">
        <f aca="false">'Income Statement'!$G$39/12</f>
        <v>-6853.15099031216</v>
      </c>
      <c r="BG8" s="76" t="n">
        <f aca="false">'Income Statement'!$G$39/12</f>
        <v>-6853.15099031216</v>
      </c>
      <c r="BH8" s="76" t="n">
        <f aca="false">'Income Statement'!$G$39/12</f>
        <v>-6853.15099031216</v>
      </c>
      <c r="BI8" s="76" t="n">
        <f aca="false">'Income Statement'!$G$39/12</f>
        <v>-6853.15099031216</v>
      </c>
      <c r="BJ8" s="76" t="n">
        <f aca="false">'Income Statement'!$G$39/12</f>
        <v>-6853.15099031216</v>
      </c>
      <c r="BK8" s="76" t="n">
        <f aca="false">'Income Statement'!$G$39/12</f>
        <v>-6853.15099031216</v>
      </c>
      <c r="BL8" s="76" t="n">
        <f aca="false">'Income Statement'!$G$39/12</f>
        <v>-6853.15099031216</v>
      </c>
      <c r="BM8" s="76" t="n">
        <f aca="false">'Income Statement'!$G$39/12</f>
        <v>-6853.15099031216</v>
      </c>
      <c r="BN8" s="76" t="n">
        <f aca="false">'Income Statement'!$G$39/12</f>
        <v>-6853.15099031216</v>
      </c>
    </row>
    <row r="9" customFormat="false" ht="15" hidden="false" customHeight="false" outlineLevel="0" collapsed="false">
      <c r="A9" s="18" t="s">
        <v>89</v>
      </c>
      <c r="B9" s="64" t="n">
        <f aca="false">SUM(C9:N9)</f>
        <v>-45079.1752677567</v>
      </c>
      <c r="C9" s="77" t="n">
        <f aca="false">C7+C8</f>
        <v>-9774.07077948143</v>
      </c>
      <c r="D9" s="77" t="n">
        <f aca="false">D7+D8</f>
        <v>-5631.44032933825</v>
      </c>
      <c r="E9" s="77" t="n">
        <f aca="false">E7+E8</f>
        <v>-4768.86389068479</v>
      </c>
      <c r="F9" s="77" t="n">
        <f aca="false">F7+F8</f>
        <v>-4644.11371314309</v>
      </c>
      <c r="G9" s="77" t="n">
        <f aca="false">G7+G8</f>
        <v>-4537.12210834771</v>
      </c>
      <c r="H9" s="77" t="n">
        <f aca="false">H7+H8</f>
        <v>-4429.76675691528</v>
      </c>
      <c r="I9" s="77" t="n">
        <f aca="false">I7+I8</f>
        <v>-3789.52295647636</v>
      </c>
      <c r="J9" s="77" t="n">
        <f aca="false">J7+J8</f>
        <v>-3028.15369913383</v>
      </c>
      <c r="K9" s="77" t="n">
        <f aca="false">K7+K8</f>
        <v>-2265.65033537072</v>
      </c>
      <c r="L9" s="77" t="n">
        <f aca="false">L7+L8</f>
        <v>-1502.00473464109</v>
      </c>
      <c r="M9" s="77" t="n">
        <f aca="false">M7+M8</f>
        <v>-737.209254231765</v>
      </c>
      <c r="N9" s="77" t="n">
        <f aca="false">N7+N8</f>
        <v>28.7432900076443</v>
      </c>
      <c r="O9" s="64" t="n">
        <f aca="false">SUM(P9:AA9)</f>
        <v>-22820.2733677056</v>
      </c>
      <c r="P9" s="77" t="n">
        <f aca="false">P7+P8</f>
        <v>-9636.89485319523</v>
      </c>
      <c r="Q9" s="77" t="n">
        <f aca="false">Q7+Q8</f>
        <v>-8808.77691078812</v>
      </c>
      <c r="R9" s="77" t="n">
        <f aca="false">R7+R8</f>
        <v>-7567.6496313893</v>
      </c>
      <c r="S9" s="77" t="n">
        <f aca="false">S7+S8</f>
        <v>-6119.60141091526</v>
      </c>
      <c r="T9" s="77" t="n">
        <f aca="false">T7+T8</f>
        <v>-4480.77839098212</v>
      </c>
      <c r="U9" s="77" t="n">
        <f aca="false">U7+U8</f>
        <v>-3079.02532331133</v>
      </c>
      <c r="V9" s="77" t="n">
        <f aca="false">V7+V8</f>
        <v>-1427.93247296817</v>
      </c>
      <c r="W9" s="77" t="n">
        <f aca="false">W7+W8</f>
        <v>105.152453256297</v>
      </c>
      <c r="X9" s="77" t="n">
        <f aca="false">X7+X8</f>
        <v>1880.24578145289</v>
      </c>
      <c r="Y9" s="77" t="n">
        <f aca="false">Y7+Y8</f>
        <v>3673.43923938207</v>
      </c>
      <c r="Z9" s="77" t="n">
        <f aca="false">Z7+Z8</f>
        <v>5446.7525485652</v>
      </c>
      <c r="AA9" s="77" t="n">
        <f aca="false">AA7+AA8</f>
        <v>7194.79560318747</v>
      </c>
      <c r="AB9" s="64" t="n">
        <f aca="false">SUM(AC9:AN9)</f>
        <v>15167.7826906056</v>
      </c>
      <c r="AC9" s="77" t="n">
        <f aca="false">AC7+AC8</f>
        <v>-6852.18738279079</v>
      </c>
      <c r="AD9" s="77" t="n">
        <f aca="false">AD7+AD8</f>
        <v>-6665.43247363783</v>
      </c>
      <c r="AE9" s="77" t="n">
        <f aca="false">AE7+AE8</f>
        <v>-5671.1501462261</v>
      </c>
      <c r="AF9" s="77" t="n">
        <f aca="false">AF7+AF8</f>
        <v>-3824.06055760569</v>
      </c>
      <c r="AG9" s="77" t="n">
        <f aca="false">AG7+AG8</f>
        <v>-1985.64406915753</v>
      </c>
      <c r="AH9" s="77" t="n">
        <f aca="false">AH7+AH8</f>
        <v>94.2285465321183</v>
      </c>
      <c r="AI9" s="77" t="n">
        <f aca="false">AI7+AI8</f>
        <v>2046.90212551541</v>
      </c>
      <c r="AJ9" s="77" t="n">
        <f aca="false">AJ7+AJ8</f>
        <v>4001.34293448994</v>
      </c>
      <c r="AK9" s="77" t="n">
        <f aca="false">AK7+AK8</f>
        <v>5873.0991407458</v>
      </c>
      <c r="AL9" s="77" t="n">
        <f aca="false">AL7+AL8</f>
        <v>7597.20580498434</v>
      </c>
      <c r="AM9" s="77" t="n">
        <f aca="false">AM7+AM8</f>
        <v>9412.99587214953</v>
      </c>
      <c r="AN9" s="77" t="n">
        <f aca="false">AN7+AN8</f>
        <v>11140.4828956065</v>
      </c>
      <c r="AO9" s="64" t="n">
        <f aca="false">SUM(AP9:BA9)</f>
        <v>134946.899638475</v>
      </c>
      <c r="AP9" s="77" t="n">
        <f aca="false">AP7+AP8</f>
        <v>-128.206906199161</v>
      </c>
      <c r="AQ9" s="77" t="n">
        <f aca="false">AQ7+AQ8</f>
        <v>1460.69467843994</v>
      </c>
      <c r="AR9" s="77" t="n">
        <f aca="false">AR7+AR8</f>
        <v>3500.2381113005</v>
      </c>
      <c r="AS9" s="77" t="n">
        <f aca="false">AS7+AS8</f>
        <v>5647.89757474269</v>
      </c>
      <c r="AT9" s="77" t="n">
        <f aca="false">AT7+AT8</f>
        <v>7833.90576507115</v>
      </c>
      <c r="AU9" s="77" t="n">
        <f aca="false">AU7+AU8</f>
        <v>9900.70409013339</v>
      </c>
      <c r="AV9" s="77" t="n">
        <f aca="false">AV7+AV8</f>
        <v>12277.2430128217</v>
      </c>
      <c r="AW9" s="77" t="n">
        <f aca="false">AW7+AW8</f>
        <v>14654.4168613674</v>
      </c>
      <c r="AX9" s="77" t="n">
        <f aca="false">AX7+AX8</f>
        <v>16785.8035751951</v>
      </c>
      <c r="AY9" s="77" t="n">
        <f aca="false">AY7+AY8</f>
        <v>18974.8208246826</v>
      </c>
      <c r="AZ9" s="77" t="n">
        <f aca="false">AZ7+AZ8</f>
        <v>20924.5095483584</v>
      </c>
      <c r="BA9" s="77" t="n">
        <f aca="false">BA7+BA8</f>
        <v>23114.8725025618</v>
      </c>
      <c r="BB9" s="64" t="n">
        <f aca="false">SUM(BC9:BN9)</f>
        <v>283263.574266236</v>
      </c>
      <c r="BC9" s="77" t="n">
        <f aca="false">BC7+BC8</f>
        <v>10618.0361322991</v>
      </c>
      <c r="BD9" s="77" t="n">
        <f aca="false">BD7+BD8</f>
        <v>12683.2165873883</v>
      </c>
      <c r="BE9" s="77" t="n">
        <f aca="false">BE7+BE8</f>
        <v>14955.5373988913</v>
      </c>
      <c r="BF9" s="77" t="n">
        <f aca="false">BF7+BF8</f>
        <v>17306.894268215</v>
      </c>
      <c r="BG9" s="77" t="n">
        <f aca="false">BG7+BG8</f>
        <v>19894.327071038</v>
      </c>
      <c r="BH9" s="77" t="n">
        <f aca="false">BH7+BH8</f>
        <v>22273.0592536311</v>
      </c>
      <c r="BI9" s="77" t="n">
        <f aca="false">BI7+BI8</f>
        <v>24982.7686121656</v>
      </c>
      <c r="BJ9" s="77" t="n">
        <f aca="false">BJ7+BJ8</f>
        <v>27453.7577593441</v>
      </c>
      <c r="BK9" s="77" t="n">
        <f aca="false">BK7+BK8</f>
        <v>29795.5097670882</v>
      </c>
      <c r="BL9" s="77" t="n">
        <f aca="false">BL7+BL8</f>
        <v>32138.112919761</v>
      </c>
      <c r="BM9" s="77" t="n">
        <f aca="false">BM7+BM8</f>
        <v>34241.9632868783</v>
      </c>
      <c r="BN9" s="77" t="n">
        <f aca="false">BN7+BN8</f>
        <v>36920.3912095358</v>
      </c>
    </row>
    <row r="10" customFormat="false" ht="15" hidden="false" customHeight="false" outlineLevel="0" collapsed="false">
      <c r="A10" s="12" t="s">
        <v>903</v>
      </c>
      <c r="B10" s="64" t="n">
        <f aca="false">SUM(C10:N10)</f>
        <v>3222.08333333333</v>
      </c>
      <c r="C10" s="76" t="n">
        <f aca="false">Expenses!C$46</f>
        <v>0</v>
      </c>
      <c r="D10" s="76" t="n">
        <f aca="false">Expenses!D$46</f>
        <v>251.25</v>
      </c>
      <c r="E10" s="76" t="n">
        <f aca="false">Expenses!E$46</f>
        <v>297.083333333333</v>
      </c>
      <c r="F10" s="76" t="n">
        <f aca="false">Expenses!F$46</f>
        <v>297.083333333333</v>
      </c>
      <c r="G10" s="76" t="n">
        <f aca="false">Expenses!G$46</f>
        <v>297.083333333333</v>
      </c>
      <c r="H10" s="76" t="n">
        <f aca="false">Expenses!H$46</f>
        <v>297.083333333333</v>
      </c>
      <c r="I10" s="76" t="n">
        <f aca="false">Expenses!I$46</f>
        <v>297.083333333333</v>
      </c>
      <c r="J10" s="76" t="n">
        <f aca="false">Expenses!J$46</f>
        <v>297.083333333333</v>
      </c>
      <c r="K10" s="76" t="n">
        <f aca="false">Expenses!K$46</f>
        <v>297.083333333333</v>
      </c>
      <c r="L10" s="76" t="n">
        <f aca="false">Expenses!L$46</f>
        <v>297.083333333333</v>
      </c>
      <c r="M10" s="76" t="n">
        <f aca="false">Expenses!M$46</f>
        <v>297.083333333333</v>
      </c>
      <c r="N10" s="76" t="n">
        <f aca="false">Expenses!N$46</f>
        <v>297.083333333333</v>
      </c>
      <c r="O10" s="64" t="n">
        <f aca="false">SUM(P10:AA10)</f>
        <v>4603.125</v>
      </c>
      <c r="P10" s="76" t="n">
        <f aca="false">Expenses!P$46</f>
        <v>297.083333333333</v>
      </c>
      <c r="Q10" s="76" t="n">
        <f aca="false">Expenses!Q$46</f>
        <v>391.458333333333</v>
      </c>
      <c r="R10" s="76" t="n">
        <f aca="false">Expenses!R$46</f>
        <v>391.458333333333</v>
      </c>
      <c r="S10" s="76" t="n">
        <f aca="false">Expenses!S$46</f>
        <v>391.458333333333</v>
      </c>
      <c r="T10" s="76" t="n">
        <f aca="false">Expenses!T$46</f>
        <v>391.458333333333</v>
      </c>
      <c r="U10" s="76" t="n">
        <f aca="false">Expenses!U$46</f>
        <v>391.458333333333</v>
      </c>
      <c r="V10" s="76" t="n">
        <f aca="false">Expenses!V$46</f>
        <v>391.458333333333</v>
      </c>
      <c r="W10" s="76" t="n">
        <f aca="false">Expenses!W$46</f>
        <v>391.458333333333</v>
      </c>
      <c r="X10" s="76" t="n">
        <f aca="false">Expenses!X$46</f>
        <v>391.458333333333</v>
      </c>
      <c r="Y10" s="76" t="n">
        <f aca="false">Expenses!Y$46</f>
        <v>391.458333333333</v>
      </c>
      <c r="Z10" s="76" t="n">
        <f aca="false">Expenses!Z$46</f>
        <v>391.458333333333</v>
      </c>
      <c r="AA10" s="76" t="n">
        <f aca="false">Expenses!AA$46</f>
        <v>391.458333333333</v>
      </c>
      <c r="AB10" s="64" t="n">
        <f aca="false">SUM(AC10:AN10)</f>
        <v>7388.95833333333</v>
      </c>
      <c r="AC10" s="76" t="n">
        <f aca="false">Expenses!AC$46</f>
        <v>391.458333333333</v>
      </c>
      <c r="AD10" s="76" t="n">
        <f aca="false">Expenses!AD$46</f>
        <v>652.5</v>
      </c>
      <c r="AE10" s="76" t="n">
        <f aca="false">Expenses!AE$46</f>
        <v>652.5</v>
      </c>
      <c r="AF10" s="76" t="n">
        <f aca="false">Expenses!AF$46</f>
        <v>652.5</v>
      </c>
      <c r="AG10" s="76" t="n">
        <f aca="false">Expenses!AG$46</f>
        <v>652.5</v>
      </c>
      <c r="AH10" s="76" t="n">
        <f aca="false">Expenses!AH$46</f>
        <v>652.5</v>
      </c>
      <c r="AI10" s="76" t="n">
        <f aca="false">Expenses!AI$46</f>
        <v>652.5</v>
      </c>
      <c r="AJ10" s="76" t="n">
        <f aca="false">Expenses!AJ$46</f>
        <v>652.5</v>
      </c>
      <c r="AK10" s="76" t="n">
        <f aca="false">Expenses!AK$46</f>
        <v>652.5</v>
      </c>
      <c r="AL10" s="76" t="n">
        <f aca="false">Expenses!AL$46</f>
        <v>652.5</v>
      </c>
      <c r="AM10" s="76" t="n">
        <f aca="false">Expenses!AM$46</f>
        <v>562.5</v>
      </c>
      <c r="AN10" s="76" t="n">
        <f aca="false">Expenses!AN$46</f>
        <v>562.5</v>
      </c>
      <c r="AO10" s="64" t="n">
        <f aca="false">SUM(AP10:BA10)</f>
        <v>8524.16666666667</v>
      </c>
      <c r="AP10" s="76" t="n">
        <f aca="false">Expenses!AP$46</f>
        <v>562.5</v>
      </c>
      <c r="AQ10" s="76" t="n">
        <f aca="false">Expenses!AQ$46</f>
        <v>778.333333333333</v>
      </c>
      <c r="AR10" s="76" t="n">
        <f aca="false">Expenses!AR$46</f>
        <v>778.333333333333</v>
      </c>
      <c r="AS10" s="76" t="n">
        <f aca="false">Expenses!AS$46</f>
        <v>778.333333333333</v>
      </c>
      <c r="AT10" s="76" t="n">
        <f aca="false">Expenses!AT$46</f>
        <v>778.333333333333</v>
      </c>
      <c r="AU10" s="76" t="n">
        <f aca="false">Expenses!AU$46</f>
        <v>778.333333333333</v>
      </c>
      <c r="AV10" s="76" t="n">
        <f aca="false">Expenses!AV$46</f>
        <v>778.333333333333</v>
      </c>
      <c r="AW10" s="76" t="n">
        <f aca="false">Expenses!AW$46</f>
        <v>658.333333333333</v>
      </c>
      <c r="AX10" s="76" t="n">
        <f aca="false">Expenses!AX$46</f>
        <v>658.333333333333</v>
      </c>
      <c r="AY10" s="76" t="n">
        <f aca="false">Expenses!AY$46</f>
        <v>658.333333333333</v>
      </c>
      <c r="AZ10" s="76" t="n">
        <f aca="false">Expenses!AZ$46</f>
        <v>658.333333333333</v>
      </c>
      <c r="BA10" s="76" t="n">
        <f aca="false">Expenses!BA$46</f>
        <v>658.333333333333</v>
      </c>
      <c r="BB10" s="64" t="n">
        <f aca="false">SUM(BC10:BN10)</f>
        <v>8745</v>
      </c>
      <c r="BC10" s="76" t="n">
        <f aca="false">Expenses!BC$46</f>
        <v>658.333333333333</v>
      </c>
      <c r="BD10" s="76" t="n">
        <f aca="false">Expenses!BD$46</f>
        <v>891.666666666667</v>
      </c>
      <c r="BE10" s="76" t="n">
        <f aca="false">Expenses!BE$46</f>
        <v>845.833333333333</v>
      </c>
      <c r="BF10" s="76" t="n">
        <f aca="false">Expenses!BF$46</f>
        <v>845.833333333333</v>
      </c>
      <c r="BG10" s="76" t="n">
        <f aca="false">Expenses!BG$46</f>
        <v>845.833333333333</v>
      </c>
      <c r="BH10" s="76" t="n">
        <f aca="false">Expenses!BH$46</f>
        <v>815.833333333333</v>
      </c>
      <c r="BI10" s="76" t="n">
        <f aca="false">Expenses!BI$46</f>
        <v>695.833333333333</v>
      </c>
      <c r="BJ10" s="76" t="n">
        <f aca="false">Expenses!BJ$46</f>
        <v>695.833333333333</v>
      </c>
      <c r="BK10" s="76" t="n">
        <f aca="false">Expenses!BK$46</f>
        <v>695.833333333333</v>
      </c>
      <c r="BL10" s="76" t="n">
        <f aca="false">Expenses!BL$46</f>
        <v>695.833333333333</v>
      </c>
      <c r="BM10" s="76" t="n">
        <f aca="false">Expenses!BM$46</f>
        <v>695.833333333333</v>
      </c>
      <c r="BN10" s="76" t="n">
        <f aca="false">Expenses!BN$46</f>
        <v>362.500000000002</v>
      </c>
    </row>
    <row r="12" customFormat="false" ht="16.5" hidden="false" customHeight="true" outlineLevel="0" collapsed="false">
      <c r="A12" s="15" t="s">
        <v>904</v>
      </c>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row>
    <row r="13" customFormat="false" ht="15" hidden="false" customHeight="true" outlineLevel="0" collapsed="false">
      <c r="A13" s="26" t="s">
        <v>481</v>
      </c>
      <c r="B13" s="61" t="s">
        <v>81</v>
      </c>
      <c r="C13" s="62" t="s">
        <v>482</v>
      </c>
      <c r="D13" s="62" t="s">
        <v>483</v>
      </c>
      <c r="E13" s="62" t="s">
        <v>484</v>
      </c>
      <c r="F13" s="62" t="s">
        <v>485</v>
      </c>
      <c r="G13" s="62" t="s">
        <v>486</v>
      </c>
      <c r="H13" s="62" t="s">
        <v>487</v>
      </c>
      <c r="I13" s="62" t="s">
        <v>488</v>
      </c>
      <c r="J13" s="62" t="s">
        <v>489</v>
      </c>
      <c r="K13" s="62" t="s">
        <v>490</v>
      </c>
      <c r="L13" s="62" t="s">
        <v>491</v>
      </c>
      <c r="M13" s="62" t="s">
        <v>492</v>
      </c>
      <c r="N13" s="62" t="s">
        <v>493</v>
      </c>
      <c r="O13" s="61" t="s">
        <v>82</v>
      </c>
      <c r="P13" s="63" t="s">
        <v>494</v>
      </c>
      <c r="Q13" s="63" t="s">
        <v>495</v>
      </c>
      <c r="R13" s="63" t="s">
        <v>496</v>
      </c>
      <c r="S13" s="63" t="s">
        <v>497</v>
      </c>
      <c r="T13" s="63" t="s">
        <v>498</v>
      </c>
      <c r="U13" s="63" t="s">
        <v>499</v>
      </c>
      <c r="V13" s="63" t="s">
        <v>500</v>
      </c>
      <c r="W13" s="63" t="s">
        <v>501</v>
      </c>
      <c r="X13" s="63" t="s">
        <v>502</v>
      </c>
      <c r="Y13" s="63" t="s">
        <v>503</v>
      </c>
      <c r="Z13" s="63" t="s">
        <v>504</v>
      </c>
      <c r="AA13" s="63" t="s">
        <v>505</v>
      </c>
      <c r="AB13" s="61" t="s">
        <v>83</v>
      </c>
      <c r="AC13" s="62" t="s">
        <v>506</v>
      </c>
      <c r="AD13" s="62" t="s">
        <v>507</v>
      </c>
      <c r="AE13" s="62" t="s">
        <v>508</v>
      </c>
      <c r="AF13" s="62" t="s">
        <v>509</v>
      </c>
      <c r="AG13" s="62" t="s">
        <v>510</v>
      </c>
      <c r="AH13" s="62" t="s">
        <v>511</v>
      </c>
      <c r="AI13" s="62" t="s">
        <v>512</v>
      </c>
      <c r="AJ13" s="62" t="s">
        <v>513</v>
      </c>
      <c r="AK13" s="62" t="s">
        <v>514</v>
      </c>
      <c r="AL13" s="62" t="s">
        <v>515</v>
      </c>
      <c r="AM13" s="62" t="s">
        <v>516</v>
      </c>
      <c r="AN13" s="62" t="s">
        <v>517</v>
      </c>
      <c r="AO13" s="61" t="s">
        <v>84</v>
      </c>
      <c r="AP13" s="63" t="s">
        <v>518</v>
      </c>
      <c r="AQ13" s="63" t="s">
        <v>519</v>
      </c>
      <c r="AR13" s="63" t="s">
        <v>520</v>
      </c>
      <c r="AS13" s="63" t="s">
        <v>521</v>
      </c>
      <c r="AT13" s="63" t="s">
        <v>522</v>
      </c>
      <c r="AU13" s="63" t="s">
        <v>523</v>
      </c>
      <c r="AV13" s="63" t="s">
        <v>524</v>
      </c>
      <c r="AW13" s="63" t="s">
        <v>525</v>
      </c>
      <c r="AX13" s="63" t="s">
        <v>526</v>
      </c>
      <c r="AY13" s="63" t="s">
        <v>527</v>
      </c>
      <c r="AZ13" s="63" t="s">
        <v>528</v>
      </c>
      <c r="BA13" s="63" t="s">
        <v>529</v>
      </c>
      <c r="BB13" s="61" t="s">
        <v>85</v>
      </c>
      <c r="BC13" s="62" t="s">
        <v>530</v>
      </c>
      <c r="BD13" s="62" t="s">
        <v>531</v>
      </c>
      <c r="BE13" s="62" t="s">
        <v>532</v>
      </c>
      <c r="BF13" s="62" t="s">
        <v>533</v>
      </c>
      <c r="BG13" s="62" t="s">
        <v>534</v>
      </c>
      <c r="BH13" s="62" t="s">
        <v>535</v>
      </c>
      <c r="BI13" s="62" t="s">
        <v>536</v>
      </c>
      <c r="BJ13" s="62" t="s">
        <v>537</v>
      </c>
      <c r="BK13" s="62" t="s">
        <v>538</v>
      </c>
      <c r="BL13" s="62" t="s">
        <v>539</v>
      </c>
      <c r="BM13" s="62" t="s">
        <v>540</v>
      </c>
      <c r="BN13" s="62" t="s">
        <v>541</v>
      </c>
    </row>
    <row r="14" customFormat="false" ht="15" hidden="false" customHeight="false" outlineLevel="0" collapsed="false">
      <c r="A14" s="12" t="s">
        <v>548</v>
      </c>
      <c r="B14" s="64" t="n">
        <f aca="false">N14</f>
        <v>35813.0643935571</v>
      </c>
      <c r="C14" s="65" t="n">
        <f aca="false">'Revenue Streams'!C$37*'Assumption Setting'!$C$200/30+'Revenue Streams'!C$45*'Assumption Setting'!$C$201/30</f>
        <v>8137.03919796962</v>
      </c>
      <c r="D14" s="65" t="n">
        <f aca="false">'Revenue Streams'!D$37*'Assumption Setting'!$C$200/30+'Revenue Streams'!D$45*'Assumption Setting'!$C$201/30</f>
        <v>13018.5948542726</v>
      </c>
      <c r="E14" s="65" t="n">
        <f aca="false">'Revenue Streams'!E$37*'Assumption Setting'!$C$200/30+'Revenue Streams'!E$45*'Assumption Setting'!$C$201/30</f>
        <v>16273.1225939089</v>
      </c>
      <c r="F14" s="65" t="n">
        <f aca="false">'Revenue Streams'!F$37*'Assumption Setting'!$C$200/30+'Revenue Streams'!F$45*'Assumption Setting'!$C$201/30</f>
        <v>16273.4836668785</v>
      </c>
      <c r="G14" s="65" t="n">
        <f aca="false">'Revenue Streams'!G$37*'Assumption Setting'!$C$200/30+'Revenue Streams'!G$45*'Assumption Setting'!$C$201/30</f>
        <v>16620.6623529251</v>
      </c>
      <c r="H14" s="65" t="n">
        <f aca="false">'Revenue Streams'!H$37*'Assumption Setting'!$C$200/30+'Revenue Streams'!H$45*'Assumption Setting'!$C$201/30</f>
        <v>16967.868011577</v>
      </c>
      <c r="I14" s="65" t="n">
        <f aca="false">'Revenue Streams'!I$37*'Assumption Setting'!$C$200/30+'Revenue Streams'!I$45*'Assumption Setting'!$C$201/30</f>
        <v>20108.5147979486</v>
      </c>
      <c r="J14" s="65" t="n">
        <f aca="false">'Revenue Streams'!J$37*'Assumption Setting'!$C$200/30+'Revenue Streams'!J$45*'Assumption Setting'!$C$201/30</f>
        <v>23249.2492952368</v>
      </c>
      <c r="K14" s="65" t="n">
        <f aca="false">'Revenue Streams'!K$37*'Assumption Setting'!$C$200/30+'Revenue Streams'!K$45*'Assumption Setting'!$C$201/30</f>
        <v>26390.0715034418</v>
      </c>
      <c r="L14" s="65" t="n">
        <f aca="false">'Revenue Streams'!L$37*'Assumption Setting'!$C$200/30+'Revenue Streams'!L$45*'Assumption Setting'!$C$201/30</f>
        <v>29530.9814225636</v>
      </c>
      <c r="M14" s="65" t="n">
        <f aca="false">'Revenue Streams'!M$37*'Assumption Setting'!$C$200/30+'Revenue Streams'!M$45*'Assumption Setting'!$C$201/30</f>
        <v>32671.979052602</v>
      </c>
      <c r="N14" s="65" t="n">
        <f aca="false">'Revenue Streams'!N$37*'Assumption Setting'!$C$200/30+'Revenue Streams'!N$45*'Assumption Setting'!$C$201/30</f>
        <v>35813.0643935571</v>
      </c>
      <c r="O14" s="64" t="n">
        <f aca="false">AA14</f>
        <v>111218.520083062</v>
      </c>
      <c r="P14" s="65" t="n">
        <f aca="false">'Revenue Streams'!P$37*'Assumption Setting'!$C$200/30+'Revenue Streams'!P$45*'Assumption Setting'!$C$201/30</f>
        <v>43788.3220547692</v>
      </c>
      <c r="Q14" s="65" t="n">
        <f aca="false">'Revenue Streams'!Q$37*'Assumption Setting'!$C$200/30+'Revenue Streams'!Q$45*'Assumption Setting'!$C$201/30</f>
        <v>47968.8543858519</v>
      </c>
      <c r="R14" s="65" t="n">
        <f aca="false">'Revenue Streams'!R$37*'Assumption Setting'!$C$200/30+'Revenue Streams'!R$45*'Assumption Setting'!$C$201/30</f>
        <v>52953.4073933063</v>
      </c>
      <c r="S14" s="65" t="n">
        <f aca="false">'Revenue Streams'!S$37*'Assumption Setting'!$C$200/30+'Revenue Streams'!S$45*'Assumption Setting'!$C$201/30</f>
        <v>58696.1589657175</v>
      </c>
      <c r="T14" s="65" t="n">
        <f aca="false">'Revenue Streams'!T$37*'Assumption Setting'!$C$200/30+'Revenue Streams'!T$45*'Assumption Setting'!$C$201/30</f>
        <v>64666.3109936593</v>
      </c>
      <c r="U14" s="65" t="n">
        <f aca="false">'Revenue Streams'!U$37*'Assumption Setting'!$C$200/30+'Revenue Streams'!U$45*'Assumption Setting'!$C$201/30</f>
        <v>70636.6879184233</v>
      </c>
      <c r="V14" s="65" t="n">
        <f aca="false">'Revenue Streams'!V$37*'Assumption Setting'!$C$200/30+'Revenue Streams'!V$45*'Assumption Setting'!$C$201/30</f>
        <v>77181.012910998</v>
      </c>
      <c r="W14" s="65" t="n">
        <f aca="false">'Revenue Streams'!W$37*'Assumption Setting'!$C$200/30+'Revenue Streams'!W$45*'Assumption Setting'!$C$201/30</f>
        <v>83725.4943234272</v>
      </c>
      <c r="X14" s="65" t="n">
        <f aca="false">'Revenue Streams'!X$37*'Assumption Setting'!$C$200/30+'Revenue Streams'!X$45*'Assumption Setting'!$C$201/30</f>
        <v>90270.132155711</v>
      </c>
      <c r="Y14" s="65" t="n">
        <f aca="false">'Revenue Streams'!Y$37*'Assumption Setting'!$C$200/30+'Revenue Streams'!Y$45*'Assumption Setting'!$C$201/30</f>
        <v>97314.71485828</v>
      </c>
      <c r="Z14" s="65" t="n">
        <f aca="false">'Revenue Streams'!Z$37*'Assumption Setting'!$C$200/30+'Revenue Streams'!Z$45*'Assumption Setting'!$C$201/30</f>
        <v>104302.209577278</v>
      </c>
      <c r="AA14" s="65" t="n">
        <f aca="false">'Revenue Streams'!AA$37*'Assumption Setting'!$C$200/30+'Revenue Streams'!AA$45*'Assumption Setting'!$C$201/30</f>
        <v>111218.520083062</v>
      </c>
      <c r="AB14" s="64" t="n">
        <f aca="false">AN14</f>
        <v>194820.518084345</v>
      </c>
      <c r="AC14" s="65" t="n">
        <f aca="false">'Revenue Streams'!AC$37*'Assumption Setting'!$C$200/30+'Revenue Streams'!AC$45*'Assumption Setting'!$C$201/30</f>
        <v>121290.468622675</v>
      </c>
      <c r="AD14" s="65" t="n">
        <f aca="false">'Revenue Streams'!AD$37*'Assumption Setting'!$C$200/30+'Revenue Streams'!AD$45*'Assumption Setting'!$C$201/30</f>
        <v>122283.504532457</v>
      </c>
      <c r="AE14" s="65" t="n">
        <f aca="false">'Revenue Streams'!AE$37*'Assumption Setting'!$C$200/30+'Revenue Streams'!AE$45*'Assumption Setting'!$C$201/30</f>
        <v>125855.266710045</v>
      </c>
      <c r="AF14" s="65" t="n">
        <f aca="false">'Revenue Streams'!AF$37*'Assumption Setting'!$C$200/30+'Revenue Streams'!AF$45*'Assumption Setting'!$C$201/30</f>
        <v>133949.008201788</v>
      </c>
      <c r="AG14" s="65" t="n">
        <f aca="false">'Revenue Streams'!AG$37*'Assumption Setting'!$C$200/30+'Revenue Streams'!AG$45*'Assumption Setting'!$C$201/30</f>
        <v>142009.481618603</v>
      </c>
      <c r="AH14" s="65" t="n">
        <f aca="false">'Revenue Streams'!AH$37*'Assumption Setting'!$C$200/30+'Revenue Streams'!AH$45*'Assumption Setting'!$C$201/30</f>
        <v>150070.076366682</v>
      </c>
      <c r="AI14" s="65" t="n">
        <f aca="false">'Revenue Streams'!AI$37*'Assumption Setting'!$C$200/30+'Revenue Streams'!AI$45*'Assumption Setting'!$C$201/30</f>
        <v>157947.616138591</v>
      </c>
      <c r="AJ14" s="65" t="n">
        <f aca="false">'Revenue Streams'!AJ$37*'Assumption Setting'!$C$200/30+'Revenue Streams'!AJ$45*'Assumption Setting'!$C$201/30</f>
        <v>165825.298123155</v>
      </c>
      <c r="AK14" s="65" t="n">
        <f aca="false">'Revenue Streams'!AK$37*'Assumption Setting'!$C$200/30+'Revenue Streams'!AK$45*'Assumption Setting'!$C$201/30</f>
        <v>173472.444544376</v>
      </c>
      <c r="AL14" s="65" t="n">
        <f aca="false">'Revenue Streams'!AL$37*'Assumption Setting'!$C$200/30+'Revenue Streams'!AL$45*'Assumption Setting'!$C$201/30</f>
        <v>180588.337154946</v>
      </c>
      <c r="AM14" s="65" t="n">
        <f aca="false">'Revenue Streams'!AM$37*'Assumption Setting'!$C$200/30+'Revenue Streams'!AM$45*'Assumption Setting'!$C$201/30</f>
        <v>187704.361668269</v>
      </c>
      <c r="AN14" s="65" t="n">
        <f aca="false">'Revenue Streams'!AN$37*'Assumption Setting'!$C$200/30+'Revenue Streams'!AN$45*'Assumption Setting'!$C$201/30</f>
        <v>194820.518084345</v>
      </c>
      <c r="AO14" s="64" t="n">
        <f aca="false">BA14</f>
        <v>319692.064635302</v>
      </c>
      <c r="AP14" s="65" t="n">
        <f aca="false">'Revenue Streams'!AP$37*'Assumption Setting'!$C$200/30+'Revenue Streams'!AP$45*'Assumption Setting'!$C$201/30</f>
        <v>220900.142091755</v>
      </c>
      <c r="AQ14" s="65" t="n">
        <f aca="false">'Revenue Streams'!AQ$37*'Assumption Setting'!$C$200/30+'Revenue Streams'!AQ$45*'Assumption Setting'!$C$201/30</f>
        <v>229090.014053876</v>
      </c>
      <c r="AR14" s="65" t="n">
        <f aca="false">'Revenue Streams'!AR$37*'Assumption Setting'!$C$200/30+'Revenue Streams'!AR$45*'Assumption Setting'!$C$201/30</f>
        <v>237262.082789004</v>
      </c>
      <c r="AS14" s="65" t="n">
        <f aca="false">'Revenue Streams'!AS$37*'Assumption Setting'!$C$200/30+'Revenue Streams'!AS$45*'Assumption Setting'!$C$201/30</f>
        <v>246273.386359772</v>
      </c>
      <c r="AT14" s="65" t="n">
        <f aca="false">'Revenue Streams'!AT$37*'Assumption Setting'!$C$200/30+'Revenue Streams'!AT$45*'Assumption Setting'!$C$201/30</f>
        <v>255407.43719133</v>
      </c>
      <c r="AU14" s="65" t="n">
        <f aca="false">'Revenue Streams'!AU$37*'Assumption Setting'!$C$200/30+'Revenue Streams'!AU$45*'Assumption Setting'!$C$201/30</f>
        <v>264541.548001266</v>
      </c>
      <c r="AV14" s="65" t="n">
        <f aca="false">'Revenue Streams'!AV$37*'Assumption Setting'!$C$200/30+'Revenue Streams'!AV$45*'Assumption Setting'!$C$201/30</f>
        <v>274086.244635012</v>
      </c>
      <c r="AW14" s="65" t="n">
        <f aca="false">'Revenue Streams'!AW$37*'Assumption Setting'!$C$200/30+'Revenue Streams'!AW$45*'Assumption Setting'!$C$201/30</f>
        <v>283630.990181863</v>
      </c>
      <c r="AX14" s="65" t="n">
        <f aca="false">'Revenue Streams'!AX$37*'Assumption Setting'!$C$200/30+'Revenue Streams'!AX$45*'Assumption Setting'!$C$201/30</f>
        <v>293152.418012925</v>
      </c>
      <c r="AY14" s="65" t="n">
        <f aca="false">'Revenue Streams'!AY$37*'Assumption Setting'!$C$200/30+'Revenue Streams'!AY$45*'Assumption Setting'!$C$201/30</f>
        <v>301998.917324827</v>
      </c>
      <c r="AZ14" s="65" t="n">
        <f aca="false">'Revenue Streams'!AZ$37*'Assumption Setting'!$C$200/30+'Revenue Streams'!AZ$45*'Assumption Setting'!$C$201/30</f>
        <v>310845.466198953</v>
      </c>
      <c r="BA14" s="65" t="n">
        <f aca="false">'Revenue Streams'!BA$37*'Assumption Setting'!$C$200/30+'Revenue Streams'!BA$45*'Assumption Setting'!$C$201/30</f>
        <v>319692.064635302</v>
      </c>
      <c r="BB14" s="64" t="n">
        <f aca="false">BN14</f>
        <v>464723.145087222</v>
      </c>
      <c r="BC14" s="65" t="n">
        <f aca="false">'Revenue Streams'!BC$37*'Assumption Setting'!$C$200/30+'Revenue Streams'!BC$45*'Assumption Setting'!$C$201/30</f>
        <v>353244.523693899</v>
      </c>
      <c r="BD14" s="65" t="n">
        <f aca="false">'Revenue Streams'!BD$37*'Assumption Setting'!$C$200/30+'Revenue Streams'!BD$45*'Assumption Setting'!$C$201/30</f>
        <v>362767.299094239</v>
      </c>
      <c r="BE14" s="65" t="n">
        <f aca="false">'Revenue Streams'!BE$37*'Assumption Setting'!$C$200/30+'Revenue Streams'!BE$45*'Assumption Setting'!$C$201/30</f>
        <v>372467.28278954</v>
      </c>
      <c r="BF14" s="65" t="n">
        <f aca="false">'Revenue Streams'!BF$37*'Assumption Setting'!$C$200/30+'Revenue Streams'!BF$45*'Assumption Setting'!$C$201/30</f>
        <v>383054.863550317</v>
      </c>
      <c r="BG14" s="65" t="n">
        <f aca="false">'Revenue Streams'!BG$37*'Assumption Setting'!$C$200/30+'Revenue Streams'!BG$45*'Assumption Setting'!$C$201/30</f>
        <v>393625.62010955</v>
      </c>
      <c r="BH14" s="65" t="n">
        <f aca="false">'Revenue Streams'!BH$37*'Assumption Setting'!$C$200/30+'Revenue Streams'!BH$45*'Assumption Setting'!$C$201/30</f>
        <v>404196.463562781</v>
      </c>
      <c r="BI14" s="65" t="n">
        <f aca="false">'Revenue Streams'!BI$37*'Assumption Setting'!$C$200/30+'Revenue Streams'!BI$45*'Assumption Setting'!$C$201/30</f>
        <v>414747.757720195</v>
      </c>
      <c r="BJ14" s="65" t="n">
        <f aca="false">'Revenue Streams'!BJ$37*'Assumption Setting'!$C$200/30+'Revenue Streams'!BJ$45*'Assumption Setting'!$C$201/30</f>
        <v>425299.137920843</v>
      </c>
      <c r="BK14" s="65" t="n">
        <f aca="false">'Revenue Streams'!BK$37*'Assumption Setting'!$C$200/30+'Revenue Streams'!BK$45*'Assumption Setting'!$C$201/30</f>
        <v>435812.064681088</v>
      </c>
      <c r="BL14" s="65" t="n">
        <f aca="false">'Revenue Streams'!BL$37*'Assumption Setting'!$C$200/30+'Revenue Streams'!BL$45*'Assumption Setting'!$C$201/30</f>
        <v>445449.008765079</v>
      </c>
      <c r="BM14" s="65" t="n">
        <f aca="false">'Revenue Streams'!BM$37*'Assumption Setting'!$C$200/30+'Revenue Streams'!BM$45*'Assumption Setting'!$C$201/30</f>
        <v>455086.035567124</v>
      </c>
      <c r="BN14" s="65" t="n">
        <f aca="false">'Revenue Streams'!BN$37*'Assumption Setting'!$C$200/30+'Revenue Streams'!BN$45*'Assumption Setting'!$C$201/30</f>
        <v>464723.145087222</v>
      </c>
    </row>
    <row r="15" customFormat="false" ht="15" hidden="false" customHeight="false" outlineLevel="0" collapsed="false">
      <c r="A15" s="12" t="s">
        <v>555</v>
      </c>
      <c r="B15" s="64" t="n">
        <f aca="false">N15</f>
        <v>10536.2442433909</v>
      </c>
      <c r="C15" s="65" t="n">
        <f aca="false">(Expenses!C$24+Expenses!C$54)*'Assumption Setting'!$C$202/30</f>
        <v>9299.00465164108</v>
      </c>
      <c r="D15" s="65" t="n">
        <f aca="false">(Expenses!D$24+Expenses!D$54)*'Assumption Setting'!$C$202/30</f>
        <v>6456.076445109</v>
      </c>
      <c r="E15" s="65" t="n">
        <f aca="false">(Expenses!E$24+Expenses!E$54)*'Assumption Setting'!$C$202/30</f>
        <v>6921.19493253715</v>
      </c>
      <c r="F15" s="65" t="n">
        <f aca="false">(Expenses!F$24+Expenses!F$54)*'Assumption Setting'!$C$202/30</f>
        <v>6781.9718357068</v>
      </c>
      <c r="G15" s="65" t="n">
        <f aca="false">(Expenses!G$24+Expenses!G$54)*'Assumption Setting'!$C$202/30</f>
        <v>6825.77472656122</v>
      </c>
      <c r="H15" s="65" t="n">
        <f aca="false">(Expenses!H$24+Expenses!H$54)*'Assumption Setting'!$C$202/30</f>
        <v>6869.62526693304</v>
      </c>
      <c r="I15" s="65" t="n">
        <f aca="false">(Expenses!I$24+Expenses!I$54)*'Assumption Setting'!$C$202/30</f>
        <v>7596.87248568127</v>
      </c>
      <c r="J15" s="65" t="n">
        <f aca="false">(Expenses!J$24+Expenses!J$54)*'Assumption Setting'!$C$202/30</f>
        <v>8184.34161241791</v>
      </c>
      <c r="K15" s="65" t="n">
        <f aca="false">(Expenses!K$24+Expenses!K$54)*'Assumption Setting'!$C$202/30</f>
        <v>8772.02255603984</v>
      </c>
      <c r="L15" s="65" t="n">
        <f aca="false">(Expenses!L$24+Expenses!L$54)*'Assumption Setting'!$C$202/30</f>
        <v>9359.90583091013</v>
      </c>
      <c r="M15" s="65" t="n">
        <f aca="false">(Expenses!M$24+Expenses!M$54)*'Assumption Setting'!$C$202/30</f>
        <v>9947.98252053008</v>
      </c>
      <c r="N15" s="65" t="n">
        <f aca="false">(Expenses!N$24+Expenses!N$54)*'Assumption Setting'!$C$202/30</f>
        <v>10536.2442433909</v>
      </c>
      <c r="O15" s="64" t="n">
        <f aca="false">AA15</f>
        <v>31201.0090556486</v>
      </c>
      <c r="P15" s="65" t="n">
        <f aca="false">(Expenses!P$24+Expenses!P$54)*'Assumption Setting'!$C$202/30</f>
        <v>19064.1160264211</v>
      </c>
      <c r="Q15" s="65" t="n">
        <f aca="false">(Expenses!Q$24+Expenses!Q$54)*'Assumption Setting'!$C$202/30</f>
        <v>19960.5983974491</v>
      </c>
      <c r="R15" s="65" t="n">
        <f aca="false">(Expenses!R$24+Expenses!R$54)*'Assumption Setting'!$C$202/30</f>
        <v>20863.2682645868</v>
      </c>
      <c r="S15" s="65" t="n">
        <f aca="false">(Expenses!S$24+Expenses!S$54)*'Assumption Setting'!$C$202/30</f>
        <v>21882.3369754705</v>
      </c>
      <c r="T15" s="65" t="n">
        <f aca="false">(Expenses!T$24+Expenses!T$54)*'Assumption Setting'!$C$202/30</f>
        <v>22788.7860421034</v>
      </c>
      <c r="U15" s="65" t="n">
        <f aca="false">(Expenses!U$24+Expenses!U$54)*'Assumption Setting'!$C$202/30</f>
        <v>23975.7524140965</v>
      </c>
      <c r="V15" s="65" t="n">
        <f aca="false">(Expenses!V$24+Expenses!V$54)*'Assumption Setting'!$C$202/30</f>
        <v>25142.3291561396</v>
      </c>
      <c r="W15" s="65" t="n">
        <f aca="false">(Expenses!W$24+Expenses!W$54)*'Assumption Setting'!$C$202/30</f>
        <v>26449.3191571092</v>
      </c>
      <c r="X15" s="65" t="n">
        <f aca="false">(Expenses!X$24+Expenses!X$54)*'Assumption Setting'!$C$202/30</f>
        <v>27476.7033698994</v>
      </c>
      <c r="Y15" s="65" t="n">
        <f aca="false">(Expenses!Y$24+Expenses!Y$54)*'Assumption Setting'!$C$202/30</f>
        <v>28718.9805579927</v>
      </c>
      <c r="Z15" s="65" t="n">
        <f aca="false">(Expenses!Z$24+Expenses!Z$54)*'Assumption Setting'!$C$202/30</f>
        <v>29960.5123811476</v>
      </c>
      <c r="AA15" s="65" t="n">
        <f aca="false">(Expenses!AA$24+Expenses!AA$54)*'Assumption Setting'!$C$202/30</f>
        <v>31201.0090556486</v>
      </c>
      <c r="AB15" s="64" t="n">
        <f aca="false">AN15</f>
        <v>57667.3195661499</v>
      </c>
      <c r="AC15" s="65" t="n">
        <f aca="false">(Expenses!AC$24+Expenses!AC$54)*'Assumption Setting'!$C$202/30</f>
        <v>43728.1694712236</v>
      </c>
      <c r="AD15" s="65" t="n">
        <f aca="false">(Expenses!AD$24+Expenses!AD$54)*'Assumption Setting'!$C$202/30</f>
        <v>43733.0060819107</v>
      </c>
      <c r="AE15" s="65" t="n">
        <f aca="false">(Expenses!AE$24+Expenses!AE$54)*'Assumption Setting'!$C$202/30</f>
        <v>44304.7978028362</v>
      </c>
      <c r="AF15" s="65" t="n">
        <f aca="false">(Expenses!AF$24+Expenses!AF$54)*'Assumption Setting'!$C$202/30</f>
        <v>45994.3275054004</v>
      </c>
      <c r="AG15" s="65" t="n">
        <f aca="false">(Expenses!AG$24+Expenses!AG$54)*'Assumption Setting'!$C$202/30</f>
        <v>47680.5173990579</v>
      </c>
      <c r="AH15" s="65" t="n">
        <f aca="false">(Expenses!AH$24+Expenses!AH$54)*'Assumption Setting'!$C$202/30</f>
        <v>49087.131774715</v>
      </c>
      <c r="AI15" s="65" t="n">
        <f aca="false">(Expenses!AI$24+Expenses!AI$54)*'Assumption Setting'!$C$202/30</f>
        <v>50559.1417265375</v>
      </c>
      <c r="AJ15" s="65" t="n">
        <f aca="false">(Expenses!AJ$24+Expenses!AJ$54)*'Assumption Setting'!$C$202/30</f>
        <v>52031.5786314961</v>
      </c>
      <c r="AK15" s="65" t="n">
        <f aca="false">(Expenses!AK$24+Expenses!AK$54)*'Assumption Setting'!$C$202/30</f>
        <v>53495.3199989537</v>
      </c>
      <c r="AL15" s="65" t="n">
        <f aca="false">(Expenses!AL$24+Expenses!AL$54)*'Assumption Setting'!$C$202/30</f>
        <v>54885.6474640149</v>
      </c>
      <c r="AM15" s="65" t="n">
        <f aca="false">(Expenses!AM$24+Expenses!AM$54)*'Assumption Setting'!$C$202/30</f>
        <v>56276.3192571667</v>
      </c>
      <c r="AN15" s="65" t="n">
        <f aca="false">(Expenses!AN$24+Expenses!AN$54)*'Assumption Setting'!$C$202/30</f>
        <v>57667.3195661499</v>
      </c>
      <c r="AO15" s="64" t="n">
        <f aca="false">BA15</f>
        <v>92903.7775060544</v>
      </c>
      <c r="AP15" s="65" t="n">
        <f aca="false">(Expenses!AP$24+Expenses!AP$54)*'Assumption Setting'!$C$202/30</f>
        <v>72814.3621757261</v>
      </c>
      <c r="AQ15" s="65" t="n">
        <f aca="false">(Expenses!AQ$24+Expenses!AQ$54)*'Assumption Setting'!$C$202/30</f>
        <v>74635.5889513394</v>
      </c>
      <c r="AR15" s="65" t="n">
        <f aca="false">(Expenses!AR$24+Expenses!AR$54)*'Assumption Setting'!$C$202/30</f>
        <v>76176.7880377703</v>
      </c>
      <c r="AS15" s="65" t="n">
        <f aca="false">(Expenses!AS$24+Expenses!AS$54)*'Assumption Setting'!$C$202/30</f>
        <v>77984.295629724</v>
      </c>
      <c r="AT15" s="65" t="n">
        <f aca="false">(Expenses!AT$24+Expenses!AT$54)*'Assumption Setting'!$C$202/30</f>
        <v>79805.3667270536</v>
      </c>
      <c r="AU15" s="65" t="n">
        <f aca="false">(Expenses!AU$24+Expenses!AU$54)*'Assumption Setting'!$C$202/30</f>
        <v>81766.5656221447</v>
      </c>
      <c r="AV15" s="65" t="n">
        <f aca="false">(Expenses!AV$24+Expenses!AV$54)*'Assumption Setting'!$C$202/30</f>
        <v>83558.8403576844</v>
      </c>
      <c r="AW15" s="65" t="n">
        <f aca="false">(Expenses!AW$24+Expenses!AW$54)*'Assumption Setting'!$C$202/30</f>
        <v>85491.2303257408</v>
      </c>
      <c r="AX15" s="65" t="n">
        <f aca="false">(Expenses!AX$24+Expenses!AX$54)*'Assumption Setting'!$C$202/30</f>
        <v>87560.3235035009</v>
      </c>
      <c r="AY15" s="65" t="n">
        <f aca="false">(Expenses!AY$24+Expenses!AY$54)*'Assumption Setting'!$C$202/30</f>
        <v>89248.058623914</v>
      </c>
      <c r="AZ15" s="65" t="n">
        <f aca="false">(Expenses!AZ$24+Expenses!AZ$54)*'Assumption Setting'!$C$202/30</f>
        <v>91215.8776966748</v>
      </c>
      <c r="BA15" s="65" t="n">
        <f aca="false">(Expenses!BA$24+Expenses!BA$54)*'Assumption Setting'!$C$202/30</f>
        <v>92903.7775060544</v>
      </c>
      <c r="BB15" s="64" t="n">
        <f aca="false">BN15</f>
        <v>133356.129554178</v>
      </c>
      <c r="BC15" s="65" t="n">
        <f aca="false">(Expenses!BC$24+Expenses!BC$54)*'Assumption Setting'!$C$202/30</f>
        <v>110182.20912933</v>
      </c>
      <c r="BD15" s="65" t="n">
        <f aca="false">(Expenses!BD$24+Expenses!BD$54)*'Assumption Setting'!$C$202/30</f>
        <v>112072.44890466</v>
      </c>
      <c r="BE15" s="65" t="n">
        <f aca="false">(Expenses!BE$24+Expenses!BE$54)*'Assumption Setting'!$C$202/30</f>
        <v>114131.127405656</v>
      </c>
      <c r="BF15" s="65" t="n">
        <f aca="false">(Expenses!BF$24+Expenses!BF$54)*'Assumption Setting'!$C$202/30</f>
        <v>116460.015530059</v>
      </c>
      <c r="BG15" s="65" t="n">
        <f aca="false">(Expenses!BG$24+Expenses!BG$54)*'Assumption Setting'!$C$202/30</f>
        <v>118507.110532415</v>
      </c>
      <c r="BH15" s="65" t="n">
        <f aca="false">(Expenses!BH$24+Expenses!BH$54)*'Assumption Setting'!$C$202/30</f>
        <v>120834.210236662</v>
      </c>
      <c r="BI15" s="65" t="n">
        <f aca="false">(Expenses!BI$24+Expenses!BI$54)*'Assumption Setting'!$C$202/30</f>
        <v>122872.512500673</v>
      </c>
      <c r="BJ15" s="65" t="n">
        <f aca="false">(Expenses!BJ$24+Expenses!BJ$54)*'Assumption Setting'!$C$202/30</f>
        <v>125050.827434519</v>
      </c>
      <c r="BK15" s="65" t="n">
        <f aca="false">(Expenses!BK$24+Expenses!BK$54)*'Assumption Setting'!$C$202/30</f>
        <v>127363.439695261</v>
      </c>
      <c r="BL15" s="65" t="n">
        <f aca="false">(Expenses!BL$24+Expenses!BL$54)*'Assumption Setting'!$C$202/30</f>
        <v>129267.676002174</v>
      </c>
      <c r="BM15" s="65" t="n">
        <f aca="false">(Expenses!BM$24+Expenses!BM$54)*'Assumption Setting'!$C$202/30</f>
        <v>131451.904791498</v>
      </c>
      <c r="BN15" s="65" t="n">
        <f aca="false">(Expenses!BN$24+Expenses!BN$54)*'Assumption Setting'!$C$202/30</f>
        <v>133356.129554178</v>
      </c>
    </row>
    <row r="16" customFormat="false" ht="15" hidden="false" customHeight="false" outlineLevel="0" collapsed="false">
      <c r="A16" s="12" t="s">
        <v>557</v>
      </c>
      <c r="B16" s="64" t="n">
        <f aca="false">N16</f>
        <v>1694</v>
      </c>
      <c r="C16" s="65" t="n">
        <f aca="false">Payroll!C$45*'Assumption Setting'!$C$203/30</f>
        <v>1694</v>
      </c>
      <c r="D16" s="65" t="n">
        <f aca="false">Payroll!D$45*'Assumption Setting'!$C$203/30</f>
        <v>1694</v>
      </c>
      <c r="E16" s="65" t="n">
        <f aca="false">Payroll!E$45*'Assumption Setting'!$C$203/30</f>
        <v>1694</v>
      </c>
      <c r="F16" s="65" t="n">
        <f aca="false">Payroll!F$45*'Assumption Setting'!$C$203/30</f>
        <v>1694</v>
      </c>
      <c r="G16" s="65" t="n">
        <f aca="false">Payroll!G$45*'Assumption Setting'!$C$203/30</f>
        <v>1694</v>
      </c>
      <c r="H16" s="65" t="n">
        <f aca="false">Payroll!H$45*'Assumption Setting'!$C$203/30</f>
        <v>1694</v>
      </c>
      <c r="I16" s="65" t="n">
        <f aca="false">Payroll!I$45*'Assumption Setting'!$C$203/30</f>
        <v>1694</v>
      </c>
      <c r="J16" s="65" t="n">
        <f aca="false">Payroll!J$45*'Assumption Setting'!$C$203/30</f>
        <v>1694</v>
      </c>
      <c r="K16" s="65" t="n">
        <f aca="false">Payroll!K$45*'Assumption Setting'!$C$203/30</f>
        <v>1694</v>
      </c>
      <c r="L16" s="65" t="n">
        <f aca="false">Payroll!L$45*'Assumption Setting'!$C$203/30</f>
        <v>1694</v>
      </c>
      <c r="M16" s="65" t="n">
        <f aca="false">Payroll!M$45*'Assumption Setting'!$C$203/30</f>
        <v>1694</v>
      </c>
      <c r="N16" s="65" t="n">
        <f aca="false">Payroll!N$45*'Assumption Setting'!$C$203/30</f>
        <v>1694</v>
      </c>
      <c r="O16" s="64" t="n">
        <f aca="false">AA16</f>
        <v>3542</v>
      </c>
      <c r="P16" s="65" t="n">
        <f aca="false">Payroll!P$45*'Assumption Setting'!$C$203/30</f>
        <v>3542</v>
      </c>
      <c r="Q16" s="65" t="n">
        <f aca="false">Payroll!Q$45*'Assumption Setting'!$C$203/30</f>
        <v>3542</v>
      </c>
      <c r="R16" s="65" t="n">
        <f aca="false">Payroll!R$45*'Assumption Setting'!$C$203/30</f>
        <v>3542</v>
      </c>
      <c r="S16" s="65" t="n">
        <f aca="false">Payroll!S$45*'Assumption Setting'!$C$203/30</f>
        <v>3542</v>
      </c>
      <c r="T16" s="65" t="n">
        <f aca="false">Payroll!T$45*'Assumption Setting'!$C$203/30</f>
        <v>3542</v>
      </c>
      <c r="U16" s="65" t="n">
        <f aca="false">Payroll!U$45*'Assumption Setting'!$C$203/30</f>
        <v>3542</v>
      </c>
      <c r="V16" s="65" t="n">
        <f aca="false">Payroll!V$45*'Assumption Setting'!$C$203/30</f>
        <v>3542</v>
      </c>
      <c r="W16" s="65" t="n">
        <f aca="false">Payroll!W$45*'Assumption Setting'!$C$203/30</f>
        <v>3542</v>
      </c>
      <c r="X16" s="65" t="n">
        <f aca="false">Payroll!X$45*'Assumption Setting'!$C$203/30</f>
        <v>3542</v>
      </c>
      <c r="Y16" s="65" t="n">
        <f aca="false">Payroll!Y$45*'Assumption Setting'!$C$203/30</f>
        <v>3542</v>
      </c>
      <c r="Z16" s="65" t="n">
        <f aca="false">Payroll!Z$45*'Assumption Setting'!$C$203/30</f>
        <v>3542</v>
      </c>
      <c r="AA16" s="65" t="n">
        <f aca="false">Payroll!AA$45*'Assumption Setting'!$C$203/30</f>
        <v>3542</v>
      </c>
      <c r="AB16" s="64" t="n">
        <f aca="false">AN16</f>
        <v>6006</v>
      </c>
      <c r="AC16" s="65" t="n">
        <f aca="false">Payroll!AC$45*'Assumption Setting'!$C$203/30</f>
        <v>6006</v>
      </c>
      <c r="AD16" s="65" t="n">
        <f aca="false">Payroll!AD$45*'Assumption Setting'!$C$203/30</f>
        <v>6006</v>
      </c>
      <c r="AE16" s="65" t="n">
        <f aca="false">Payroll!AE$45*'Assumption Setting'!$C$203/30</f>
        <v>6006</v>
      </c>
      <c r="AF16" s="65" t="n">
        <f aca="false">Payroll!AF$45*'Assumption Setting'!$C$203/30</f>
        <v>6006</v>
      </c>
      <c r="AG16" s="65" t="n">
        <f aca="false">Payroll!AG$45*'Assumption Setting'!$C$203/30</f>
        <v>6006</v>
      </c>
      <c r="AH16" s="65" t="n">
        <f aca="false">Payroll!AH$45*'Assumption Setting'!$C$203/30</f>
        <v>6006</v>
      </c>
      <c r="AI16" s="65" t="n">
        <f aca="false">Payroll!AI$45*'Assumption Setting'!$C$203/30</f>
        <v>6006</v>
      </c>
      <c r="AJ16" s="65" t="n">
        <f aca="false">Payroll!AJ$45*'Assumption Setting'!$C$203/30</f>
        <v>6006</v>
      </c>
      <c r="AK16" s="65" t="n">
        <f aca="false">Payroll!AK$45*'Assumption Setting'!$C$203/30</f>
        <v>6006</v>
      </c>
      <c r="AL16" s="65" t="n">
        <f aca="false">Payroll!AL$45*'Assumption Setting'!$C$203/30</f>
        <v>6006</v>
      </c>
      <c r="AM16" s="65" t="n">
        <f aca="false">Payroll!AM$45*'Assumption Setting'!$C$203/30</f>
        <v>6006</v>
      </c>
      <c r="AN16" s="65" t="n">
        <f aca="false">Payroll!AN$45*'Assumption Setting'!$C$203/30</f>
        <v>6006</v>
      </c>
      <c r="AO16" s="64" t="n">
        <f aca="false">BA16</f>
        <v>8277.5</v>
      </c>
      <c r="AP16" s="65" t="n">
        <f aca="false">Payroll!AP$45*'Assumption Setting'!$C$203/30</f>
        <v>8277.5</v>
      </c>
      <c r="AQ16" s="65" t="n">
        <f aca="false">Payroll!AQ$45*'Assumption Setting'!$C$203/30</f>
        <v>8277.5</v>
      </c>
      <c r="AR16" s="65" t="n">
        <f aca="false">Payroll!AR$45*'Assumption Setting'!$C$203/30</f>
        <v>8277.5</v>
      </c>
      <c r="AS16" s="65" t="n">
        <f aca="false">Payroll!AS$45*'Assumption Setting'!$C$203/30</f>
        <v>8277.5</v>
      </c>
      <c r="AT16" s="65" t="n">
        <f aca="false">Payroll!AT$45*'Assumption Setting'!$C$203/30</f>
        <v>8277.5</v>
      </c>
      <c r="AU16" s="65" t="n">
        <f aca="false">Payroll!AU$45*'Assumption Setting'!$C$203/30</f>
        <v>8277.5</v>
      </c>
      <c r="AV16" s="65" t="n">
        <f aca="false">Payroll!AV$45*'Assumption Setting'!$C$203/30</f>
        <v>8277.5</v>
      </c>
      <c r="AW16" s="65" t="n">
        <f aca="false">Payroll!AW$45*'Assumption Setting'!$C$203/30</f>
        <v>8277.5</v>
      </c>
      <c r="AX16" s="65" t="n">
        <f aca="false">Payroll!AX$45*'Assumption Setting'!$C$203/30</f>
        <v>8277.5</v>
      </c>
      <c r="AY16" s="65" t="n">
        <f aca="false">Payroll!AY$45*'Assumption Setting'!$C$203/30</f>
        <v>8277.5</v>
      </c>
      <c r="AZ16" s="65" t="n">
        <f aca="false">Payroll!AZ$45*'Assumption Setting'!$C$203/30</f>
        <v>8277.5</v>
      </c>
      <c r="BA16" s="65" t="n">
        <f aca="false">Payroll!BA$45*'Assumption Setting'!$C$203/30</f>
        <v>8277.5</v>
      </c>
      <c r="BB16" s="64" t="n">
        <f aca="false">BN16</f>
        <v>10395</v>
      </c>
      <c r="BC16" s="65" t="n">
        <f aca="false">Payroll!BC$45*'Assumption Setting'!$C$203/30</f>
        <v>10395</v>
      </c>
      <c r="BD16" s="65" t="n">
        <f aca="false">Payroll!BD$45*'Assumption Setting'!$C$203/30</f>
        <v>10395</v>
      </c>
      <c r="BE16" s="65" t="n">
        <f aca="false">Payroll!BE$45*'Assumption Setting'!$C$203/30</f>
        <v>10395</v>
      </c>
      <c r="BF16" s="65" t="n">
        <f aca="false">Payroll!BF$45*'Assumption Setting'!$C$203/30</f>
        <v>10395</v>
      </c>
      <c r="BG16" s="65" t="n">
        <f aca="false">Payroll!BG$45*'Assumption Setting'!$C$203/30</f>
        <v>10395</v>
      </c>
      <c r="BH16" s="65" t="n">
        <f aca="false">Payroll!BH$45*'Assumption Setting'!$C$203/30</f>
        <v>10395</v>
      </c>
      <c r="BI16" s="65" t="n">
        <f aca="false">Payroll!BI$45*'Assumption Setting'!$C$203/30</f>
        <v>10395</v>
      </c>
      <c r="BJ16" s="65" t="n">
        <f aca="false">Payroll!BJ$45*'Assumption Setting'!$C$203/30</f>
        <v>10395</v>
      </c>
      <c r="BK16" s="65" t="n">
        <f aca="false">Payroll!BK$45*'Assumption Setting'!$C$203/30</f>
        <v>10395</v>
      </c>
      <c r="BL16" s="65" t="n">
        <f aca="false">Payroll!BL$45*'Assumption Setting'!$C$203/30</f>
        <v>10395</v>
      </c>
      <c r="BM16" s="65" t="n">
        <f aca="false">Payroll!BM$45*'Assumption Setting'!$C$203/30</f>
        <v>10395</v>
      </c>
      <c r="BN16" s="65" t="n">
        <f aca="false">Payroll!BN$45*'Assumption Setting'!$C$203/30</f>
        <v>10395</v>
      </c>
    </row>
    <row r="17" customFormat="false" ht="15" hidden="false" customHeight="false" outlineLevel="0" collapsed="false">
      <c r="A17" s="12" t="s">
        <v>559</v>
      </c>
      <c r="B17" s="64" t="n">
        <f aca="false">N17</f>
        <v>4241.96131421898</v>
      </c>
      <c r="C17" s="65" t="n">
        <f aca="false">'Revenue Streams'!C$46+'Revenue Streams'!C$37*'Assumption Setting'!$C$204</f>
        <v>1081.25933165348</v>
      </c>
      <c r="D17" s="65" t="n">
        <f aca="false">'Revenue Streams'!D$46+'Revenue Streams'!D$37*'Assumption Setting'!$C$204</f>
        <v>1595.47965209604</v>
      </c>
      <c r="E17" s="65" t="n">
        <f aca="false">'Revenue Streams'!E$46+'Revenue Streams'!E$37*'Assumption Setting'!$C$204</f>
        <v>1951.55054466101</v>
      </c>
      <c r="F17" s="65" t="n">
        <f aca="false">'Revenue Streams'!F$46+'Revenue Streams'!F$37*'Assumption Setting'!$C$204</f>
        <v>1976.78867601505</v>
      </c>
      <c r="G17" s="65" t="n">
        <f aca="false">'Revenue Streams'!G$46+'Revenue Streams'!G$37*'Assumption Setting'!$C$204</f>
        <v>2035.74025675806</v>
      </c>
      <c r="H17" s="65" t="n">
        <f aca="false">'Revenue Streams'!H$46+'Revenue Streams'!H$37*'Assumption Setting'!$C$204</f>
        <v>2093.32163376231</v>
      </c>
      <c r="I17" s="65" t="n">
        <f aca="false">'Revenue Streams'!I$46+'Revenue Streams'!I$37*'Assumption Setting'!$C$204</f>
        <v>2438.48538100057</v>
      </c>
      <c r="J17" s="65" t="n">
        <f aca="false">'Revenue Streams'!J$46+'Revenue Streams'!J$37*'Assumption Setting'!$C$204</f>
        <v>2790.58049304175</v>
      </c>
      <c r="K17" s="65" t="n">
        <f aca="false">'Revenue Streams'!K$46+'Revenue Streams'!K$37*'Assumption Setting'!$C$204</f>
        <v>3148.291306135</v>
      </c>
      <c r="L17" s="65" t="n">
        <f aca="false">'Revenue Streams'!L$46+'Revenue Streams'!L$37*'Assumption Setting'!$C$204</f>
        <v>3510.30215652951</v>
      </c>
      <c r="M17" s="65" t="n">
        <f aca="false">'Revenue Streams'!M$46+'Revenue Streams'!M$37*'Assumption Setting'!$C$204</f>
        <v>3875.29738047445</v>
      </c>
      <c r="N17" s="65" t="n">
        <f aca="false">'Revenue Streams'!N$46+'Revenue Streams'!N$37*'Assumption Setting'!$C$204</f>
        <v>4241.96131421898</v>
      </c>
      <c r="O17" s="64" t="n">
        <f aca="false">AA17</f>
        <v>14277.3246980778</v>
      </c>
      <c r="P17" s="65" t="n">
        <f aca="false">'Revenue Streams'!P$46+'Revenue Streams'!P$37*'Assumption Setting'!$C$204</f>
        <v>5190.62679774407</v>
      </c>
      <c r="Q17" s="65" t="n">
        <f aca="false">'Revenue Streams'!Q$46+'Revenue Streams'!Q$37*'Assumption Setting'!$C$204</f>
        <v>5760.24578687078</v>
      </c>
      <c r="R17" s="65" t="n">
        <f aca="false">'Revenue Streams'!R$46+'Revenue Streams'!R$37*'Assumption Setting'!$C$204</f>
        <v>6427.34832804119</v>
      </c>
      <c r="S17" s="65" t="n">
        <f aca="false">'Revenue Streams'!S$46+'Revenue Streams'!S$37*'Assumption Setting'!$C$204</f>
        <v>7187.20801345119</v>
      </c>
      <c r="T17" s="65" t="n">
        <f aca="false">'Revenue Streams'!T$46+'Revenue Streams'!T$37*'Assumption Setting'!$C$204</f>
        <v>7986.64378772748</v>
      </c>
      <c r="U17" s="65" t="n">
        <f aca="false">'Revenue Streams'!U$46+'Revenue Streams'!U$37*'Assumption Setting'!$C$204</f>
        <v>8799.56464266708</v>
      </c>
      <c r="V17" s="65" t="n">
        <f aca="false">'Revenue Streams'!V$46+'Revenue Streams'!V$37*'Assumption Setting'!$C$204</f>
        <v>9679.61048712557</v>
      </c>
      <c r="W17" s="65" t="n">
        <f aca="false">'Revenue Streams'!W$46+'Revenue Streams'!W$37*'Assumption Setting'!$C$204</f>
        <v>10567.0558584889</v>
      </c>
      <c r="X17" s="65" t="n">
        <f aca="false">'Revenue Streams'!X$46+'Revenue Streams'!X$37*'Assumption Setting'!$C$204</f>
        <v>11459.5544589388</v>
      </c>
      <c r="Y17" s="65" t="n">
        <f aca="false">'Revenue Streams'!Y$46+'Revenue Streams'!Y$37*'Assumption Setting'!$C$204</f>
        <v>12405.1051234739</v>
      </c>
      <c r="Z17" s="65" t="n">
        <f aca="false">'Revenue Streams'!Z$46+'Revenue Streams'!Z$37*'Assumption Setting'!$C$204</f>
        <v>13345.6249498084</v>
      </c>
      <c r="AA17" s="65" t="n">
        <f aca="false">'Revenue Streams'!AA$46+'Revenue Streams'!AA$37*'Assumption Setting'!$C$204</f>
        <v>14277.3246980778</v>
      </c>
      <c r="AB17" s="64" t="n">
        <f aca="false">AN17</f>
        <v>27161.3058461803</v>
      </c>
      <c r="AC17" s="65" t="n">
        <f aca="false">'Revenue Streams'!AC$46+'Revenue Streams'!AC$37*'Assumption Setting'!$C$204</f>
        <v>15676.512015109</v>
      </c>
      <c r="AD17" s="65" t="n">
        <f aca="false">'Revenue Streams'!AD$46+'Revenue Streams'!AD$37*'Assumption Setting'!$C$204</f>
        <v>16142.7431636193</v>
      </c>
      <c r="AE17" s="65" t="n">
        <f aca="false">'Revenue Streams'!AE$46+'Revenue Streams'!AE$37*'Assumption Setting'!$C$204</f>
        <v>16860.1224190032</v>
      </c>
      <c r="AF17" s="65" t="n">
        <f aca="false">'Revenue Streams'!AF$46+'Revenue Streams'!AF$37*'Assumption Setting'!$C$204</f>
        <v>18038.009431388</v>
      </c>
      <c r="AG17" s="65" t="n">
        <f aca="false">'Revenue Streams'!AG$46+'Revenue Streams'!AG$37*'Assumption Setting'!$C$204</f>
        <v>19218.5698486095</v>
      </c>
      <c r="AH17" s="65" t="n">
        <f aca="false">'Revenue Streams'!AH$46+'Revenue Streams'!AH$37*'Assumption Setting'!$C$204</f>
        <v>20403.3226423311</v>
      </c>
      <c r="AI17" s="65" t="n">
        <f aca="false">'Revenue Streams'!AI$46+'Revenue Streams'!AI$37*'Assumption Setting'!$C$204</f>
        <v>21574.1805961284</v>
      </c>
      <c r="AJ17" s="65" t="n">
        <f aca="false">'Revenue Streams'!AJ$46+'Revenue Streams'!AJ$37*'Assumption Setting'!$C$204</f>
        <v>22747.3302390615</v>
      </c>
      <c r="AK17" s="65" t="n">
        <f aca="false">'Revenue Streams'!AK$46+'Revenue Streams'!AK$37*'Assumption Setting'!$C$204</f>
        <v>23897.5706037082</v>
      </c>
      <c r="AL17" s="65" t="n">
        <f aca="false">'Revenue Streams'!AL$46+'Revenue Streams'!AL$37*'Assumption Setting'!$C$204</f>
        <v>24991.3964016334</v>
      </c>
      <c r="AM17" s="65" t="n">
        <f aca="false">'Revenue Streams'!AM$46+'Revenue Streams'!AM$37*'Assumption Setting'!$C$204</f>
        <v>26079.9676628874</v>
      </c>
      <c r="AN17" s="65" t="n">
        <f aca="false">'Revenue Streams'!AN$46+'Revenue Streams'!AN$37*'Assumption Setting'!$C$204</f>
        <v>27161.3058461803</v>
      </c>
      <c r="AO17" s="64" t="n">
        <f aca="false">BA17</f>
        <v>46152.962818402</v>
      </c>
      <c r="AP17" s="65" t="n">
        <f aca="false">'Revenue Streams'!AP$46+'Revenue Streams'!AP$37*'Assumption Setting'!$C$204</f>
        <v>30416.7221217537</v>
      </c>
      <c r="AQ17" s="65" t="n">
        <f aca="false">'Revenue Streams'!AQ$46+'Revenue Streams'!AQ$37*'Assumption Setting'!$C$204</f>
        <v>31866.6314411781</v>
      </c>
      <c r="AR17" s="65" t="n">
        <f aca="false">'Revenue Streams'!AR$46+'Revenue Streams'!AR$37*'Assumption Setting'!$C$204</f>
        <v>33294.4819334828</v>
      </c>
      <c r="AS17" s="65" t="n">
        <f aca="false">'Revenue Streams'!AS$46+'Revenue Streams'!AS$37*'Assumption Setting'!$C$204</f>
        <v>34787.4205377314</v>
      </c>
      <c r="AT17" s="65" t="n">
        <f aca="false">'Revenue Streams'!AT$46+'Revenue Streams'!AT$37*'Assumption Setting'!$C$204</f>
        <v>36274.7378344227</v>
      </c>
      <c r="AU17" s="65" t="n">
        <f aca="false">'Revenue Streams'!AU$46+'Revenue Streams'!AU$37*'Assumption Setting'!$C$204</f>
        <v>37743.2654196432</v>
      </c>
      <c r="AV17" s="65" t="n">
        <f aca="false">'Revenue Streams'!AV$46+'Revenue Streams'!AV$37*'Assumption Setting'!$C$204</f>
        <v>39233.697231123</v>
      </c>
      <c r="AW17" s="65" t="n">
        <f aca="false">'Revenue Streams'!AW$46+'Revenue Streams'!AW$37*'Assumption Setting'!$C$204</f>
        <v>40704.2458812055</v>
      </c>
      <c r="AX17" s="65" t="n">
        <f aca="false">'Revenue Streams'!AX$46+'Revenue Streams'!AX$37*'Assumption Setting'!$C$204</f>
        <v>42151.8410104151</v>
      </c>
      <c r="AY17" s="65" t="n">
        <f aca="false">'Revenue Streams'!AY$46+'Revenue Streams'!AY$37*'Assumption Setting'!$C$204</f>
        <v>43509.2389278444</v>
      </c>
      <c r="AZ17" s="65" t="n">
        <f aca="false">'Revenue Streams'!AZ$46+'Revenue Streams'!AZ$37*'Assumption Setting'!$C$204</f>
        <v>44843.1940082879</v>
      </c>
      <c r="BA17" s="65" t="n">
        <f aca="false">'Revenue Streams'!BA$46+'Revenue Streams'!BA$37*'Assumption Setting'!$C$204</f>
        <v>46152.962818402</v>
      </c>
      <c r="BB17" s="64" t="n">
        <f aca="false">BN17</f>
        <v>68671.0980988234</v>
      </c>
      <c r="BC17" s="65" t="n">
        <f aca="false">'Revenue Streams'!BC$46+'Revenue Streams'!BC$37*'Assumption Setting'!$C$204</f>
        <v>50315.3342553835</v>
      </c>
      <c r="BD17" s="65" t="n">
        <f aca="false">'Revenue Streams'!BD$46+'Revenue Streams'!BD$37*'Assumption Setting'!$C$204</f>
        <v>52047.4314240103</v>
      </c>
      <c r="BE17" s="65" t="n">
        <f aca="false">'Revenue Streams'!BE$46+'Revenue Streams'!BE$37*'Assumption Setting'!$C$204</f>
        <v>53775.1916237267</v>
      </c>
      <c r="BF17" s="65" t="n">
        <f aca="false">'Revenue Streams'!BF$46+'Revenue Streams'!BF$37*'Assumption Setting'!$C$204</f>
        <v>55569.9754242814</v>
      </c>
      <c r="BG17" s="65" t="n">
        <f aca="false">'Revenue Streams'!BG$46+'Revenue Streams'!BG$37*'Assumption Setting'!$C$204</f>
        <v>57339.7808855047</v>
      </c>
      <c r="BH17" s="65" t="n">
        <f aca="false">'Revenue Streams'!BH$46+'Revenue Streams'!BH$37*'Assumption Setting'!$C$204</f>
        <v>59084.9957069887</v>
      </c>
      <c r="BI17" s="65" t="n">
        <f aca="false">'Revenue Streams'!BI$46+'Revenue Streams'!BI$37*'Assumption Setting'!$C$204</f>
        <v>60802.5865120596</v>
      </c>
      <c r="BJ17" s="65" t="n">
        <f aca="false">'Revenue Streams'!BJ$46+'Revenue Streams'!BJ$37*'Assumption Setting'!$C$204</f>
        <v>62493.2261861198</v>
      </c>
      <c r="BK17" s="65" t="n">
        <f aca="false">'Revenue Streams'!BK$46+'Revenue Streams'!BK$37*'Assumption Setting'!$C$204</f>
        <v>64151.770132303</v>
      </c>
      <c r="BL17" s="65" t="n">
        <f aca="false">'Revenue Streams'!BL$46+'Revenue Streams'!BL$37*'Assumption Setting'!$C$204</f>
        <v>65691.2873439641</v>
      </c>
      <c r="BM17" s="65" t="n">
        <f aca="false">'Revenue Streams'!BM$46+'Revenue Streams'!BM$37*'Assumption Setting'!$C$204</f>
        <v>67198.1435897366</v>
      </c>
      <c r="BN17" s="65" t="n">
        <f aca="false">'Revenue Streams'!BN$46+'Revenue Streams'!BN$37*'Assumption Setting'!$C$204</f>
        <v>68671.0980988234</v>
      </c>
    </row>
    <row r="18" customFormat="false" ht="15" hidden="false" customHeight="false" outlineLevel="0" collapsed="false">
      <c r="A18" s="12" t="s">
        <v>561</v>
      </c>
      <c r="B18" s="64" t="n">
        <f aca="false">N18</f>
        <v>0</v>
      </c>
      <c r="C18" s="65" t="n">
        <f aca="false">-C8</f>
        <v>0</v>
      </c>
      <c r="D18" s="65" t="n">
        <f aca="false">C18-D8-D19</f>
        <v>0</v>
      </c>
      <c r="E18" s="65" t="n">
        <f aca="false">D18-E8-E19</f>
        <v>0</v>
      </c>
      <c r="F18" s="65" t="n">
        <f aca="false">E18-F8-F19</f>
        <v>0</v>
      </c>
      <c r="G18" s="65" t="n">
        <f aca="false">F18-G8-G19</f>
        <v>0</v>
      </c>
      <c r="H18" s="65" t="n">
        <f aca="false">G18-H8-H19</f>
        <v>0</v>
      </c>
      <c r="I18" s="65" t="n">
        <f aca="false">H18-I8-I19</f>
        <v>0</v>
      </c>
      <c r="J18" s="65" t="n">
        <f aca="false">I18-J8-J19</f>
        <v>0</v>
      </c>
      <c r="K18" s="65" t="n">
        <f aca="false">J18-K8-K19</f>
        <v>0</v>
      </c>
      <c r="L18" s="65" t="n">
        <f aca="false">K18-L8-L19</f>
        <v>0</v>
      </c>
      <c r="M18" s="65" t="n">
        <f aca="false">L18-M8-M19</f>
        <v>0</v>
      </c>
      <c r="N18" s="65" t="n">
        <f aca="false">M18-N8-N19</f>
        <v>0</v>
      </c>
      <c r="O18" s="64" t="n">
        <f aca="false">AA18</f>
        <v>0</v>
      </c>
      <c r="P18" s="65" t="n">
        <f aca="false">N18-P8-P19</f>
        <v>0</v>
      </c>
      <c r="Q18" s="65" t="n">
        <f aca="false">P18-Q8-Q19</f>
        <v>0</v>
      </c>
      <c r="R18" s="65" t="n">
        <f aca="false">Q18-R8-R19</f>
        <v>0</v>
      </c>
      <c r="S18" s="65" t="n">
        <f aca="false">R18-S8-S19</f>
        <v>0</v>
      </c>
      <c r="T18" s="65" t="n">
        <f aca="false">S18-T8-T19</f>
        <v>0</v>
      </c>
      <c r="U18" s="65" t="n">
        <f aca="false">T18-U8-U19</f>
        <v>0</v>
      </c>
      <c r="V18" s="65" t="n">
        <f aca="false">U18-V8-V19</f>
        <v>0</v>
      </c>
      <c r="W18" s="65" t="n">
        <f aca="false">V18-W8-W19</f>
        <v>0</v>
      </c>
      <c r="X18" s="65" t="n">
        <f aca="false">W18-X8-X19</f>
        <v>0</v>
      </c>
      <c r="Y18" s="65" t="n">
        <f aca="false">X18-Y8-Y19</f>
        <v>0</v>
      </c>
      <c r="Z18" s="65" t="n">
        <f aca="false">Y18-Z8-Z19</f>
        <v>0</v>
      </c>
      <c r="AA18" s="65" t="n">
        <f aca="false">Z18-AA8-AA19</f>
        <v>0</v>
      </c>
      <c r="AB18" s="64" t="n">
        <f aca="false">AN18</f>
        <v>0</v>
      </c>
      <c r="AC18" s="65" t="n">
        <f aca="false">AA18-AC8-AC19</f>
        <v>0</v>
      </c>
      <c r="AD18" s="65" t="n">
        <f aca="false">AC18-AD8-AD19</f>
        <v>0</v>
      </c>
      <c r="AE18" s="65" t="n">
        <f aca="false">AD18-AE8-AE19</f>
        <v>0</v>
      </c>
      <c r="AF18" s="65" t="n">
        <f aca="false">AE18-AF8-AF19</f>
        <v>0</v>
      </c>
      <c r="AG18" s="65" t="n">
        <f aca="false">AF18-AG8-AG19</f>
        <v>0</v>
      </c>
      <c r="AH18" s="65" t="n">
        <f aca="false">AG18-AH8-AH19</f>
        <v>0</v>
      </c>
      <c r="AI18" s="65" t="n">
        <f aca="false">AH18-AI8-AI19</f>
        <v>0</v>
      </c>
      <c r="AJ18" s="65" t="n">
        <f aca="false">AI18-AJ8-AJ19</f>
        <v>0</v>
      </c>
      <c r="AK18" s="65" t="n">
        <f aca="false">AJ18-AK8-AK19</f>
        <v>0</v>
      </c>
      <c r="AL18" s="65" t="n">
        <f aca="false">AK18-AL8-AL19</f>
        <v>0</v>
      </c>
      <c r="AM18" s="65" t="n">
        <f aca="false">AL18-AM8-AM19</f>
        <v>0</v>
      </c>
      <c r="AN18" s="65" t="n">
        <f aca="false">AM18-AN8-AN19</f>
        <v>0</v>
      </c>
      <c r="AO18" s="64" t="n">
        <f aca="false">BA18</f>
        <v>23868.9388142764</v>
      </c>
      <c r="AP18" s="65" t="n">
        <f aca="false">AN18-AP8-AP19</f>
        <v>1989.07823452304</v>
      </c>
      <c r="AQ18" s="65" t="n">
        <f aca="false">AP18-AQ8-AQ19</f>
        <v>3978.15646904607</v>
      </c>
      <c r="AR18" s="65" t="n">
        <f aca="false">AQ18-AR8-AR19</f>
        <v>5967.23470356911</v>
      </c>
      <c r="AS18" s="65" t="n">
        <f aca="false">AR18-AS8-AS19</f>
        <v>7956.31293809215</v>
      </c>
      <c r="AT18" s="65" t="n">
        <f aca="false">AS18-AT8-AT19</f>
        <v>9945.39117261519</v>
      </c>
      <c r="AU18" s="65" t="n">
        <f aca="false">AT18-AU8-AU19</f>
        <v>11934.4694071382</v>
      </c>
      <c r="AV18" s="65" t="n">
        <f aca="false">AU18-AV8-AV19</f>
        <v>13923.5476416613</v>
      </c>
      <c r="AW18" s="65" t="n">
        <f aca="false">AV18-AW8-AW19</f>
        <v>15912.6258761843</v>
      </c>
      <c r="AX18" s="65" t="n">
        <f aca="false">AW18-AX8-AX19</f>
        <v>17901.7041107073</v>
      </c>
      <c r="AY18" s="65" t="n">
        <f aca="false">AX18-AY8-AY19</f>
        <v>19890.7823452304</v>
      </c>
      <c r="AZ18" s="65" t="n">
        <f aca="false">AY18-AZ8-AZ19</f>
        <v>21879.8605797534</v>
      </c>
      <c r="BA18" s="65" t="n">
        <f aca="false">AZ18-BA8-BA19</f>
        <v>23868.9388142764</v>
      </c>
      <c r="BB18" s="64" t="n">
        <f aca="false">BN18</f>
        <v>82237.8118837459</v>
      </c>
      <c r="BC18" s="65" t="n">
        <f aca="false">BA18-BC8-BC19</f>
        <v>30722.0898045886</v>
      </c>
      <c r="BD18" s="65" t="n">
        <f aca="false">BC18-BD8-BD19</f>
        <v>37575.2407949008</v>
      </c>
      <c r="BE18" s="65" t="n">
        <f aca="false">BD18-BE8-BE19</f>
        <v>44428.3917852129</v>
      </c>
      <c r="BF18" s="65" t="n">
        <f aca="false">BE18-BF8-BF19</f>
        <v>27412.6039612486</v>
      </c>
      <c r="BG18" s="65" t="n">
        <f aca="false">BF18-BG8-BG19</f>
        <v>34265.7549515608</v>
      </c>
      <c r="BH18" s="65" t="n">
        <f aca="false">BG18-BH8-BH19</f>
        <v>41118.905941873</v>
      </c>
      <c r="BI18" s="65" t="n">
        <f aca="false">BH18-BI8-BI19</f>
        <v>47972.0569321851</v>
      </c>
      <c r="BJ18" s="65" t="n">
        <f aca="false">BI18-BJ8-BJ19</f>
        <v>54825.2079224973</v>
      </c>
      <c r="BK18" s="65" t="n">
        <f aca="false">BJ18-BK8-BK19</f>
        <v>61678.3589128094</v>
      </c>
      <c r="BL18" s="65" t="n">
        <f aca="false">BK18-BL8-BL19</f>
        <v>68531.5099031216</v>
      </c>
      <c r="BM18" s="65" t="n">
        <f aca="false">BL18-BM8-BM19</f>
        <v>75384.6608934338</v>
      </c>
      <c r="BN18" s="65" t="n">
        <f aca="false">BM18-BN8-BN19</f>
        <v>82237.8118837459</v>
      </c>
    </row>
    <row r="19" customFormat="false" ht="15" hidden="false" customHeight="false" outlineLevel="0" collapsed="false">
      <c r="A19" s="12" t="s">
        <v>905</v>
      </c>
      <c r="B19" s="64" t="n">
        <f aca="false">SUM(C19:N19)</f>
        <v>0</v>
      </c>
      <c r="C19" s="65" t="n">
        <f aca="false">0</f>
        <v>0</v>
      </c>
      <c r="D19" s="65" t="n">
        <f aca="false">0</f>
        <v>0</v>
      </c>
      <c r="E19" s="65" t="n">
        <f aca="false">0</f>
        <v>0</v>
      </c>
      <c r="F19" s="65" t="n">
        <f aca="false">0</f>
        <v>0</v>
      </c>
      <c r="G19" s="65" t="n">
        <f aca="false">0</f>
        <v>0</v>
      </c>
      <c r="H19" s="65" t="n">
        <f aca="false">0</f>
        <v>0</v>
      </c>
      <c r="I19" s="65" t="n">
        <f aca="false">0</f>
        <v>0</v>
      </c>
      <c r="J19" s="65" t="n">
        <f aca="false">0</f>
        <v>0</v>
      </c>
      <c r="K19" s="65" t="n">
        <f aca="false">0</f>
        <v>0</v>
      </c>
      <c r="L19" s="65" t="n">
        <f aca="false">0</f>
        <v>0</v>
      </c>
      <c r="M19" s="65" t="n">
        <f aca="false">0</f>
        <v>0</v>
      </c>
      <c r="N19" s="65" t="n">
        <f aca="false">0</f>
        <v>0</v>
      </c>
      <c r="O19" s="64" t="n">
        <f aca="false">SUM(P19:AA19)</f>
        <v>0</v>
      </c>
      <c r="P19" s="65" t="n">
        <f aca="false">IF(13=12+'Assumption Setting'!$C$212,-'Income Statement'!$C$39,0)</f>
        <v>0</v>
      </c>
      <c r="Q19" s="65" t="n">
        <f aca="false">IF(14=12+'Assumption Setting'!$C$212,-'Income Statement'!$C$39,0)</f>
        <v>0</v>
      </c>
      <c r="R19" s="65" t="n">
        <f aca="false">IF(15=12+'Assumption Setting'!$C$212,-'Income Statement'!$C$39,0)</f>
        <v>0</v>
      </c>
      <c r="S19" s="65" t="n">
        <f aca="false">IF(16=12+'Assumption Setting'!$C$212,-'Income Statement'!$C$39,0)</f>
        <v>0</v>
      </c>
      <c r="T19" s="65" t="n">
        <f aca="false">IF(17=12+'Assumption Setting'!$C$212,-'Income Statement'!$C$39,0)</f>
        <v>0</v>
      </c>
      <c r="U19" s="65" t="n">
        <f aca="false">IF(18=12+'Assumption Setting'!$C$212,-'Income Statement'!$C$39,0)</f>
        <v>0</v>
      </c>
      <c r="V19" s="65" t="n">
        <f aca="false">IF(19=12+'Assumption Setting'!$C$212,-'Income Statement'!$C$39,0)</f>
        <v>0</v>
      </c>
      <c r="W19" s="65" t="n">
        <f aca="false">IF(20=12+'Assumption Setting'!$C$212,-'Income Statement'!$C$39,0)</f>
        <v>0</v>
      </c>
      <c r="X19" s="65" t="n">
        <f aca="false">IF(21=12+'Assumption Setting'!$C$212,-'Income Statement'!$C$39,0)</f>
        <v>0</v>
      </c>
      <c r="Y19" s="65" t="n">
        <f aca="false">IF(22=12+'Assumption Setting'!$C$212,-'Income Statement'!$C$39,0)</f>
        <v>0</v>
      </c>
      <c r="Z19" s="65" t="n">
        <f aca="false">IF(23=12+'Assumption Setting'!$C$212,-'Income Statement'!$C$39,0)</f>
        <v>0</v>
      </c>
      <c r="AA19" s="65" t="n">
        <f aca="false">IF(24=12+'Assumption Setting'!$C$212,-'Income Statement'!$C$39,0)</f>
        <v>0</v>
      </c>
      <c r="AB19" s="64" t="n">
        <f aca="false">SUM(AC19:AN19)</f>
        <v>0</v>
      </c>
      <c r="AC19" s="65" t="n">
        <f aca="false">IF(25=24+'Assumption Setting'!$C$212,-'Income Statement'!$D$39,0)</f>
        <v>0</v>
      </c>
      <c r="AD19" s="65" t="n">
        <f aca="false">IF(26=24+'Assumption Setting'!$C$212,-'Income Statement'!$D$39,0)</f>
        <v>0</v>
      </c>
      <c r="AE19" s="65" t="n">
        <f aca="false">IF(27=24+'Assumption Setting'!$C$212,-'Income Statement'!$D$39,0)</f>
        <v>0</v>
      </c>
      <c r="AF19" s="65" t="n">
        <f aca="false">IF(28=24+'Assumption Setting'!$C$212,-'Income Statement'!$D$39,0)</f>
        <v>0</v>
      </c>
      <c r="AG19" s="65" t="n">
        <f aca="false">IF(29=24+'Assumption Setting'!$C$212,-'Income Statement'!$D$39,0)</f>
        <v>0</v>
      </c>
      <c r="AH19" s="65" t="n">
        <f aca="false">IF(30=24+'Assumption Setting'!$C$212,-'Income Statement'!$D$39,0)</f>
        <v>0</v>
      </c>
      <c r="AI19" s="65" t="n">
        <f aca="false">IF(31=24+'Assumption Setting'!$C$212,-'Income Statement'!$D$39,0)</f>
        <v>0</v>
      </c>
      <c r="AJ19" s="65" t="n">
        <f aca="false">IF(32=24+'Assumption Setting'!$C$212,-'Income Statement'!$D$39,0)</f>
        <v>0</v>
      </c>
      <c r="AK19" s="65" t="n">
        <f aca="false">IF(33=24+'Assumption Setting'!$C$212,-'Income Statement'!$D$39,0)</f>
        <v>0</v>
      </c>
      <c r="AL19" s="65" t="n">
        <f aca="false">IF(34=24+'Assumption Setting'!$C$212,-'Income Statement'!$D$39,0)</f>
        <v>0</v>
      </c>
      <c r="AM19" s="65" t="n">
        <f aca="false">IF(35=24+'Assumption Setting'!$C$212,-'Income Statement'!$D$39,0)</f>
        <v>0</v>
      </c>
      <c r="AN19" s="65" t="n">
        <f aca="false">IF(36=24+'Assumption Setting'!$C$212,-'Income Statement'!$D$39,0)</f>
        <v>0</v>
      </c>
      <c r="AO19" s="64" t="n">
        <f aca="false">SUM(AP19:BA19)</f>
        <v>0</v>
      </c>
      <c r="AP19" s="65" t="n">
        <f aca="false">IF(37=36+'Assumption Setting'!$C$212,-'Income Statement'!$E$39,0)</f>
        <v>0</v>
      </c>
      <c r="AQ19" s="65" t="n">
        <f aca="false">IF(38=36+'Assumption Setting'!$C$212,-'Income Statement'!$E$39,0)</f>
        <v>0</v>
      </c>
      <c r="AR19" s="65" t="n">
        <f aca="false">IF(39=36+'Assumption Setting'!$C$212,-'Income Statement'!$E$39,0)</f>
        <v>0</v>
      </c>
      <c r="AS19" s="65" t="n">
        <f aca="false">IF(40=36+'Assumption Setting'!$C$212,-'Income Statement'!$E$39,0)</f>
        <v>0</v>
      </c>
      <c r="AT19" s="65" t="n">
        <f aca="false">IF(41=36+'Assumption Setting'!$C$212,-'Income Statement'!$E$39,0)</f>
        <v>0</v>
      </c>
      <c r="AU19" s="65" t="n">
        <f aca="false">IF(42=36+'Assumption Setting'!$C$212,-'Income Statement'!$E$39,0)</f>
        <v>0</v>
      </c>
      <c r="AV19" s="65" t="n">
        <f aca="false">IF(43=36+'Assumption Setting'!$C$212,-'Income Statement'!$E$39,0)</f>
        <v>0</v>
      </c>
      <c r="AW19" s="65" t="n">
        <f aca="false">IF(44=36+'Assumption Setting'!$C$212,-'Income Statement'!$E$39,0)</f>
        <v>0</v>
      </c>
      <c r="AX19" s="65" t="n">
        <f aca="false">IF(45=36+'Assumption Setting'!$C$212,-'Income Statement'!$E$39,0)</f>
        <v>0</v>
      </c>
      <c r="AY19" s="65" t="n">
        <f aca="false">IF(46=36+'Assumption Setting'!$C$212,-'Income Statement'!$E$39,0)</f>
        <v>0</v>
      </c>
      <c r="AZ19" s="65" t="n">
        <f aca="false">IF(47=36+'Assumption Setting'!$C$212,-'Income Statement'!$E$39,0)</f>
        <v>0</v>
      </c>
      <c r="BA19" s="65" t="n">
        <f aca="false">IF(48=36+'Assumption Setting'!$C$212,-'Income Statement'!$E$39,0)</f>
        <v>0</v>
      </c>
      <c r="BB19" s="64" t="n">
        <f aca="false">SUM(BC19:BN19)</f>
        <v>23868.9388142764</v>
      </c>
      <c r="BC19" s="65" t="n">
        <f aca="false">IF(49=48+'Assumption Setting'!$C$212,-'Income Statement'!$F$39,0)</f>
        <v>0</v>
      </c>
      <c r="BD19" s="65" t="n">
        <f aca="false">IF(50=48+'Assumption Setting'!$C$212,-'Income Statement'!$F$39,0)</f>
        <v>0</v>
      </c>
      <c r="BE19" s="65" t="n">
        <f aca="false">IF(51=48+'Assumption Setting'!$C$212,-'Income Statement'!$F$39,0)</f>
        <v>0</v>
      </c>
      <c r="BF19" s="65" t="n">
        <f aca="false">IF(52=48+'Assumption Setting'!$C$212,-'Income Statement'!$F$39,0)</f>
        <v>23868.9388142764</v>
      </c>
      <c r="BG19" s="65" t="n">
        <f aca="false">IF(53=48+'Assumption Setting'!$C$212,-'Income Statement'!$F$39,0)</f>
        <v>0</v>
      </c>
      <c r="BH19" s="65" t="n">
        <f aca="false">IF(54=48+'Assumption Setting'!$C$212,-'Income Statement'!$F$39,0)</f>
        <v>0</v>
      </c>
      <c r="BI19" s="65" t="n">
        <f aca="false">IF(55=48+'Assumption Setting'!$C$212,-'Income Statement'!$F$39,0)</f>
        <v>0</v>
      </c>
      <c r="BJ19" s="65" t="n">
        <f aca="false">IF(56=48+'Assumption Setting'!$C$212,-'Income Statement'!$F$39,0)</f>
        <v>0</v>
      </c>
      <c r="BK19" s="65" t="n">
        <f aca="false">IF(57=48+'Assumption Setting'!$C$212,-'Income Statement'!$F$39,0)</f>
        <v>0</v>
      </c>
      <c r="BL19" s="65" t="n">
        <f aca="false">IF(58=48+'Assumption Setting'!$C$212,-'Income Statement'!$F$39,0)</f>
        <v>0</v>
      </c>
      <c r="BM19" s="65" t="n">
        <f aca="false">IF(59=48+'Assumption Setting'!$C$212,-'Income Statement'!$F$39,0)</f>
        <v>0</v>
      </c>
      <c r="BN19" s="65" t="n">
        <f aca="false">IF(60=48+'Assumption Setting'!$C$212,-'Income Statement'!$F$39,0)</f>
        <v>0</v>
      </c>
    </row>
    <row r="21" customFormat="false" ht="16.5" hidden="false" customHeight="true" outlineLevel="0" collapsed="false">
      <c r="A21" s="15" t="s">
        <v>906</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row>
    <row r="22" customFormat="false" ht="15" hidden="false" customHeight="true" outlineLevel="0" collapsed="false">
      <c r="A22" s="26" t="s">
        <v>481</v>
      </c>
      <c r="B22" s="61" t="s">
        <v>81</v>
      </c>
      <c r="C22" s="62" t="s">
        <v>482</v>
      </c>
      <c r="D22" s="62" t="s">
        <v>483</v>
      </c>
      <c r="E22" s="62" t="s">
        <v>484</v>
      </c>
      <c r="F22" s="62" t="s">
        <v>485</v>
      </c>
      <c r="G22" s="62" t="s">
        <v>486</v>
      </c>
      <c r="H22" s="62" t="s">
        <v>487</v>
      </c>
      <c r="I22" s="62" t="s">
        <v>488</v>
      </c>
      <c r="J22" s="62" t="s">
        <v>489</v>
      </c>
      <c r="K22" s="62" t="s">
        <v>490</v>
      </c>
      <c r="L22" s="62" t="s">
        <v>491</v>
      </c>
      <c r="M22" s="62" t="s">
        <v>492</v>
      </c>
      <c r="N22" s="62" t="s">
        <v>493</v>
      </c>
      <c r="O22" s="61" t="s">
        <v>82</v>
      </c>
      <c r="P22" s="63" t="s">
        <v>494</v>
      </c>
      <c r="Q22" s="63" t="s">
        <v>495</v>
      </c>
      <c r="R22" s="63" t="s">
        <v>496</v>
      </c>
      <c r="S22" s="63" t="s">
        <v>497</v>
      </c>
      <c r="T22" s="63" t="s">
        <v>498</v>
      </c>
      <c r="U22" s="63" t="s">
        <v>499</v>
      </c>
      <c r="V22" s="63" t="s">
        <v>500</v>
      </c>
      <c r="W22" s="63" t="s">
        <v>501</v>
      </c>
      <c r="X22" s="63" t="s">
        <v>502</v>
      </c>
      <c r="Y22" s="63" t="s">
        <v>503</v>
      </c>
      <c r="Z22" s="63" t="s">
        <v>504</v>
      </c>
      <c r="AA22" s="63" t="s">
        <v>505</v>
      </c>
      <c r="AB22" s="61" t="s">
        <v>83</v>
      </c>
      <c r="AC22" s="62" t="s">
        <v>506</v>
      </c>
      <c r="AD22" s="62" t="s">
        <v>507</v>
      </c>
      <c r="AE22" s="62" t="s">
        <v>508</v>
      </c>
      <c r="AF22" s="62" t="s">
        <v>509</v>
      </c>
      <c r="AG22" s="62" t="s">
        <v>510</v>
      </c>
      <c r="AH22" s="62" t="s">
        <v>511</v>
      </c>
      <c r="AI22" s="62" t="s">
        <v>512</v>
      </c>
      <c r="AJ22" s="62" t="s">
        <v>513</v>
      </c>
      <c r="AK22" s="62" t="s">
        <v>514</v>
      </c>
      <c r="AL22" s="62" t="s">
        <v>515</v>
      </c>
      <c r="AM22" s="62" t="s">
        <v>516</v>
      </c>
      <c r="AN22" s="62" t="s">
        <v>517</v>
      </c>
      <c r="AO22" s="61" t="s">
        <v>84</v>
      </c>
      <c r="AP22" s="63" t="s">
        <v>518</v>
      </c>
      <c r="AQ22" s="63" t="s">
        <v>519</v>
      </c>
      <c r="AR22" s="63" t="s">
        <v>520</v>
      </c>
      <c r="AS22" s="63" t="s">
        <v>521</v>
      </c>
      <c r="AT22" s="63" t="s">
        <v>522</v>
      </c>
      <c r="AU22" s="63" t="s">
        <v>523</v>
      </c>
      <c r="AV22" s="63" t="s">
        <v>524</v>
      </c>
      <c r="AW22" s="63" t="s">
        <v>525</v>
      </c>
      <c r="AX22" s="63" t="s">
        <v>526</v>
      </c>
      <c r="AY22" s="63" t="s">
        <v>527</v>
      </c>
      <c r="AZ22" s="63" t="s">
        <v>528</v>
      </c>
      <c r="BA22" s="63" t="s">
        <v>529</v>
      </c>
      <c r="BB22" s="61" t="s">
        <v>85</v>
      </c>
      <c r="BC22" s="62" t="s">
        <v>530</v>
      </c>
      <c r="BD22" s="62" t="s">
        <v>531</v>
      </c>
      <c r="BE22" s="62" t="s">
        <v>532</v>
      </c>
      <c r="BF22" s="62" t="s">
        <v>533</v>
      </c>
      <c r="BG22" s="62" t="s">
        <v>534</v>
      </c>
      <c r="BH22" s="62" t="s">
        <v>535</v>
      </c>
      <c r="BI22" s="62" t="s">
        <v>536</v>
      </c>
      <c r="BJ22" s="62" t="s">
        <v>537</v>
      </c>
      <c r="BK22" s="62" t="s">
        <v>538</v>
      </c>
      <c r="BL22" s="62" t="s">
        <v>539</v>
      </c>
      <c r="BM22" s="62" t="s">
        <v>540</v>
      </c>
      <c r="BN22" s="62" t="s">
        <v>541</v>
      </c>
    </row>
    <row r="23" customFormat="false" ht="15" hidden="false" customHeight="false" outlineLevel="0" collapsed="false">
      <c r="A23" s="12" t="s">
        <v>907</v>
      </c>
      <c r="B23" s="64" t="n">
        <f aca="false">SUM(C23:N23)</f>
        <v>-35813.0643935571</v>
      </c>
      <c r="C23" s="65" t="n">
        <f aca="false">-C14</f>
        <v>-8137.03919796962</v>
      </c>
      <c r="D23" s="65" t="n">
        <f aca="false">-(D14-C14)</f>
        <v>-4881.55565630295</v>
      </c>
      <c r="E23" s="65" t="n">
        <f aca="false">-(E14-D14)</f>
        <v>-3254.52773963629</v>
      </c>
      <c r="F23" s="65" t="n">
        <f aca="false">-(F14-E14)</f>
        <v>-0.361072969615634</v>
      </c>
      <c r="G23" s="65" t="n">
        <f aca="false">-(G14-F14)</f>
        <v>-347.178686046595</v>
      </c>
      <c r="H23" s="65" t="n">
        <f aca="false">-(H14-G14)</f>
        <v>-347.205658651968</v>
      </c>
      <c r="I23" s="65" t="n">
        <f aca="false">-(I14-H14)</f>
        <v>-3140.64678637154</v>
      </c>
      <c r="J23" s="65" t="n">
        <f aca="false">-(J14-I14)</f>
        <v>-3140.73449728827</v>
      </c>
      <c r="K23" s="65" t="n">
        <f aca="false">-(K14-J14)</f>
        <v>-3140.82220820499</v>
      </c>
      <c r="L23" s="65" t="n">
        <f aca="false">-(L14-K14)</f>
        <v>-3140.90991912171</v>
      </c>
      <c r="M23" s="65" t="n">
        <f aca="false">-(M14-L14)</f>
        <v>-3140.99763003844</v>
      </c>
      <c r="N23" s="65" t="n">
        <f aca="false">-(N14-M14)</f>
        <v>-3141.08534095516</v>
      </c>
      <c r="O23" s="64" t="n">
        <f aca="false">SUM(P23:AA23)</f>
        <v>-75405.4556895047</v>
      </c>
      <c r="P23" s="65" t="n">
        <f aca="false">-(P14-N14)</f>
        <v>-7975.25766121208</v>
      </c>
      <c r="Q23" s="65" t="n">
        <f aca="false">-(Q14-P14)</f>
        <v>-4180.53233108268</v>
      </c>
      <c r="R23" s="65" t="n">
        <f aca="false">-(R14-Q14)</f>
        <v>-4984.55300745442</v>
      </c>
      <c r="S23" s="65" t="n">
        <f aca="false">-(S14-R14)</f>
        <v>-5742.7515724112</v>
      </c>
      <c r="T23" s="65" t="n">
        <f aca="false">-(T14-S14)</f>
        <v>-5970.15202794181</v>
      </c>
      <c r="U23" s="65" t="n">
        <f aca="false">-(U14-T14)</f>
        <v>-5970.37692476394</v>
      </c>
      <c r="V23" s="65" t="n">
        <f aca="false">-(V14-U14)</f>
        <v>-6544.32499257468</v>
      </c>
      <c r="W23" s="65" t="n">
        <f aca="false">-(W14-V14)</f>
        <v>-6544.48141242923</v>
      </c>
      <c r="X23" s="65" t="n">
        <f aca="false">-(X14-W14)</f>
        <v>-6544.63783228378</v>
      </c>
      <c r="Y23" s="65" t="n">
        <f aca="false">-(Y14-X14)</f>
        <v>-7044.58270256908</v>
      </c>
      <c r="Z23" s="65" t="n">
        <f aca="false">-(Z14-Y14)</f>
        <v>-6987.49471899748</v>
      </c>
      <c r="AA23" s="65" t="n">
        <f aca="false">-(AA14-Z14)</f>
        <v>-6916.31050578431</v>
      </c>
      <c r="AB23" s="64" t="n">
        <f aca="false">SUM(AC23:AN23)</f>
        <v>-83601.9980012827</v>
      </c>
      <c r="AC23" s="65" t="n">
        <f aca="false">-(AC14-AA14)</f>
        <v>-10071.9485396132</v>
      </c>
      <c r="AD23" s="65" t="n">
        <f aca="false">-(AD14-AC14)</f>
        <v>-993.035909781713</v>
      </c>
      <c r="AE23" s="65" t="n">
        <f aca="false">-(AE14-AD14)</f>
        <v>-3571.76217758871</v>
      </c>
      <c r="AF23" s="65" t="n">
        <f aca="false">-(AF14-AE14)</f>
        <v>-8093.74149174265</v>
      </c>
      <c r="AG23" s="65" t="n">
        <f aca="false">-(AG14-AF14)</f>
        <v>-8060.47341681522</v>
      </c>
      <c r="AH23" s="65" t="n">
        <f aca="false">-(AH14-AG14)</f>
        <v>-8060.59474807899</v>
      </c>
      <c r="AI23" s="65" t="n">
        <f aca="false">-(AI14-AH14)</f>
        <v>-7877.53977190904</v>
      </c>
      <c r="AJ23" s="65" t="n">
        <f aca="false">-(AJ14-AI14)</f>
        <v>-7877.6819845638</v>
      </c>
      <c r="AK23" s="65" t="n">
        <f aca="false">-(AK14-AJ14)</f>
        <v>-7647.14642122088</v>
      </c>
      <c r="AL23" s="65" t="n">
        <f aca="false">-(AL14-AK14)</f>
        <v>-7115.89261057015</v>
      </c>
      <c r="AM23" s="65" t="n">
        <f aca="false">-(AM14-AL14)</f>
        <v>-7116.02451332283</v>
      </c>
      <c r="AN23" s="65" t="n">
        <f aca="false">-(AN14-AM14)</f>
        <v>-7116.15641607557</v>
      </c>
      <c r="AO23" s="64" t="n">
        <f aca="false">SUM(AP23:BA23)</f>
        <v>-124871.546550957</v>
      </c>
      <c r="AP23" s="65" t="n">
        <f aca="false">-(AP14-AN14)</f>
        <v>-26079.6240074104</v>
      </c>
      <c r="AQ23" s="65" t="n">
        <f aca="false">-(AQ14-AP14)</f>
        <v>-8189.87196212148</v>
      </c>
      <c r="AR23" s="65" t="n">
        <f aca="false">-(AR14-AQ14)</f>
        <v>-8172.06873512786</v>
      </c>
      <c r="AS23" s="65" t="n">
        <f aca="false">-(AS14-AR14)</f>
        <v>-9011.30357076819</v>
      </c>
      <c r="AT23" s="65" t="n">
        <f aca="false">-(AT14-AS14)</f>
        <v>-9134.05083155792</v>
      </c>
      <c r="AU23" s="65" t="n">
        <f aca="false">-(AU14-AT14)</f>
        <v>-9134.11080993601</v>
      </c>
      <c r="AV23" s="65" t="n">
        <f aca="false">-(AV14-AU14)</f>
        <v>-9544.69663374557</v>
      </c>
      <c r="AW23" s="65" t="n">
        <f aca="false">-(AW14-AV14)</f>
        <v>-9544.74554685131</v>
      </c>
      <c r="AX23" s="65" t="n">
        <f aca="false">-(AX14-AW14)</f>
        <v>-9521.42783106124</v>
      </c>
      <c r="AY23" s="65" t="n">
        <f aca="false">-(AY14-AX14)</f>
        <v>-8846.49931190285</v>
      </c>
      <c r="AZ23" s="65" t="n">
        <f aca="false">-(AZ14-AY14)</f>
        <v>-8846.54887412576</v>
      </c>
      <c r="BA23" s="65" t="n">
        <f aca="false">-(BA14-AZ14)</f>
        <v>-8846.59843634866</v>
      </c>
      <c r="BB23" s="64" t="n">
        <f aca="false">SUM(BC23:BN23)</f>
        <v>-145031.08045192</v>
      </c>
      <c r="BC23" s="65" t="n">
        <f aca="false">-(BC14-BA14)</f>
        <v>-33552.4590585972</v>
      </c>
      <c r="BD23" s="65" t="n">
        <f aca="false">-(BD14-BC14)</f>
        <v>-9522.77540033974</v>
      </c>
      <c r="BE23" s="65" t="n">
        <f aca="false">-(BE14-BD14)</f>
        <v>-9699.98369530099</v>
      </c>
      <c r="BF23" s="65" t="n">
        <f aca="false">-(BF14-BE14)</f>
        <v>-10587.5807607776</v>
      </c>
      <c r="BG23" s="65" t="n">
        <f aca="false">-(BG14-BF14)</f>
        <v>-10570.756559233</v>
      </c>
      <c r="BH23" s="65" t="n">
        <f aca="false">-(BH14-BG14)</f>
        <v>-10570.8434532307</v>
      </c>
      <c r="BI23" s="65" t="n">
        <f aca="false">-(BI14-BH14)</f>
        <v>-10551.2941574142</v>
      </c>
      <c r="BJ23" s="65" t="n">
        <f aca="false">-(BJ14-BI14)</f>
        <v>-10551.3802006477</v>
      </c>
      <c r="BK23" s="65" t="n">
        <f aca="false">-(BK14-BJ14)</f>
        <v>-10512.9267602449</v>
      </c>
      <c r="BL23" s="65" t="n">
        <f aca="false">-(BL14-BK14)</f>
        <v>-9636.94408399164</v>
      </c>
      <c r="BM23" s="65" t="n">
        <f aca="false">-(BM14-BL14)</f>
        <v>-9637.02680204483</v>
      </c>
      <c r="BN23" s="65" t="n">
        <f aca="false">-(BN14-BM14)</f>
        <v>-9637.10952009796</v>
      </c>
    </row>
    <row r="24" customFormat="false" ht="15" hidden="false" customHeight="false" outlineLevel="0" collapsed="false">
      <c r="A24" s="12" t="s">
        <v>908</v>
      </c>
      <c r="B24" s="64" t="n">
        <f aca="false">SUM(C24:N24)</f>
        <v>10536.2442433909</v>
      </c>
      <c r="C24" s="65" t="n">
        <f aca="false">C15</f>
        <v>9299.00465164108</v>
      </c>
      <c r="D24" s="65" t="n">
        <f aca="false">(D15-C15)</f>
        <v>-2842.92820653207</v>
      </c>
      <c r="E24" s="65" t="n">
        <f aca="false">(E15-D15)</f>
        <v>465.118487428151</v>
      </c>
      <c r="F24" s="65" t="n">
        <f aca="false">(F15-E15)</f>
        <v>-139.223096830348</v>
      </c>
      <c r="G24" s="65" t="n">
        <f aca="false">(G15-F15)</f>
        <v>43.8028908544138</v>
      </c>
      <c r="H24" s="65" t="n">
        <f aca="false">(H15-G15)</f>
        <v>43.8505403718254</v>
      </c>
      <c r="I24" s="65" t="n">
        <f aca="false">(I15-H15)</f>
        <v>727.247218748228</v>
      </c>
      <c r="J24" s="65" t="n">
        <f aca="false">(J15-I15)</f>
        <v>587.469126736639</v>
      </c>
      <c r="K24" s="65" t="n">
        <f aca="false">(K15-J15)</f>
        <v>587.680943621928</v>
      </c>
      <c r="L24" s="65" t="n">
        <f aca="false">(L15-K15)</f>
        <v>587.883274870294</v>
      </c>
      <c r="M24" s="65" t="n">
        <f aca="false">(M15-L15)</f>
        <v>588.076689619946</v>
      </c>
      <c r="N24" s="65" t="n">
        <f aca="false">(N15-M15)</f>
        <v>588.261722860805</v>
      </c>
      <c r="O24" s="64" t="n">
        <f aca="false">SUM(P24:AA24)</f>
        <v>20664.7648122577</v>
      </c>
      <c r="P24" s="65" t="n">
        <f aca="false">(P15-N15)</f>
        <v>8527.87178303021</v>
      </c>
      <c r="Q24" s="65" t="n">
        <f aca="false">(Q15-P15)</f>
        <v>896.482371027978</v>
      </c>
      <c r="R24" s="65" t="n">
        <f aca="false">(R15-Q15)</f>
        <v>902.669867137691</v>
      </c>
      <c r="S24" s="65" t="n">
        <f aca="false">(S15-R15)</f>
        <v>1019.06871088374</v>
      </c>
      <c r="T24" s="65" t="n">
        <f aca="false">(T15-S15)</f>
        <v>906.449066632893</v>
      </c>
      <c r="U24" s="65" t="n">
        <f aca="false">(U15-T15)</f>
        <v>1186.96637199313</v>
      </c>
      <c r="V24" s="65" t="n">
        <f aca="false">(V15-U15)</f>
        <v>1166.57674204303</v>
      </c>
      <c r="W24" s="65" t="n">
        <f aca="false">(W15-V15)</f>
        <v>1306.99000096962</v>
      </c>
      <c r="X24" s="65" t="n">
        <f aca="false">(X15-W15)</f>
        <v>1027.38421279026</v>
      </c>
      <c r="Y24" s="65" t="n">
        <f aca="false">(Y15-X15)</f>
        <v>1242.27718809329</v>
      </c>
      <c r="Z24" s="65" t="n">
        <f aca="false">(Z15-Y15)</f>
        <v>1241.53182315491</v>
      </c>
      <c r="AA24" s="65" t="n">
        <f aca="false">(AA15-Z15)</f>
        <v>1240.496674501</v>
      </c>
      <c r="AB24" s="64" t="n">
        <f aca="false">SUM(AC24:AN24)</f>
        <v>26466.3105105012</v>
      </c>
      <c r="AC24" s="65" t="n">
        <f aca="false">(AC15-AA15)</f>
        <v>12527.160415575</v>
      </c>
      <c r="AD24" s="65" t="n">
        <f aca="false">(AD15-AC15)</f>
        <v>4.8366106870526</v>
      </c>
      <c r="AE24" s="65" t="n">
        <f aca="false">(AE15-AD15)</f>
        <v>571.791720925532</v>
      </c>
      <c r="AF24" s="65" t="n">
        <f aca="false">(AF15-AE15)</f>
        <v>1689.52970256422</v>
      </c>
      <c r="AG24" s="65" t="n">
        <f aca="false">(AG15-AF15)</f>
        <v>1686.18989365744</v>
      </c>
      <c r="AH24" s="65" t="n">
        <f aca="false">(AH15-AG15)</f>
        <v>1406.61437565716</v>
      </c>
      <c r="AI24" s="65" t="n">
        <f aca="false">(AI15-AH15)</f>
        <v>1472.00995182242</v>
      </c>
      <c r="AJ24" s="65" t="n">
        <f aca="false">(AJ15-AI15)</f>
        <v>1472.43690495867</v>
      </c>
      <c r="AK24" s="65" t="n">
        <f aca="false">(AK15-AJ15)</f>
        <v>1463.74136745757</v>
      </c>
      <c r="AL24" s="65" t="n">
        <f aca="false">(AL15-AK15)</f>
        <v>1390.32746506121</v>
      </c>
      <c r="AM24" s="65" t="n">
        <f aca="false">(AM15-AL15)</f>
        <v>1390.67179315181</v>
      </c>
      <c r="AN24" s="65" t="n">
        <f aca="false">(AN15-AM15)</f>
        <v>1391.00030898313</v>
      </c>
      <c r="AO24" s="64" t="n">
        <f aca="false">SUM(AP24:BA24)</f>
        <v>35236.4579399045</v>
      </c>
      <c r="AP24" s="65" t="n">
        <f aca="false">(AP15-AN15)</f>
        <v>15147.0426095763</v>
      </c>
      <c r="AQ24" s="65" t="n">
        <f aca="false">(AQ15-AP15)</f>
        <v>1821.22677561329</v>
      </c>
      <c r="AR24" s="65" t="n">
        <f aca="false">(AR15-AQ15)</f>
        <v>1541.1990864309</v>
      </c>
      <c r="AS24" s="65" t="n">
        <f aca="false">(AS15-AR15)</f>
        <v>1807.50759195369</v>
      </c>
      <c r="AT24" s="65" t="n">
        <f aca="false">(AT15-AS15)</f>
        <v>1821.07109732955</v>
      </c>
      <c r="AU24" s="65" t="n">
        <f aca="false">(AU15-AT15)</f>
        <v>1961.19889509116</v>
      </c>
      <c r="AV24" s="65" t="n">
        <f aca="false">(AV15-AU15)</f>
        <v>1792.27473553963</v>
      </c>
      <c r="AW24" s="65" t="n">
        <f aca="false">(AW15-AV15)</f>
        <v>1932.38996805645</v>
      </c>
      <c r="AX24" s="65" t="n">
        <f aca="false">(AX15-AW15)</f>
        <v>2069.09317776003</v>
      </c>
      <c r="AY24" s="65" t="n">
        <f aca="false">(AY15-AX15)</f>
        <v>1687.7351204131</v>
      </c>
      <c r="AZ24" s="65" t="n">
        <f aca="false">(AZ15-AY15)</f>
        <v>1967.81907276089</v>
      </c>
      <c r="BA24" s="65" t="n">
        <f aca="false">(BA15-AZ15)</f>
        <v>1687.89980937952</v>
      </c>
      <c r="BB24" s="64" t="n">
        <f aca="false">SUM(BC24:BN24)</f>
        <v>40452.3520481232</v>
      </c>
      <c r="BC24" s="65" t="n">
        <f aca="false">(BC15-BA15)</f>
        <v>17278.4316232758</v>
      </c>
      <c r="BD24" s="65" t="n">
        <f aca="false">(BD15-BC15)</f>
        <v>1890.23977532976</v>
      </c>
      <c r="BE24" s="65" t="n">
        <f aca="false">(BE15-BD15)</f>
        <v>2058.67850099652</v>
      </c>
      <c r="BF24" s="65" t="n">
        <f aca="false">(BF15-BE15)</f>
        <v>2328.8881244025</v>
      </c>
      <c r="BG24" s="65" t="n">
        <f aca="false">(BG15-BF15)</f>
        <v>2047.09500235609</v>
      </c>
      <c r="BH24" s="65" t="n">
        <f aca="false">(BH15-BG15)</f>
        <v>2327.09970424649</v>
      </c>
      <c r="BI24" s="65" t="n">
        <f aca="false">(BI15-BH15)</f>
        <v>2038.30226401125</v>
      </c>
      <c r="BJ24" s="65" t="n">
        <f aca="false">(BJ15-BI15)</f>
        <v>2178.31493384628</v>
      </c>
      <c r="BK24" s="65" t="n">
        <f aca="false">(BK15-BJ15)</f>
        <v>2312.61226074245</v>
      </c>
      <c r="BL24" s="65" t="n">
        <f aca="false">(BL15-BK15)</f>
        <v>1904.2363069127</v>
      </c>
      <c r="BM24" s="65" t="n">
        <f aca="false">(BM15-BL15)</f>
        <v>2184.22878932407</v>
      </c>
      <c r="BN24" s="65" t="n">
        <f aca="false">(BN15-BM15)</f>
        <v>1904.22476267931</v>
      </c>
    </row>
    <row r="25" customFormat="false" ht="15" hidden="false" customHeight="false" outlineLevel="0" collapsed="false">
      <c r="A25" s="12" t="s">
        <v>909</v>
      </c>
      <c r="B25" s="64" t="n">
        <f aca="false">SUM(C25:N25)</f>
        <v>1694</v>
      </c>
      <c r="C25" s="65" t="n">
        <f aca="false">C16</f>
        <v>1694</v>
      </c>
      <c r="D25" s="65" t="n">
        <f aca="false">(D16-C16)</f>
        <v>0</v>
      </c>
      <c r="E25" s="65" t="n">
        <f aca="false">(E16-D16)</f>
        <v>0</v>
      </c>
      <c r="F25" s="65" t="n">
        <f aca="false">(F16-E16)</f>
        <v>0</v>
      </c>
      <c r="G25" s="65" t="n">
        <f aca="false">(G16-F16)</f>
        <v>0</v>
      </c>
      <c r="H25" s="65" t="n">
        <f aca="false">(H16-G16)</f>
        <v>0</v>
      </c>
      <c r="I25" s="65" t="n">
        <f aca="false">(I16-H16)</f>
        <v>0</v>
      </c>
      <c r="J25" s="65" t="n">
        <f aca="false">(J16-I16)</f>
        <v>0</v>
      </c>
      <c r="K25" s="65" t="n">
        <f aca="false">(K16-J16)</f>
        <v>0</v>
      </c>
      <c r="L25" s="65" t="n">
        <f aca="false">(L16-K16)</f>
        <v>0</v>
      </c>
      <c r="M25" s="65" t="n">
        <f aca="false">(M16-L16)</f>
        <v>0</v>
      </c>
      <c r="N25" s="65" t="n">
        <f aca="false">(N16-M16)</f>
        <v>0</v>
      </c>
      <c r="O25" s="64" t="n">
        <f aca="false">SUM(P25:AA25)</f>
        <v>1848</v>
      </c>
      <c r="P25" s="65" t="n">
        <f aca="false">(P16-N16)</f>
        <v>1848</v>
      </c>
      <c r="Q25" s="65" t="n">
        <f aca="false">(Q16-P16)</f>
        <v>0</v>
      </c>
      <c r="R25" s="65" t="n">
        <f aca="false">(R16-Q16)</f>
        <v>0</v>
      </c>
      <c r="S25" s="65" t="n">
        <f aca="false">(S16-R16)</f>
        <v>0</v>
      </c>
      <c r="T25" s="65" t="n">
        <f aca="false">(T16-S16)</f>
        <v>0</v>
      </c>
      <c r="U25" s="65" t="n">
        <f aca="false">(U16-T16)</f>
        <v>0</v>
      </c>
      <c r="V25" s="65" t="n">
        <f aca="false">(V16-U16)</f>
        <v>0</v>
      </c>
      <c r="W25" s="65" t="n">
        <f aca="false">(W16-V16)</f>
        <v>0</v>
      </c>
      <c r="X25" s="65" t="n">
        <f aca="false">(X16-W16)</f>
        <v>0</v>
      </c>
      <c r="Y25" s="65" t="n">
        <f aca="false">(Y16-X16)</f>
        <v>0</v>
      </c>
      <c r="Z25" s="65" t="n">
        <f aca="false">(Z16-Y16)</f>
        <v>0</v>
      </c>
      <c r="AA25" s="65" t="n">
        <f aca="false">(AA16-Z16)</f>
        <v>0</v>
      </c>
      <c r="AB25" s="64" t="n">
        <f aca="false">SUM(AC25:AN25)</f>
        <v>2464</v>
      </c>
      <c r="AC25" s="65" t="n">
        <f aca="false">(AC16-AA16)</f>
        <v>2464</v>
      </c>
      <c r="AD25" s="65" t="n">
        <f aca="false">(AD16-AC16)</f>
        <v>0</v>
      </c>
      <c r="AE25" s="65" t="n">
        <f aca="false">(AE16-AD16)</f>
        <v>0</v>
      </c>
      <c r="AF25" s="65" t="n">
        <f aca="false">(AF16-AE16)</f>
        <v>0</v>
      </c>
      <c r="AG25" s="65" t="n">
        <f aca="false">(AG16-AF16)</f>
        <v>0</v>
      </c>
      <c r="AH25" s="65" t="n">
        <f aca="false">(AH16-AG16)</f>
        <v>0</v>
      </c>
      <c r="AI25" s="65" t="n">
        <f aca="false">(AI16-AH16)</f>
        <v>0</v>
      </c>
      <c r="AJ25" s="65" t="n">
        <f aca="false">(AJ16-AI16)</f>
        <v>0</v>
      </c>
      <c r="AK25" s="65" t="n">
        <f aca="false">(AK16-AJ16)</f>
        <v>0</v>
      </c>
      <c r="AL25" s="65" t="n">
        <f aca="false">(AL16-AK16)</f>
        <v>0</v>
      </c>
      <c r="AM25" s="65" t="n">
        <f aca="false">(AM16-AL16)</f>
        <v>0</v>
      </c>
      <c r="AN25" s="65" t="n">
        <f aca="false">(AN16-AM16)</f>
        <v>0</v>
      </c>
      <c r="AO25" s="64" t="n">
        <f aca="false">SUM(AP25:BA25)</f>
        <v>2271.5</v>
      </c>
      <c r="AP25" s="65" t="n">
        <f aca="false">(AP16-AN16)</f>
        <v>2271.5</v>
      </c>
      <c r="AQ25" s="65" t="n">
        <f aca="false">(AQ16-AP16)</f>
        <v>0</v>
      </c>
      <c r="AR25" s="65" t="n">
        <f aca="false">(AR16-AQ16)</f>
        <v>0</v>
      </c>
      <c r="AS25" s="65" t="n">
        <f aca="false">(AS16-AR16)</f>
        <v>0</v>
      </c>
      <c r="AT25" s="65" t="n">
        <f aca="false">(AT16-AS16)</f>
        <v>0</v>
      </c>
      <c r="AU25" s="65" t="n">
        <f aca="false">(AU16-AT16)</f>
        <v>0</v>
      </c>
      <c r="AV25" s="65" t="n">
        <f aca="false">(AV16-AU16)</f>
        <v>0</v>
      </c>
      <c r="AW25" s="65" t="n">
        <f aca="false">(AW16-AV16)</f>
        <v>0</v>
      </c>
      <c r="AX25" s="65" t="n">
        <f aca="false">(AX16-AW16)</f>
        <v>0</v>
      </c>
      <c r="AY25" s="65" t="n">
        <f aca="false">(AY16-AX16)</f>
        <v>0</v>
      </c>
      <c r="AZ25" s="65" t="n">
        <f aca="false">(AZ16-AY16)</f>
        <v>0</v>
      </c>
      <c r="BA25" s="65" t="n">
        <f aca="false">(BA16-AZ16)</f>
        <v>0</v>
      </c>
      <c r="BB25" s="64" t="n">
        <f aca="false">SUM(BC25:BN25)</f>
        <v>2117.5</v>
      </c>
      <c r="BC25" s="65" t="n">
        <f aca="false">(BC16-BA16)</f>
        <v>2117.5</v>
      </c>
      <c r="BD25" s="65" t="n">
        <f aca="false">(BD16-BC16)</f>
        <v>0</v>
      </c>
      <c r="BE25" s="65" t="n">
        <f aca="false">(BE16-BD16)</f>
        <v>0</v>
      </c>
      <c r="BF25" s="65" t="n">
        <f aca="false">(BF16-BE16)</f>
        <v>0</v>
      </c>
      <c r="BG25" s="65" t="n">
        <f aca="false">(BG16-BF16)</f>
        <v>0</v>
      </c>
      <c r="BH25" s="65" t="n">
        <f aca="false">(BH16-BG16)</f>
        <v>0</v>
      </c>
      <c r="BI25" s="65" t="n">
        <f aca="false">(BI16-BH16)</f>
        <v>0</v>
      </c>
      <c r="BJ25" s="65" t="n">
        <f aca="false">(BJ16-BI16)</f>
        <v>0</v>
      </c>
      <c r="BK25" s="65" t="n">
        <f aca="false">(BK16-BJ16)</f>
        <v>0</v>
      </c>
      <c r="BL25" s="65" t="n">
        <f aca="false">(BL16-BK16)</f>
        <v>0</v>
      </c>
      <c r="BM25" s="65" t="n">
        <f aca="false">(BM16-BL16)</f>
        <v>0</v>
      </c>
      <c r="BN25" s="65" t="n">
        <f aca="false">(BN16-BM16)</f>
        <v>0</v>
      </c>
    </row>
    <row r="26" customFormat="false" ht="15" hidden="false" customHeight="false" outlineLevel="0" collapsed="false">
      <c r="A26" s="12" t="s">
        <v>910</v>
      </c>
      <c r="B26" s="64" t="n">
        <f aca="false">SUM(C26:N26)</f>
        <v>4241.96131421898</v>
      </c>
      <c r="C26" s="65" t="n">
        <f aca="false">C17</f>
        <v>1081.25933165348</v>
      </c>
      <c r="D26" s="65" t="n">
        <f aca="false">(D17-C17)</f>
        <v>514.220320442557</v>
      </c>
      <c r="E26" s="65" t="n">
        <f aca="false">(E17-D17)</f>
        <v>356.070892564969</v>
      </c>
      <c r="F26" s="65" t="n">
        <f aca="false">(F17-E17)</f>
        <v>25.2381313540459</v>
      </c>
      <c r="G26" s="65" t="n">
        <f aca="false">(G17-F17)</f>
        <v>58.9515807430034</v>
      </c>
      <c r="H26" s="65" t="n">
        <f aca="false">(H17-G17)</f>
        <v>57.5813770042496</v>
      </c>
      <c r="I26" s="65" t="n">
        <f aca="false">(I17-H17)</f>
        <v>345.163747238268</v>
      </c>
      <c r="J26" s="65" t="n">
        <f aca="false">(J17-I17)</f>
        <v>352.095112041174</v>
      </c>
      <c r="K26" s="65" t="n">
        <f aca="false">(K17-J17)</f>
        <v>357.710813093255</v>
      </c>
      <c r="L26" s="65" t="n">
        <f aca="false">(L17-K17)</f>
        <v>362.010850394508</v>
      </c>
      <c r="M26" s="65" t="n">
        <f aca="false">(M17-L17)</f>
        <v>364.995223944936</v>
      </c>
      <c r="N26" s="65" t="n">
        <f aca="false">(N17-M17)</f>
        <v>366.663933744537</v>
      </c>
      <c r="O26" s="64" t="n">
        <f aca="false">SUM(P26:AA26)</f>
        <v>10035.3633838588</v>
      </c>
      <c r="P26" s="65" t="n">
        <f aca="false">(P17-N17)</f>
        <v>948.665483525084</v>
      </c>
      <c r="Q26" s="65" t="n">
        <f aca="false">(Q17-P17)</f>
        <v>569.61898912671</v>
      </c>
      <c r="R26" s="65" t="n">
        <f aca="false">(R17-Q17)</f>
        <v>667.102541170412</v>
      </c>
      <c r="S26" s="65" t="n">
        <f aca="false">(S17-R17)</f>
        <v>759.859685409996</v>
      </c>
      <c r="T26" s="65" t="n">
        <f aca="false">(T17-S17)</f>
        <v>799.435774276291</v>
      </c>
      <c r="U26" s="65" t="n">
        <f aca="false">(U17-T17)</f>
        <v>812.920854939606</v>
      </c>
      <c r="V26" s="65" t="n">
        <f aca="false">(V17-U17)</f>
        <v>880.045844458484</v>
      </c>
      <c r="W26" s="65" t="n">
        <f aca="false">(W17-V17)</f>
        <v>887.445371363356</v>
      </c>
      <c r="X26" s="65" t="n">
        <f aca="false">(X17-W17)</f>
        <v>892.498600449841</v>
      </c>
      <c r="Y26" s="65" t="n">
        <f aca="false">(Y17-X17)</f>
        <v>945.55066453518</v>
      </c>
      <c r="Z26" s="65" t="n">
        <f aca="false">(Z17-Y17)</f>
        <v>940.519826334497</v>
      </c>
      <c r="AA26" s="65" t="n">
        <f aca="false">(AA17-Z17)</f>
        <v>931.699748269322</v>
      </c>
      <c r="AB26" s="64" t="n">
        <f aca="false">SUM(AC26:AN26)</f>
        <v>12883.9811481025</v>
      </c>
      <c r="AC26" s="65" t="n">
        <f aca="false">(AC17-AA17)</f>
        <v>1399.1873170312</v>
      </c>
      <c r="AD26" s="65" t="n">
        <f aca="false">(AD17-AC17)</f>
        <v>466.23114851038</v>
      </c>
      <c r="AE26" s="65" t="n">
        <f aca="false">(AE17-AD17)</f>
        <v>717.379255383881</v>
      </c>
      <c r="AF26" s="65" t="n">
        <f aca="false">(AF17-AE17)</f>
        <v>1177.88701238481</v>
      </c>
      <c r="AG26" s="65" t="n">
        <f aca="false">(AG17-AF17)</f>
        <v>1180.56041722144</v>
      </c>
      <c r="AH26" s="65" t="n">
        <f aca="false">(AH17-AG17)</f>
        <v>1184.75279372167</v>
      </c>
      <c r="AI26" s="65" t="n">
        <f aca="false">(AI17-AH17)</f>
        <v>1170.85795379729</v>
      </c>
      <c r="AJ26" s="65" t="n">
        <f aca="false">(AJ17-AI17)</f>
        <v>1173.14964293306</v>
      </c>
      <c r="AK26" s="65" t="n">
        <f aca="false">(AK17-AJ17)</f>
        <v>1150.24036464672</v>
      </c>
      <c r="AL26" s="65" t="n">
        <f aca="false">(AL17-AK17)</f>
        <v>1093.8257979252</v>
      </c>
      <c r="AM26" s="65" t="n">
        <f aca="false">(AM17-AL17)</f>
        <v>1088.57126125402</v>
      </c>
      <c r="AN26" s="65" t="n">
        <f aca="false">(AN17-AM17)</f>
        <v>1081.33818329282</v>
      </c>
      <c r="AO26" s="64" t="n">
        <f aca="false">SUM(AP26:BA26)</f>
        <v>18991.6569722217</v>
      </c>
      <c r="AP26" s="65" t="n">
        <f aca="false">(AP17-AN17)</f>
        <v>3255.4162755734</v>
      </c>
      <c r="AQ26" s="65" t="n">
        <f aca="false">(AQ17-AP17)</f>
        <v>1449.90931942446</v>
      </c>
      <c r="AR26" s="65" t="n">
        <f aca="false">(AR17-AQ17)</f>
        <v>1427.85049230463</v>
      </c>
      <c r="AS26" s="65" t="n">
        <f aca="false">(AS17-AR17)</f>
        <v>1492.93860424861</v>
      </c>
      <c r="AT26" s="65" t="n">
        <f aca="false">(AT17-AS17)</f>
        <v>1487.3172966913</v>
      </c>
      <c r="AU26" s="65" t="n">
        <f aca="false">(AU17-AT17)</f>
        <v>1468.5275852205</v>
      </c>
      <c r="AV26" s="65" t="n">
        <f aca="false">(AV17-AU17)</f>
        <v>1490.43181147978</v>
      </c>
      <c r="AW26" s="65" t="n">
        <f aca="false">(AW17-AV17)</f>
        <v>1470.54865008254</v>
      </c>
      <c r="AX26" s="65" t="n">
        <f aca="false">(AX17-AW17)</f>
        <v>1447.59512920961</v>
      </c>
      <c r="AY26" s="65" t="n">
        <f aca="false">(AY17-AX17)</f>
        <v>1357.39791742928</v>
      </c>
      <c r="AZ26" s="65" t="n">
        <f aca="false">(AZ17-AY17)</f>
        <v>1333.95508044348</v>
      </c>
      <c r="BA26" s="65" t="n">
        <f aca="false">(BA17-AZ17)</f>
        <v>1309.76881011413</v>
      </c>
      <c r="BB26" s="64" t="n">
        <f aca="false">SUM(BC26:BN26)</f>
        <v>22518.1352804214</v>
      </c>
      <c r="BC26" s="65" t="n">
        <f aca="false">(BC17-BA17)</f>
        <v>4162.37143698152</v>
      </c>
      <c r="BD26" s="65" t="n">
        <f aca="false">(BD17-BC17)</f>
        <v>1732.09716862674</v>
      </c>
      <c r="BE26" s="65" t="n">
        <f aca="false">(BE17-BD17)</f>
        <v>1727.76019971644</v>
      </c>
      <c r="BF26" s="65" t="n">
        <f aca="false">(BF17-BE17)</f>
        <v>1794.78380055475</v>
      </c>
      <c r="BG26" s="65" t="n">
        <f aca="false">(BG17-BF17)</f>
        <v>1769.80546122326</v>
      </c>
      <c r="BH26" s="65" t="n">
        <f aca="false">(BH17-BG17)</f>
        <v>1745.21482148404</v>
      </c>
      <c r="BI26" s="65" t="n">
        <f aca="false">(BI17-BH17)</f>
        <v>1717.5908050709</v>
      </c>
      <c r="BJ26" s="65" t="n">
        <f aca="false">(BJ17-BI17)</f>
        <v>1690.63967406016</v>
      </c>
      <c r="BK26" s="65" t="n">
        <f aca="false">(BK17-BJ17)</f>
        <v>1658.54394618319</v>
      </c>
      <c r="BL26" s="65" t="n">
        <f aca="false">(BL17-BK17)</f>
        <v>1539.51721166108</v>
      </c>
      <c r="BM26" s="65" t="n">
        <f aca="false">(BM17-BL17)</f>
        <v>1506.85624577251</v>
      </c>
      <c r="BN26" s="65" t="n">
        <f aca="false">(BN17-BM17)</f>
        <v>1472.95450908681</v>
      </c>
    </row>
    <row r="27" customFormat="false" ht="15" hidden="false" customHeight="false" outlineLevel="0" collapsed="false">
      <c r="A27" s="12" t="s">
        <v>911</v>
      </c>
      <c r="B27" s="64" t="n">
        <f aca="false">SUM(C27:N27)</f>
        <v>0</v>
      </c>
      <c r="C27" s="65" t="n">
        <f aca="false">C18</f>
        <v>0</v>
      </c>
      <c r="D27" s="65" t="n">
        <f aca="false">D18-C18</f>
        <v>0</v>
      </c>
      <c r="E27" s="65" t="n">
        <f aca="false">E18-D18</f>
        <v>0</v>
      </c>
      <c r="F27" s="65" t="n">
        <f aca="false">F18-E18</f>
        <v>0</v>
      </c>
      <c r="G27" s="65" t="n">
        <f aca="false">G18-F18</f>
        <v>0</v>
      </c>
      <c r="H27" s="65" t="n">
        <f aca="false">H18-G18</f>
        <v>0</v>
      </c>
      <c r="I27" s="65" t="n">
        <f aca="false">I18-H18</f>
        <v>0</v>
      </c>
      <c r="J27" s="65" t="n">
        <f aca="false">J18-I18</f>
        <v>0</v>
      </c>
      <c r="K27" s="65" t="n">
        <f aca="false">K18-J18</f>
        <v>0</v>
      </c>
      <c r="L27" s="65" t="n">
        <f aca="false">L18-K18</f>
        <v>0</v>
      </c>
      <c r="M27" s="65" t="n">
        <f aca="false">M18-L18</f>
        <v>0</v>
      </c>
      <c r="N27" s="65" t="n">
        <f aca="false">N18-M18</f>
        <v>0</v>
      </c>
      <c r="O27" s="64" t="n">
        <f aca="false">SUM(P27:AA27)</f>
        <v>0</v>
      </c>
      <c r="P27" s="65" t="n">
        <f aca="false">P18-N18</f>
        <v>0</v>
      </c>
      <c r="Q27" s="65" t="n">
        <f aca="false">Q18-P18</f>
        <v>0</v>
      </c>
      <c r="R27" s="65" t="n">
        <f aca="false">R18-Q18</f>
        <v>0</v>
      </c>
      <c r="S27" s="65" t="n">
        <f aca="false">S18-R18</f>
        <v>0</v>
      </c>
      <c r="T27" s="65" t="n">
        <f aca="false">T18-S18</f>
        <v>0</v>
      </c>
      <c r="U27" s="65" t="n">
        <f aca="false">U18-T18</f>
        <v>0</v>
      </c>
      <c r="V27" s="65" t="n">
        <f aca="false">V18-U18</f>
        <v>0</v>
      </c>
      <c r="W27" s="65" t="n">
        <f aca="false">W18-V18</f>
        <v>0</v>
      </c>
      <c r="X27" s="65" t="n">
        <f aca="false">X18-W18</f>
        <v>0</v>
      </c>
      <c r="Y27" s="65" t="n">
        <f aca="false">Y18-X18</f>
        <v>0</v>
      </c>
      <c r="Z27" s="65" t="n">
        <f aca="false">Z18-Y18</f>
        <v>0</v>
      </c>
      <c r="AA27" s="65" t="n">
        <f aca="false">AA18-Z18</f>
        <v>0</v>
      </c>
      <c r="AB27" s="64" t="n">
        <f aca="false">SUM(AC27:AN27)</f>
        <v>0</v>
      </c>
      <c r="AC27" s="65" t="n">
        <f aca="false">AC18-AA18</f>
        <v>0</v>
      </c>
      <c r="AD27" s="65" t="n">
        <f aca="false">AD18-AC18</f>
        <v>0</v>
      </c>
      <c r="AE27" s="65" t="n">
        <f aca="false">AE18-AD18</f>
        <v>0</v>
      </c>
      <c r="AF27" s="65" t="n">
        <f aca="false">AF18-AE18</f>
        <v>0</v>
      </c>
      <c r="AG27" s="65" t="n">
        <f aca="false">AG18-AF18</f>
        <v>0</v>
      </c>
      <c r="AH27" s="65" t="n">
        <f aca="false">AH18-AG18</f>
        <v>0</v>
      </c>
      <c r="AI27" s="65" t="n">
        <f aca="false">AI18-AH18</f>
        <v>0</v>
      </c>
      <c r="AJ27" s="65" t="n">
        <f aca="false">AJ18-AI18</f>
        <v>0</v>
      </c>
      <c r="AK27" s="65" t="n">
        <f aca="false">AK18-AJ18</f>
        <v>0</v>
      </c>
      <c r="AL27" s="65" t="n">
        <f aca="false">AL18-AK18</f>
        <v>0</v>
      </c>
      <c r="AM27" s="65" t="n">
        <f aca="false">AM18-AL18</f>
        <v>0</v>
      </c>
      <c r="AN27" s="65" t="n">
        <f aca="false">AN18-AM18</f>
        <v>0</v>
      </c>
      <c r="AO27" s="64" t="n">
        <f aca="false">SUM(AP27:BA27)</f>
        <v>23868.9388142764</v>
      </c>
      <c r="AP27" s="65" t="n">
        <f aca="false">AP18-AN18</f>
        <v>1989.07823452304</v>
      </c>
      <c r="AQ27" s="65" t="n">
        <f aca="false">AQ18-AP18</f>
        <v>1989.07823452304</v>
      </c>
      <c r="AR27" s="65" t="n">
        <f aca="false">AR18-AQ18</f>
        <v>1989.07823452304</v>
      </c>
      <c r="AS27" s="65" t="n">
        <f aca="false">AS18-AR18</f>
        <v>1989.07823452304</v>
      </c>
      <c r="AT27" s="65" t="n">
        <f aca="false">AT18-AS18</f>
        <v>1989.07823452304</v>
      </c>
      <c r="AU27" s="65" t="n">
        <f aca="false">AU18-AT18</f>
        <v>1989.07823452304</v>
      </c>
      <c r="AV27" s="65" t="n">
        <f aca="false">AV18-AU18</f>
        <v>1989.07823452304</v>
      </c>
      <c r="AW27" s="65" t="n">
        <f aca="false">AW18-AV18</f>
        <v>1989.07823452304</v>
      </c>
      <c r="AX27" s="65" t="n">
        <f aca="false">AX18-AW18</f>
        <v>1989.07823452304</v>
      </c>
      <c r="AY27" s="65" t="n">
        <f aca="false">AY18-AX18</f>
        <v>1989.07823452304</v>
      </c>
      <c r="AZ27" s="65" t="n">
        <f aca="false">AZ18-AY18</f>
        <v>1989.07823452304</v>
      </c>
      <c r="BA27" s="65" t="n">
        <f aca="false">BA18-AZ18</f>
        <v>1989.07823452304</v>
      </c>
      <c r="BB27" s="64" t="n">
        <f aca="false">SUM(BC27:BN27)</f>
        <v>58368.8730694695</v>
      </c>
      <c r="BC27" s="65" t="n">
        <f aca="false">BC18-BA18</f>
        <v>6853.15099031216</v>
      </c>
      <c r="BD27" s="65" t="n">
        <f aca="false">BD18-BC18</f>
        <v>6853.15099031216</v>
      </c>
      <c r="BE27" s="65" t="n">
        <f aca="false">BE18-BD18</f>
        <v>6853.15099031216</v>
      </c>
      <c r="BF27" s="65" t="n">
        <f aca="false">BF18-BE18</f>
        <v>-17015.7878239643</v>
      </c>
      <c r="BG27" s="65" t="n">
        <f aca="false">BG18-BF18</f>
        <v>6853.15099031216</v>
      </c>
      <c r="BH27" s="65" t="n">
        <f aca="false">BH18-BG18</f>
        <v>6853.15099031216</v>
      </c>
      <c r="BI27" s="65" t="n">
        <f aca="false">BI18-BH18</f>
        <v>6853.15099031216</v>
      </c>
      <c r="BJ27" s="65" t="n">
        <f aca="false">BJ18-BI18</f>
        <v>6853.15099031216</v>
      </c>
      <c r="BK27" s="65" t="n">
        <f aca="false">BK18-BJ18</f>
        <v>6853.15099031216</v>
      </c>
      <c r="BL27" s="65" t="n">
        <f aca="false">BL18-BK18</f>
        <v>6853.15099031216</v>
      </c>
      <c r="BM27" s="65" t="n">
        <f aca="false">BM18-BL18</f>
        <v>6853.15099031216</v>
      </c>
      <c r="BN27" s="65" t="n">
        <f aca="false">BN18-BM18</f>
        <v>6853.15099031216</v>
      </c>
    </row>
    <row r="28" customFormat="false" ht="15" hidden="false" customHeight="false" outlineLevel="0" collapsed="false">
      <c r="A28" s="69" t="s">
        <v>912</v>
      </c>
      <c r="B28" s="64" t="n">
        <f aca="false">SUM(C28:N28)</f>
        <v>-61197.9507703706</v>
      </c>
      <c r="C28" s="70" t="n">
        <f aca="false">C9+C10+C23+C24+C25+C26+C27</f>
        <v>-5836.84599415649</v>
      </c>
      <c r="D28" s="70" t="n">
        <f aca="false">D9+D10+D23+D24+D25+D26+D27</f>
        <v>-12590.4538717307</v>
      </c>
      <c r="E28" s="70" t="n">
        <f aca="false">E9+E10+E23+E24+E25+E26+E27</f>
        <v>-6905.11891699463</v>
      </c>
      <c r="F28" s="70" t="n">
        <f aca="false">F9+F10+F23+F24+F25+F26+F27</f>
        <v>-4461.37641825568</v>
      </c>
      <c r="G28" s="70" t="n">
        <f aca="false">G9+G10+G23+G24+G25+G26+G27</f>
        <v>-4484.46298946356</v>
      </c>
      <c r="H28" s="70" t="n">
        <f aca="false">H9+H10+H23+H24+H25+H26+H27</f>
        <v>-4378.45716485784</v>
      </c>
      <c r="I28" s="70" t="n">
        <f aca="false">I9+I10+I23+I24+I25+I26+I27</f>
        <v>-5560.67544352807</v>
      </c>
      <c r="J28" s="70" t="n">
        <f aca="false">J9+J10+J23+J24+J25+J26+J27</f>
        <v>-4932.24062431095</v>
      </c>
      <c r="K28" s="70" t="n">
        <f aca="false">K9+K10+K23+K24+K25+K26+K27</f>
        <v>-4163.99745352719</v>
      </c>
      <c r="L28" s="70" t="n">
        <f aca="false">L9+L10+L23+L24+L25+L26+L27</f>
        <v>-3395.93719516467</v>
      </c>
      <c r="M28" s="70" t="n">
        <f aca="false">M9+M10+M23+M24+M25+M26+M27</f>
        <v>-2628.05163737199</v>
      </c>
      <c r="N28" s="70" t="n">
        <f aca="false">N9+N10+N23+N24+N25+N26+N27</f>
        <v>-1860.33306100884</v>
      </c>
      <c r="O28" s="64" t="n">
        <f aca="false">SUM(P28:AA28)</f>
        <v>-61074.4758610937</v>
      </c>
      <c r="P28" s="70" t="n">
        <f aca="false">P9+P10+P23+P24+P25+P26+P27</f>
        <v>-5990.53191451868</v>
      </c>
      <c r="Q28" s="70" t="n">
        <f aca="false">Q9+Q10+Q23+Q24+Q25+Q26+Q27</f>
        <v>-11131.7495483828</v>
      </c>
      <c r="R28" s="70" t="n">
        <f aca="false">R9+R10+R23+R24+R25+R26+R27</f>
        <v>-10590.9718972023</v>
      </c>
      <c r="S28" s="70" t="n">
        <f aca="false">S9+S10+S23+S24+S25+S26+S27</f>
        <v>-9691.96625369939</v>
      </c>
      <c r="T28" s="70" t="n">
        <f aca="false">T9+T10+T23+T24+T25+T26+T27</f>
        <v>-8353.58724468141</v>
      </c>
      <c r="U28" s="70" t="n">
        <f aca="false">U9+U10+U23+U24+U25+U26+U27</f>
        <v>-6658.0566878092</v>
      </c>
      <c r="V28" s="70" t="n">
        <f aca="false">V9+V10+V23+V24+V25+V26+V27</f>
        <v>-5534.176545708</v>
      </c>
      <c r="W28" s="70" t="n">
        <f aca="false">W9+W10+W23+W24+W25+W26+W27</f>
        <v>-3853.43525350663</v>
      </c>
      <c r="X28" s="70" t="n">
        <f aca="false">X9+X10+X23+X24+X25+X26+X27</f>
        <v>-2353.05090425746</v>
      </c>
      <c r="Y28" s="70" t="n">
        <f aca="false">Y9+Y10+Y23+Y24+Y25+Y26+Y27</f>
        <v>-791.857277225203</v>
      </c>
      <c r="Z28" s="70" t="n">
        <f aca="false">Z9+Z10+Z23+Z24+Z25+Z26+Z27</f>
        <v>1032.76781239046</v>
      </c>
      <c r="AA28" s="70" t="n">
        <f aca="false">AA9+AA10+AA23+AA24+AA25+AA26+AA27</f>
        <v>2842.13985350683</v>
      </c>
      <c r="AB28" s="64" t="n">
        <f aca="false">SUM(AC28:AN28)</f>
        <v>-19230.96531874</v>
      </c>
      <c r="AC28" s="70" t="n">
        <f aca="false">AC9+AC10+AC23+AC24+AC25+AC26+AC27</f>
        <v>-142.329856464417</v>
      </c>
      <c r="AD28" s="70" t="n">
        <f aca="false">AD9+AD10+AD23+AD24+AD25+AD26+AD27</f>
        <v>-6534.90062422211</v>
      </c>
      <c r="AE28" s="70" t="n">
        <f aca="false">AE9+AE10+AE23+AE24+AE25+AE26+AE27</f>
        <v>-7301.2413475054</v>
      </c>
      <c r="AF28" s="70" t="n">
        <f aca="false">AF9+AF10+AF23+AF24+AF25+AF26+AF27</f>
        <v>-8397.88533439931</v>
      </c>
      <c r="AG28" s="70" t="n">
        <f aca="false">AG9+AG10+AG23+AG24+AG25+AG26+AG27</f>
        <v>-6526.86717509387</v>
      </c>
      <c r="AH28" s="70" t="n">
        <f aca="false">AH9+AH10+AH23+AH24+AH25+AH26+AH27</f>
        <v>-4722.49903216805</v>
      </c>
      <c r="AI28" s="70" t="n">
        <f aca="false">AI9+AI10+AI23+AI24+AI25+AI26+AI27</f>
        <v>-2535.26974077392</v>
      </c>
      <c r="AJ28" s="70" t="n">
        <f aca="false">AJ9+AJ10+AJ23+AJ24+AJ25+AJ26+AJ27</f>
        <v>-578.252502182117</v>
      </c>
      <c r="AK28" s="70" t="n">
        <f aca="false">AK9+AK10+AK23+AK24+AK25+AK26+AK27</f>
        <v>1492.43445162921</v>
      </c>
      <c r="AL28" s="70" t="n">
        <f aca="false">AL9+AL10+AL23+AL24+AL25+AL26+AL27</f>
        <v>3617.9664574006</v>
      </c>
      <c r="AM28" s="70" t="n">
        <f aca="false">AM9+AM10+AM23+AM24+AM25+AM26+AM27</f>
        <v>5338.71441323252</v>
      </c>
      <c r="AN28" s="70" t="n">
        <f aca="false">AN9+AN10+AN23+AN24+AN25+AN26+AN27</f>
        <v>7059.16497180684</v>
      </c>
      <c r="AO28" s="64" t="n">
        <f aca="false">SUM(AP28:BA28)</f>
        <v>98968.0734805876</v>
      </c>
      <c r="AP28" s="70" t="n">
        <f aca="false">AP9+AP10+AP23+AP24+AP25+AP26+AP27</f>
        <v>-2982.29379393679</v>
      </c>
      <c r="AQ28" s="70" t="n">
        <f aca="false">AQ9+AQ10+AQ23+AQ24+AQ25+AQ26+AQ27</f>
        <v>-690.629620787426</v>
      </c>
      <c r="AR28" s="70" t="n">
        <f aca="false">AR9+AR10+AR23+AR24+AR25+AR26+AR27</f>
        <v>1064.63052276455</v>
      </c>
      <c r="AS28" s="70" t="n">
        <f aca="false">AS9+AS10+AS23+AS24+AS25+AS26+AS27</f>
        <v>2704.45176803318</v>
      </c>
      <c r="AT28" s="70" t="n">
        <f aca="false">AT9+AT10+AT23+AT24+AT25+AT26+AT27</f>
        <v>4775.65489539046</v>
      </c>
      <c r="AU28" s="70" t="n">
        <f aca="false">AU9+AU10+AU23+AU24+AU25+AU26+AU27</f>
        <v>6963.73132836541</v>
      </c>
      <c r="AV28" s="70" t="n">
        <f aca="false">AV9+AV10+AV23+AV24+AV25+AV26+AV27</f>
        <v>8782.6644939519</v>
      </c>
      <c r="AW28" s="70" t="n">
        <f aca="false">AW9+AW10+AW23+AW24+AW25+AW26+AW27</f>
        <v>11160.0215005115</v>
      </c>
      <c r="AX28" s="70" t="n">
        <f aca="false">AX9+AX10+AX23+AX24+AX25+AX26+AX27</f>
        <v>13428.4756189599</v>
      </c>
      <c r="AY28" s="70" t="n">
        <f aca="false">AY9+AY10+AY23+AY24+AY25+AY26+AY27</f>
        <v>15820.8661184785</v>
      </c>
      <c r="AZ28" s="70" t="n">
        <f aca="false">AZ9+AZ10+AZ23+AZ24+AZ25+AZ26+AZ27</f>
        <v>18027.1463952934</v>
      </c>
      <c r="BA28" s="70" t="n">
        <f aca="false">BA9+BA10+BA23+BA24+BA25+BA26+BA27</f>
        <v>19913.3542535631</v>
      </c>
      <c r="BB28" s="64" t="n">
        <f aca="false">SUM(BC28:BN28)</f>
        <v>270434.35421233</v>
      </c>
      <c r="BC28" s="70" t="n">
        <f aca="false">BC9+BC10+BC23+BC24+BC25+BC26+BC27</f>
        <v>8135.36445760468</v>
      </c>
      <c r="BD28" s="70" t="n">
        <f aca="false">BD9+BD10+BD23+BD24+BD25+BD26+BD27</f>
        <v>14527.5957879839</v>
      </c>
      <c r="BE28" s="70" t="n">
        <f aca="false">BE9+BE10+BE23+BE24+BE25+BE26+BE27</f>
        <v>16740.9767279487</v>
      </c>
      <c r="BF28" s="70" t="n">
        <f aca="false">BF9+BF10+BF23+BF24+BF25+BF26+BF27</f>
        <v>-5326.96905823635</v>
      </c>
      <c r="BG28" s="70" t="n">
        <f aca="false">BG9+BG10+BG23+BG24+BG25+BG26+BG27</f>
        <v>20839.4552990298</v>
      </c>
      <c r="BH28" s="70" t="n">
        <f aca="false">BH9+BH10+BH23+BH24+BH25+BH26+BH27</f>
        <v>23443.5146497764</v>
      </c>
      <c r="BI28" s="70" t="n">
        <f aca="false">BI9+BI10+BI23+BI24+BI25+BI26+BI27</f>
        <v>25736.3518474791</v>
      </c>
      <c r="BJ28" s="70" t="n">
        <f aca="false">BJ9+BJ10+BJ23+BJ24+BJ25+BJ26+BJ27</f>
        <v>28320.3164902483</v>
      </c>
      <c r="BK28" s="70" t="n">
        <f aca="false">BK9+BK10+BK23+BK24+BK25+BK26+BK27</f>
        <v>30802.7235374145</v>
      </c>
      <c r="BL28" s="70" t="n">
        <f aca="false">BL9+BL10+BL23+BL24+BL25+BL26+BL27</f>
        <v>33493.9066779887</v>
      </c>
      <c r="BM28" s="70" t="n">
        <f aca="false">BM9+BM10+BM23+BM24+BM25+BM26+BM27</f>
        <v>35845.0058435756</v>
      </c>
      <c r="BN28" s="70" t="n">
        <f aca="false">BN9+BN10+BN23+BN24+BN25+BN26+BN27</f>
        <v>37876.1119515161</v>
      </c>
    </row>
    <row r="29" customFormat="false" ht="15" hidden="false" customHeight="false" outlineLevel="0" collapsed="false">
      <c r="A29" s="12" t="s">
        <v>913</v>
      </c>
      <c r="B29" s="64" t="n">
        <f aca="false">SUM(C29:N29)</f>
        <v>-12280</v>
      </c>
      <c r="C29" s="76" t="n">
        <f aca="false">-'Capital Expenditure'!C$16</f>
        <v>-10080</v>
      </c>
      <c r="D29" s="76" t="n">
        <f aca="false">-'Capital Expenditure'!D$16</f>
        <v>-2200</v>
      </c>
      <c r="E29" s="76" t="n">
        <f aca="false">-'Capital Expenditure'!E$16</f>
        <v>-0</v>
      </c>
      <c r="F29" s="76" t="n">
        <f aca="false">-'Capital Expenditure'!F$16</f>
        <v>-0</v>
      </c>
      <c r="G29" s="76" t="n">
        <f aca="false">-'Capital Expenditure'!G$16</f>
        <v>-0</v>
      </c>
      <c r="H29" s="76" t="n">
        <f aca="false">-'Capital Expenditure'!H$16</f>
        <v>-0</v>
      </c>
      <c r="I29" s="76" t="n">
        <f aca="false">-'Capital Expenditure'!I$16</f>
        <v>-0</v>
      </c>
      <c r="J29" s="76" t="n">
        <f aca="false">-'Capital Expenditure'!J$16</f>
        <v>-0</v>
      </c>
      <c r="K29" s="76" t="n">
        <f aca="false">-'Capital Expenditure'!K$16</f>
        <v>-0</v>
      </c>
      <c r="L29" s="76" t="n">
        <f aca="false">-'Capital Expenditure'!L$16</f>
        <v>-0</v>
      </c>
      <c r="M29" s="76" t="n">
        <f aca="false">-'Capital Expenditure'!M$16</f>
        <v>-0</v>
      </c>
      <c r="N29" s="76" t="n">
        <f aca="false">-'Capital Expenditure'!N$16</f>
        <v>-0</v>
      </c>
      <c r="O29" s="64" t="n">
        <f aca="false">SUM(P29:AA29)</f>
        <v>-3240</v>
      </c>
      <c r="P29" s="76" t="n">
        <f aca="false">-'Capital Expenditure'!P$16</f>
        <v>-3240</v>
      </c>
      <c r="Q29" s="76" t="n">
        <f aca="false">-'Capital Expenditure'!Q$16</f>
        <v>-0</v>
      </c>
      <c r="R29" s="76" t="n">
        <f aca="false">-'Capital Expenditure'!R$16</f>
        <v>-0</v>
      </c>
      <c r="S29" s="76" t="n">
        <f aca="false">-'Capital Expenditure'!S$16</f>
        <v>-0</v>
      </c>
      <c r="T29" s="76" t="n">
        <f aca="false">-'Capital Expenditure'!T$16</f>
        <v>-0</v>
      </c>
      <c r="U29" s="76" t="n">
        <f aca="false">-'Capital Expenditure'!U$16</f>
        <v>-0</v>
      </c>
      <c r="V29" s="76" t="n">
        <f aca="false">-'Capital Expenditure'!V$16</f>
        <v>-0</v>
      </c>
      <c r="W29" s="76" t="n">
        <f aca="false">-'Capital Expenditure'!W$16</f>
        <v>-0</v>
      </c>
      <c r="X29" s="76" t="n">
        <f aca="false">-'Capital Expenditure'!X$16</f>
        <v>-0</v>
      </c>
      <c r="Y29" s="76" t="n">
        <f aca="false">-'Capital Expenditure'!Y$16</f>
        <v>-0</v>
      </c>
      <c r="Z29" s="76" t="n">
        <f aca="false">-'Capital Expenditure'!Z$16</f>
        <v>-0</v>
      </c>
      <c r="AA29" s="76" t="n">
        <f aca="false">-'Capital Expenditure'!AA$16</f>
        <v>-0</v>
      </c>
      <c r="AB29" s="64" t="n">
        <f aca="false">SUM(AC29:AN29)</f>
        <v>-13240</v>
      </c>
      <c r="AC29" s="76" t="n">
        <f aca="false">-'Capital Expenditure'!AC$16</f>
        <v>-13240</v>
      </c>
      <c r="AD29" s="76" t="n">
        <f aca="false">-'Capital Expenditure'!AD$16</f>
        <v>-0</v>
      </c>
      <c r="AE29" s="76" t="n">
        <f aca="false">-'Capital Expenditure'!AE$16</f>
        <v>-0</v>
      </c>
      <c r="AF29" s="76" t="n">
        <f aca="false">-'Capital Expenditure'!AF$16</f>
        <v>-0</v>
      </c>
      <c r="AG29" s="76" t="n">
        <f aca="false">-'Capital Expenditure'!AG$16</f>
        <v>-0</v>
      </c>
      <c r="AH29" s="76" t="n">
        <f aca="false">-'Capital Expenditure'!AH$16</f>
        <v>-0</v>
      </c>
      <c r="AI29" s="76" t="n">
        <f aca="false">-'Capital Expenditure'!AI$16</f>
        <v>-0</v>
      </c>
      <c r="AJ29" s="76" t="n">
        <f aca="false">-'Capital Expenditure'!AJ$16</f>
        <v>-0</v>
      </c>
      <c r="AK29" s="76" t="n">
        <f aca="false">-'Capital Expenditure'!AK$16</f>
        <v>-0</v>
      </c>
      <c r="AL29" s="76" t="n">
        <f aca="false">-'Capital Expenditure'!AL$16</f>
        <v>-0</v>
      </c>
      <c r="AM29" s="76" t="n">
        <f aca="false">-'Capital Expenditure'!AM$16</f>
        <v>-0</v>
      </c>
      <c r="AN29" s="76" t="n">
        <f aca="false">-'Capital Expenditure'!AN$16</f>
        <v>-0</v>
      </c>
      <c r="AO29" s="64" t="n">
        <f aca="false">SUM(AP29:BA29)</f>
        <v>-4320</v>
      </c>
      <c r="AP29" s="76" t="n">
        <f aca="false">-'Capital Expenditure'!AP$16</f>
        <v>-4320</v>
      </c>
      <c r="AQ29" s="76" t="n">
        <f aca="false">-'Capital Expenditure'!AQ$16</f>
        <v>-0</v>
      </c>
      <c r="AR29" s="76" t="n">
        <f aca="false">-'Capital Expenditure'!AR$16</f>
        <v>-0</v>
      </c>
      <c r="AS29" s="76" t="n">
        <f aca="false">-'Capital Expenditure'!AS$16</f>
        <v>-0</v>
      </c>
      <c r="AT29" s="76" t="n">
        <f aca="false">-'Capital Expenditure'!AT$16</f>
        <v>-0</v>
      </c>
      <c r="AU29" s="76" t="n">
        <f aca="false">-'Capital Expenditure'!AU$16</f>
        <v>-0</v>
      </c>
      <c r="AV29" s="76" t="n">
        <f aca="false">-'Capital Expenditure'!AV$16</f>
        <v>-0</v>
      </c>
      <c r="AW29" s="76" t="n">
        <f aca="false">-'Capital Expenditure'!AW$16</f>
        <v>-0</v>
      </c>
      <c r="AX29" s="76" t="n">
        <f aca="false">-'Capital Expenditure'!AX$16</f>
        <v>-0</v>
      </c>
      <c r="AY29" s="76" t="n">
        <f aca="false">-'Capital Expenditure'!AY$16</f>
        <v>-0</v>
      </c>
      <c r="AZ29" s="76" t="n">
        <f aca="false">-'Capital Expenditure'!AZ$16</f>
        <v>-0</v>
      </c>
      <c r="BA29" s="76" t="n">
        <f aca="false">-'Capital Expenditure'!BA$16</f>
        <v>-0</v>
      </c>
      <c r="BB29" s="64" t="n">
        <f aca="false">SUM(BC29:BN29)</f>
        <v>-4320</v>
      </c>
      <c r="BC29" s="76" t="n">
        <f aca="false">-'Capital Expenditure'!BC$16</f>
        <v>-4320</v>
      </c>
      <c r="BD29" s="76" t="n">
        <f aca="false">-'Capital Expenditure'!BD$16</f>
        <v>-0</v>
      </c>
      <c r="BE29" s="76" t="n">
        <f aca="false">-'Capital Expenditure'!BE$16</f>
        <v>-0</v>
      </c>
      <c r="BF29" s="76" t="n">
        <f aca="false">-'Capital Expenditure'!BF$16</f>
        <v>-0</v>
      </c>
      <c r="BG29" s="76" t="n">
        <f aca="false">-'Capital Expenditure'!BG$16</f>
        <v>-0</v>
      </c>
      <c r="BH29" s="76" t="n">
        <f aca="false">-'Capital Expenditure'!BH$16</f>
        <v>-0</v>
      </c>
      <c r="BI29" s="76" t="n">
        <f aca="false">-'Capital Expenditure'!BI$16</f>
        <v>-0</v>
      </c>
      <c r="BJ29" s="76" t="n">
        <f aca="false">-'Capital Expenditure'!BJ$16</f>
        <v>-0</v>
      </c>
      <c r="BK29" s="76" t="n">
        <f aca="false">-'Capital Expenditure'!BK$16</f>
        <v>-0</v>
      </c>
      <c r="BL29" s="76" t="n">
        <f aca="false">-'Capital Expenditure'!BL$16</f>
        <v>-0</v>
      </c>
      <c r="BM29" s="76" t="n">
        <f aca="false">-'Capital Expenditure'!BM$16</f>
        <v>-0</v>
      </c>
      <c r="BN29" s="76" t="n">
        <f aca="false">-'Capital Expenditure'!BN$16</f>
        <v>-0</v>
      </c>
    </row>
    <row r="30" customFormat="false" ht="15" hidden="false" customHeight="false" outlineLevel="0" collapsed="false">
      <c r="A30" s="18" t="s">
        <v>914</v>
      </c>
      <c r="B30" s="64" t="n">
        <f aca="false">SUM(C30:N30)</f>
        <v>-12280</v>
      </c>
      <c r="C30" s="77" t="n">
        <f aca="false">C29</f>
        <v>-10080</v>
      </c>
      <c r="D30" s="77" t="n">
        <f aca="false">D29</f>
        <v>-2200</v>
      </c>
      <c r="E30" s="77" t="n">
        <f aca="false">E29</f>
        <v>-0</v>
      </c>
      <c r="F30" s="77" t="n">
        <f aca="false">F29</f>
        <v>-0</v>
      </c>
      <c r="G30" s="77" t="n">
        <f aca="false">G29</f>
        <v>-0</v>
      </c>
      <c r="H30" s="77" t="n">
        <f aca="false">H29</f>
        <v>-0</v>
      </c>
      <c r="I30" s="77" t="n">
        <f aca="false">I29</f>
        <v>-0</v>
      </c>
      <c r="J30" s="77" t="n">
        <f aca="false">J29</f>
        <v>-0</v>
      </c>
      <c r="K30" s="77" t="n">
        <f aca="false">K29</f>
        <v>-0</v>
      </c>
      <c r="L30" s="77" t="n">
        <f aca="false">L29</f>
        <v>-0</v>
      </c>
      <c r="M30" s="77" t="n">
        <f aca="false">M29</f>
        <v>-0</v>
      </c>
      <c r="N30" s="77" t="n">
        <f aca="false">N29</f>
        <v>-0</v>
      </c>
      <c r="O30" s="64" t="n">
        <f aca="false">SUM(P30:AA30)</f>
        <v>-3240</v>
      </c>
      <c r="P30" s="77" t="n">
        <f aca="false">P29</f>
        <v>-3240</v>
      </c>
      <c r="Q30" s="77" t="n">
        <f aca="false">Q29</f>
        <v>-0</v>
      </c>
      <c r="R30" s="77" t="n">
        <f aca="false">R29</f>
        <v>-0</v>
      </c>
      <c r="S30" s="77" t="n">
        <f aca="false">S29</f>
        <v>-0</v>
      </c>
      <c r="T30" s="77" t="n">
        <f aca="false">T29</f>
        <v>-0</v>
      </c>
      <c r="U30" s="77" t="n">
        <f aca="false">U29</f>
        <v>-0</v>
      </c>
      <c r="V30" s="77" t="n">
        <f aca="false">V29</f>
        <v>-0</v>
      </c>
      <c r="W30" s="77" t="n">
        <f aca="false">W29</f>
        <v>-0</v>
      </c>
      <c r="X30" s="77" t="n">
        <f aca="false">X29</f>
        <v>-0</v>
      </c>
      <c r="Y30" s="77" t="n">
        <f aca="false">Y29</f>
        <v>-0</v>
      </c>
      <c r="Z30" s="77" t="n">
        <f aca="false">Z29</f>
        <v>-0</v>
      </c>
      <c r="AA30" s="77" t="n">
        <f aca="false">AA29</f>
        <v>-0</v>
      </c>
      <c r="AB30" s="64" t="n">
        <f aca="false">SUM(AC30:AN30)</f>
        <v>-13240</v>
      </c>
      <c r="AC30" s="77" t="n">
        <f aca="false">AC29</f>
        <v>-13240</v>
      </c>
      <c r="AD30" s="77" t="n">
        <f aca="false">AD29</f>
        <v>-0</v>
      </c>
      <c r="AE30" s="77" t="n">
        <f aca="false">AE29</f>
        <v>-0</v>
      </c>
      <c r="AF30" s="77" t="n">
        <f aca="false">AF29</f>
        <v>-0</v>
      </c>
      <c r="AG30" s="77" t="n">
        <f aca="false">AG29</f>
        <v>-0</v>
      </c>
      <c r="AH30" s="77" t="n">
        <f aca="false">AH29</f>
        <v>-0</v>
      </c>
      <c r="AI30" s="77" t="n">
        <f aca="false">AI29</f>
        <v>-0</v>
      </c>
      <c r="AJ30" s="77" t="n">
        <f aca="false">AJ29</f>
        <v>-0</v>
      </c>
      <c r="AK30" s="77" t="n">
        <f aca="false">AK29</f>
        <v>-0</v>
      </c>
      <c r="AL30" s="77" t="n">
        <f aca="false">AL29</f>
        <v>-0</v>
      </c>
      <c r="AM30" s="77" t="n">
        <f aca="false">AM29</f>
        <v>-0</v>
      </c>
      <c r="AN30" s="77" t="n">
        <f aca="false">AN29</f>
        <v>-0</v>
      </c>
      <c r="AO30" s="64" t="n">
        <f aca="false">SUM(AP30:BA30)</f>
        <v>-4320</v>
      </c>
      <c r="AP30" s="77" t="n">
        <f aca="false">AP29</f>
        <v>-4320</v>
      </c>
      <c r="AQ30" s="77" t="n">
        <f aca="false">AQ29</f>
        <v>-0</v>
      </c>
      <c r="AR30" s="77" t="n">
        <f aca="false">AR29</f>
        <v>-0</v>
      </c>
      <c r="AS30" s="77" t="n">
        <f aca="false">AS29</f>
        <v>-0</v>
      </c>
      <c r="AT30" s="77" t="n">
        <f aca="false">AT29</f>
        <v>-0</v>
      </c>
      <c r="AU30" s="77" t="n">
        <f aca="false">AU29</f>
        <v>-0</v>
      </c>
      <c r="AV30" s="77" t="n">
        <f aca="false">AV29</f>
        <v>-0</v>
      </c>
      <c r="AW30" s="77" t="n">
        <f aca="false">AW29</f>
        <v>-0</v>
      </c>
      <c r="AX30" s="77" t="n">
        <f aca="false">AX29</f>
        <v>-0</v>
      </c>
      <c r="AY30" s="77" t="n">
        <f aca="false">AY29</f>
        <v>-0</v>
      </c>
      <c r="AZ30" s="77" t="n">
        <f aca="false">AZ29</f>
        <v>-0</v>
      </c>
      <c r="BA30" s="77" t="n">
        <f aca="false">BA29</f>
        <v>-0</v>
      </c>
      <c r="BB30" s="64" t="n">
        <f aca="false">SUM(BC30:BN30)</f>
        <v>-4320</v>
      </c>
      <c r="BC30" s="77" t="n">
        <f aca="false">BC29</f>
        <v>-4320</v>
      </c>
      <c r="BD30" s="77" t="n">
        <f aca="false">BD29</f>
        <v>-0</v>
      </c>
      <c r="BE30" s="77" t="n">
        <f aca="false">BE29</f>
        <v>-0</v>
      </c>
      <c r="BF30" s="77" t="n">
        <f aca="false">BF29</f>
        <v>-0</v>
      </c>
      <c r="BG30" s="77" t="n">
        <f aca="false">BG29</f>
        <v>-0</v>
      </c>
      <c r="BH30" s="77" t="n">
        <f aca="false">BH29</f>
        <v>-0</v>
      </c>
      <c r="BI30" s="77" t="n">
        <f aca="false">BI29</f>
        <v>-0</v>
      </c>
      <c r="BJ30" s="77" t="n">
        <f aca="false">BJ29</f>
        <v>-0</v>
      </c>
      <c r="BK30" s="77" t="n">
        <f aca="false">BK29</f>
        <v>-0</v>
      </c>
      <c r="BL30" s="77" t="n">
        <f aca="false">BL29</f>
        <v>-0</v>
      </c>
      <c r="BM30" s="77" t="n">
        <f aca="false">BM29</f>
        <v>-0</v>
      </c>
      <c r="BN30" s="77" t="n">
        <f aca="false">BN29</f>
        <v>-0</v>
      </c>
    </row>
    <row r="31" customFormat="false" ht="15" hidden="false" customHeight="false" outlineLevel="0" collapsed="false">
      <c r="A31" s="12" t="s">
        <v>915</v>
      </c>
      <c r="B31" s="64" t="n">
        <f aca="false">SUM(C31:N31)</f>
        <v>150000</v>
      </c>
      <c r="C31" s="65" t="n">
        <f aca="false">IF(1='Assumption Setting'!$C$206,'Assumption Setting'!$C$205,0)</f>
        <v>0</v>
      </c>
      <c r="D31" s="65" t="n">
        <f aca="false">IF(2='Assumption Setting'!$C$206,'Assumption Setting'!$C$205,0)</f>
        <v>0</v>
      </c>
      <c r="E31" s="65" t="n">
        <f aca="false">IF(3='Assumption Setting'!$C$206,'Assumption Setting'!$C$205,0)</f>
        <v>0</v>
      </c>
      <c r="F31" s="65" t="n">
        <f aca="false">IF(4='Assumption Setting'!$C$206,'Assumption Setting'!$C$205,0)</f>
        <v>150000</v>
      </c>
      <c r="G31" s="65" t="n">
        <f aca="false">IF(5='Assumption Setting'!$C$206,'Assumption Setting'!$C$205,0)</f>
        <v>0</v>
      </c>
      <c r="H31" s="65" t="n">
        <f aca="false">IF(6='Assumption Setting'!$C$206,'Assumption Setting'!$C$205,0)</f>
        <v>0</v>
      </c>
      <c r="I31" s="65" t="n">
        <f aca="false">IF(7='Assumption Setting'!$C$206,'Assumption Setting'!$C$205,0)</f>
        <v>0</v>
      </c>
      <c r="J31" s="65" t="n">
        <f aca="false">IF(8='Assumption Setting'!$C$206,'Assumption Setting'!$C$205,0)</f>
        <v>0</v>
      </c>
      <c r="K31" s="65" t="n">
        <f aca="false">IF(9='Assumption Setting'!$C$206,'Assumption Setting'!$C$205,0)</f>
        <v>0</v>
      </c>
      <c r="L31" s="65" t="n">
        <f aca="false">IF(10='Assumption Setting'!$C$206,'Assumption Setting'!$C$205,0)</f>
        <v>0</v>
      </c>
      <c r="M31" s="65" t="n">
        <f aca="false">IF(11='Assumption Setting'!$C$206,'Assumption Setting'!$C$205,0)</f>
        <v>0</v>
      </c>
      <c r="N31" s="65" t="n">
        <f aca="false">IF(12='Assumption Setting'!$C$206,'Assumption Setting'!$C$205,0)</f>
        <v>0</v>
      </c>
      <c r="O31" s="64" t="n">
        <f aca="false">SUM(P31:AA31)</f>
        <v>0</v>
      </c>
      <c r="P31" s="65" t="n">
        <f aca="false">IF(13='Assumption Setting'!$C$206,'Assumption Setting'!$C$205,0)</f>
        <v>0</v>
      </c>
      <c r="Q31" s="65" t="n">
        <f aca="false">IF(14='Assumption Setting'!$C$206,'Assumption Setting'!$C$205,0)</f>
        <v>0</v>
      </c>
      <c r="R31" s="65" t="n">
        <f aca="false">IF(15='Assumption Setting'!$C$206,'Assumption Setting'!$C$205,0)</f>
        <v>0</v>
      </c>
      <c r="S31" s="65" t="n">
        <f aca="false">IF(16='Assumption Setting'!$C$206,'Assumption Setting'!$C$205,0)</f>
        <v>0</v>
      </c>
      <c r="T31" s="65" t="n">
        <f aca="false">IF(17='Assumption Setting'!$C$206,'Assumption Setting'!$C$205,0)</f>
        <v>0</v>
      </c>
      <c r="U31" s="65" t="n">
        <f aca="false">IF(18='Assumption Setting'!$C$206,'Assumption Setting'!$C$205,0)</f>
        <v>0</v>
      </c>
      <c r="V31" s="65" t="n">
        <f aca="false">IF(19='Assumption Setting'!$C$206,'Assumption Setting'!$C$205,0)</f>
        <v>0</v>
      </c>
      <c r="W31" s="65" t="n">
        <f aca="false">IF(20='Assumption Setting'!$C$206,'Assumption Setting'!$C$205,0)</f>
        <v>0</v>
      </c>
      <c r="X31" s="65" t="n">
        <f aca="false">IF(21='Assumption Setting'!$C$206,'Assumption Setting'!$C$205,0)</f>
        <v>0</v>
      </c>
      <c r="Y31" s="65" t="n">
        <f aca="false">IF(22='Assumption Setting'!$C$206,'Assumption Setting'!$C$205,0)</f>
        <v>0</v>
      </c>
      <c r="Z31" s="65" t="n">
        <f aca="false">IF(23='Assumption Setting'!$C$206,'Assumption Setting'!$C$205,0)</f>
        <v>0</v>
      </c>
      <c r="AA31" s="65" t="n">
        <f aca="false">IF(24='Assumption Setting'!$C$206,'Assumption Setting'!$C$205,0)</f>
        <v>0</v>
      </c>
      <c r="AB31" s="64" t="n">
        <f aca="false">SUM(AC31:AN31)</f>
        <v>0</v>
      </c>
      <c r="AC31" s="65" t="n">
        <f aca="false">IF(25='Assumption Setting'!$C$206,'Assumption Setting'!$C$205,0)</f>
        <v>0</v>
      </c>
      <c r="AD31" s="65" t="n">
        <f aca="false">IF(26='Assumption Setting'!$C$206,'Assumption Setting'!$C$205,0)</f>
        <v>0</v>
      </c>
      <c r="AE31" s="65" t="n">
        <f aca="false">IF(27='Assumption Setting'!$C$206,'Assumption Setting'!$C$205,0)</f>
        <v>0</v>
      </c>
      <c r="AF31" s="65" t="n">
        <f aca="false">IF(28='Assumption Setting'!$C$206,'Assumption Setting'!$C$205,0)</f>
        <v>0</v>
      </c>
      <c r="AG31" s="65" t="n">
        <f aca="false">IF(29='Assumption Setting'!$C$206,'Assumption Setting'!$C$205,0)</f>
        <v>0</v>
      </c>
      <c r="AH31" s="65" t="n">
        <f aca="false">IF(30='Assumption Setting'!$C$206,'Assumption Setting'!$C$205,0)</f>
        <v>0</v>
      </c>
      <c r="AI31" s="65" t="n">
        <f aca="false">IF(31='Assumption Setting'!$C$206,'Assumption Setting'!$C$205,0)</f>
        <v>0</v>
      </c>
      <c r="AJ31" s="65" t="n">
        <f aca="false">IF(32='Assumption Setting'!$C$206,'Assumption Setting'!$C$205,0)</f>
        <v>0</v>
      </c>
      <c r="AK31" s="65" t="n">
        <f aca="false">IF(33='Assumption Setting'!$C$206,'Assumption Setting'!$C$205,0)</f>
        <v>0</v>
      </c>
      <c r="AL31" s="65" t="n">
        <f aca="false">IF(34='Assumption Setting'!$C$206,'Assumption Setting'!$C$205,0)</f>
        <v>0</v>
      </c>
      <c r="AM31" s="65" t="n">
        <f aca="false">IF(35='Assumption Setting'!$C$206,'Assumption Setting'!$C$205,0)</f>
        <v>0</v>
      </c>
      <c r="AN31" s="65" t="n">
        <f aca="false">IF(36='Assumption Setting'!$C$206,'Assumption Setting'!$C$205,0)</f>
        <v>0</v>
      </c>
      <c r="AO31" s="64" t="n">
        <f aca="false">SUM(AP31:BA31)</f>
        <v>0</v>
      </c>
      <c r="AP31" s="65" t="n">
        <f aca="false">IF(37='Assumption Setting'!$C$206,'Assumption Setting'!$C$205,0)</f>
        <v>0</v>
      </c>
      <c r="AQ31" s="65" t="n">
        <f aca="false">IF(38='Assumption Setting'!$C$206,'Assumption Setting'!$C$205,0)</f>
        <v>0</v>
      </c>
      <c r="AR31" s="65" t="n">
        <f aca="false">IF(39='Assumption Setting'!$C$206,'Assumption Setting'!$C$205,0)</f>
        <v>0</v>
      </c>
      <c r="AS31" s="65" t="n">
        <f aca="false">IF(40='Assumption Setting'!$C$206,'Assumption Setting'!$C$205,0)</f>
        <v>0</v>
      </c>
      <c r="AT31" s="65" t="n">
        <f aca="false">IF(41='Assumption Setting'!$C$206,'Assumption Setting'!$C$205,0)</f>
        <v>0</v>
      </c>
      <c r="AU31" s="65" t="n">
        <f aca="false">IF(42='Assumption Setting'!$C$206,'Assumption Setting'!$C$205,0)</f>
        <v>0</v>
      </c>
      <c r="AV31" s="65" t="n">
        <f aca="false">IF(43='Assumption Setting'!$C$206,'Assumption Setting'!$C$205,0)</f>
        <v>0</v>
      </c>
      <c r="AW31" s="65" t="n">
        <f aca="false">IF(44='Assumption Setting'!$C$206,'Assumption Setting'!$C$205,0)</f>
        <v>0</v>
      </c>
      <c r="AX31" s="65" t="n">
        <f aca="false">IF(45='Assumption Setting'!$C$206,'Assumption Setting'!$C$205,0)</f>
        <v>0</v>
      </c>
      <c r="AY31" s="65" t="n">
        <f aca="false">IF(46='Assumption Setting'!$C$206,'Assumption Setting'!$C$205,0)</f>
        <v>0</v>
      </c>
      <c r="AZ31" s="65" t="n">
        <f aca="false">IF(47='Assumption Setting'!$C$206,'Assumption Setting'!$C$205,0)</f>
        <v>0</v>
      </c>
      <c r="BA31" s="65" t="n">
        <f aca="false">IF(48='Assumption Setting'!$C$206,'Assumption Setting'!$C$205,0)</f>
        <v>0</v>
      </c>
      <c r="BB31" s="64" t="n">
        <f aca="false">SUM(BC31:BN31)</f>
        <v>0</v>
      </c>
      <c r="BC31" s="65" t="n">
        <f aca="false">IF(49='Assumption Setting'!$C$206,'Assumption Setting'!$C$205,0)</f>
        <v>0</v>
      </c>
      <c r="BD31" s="65" t="n">
        <f aca="false">IF(50='Assumption Setting'!$C$206,'Assumption Setting'!$C$205,0)</f>
        <v>0</v>
      </c>
      <c r="BE31" s="65" t="n">
        <f aca="false">IF(51='Assumption Setting'!$C$206,'Assumption Setting'!$C$205,0)</f>
        <v>0</v>
      </c>
      <c r="BF31" s="65" t="n">
        <f aca="false">IF(52='Assumption Setting'!$C$206,'Assumption Setting'!$C$205,0)</f>
        <v>0</v>
      </c>
      <c r="BG31" s="65" t="n">
        <f aca="false">IF(53='Assumption Setting'!$C$206,'Assumption Setting'!$C$205,0)</f>
        <v>0</v>
      </c>
      <c r="BH31" s="65" t="n">
        <f aca="false">IF(54='Assumption Setting'!$C$206,'Assumption Setting'!$C$205,0)</f>
        <v>0</v>
      </c>
      <c r="BI31" s="65" t="n">
        <f aca="false">IF(55='Assumption Setting'!$C$206,'Assumption Setting'!$C$205,0)</f>
        <v>0</v>
      </c>
      <c r="BJ31" s="65" t="n">
        <f aca="false">IF(56='Assumption Setting'!$C$206,'Assumption Setting'!$C$205,0)</f>
        <v>0</v>
      </c>
      <c r="BK31" s="65" t="n">
        <f aca="false">IF(57='Assumption Setting'!$C$206,'Assumption Setting'!$C$205,0)</f>
        <v>0</v>
      </c>
      <c r="BL31" s="65" t="n">
        <f aca="false">IF(58='Assumption Setting'!$C$206,'Assumption Setting'!$C$205,0)</f>
        <v>0</v>
      </c>
      <c r="BM31" s="65" t="n">
        <f aca="false">IF(59='Assumption Setting'!$C$206,'Assumption Setting'!$C$205,0)</f>
        <v>0</v>
      </c>
      <c r="BN31" s="65" t="n">
        <f aca="false">IF(60='Assumption Setting'!$C$206,'Assumption Setting'!$C$205,0)</f>
        <v>0</v>
      </c>
    </row>
    <row r="32" customFormat="false" ht="15" hidden="false" customHeight="false" outlineLevel="0" collapsed="false">
      <c r="A32" s="18" t="s">
        <v>916</v>
      </c>
      <c r="B32" s="64" t="n">
        <f aca="false">SUM(C32:N32)</f>
        <v>150000</v>
      </c>
      <c r="C32" s="77" t="n">
        <f aca="false">C31</f>
        <v>0</v>
      </c>
      <c r="D32" s="77" t="n">
        <f aca="false">D31</f>
        <v>0</v>
      </c>
      <c r="E32" s="77" t="n">
        <f aca="false">E31</f>
        <v>0</v>
      </c>
      <c r="F32" s="77" t="n">
        <f aca="false">F31</f>
        <v>150000</v>
      </c>
      <c r="G32" s="77" t="n">
        <f aca="false">G31</f>
        <v>0</v>
      </c>
      <c r="H32" s="77" t="n">
        <f aca="false">H31</f>
        <v>0</v>
      </c>
      <c r="I32" s="77" t="n">
        <f aca="false">I31</f>
        <v>0</v>
      </c>
      <c r="J32" s="77" t="n">
        <f aca="false">J31</f>
        <v>0</v>
      </c>
      <c r="K32" s="77" t="n">
        <f aca="false">K31</f>
        <v>0</v>
      </c>
      <c r="L32" s="77" t="n">
        <f aca="false">L31</f>
        <v>0</v>
      </c>
      <c r="M32" s="77" t="n">
        <f aca="false">M31</f>
        <v>0</v>
      </c>
      <c r="N32" s="77" t="n">
        <f aca="false">N31</f>
        <v>0</v>
      </c>
      <c r="O32" s="64" t="n">
        <f aca="false">SUM(P32:AA32)</f>
        <v>0</v>
      </c>
      <c r="P32" s="77" t="n">
        <f aca="false">P31</f>
        <v>0</v>
      </c>
      <c r="Q32" s="77" t="n">
        <f aca="false">Q31</f>
        <v>0</v>
      </c>
      <c r="R32" s="77" t="n">
        <f aca="false">R31</f>
        <v>0</v>
      </c>
      <c r="S32" s="77" t="n">
        <f aca="false">S31</f>
        <v>0</v>
      </c>
      <c r="T32" s="77" t="n">
        <f aca="false">T31</f>
        <v>0</v>
      </c>
      <c r="U32" s="77" t="n">
        <f aca="false">U31</f>
        <v>0</v>
      </c>
      <c r="V32" s="77" t="n">
        <f aca="false">V31</f>
        <v>0</v>
      </c>
      <c r="W32" s="77" t="n">
        <f aca="false">W31</f>
        <v>0</v>
      </c>
      <c r="X32" s="77" t="n">
        <f aca="false">X31</f>
        <v>0</v>
      </c>
      <c r="Y32" s="77" t="n">
        <f aca="false">Y31</f>
        <v>0</v>
      </c>
      <c r="Z32" s="77" t="n">
        <f aca="false">Z31</f>
        <v>0</v>
      </c>
      <c r="AA32" s="77" t="n">
        <f aca="false">AA31</f>
        <v>0</v>
      </c>
      <c r="AB32" s="64" t="n">
        <f aca="false">SUM(AC32:AN32)</f>
        <v>0</v>
      </c>
      <c r="AC32" s="77" t="n">
        <f aca="false">AC31</f>
        <v>0</v>
      </c>
      <c r="AD32" s="77" t="n">
        <f aca="false">AD31</f>
        <v>0</v>
      </c>
      <c r="AE32" s="77" t="n">
        <f aca="false">AE31</f>
        <v>0</v>
      </c>
      <c r="AF32" s="77" t="n">
        <f aca="false">AF31</f>
        <v>0</v>
      </c>
      <c r="AG32" s="77" t="n">
        <f aca="false">AG31</f>
        <v>0</v>
      </c>
      <c r="AH32" s="77" t="n">
        <f aca="false">AH31</f>
        <v>0</v>
      </c>
      <c r="AI32" s="77" t="n">
        <f aca="false">AI31</f>
        <v>0</v>
      </c>
      <c r="AJ32" s="77" t="n">
        <f aca="false">AJ31</f>
        <v>0</v>
      </c>
      <c r="AK32" s="77" t="n">
        <f aca="false">AK31</f>
        <v>0</v>
      </c>
      <c r="AL32" s="77" t="n">
        <f aca="false">AL31</f>
        <v>0</v>
      </c>
      <c r="AM32" s="77" t="n">
        <f aca="false">AM31</f>
        <v>0</v>
      </c>
      <c r="AN32" s="77" t="n">
        <f aca="false">AN31</f>
        <v>0</v>
      </c>
      <c r="AO32" s="64" t="n">
        <f aca="false">SUM(AP32:BA32)</f>
        <v>0</v>
      </c>
      <c r="AP32" s="77" t="n">
        <f aca="false">AP31</f>
        <v>0</v>
      </c>
      <c r="AQ32" s="77" t="n">
        <f aca="false">AQ31</f>
        <v>0</v>
      </c>
      <c r="AR32" s="77" t="n">
        <f aca="false">AR31</f>
        <v>0</v>
      </c>
      <c r="AS32" s="77" t="n">
        <f aca="false">AS31</f>
        <v>0</v>
      </c>
      <c r="AT32" s="77" t="n">
        <f aca="false">AT31</f>
        <v>0</v>
      </c>
      <c r="AU32" s="77" t="n">
        <f aca="false">AU31</f>
        <v>0</v>
      </c>
      <c r="AV32" s="77" t="n">
        <f aca="false">AV31</f>
        <v>0</v>
      </c>
      <c r="AW32" s="77" t="n">
        <f aca="false">AW31</f>
        <v>0</v>
      </c>
      <c r="AX32" s="77" t="n">
        <f aca="false">AX31</f>
        <v>0</v>
      </c>
      <c r="AY32" s="77" t="n">
        <f aca="false">AY31</f>
        <v>0</v>
      </c>
      <c r="AZ32" s="77" t="n">
        <f aca="false">AZ31</f>
        <v>0</v>
      </c>
      <c r="BA32" s="77" t="n">
        <f aca="false">BA31</f>
        <v>0</v>
      </c>
      <c r="BB32" s="64" t="n">
        <f aca="false">SUM(BC32:BN32)</f>
        <v>0</v>
      </c>
      <c r="BC32" s="77" t="n">
        <f aca="false">BC31</f>
        <v>0</v>
      </c>
      <c r="BD32" s="77" t="n">
        <f aca="false">BD31</f>
        <v>0</v>
      </c>
      <c r="BE32" s="77" t="n">
        <f aca="false">BE31</f>
        <v>0</v>
      </c>
      <c r="BF32" s="77" t="n">
        <f aca="false">BF31</f>
        <v>0</v>
      </c>
      <c r="BG32" s="77" t="n">
        <f aca="false">BG31</f>
        <v>0</v>
      </c>
      <c r="BH32" s="77" t="n">
        <f aca="false">BH31</f>
        <v>0</v>
      </c>
      <c r="BI32" s="77" t="n">
        <f aca="false">BI31</f>
        <v>0</v>
      </c>
      <c r="BJ32" s="77" t="n">
        <f aca="false">BJ31</f>
        <v>0</v>
      </c>
      <c r="BK32" s="77" t="n">
        <f aca="false">BK31</f>
        <v>0</v>
      </c>
      <c r="BL32" s="77" t="n">
        <f aca="false">BL31</f>
        <v>0</v>
      </c>
      <c r="BM32" s="77" t="n">
        <f aca="false">BM31</f>
        <v>0</v>
      </c>
      <c r="BN32" s="77" t="n">
        <f aca="false">BN31</f>
        <v>0</v>
      </c>
    </row>
    <row r="33" customFormat="false" ht="15" hidden="false" customHeight="false" outlineLevel="0" collapsed="false">
      <c r="A33" s="18" t="s">
        <v>917</v>
      </c>
      <c r="B33" s="64" t="n">
        <f aca="false">SUM(C33:N33)</f>
        <v>76522.0492296294</v>
      </c>
      <c r="C33" s="77" t="n">
        <f aca="false">C28+C30+C32</f>
        <v>-15916.8459941565</v>
      </c>
      <c r="D33" s="77" t="n">
        <f aca="false">D28+D30+D32</f>
        <v>-14790.4538717307</v>
      </c>
      <c r="E33" s="77" t="n">
        <f aca="false">E28+E30+E32</f>
        <v>-6905.11891699463</v>
      </c>
      <c r="F33" s="77" t="n">
        <f aca="false">F28+F30+F32</f>
        <v>145538.623581744</v>
      </c>
      <c r="G33" s="77" t="n">
        <f aca="false">G28+G30+G32</f>
        <v>-4484.46298946356</v>
      </c>
      <c r="H33" s="77" t="n">
        <f aca="false">H28+H30+H32</f>
        <v>-4378.45716485784</v>
      </c>
      <c r="I33" s="77" t="n">
        <f aca="false">I28+I30+I32</f>
        <v>-5560.67544352807</v>
      </c>
      <c r="J33" s="77" t="n">
        <f aca="false">J28+J30+J32</f>
        <v>-4932.24062431095</v>
      </c>
      <c r="K33" s="77" t="n">
        <f aca="false">K28+K30+K32</f>
        <v>-4163.99745352719</v>
      </c>
      <c r="L33" s="77" t="n">
        <f aca="false">L28+L30+L32</f>
        <v>-3395.93719516467</v>
      </c>
      <c r="M33" s="77" t="n">
        <f aca="false">M28+M30+M32</f>
        <v>-2628.05163737199</v>
      </c>
      <c r="N33" s="77" t="n">
        <f aca="false">N28+N30+N32</f>
        <v>-1860.33306100884</v>
      </c>
      <c r="O33" s="64" t="n">
        <f aca="false">SUM(P33:AA33)</f>
        <v>-64314.4758610937</v>
      </c>
      <c r="P33" s="77" t="n">
        <f aca="false">P28+P30+P32</f>
        <v>-9230.53191451868</v>
      </c>
      <c r="Q33" s="77" t="n">
        <f aca="false">Q28+Q30+Q32</f>
        <v>-11131.7495483828</v>
      </c>
      <c r="R33" s="77" t="n">
        <f aca="false">R28+R30+R32</f>
        <v>-10590.9718972023</v>
      </c>
      <c r="S33" s="77" t="n">
        <f aca="false">S28+S30+S32</f>
        <v>-9691.96625369939</v>
      </c>
      <c r="T33" s="77" t="n">
        <f aca="false">T28+T30+T32</f>
        <v>-8353.58724468141</v>
      </c>
      <c r="U33" s="77" t="n">
        <f aca="false">U28+U30+U32</f>
        <v>-6658.0566878092</v>
      </c>
      <c r="V33" s="77" t="n">
        <f aca="false">V28+V30+V32</f>
        <v>-5534.176545708</v>
      </c>
      <c r="W33" s="77" t="n">
        <f aca="false">W28+W30+W32</f>
        <v>-3853.43525350663</v>
      </c>
      <c r="X33" s="77" t="n">
        <f aca="false">X28+X30+X32</f>
        <v>-2353.05090425746</v>
      </c>
      <c r="Y33" s="77" t="n">
        <f aca="false">Y28+Y30+Y32</f>
        <v>-791.857277225203</v>
      </c>
      <c r="Z33" s="77" t="n">
        <f aca="false">Z28+Z30+Z32</f>
        <v>1032.76781239046</v>
      </c>
      <c r="AA33" s="77" t="n">
        <f aca="false">AA28+AA30+AA32</f>
        <v>2842.13985350683</v>
      </c>
      <c r="AB33" s="64" t="n">
        <f aca="false">SUM(AC33:AN33)</f>
        <v>-32470.96531874</v>
      </c>
      <c r="AC33" s="77" t="n">
        <f aca="false">AC28+AC30+AC32</f>
        <v>-13382.3298564644</v>
      </c>
      <c r="AD33" s="77" t="n">
        <f aca="false">AD28+AD30+AD32</f>
        <v>-6534.90062422211</v>
      </c>
      <c r="AE33" s="77" t="n">
        <f aca="false">AE28+AE30+AE32</f>
        <v>-7301.2413475054</v>
      </c>
      <c r="AF33" s="77" t="n">
        <f aca="false">AF28+AF30+AF32</f>
        <v>-8397.88533439931</v>
      </c>
      <c r="AG33" s="77" t="n">
        <f aca="false">AG28+AG30+AG32</f>
        <v>-6526.86717509387</v>
      </c>
      <c r="AH33" s="77" t="n">
        <f aca="false">AH28+AH30+AH32</f>
        <v>-4722.49903216805</v>
      </c>
      <c r="AI33" s="77" t="n">
        <f aca="false">AI28+AI30+AI32</f>
        <v>-2535.26974077392</v>
      </c>
      <c r="AJ33" s="77" t="n">
        <f aca="false">AJ28+AJ30+AJ32</f>
        <v>-578.252502182117</v>
      </c>
      <c r="AK33" s="77" t="n">
        <f aca="false">AK28+AK30+AK32</f>
        <v>1492.43445162921</v>
      </c>
      <c r="AL33" s="77" t="n">
        <f aca="false">AL28+AL30+AL32</f>
        <v>3617.9664574006</v>
      </c>
      <c r="AM33" s="77" t="n">
        <f aca="false">AM28+AM30+AM32</f>
        <v>5338.71441323252</v>
      </c>
      <c r="AN33" s="77" t="n">
        <f aca="false">AN28+AN30+AN32</f>
        <v>7059.16497180684</v>
      </c>
      <c r="AO33" s="64" t="n">
        <f aca="false">SUM(AP33:BA33)</f>
        <v>94648.0734805876</v>
      </c>
      <c r="AP33" s="77" t="n">
        <f aca="false">AP28+AP30+AP32</f>
        <v>-7302.29379393679</v>
      </c>
      <c r="AQ33" s="77" t="n">
        <f aca="false">AQ28+AQ30+AQ32</f>
        <v>-690.629620787426</v>
      </c>
      <c r="AR33" s="77" t="n">
        <f aca="false">AR28+AR30+AR32</f>
        <v>1064.63052276455</v>
      </c>
      <c r="AS33" s="77" t="n">
        <f aca="false">AS28+AS30+AS32</f>
        <v>2704.45176803318</v>
      </c>
      <c r="AT33" s="77" t="n">
        <f aca="false">AT28+AT30+AT32</f>
        <v>4775.65489539046</v>
      </c>
      <c r="AU33" s="77" t="n">
        <f aca="false">AU28+AU30+AU32</f>
        <v>6963.73132836541</v>
      </c>
      <c r="AV33" s="77" t="n">
        <f aca="false">AV28+AV30+AV32</f>
        <v>8782.6644939519</v>
      </c>
      <c r="AW33" s="77" t="n">
        <f aca="false">AW28+AW30+AW32</f>
        <v>11160.0215005115</v>
      </c>
      <c r="AX33" s="77" t="n">
        <f aca="false">AX28+AX30+AX32</f>
        <v>13428.4756189599</v>
      </c>
      <c r="AY33" s="77" t="n">
        <f aca="false">AY28+AY30+AY32</f>
        <v>15820.8661184785</v>
      </c>
      <c r="AZ33" s="77" t="n">
        <f aca="false">AZ28+AZ30+AZ32</f>
        <v>18027.1463952934</v>
      </c>
      <c r="BA33" s="77" t="n">
        <f aca="false">BA28+BA30+BA32</f>
        <v>19913.3542535631</v>
      </c>
      <c r="BB33" s="64" t="n">
        <f aca="false">SUM(BC33:BN33)</f>
        <v>266114.35421233</v>
      </c>
      <c r="BC33" s="77" t="n">
        <f aca="false">BC28+BC30+BC32</f>
        <v>3815.36445760468</v>
      </c>
      <c r="BD33" s="77" t="n">
        <f aca="false">BD28+BD30+BD32</f>
        <v>14527.5957879839</v>
      </c>
      <c r="BE33" s="77" t="n">
        <f aca="false">BE28+BE30+BE32</f>
        <v>16740.9767279487</v>
      </c>
      <c r="BF33" s="77" t="n">
        <f aca="false">BF28+BF30+BF32</f>
        <v>-5326.96905823635</v>
      </c>
      <c r="BG33" s="77" t="n">
        <f aca="false">BG28+BG30+BG32</f>
        <v>20839.4552990298</v>
      </c>
      <c r="BH33" s="77" t="n">
        <f aca="false">BH28+BH30+BH32</f>
        <v>23443.5146497764</v>
      </c>
      <c r="BI33" s="77" t="n">
        <f aca="false">BI28+BI30+BI32</f>
        <v>25736.3518474791</v>
      </c>
      <c r="BJ33" s="77" t="n">
        <f aca="false">BJ28+BJ30+BJ32</f>
        <v>28320.3164902483</v>
      </c>
      <c r="BK33" s="77" t="n">
        <f aca="false">BK28+BK30+BK32</f>
        <v>30802.7235374145</v>
      </c>
      <c r="BL33" s="77" t="n">
        <f aca="false">BL28+BL30+BL32</f>
        <v>33493.9066779887</v>
      </c>
      <c r="BM33" s="77" t="n">
        <f aca="false">BM28+BM30+BM32</f>
        <v>35845.0058435756</v>
      </c>
      <c r="BN33" s="77" t="n">
        <f aca="false">BN28+BN30+BN32</f>
        <v>37876.1119515161</v>
      </c>
    </row>
    <row r="34" customFormat="false" ht="15" hidden="false" customHeight="false" outlineLevel="0" collapsed="false">
      <c r="A34" s="12" t="s">
        <v>918</v>
      </c>
      <c r="B34" s="64" t="n">
        <f aca="false">MIN(C34:N34)</f>
        <v>12387.5812171182</v>
      </c>
      <c r="C34" s="65" t="n">
        <f aca="false">'Assumption Setting'!$C$18</f>
        <v>50000</v>
      </c>
      <c r="D34" s="65" t="n">
        <f aca="false">C35</f>
        <v>34083.1540058435</v>
      </c>
      <c r="E34" s="65" t="n">
        <f aca="false">D35</f>
        <v>19292.7001341128</v>
      </c>
      <c r="F34" s="65" t="n">
        <f aca="false">E35</f>
        <v>12387.5812171182</v>
      </c>
      <c r="G34" s="65" t="n">
        <f aca="false">F35</f>
        <v>157926.204798862</v>
      </c>
      <c r="H34" s="65" t="n">
        <f aca="false">G35</f>
        <v>153441.741809399</v>
      </c>
      <c r="I34" s="65" t="n">
        <f aca="false">H35</f>
        <v>149063.284644541</v>
      </c>
      <c r="J34" s="65" t="n">
        <f aca="false">I35</f>
        <v>143502.609201013</v>
      </c>
      <c r="K34" s="65" t="n">
        <f aca="false">J35</f>
        <v>138570.368576702</v>
      </c>
      <c r="L34" s="65" t="n">
        <f aca="false">K35</f>
        <v>134406.371123175</v>
      </c>
      <c r="M34" s="65" t="n">
        <f aca="false">L35</f>
        <v>131010.43392801</v>
      </c>
      <c r="N34" s="65" t="n">
        <f aca="false">M35</f>
        <v>128382.382290638</v>
      </c>
      <c r="O34" s="64" t="n">
        <f aca="false">MIN(P34:AA34)</f>
        <v>58332.6657026384</v>
      </c>
      <c r="P34" s="65" t="n">
        <f aca="false">N35</f>
        <v>126522.049229629</v>
      </c>
      <c r="Q34" s="65" t="n">
        <f aca="false">P35</f>
        <v>117291.517315111</v>
      </c>
      <c r="R34" s="65" t="n">
        <f aca="false">Q35</f>
        <v>106159.767766728</v>
      </c>
      <c r="S34" s="65" t="n">
        <f aca="false">R35</f>
        <v>95568.7958695257</v>
      </c>
      <c r="T34" s="65" t="n">
        <f aca="false">S35</f>
        <v>85876.8296158263</v>
      </c>
      <c r="U34" s="65" t="n">
        <f aca="false">T35</f>
        <v>77523.2423711449</v>
      </c>
      <c r="V34" s="65" t="n">
        <f aca="false">U35</f>
        <v>70865.1856833357</v>
      </c>
      <c r="W34" s="65" t="n">
        <f aca="false">V35</f>
        <v>65331.0091376277</v>
      </c>
      <c r="X34" s="65" t="n">
        <f aca="false">W35</f>
        <v>61477.5738841211</v>
      </c>
      <c r="Y34" s="65" t="n">
        <f aca="false">X35</f>
        <v>59124.5229798636</v>
      </c>
      <c r="Z34" s="65" t="n">
        <f aca="false">Y35</f>
        <v>58332.6657026384</v>
      </c>
      <c r="AA34" s="65" t="n">
        <f aca="false">Z35</f>
        <v>59365.4335150289</v>
      </c>
      <c r="AB34" s="64" t="n">
        <f aca="false">MIN(AC34:AN34)</f>
        <v>12228.3277557265</v>
      </c>
      <c r="AC34" s="65" t="n">
        <f aca="false">AA35</f>
        <v>62207.5733685357</v>
      </c>
      <c r="AD34" s="65" t="n">
        <f aca="false">AC35</f>
        <v>48825.2435120713</v>
      </c>
      <c r="AE34" s="65" t="n">
        <f aca="false">AD35</f>
        <v>42290.3428878492</v>
      </c>
      <c r="AF34" s="65" t="n">
        <f aca="false">AE35</f>
        <v>34989.1015403438</v>
      </c>
      <c r="AG34" s="65" t="n">
        <f aca="false">AF35</f>
        <v>26591.2162059445</v>
      </c>
      <c r="AH34" s="65" t="n">
        <f aca="false">AG35</f>
        <v>20064.3490308506</v>
      </c>
      <c r="AI34" s="65" t="n">
        <f aca="false">AH35</f>
        <v>15341.8499986825</v>
      </c>
      <c r="AJ34" s="65" t="n">
        <f aca="false">AI35</f>
        <v>12806.5802579086</v>
      </c>
      <c r="AK34" s="65" t="n">
        <f aca="false">AJ35</f>
        <v>12228.3277557265</v>
      </c>
      <c r="AL34" s="65" t="n">
        <f aca="false">AK35</f>
        <v>13720.7622073557</v>
      </c>
      <c r="AM34" s="65" t="n">
        <f aca="false">AL35</f>
        <v>17338.7286647563</v>
      </c>
      <c r="AN34" s="65" t="n">
        <f aca="false">AM35</f>
        <v>22677.4430779888</v>
      </c>
      <c r="AO34" s="64" t="n">
        <f aca="false">MIN(AP34:BA34)</f>
        <v>21743.6846350714</v>
      </c>
      <c r="AP34" s="65" t="n">
        <f aca="false">AN35</f>
        <v>29736.6080497957</v>
      </c>
      <c r="AQ34" s="65" t="n">
        <f aca="false">AP35</f>
        <v>22434.3142558589</v>
      </c>
      <c r="AR34" s="65" t="n">
        <f aca="false">AQ35</f>
        <v>21743.6846350714</v>
      </c>
      <c r="AS34" s="65" t="n">
        <f aca="false">AR35</f>
        <v>22808.315157836</v>
      </c>
      <c r="AT34" s="65" t="n">
        <f aca="false">AS35</f>
        <v>25512.7669258692</v>
      </c>
      <c r="AU34" s="65" t="n">
        <f aca="false">AT35</f>
        <v>30288.4218212596</v>
      </c>
      <c r="AV34" s="65" t="n">
        <f aca="false">AU35</f>
        <v>37252.153149625</v>
      </c>
      <c r="AW34" s="65" t="n">
        <f aca="false">AV35</f>
        <v>46034.8176435769</v>
      </c>
      <c r="AX34" s="65" t="n">
        <f aca="false">AW35</f>
        <v>57194.8391440884</v>
      </c>
      <c r="AY34" s="65" t="n">
        <f aca="false">AX35</f>
        <v>70623.3147630483</v>
      </c>
      <c r="AZ34" s="65" t="n">
        <f aca="false">AY35</f>
        <v>86444.1808815267</v>
      </c>
      <c r="BA34" s="65" t="n">
        <f aca="false">AZ35</f>
        <v>104471.32727682</v>
      </c>
      <c r="BB34" s="64" t="n">
        <f aca="false">MIN(BC34:BN34)</f>
        <v>124384.681530383</v>
      </c>
      <c r="BC34" s="65" t="n">
        <f aca="false">BA35</f>
        <v>124384.681530383</v>
      </c>
      <c r="BD34" s="65" t="n">
        <f aca="false">BC35</f>
        <v>128200.045987988</v>
      </c>
      <c r="BE34" s="65" t="n">
        <f aca="false">BD35</f>
        <v>142727.641775972</v>
      </c>
      <c r="BF34" s="65" t="n">
        <f aca="false">BE35</f>
        <v>159468.618503921</v>
      </c>
      <c r="BG34" s="65" t="n">
        <f aca="false">BF35</f>
        <v>154141.649445684</v>
      </c>
      <c r="BH34" s="65" t="n">
        <f aca="false">BG35</f>
        <v>174981.104744714</v>
      </c>
      <c r="BI34" s="65" t="n">
        <f aca="false">BH35</f>
        <v>198424.619394491</v>
      </c>
      <c r="BJ34" s="65" t="n">
        <f aca="false">BI35</f>
        <v>224160.97124197</v>
      </c>
      <c r="BK34" s="65" t="n">
        <f aca="false">BJ35</f>
        <v>252481.287732218</v>
      </c>
      <c r="BL34" s="65" t="n">
        <f aca="false">BK35</f>
        <v>283284.011269632</v>
      </c>
      <c r="BM34" s="65" t="n">
        <f aca="false">BL35</f>
        <v>316777.917947621</v>
      </c>
      <c r="BN34" s="65" t="n">
        <f aca="false">BM35</f>
        <v>352622.923791197</v>
      </c>
    </row>
    <row r="35" customFormat="false" ht="15" hidden="false" customHeight="false" outlineLevel="0" collapsed="false">
      <c r="A35" s="66" t="s">
        <v>919</v>
      </c>
      <c r="B35" s="67" t="n">
        <f aca="false">N35</f>
        <v>126522.049229629</v>
      </c>
      <c r="C35" s="68" t="n">
        <f aca="false">C34+C33</f>
        <v>34083.1540058435</v>
      </c>
      <c r="D35" s="68" t="n">
        <f aca="false">D34+D33</f>
        <v>19292.7001341128</v>
      </c>
      <c r="E35" s="68" t="n">
        <f aca="false">E34+E33</f>
        <v>12387.5812171182</v>
      </c>
      <c r="F35" s="68" t="n">
        <f aca="false">F34+F33</f>
        <v>157926.204798862</v>
      </c>
      <c r="G35" s="68" t="n">
        <f aca="false">G34+G33</f>
        <v>153441.741809399</v>
      </c>
      <c r="H35" s="68" t="n">
        <f aca="false">H34+H33</f>
        <v>149063.284644541</v>
      </c>
      <c r="I35" s="68" t="n">
        <f aca="false">I34+I33</f>
        <v>143502.609201013</v>
      </c>
      <c r="J35" s="68" t="n">
        <f aca="false">J34+J33</f>
        <v>138570.368576702</v>
      </c>
      <c r="K35" s="68" t="n">
        <f aca="false">K34+K33</f>
        <v>134406.371123175</v>
      </c>
      <c r="L35" s="68" t="n">
        <f aca="false">L34+L33</f>
        <v>131010.43392801</v>
      </c>
      <c r="M35" s="68" t="n">
        <f aca="false">M34+M33</f>
        <v>128382.382290638</v>
      </c>
      <c r="N35" s="68" t="n">
        <f aca="false">N34+N33</f>
        <v>126522.049229629</v>
      </c>
      <c r="O35" s="67" t="n">
        <f aca="false">AA35</f>
        <v>62207.5733685357</v>
      </c>
      <c r="P35" s="68" t="n">
        <f aca="false">P34+P33</f>
        <v>117291.517315111</v>
      </c>
      <c r="Q35" s="68" t="n">
        <f aca="false">Q34+Q33</f>
        <v>106159.767766728</v>
      </c>
      <c r="R35" s="68" t="n">
        <f aca="false">R34+R33</f>
        <v>95568.7958695257</v>
      </c>
      <c r="S35" s="68" t="n">
        <f aca="false">S34+S33</f>
        <v>85876.8296158263</v>
      </c>
      <c r="T35" s="68" t="n">
        <f aca="false">T34+T33</f>
        <v>77523.2423711449</v>
      </c>
      <c r="U35" s="68" t="n">
        <f aca="false">U34+U33</f>
        <v>70865.1856833357</v>
      </c>
      <c r="V35" s="68" t="n">
        <f aca="false">V34+V33</f>
        <v>65331.0091376277</v>
      </c>
      <c r="W35" s="68" t="n">
        <f aca="false">W34+W33</f>
        <v>61477.5738841211</v>
      </c>
      <c r="X35" s="68" t="n">
        <f aca="false">X34+X33</f>
        <v>59124.5229798636</v>
      </c>
      <c r="Y35" s="68" t="n">
        <f aca="false">Y34+Y33</f>
        <v>58332.6657026384</v>
      </c>
      <c r="Z35" s="68" t="n">
        <f aca="false">Z34+Z33</f>
        <v>59365.4335150289</v>
      </c>
      <c r="AA35" s="68" t="n">
        <f aca="false">AA34+AA33</f>
        <v>62207.5733685357</v>
      </c>
      <c r="AB35" s="67" t="n">
        <f aca="false">AN35</f>
        <v>29736.6080497957</v>
      </c>
      <c r="AC35" s="68" t="n">
        <f aca="false">AC34+AC33</f>
        <v>48825.2435120713</v>
      </c>
      <c r="AD35" s="68" t="n">
        <f aca="false">AD34+AD33</f>
        <v>42290.3428878492</v>
      </c>
      <c r="AE35" s="68" t="n">
        <f aca="false">AE34+AE33</f>
        <v>34989.1015403438</v>
      </c>
      <c r="AF35" s="68" t="n">
        <f aca="false">AF34+AF33</f>
        <v>26591.2162059445</v>
      </c>
      <c r="AG35" s="68" t="n">
        <f aca="false">AG34+AG33</f>
        <v>20064.3490308506</v>
      </c>
      <c r="AH35" s="68" t="n">
        <f aca="false">AH34+AH33</f>
        <v>15341.8499986825</v>
      </c>
      <c r="AI35" s="68" t="n">
        <f aca="false">AI34+AI33</f>
        <v>12806.5802579086</v>
      </c>
      <c r="AJ35" s="68" t="n">
        <f aca="false">AJ34+AJ33</f>
        <v>12228.3277557265</v>
      </c>
      <c r="AK35" s="68" t="n">
        <f aca="false">AK34+AK33</f>
        <v>13720.7622073557</v>
      </c>
      <c r="AL35" s="68" t="n">
        <f aca="false">AL34+AL33</f>
        <v>17338.7286647563</v>
      </c>
      <c r="AM35" s="68" t="n">
        <f aca="false">AM34+AM33</f>
        <v>22677.4430779888</v>
      </c>
      <c r="AN35" s="68" t="n">
        <f aca="false">AN34+AN33</f>
        <v>29736.6080497957</v>
      </c>
      <c r="AO35" s="67" t="n">
        <f aca="false">BA35</f>
        <v>124384.681530383</v>
      </c>
      <c r="AP35" s="68" t="n">
        <f aca="false">AP34+AP33</f>
        <v>22434.3142558589</v>
      </c>
      <c r="AQ35" s="68" t="n">
        <f aca="false">AQ34+AQ33</f>
        <v>21743.6846350714</v>
      </c>
      <c r="AR35" s="68" t="n">
        <f aca="false">AR34+AR33</f>
        <v>22808.315157836</v>
      </c>
      <c r="AS35" s="68" t="n">
        <f aca="false">AS34+AS33</f>
        <v>25512.7669258692</v>
      </c>
      <c r="AT35" s="68" t="n">
        <f aca="false">AT34+AT33</f>
        <v>30288.4218212596</v>
      </c>
      <c r="AU35" s="68" t="n">
        <f aca="false">AU34+AU33</f>
        <v>37252.153149625</v>
      </c>
      <c r="AV35" s="68" t="n">
        <f aca="false">AV34+AV33</f>
        <v>46034.8176435769</v>
      </c>
      <c r="AW35" s="68" t="n">
        <f aca="false">AW34+AW33</f>
        <v>57194.8391440884</v>
      </c>
      <c r="AX35" s="68" t="n">
        <f aca="false">AX34+AX33</f>
        <v>70623.3147630483</v>
      </c>
      <c r="AY35" s="68" t="n">
        <f aca="false">AY34+AY33</f>
        <v>86444.1808815267</v>
      </c>
      <c r="AZ35" s="68" t="n">
        <f aca="false">AZ34+AZ33</f>
        <v>104471.32727682</v>
      </c>
      <c r="BA35" s="68" t="n">
        <f aca="false">BA34+BA33</f>
        <v>124384.681530383</v>
      </c>
      <c r="BB35" s="67" t="n">
        <f aca="false">BN35</f>
        <v>390499.035742713</v>
      </c>
      <c r="BC35" s="68" t="n">
        <f aca="false">BC34+BC33</f>
        <v>128200.045987988</v>
      </c>
      <c r="BD35" s="68" t="n">
        <f aca="false">BD34+BD33</f>
        <v>142727.641775972</v>
      </c>
      <c r="BE35" s="68" t="n">
        <f aca="false">BE34+BE33</f>
        <v>159468.618503921</v>
      </c>
      <c r="BF35" s="68" t="n">
        <f aca="false">BF34+BF33</f>
        <v>154141.649445684</v>
      </c>
      <c r="BG35" s="68" t="n">
        <f aca="false">BG34+BG33</f>
        <v>174981.104744714</v>
      </c>
      <c r="BH35" s="68" t="n">
        <f aca="false">BH34+BH33</f>
        <v>198424.619394491</v>
      </c>
      <c r="BI35" s="68" t="n">
        <f aca="false">BI34+BI33</f>
        <v>224160.97124197</v>
      </c>
      <c r="BJ35" s="68" t="n">
        <f aca="false">BJ34+BJ33</f>
        <v>252481.287732218</v>
      </c>
      <c r="BK35" s="68" t="n">
        <f aca="false">BK34+BK33</f>
        <v>283284.011269632</v>
      </c>
      <c r="BL35" s="68" t="n">
        <f aca="false">BL34+BL33</f>
        <v>316777.917947621</v>
      </c>
      <c r="BM35" s="68" t="n">
        <f aca="false">BM34+BM33</f>
        <v>352622.923791197</v>
      </c>
      <c r="BN35" s="68" t="n">
        <f aca="false">BN34+BN33</f>
        <v>390499.035742713</v>
      </c>
    </row>
    <row r="36" customFormat="false" ht="15" hidden="false" customHeight="false" outlineLevel="0" collapsed="false">
      <c r="A36" s="12" t="s">
        <v>920</v>
      </c>
      <c r="B36" s="64" t="n">
        <f aca="false">MIN(C36:N36)</f>
        <v>-12612.4187828818</v>
      </c>
      <c r="C36" s="65" t="n">
        <f aca="false">C35-'Assumption Setting'!$C$207</f>
        <v>9083.15400584351</v>
      </c>
      <c r="D36" s="65" t="n">
        <f aca="false">D35-'Assumption Setting'!$C$207</f>
        <v>-5707.2998658872</v>
      </c>
      <c r="E36" s="65" t="n">
        <f aca="false">E35-'Assumption Setting'!$C$207</f>
        <v>-12612.4187828818</v>
      </c>
      <c r="F36" s="65" t="n">
        <f aca="false">F35-'Assumption Setting'!$C$207</f>
        <v>132926.204798862</v>
      </c>
      <c r="G36" s="65" t="n">
        <f aca="false">G35-'Assumption Setting'!$C$207</f>
        <v>128441.741809399</v>
      </c>
      <c r="H36" s="65" t="n">
        <f aca="false">H35-'Assumption Setting'!$C$207</f>
        <v>124063.284644541</v>
      </c>
      <c r="I36" s="65" t="n">
        <f aca="false">I35-'Assumption Setting'!$C$207</f>
        <v>118502.609201013</v>
      </c>
      <c r="J36" s="65" t="n">
        <f aca="false">J35-'Assumption Setting'!$C$207</f>
        <v>113570.368576702</v>
      </c>
      <c r="K36" s="65" t="n">
        <f aca="false">K35-'Assumption Setting'!$C$207</f>
        <v>109406.371123175</v>
      </c>
      <c r="L36" s="65" t="n">
        <f aca="false">L35-'Assumption Setting'!$C$207</f>
        <v>106010.43392801</v>
      </c>
      <c r="M36" s="65" t="n">
        <f aca="false">M35-'Assumption Setting'!$C$207</f>
        <v>103382.382290638</v>
      </c>
      <c r="N36" s="65" t="n">
        <f aca="false">N35-'Assumption Setting'!$C$207</f>
        <v>101522.049229629</v>
      </c>
      <c r="O36" s="64" t="n">
        <f aca="false">MIN(P36:AA36)</f>
        <v>33332.6657026384</v>
      </c>
      <c r="P36" s="65" t="n">
        <f aca="false">P35-'Assumption Setting'!$C$207</f>
        <v>92291.5173151107</v>
      </c>
      <c r="Q36" s="65" t="n">
        <f aca="false">Q35-'Assumption Setting'!$C$207</f>
        <v>81159.767766728</v>
      </c>
      <c r="R36" s="65" t="n">
        <f aca="false">R35-'Assumption Setting'!$C$207</f>
        <v>70568.7958695257</v>
      </c>
      <c r="S36" s="65" t="n">
        <f aca="false">S35-'Assumption Setting'!$C$207</f>
        <v>60876.8296158263</v>
      </c>
      <c r="T36" s="65" t="n">
        <f aca="false">T35-'Assumption Setting'!$C$207</f>
        <v>52523.2423711449</v>
      </c>
      <c r="U36" s="65" t="n">
        <f aca="false">U35-'Assumption Setting'!$C$207</f>
        <v>45865.1856833357</v>
      </c>
      <c r="V36" s="65" t="n">
        <f aca="false">V35-'Assumption Setting'!$C$207</f>
        <v>40331.0091376277</v>
      </c>
      <c r="W36" s="65" t="n">
        <f aca="false">W35-'Assumption Setting'!$C$207</f>
        <v>36477.5738841211</v>
      </c>
      <c r="X36" s="65" t="n">
        <f aca="false">X35-'Assumption Setting'!$C$207</f>
        <v>34124.5229798636</v>
      </c>
      <c r="Y36" s="65" t="n">
        <f aca="false">Y35-'Assumption Setting'!$C$207</f>
        <v>33332.6657026384</v>
      </c>
      <c r="Z36" s="65" t="n">
        <f aca="false">Z35-'Assumption Setting'!$C$207</f>
        <v>34365.4335150289</v>
      </c>
      <c r="AA36" s="65" t="n">
        <f aca="false">AA35-'Assumption Setting'!$C$207</f>
        <v>37207.5733685357</v>
      </c>
      <c r="AB36" s="64" t="n">
        <f aca="false">MIN(AC36:AN36)</f>
        <v>-12771.6722442735</v>
      </c>
      <c r="AC36" s="65" t="n">
        <f aca="false">AC35-'Assumption Setting'!$C$207</f>
        <v>23825.2435120713</v>
      </c>
      <c r="AD36" s="65" t="n">
        <f aca="false">AD35-'Assumption Setting'!$C$207</f>
        <v>17290.3428878492</v>
      </c>
      <c r="AE36" s="65" t="n">
        <f aca="false">AE35-'Assumption Setting'!$C$207</f>
        <v>9989.10154034376</v>
      </c>
      <c r="AF36" s="65" t="n">
        <f aca="false">AF35-'Assumption Setting'!$C$207</f>
        <v>1591.21620594445</v>
      </c>
      <c r="AG36" s="65" t="n">
        <f aca="false">AG35-'Assumption Setting'!$C$207</f>
        <v>-4935.65096914942</v>
      </c>
      <c r="AH36" s="65" t="n">
        <f aca="false">AH35-'Assumption Setting'!$C$207</f>
        <v>-9658.15000131747</v>
      </c>
      <c r="AI36" s="65" t="n">
        <f aca="false">AI35-'Assumption Setting'!$C$207</f>
        <v>-12193.4197420914</v>
      </c>
      <c r="AJ36" s="65" t="n">
        <f aca="false">AJ35-'Assumption Setting'!$C$207</f>
        <v>-12771.6722442735</v>
      </c>
      <c r="AK36" s="65" t="n">
        <f aca="false">AK35-'Assumption Setting'!$C$207</f>
        <v>-11279.2377926443</v>
      </c>
      <c r="AL36" s="65" t="n">
        <f aca="false">AL35-'Assumption Setting'!$C$207</f>
        <v>-7661.2713352437</v>
      </c>
      <c r="AM36" s="65" t="n">
        <f aca="false">AM35-'Assumption Setting'!$C$207</f>
        <v>-2322.55692201118</v>
      </c>
      <c r="AN36" s="65" t="n">
        <f aca="false">AN35-'Assumption Setting'!$C$207</f>
        <v>4736.60804979566</v>
      </c>
      <c r="AO36" s="64" t="n">
        <f aca="false">MIN(AP36:BA36)</f>
        <v>-3256.31536492856</v>
      </c>
      <c r="AP36" s="65" t="n">
        <f aca="false">AP35-'Assumption Setting'!$C$207</f>
        <v>-2565.68574414113</v>
      </c>
      <c r="AQ36" s="65" t="n">
        <f aca="false">AQ35-'Assumption Setting'!$C$207</f>
        <v>-3256.31536492856</v>
      </c>
      <c r="AR36" s="65" t="n">
        <f aca="false">AR35-'Assumption Setting'!$C$207</f>
        <v>-2191.68484216401</v>
      </c>
      <c r="AS36" s="65" t="n">
        <f aca="false">AS35-'Assumption Setting'!$C$207</f>
        <v>512.766925869168</v>
      </c>
      <c r="AT36" s="65" t="n">
        <f aca="false">AT35-'Assumption Setting'!$C$207</f>
        <v>5288.42182125962</v>
      </c>
      <c r="AU36" s="65" t="n">
        <f aca="false">AU35-'Assumption Setting'!$C$207</f>
        <v>12252.153149625</v>
      </c>
      <c r="AV36" s="65" t="n">
        <f aca="false">AV35-'Assumption Setting'!$C$207</f>
        <v>21034.8176435769</v>
      </c>
      <c r="AW36" s="65" t="n">
        <f aca="false">AW35-'Assumption Setting'!$C$207</f>
        <v>32194.8391440884</v>
      </c>
      <c r="AX36" s="65" t="n">
        <f aca="false">AX35-'Assumption Setting'!$C$207</f>
        <v>45623.3147630483</v>
      </c>
      <c r="AY36" s="65" t="n">
        <f aca="false">AY35-'Assumption Setting'!$C$207</f>
        <v>61444.1808815267</v>
      </c>
      <c r="AZ36" s="65" t="n">
        <f aca="false">AZ35-'Assumption Setting'!$C$207</f>
        <v>79471.3272768201</v>
      </c>
      <c r="BA36" s="65" t="n">
        <f aca="false">BA35-'Assumption Setting'!$C$207</f>
        <v>99384.6815303833</v>
      </c>
      <c r="BB36" s="64" t="n">
        <f aca="false">MIN(BC36:BN36)</f>
        <v>103200.045987988</v>
      </c>
      <c r="BC36" s="65" t="n">
        <f aca="false">BC35-'Assumption Setting'!$C$207</f>
        <v>103200.045987988</v>
      </c>
      <c r="BD36" s="65" t="n">
        <f aca="false">BD35-'Assumption Setting'!$C$207</f>
        <v>117727.641775972</v>
      </c>
      <c r="BE36" s="65" t="n">
        <f aca="false">BE35-'Assumption Setting'!$C$207</f>
        <v>134468.618503921</v>
      </c>
      <c r="BF36" s="65" t="n">
        <f aca="false">BF35-'Assumption Setting'!$C$207</f>
        <v>129141.649445684</v>
      </c>
      <c r="BG36" s="65" t="n">
        <f aca="false">BG35-'Assumption Setting'!$C$207</f>
        <v>149981.104744714</v>
      </c>
      <c r="BH36" s="65" t="n">
        <f aca="false">BH35-'Assumption Setting'!$C$207</f>
        <v>173424.619394491</v>
      </c>
      <c r="BI36" s="65" t="n">
        <f aca="false">BI35-'Assumption Setting'!$C$207</f>
        <v>199160.97124197</v>
      </c>
      <c r="BJ36" s="65" t="n">
        <f aca="false">BJ35-'Assumption Setting'!$C$207</f>
        <v>227481.287732218</v>
      </c>
      <c r="BK36" s="65" t="n">
        <f aca="false">BK35-'Assumption Setting'!$C$207</f>
        <v>258284.011269632</v>
      </c>
      <c r="BL36" s="65" t="n">
        <f aca="false">BL35-'Assumption Setting'!$C$207</f>
        <v>291777.917947621</v>
      </c>
      <c r="BM36" s="65" t="n">
        <f aca="false">BM35-'Assumption Setting'!$C$207</f>
        <v>327622.923791197</v>
      </c>
      <c r="BN36" s="65" t="n">
        <f aca="false">BN35-'Assumption Setting'!$C$207</f>
        <v>365499.035742713</v>
      </c>
    </row>
    <row r="37" customFormat="false" ht="15" hidden="false" customHeight="false" outlineLevel="0" collapsed="false">
      <c r="A37" s="12" t="s">
        <v>921</v>
      </c>
      <c r="B37" s="64" t="n">
        <f aca="false">N37</f>
        <v>-73477.9507703706</v>
      </c>
      <c r="C37" s="65" t="n">
        <f aca="false">C28+C30</f>
        <v>-15916.8459941565</v>
      </c>
      <c r="D37" s="65" t="n">
        <f aca="false">C37+D28+D30</f>
        <v>-30707.2998658872</v>
      </c>
      <c r="E37" s="65" t="n">
        <f aca="false">D37+E28+E30</f>
        <v>-37612.4187828818</v>
      </c>
      <c r="F37" s="65" t="n">
        <f aca="false">E37+F28+F30</f>
        <v>-42073.7952011375</v>
      </c>
      <c r="G37" s="65" t="n">
        <f aca="false">F37+G28+G30</f>
        <v>-46558.2581906011</v>
      </c>
      <c r="H37" s="65" t="n">
        <f aca="false">G37+H28+H30</f>
        <v>-50936.7153554589</v>
      </c>
      <c r="I37" s="65" t="n">
        <f aca="false">H37+I28+I30</f>
        <v>-56497.390798987</v>
      </c>
      <c r="J37" s="65" t="n">
        <f aca="false">I37+J28+J30</f>
        <v>-61429.6314232979</v>
      </c>
      <c r="K37" s="65" t="n">
        <f aca="false">J37+K28+K30</f>
        <v>-65593.6288768251</v>
      </c>
      <c r="L37" s="65" t="n">
        <f aca="false">K37+L28+L30</f>
        <v>-68989.5660719898</v>
      </c>
      <c r="M37" s="65" t="n">
        <f aca="false">L37+M28+M30</f>
        <v>-71617.6177093618</v>
      </c>
      <c r="N37" s="65" t="n">
        <f aca="false">M37+N28+N30</f>
        <v>-73477.9507703706</v>
      </c>
      <c r="O37" s="64" t="n">
        <f aca="false">AA37</f>
        <v>-137792.426631464</v>
      </c>
      <c r="P37" s="65" t="n">
        <f aca="false">N37+P28+P30</f>
        <v>-82708.4826848893</v>
      </c>
      <c r="Q37" s="65" t="n">
        <f aca="false">P37+Q28+Q30</f>
        <v>-93840.2322332721</v>
      </c>
      <c r="R37" s="65" t="n">
        <f aca="false">Q37+R28+R30</f>
        <v>-104431.204130474</v>
      </c>
      <c r="S37" s="65" t="n">
        <f aca="false">R37+S28+S30</f>
        <v>-114123.170384174</v>
      </c>
      <c r="T37" s="65" t="n">
        <f aca="false">S37+T28+T30</f>
        <v>-122476.757628855</v>
      </c>
      <c r="U37" s="65" t="n">
        <f aca="false">T37+U28+U30</f>
        <v>-129134.814316664</v>
      </c>
      <c r="V37" s="65" t="n">
        <f aca="false">U37+V28+V30</f>
        <v>-134668.990862372</v>
      </c>
      <c r="W37" s="65" t="n">
        <f aca="false">V37+W28+W30</f>
        <v>-138522.426115879</v>
      </c>
      <c r="X37" s="65" t="n">
        <f aca="false">W37+X28+X30</f>
        <v>-140875.477020136</v>
      </c>
      <c r="Y37" s="65" t="n">
        <f aca="false">X37+Y28+Y30</f>
        <v>-141667.334297362</v>
      </c>
      <c r="Z37" s="65" t="n">
        <f aca="false">Y37+Z28+Z30</f>
        <v>-140634.566484971</v>
      </c>
      <c r="AA37" s="65" t="n">
        <f aca="false">Z37+AA28+AA30</f>
        <v>-137792.426631464</v>
      </c>
      <c r="AB37" s="64" t="n">
        <f aca="false">AN37</f>
        <v>-170263.391950204</v>
      </c>
      <c r="AC37" s="65" t="n">
        <f aca="false">AA37+AC28+AC30</f>
        <v>-151174.756487929</v>
      </c>
      <c r="AD37" s="65" t="n">
        <f aca="false">AC37+AD28+AD30</f>
        <v>-157709.657112151</v>
      </c>
      <c r="AE37" s="65" t="n">
        <f aca="false">AD37+AE28+AE30</f>
        <v>-165010.898459656</v>
      </c>
      <c r="AF37" s="65" t="n">
        <f aca="false">AE37+AF28+AF30</f>
        <v>-173408.783794056</v>
      </c>
      <c r="AG37" s="65" t="n">
        <f aca="false">AF37+AG28+AG30</f>
        <v>-179935.650969149</v>
      </c>
      <c r="AH37" s="65" t="n">
        <f aca="false">AG37+AH28+AH30</f>
        <v>-184658.150001317</v>
      </c>
      <c r="AI37" s="65" t="n">
        <f aca="false">AH37+AI28+AI30</f>
        <v>-187193.419742091</v>
      </c>
      <c r="AJ37" s="65" t="n">
        <f aca="false">AI37+AJ28+AJ30</f>
        <v>-187771.672244274</v>
      </c>
      <c r="AK37" s="65" t="n">
        <f aca="false">AJ37+AK28+AK30</f>
        <v>-186279.237792644</v>
      </c>
      <c r="AL37" s="65" t="n">
        <f aca="false">AK37+AL28+AL30</f>
        <v>-182661.271335244</v>
      </c>
      <c r="AM37" s="65" t="n">
        <f aca="false">AL37+AM28+AM30</f>
        <v>-177322.556922011</v>
      </c>
      <c r="AN37" s="65" t="n">
        <f aca="false">AM37+AN28+AN30</f>
        <v>-170263.391950204</v>
      </c>
      <c r="AO37" s="64" t="n">
        <f aca="false">BA37</f>
        <v>-75615.3184696168</v>
      </c>
      <c r="AP37" s="65" t="n">
        <f aca="false">AN37+AP28+AP30</f>
        <v>-177565.685744141</v>
      </c>
      <c r="AQ37" s="65" t="n">
        <f aca="false">AP37+AQ28+AQ30</f>
        <v>-178256.315364929</v>
      </c>
      <c r="AR37" s="65" t="n">
        <f aca="false">AQ37+AR28+AR30</f>
        <v>-177191.684842164</v>
      </c>
      <c r="AS37" s="65" t="n">
        <f aca="false">AR37+AS28+AS30</f>
        <v>-174487.233074131</v>
      </c>
      <c r="AT37" s="65" t="n">
        <f aca="false">AS37+AT28+AT30</f>
        <v>-169711.57817874</v>
      </c>
      <c r="AU37" s="65" t="n">
        <f aca="false">AT37+AU28+AU30</f>
        <v>-162747.846850375</v>
      </c>
      <c r="AV37" s="65" t="n">
        <f aca="false">AU37+AV28+AV30</f>
        <v>-153965.182356423</v>
      </c>
      <c r="AW37" s="65" t="n">
        <f aca="false">AV37+AW28+AW30</f>
        <v>-142805.160855912</v>
      </c>
      <c r="AX37" s="65" t="n">
        <f aca="false">AW37+AX28+AX30</f>
        <v>-129376.685236952</v>
      </c>
      <c r="AY37" s="65" t="n">
        <f aca="false">AX37+AY28+AY30</f>
        <v>-113555.819118473</v>
      </c>
      <c r="AZ37" s="65" t="n">
        <f aca="false">AY37+AZ28+AZ30</f>
        <v>-95528.67272318</v>
      </c>
      <c r="BA37" s="65" t="n">
        <f aca="false">AZ37+BA28+BA30</f>
        <v>-75615.3184696168</v>
      </c>
      <c r="BB37" s="64" t="n">
        <f aca="false">BN37</f>
        <v>190499.035742713</v>
      </c>
      <c r="BC37" s="65" t="n">
        <f aca="false">BA37+BC28+BC30</f>
        <v>-71799.9540120121</v>
      </c>
      <c r="BD37" s="65" t="n">
        <f aca="false">BC37+BD28+BD30</f>
        <v>-57272.3582240282</v>
      </c>
      <c r="BE37" s="65" t="n">
        <f aca="false">BD37+BE28+BE30</f>
        <v>-40531.3814960795</v>
      </c>
      <c r="BF37" s="65" t="n">
        <f aca="false">BE37+BF28+BF30</f>
        <v>-45858.3505543158</v>
      </c>
      <c r="BG37" s="65" t="n">
        <f aca="false">BF37+BG28+BG30</f>
        <v>-25018.895255286</v>
      </c>
      <c r="BH37" s="65" t="n">
        <f aca="false">BG37+BH28+BH30</f>
        <v>-1575.38060550961</v>
      </c>
      <c r="BI37" s="65" t="n">
        <f aca="false">BH37+BI28+BI30</f>
        <v>24160.9712419695</v>
      </c>
      <c r="BJ37" s="65" t="n">
        <f aca="false">BI37+BJ28+BJ30</f>
        <v>52481.2877322178</v>
      </c>
      <c r="BK37" s="65" t="n">
        <f aca="false">BJ37+BK28+BK30</f>
        <v>83284.0112696323</v>
      </c>
      <c r="BL37" s="65" t="n">
        <f aca="false">BK37+BL28+BL30</f>
        <v>116777.917947621</v>
      </c>
      <c r="BM37" s="65" t="n">
        <f aca="false">BL37+BM28+BM30</f>
        <v>152622.923791197</v>
      </c>
      <c r="BN37" s="65" t="n">
        <f aca="false">BM37+BN28+BN30</f>
        <v>190499.035742713</v>
      </c>
    </row>
    <row r="39" customFormat="false" ht="16.5" hidden="false" customHeight="true" outlineLevel="0" collapsed="false">
      <c r="A39" s="15" t="s">
        <v>922</v>
      </c>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row>
    <row r="40" customFormat="false" ht="15" hidden="false" customHeight="false" outlineLevel="0" collapsed="false">
      <c r="A40" s="16"/>
      <c r="B40" s="16"/>
      <c r="C40" s="17" t="s">
        <v>81</v>
      </c>
      <c r="D40" s="17" t="s">
        <v>82</v>
      </c>
      <c r="E40" s="17" t="s">
        <v>83</v>
      </c>
      <c r="F40" s="17" t="s">
        <v>84</v>
      </c>
      <c r="G40" s="17" t="s">
        <v>85</v>
      </c>
    </row>
    <row r="41" customFormat="false" ht="15" hidden="false" customHeight="false" outlineLevel="0" collapsed="false">
      <c r="A41" s="12" t="s">
        <v>879</v>
      </c>
      <c r="B41" s="120" t="n">
        <f aca="false">B9</f>
        <v>-45079.1752677567</v>
      </c>
      <c r="O41" s="120" t="n">
        <f aca="false">O9</f>
        <v>-22820.2733677056</v>
      </c>
      <c r="AB41" s="120" t="n">
        <f aca="false">AB9</f>
        <v>15167.7826906056</v>
      </c>
      <c r="AO41" s="120" t="n">
        <f aca="false">AO9</f>
        <v>134946.899638475</v>
      </c>
      <c r="BB41" s="120" t="n">
        <f aca="false">BB9</f>
        <v>283263.574266236</v>
      </c>
    </row>
    <row r="42" customFormat="false" ht="15" hidden="false" customHeight="false" outlineLevel="0" collapsed="false">
      <c r="A42" s="12" t="s">
        <v>836</v>
      </c>
      <c r="B42" s="120" t="n">
        <f aca="false">B10</f>
        <v>3222.08333333333</v>
      </c>
      <c r="O42" s="120" t="n">
        <f aca="false">O10</f>
        <v>4603.125</v>
      </c>
      <c r="AB42" s="120" t="n">
        <f aca="false">AB10</f>
        <v>7388.95833333333</v>
      </c>
      <c r="AO42" s="120" t="n">
        <f aca="false">AO10</f>
        <v>8524.16666666667</v>
      </c>
      <c r="BB42" s="120" t="n">
        <f aca="false">BB10</f>
        <v>8745</v>
      </c>
    </row>
    <row r="43" customFormat="false" ht="15" hidden="false" customHeight="false" outlineLevel="0" collapsed="false">
      <c r="A43" s="12" t="s">
        <v>907</v>
      </c>
      <c r="B43" s="120" t="n">
        <f aca="false">B23</f>
        <v>-35813.0643935571</v>
      </c>
      <c r="O43" s="120" t="n">
        <f aca="false">O23</f>
        <v>-75405.4556895047</v>
      </c>
      <c r="AB43" s="120" t="n">
        <f aca="false">AB23</f>
        <v>-83601.9980012827</v>
      </c>
      <c r="AO43" s="120" t="n">
        <f aca="false">AO23</f>
        <v>-124871.546550957</v>
      </c>
      <c r="BB43" s="120" t="n">
        <f aca="false">BB23</f>
        <v>-145031.08045192</v>
      </c>
    </row>
    <row r="44" customFormat="false" ht="15" hidden="false" customHeight="false" outlineLevel="0" collapsed="false">
      <c r="A44" s="12" t="s">
        <v>908</v>
      </c>
      <c r="B44" s="120" t="n">
        <f aca="false">B24</f>
        <v>10536.2442433909</v>
      </c>
      <c r="O44" s="120" t="n">
        <f aca="false">O24</f>
        <v>20664.7648122577</v>
      </c>
      <c r="AB44" s="120" t="n">
        <f aca="false">AB24</f>
        <v>26466.3105105012</v>
      </c>
      <c r="AO44" s="120" t="n">
        <f aca="false">AO24</f>
        <v>35236.4579399045</v>
      </c>
      <c r="BB44" s="120" t="n">
        <f aca="false">BB24</f>
        <v>40452.3520481232</v>
      </c>
    </row>
    <row r="45" customFormat="false" ht="15" hidden="false" customHeight="false" outlineLevel="0" collapsed="false">
      <c r="A45" s="12" t="s">
        <v>909</v>
      </c>
      <c r="B45" s="120" t="n">
        <f aca="false">B25</f>
        <v>1694</v>
      </c>
      <c r="O45" s="120" t="n">
        <f aca="false">O25</f>
        <v>1848</v>
      </c>
      <c r="AB45" s="120" t="n">
        <f aca="false">AB25</f>
        <v>2464</v>
      </c>
      <c r="AO45" s="120" t="n">
        <f aca="false">AO25</f>
        <v>2271.5</v>
      </c>
      <c r="BB45" s="120" t="n">
        <f aca="false">BB25</f>
        <v>2117.5</v>
      </c>
    </row>
    <row r="46" customFormat="false" ht="15" hidden="false" customHeight="false" outlineLevel="0" collapsed="false">
      <c r="A46" s="12" t="s">
        <v>910</v>
      </c>
      <c r="B46" s="120" t="n">
        <f aca="false">B26</f>
        <v>4241.96131421898</v>
      </c>
      <c r="O46" s="120" t="n">
        <f aca="false">O26</f>
        <v>10035.3633838588</v>
      </c>
      <c r="AB46" s="120" t="n">
        <f aca="false">AB26</f>
        <v>12883.9811481025</v>
      </c>
      <c r="AO46" s="120" t="n">
        <f aca="false">AO26</f>
        <v>18991.6569722217</v>
      </c>
      <c r="BB46" s="120" t="n">
        <f aca="false">BB26</f>
        <v>22518.1352804214</v>
      </c>
    </row>
    <row r="47" customFormat="false" ht="15" hidden="false" customHeight="false" outlineLevel="0" collapsed="false">
      <c r="A47" s="12" t="s">
        <v>911</v>
      </c>
      <c r="B47" s="120" t="n">
        <f aca="false">B27</f>
        <v>0</v>
      </c>
      <c r="O47" s="120" t="n">
        <f aca="false">O27</f>
        <v>0</v>
      </c>
      <c r="AB47" s="120" t="n">
        <f aca="false">AB27</f>
        <v>0</v>
      </c>
      <c r="AO47" s="120" t="n">
        <f aca="false">AO27</f>
        <v>23868.9388142764</v>
      </c>
      <c r="BB47" s="120" t="n">
        <f aca="false">BB27</f>
        <v>58368.8730694695</v>
      </c>
    </row>
    <row r="48" customFormat="false" ht="15" hidden="false" customHeight="false" outlineLevel="0" collapsed="false">
      <c r="A48" s="18" t="s">
        <v>912</v>
      </c>
      <c r="B48" s="117" t="n">
        <f aca="false">B28</f>
        <v>-61197.9507703706</v>
      </c>
      <c r="O48" s="117" t="n">
        <f aca="false">O28</f>
        <v>-61074.4758610937</v>
      </c>
      <c r="AB48" s="117" t="n">
        <f aca="false">AB28</f>
        <v>-19230.96531874</v>
      </c>
      <c r="AO48" s="117" t="n">
        <f aca="false">AO28</f>
        <v>98968.0734805876</v>
      </c>
      <c r="BB48" s="117" t="n">
        <f aca="false">BB28</f>
        <v>270434.35421233</v>
      </c>
    </row>
    <row r="49" customFormat="false" ht="15" hidden="false" customHeight="false" outlineLevel="0" collapsed="false">
      <c r="A49" s="18" t="s">
        <v>914</v>
      </c>
      <c r="B49" s="117" t="n">
        <f aca="false">B30</f>
        <v>-12280</v>
      </c>
      <c r="O49" s="117" t="n">
        <f aca="false">O30</f>
        <v>-3240</v>
      </c>
      <c r="AB49" s="117" t="n">
        <f aca="false">AB30</f>
        <v>-13240</v>
      </c>
      <c r="AO49" s="117" t="n">
        <f aca="false">AO30</f>
        <v>-4320</v>
      </c>
      <c r="BB49" s="117" t="n">
        <f aca="false">BB30</f>
        <v>-4320</v>
      </c>
    </row>
    <row r="50" customFormat="false" ht="15" hidden="false" customHeight="false" outlineLevel="0" collapsed="false">
      <c r="A50" s="18" t="s">
        <v>916</v>
      </c>
      <c r="B50" s="117" t="n">
        <f aca="false">B32</f>
        <v>150000</v>
      </c>
      <c r="O50" s="117" t="n">
        <f aca="false">O32</f>
        <v>0</v>
      </c>
      <c r="AB50" s="117" t="n">
        <f aca="false">AB32</f>
        <v>0</v>
      </c>
      <c r="AO50" s="117" t="n">
        <f aca="false">AO32</f>
        <v>0</v>
      </c>
      <c r="BB50" s="117" t="n">
        <f aca="false">BB32</f>
        <v>0</v>
      </c>
    </row>
    <row r="51" customFormat="false" ht="15" hidden="false" customHeight="false" outlineLevel="0" collapsed="false">
      <c r="A51" s="18" t="s">
        <v>917</v>
      </c>
      <c r="B51" s="117" t="n">
        <f aca="false">B33</f>
        <v>76522.0492296294</v>
      </c>
      <c r="O51" s="117" t="n">
        <f aca="false">O33</f>
        <v>-64314.4758610937</v>
      </c>
      <c r="AB51" s="117" t="n">
        <f aca="false">AB33</f>
        <v>-32470.96531874</v>
      </c>
      <c r="AO51" s="117" t="n">
        <f aca="false">AO33</f>
        <v>94648.0734805876</v>
      </c>
      <c r="BB51" s="117" t="n">
        <f aca="false">BB33</f>
        <v>266114.35421233</v>
      </c>
    </row>
    <row r="52" customFormat="false" ht="15" hidden="false" customHeight="false" outlineLevel="0" collapsed="false">
      <c r="A52" s="18" t="s">
        <v>923</v>
      </c>
      <c r="B52" s="117" t="n">
        <f aca="false">N35</f>
        <v>126522.049229629</v>
      </c>
      <c r="O52" s="117" t="n">
        <f aca="false">AA35</f>
        <v>62207.5733685357</v>
      </c>
      <c r="AB52" s="117" t="n">
        <f aca="false">AN35</f>
        <v>29736.6080497957</v>
      </c>
      <c r="AO52" s="117" t="n">
        <f aca="false">BA35</f>
        <v>124384.681530383</v>
      </c>
      <c r="BB52" s="117" t="n">
        <f aca="false">BN35</f>
        <v>390499.035742713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8" min="3" style="0" width="15"/>
  </cols>
  <sheetData>
    <row r="1" customFormat="false" ht="24.75" hidden="false" customHeight="true" outlineLevel="0" collapsed="false">
      <c r="A1" s="14" t="s">
        <v>846</v>
      </c>
    </row>
    <row r="2" customFormat="false" ht="13.5" hidden="false" customHeight="true" outlineLevel="0" collapsed="false">
      <c r="A2" s="6" t="s">
        <v>924</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925</v>
      </c>
      <c r="B5" s="15"/>
      <c r="C5" s="15"/>
      <c r="D5" s="15"/>
      <c r="E5" s="15"/>
      <c r="F5" s="15"/>
      <c r="G5" s="15"/>
      <c r="H5" s="15"/>
      <c r="I5" s="15"/>
      <c r="J5" s="15"/>
    </row>
    <row r="6" customFormat="false" ht="15" hidden="false" customHeight="false" outlineLevel="0" collapsed="false">
      <c r="A6" s="16"/>
      <c r="B6" s="16"/>
      <c r="C6" s="17" t="s">
        <v>81</v>
      </c>
      <c r="D6" s="17" t="s">
        <v>82</v>
      </c>
      <c r="E6" s="17" t="s">
        <v>83</v>
      </c>
      <c r="F6" s="17" t="s">
        <v>84</v>
      </c>
      <c r="G6" s="17" t="s">
        <v>85</v>
      </c>
    </row>
    <row r="7" customFormat="false" ht="15" hidden="false" customHeight="false" outlineLevel="0" collapsed="false">
      <c r="A7" s="18" t="s">
        <v>86</v>
      </c>
      <c r="C7" s="25" t="n">
        <f aca="false">'Income Statement'!$C$7</f>
        <v>102742.065586255</v>
      </c>
      <c r="D7" s="25" t="n">
        <f aca="false">'Income Statement'!$D$7</f>
        <v>364280.89031635</v>
      </c>
      <c r="E7" s="25" t="n">
        <f aca="false">'Income Statement'!$E$7</f>
        <v>752581.26389205</v>
      </c>
      <c r="F7" s="25" t="n">
        <f aca="false">'Income Statement'!$F$7</f>
        <v>1316610.92668284</v>
      </c>
      <c r="G7" s="25" t="n">
        <f aca="false">'Income Statement'!$G$7</f>
        <v>2001223.1961932</v>
      </c>
    </row>
    <row r="8" customFormat="false" ht="15" hidden="false" customHeight="false" outlineLevel="0" collapsed="false">
      <c r="A8" s="12" t="s">
        <v>926</v>
      </c>
      <c r="B8" s="22" t="s">
        <v>927</v>
      </c>
      <c r="C8" s="121" t="s">
        <v>928</v>
      </c>
      <c r="D8" s="121" t="n">
        <f aca="false">IFERROR(D7/C7-1,0)</f>
        <v>2.5455865933562</v>
      </c>
      <c r="E8" s="121" t="n">
        <f aca="false">IFERROR(E7/D7-1,0)</f>
        <v>1.06593670954985</v>
      </c>
      <c r="F8" s="121" t="n">
        <f aca="false">IFERROR(F7/E7-1,0)</f>
        <v>0.749460144508323</v>
      </c>
      <c r="G8" s="121" t="n">
        <f aca="false">IFERROR(G7/F7-1,0)</f>
        <v>0.519980698652725</v>
      </c>
    </row>
    <row r="9" customFormat="false" ht="15" hidden="false" customHeight="false" outlineLevel="0" collapsed="false">
      <c r="A9" s="12" t="s">
        <v>751</v>
      </c>
      <c r="B9" s="22" t="s">
        <v>929</v>
      </c>
      <c r="C9" s="121" t="n">
        <f aca="false">IFERROR('Revenue Streams'!B$37/'Total Revenue'!B$25,0)</f>
        <v>0.992798032710057</v>
      </c>
      <c r="D9" s="121" t="n">
        <f aca="false">IFERROR('Revenue Streams'!O$37/'Total Revenue'!O$25,0)</f>
        <v>0.990997011933478</v>
      </c>
      <c r="E9" s="121" t="n">
        <f aca="false">IFERROR('Revenue Streams'!AB$37/'Total Revenue'!AB$25,0)</f>
        <v>0.986000631848608</v>
      </c>
      <c r="F9" s="121" t="n">
        <f aca="false">IFERROR('Revenue Streams'!AO$37/'Total Revenue'!AO$25,0)</f>
        <v>0.982942941954984</v>
      </c>
      <c r="G9" s="121" t="n">
        <f aca="false">IFERROR('Revenue Streams'!BB$37/'Total Revenue'!BB$25,0)</f>
        <v>0.980987356601764</v>
      </c>
    </row>
    <row r="10" customFormat="false" ht="15" hidden="false" customHeight="false" outlineLevel="0" collapsed="false">
      <c r="A10" s="12" t="s">
        <v>94</v>
      </c>
      <c r="B10" s="22" t="s">
        <v>930</v>
      </c>
      <c r="C10" s="122" t="n">
        <f aca="false">'Revenue Streams'!B$21</f>
        <v>23.4366579831491</v>
      </c>
      <c r="D10" s="122" t="n">
        <f aca="false">'Revenue Streams'!O$21</f>
        <v>53.7979870617515</v>
      </c>
      <c r="E10" s="122" t="n">
        <f aca="false">'Revenue Streams'!AB$21</f>
        <v>79.0169186842914</v>
      </c>
      <c r="F10" s="122" t="n">
        <f aca="false">'Revenue Streams'!AO$21</f>
        <v>123.853446520803</v>
      </c>
      <c r="G10" s="122" t="n">
        <f aca="false">'Revenue Streams'!BB$21</f>
        <v>176.780232412679</v>
      </c>
    </row>
    <row r="11" customFormat="false" ht="15" hidden="false" customHeight="false" outlineLevel="0" collapsed="false">
      <c r="A11" s="12" t="s">
        <v>95</v>
      </c>
      <c r="C11" s="122" t="n">
        <f aca="false">Acquisitions!B$146</f>
        <v>2776.34207665819</v>
      </c>
      <c r="D11" s="122" t="n">
        <f aca="false">Acquisitions!O$146</f>
        <v>9995.34199672752</v>
      </c>
      <c r="E11" s="122" t="n">
        <f aca="false">Acquisitions!AB$146</f>
        <v>22599.0269573184</v>
      </c>
      <c r="F11" s="122" t="n">
        <f aca="false">Acquisitions!AO$146</f>
        <v>37891.3274342762</v>
      </c>
      <c r="G11" s="122" t="n">
        <f aca="false">Acquisitions!BB$146</f>
        <v>53829.1043964639</v>
      </c>
    </row>
    <row r="12" customFormat="false" ht="15" hidden="false" customHeight="false" outlineLevel="0" collapsed="false">
      <c r="A12" s="12" t="s">
        <v>931</v>
      </c>
      <c r="C12" s="122" t="n">
        <f aca="false">Acquisitions!N$147</f>
        <v>3076.34207665819</v>
      </c>
      <c r="D12" s="122" t="n">
        <f aca="false">Acquisitions!AA$147</f>
        <v>13071.6840733857</v>
      </c>
      <c r="E12" s="122" t="n">
        <f aca="false">Acquisitions!AN$147</f>
        <v>35670.7110307041</v>
      </c>
      <c r="F12" s="122" t="n">
        <f aca="false">Acquisitions!BA$147</f>
        <v>73562.0384649803</v>
      </c>
      <c r="G12" s="122" t="n">
        <f aca="false">Acquisitions!BN$147</f>
        <v>127391.142861444</v>
      </c>
    </row>
    <row r="13" customFormat="false" ht="15" hidden="false" customHeight="false" outlineLevel="0" collapsed="false">
      <c r="A13" s="12" t="s">
        <v>96</v>
      </c>
      <c r="C13" s="122" t="n">
        <f aca="false">Acquisitions!N$149</f>
        <v>58.6587385234798</v>
      </c>
      <c r="D13" s="122" t="n">
        <f aca="false">Acquisitions!AA$149</f>
        <v>276.769505839904</v>
      </c>
      <c r="E13" s="122" t="n">
        <f aca="false">Acquisitions!AN$149</f>
        <v>764.292253473293</v>
      </c>
      <c r="F13" s="122" t="n">
        <f aca="false">Acquisitions!BA$149</f>
        <v>1562.66983878534</v>
      </c>
      <c r="G13" s="122" t="n">
        <f aca="false">Acquisitions!BN$149</f>
        <v>2639.77618222463</v>
      </c>
    </row>
    <row r="14" customFormat="false" ht="15" hidden="false" customHeight="false" outlineLevel="0" collapsed="false">
      <c r="A14" s="12" t="s">
        <v>93</v>
      </c>
      <c r="B14" s="22" t="s">
        <v>932</v>
      </c>
      <c r="C14" s="122" t="n">
        <f aca="false">Payroll!N$64</f>
        <v>6</v>
      </c>
      <c r="D14" s="122" t="n">
        <f aca="false">Payroll!AA$64</f>
        <v>9</v>
      </c>
      <c r="E14" s="122" t="n">
        <f aca="false">Payroll!AN$64</f>
        <v>12</v>
      </c>
      <c r="F14" s="122" t="n">
        <f aca="false">Payroll!BA$64</f>
        <v>16</v>
      </c>
      <c r="G14" s="122" t="n">
        <f aca="false">Payroll!BN$64</f>
        <v>20</v>
      </c>
    </row>
    <row r="15" customFormat="false" ht="15" hidden="false" customHeight="false" outlineLevel="0" collapsed="false">
      <c r="A15" s="12" t="s">
        <v>933</v>
      </c>
      <c r="C15" s="120" t="n">
        <f aca="false">IFERROR(C7/C14,0)</f>
        <v>17123.6775977092</v>
      </c>
      <c r="D15" s="120" t="n">
        <f aca="false">IFERROR(D7/D14,0)</f>
        <v>40475.6544795944</v>
      </c>
      <c r="E15" s="120" t="n">
        <f aca="false">IFERROR(E7/E14,0)</f>
        <v>62715.1053243375</v>
      </c>
      <c r="F15" s="120" t="n">
        <f aca="false">IFERROR(F7/F14,0)</f>
        <v>82288.1829176776</v>
      </c>
      <c r="G15" s="120" t="n">
        <f aca="false">IFERROR(G7/G14,0)</f>
        <v>100061.15980966</v>
      </c>
    </row>
    <row r="16" customFormat="false" ht="15" hidden="false" customHeight="false" outlineLevel="0" collapsed="false">
      <c r="A16" s="12" t="s">
        <v>675</v>
      </c>
      <c r="B16" s="22" t="s">
        <v>934</v>
      </c>
      <c r="C16" s="122" t="n">
        <f aca="false">'GTM Capacity and Timing'!N$15</f>
        <v>13</v>
      </c>
      <c r="D16" s="122" t="n">
        <f aca="false">'GTM Capacity and Timing'!AA$15</f>
        <v>24</v>
      </c>
      <c r="E16" s="122" t="n">
        <f aca="false">'GTM Capacity and Timing'!AN$15</f>
        <v>31</v>
      </c>
      <c r="F16" s="122" t="n">
        <f aca="false">'GTM Capacity and Timing'!BA$15</f>
        <v>47</v>
      </c>
      <c r="G16" s="122" t="n">
        <f aca="false">'GTM Capacity and Timing'!BN$15</f>
        <v>64</v>
      </c>
    </row>
    <row r="18" customFormat="false" ht="16.5" hidden="false" customHeight="true" outlineLevel="0" collapsed="false">
      <c r="A18" s="15" t="s">
        <v>935</v>
      </c>
      <c r="B18" s="15"/>
      <c r="C18" s="15"/>
      <c r="D18" s="15"/>
      <c r="E18" s="15"/>
      <c r="F18" s="15"/>
      <c r="G18" s="15"/>
      <c r="H18" s="15"/>
      <c r="I18" s="15"/>
      <c r="J18" s="15"/>
    </row>
    <row r="19" customFormat="false" ht="15" hidden="false" customHeight="false" outlineLevel="0" collapsed="false">
      <c r="A19" s="16"/>
      <c r="B19" s="16"/>
      <c r="C19" s="17" t="s">
        <v>81</v>
      </c>
      <c r="D19" s="17" t="s">
        <v>82</v>
      </c>
      <c r="E19" s="17" t="s">
        <v>83</v>
      </c>
      <c r="F19" s="17" t="s">
        <v>84</v>
      </c>
      <c r="G19" s="17" t="s">
        <v>85</v>
      </c>
    </row>
    <row r="20" customFormat="false" ht="15" hidden="false" customHeight="false" outlineLevel="0" collapsed="false">
      <c r="A20" s="12" t="s">
        <v>87</v>
      </c>
      <c r="C20" s="20" t="n">
        <f aca="false">'Income Statement'!$C$10</f>
        <v>59542.6300288428</v>
      </c>
      <c r="D20" s="20" t="n">
        <f aca="false">'Income Statement'!$D$10</f>
        <v>225163.513965362</v>
      </c>
      <c r="E20" s="20" t="n">
        <f aca="false">'Income Statement'!$E$10</f>
        <v>463503.346230496</v>
      </c>
      <c r="F20" s="20" t="n">
        <f aca="false">'Income Statement'!$F$10</f>
        <v>803468.853243025</v>
      </c>
      <c r="G20" s="20" t="n">
        <f aca="false">'Income Statement'!$G$10</f>
        <v>1203111.23005978</v>
      </c>
    </row>
    <row r="21" customFormat="false" ht="15" hidden="false" customHeight="false" outlineLevel="0" collapsed="false">
      <c r="A21" s="18" t="s">
        <v>818</v>
      </c>
      <c r="C21" s="55" t="n">
        <f aca="false">IFERROR(C20/C7,0)</f>
        <v>0.579535068611745</v>
      </c>
      <c r="D21" s="55" t="n">
        <f aca="false">IFERROR(D20/D7,0)</f>
        <v>0.618104105789973</v>
      </c>
      <c r="E21" s="55" t="n">
        <f aca="false">IFERROR(E20/E7,0)</f>
        <v>0.615884780114565</v>
      </c>
      <c r="F21" s="55" t="n">
        <f aca="false">IFERROR(F20/F7,0)</f>
        <v>0.61025534344253</v>
      </c>
      <c r="G21" s="55" t="n">
        <f aca="false">IFERROR(G20/G7,0)</f>
        <v>0.601187929636426</v>
      </c>
    </row>
    <row r="22" customFormat="false" ht="15" hidden="false" customHeight="false" outlineLevel="0" collapsed="false">
      <c r="A22" s="12" t="s">
        <v>88</v>
      </c>
      <c r="C22" s="20" t="n">
        <f aca="false">'Income Statement'!$C$30</f>
        <v>-41857.0919344233</v>
      </c>
      <c r="D22" s="20" t="n">
        <f aca="false">'Income Statement'!$D$30</f>
        <v>-18217.1483677056</v>
      </c>
      <c r="E22" s="20" t="n">
        <f aca="false">'Income Statement'!$E$30</f>
        <v>22556.741023939</v>
      </c>
      <c r="F22" s="20" t="n">
        <f aca="false">'Income Statement'!$F$30</f>
        <v>167340.005119419</v>
      </c>
      <c r="G22" s="20" t="n">
        <f aca="false">'Income Statement'!$G$30</f>
        <v>374246.386149982</v>
      </c>
    </row>
    <row r="23" customFormat="false" ht="15" hidden="false" customHeight="false" outlineLevel="0" collapsed="false">
      <c r="A23" s="18" t="s">
        <v>871</v>
      </c>
      <c r="C23" s="55" t="n">
        <f aca="false">IFERROR(C22/C7,0)</f>
        <v>-0.407399750974278</v>
      </c>
      <c r="D23" s="55" t="n">
        <f aca="false">IFERROR(D22/D7,0)</f>
        <v>-0.0500085204905626</v>
      </c>
      <c r="E23" s="55" t="n">
        <f aca="false">IFERROR(E22/E7,0)</f>
        <v>0.0299724987933988</v>
      </c>
      <c r="F23" s="55" t="n">
        <f aca="false">IFERROR(F22/F7,0)</f>
        <v>0.127099055406616</v>
      </c>
      <c r="G23" s="55" t="n">
        <f aca="false">IFERROR(G22/G7,0)</f>
        <v>0.187008818837343</v>
      </c>
    </row>
    <row r="24" customFormat="false" ht="15" hidden="false" customHeight="false" outlineLevel="0" collapsed="false">
      <c r="A24" s="12" t="s">
        <v>89</v>
      </c>
      <c r="C24" s="20" t="n">
        <f aca="false">'Income Statement'!$C$40</f>
        <v>-45079.1752677567</v>
      </c>
      <c r="D24" s="20" t="n">
        <f aca="false">'Income Statement'!$D$40</f>
        <v>-22820.2733677056</v>
      </c>
      <c r="E24" s="20" t="n">
        <f aca="false">'Income Statement'!$E$40</f>
        <v>15167.7826906056</v>
      </c>
      <c r="F24" s="20" t="n">
        <f aca="false">'Income Statement'!$F$40</f>
        <v>134946.899638475</v>
      </c>
      <c r="G24" s="20" t="n">
        <f aca="false">'Income Statement'!$G$40</f>
        <v>283263.574266236</v>
      </c>
    </row>
    <row r="25" customFormat="false" ht="15" hidden="false" customHeight="false" outlineLevel="0" collapsed="false">
      <c r="A25" s="18" t="s">
        <v>936</v>
      </c>
      <c r="C25" s="55" t="n">
        <f aca="false">IFERROR(C24/C7,0)</f>
        <v>-0.438760647944256</v>
      </c>
      <c r="D25" s="55" t="n">
        <f aca="false">IFERROR(D24/D7,0)</f>
        <v>-0.0626447172342418</v>
      </c>
      <c r="E25" s="55" t="n">
        <f aca="false">IFERROR(E24/E7,0)</f>
        <v>0.0201543453422743</v>
      </c>
      <c r="F25" s="55" t="n">
        <f aca="false">IFERROR(F24/F7,0)</f>
        <v>0.102495655249095</v>
      </c>
      <c r="G25" s="55" t="n">
        <f aca="false">IFERROR(G24/G7,0)</f>
        <v>0.141545218346994</v>
      </c>
    </row>
    <row r="26" customFormat="false" ht="15" hidden="false" customHeight="false" outlineLevel="0" collapsed="false">
      <c r="A26" s="18" t="s">
        <v>90</v>
      </c>
      <c r="C26" s="19" t="n">
        <f aca="false">Expenses!B$51</f>
        <v>147821.240854012</v>
      </c>
      <c r="D26" s="19" t="n">
        <f aca="false">Expenses!O$51</f>
        <v>387101.163684055</v>
      </c>
      <c r="E26" s="19" t="n">
        <f aca="false">Expenses!AB$51</f>
        <v>737413.481201444</v>
      </c>
      <c r="F26" s="19" t="n">
        <f aca="false">Expenses!AO$51</f>
        <v>1157795.08823009</v>
      </c>
      <c r="G26" s="19" t="n">
        <f aca="false">Expenses!BB$51</f>
        <v>1635721.81004322</v>
      </c>
    </row>
    <row r="28" customFormat="false" ht="16.5" hidden="false" customHeight="true" outlineLevel="0" collapsed="false">
      <c r="A28" s="15" t="s">
        <v>937</v>
      </c>
      <c r="B28" s="15"/>
      <c r="C28" s="15"/>
      <c r="D28" s="15"/>
      <c r="E28" s="15"/>
      <c r="F28" s="15"/>
      <c r="G28" s="15"/>
      <c r="H28" s="15"/>
      <c r="I28" s="15"/>
      <c r="J28" s="15"/>
    </row>
    <row r="29" customFormat="false" ht="15" hidden="false" customHeight="false" outlineLevel="0" collapsed="false">
      <c r="A29" s="16"/>
      <c r="B29" s="16"/>
      <c r="C29" s="17" t="s">
        <v>81</v>
      </c>
      <c r="D29" s="17" t="s">
        <v>82</v>
      </c>
      <c r="E29" s="17" t="s">
        <v>83</v>
      </c>
      <c r="F29" s="17" t="s">
        <v>84</v>
      </c>
      <c r="G29" s="17" t="s">
        <v>85</v>
      </c>
    </row>
    <row r="30" customFormat="false" ht="15" hidden="false" customHeight="false" outlineLevel="0" collapsed="false">
      <c r="A30" s="12" t="s">
        <v>938</v>
      </c>
      <c r="C30" s="123" t="n">
        <f aca="false">Acquisitions!B$34</f>
        <v>4.65891220445998</v>
      </c>
      <c r="D30" s="123" t="n">
        <f aca="false">Acquisitions!O$34</f>
        <v>4.60927109522238</v>
      </c>
      <c r="E30" s="123" t="n">
        <f aca="false">Acquisitions!AB$34</f>
        <v>4.64396512247653</v>
      </c>
      <c r="F30" s="123" t="n">
        <f aca="false">Acquisitions!AO$34</f>
        <v>4.6876099340846</v>
      </c>
      <c r="G30" s="123" t="n">
        <f aca="false">Acquisitions!BB$34</f>
        <v>4.68899537167355</v>
      </c>
    </row>
    <row r="31" customFormat="false" ht="15" hidden="false" customHeight="false" outlineLevel="0" collapsed="false">
      <c r="A31" s="12" t="s">
        <v>666</v>
      </c>
      <c r="B31" s="22" t="s">
        <v>939</v>
      </c>
      <c r="C31" s="123" t="n">
        <f aca="false">IFERROR(Acquisitions!B$31*(1-'Assumption Setting'!$C$63)/Acquisitions!B$148,0)</f>
        <v>23.5824953973578</v>
      </c>
      <c r="D31" s="123" t="n">
        <f aca="false">IFERROR(Acquisitions!O$31*(1-'Assumption Setting'!$C$63)/Acquisitions!O$148,0)</f>
        <v>19.8543668645004</v>
      </c>
      <c r="E31" s="123" t="n">
        <f aca="false">IFERROR(Acquisitions!AB$31*(1-'Assumption Setting'!$C$63)/Acquisitions!AB$148,0)</f>
        <v>15.4853064578998</v>
      </c>
      <c r="F31" s="123" t="n">
        <f aca="false">IFERROR(Acquisitions!AO$31*(1-'Assumption Setting'!$C$63)/Acquisitions!AO$148,0)</f>
        <v>12.4143345716553</v>
      </c>
      <c r="G31" s="123" t="n">
        <f aca="false">IFERROR(Acquisitions!BB$31*(1-'Assumption Setting'!$C$63)/Acquisitions!BB$148,0)</f>
        <v>10.4429763048274</v>
      </c>
    </row>
    <row r="32" customFormat="false" ht="15" hidden="false" customHeight="false" outlineLevel="0" collapsed="false">
      <c r="A32" s="12" t="s">
        <v>940</v>
      </c>
      <c r="B32" s="22" t="s">
        <v>941</v>
      </c>
      <c r="C32" s="123" t="n">
        <f aca="false">IFERROR('Revenue Streams'!B$43/12*IFERROR(C20/C7,0)/'Assumption Setting'!$C$137,0)</f>
        <v>14.4883767152936</v>
      </c>
      <c r="D32" s="123" t="n">
        <f aca="false">IFERROR('Revenue Streams'!O$43/12*IFERROR(D20/D7,0)/'Assumption Setting'!$C$137,0)</f>
        <v>15.4526026447493</v>
      </c>
      <c r="E32" s="123" t="n">
        <f aca="false">IFERROR('Revenue Streams'!AB$43/12*IFERROR(E20/E7,0)/'Assumption Setting'!$C$137,0)</f>
        <v>15.3971195028641</v>
      </c>
      <c r="F32" s="123" t="n">
        <f aca="false">IFERROR('Revenue Streams'!AO$43/12*IFERROR(F20/F7,0)/'Assumption Setting'!$C$137,0)</f>
        <v>15.2563835860632</v>
      </c>
      <c r="G32" s="123" t="n">
        <f aca="false">IFERROR('Revenue Streams'!BB$43/12*IFERROR(G20/G7,0)/'Assumption Setting'!$C$137,0)</f>
        <v>15.0296982409107</v>
      </c>
    </row>
    <row r="33" customFormat="false" ht="15" hidden="false" customHeight="false" outlineLevel="0" collapsed="false">
      <c r="A33" s="18" t="s">
        <v>942</v>
      </c>
      <c r="C33" s="124" t="n">
        <f aca="false">IFERROR(C32/C31,0)</f>
        <v>0.614369958359746</v>
      </c>
      <c r="D33" s="124" t="n">
        <f aca="false">IFERROR(D32/D31,0)</f>
        <v>0.778297426969509</v>
      </c>
      <c r="E33" s="124" t="n">
        <f aca="false">IFERROR(E32/E31,0)</f>
        <v>0.994305120452385</v>
      </c>
      <c r="F33" s="124" t="n">
        <f aca="false">IFERROR(F32/F31,0)</f>
        <v>1.22893285161631</v>
      </c>
      <c r="G33" s="124" t="n">
        <f aca="false">IFERROR(G32/G31,0)</f>
        <v>1.43921596700004</v>
      </c>
    </row>
    <row r="34" customFormat="false" ht="15" hidden="false" customHeight="false" outlineLevel="0" collapsed="false">
      <c r="A34" s="12" t="s">
        <v>668</v>
      </c>
      <c r="B34" s="22" t="s">
        <v>943</v>
      </c>
      <c r="C34" s="120" t="n">
        <f aca="false">IFERROR(Acquisitions!B$152/Acquisitions!B$99,0)</f>
        <v>2830.42288810948</v>
      </c>
      <c r="D34" s="120" t="n">
        <f aca="false">IFERROR(Acquisitions!O$152/Acquisitions!O$99,0)</f>
        <v>3011.74907347046</v>
      </c>
      <c r="E34" s="120" t="n">
        <f aca="false">IFERROR(Acquisitions!AB$152/Acquisitions!AB$99,0)</f>
        <v>3749.59059462854</v>
      </c>
      <c r="F34" s="120" t="n">
        <f aca="false">IFERROR(Acquisitions!AO$152/Acquisitions!AO$99,0)</f>
        <v>3830.67672267746</v>
      </c>
      <c r="G34" s="120" t="n">
        <f aca="false">IFERROR(Acquisitions!BB$152/Acquisitions!BB$99,0)</f>
        <v>3868.23325856102</v>
      </c>
    </row>
    <row r="35" customFormat="false" ht="15" hidden="false" customHeight="false" outlineLevel="0" collapsed="false">
      <c r="A35" s="12" t="s">
        <v>944</v>
      </c>
      <c r="B35" s="22" t="s">
        <v>945</v>
      </c>
      <c r="C35" s="120" t="n">
        <f aca="false">IFERROR('Revenue Streams'!B$37/Acquisitions!B$99,0)</f>
        <v>11578.0051634321</v>
      </c>
      <c r="D35" s="120" t="n">
        <f aca="false">IFERROR('Revenue Streams'!O$37/Acquisitions!O$99,0)</f>
        <v>16529.0104885039</v>
      </c>
      <c r="E35" s="120" t="n">
        <f aca="false">IFERROR('Revenue Streams'!AB$37/Acquisitions!AB$99,0)</f>
        <v>20607.3798232531</v>
      </c>
      <c r="F35" s="120" t="n">
        <f aca="false">IFERROR('Revenue Streams'!AO$37/Acquisitions!AO$99,0)</f>
        <v>25321.7048355014</v>
      </c>
      <c r="G35" s="120" t="n">
        <f aca="false">IFERROR('Revenue Streams'!BB$37/Acquisitions!BB$99,0)</f>
        <v>29480.1104274355</v>
      </c>
    </row>
    <row r="36" customFormat="false" ht="15" hidden="false" customHeight="false" outlineLevel="0" collapsed="false">
      <c r="A36" s="18" t="s">
        <v>946</v>
      </c>
      <c r="B36" s="22" t="s">
        <v>947</v>
      </c>
      <c r="C36" s="124" t="n">
        <f aca="false">IFERROR(C35*IFERROR(C20/C7,0)*'Assumption Setting'!$C$208/C34,0)</f>
        <v>5.9265525700812</v>
      </c>
      <c r="D36" s="124" t="n">
        <f aca="false">IFERROR(D35*IFERROR(D20/D7,0)*'Assumption Setting'!$C$208/D34,0)</f>
        <v>8.48066106966297</v>
      </c>
      <c r="E36" s="124" t="n">
        <f aca="false">IFERROR(E35*IFERROR(E20/E7,0)*'Assumption Setting'!$C$208/E34,0)</f>
        <v>8.46210490910866</v>
      </c>
      <c r="F36" s="124" t="n">
        <f aca="false">IFERROR(F35*IFERROR(F20/F7,0)*'Assumption Setting'!$C$208/F34,0)</f>
        <v>10.0848406167113</v>
      </c>
      <c r="G36" s="124" t="n">
        <f aca="false">IFERROR(G35*IFERROR(G20/G7,0)*'Assumption Setting'!$C$208/G34,0)</f>
        <v>11.4542514428901</v>
      </c>
    </row>
    <row r="37" customFormat="false" ht="15" hidden="false" customHeight="false" outlineLevel="0" collapsed="false">
      <c r="A37" s="18" t="s">
        <v>948</v>
      </c>
      <c r="B37" s="22" t="s">
        <v>949</v>
      </c>
      <c r="C37" s="125" t="n">
        <f aca="false">'GTM Capacity and Timing'!N$54</f>
        <v>12.6857810390181</v>
      </c>
      <c r="D37" s="125" t="n">
        <f aca="false">'GTM Capacity and Timing'!AA$54</f>
        <v>31.7079430885234</v>
      </c>
      <c r="E37" s="125" t="n">
        <f aca="false">'GTM Capacity and Timing'!AN$54</f>
        <v>48.2464071294985</v>
      </c>
      <c r="F37" s="125" t="n">
        <f aca="false">'GTM Capacity and Timing'!BA$54</f>
        <v>72.5646206114405</v>
      </c>
      <c r="G37" s="125" t="n">
        <f aca="false">'GTM Capacity and Timing'!BN$54</f>
        <v>98.4458885497838</v>
      </c>
    </row>
    <row r="39" customFormat="false" ht="16.5" hidden="false" customHeight="true" outlineLevel="0" collapsed="false">
      <c r="A39" s="15" t="s">
        <v>950</v>
      </c>
      <c r="B39" s="15"/>
      <c r="C39" s="15"/>
      <c r="D39" s="15"/>
      <c r="E39" s="15"/>
      <c r="F39" s="15"/>
      <c r="G39" s="15"/>
      <c r="H39" s="15"/>
      <c r="I39" s="15"/>
      <c r="J39" s="15"/>
    </row>
    <row r="40" customFormat="false" ht="15" hidden="false" customHeight="false" outlineLevel="0" collapsed="false">
      <c r="A40" s="16"/>
      <c r="B40" s="16"/>
      <c r="C40" s="17" t="s">
        <v>81</v>
      </c>
      <c r="D40" s="17" t="s">
        <v>82</v>
      </c>
      <c r="E40" s="17" t="s">
        <v>83</v>
      </c>
      <c r="F40" s="17" t="s">
        <v>84</v>
      </c>
      <c r="G40" s="17" t="s">
        <v>85</v>
      </c>
    </row>
    <row r="41" customFormat="false" ht="15" hidden="false" customHeight="false" outlineLevel="0" collapsed="false">
      <c r="A41" s="18" t="s">
        <v>91</v>
      </c>
      <c r="C41" s="25" t="n">
        <f aca="false">'Cash Flow Statement'!N$35</f>
        <v>126522.049229629</v>
      </c>
      <c r="D41" s="25" t="n">
        <f aca="false">'Cash Flow Statement'!AA$35</f>
        <v>62207.5733685357</v>
      </c>
      <c r="E41" s="25" t="n">
        <f aca="false">'Cash Flow Statement'!AN$35</f>
        <v>29736.6080497957</v>
      </c>
      <c r="F41" s="25" t="n">
        <f aca="false">'Cash Flow Statement'!BA$35</f>
        <v>124384.681530383</v>
      </c>
      <c r="G41" s="25" t="n">
        <f aca="false">'Cash Flow Statement'!BN$35</f>
        <v>390499.035742713</v>
      </c>
    </row>
    <row r="42" customFormat="false" ht="15" hidden="false" customHeight="false" outlineLevel="0" collapsed="false">
      <c r="A42" s="12" t="s">
        <v>92</v>
      </c>
      <c r="C42" s="120" t="n">
        <f aca="false">MIN('Cash Flow Statement'!C$35:N$35)</f>
        <v>12387.5812171182</v>
      </c>
      <c r="D42" s="120" t="n">
        <f aca="false">MIN('Cash Flow Statement'!P$35:AA$35)</f>
        <v>58332.6657026384</v>
      </c>
      <c r="E42" s="120" t="n">
        <f aca="false">MIN('Cash Flow Statement'!AC$35:AN$35)</f>
        <v>12228.3277557265</v>
      </c>
      <c r="F42" s="120" t="n">
        <f aca="false">MIN('Cash Flow Statement'!AP$35:BA$35)</f>
        <v>21743.6846350714</v>
      </c>
      <c r="G42" s="120" t="n">
        <f aca="false">MIN('Cash Flow Statement'!BC$35:BN$35)</f>
        <v>128200.045987988</v>
      </c>
    </row>
    <row r="43" customFormat="false" ht="15" hidden="false" customHeight="false" outlineLevel="0" collapsed="false">
      <c r="A43" s="12" t="s">
        <v>951</v>
      </c>
      <c r="C43" s="120" t="n">
        <f aca="false">'Cash Flow Statement'!B$28</f>
        <v>-61197.9507703706</v>
      </c>
      <c r="D43" s="120" t="n">
        <f aca="false">'Cash Flow Statement'!O$28</f>
        <v>-61074.4758610937</v>
      </c>
      <c r="E43" s="120" t="n">
        <f aca="false">'Cash Flow Statement'!AB$28</f>
        <v>-19230.96531874</v>
      </c>
      <c r="F43" s="120" t="n">
        <f aca="false">'Cash Flow Statement'!AO$28</f>
        <v>98968.0734805876</v>
      </c>
      <c r="G43" s="120" t="n">
        <f aca="false">'Cash Flow Statement'!BB$28</f>
        <v>270434.35421233</v>
      </c>
    </row>
    <row r="44" customFormat="false" ht="15" hidden="false" customHeight="false" outlineLevel="0" collapsed="false">
      <c r="A44" s="18" t="s">
        <v>952</v>
      </c>
      <c r="B44" s="22" t="s">
        <v>953</v>
      </c>
      <c r="C44" s="19" t="n">
        <f aca="false">'Cash Flow Statement'!B$28+'Cash Flow Statement'!B$30</f>
        <v>-73477.9507703706</v>
      </c>
      <c r="D44" s="19" t="n">
        <f aca="false">'Cash Flow Statement'!O$28+'Cash Flow Statement'!O$30</f>
        <v>-64314.4758610937</v>
      </c>
      <c r="E44" s="19" t="n">
        <f aca="false">'Cash Flow Statement'!AB$28+'Cash Flow Statement'!AB$30</f>
        <v>-32470.96531874</v>
      </c>
      <c r="F44" s="19" t="n">
        <f aca="false">'Cash Flow Statement'!AO$28+'Cash Flow Statement'!AO$30</f>
        <v>94648.0734805876</v>
      </c>
      <c r="G44" s="19" t="n">
        <f aca="false">'Cash Flow Statement'!BB$28+'Cash Flow Statement'!BB$30</f>
        <v>266114.35421233</v>
      </c>
    </row>
    <row r="45" customFormat="false" ht="15" hidden="false" customHeight="false" outlineLevel="0" collapsed="false">
      <c r="A45" s="12" t="s">
        <v>954</v>
      </c>
      <c r="C45" s="120" t="n">
        <f aca="false">C44/12</f>
        <v>-6123.16256419755</v>
      </c>
      <c r="D45" s="120" t="n">
        <f aca="false">D44/12</f>
        <v>-5359.53965509114</v>
      </c>
      <c r="E45" s="120" t="n">
        <f aca="false">E44/12</f>
        <v>-2705.91377656167</v>
      </c>
      <c r="F45" s="120" t="n">
        <f aca="false">F44/12</f>
        <v>7887.33945671563</v>
      </c>
      <c r="G45" s="120" t="n">
        <f aca="false">G44/12</f>
        <v>22176.1961843608</v>
      </c>
    </row>
    <row r="46" customFormat="false" ht="15" hidden="false" customHeight="false" outlineLevel="0" collapsed="false">
      <c r="A46" s="12" t="s">
        <v>955</v>
      </c>
      <c r="B46" s="22" t="s">
        <v>956</v>
      </c>
      <c r="C46" s="126" t="n">
        <f aca="false">IF(C44&gt;=0,99,IFERROR(C41/(-C44/12),0))</f>
        <v>20.6628597400648</v>
      </c>
      <c r="D46" s="126" t="n">
        <f aca="false">IF(D44&gt;=0,99,IFERROR(D41/(-D44/12),0))</f>
        <v>11.6068874141911</v>
      </c>
      <c r="E46" s="126" t="n">
        <f aca="false">IF(E44&gt;=0,99,IFERROR(E41/(-E44/12),0))</f>
        <v>10.9894883966263</v>
      </c>
      <c r="F46" s="126" t="n">
        <f aca="false">IF(F44&gt;=0,99,IFERROR(F41/(-F44/12),0))</f>
        <v>99</v>
      </c>
      <c r="G46" s="126" t="n">
        <f aca="false">IF(G44&gt;=0,99,IFERROR(G41/(-G44/12),0))</f>
        <v>99</v>
      </c>
    </row>
    <row r="47" customFormat="false" ht="15" hidden="false" customHeight="false" outlineLevel="0" collapsed="false">
      <c r="A47" s="12" t="s">
        <v>957</v>
      </c>
      <c r="B47" s="22" t="s">
        <v>958</v>
      </c>
      <c r="C47" s="122" t="n">
        <f aca="false">IFERROR('Cash Flow Statement'!N$14/C7*365,0)</f>
        <v>127.228982881157</v>
      </c>
      <c r="D47" s="122" t="n">
        <f aca="false">IFERROR('Cash Flow Statement'!AA$14/D7*365,0)</f>
        <v>111.438071305536</v>
      </c>
      <c r="E47" s="122" t="n">
        <f aca="false">IFERROR('Cash Flow Statement'!AN$14/E7*365,0)</f>
        <v>94.487456056288</v>
      </c>
      <c r="F47" s="122" t="n">
        <f aca="false">IFERROR('Cash Flow Statement'!BA$14/F7*365,0)</f>
        <v>88.6272483594495</v>
      </c>
      <c r="G47" s="122" t="n">
        <f aca="false">IFERROR('Cash Flow Statement'!BN$14/G7*365,0)</f>
        <v>84.7601348412817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92"/>
  </cols>
  <sheetData>
    <row r="1" customFormat="false" ht="6" hidden="false" customHeight="true" outlineLevel="0" collapsed="false">
      <c r="A1" s="33"/>
      <c r="B1" s="33"/>
      <c r="C1" s="33"/>
    </row>
    <row r="2" customFormat="false" ht="37.5" hidden="false" customHeight="true" outlineLevel="0" collapsed="false">
      <c r="B2" s="34" t="s">
        <v>66</v>
      </c>
    </row>
    <row r="3" customFormat="false" ht="15" hidden="false" customHeight="false" outlineLevel="0" collapsed="false">
      <c r="B3" s="3"/>
      <c r="C3" s="3"/>
    </row>
    <row r="5" customFormat="false" ht="30" hidden="false" customHeight="true" outlineLevel="0" collapsed="false">
      <c r="B5" s="35" t="s">
        <v>959</v>
      </c>
      <c r="C5" s="36" t="s">
        <v>69</v>
      </c>
    </row>
    <row r="6" customFormat="false" ht="30" hidden="false" customHeight="true" outlineLevel="0" collapsed="false">
      <c r="B6" s="35" t="s">
        <v>960</v>
      </c>
      <c r="C6" s="36" t="s">
        <v>71</v>
      </c>
    </row>
    <row r="7" customFormat="false" ht="30" hidden="false" customHeight="true" outlineLevel="0" collapsed="false">
      <c r="B7" s="35" t="s">
        <v>961</v>
      </c>
      <c r="C7" s="36" t="s">
        <v>73</v>
      </c>
    </row>
    <row r="8" customFormat="false" ht="30" hidden="false" customHeight="true" outlineLevel="0" collapsed="false">
      <c r="B8" s="35" t="s">
        <v>962</v>
      </c>
      <c r="C8" s="36" t="s">
        <v>75</v>
      </c>
    </row>
    <row r="9" customFormat="false" ht="30" hidden="false" customHeight="true" outlineLevel="0" collapsed="false">
      <c r="B9" s="35" t="s">
        <v>963</v>
      </c>
      <c r="C9" s="36" t="s">
        <v>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3" min="3" style="0" width="15"/>
    <col collapsed="false" customWidth="true" hidden="false" outlineLevel="0" max="4" min="4" style="0" width="24"/>
    <col collapsed="false" customWidth="true" hidden="false" outlineLevel="0" max="8" min="5" style="0" width="15"/>
  </cols>
  <sheetData>
    <row r="1" customFormat="false" ht="24.75" hidden="false" customHeight="true" outlineLevel="0" collapsed="false">
      <c r="A1" s="14" t="s">
        <v>964</v>
      </c>
    </row>
    <row r="2" customFormat="false" ht="13.5" hidden="false" customHeight="true" outlineLevel="0" collapsed="false">
      <c r="A2" s="6" t="s">
        <v>965</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966</v>
      </c>
      <c r="B5" s="15"/>
      <c r="C5" s="15"/>
      <c r="D5" s="15"/>
      <c r="E5" s="15"/>
      <c r="F5" s="15"/>
      <c r="G5" s="15"/>
      <c r="H5" s="15"/>
      <c r="I5" s="15"/>
      <c r="J5" s="15"/>
    </row>
    <row r="6" customFormat="false" ht="15" hidden="false" customHeight="false" outlineLevel="0" collapsed="false">
      <c r="A6" s="16"/>
      <c r="B6" s="16"/>
      <c r="C6" s="17" t="s">
        <v>81</v>
      </c>
      <c r="D6" s="17" t="s">
        <v>82</v>
      </c>
      <c r="E6" s="17" t="s">
        <v>83</v>
      </c>
      <c r="F6" s="17" t="s">
        <v>84</v>
      </c>
      <c r="G6" s="17" t="s">
        <v>85</v>
      </c>
    </row>
    <row r="7" customFormat="false" ht="15" hidden="false" customHeight="false" outlineLevel="0" collapsed="false">
      <c r="A7" s="12" t="s">
        <v>967</v>
      </c>
      <c r="C7" s="20" t="n">
        <f aca="false">'Total Revenue'!B$25</f>
        <v>102742.065586255</v>
      </c>
      <c r="D7" s="20" t="n">
        <f aca="false">'Total Revenue'!O$25</f>
        <v>364280.89031635</v>
      </c>
      <c r="E7" s="20" t="n">
        <f aca="false">'Total Revenue'!AB$25</f>
        <v>752581.26389205</v>
      </c>
      <c r="F7" s="20" t="n">
        <f aca="false">'Total Revenue'!AO$25</f>
        <v>1316610.92668284</v>
      </c>
      <c r="G7" s="20" t="n">
        <f aca="false">'Total Revenue'!BB$25</f>
        <v>2001223.1961932</v>
      </c>
    </row>
    <row r="8" customFormat="false" ht="15" hidden="false" customHeight="false" outlineLevel="0" collapsed="false">
      <c r="A8" s="12" t="s">
        <v>968</v>
      </c>
      <c r="B8" s="22" t="s">
        <v>969</v>
      </c>
      <c r="C8" s="20" t="n">
        <f aca="false">Expenses!B$24</f>
        <v>43199.4355574125</v>
      </c>
      <c r="D8" s="20" t="n">
        <f aca="false">Expenses!O$24</f>
        <v>139117.376350987</v>
      </c>
      <c r="E8" s="20" t="n">
        <f aca="false">Expenses!AB$24</f>
        <v>289077.917661554</v>
      </c>
      <c r="F8" s="20" t="n">
        <f aca="false">Expenses!AO$24</f>
        <v>513142.073439817</v>
      </c>
      <c r="G8" s="20" t="n">
        <f aca="false">Expenses!BB$24</f>
        <v>798111.966133418</v>
      </c>
    </row>
    <row r="9" customFormat="false" ht="15" hidden="false" customHeight="false" outlineLevel="0" collapsed="false">
      <c r="A9" s="18" t="s">
        <v>970</v>
      </c>
      <c r="C9" s="19" t="n">
        <f aca="false">C7-C8</f>
        <v>59542.6300288428</v>
      </c>
      <c r="D9" s="19" t="n">
        <f aca="false">D7-D8</f>
        <v>225163.513965362</v>
      </c>
      <c r="E9" s="19" t="n">
        <f aca="false">E7-E8</f>
        <v>463503.346230496</v>
      </c>
      <c r="F9" s="19" t="n">
        <f aca="false">F7-F8</f>
        <v>803468.853243025</v>
      </c>
      <c r="G9" s="19" t="n">
        <f aca="false">G7-G8</f>
        <v>1203111.23005978</v>
      </c>
    </row>
    <row r="10" customFormat="false" ht="15" hidden="false" customHeight="false" outlineLevel="0" collapsed="false">
      <c r="A10" s="18" t="s">
        <v>971</v>
      </c>
      <c r="C10" s="55" t="n">
        <f aca="false">IFERROR(C9/C7,0)</f>
        <v>0.579535068611745</v>
      </c>
      <c r="D10" s="55" t="n">
        <f aca="false">IFERROR(D9/D7,0)</f>
        <v>0.618104105789973</v>
      </c>
      <c r="E10" s="55" t="n">
        <f aca="false">IFERROR(E9/E7,0)</f>
        <v>0.615884780114565</v>
      </c>
      <c r="F10" s="55" t="n">
        <f aca="false">IFERROR(F9/F7,0)</f>
        <v>0.61025534344253</v>
      </c>
      <c r="G10" s="55" t="n">
        <f aca="false">IFERROR(G9/G7,0)</f>
        <v>0.601187929636426</v>
      </c>
    </row>
    <row r="11" customFormat="false" ht="15" hidden="false" customHeight="false" outlineLevel="0" collapsed="false">
      <c r="A11" s="12" t="s">
        <v>972</v>
      </c>
      <c r="B11" s="22" t="s">
        <v>973</v>
      </c>
      <c r="C11" s="20" t="n">
        <f aca="false">Expenses!B$47</f>
        <v>104621.805296599</v>
      </c>
      <c r="D11" s="20" t="n">
        <f aca="false">Expenses!O$47</f>
        <v>247983.787333068</v>
      </c>
      <c r="E11" s="20" t="n">
        <f aca="false">Expenses!AB$47</f>
        <v>448335.563539891</v>
      </c>
      <c r="F11" s="20" t="n">
        <f aca="false">Expenses!AO$47</f>
        <v>644653.014790274</v>
      </c>
      <c r="G11" s="20" t="n">
        <f aca="false">Expenses!BB$47</f>
        <v>837609.843909798</v>
      </c>
    </row>
    <row r="12" customFormat="false" ht="15" hidden="false" customHeight="false" outlineLevel="0" collapsed="false">
      <c r="A12" s="18" t="s">
        <v>974</v>
      </c>
      <c r="B12" s="22" t="s">
        <v>975</v>
      </c>
      <c r="C12" s="119" t="n">
        <f aca="false">IFERROR(C11/C10,0)</f>
        <v>180527.134530818</v>
      </c>
      <c r="D12" s="119" t="n">
        <f aca="false">IFERROR(D11/D10,0)</f>
        <v>401200.679643004</v>
      </c>
      <c r="E12" s="119" t="n">
        <f aca="false">IFERROR(E11/E10,0)</f>
        <v>727953.633561935</v>
      </c>
      <c r="F12" s="119" t="n">
        <f aca="false">IFERROR(F11/F10,0)</f>
        <v>1056366.03057616</v>
      </c>
      <c r="G12" s="119" t="n">
        <f aca="false">IFERROR(G11/G10,0)</f>
        <v>1393257.91922727</v>
      </c>
    </row>
    <row r="13" customFormat="false" ht="15" hidden="false" customHeight="false" outlineLevel="0" collapsed="false">
      <c r="A13" s="12" t="s">
        <v>976</v>
      </c>
      <c r="C13" s="120" t="n">
        <f aca="false">C12/12</f>
        <v>15043.9278775682</v>
      </c>
      <c r="D13" s="120" t="n">
        <f aca="false">D12/12</f>
        <v>33433.3899702503</v>
      </c>
      <c r="E13" s="120" t="n">
        <f aca="false">E12/12</f>
        <v>60662.8027968279</v>
      </c>
      <c r="F13" s="120" t="n">
        <f aca="false">F12/12</f>
        <v>88030.5025480129</v>
      </c>
      <c r="G13" s="120" t="n">
        <f aca="false">G12/12</f>
        <v>116104.826602273</v>
      </c>
    </row>
    <row r="14" customFormat="false" ht="15" hidden="false" customHeight="false" outlineLevel="0" collapsed="false">
      <c r="A14" s="18" t="s">
        <v>977</v>
      </c>
      <c r="B14" s="22" t="s">
        <v>978</v>
      </c>
      <c r="C14" s="55" t="n">
        <f aca="false">IFERROR((C7-C12)/C7,0)</f>
        <v>-0.757090764145286</v>
      </c>
      <c r="D14" s="55" t="n">
        <f aca="false">IFERROR((D7-D12)/D7,0)</f>
        <v>-0.101349783389933</v>
      </c>
      <c r="E14" s="55" t="n">
        <f aca="false">IFERROR((E7-E12)/E7,0)</f>
        <v>0.0327242139975033</v>
      </c>
      <c r="F14" s="55" t="n">
        <f aca="false">IFERROR((F7-F12)/F7,0)</f>
        <v>0.197662719359595</v>
      </c>
      <c r="G14" s="55" t="n">
        <f aca="false">IFERROR((G7-G12)/G7,0)</f>
        <v>0.303796836915753</v>
      </c>
    </row>
    <row r="15" customFormat="false" ht="15" hidden="false" customHeight="false" outlineLevel="0" collapsed="false">
      <c r="A15" s="12" t="s">
        <v>979</v>
      </c>
      <c r="B15" s="22" t="s">
        <v>980</v>
      </c>
      <c r="C15" s="122" t="n">
        <f aca="false">IFERROR(C12/'Assumption Setting'!$C$121,0)</f>
        <v>51.5791812945195</v>
      </c>
      <c r="D15" s="122" t="n">
        <f aca="false">IFERROR(D12/'Assumption Setting'!$D$121,0)</f>
        <v>105.579126221843</v>
      </c>
      <c r="E15" s="122" t="n">
        <f aca="false">IFERROR(E12/'Assumption Setting'!$E$121,0)</f>
        <v>173.322293705223</v>
      </c>
      <c r="F15" s="122" t="n">
        <f aca="false">IFERROR(F12/'Assumption Setting'!$F$121,0)</f>
        <v>234.748006794701</v>
      </c>
      <c r="G15" s="122" t="n">
        <f aca="false">IFERROR(G12/'Assumption Setting'!$G$121,0)</f>
        <v>290.262066505682</v>
      </c>
    </row>
    <row r="16" customFormat="false" ht="15" hidden="false" customHeight="false" outlineLevel="0" collapsed="false">
      <c r="A16" s="12" t="s">
        <v>981</v>
      </c>
      <c r="B16" s="22" t="s">
        <v>982</v>
      </c>
      <c r="C16" s="21" t="n">
        <f aca="false">'Revenue Streams'!B$21</f>
        <v>23.4366579831491</v>
      </c>
      <c r="D16" s="21" t="n">
        <f aca="false">'Revenue Streams'!O$21</f>
        <v>53.7979870617515</v>
      </c>
      <c r="E16" s="21" t="n">
        <f aca="false">'Revenue Streams'!AB$21</f>
        <v>79.0169186842914</v>
      </c>
      <c r="F16" s="21" t="n">
        <f aca="false">'Revenue Streams'!AO$21</f>
        <v>123.853446520803</v>
      </c>
      <c r="G16" s="21" t="n">
        <f aca="false">'Revenue Streams'!BB$21</f>
        <v>176.780232412679</v>
      </c>
    </row>
    <row r="18" customFormat="false" ht="16.5" hidden="false" customHeight="true" outlineLevel="0" collapsed="false">
      <c r="A18" s="15" t="s">
        <v>983</v>
      </c>
      <c r="B18" s="15"/>
      <c r="C18" s="15"/>
      <c r="D18" s="15"/>
      <c r="E18" s="15"/>
      <c r="F18" s="15"/>
      <c r="G18" s="15"/>
      <c r="H18" s="15"/>
      <c r="I18" s="15"/>
      <c r="J18" s="15"/>
    </row>
    <row r="19" customFormat="false" ht="15" hidden="false" customHeight="false" outlineLevel="0" collapsed="false">
      <c r="C19" s="127" t="s">
        <v>984</v>
      </c>
      <c r="D19" s="127" t="s">
        <v>985</v>
      </c>
    </row>
    <row r="20" customFormat="false" ht="15" hidden="true" customHeight="false" outlineLevel="0" collapsed="false">
      <c r="A20" s="37" t="s">
        <v>986</v>
      </c>
      <c r="C20" s="128" t="s">
        <v>482</v>
      </c>
      <c r="D20" s="128" t="s">
        <v>483</v>
      </c>
      <c r="E20" s="128" t="s">
        <v>484</v>
      </c>
      <c r="F20" s="128" t="s">
        <v>485</v>
      </c>
      <c r="G20" s="128" t="s">
        <v>486</v>
      </c>
      <c r="H20" s="128" t="s">
        <v>487</v>
      </c>
      <c r="I20" s="128" t="s">
        <v>488</v>
      </c>
      <c r="J20" s="128" t="s">
        <v>489</v>
      </c>
      <c r="K20" s="128" t="s">
        <v>490</v>
      </c>
      <c r="L20" s="128" t="s">
        <v>491</v>
      </c>
      <c r="M20" s="128" t="s">
        <v>492</v>
      </c>
      <c r="N20" s="128" t="s">
        <v>493</v>
      </c>
      <c r="P20" s="128" t="s">
        <v>494</v>
      </c>
      <c r="Q20" s="128" t="s">
        <v>495</v>
      </c>
      <c r="R20" s="128" t="s">
        <v>496</v>
      </c>
      <c r="S20" s="128" t="s">
        <v>497</v>
      </c>
      <c r="T20" s="128" t="s">
        <v>498</v>
      </c>
      <c r="U20" s="128" t="s">
        <v>499</v>
      </c>
      <c r="V20" s="128" t="s">
        <v>500</v>
      </c>
      <c r="W20" s="128" t="s">
        <v>501</v>
      </c>
      <c r="X20" s="128" t="s">
        <v>502</v>
      </c>
      <c r="Y20" s="128" t="s">
        <v>503</v>
      </c>
      <c r="Z20" s="128" t="s">
        <v>504</v>
      </c>
      <c r="AA20" s="128" t="s">
        <v>505</v>
      </c>
      <c r="AC20" s="128" t="s">
        <v>506</v>
      </c>
      <c r="AD20" s="128" t="s">
        <v>507</v>
      </c>
      <c r="AE20" s="128" t="s">
        <v>508</v>
      </c>
      <c r="AF20" s="128" t="s">
        <v>509</v>
      </c>
      <c r="AG20" s="128" t="s">
        <v>510</v>
      </c>
      <c r="AH20" s="128" t="s">
        <v>511</v>
      </c>
      <c r="AI20" s="128" t="s">
        <v>512</v>
      </c>
      <c r="AJ20" s="128" t="s">
        <v>513</v>
      </c>
      <c r="AK20" s="128" t="s">
        <v>514</v>
      </c>
      <c r="AL20" s="128" t="s">
        <v>515</v>
      </c>
      <c r="AM20" s="128" t="s">
        <v>516</v>
      </c>
      <c r="AN20" s="128" t="s">
        <v>517</v>
      </c>
      <c r="AP20" s="128" t="s">
        <v>518</v>
      </c>
      <c r="AQ20" s="128" t="s">
        <v>519</v>
      </c>
      <c r="AR20" s="128" t="s">
        <v>520</v>
      </c>
      <c r="AS20" s="128" t="s">
        <v>521</v>
      </c>
      <c r="AT20" s="128" t="s">
        <v>522</v>
      </c>
      <c r="AU20" s="128" t="s">
        <v>523</v>
      </c>
      <c r="AV20" s="128" t="s">
        <v>524</v>
      </c>
      <c r="AW20" s="128" t="s">
        <v>525</v>
      </c>
      <c r="AX20" s="128" t="s">
        <v>526</v>
      </c>
      <c r="AY20" s="128" t="s">
        <v>527</v>
      </c>
      <c r="AZ20" s="128" t="s">
        <v>528</v>
      </c>
      <c r="BA20" s="128" t="s">
        <v>529</v>
      </c>
      <c r="BC20" s="128" t="s">
        <v>530</v>
      </c>
      <c r="BD20" s="128" t="s">
        <v>531</v>
      </c>
      <c r="BE20" s="128" t="s">
        <v>532</v>
      </c>
      <c r="BF20" s="128" t="s">
        <v>533</v>
      </c>
      <c r="BG20" s="128" t="s">
        <v>534</v>
      </c>
      <c r="BH20" s="128" t="s">
        <v>535</v>
      </c>
      <c r="BI20" s="128" t="s">
        <v>536</v>
      </c>
      <c r="BJ20" s="128" t="s">
        <v>537</v>
      </c>
      <c r="BK20" s="128" t="s">
        <v>538</v>
      </c>
      <c r="BL20" s="128" t="s">
        <v>539</v>
      </c>
      <c r="BM20" s="128" t="s">
        <v>540</v>
      </c>
      <c r="BN20" s="128" t="s">
        <v>541</v>
      </c>
    </row>
    <row r="21" customFormat="false" ht="15" hidden="true" customHeight="false" outlineLevel="0" collapsed="false">
      <c r="A21" s="12" t="s">
        <v>987</v>
      </c>
      <c r="C21" s="79" t="n">
        <f aca="false">IF(Expenses!C$52&gt;0,1,9999)</f>
        <v>9999</v>
      </c>
      <c r="D21" s="79" t="n">
        <f aca="false">IF(Expenses!D$52&gt;0,2,9999)</f>
        <v>9999</v>
      </c>
      <c r="E21" s="79" t="n">
        <f aca="false">IF(Expenses!E$52&gt;0,3,9999)</f>
        <v>9999</v>
      </c>
      <c r="F21" s="79" t="n">
        <f aca="false">IF(Expenses!F$52&gt;0,4,9999)</f>
        <v>9999</v>
      </c>
      <c r="G21" s="79" t="n">
        <f aca="false">IF(Expenses!G$52&gt;0,5,9999)</f>
        <v>9999</v>
      </c>
      <c r="H21" s="79" t="n">
        <f aca="false">IF(Expenses!H$52&gt;0,6,9999)</f>
        <v>9999</v>
      </c>
      <c r="I21" s="79" t="n">
        <f aca="false">IF(Expenses!I$52&gt;0,7,9999)</f>
        <v>9999</v>
      </c>
      <c r="J21" s="79" t="n">
        <f aca="false">IF(Expenses!J$52&gt;0,8,9999)</f>
        <v>9999</v>
      </c>
      <c r="K21" s="79" t="n">
        <f aca="false">IF(Expenses!K$52&gt;0,9,9999)</f>
        <v>9999</v>
      </c>
      <c r="L21" s="79" t="n">
        <f aca="false">IF(Expenses!L$52&gt;0,10,9999)</f>
        <v>9999</v>
      </c>
      <c r="M21" s="79" t="n">
        <f aca="false">IF(Expenses!M$52&gt;0,11,9999)</f>
        <v>9999</v>
      </c>
      <c r="N21" s="79" t="n">
        <f aca="false">IF(Expenses!N$52&gt;0,12,9999)</f>
        <v>12</v>
      </c>
      <c r="P21" s="79" t="n">
        <f aca="false">IF(Expenses!P$52&gt;0,13,9999)</f>
        <v>9999</v>
      </c>
      <c r="Q21" s="79" t="n">
        <f aca="false">IF(Expenses!Q$52&gt;0,14,9999)</f>
        <v>9999</v>
      </c>
      <c r="R21" s="79" t="n">
        <f aca="false">IF(Expenses!R$52&gt;0,15,9999)</f>
        <v>9999</v>
      </c>
      <c r="S21" s="79" t="n">
        <f aca="false">IF(Expenses!S$52&gt;0,16,9999)</f>
        <v>9999</v>
      </c>
      <c r="T21" s="79" t="n">
        <f aca="false">IF(Expenses!T$52&gt;0,17,9999)</f>
        <v>9999</v>
      </c>
      <c r="U21" s="79" t="n">
        <f aca="false">IF(Expenses!U$52&gt;0,18,9999)</f>
        <v>9999</v>
      </c>
      <c r="V21" s="79" t="n">
        <f aca="false">IF(Expenses!V$52&gt;0,19,9999)</f>
        <v>9999</v>
      </c>
      <c r="W21" s="79" t="n">
        <f aca="false">IF(Expenses!W$52&gt;0,20,9999)</f>
        <v>20</v>
      </c>
      <c r="X21" s="79" t="n">
        <f aca="false">IF(Expenses!X$52&gt;0,21,9999)</f>
        <v>21</v>
      </c>
      <c r="Y21" s="79" t="n">
        <f aca="false">IF(Expenses!Y$52&gt;0,22,9999)</f>
        <v>22</v>
      </c>
      <c r="Z21" s="79" t="n">
        <f aca="false">IF(Expenses!Z$52&gt;0,23,9999)</f>
        <v>23</v>
      </c>
      <c r="AA21" s="79" t="n">
        <f aca="false">IF(Expenses!AA$52&gt;0,24,9999)</f>
        <v>24</v>
      </c>
      <c r="AC21" s="79" t="n">
        <f aca="false">IF(Expenses!AC$52&gt;0,25,9999)</f>
        <v>9999</v>
      </c>
      <c r="AD21" s="79" t="n">
        <f aca="false">IF(Expenses!AD$52&gt;0,26,9999)</f>
        <v>9999</v>
      </c>
      <c r="AE21" s="79" t="n">
        <f aca="false">IF(Expenses!AE$52&gt;0,27,9999)</f>
        <v>9999</v>
      </c>
      <c r="AF21" s="79" t="n">
        <f aca="false">IF(Expenses!AF$52&gt;0,28,9999)</f>
        <v>9999</v>
      </c>
      <c r="AG21" s="79" t="n">
        <f aca="false">IF(Expenses!AG$52&gt;0,29,9999)</f>
        <v>9999</v>
      </c>
      <c r="AH21" s="79" t="n">
        <f aca="false">IF(Expenses!AH$52&gt;0,30,9999)</f>
        <v>30</v>
      </c>
      <c r="AI21" s="79" t="n">
        <f aca="false">IF(Expenses!AI$52&gt;0,31,9999)</f>
        <v>31</v>
      </c>
      <c r="AJ21" s="79" t="n">
        <f aca="false">IF(Expenses!AJ$52&gt;0,32,9999)</f>
        <v>32</v>
      </c>
      <c r="AK21" s="79" t="n">
        <f aca="false">IF(Expenses!AK$52&gt;0,33,9999)</f>
        <v>33</v>
      </c>
      <c r="AL21" s="79" t="n">
        <f aca="false">IF(Expenses!AL$52&gt;0,34,9999)</f>
        <v>34</v>
      </c>
      <c r="AM21" s="79" t="n">
        <f aca="false">IF(Expenses!AM$52&gt;0,35,9999)</f>
        <v>35</v>
      </c>
      <c r="AN21" s="79" t="n">
        <f aca="false">IF(Expenses!AN$52&gt;0,36,9999)</f>
        <v>36</v>
      </c>
      <c r="AP21" s="79" t="n">
        <f aca="false">IF(Expenses!AP$52&gt;0,37,9999)</f>
        <v>37</v>
      </c>
      <c r="AQ21" s="79" t="n">
        <f aca="false">IF(Expenses!AQ$52&gt;0,38,9999)</f>
        <v>38</v>
      </c>
      <c r="AR21" s="79" t="n">
        <f aca="false">IF(Expenses!AR$52&gt;0,39,9999)</f>
        <v>39</v>
      </c>
      <c r="AS21" s="79" t="n">
        <f aca="false">IF(Expenses!AS$52&gt;0,40,9999)</f>
        <v>40</v>
      </c>
      <c r="AT21" s="79" t="n">
        <f aca="false">IF(Expenses!AT$52&gt;0,41,9999)</f>
        <v>41</v>
      </c>
      <c r="AU21" s="79" t="n">
        <f aca="false">IF(Expenses!AU$52&gt;0,42,9999)</f>
        <v>42</v>
      </c>
      <c r="AV21" s="79" t="n">
        <f aca="false">IF(Expenses!AV$52&gt;0,43,9999)</f>
        <v>43</v>
      </c>
      <c r="AW21" s="79" t="n">
        <f aca="false">IF(Expenses!AW$52&gt;0,44,9999)</f>
        <v>44</v>
      </c>
      <c r="AX21" s="79" t="n">
        <f aca="false">IF(Expenses!AX$52&gt;0,45,9999)</f>
        <v>45</v>
      </c>
      <c r="AY21" s="79" t="n">
        <f aca="false">IF(Expenses!AY$52&gt;0,46,9999)</f>
        <v>46</v>
      </c>
      <c r="AZ21" s="79" t="n">
        <f aca="false">IF(Expenses!AZ$52&gt;0,47,9999)</f>
        <v>47</v>
      </c>
      <c r="BA21" s="79" t="n">
        <f aca="false">IF(Expenses!BA$52&gt;0,48,9999)</f>
        <v>48</v>
      </c>
      <c r="BC21" s="79" t="n">
        <f aca="false">IF(Expenses!BC$52&gt;0,49,9999)</f>
        <v>49</v>
      </c>
      <c r="BD21" s="79" t="n">
        <f aca="false">IF(Expenses!BD$52&gt;0,50,9999)</f>
        <v>50</v>
      </c>
      <c r="BE21" s="79" t="n">
        <f aca="false">IF(Expenses!BE$52&gt;0,51,9999)</f>
        <v>51</v>
      </c>
      <c r="BF21" s="79" t="n">
        <f aca="false">IF(Expenses!BF$52&gt;0,52,9999)</f>
        <v>52</v>
      </c>
      <c r="BG21" s="79" t="n">
        <f aca="false">IF(Expenses!BG$52&gt;0,53,9999)</f>
        <v>53</v>
      </c>
      <c r="BH21" s="79" t="n">
        <f aca="false">IF(Expenses!BH$52&gt;0,54,9999)</f>
        <v>54</v>
      </c>
      <c r="BI21" s="79" t="n">
        <f aca="false">IF(Expenses!BI$52&gt;0,55,9999)</f>
        <v>55</v>
      </c>
      <c r="BJ21" s="79" t="n">
        <f aca="false">IF(Expenses!BJ$52&gt;0,56,9999)</f>
        <v>56</v>
      </c>
      <c r="BK21" s="79" t="n">
        <f aca="false">IF(Expenses!BK$52&gt;0,57,9999)</f>
        <v>57</v>
      </c>
      <c r="BL21" s="79" t="n">
        <f aca="false">IF(Expenses!BL$52&gt;0,58,9999)</f>
        <v>58</v>
      </c>
      <c r="BM21" s="79" t="n">
        <f aca="false">IF(Expenses!BM$52&gt;0,59,9999)</f>
        <v>59</v>
      </c>
      <c r="BN21" s="79" t="n">
        <f aca="false">IF(Expenses!BN$52&gt;0,60,9999)</f>
        <v>60</v>
      </c>
    </row>
    <row r="22" customFormat="false" ht="15" hidden="true" customHeight="false" outlineLevel="0" collapsed="false">
      <c r="A22" s="12" t="s">
        <v>988</v>
      </c>
      <c r="C22" s="79" t="n">
        <f aca="false">IF('Cash Flow Statement'!C$28&gt;0,1,9999)</f>
        <v>9999</v>
      </c>
      <c r="D22" s="79" t="n">
        <f aca="false">IF('Cash Flow Statement'!D$28&gt;0,2,9999)</f>
        <v>9999</v>
      </c>
      <c r="E22" s="79" t="n">
        <f aca="false">IF('Cash Flow Statement'!E$28&gt;0,3,9999)</f>
        <v>9999</v>
      </c>
      <c r="F22" s="79" t="n">
        <f aca="false">IF('Cash Flow Statement'!F$28&gt;0,4,9999)</f>
        <v>9999</v>
      </c>
      <c r="G22" s="79" t="n">
        <f aca="false">IF('Cash Flow Statement'!G$28&gt;0,5,9999)</f>
        <v>9999</v>
      </c>
      <c r="H22" s="79" t="n">
        <f aca="false">IF('Cash Flow Statement'!H$28&gt;0,6,9999)</f>
        <v>9999</v>
      </c>
      <c r="I22" s="79" t="n">
        <f aca="false">IF('Cash Flow Statement'!I$28&gt;0,7,9999)</f>
        <v>9999</v>
      </c>
      <c r="J22" s="79" t="n">
        <f aca="false">IF('Cash Flow Statement'!J$28&gt;0,8,9999)</f>
        <v>9999</v>
      </c>
      <c r="K22" s="79" t="n">
        <f aca="false">IF('Cash Flow Statement'!K$28&gt;0,9,9999)</f>
        <v>9999</v>
      </c>
      <c r="L22" s="79" t="n">
        <f aca="false">IF('Cash Flow Statement'!L$28&gt;0,10,9999)</f>
        <v>9999</v>
      </c>
      <c r="M22" s="79" t="n">
        <f aca="false">IF('Cash Flow Statement'!M$28&gt;0,11,9999)</f>
        <v>9999</v>
      </c>
      <c r="N22" s="79" t="n">
        <f aca="false">IF('Cash Flow Statement'!N$28&gt;0,12,9999)</f>
        <v>9999</v>
      </c>
      <c r="P22" s="79" t="n">
        <f aca="false">IF('Cash Flow Statement'!P$28&gt;0,13,9999)</f>
        <v>9999</v>
      </c>
      <c r="Q22" s="79" t="n">
        <f aca="false">IF('Cash Flow Statement'!Q$28&gt;0,14,9999)</f>
        <v>9999</v>
      </c>
      <c r="R22" s="79" t="n">
        <f aca="false">IF('Cash Flow Statement'!R$28&gt;0,15,9999)</f>
        <v>9999</v>
      </c>
      <c r="S22" s="79" t="n">
        <f aca="false">IF('Cash Flow Statement'!S$28&gt;0,16,9999)</f>
        <v>9999</v>
      </c>
      <c r="T22" s="79" t="n">
        <f aca="false">IF('Cash Flow Statement'!T$28&gt;0,17,9999)</f>
        <v>9999</v>
      </c>
      <c r="U22" s="79" t="n">
        <f aca="false">IF('Cash Flow Statement'!U$28&gt;0,18,9999)</f>
        <v>9999</v>
      </c>
      <c r="V22" s="79" t="n">
        <f aca="false">IF('Cash Flow Statement'!V$28&gt;0,19,9999)</f>
        <v>9999</v>
      </c>
      <c r="W22" s="79" t="n">
        <f aca="false">IF('Cash Flow Statement'!W$28&gt;0,20,9999)</f>
        <v>9999</v>
      </c>
      <c r="X22" s="79" t="n">
        <f aca="false">IF('Cash Flow Statement'!X$28&gt;0,21,9999)</f>
        <v>9999</v>
      </c>
      <c r="Y22" s="79" t="n">
        <f aca="false">IF('Cash Flow Statement'!Y$28&gt;0,22,9999)</f>
        <v>9999</v>
      </c>
      <c r="Z22" s="79" t="n">
        <f aca="false">IF('Cash Flow Statement'!Z$28&gt;0,23,9999)</f>
        <v>23</v>
      </c>
      <c r="AA22" s="79" t="n">
        <f aca="false">IF('Cash Flow Statement'!AA$28&gt;0,24,9999)</f>
        <v>24</v>
      </c>
      <c r="AC22" s="79" t="n">
        <f aca="false">IF('Cash Flow Statement'!AC$28&gt;0,25,9999)</f>
        <v>9999</v>
      </c>
      <c r="AD22" s="79" t="n">
        <f aca="false">IF('Cash Flow Statement'!AD$28&gt;0,26,9999)</f>
        <v>9999</v>
      </c>
      <c r="AE22" s="79" t="n">
        <f aca="false">IF('Cash Flow Statement'!AE$28&gt;0,27,9999)</f>
        <v>9999</v>
      </c>
      <c r="AF22" s="79" t="n">
        <f aca="false">IF('Cash Flow Statement'!AF$28&gt;0,28,9999)</f>
        <v>9999</v>
      </c>
      <c r="AG22" s="79" t="n">
        <f aca="false">IF('Cash Flow Statement'!AG$28&gt;0,29,9999)</f>
        <v>9999</v>
      </c>
      <c r="AH22" s="79" t="n">
        <f aca="false">IF('Cash Flow Statement'!AH$28&gt;0,30,9999)</f>
        <v>9999</v>
      </c>
      <c r="AI22" s="79" t="n">
        <f aca="false">IF('Cash Flow Statement'!AI$28&gt;0,31,9999)</f>
        <v>9999</v>
      </c>
      <c r="AJ22" s="79" t="n">
        <f aca="false">IF('Cash Flow Statement'!AJ$28&gt;0,32,9999)</f>
        <v>9999</v>
      </c>
      <c r="AK22" s="79" t="n">
        <f aca="false">IF('Cash Flow Statement'!AK$28&gt;0,33,9999)</f>
        <v>33</v>
      </c>
      <c r="AL22" s="79" t="n">
        <f aca="false">IF('Cash Flow Statement'!AL$28&gt;0,34,9999)</f>
        <v>34</v>
      </c>
      <c r="AM22" s="79" t="n">
        <f aca="false">IF('Cash Flow Statement'!AM$28&gt;0,35,9999)</f>
        <v>35</v>
      </c>
      <c r="AN22" s="79" t="n">
        <f aca="false">IF('Cash Flow Statement'!AN$28&gt;0,36,9999)</f>
        <v>36</v>
      </c>
      <c r="AP22" s="79" t="n">
        <f aca="false">IF('Cash Flow Statement'!AP$28&gt;0,37,9999)</f>
        <v>9999</v>
      </c>
      <c r="AQ22" s="79" t="n">
        <f aca="false">IF('Cash Flow Statement'!AQ$28&gt;0,38,9999)</f>
        <v>9999</v>
      </c>
      <c r="AR22" s="79" t="n">
        <f aca="false">IF('Cash Flow Statement'!AR$28&gt;0,39,9999)</f>
        <v>39</v>
      </c>
      <c r="AS22" s="79" t="n">
        <f aca="false">IF('Cash Flow Statement'!AS$28&gt;0,40,9999)</f>
        <v>40</v>
      </c>
      <c r="AT22" s="79" t="n">
        <f aca="false">IF('Cash Flow Statement'!AT$28&gt;0,41,9999)</f>
        <v>41</v>
      </c>
      <c r="AU22" s="79" t="n">
        <f aca="false">IF('Cash Flow Statement'!AU$28&gt;0,42,9999)</f>
        <v>42</v>
      </c>
      <c r="AV22" s="79" t="n">
        <f aca="false">IF('Cash Flow Statement'!AV$28&gt;0,43,9999)</f>
        <v>43</v>
      </c>
      <c r="AW22" s="79" t="n">
        <f aca="false">IF('Cash Flow Statement'!AW$28&gt;0,44,9999)</f>
        <v>44</v>
      </c>
      <c r="AX22" s="79" t="n">
        <f aca="false">IF('Cash Flow Statement'!AX$28&gt;0,45,9999)</f>
        <v>45</v>
      </c>
      <c r="AY22" s="79" t="n">
        <f aca="false">IF('Cash Flow Statement'!AY$28&gt;0,46,9999)</f>
        <v>46</v>
      </c>
      <c r="AZ22" s="79" t="n">
        <f aca="false">IF('Cash Flow Statement'!AZ$28&gt;0,47,9999)</f>
        <v>47</v>
      </c>
      <c r="BA22" s="79" t="n">
        <f aca="false">IF('Cash Flow Statement'!BA$28&gt;0,48,9999)</f>
        <v>48</v>
      </c>
      <c r="BC22" s="79" t="n">
        <f aca="false">IF('Cash Flow Statement'!BC$28&gt;0,49,9999)</f>
        <v>49</v>
      </c>
      <c r="BD22" s="79" t="n">
        <f aca="false">IF('Cash Flow Statement'!BD$28&gt;0,50,9999)</f>
        <v>50</v>
      </c>
      <c r="BE22" s="79" t="n">
        <f aca="false">IF('Cash Flow Statement'!BE$28&gt;0,51,9999)</f>
        <v>51</v>
      </c>
      <c r="BF22" s="79" t="n">
        <f aca="false">IF('Cash Flow Statement'!BF$28&gt;0,52,9999)</f>
        <v>9999</v>
      </c>
      <c r="BG22" s="79" t="n">
        <f aca="false">IF('Cash Flow Statement'!BG$28&gt;0,53,9999)</f>
        <v>53</v>
      </c>
      <c r="BH22" s="79" t="n">
        <f aca="false">IF('Cash Flow Statement'!BH$28&gt;0,54,9999)</f>
        <v>54</v>
      </c>
      <c r="BI22" s="79" t="n">
        <f aca="false">IF('Cash Flow Statement'!BI$28&gt;0,55,9999)</f>
        <v>55</v>
      </c>
      <c r="BJ22" s="79" t="n">
        <f aca="false">IF('Cash Flow Statement'!BJ$28&gt;0,56,9999)</f>
        <v>56</v>
      </c>
      <c r="BK22" s="79" t="n">
        <f aca="false">IF('Cash Flow Statement'!BK$28&gt;0,57,9999)</f>
        <v>57</v>
      </c>
      <c r="BL22" s="79" t="n">
        <f aca="false">IF('Cash Flow Statement'!BL$28&gt;0,58,9999)</f>
        <v>58</v>
      </c>
      <c r="BM22" s="79" t="n">
        <f aca="false">IF('Cash Flow Statement'!BM$28&gt;0,59,9999)</f>
        <v>59</v>
      </c>
      <c r="BN22" s="79" t="n">
        <f aca="false">IF('Cash Flow Statement'!BN$28&gt;0,60,9999)</f>
        <v>60</v>
      </c>
    </row>
    <row r="23" customFormat="false" ht="15" hidden="true" customHeight="false" outlineLevel="0" collapsed="false">
      <c r="A23" s="12" t="s">
        <v>989</v>
      </c>
      <c r="C23" s="79" t="n">
        <f aca="false">IF('Cash Flow Statement'!C$35=MIN('Cash Flow Statement'!C$35:N$35,'Cash Flow Statement'!P$35:AA$35,'Cash Flow Statement'!AC$35:AN$35,'Cash Flow Statement'!AP$35:BA$35,'Cash Flow Statement'!BC$35:BN$35),1,9999)</f>
        <v>9999</v>
      </c>
      <c r="D23" s="79" t="n">
        <f aca="false">IF('Cash Flow Statement'!D$35=MIN('Cash Flow Statement'!C$35:N$35,'Cash Flow Statement'!P$35:AA$35,'Cash Flow Statement'!AC$35:AN$35,'Cash Flow Statement'!AP$35:BA$35,'Cash Flow Statement'!BC$35:BN$35),2,9999)</f>
        <v>9999</v>
      </c>
      <c r="E23" s="79" t="n">
        <f aca="false">IF('Cash Flow Statement'!E$35=MIN('Cash Flow Statement'!C$35:N$35,'Cash Flow Statement'!P$35:AA$35,'Cash Flow Statement'!AC$35:AN$35,'Cash Flow Statement'!AP$35:BA$35,'Cash Flow Statement'!BC$35:BN$35),3,9999)</f>
        <v>9999</v>
      </c>
      <c r="F23" s="79" t="n">
        <f aca="false">IF('Cash Flow Statement'!F$35=MIN('Cash Flow Statement'!C$35:N$35,'Cash Flow Statement'!P$35:AA$35,'Cash Flow Statement'!AC$35:AN$35,'Cash Flow Statement'!AP$35:BA$35,'Cash Flow Statement'!BC$35:BN$35),4,9999)</f>
        <v>9999</v>
      </c>
      <c r="G23" s="79" t="n">
        <f aca="false">IF('Cash Flow Statement'!G$35=MIN('Cash Flow Statement'!C$35:N$35,'Cash Flow Statement'!P$35:AA$35,'Cash Flow Statement'!AC$35:AN$35,'Cash Flow Statement'!AP$35:BA$35,'Cash Flow Statement'!BC$35:BN$35),5,9999)</f>
        <v>9999</v>
      </c>
      <c r="H23" s="79" t="n">
        <f aca="false">IF('Cash Flow Statement'!H$35=MIN('Cash Flow Statement'!C$35:N$35,'Cash Flow Statement'!P$35:AA$35,'Cash Flow Statement'!AC$35:AN$35,'Cash Flow Statement'!AP$35:BA$35,'Cash Flow Statement'!BC$35:BN$35),6,9999)</f>
        <v>9999</v>
      </c>
      <c r="I23" s="79" t="n">
        <f aca="false">IF('Cash Flow Statement'!I$35=MIN('Cash Flow Statement'!C$35:N$35,'Cash Flow Statement'!P$35:AA$35,'Cash Flow Statement'!AC$35:AN$35,'Cash Flow Statement'!AP$35:BA$35,'Cash Flow Statement'!BC$35:BN$35),7,9999)</f>
        <v>9999</v>
      </c>
      <c r="J23" s="79" t="n">
        <f aca="false">IF('Cash Flow Statement'!J$35=MIN('Cash Flow Statement'!C$35:N$35,'Cash Flow Statement'!P$35:AA$35,'Cash Flow Statement'!AC$35:AN$35,'Cash Flow Statement'!AP$35:BA$35,'Cash Flow Statement'!BC$35:BN$35),8,9999)</f>
        <v>9999</v>
      </c>
      <c r="K23" s="79" t="n">
        <f aca="false">IF('Cash Flow Statement'!K$35=MIN('Cash Flow Statement'!C$35:N$35,'Cash Flow Statement'!P$35:AA$35,'Cash Flow Statement'!AC$35:AN$35,'Cash Flow Statement'!AP$35:BA$35,'Cash Flow Statement'!BC$35:BN$35),9,9999)</f>
        <v>9999</v>
      </c>
      <c r="L23" s="79" t="n">
        <f aca="false">IF('Cash Flow Statement'!L$35=MIN('Cash Flow Statement'!C$35:N$35,'Cash Flow Statement'!P$35:AA$35,'Cash Flow Statement'!AC$35:AN$35,'Cash Flow Statement'!AP$35:BA$35,'Cash Flow Statement'!BC$35:BN$35),10,9999)</f>
        <v>9999</v>
      </c>
      <c r="M23" s="79" t="n">
        <f aca="false">IF('Cash Flow Statement'!M$35=MIN('Cash Flow Statement'!C$35:N$35,'Cash Flow Statement'!P$35:AA$35,'Cash Flow Statement'!AC$35:AN$35,'Cash Flow Statement'!AP$35:BA$35,'Cash Flow Statement'!BC$35:BN$35),11,9999)</f>
        <v>9999</v>
      </c>
      <c r="N23" s="79" t="n">
        <f aca="false">IF('Cash Flow Statement'!N$35=MIN('Cash Flow Statement'!C$35:N$35,'Cash Flow Statement'!P$35:AA$35,'Cash Flow Statement'!AC$35:AN$35,'Cash Flow Statement'!AP$35:BA$35,'Cash Flow Statement'!BC$35:BN$35),12,9999)</f>
        <v>9999</v>
      </c>
      <c r="P23" s="79" t="n">
        <f aca="false">IF('Cash Flow Statement'!P$35=MIN('Cash Flow Statement'!C$35:N$35,'Cash Flow Statement'!P$35:AA$35,'Cash Flow Statement'!AC$35:AN$35,'Cash Flow Statement'!AP$35:BA$35,'Cash Flow Statement'!BC$35:BN$35),13,9999)</f>
        <v>9999</v>
      </c>
      <c r="Q23" s="79" t="n">
        <f aca="false">IF('Cash Flow Statement'!Q$35=MIN('Cash Flow Statement'!C$35:N$35,'Cash Flow Statement'!P$35:AA$35,'Cash Flow Statement'!AC$35:AN$35,'Cash Flow Statement'!AP$35:BA$35,'Cash Flow Statement'!BC$35:BN$35),14,9999)</f>
        <v>9999</v>
      </c>
      <c r="R23" s="79" t="n">
        <f aca="false">IF('Cash Flow Statement'!R$35=MIN('Cash Flow Statement'!C$35:N$35,'Cash Flow Statement'!P$35:AA$35,'Cash Flow Statement'!AC$35:AN$35,'Cash Flow Statement'!AP$35:BA$35,'Cash Flow Statement'!BC$35:BN$35),15,9999)</f>
        <v>9999</v>
      </c>
      <c r="S23" s="79" t="n">
        <f aca="false">IF('Cash Flow Statement'!S$35=MIN('Cash Flow Statement'!C$35:N$35,'Cash Flow Statement'!P$35:AA$35,'Cash Flow Statement'!AC$35:AN$35,'Cash Flow Statement'!AP$35:BA$35,'Cash Flow Statement'!BC$35:BN$35),16,9999)</f>
        <v>9999</v>
      </c>
      <c r="T23" s="79" t="n">
        <f aca="false">IF('Cash Flow Statement'!T$35=MIN('Cash Flow Statement'!C$35:N$35,'Cash Flow Statement'!P$35:AA$35,'Cash Flow Statement'!AC$35:AN$35,'Cash Flow Statement'!AP$35:BA$35,'Cash Flow Statement'!BC$35:BN$35),17,9999)</f>
        <v>9999</v>
      </c>
      <c r="U23" s="79" t="n">
        <f aca="false">IF('Cash Flow Statement'!U$35=MIN('Cash Flow Statement'!C$35:N$35,'Cash Flow Statement'!P$35:AA$35,'Cash Flow Statement'!AC$35:AN$35,'Cash Flow Statement'!AP$35:BA$35,'Cash Flow Statement'!BC$35:BN$35),18,9999)</f>
        <v>9999</v>
      </c>
      <c r="V23" s="79" t="n">
        <f aca="false">IF('Cash Flow Statement'!V$35=MIN('Cash Flow Statement'!C$35:N$35,'Cash Flow Statement'!P$35:AA$35,'Cash Flow Statement'!AC$35:AN$35,'Cash Flow Statement'!AP$35:BA$35,'Cash Flow Statement'!BC$35:BN$35),19,9999)</f>
        <v>9999</v>
      </c>
      <c r="W23" s="79" t="n">
        <f aca="false">IF('Cash Flow Statement'!W$35=MIN('Cash Flow Statement'!C$35:N$35,'Cash Flow Statement'!P$35:AA$35,'Cash Flow Statement'!AC$35:AN$35,'Cash Flow Statement'!AP$35:BA$35,'Cash Flow Statement'!BC$35:BN$35),20,9999)</f>
        <v>9999</v>
      </c>
      <c r="X23" s="79" t="n">
        <f aca="false">IF('Cash Flow Statement'!X$35=MIN('Cash Flow Statement'!C$35:N$35,'Cash Flow Statement'!P$35:AA$35,'Cash Flow Statement'!AC$35:AN$35,'Cash Flow Statement'!AP$35:BA$35,'Cash Flow Statement'!BC$35:BN$35),21,9999)</f>
        <v>9999</v>
      </c>
      <c r="Y23" s="79" t="n">
        <f aca="false">IF('Cash Flow Statement'!Y$35=MIN('Cash Flow Statement'!C$35:N$35,'Cash Flow Statement'!P$35:AA$35,'Cash Flow Statement'!AC$35:AN$35,'Cash Flow Statement'!AP$35:BA$35,'Cash Flow Statement'!BC$35:BN$35),22,9999)</f>
        <v>9999</v>
      </c>
      <c r="Z23" s="79" t="n">
        <f aca="false">IF('Cash Flow Statement'!Z$35=MIN('Cash Flow Statement'!C$35:N$35,'Cash Flow Statement'!P$35:AA$35,'Cash Flow Statement'!AC$35:AN$35,'Cash Flow Statement'!AP$35:BA$35,'Cash Flow Statement'!BC$35:BN$35),23,9999)</f>
        <v>9999</v>
      </c>
      <c r="AA23" s="79" t="n">
        <f aca="false">IF('Cash Flow Statement'!AA$35=MIN('Cash Flow Statement'!C$35:N$35,'Cash Flow Statement'!P$35:AA$35,'Cash Flow Statement'!AC$35:AN$35,'Cash Flow Statement'!AP$35:BA$35,'Cash Flow Statement'!BC$35:BN$35),24,9999)</f>
        <v>9999</v>
      </c>
      <c r="AC23" s="79" t="n">
        <f aca="false">IF('Cash Flow Statement'!AC$35=MIN('Cash Flow Statement'!C$35:N$35,'Cash Flow Statement'!P$35:AA$35,'Cash Flow Statement'!AC$35:AN$35,'Cash Flow Statement'!AP$35:BA$35,'Cash Flow Statement'!BC$35:BN$35),25,9999)</f>
        <v>9999</v>
      </c>
      <c r="AD23" s="79" t="n">
        <f aca="false">IF('Cash Flow Statement'!AD$35=MIN('Cash Flow Statement'!C$35:N$35,'Cash Flow Statement'!P$35:AA$35,'Cash Flow Statement'!AC$35:AN$35,'Cash Flow Statement'!AP$35:BA$35,'Cash Flow Statement'!BC$35:BN$35),26,9999)</f>
        <v>9999</v>
      </c>
      <c r="AE23" s="79" t="n">
        <f aca="false">IF('Cash Flow Statement'!AE$35=MIN('Cash Flow Statement'!C$35:N$35,'Cash Flow Statement'!P$35:AA$35,'Cash Flow Statement'!AC$35:AN$35,'Cash Flow Statement'!AP$35:BA$35,'Cash Flow Statement'!BC$35:BN$35),27,9999)</f>
        <v>9999</v>
      </c>
      <c r="AF23" s="79" t="n">
        <f aca="false">IF('Cash Flow Statement'!AF$35=MIN('Cash Flow Statement'!C$35:N$35,'Cash Flow Statement'!P$35:AA$35,'Cash Flow Statement'!AC$35:AN$35,'Cash Flow Statement'!AP$35:BA$35,'Cash Flow Statement'!BC$35:BN$35),28,9999)</f>
        <v>9999</v>
      </c>
      <c r="AG23" s="79" t="n">
        <f aca="false">IF('Cash Flow Statement'!AG$35=MIN('Cash Flow Statement'!C$35:N$35,'Cash Flow Statement'!P$35:AA$35,'Cash Flow Statement'!AC$35:AN$35,'Cash Flow Statement'!AP$35:BA$35,'Cash Flow Statement'!BC$35:BN$35),29,9999)</f>
        <v>9999</v>
      </c>
      <c r="AH23" s="79" t="n">
        <f aca="false">IF('Cash Flow Statement'!AH$35=MIN('Cash Flow Statement'!C$35:N$35,'Cash Flow Statement'!P$35:AA$35,'Cash Flow Statement'!AC$35:AN$35,'Cash Flow Statement'!AP$35:BA$35,'Cash Flow Statement'!BC$35:BN$35),30,9999)</f>
        <v>9999</v>
      </c>
      <c r="AI23" s="79" t="n">
        <f aca="false">IF('Cash Flow Statement'!AI$35=MIN('Cash Flow Statement'!C$35:N$35,'Cash Flow Statement'!P$35:AA$35,'Cash Flow Statement'!AC$35:AN$35,'Cash Flow Statement'!AP$35:BA$35,'Cash Flow Statement'!BC$35:BN$35),31,9999)</f>
        <v>9999</v>
      </c>
      <c r="AJ23" s="79" t="n">
        <f aca="false">IF('Cash Flow Statement'!AJ$35=MIN('Cash Flow Statement'!C$35:N$35,'Cash Flow Statement'!P$35:AA$35,'Cash Flow Statement'!AC$35:AN$35,'Cash Flow Statement'!AP$35:BA$35,'Cash Flow Statement'!BC$35:BN$35),32,9999)</f>
        <v>32</v>
      </c>
      <c r="AK23" s="79" t="n">
        <f aca="false">IF('Cash Flow Statement'!AK$35=MIN('Cash Flow Statement'!C$35:N$35,'Cash Flow Statement'!P$35:AA$35,'Cash Flow Statement'!AC$35:AN$35,'Cash Flow Statement'!AP$35:BA$35,'Cash Flow Statement'!BC$35:BN$35),33,9999)</f>
        <v>9999</v>
      </c>
      <c r="AL23" s="79" t="n">
        <f aca="false">IF('Cash Flow Statement'!AL$35=MIN('Cash Flow Statement'!C$35:N$35,'Cash Flow Statement'!P$35:AA$35,'Cash Flow Statement'!AC$35:AN$35,'Cash Flow Statement'!AP$35:BA$35,'Cash Flow Statement'!BC$35:BN$35),34,9999)</f>
        <v>9999</v>
      </c>
      <c r="AM23" s="79" t="n">
        <f aca="false">IF('Cash Flow Statement'!AM$35=MIN('Cash Flow Statement'!C$35:N$35,'Cash Flow Statement'!P$35:AA$35,'Cash Flow Statement'!AC$35:AN$35,'Cash Flow Statement'!AP$35:BA$35,'Cash Flow Statement'!BC$35:BN$35),35,9999)</f>
        <v>9999</v>
      </c>
      <c r="AN23" s="79" t="n">
        <f aca="false">IF('Cash Flow Statement'!AN$35=MIN('Cash Flow Statement'!C$35:N$35,'Cash Flow Statement'!P$35:AA$35,'Cash Flow Statement'!AC$35:AN$35,'Cash Flow Statement'!AP$35:BA$35,'Cash Flow Statement'!BC$35:BN$35),36,9999)</f>
        <v>9999</v>
      </c>
      <c r="AP23" s="79" t="n">
        <f aca="false">IF('Cash Flow Statement'!AP$35=MIN('Cash Flow Statement'!C$35:N$35,'Cash Flow Statement'!P$35:AA$35,'Cash Flow Statement'!AC$35:AN$35,'Cash Flow Statement'!AP$35:BA$35,'Cash Flow Statement'!BC$35:BN$35),37,9999)</f>
        <v>9999</v>
      </c>
      <c r="AQ23" s="79" t="n">
        <f aca="false">IF('Cash Flow Statement'!AQ$35=MIN('Cash Flow Statement'!C$35:N$35,'Cash Flow Statement'!P$35:AA$35,'Cash Flow Statement'!AC$35:AN$35,'Cash Flow Statement'!AP$35:BA$35,'Cash Flow Statement'!BC$35:BN$35),38,9999)</f>
        <v>9999</v>
      </c>
      <c r="AR23" s="79" t="n">
        <f aca="false">IF('Cash Flow Statement'!AR$35=MIN('Cash Flow Statement'!C$35:N$35,'Cash Flow Statement'!P$35:AA$35,'Cash Flow Statement'!AC$35:AN$35,'Cash Flow Statement'!AP$35:BA$35,'Cash Flow Statement'!BC$35:BN$35),39,9999)</f>
        <v>9999</v>
      </c>
      <c r="AS23" s="79" t="n">
        <f aca="false">IF('Cash Flow Statement'!AS$35=MIN('Cash Flow Statement'!C$35:N$35,'Cash Flow Statement'!P$35:AA$35,'Cash Flow Statement'!AC$35:AN$35,'Cash Flow Statement'!AP$35:BA$35,'Cash Flow Statement'!BC$35:BN$35),40,9999)</f>
        <v>9999</v>
      </c>
      <c r="AT23" s="79" t="n">
        <f aca="false">IF('Cash Flow Statement'!AT$35=MIN('Cash Flow Statement'!C$35:N$35,'Cash Flow Statement'!P$35:AA$35,'Cash Flow Statement'!AC$35:AN$35,'Cash Flow Statement'!AP$35:BA$35,'Cash Flow Statement'!BC$35:BN$35),41,9999)</f>
        <v>9999</v>
      </c>
      <c r="AU23" s="79" t="n">
        <f aca="false">IF('Cash Flow Statement'!AU$35=MIN('Cash Flow Statement'!C$35:N$35,'Cash Flow Statement'!P$35:AA$35,'Cash Flow Statement'!AC$35:AN$35,'Cash Flow Statement'!AP$35:BA$35,'Cash Flow Statement'!BC$35:BN$35),42,9999)</f>
        <v>9999</v>
      </c>
      <c r="AV23" s="79" t="n">
        <f aca="false">IF('Cash Flow Statement'!AV$35=MIN('Cash Flow Statement'!C$35:N$35,'Cash Flow Statement'!P$35:AA$35,'Cash Flow Statement'!AC$35:AN$35,'Cash Flow Statement'!AP$35:BA$35,'Cash Flow Statement'!BC$35:BN$35),43,9999)</f>
        <v>9999</v>
      </c>
      <c r="AW23" s="79" t="n">
        <f aca="false">IF('Cash Flow Statement'!AW$35=MIN('Cash Flow Statement'!C$35:N$35,'Cash Flow Statement'!P$35:AA$35,'Cash Flow Statement'!AC$35:AN$35,'Cash Flow Statement'!AP$35:BA$35,'Cash Flow Statement'!BC$35:BN$35),44,9999)</f>
        <v>9999</v>
      </c>
      <c r="AX23" s="79" t="n">
        <f aca="false">IF('Cash Flow Statement'!AX$35=MIN('Cash Flow Statement'!C$35:N$35,'Cash Flow Statement'!P$35:AA$35,'Cash Flow Statement'!AC$35:AN$35,'Cash Flow Statement'!AP$35:BA$35,'Cash Flow Statement'!BC$35:BN$35),45,9999)</f>
        <v>9999</v>
      </c>
      <c r="AY23" s="79" t="n">
        <f aca="false">IF('Cash Flow Statement'!AY$35=MIN('Cash Flow Statement'!C$35:N$35,'Cash Flow Statement'!P$35:AA$35,'Cash Flow Statement'!AC$35:AN$35,'Cash Flow Statement'!AP$35:BA$35,'Cash Flow Statement'!BC$35:BN$35),46,9999)</f>
        <v>9999</v>
      </c>
      <c r="AZ23" s="79" t="n">
        <f aca="false">IF('Cash Flow Statement'!AZ$35=MIN('Cash Flow Statement'!C$35:N$35,'Cash Flow Statement'!P$35:AA$35,'Cash Flow Statement'!AC$35:AN$35,'Cash Flow Statement'!AP$35:BA$35,'Cash Flow Statement'!BC$35:BN$35),47,9999)</f>
        <v>9999</v>
      </c>
      <c r="BA23" s="79" t="n">
        <f aca="false">IF('Cash Flow Statement'!BA$35=MIN('Cash Flow Statement'!C$35:N$35,'Cash Flow Statement'!P$35:AA$35,'Cash Flow Statement'!AC$35:AN$35,'Cash Flow Statement'!AP$35:BA$35,'Cash Flow Statement'!BC$35:BN$35),48,9999)</f>
        <v>9999</v>
      </c>
      <c r="BC23" s="79" t="n">
        <f aca="false">IF('Cash Flow Statement'!BC$35=MIN('Cash Flow Statement'!C$35:N$35,'Cash Flow Statement'!P$35:AA$35,'Cash Flow Statement'!AC$35:AN$35,'Cash Flow Statement'!AP$35:BA$35,'Cash Flow Statement'!BC$35:BN$35),49,9999)</f>
        <v>9999</v>
      </c>
      <c r="BD23" s="79" t="n">
        <f aca="false">IF('Cash Flow Statement'!BD$35=MIN('Cash Flow Statement'!C$35:N$35,'Cash Flow Statement'!P$35:AA$35,'Cash Flow Statement'!AC$35:AN$35,'Cash Flow Statement'!AP$35:BA$35,'Cash Flow Statement'!BC$35:BN$35),50,9999)</f>
        <v>9999</v>
      </c>
      <c r="BE23" s="79" t="n">
        <f aca="false">IF('Cash Flow Statement'!BE$35=MIN('Cash Flow Statement'!C$35:N$35,'Cash Flow Statement'!P$35:AA$35,'Cash Flow Statement'!AC$35:AN$35,'Cash Flow Statement'!AP$35:BA$35,'Cash Flow Statement'!BC$35:BN$35),51,9999)</f>
        <v>9999</v>
      </c>
      <c r="BF23" s="79" t="n">
        <f aca="false">IF('Cash Flow Statement'!BF$35=MIN('Cash Flow Statement'!C$35:N$35,'Cash Flow Statement'!P$35:AA$35,'Cash Flow Statement'!AC$35:AN$35,'Cash Flow Statement'!AP$35:BA$35,'Cash Flow Statement'!BC$35:BN$35),52,9999)</f>
        <v>9999</v>
      </c>
      <c r="BG23" s="79" t="n">
        <f aca="false">IF('Cash Flow Statement'!BG$35=MIN('Cash Flow Statement'!C$35:N$35,'Cash Flow Statement'!P$35:AA$35,'Cash Flow Statement'!AC$35:AN$35,'Cash Flow Statement'!AP$35:BA$35,'Cash Flow Statement'!BC$35:BN$35),53,9999)</f>
        <v>9999</v>
      </c>
      <c r="BH23" s="79" t="n">
        <f aca="false">IF('Cash Flow Statement'!BH$35=MIN('Cash Flow Statement'!C$35:N$35,'Cash Flow Statement'!P$35:AA$35,'Cash Flow Statement'!AC$35:AN$35,'Cash Flow Statement'!AP$35:BA$35,'Cash Flow Statement'!BC$35:BN$35),54,9999)</f>
        <v>9999</v>
      </c>
      <c r="BI23" s="79" t="n">
        <f aca="false">IF('Cash Flow Statement'!BI$35=MIN('Cash Flow Statement'!C$35:N$35,'Cash Flow Statement'!P$35:AA$35,'Cash Flow Statement'!AC$35:AN$35,'Cash Flow Statement'!AP$35:BA$35,'Cash Flow Statement'!BC$35:BN$35),55,9999)</f>
        <v>9999</v>
      </c>
      <c r="BJ23" s="79" t="n">
        <f aca="false">IF('Cash Flow Statement'!BJ$35=MIN('Cash Flow Statement'!C$35:N$35,'Cash Flow Statement'!P$35:AA$35,'Cash Flow Statement'!AC$35:AN$35,'Cash Flow Statement'!AP$35:BA$35,'Cash Flow Statement'!BC$35:BN$35),56,9999)</f>
        <v>9999</v>
      </c>
      <c r="BK23" s="79" t="n">
        <f aca="false">IF('Cash Flow Statement'!BK$35=MIN('Cash Flow Statement'!C$35:N$35,'Cash Flow Statement'!P$35:AA$35,'Cash Flow Statement'!AC$35:AN$35,'Cash Flow Statement'!AP$35:BA$35,'Cash Flow Statement'!BC$35:BN$35),57,9999)</f>
        <v>9999</v>
      </c>
      <c r="BL23" s="79" t="n">
        <f aca="false">IF('Cash Flow Statement'!BL$35=MIN('Cash Flow Statement'!C$35:N$35,'Cash Flow Statement'!P$35:AA$35,'Cash Flow Statement'!AC$35:AN$35,'Cash Flow Statement'!AP$35:BA$35,'Cash Flow Statement'!BC$35:BN$35),58,9999)</f>
        <v>9999</v>
      </c>
      <c r="BM23" s="79" t="n">
        <f aca="false">IF('Cash Flow Statement'!BM$35=MIN('Cash Flow Statement'!C$35:N$35,'Cash Flow Statement'!P$35:AA$35,'Cash Flow Statement'!AC$35:AN$35,'Cash Flow Statement'!AP$35:BA$35,'Cash Flow Statement'!BC$35:BN$35),59,9999)</f>
        <v>9999</v>
      </c>
      <c r="BN23" s="79" t="n">
        <f aca="false">IF('Cash Flow Statement'!BN$35=MIN('Cash Flow Statement'!C$35:N$35,'Cash Flow Statement'!P$35:AA$35,'Cash Flow Statement'!AC$35:AN$35,'Cash Flow Statement'!AP$35:BA$35,'Cash Flow Statement'!BC$35:BN$35),60,9999)</f>
        <v>9999</v>
      </c>
    </row>
    <row r="24" customFormat="false" ht="15" hidden="true" customHeight="false" outlineLevel="0" collapsed="false">
      <c r="A24" s="12" t="s">
        <v>990</v>
      </c>
      <c r="C24" s="79" t="n">
        <f aca="false">IF('Cash Flow Statement'!C$37&gt;0,1,9999)</f>
        <v>9999</v>
      </c>
      <c r="D24" s="79" t="n">
        <f aca="false">IF('Cash Flow Statement'!D$37&gt;0,2,9999)</f>
        <v>9999</v>
      </c>
      <c r="E24" s="79" t="n">
        <f aca="false">IF('Cash Flow Statement'!E$37&gt;0,3,9999)</f>
        <v>9999</v>
      </c>
      <c r="F24" s="79" t="n">
        <f aca="false">IF('Cash Flow Statement'!F$37&gt;0,4,9999)</f>
        <v>9999</v>
      </c>
      <c r="G24" s="79" t="n">
        <f aca="false">IF('Cash Flow Statement'!G$37&gt;0,5,9999)</f>
        <v>9999</v>
      </c>
      <c r="H24" s="79" t="n">
        <f aca="false">IF('Cash Flow Statement'!H$37&gt;0,6,9999)</f>
        <v>9999</v>
      </c>
      <c r="I24" s="79" t="n">
        <f aca="false">IF('Cash Flow Statement'!I$37&gt;0,7,9999)</f>
        <v>9999</v>
      </c>
      <c r="J24" s="79" t="n">
        <f aca="false">IF('Cash Flow Statement'!J$37&gt;0,8,9999)</f>
        <v>9999</v>
      </c>
      <c r="K24" s="79" t="n">
        <f aca="false">IF('Cash Flow Statement'!K$37&gt;0,9,9999)</f>
        <v>9999</v>
      </c>
      <c r="L24" s="79" t="n">
        <f aca="false">IF('Cash Flow Statement'!L$37&gt;0,10,9999)</f>
        <v>9999</v>
      </c>
      <c r="M24" s="79" t="n">
        <f aca="false">IF('Cash Flow Statement'!M$37&gt;0,11,9999)</f>
        <v>9999</v>
      </c>
      <c r="N24" s="79" t="n">
        <f aca="false">IF('Cash Flow Statement'!N$37&gt;0,12,9999)</f>
        <v>9999</v>
      </c>
      <c r="P24" s="79" t="n">
        <f aca="false">IF('Cash Flow Statement'!P$37&gt;0,13,9999)</f>
        <v>9999</v>
      </c>
      <c r="Q24" s="79" t="n">
        <f aca="false">IF('Cash Flow Statement'!Q$37&gt;0,14,9999)</f>
        <v>9999</v>
      </c>
      <c r="R24" s="79" t="n">
        <f aca="false">IF('Cash Flow Statement'!R$37&gt;0,15,9999)</f>
        <v>9999</v>
      </c>
      <c r="S24" s="79" t="n">
        <f aca="false">IF('Cash Flow Statement'!S$37&gt;0,16,9999)</f>
        <v>9999</v>
      </c>
      <c r="T24" s="79" t="n">
        <f aca="false">IF('Cash Flow Statement'!T$37&gt;0,17,9999)</f>
        <v>9999</v>
      </c>
      <c r="U24" s="79" t="n">
        <f aca="false">IF('Cash Flow Statement'!U$37&gt;0,18,9999)</f>
        <v>9999</v>
      </c>
      <c r="V24" s="79" t="n">
        <f aca="false">IF('Cash Flow Statement'!V$37&gt;0,19,9999)</f>
        <v>9999</v>
      </c>
      <c r="W24" s="79" t="n">
        <f aca="false">IF('Cash Flow Statement'!W$37&gt;0,20,9999)</f>
        <v>9999</v>
      </c>
      <c r="X24" s="79" t="n">
        <f aca="false">IF('Cash Flow Statement'!X$37&gt;0,21,9999)</f>
        <v>9999</v>
      </c>
      <c r="Y24" s="79" t="n">
        <f aca="false">IF('Cash Flow Statement'!Y$37&gt;0,22,9999)</f>
        <v>9999</v>
      </c>
      <c r="Z24" s="79" t="n">
        <f aca="false">IF('Cash Flow Statement'!Z$37&gt;0,23,9999)</f>
        <v>9999</v>
      </c>
      <c r="AA24" s="79" t="n">
        <f aca="false">IF('Cash Flow Statement'!AA$37&gt;0,24,9999)</f>
        <v>9999</v>
      </c>
      <c r="AC24" s="79" t="n">
        <f aca="false">IF('Cash Flow Statement'!AC$37&gt;0,25,9999)</f>
        <v>9999</v>
      </c>
      <c r="AD24" s="79" t="n">
        <f aca="false">IF('Cash Flow Statement'!AD$37&gt;0,26,9999)</f>
        <v>9999</v>
      </c>
      <c r="AE24" s="79" t="n">
        <f aca="false">IF('Cash Flow Statement'!AE$37&gt;0,27,9999)</f>
        <v>9999</v>
      </c>
      <c r="AF24" s="79" t="n">
        <f aca="false">IF('Cash Flow Statement'!AF$37&gt;0,28,9999)</f>
        <v>9999</v>
      </c>
      <c r="AG24" s="79" t="n">
        <f aca="false">IF('Cash Flow Statement'!AG$37&gt;0,29,9999)</f>
        <v>9999</v>
      </c>
      <c r="AH24" s="79" t="n">
        <f aca="false">IF('Cash Flow Statement'!AH$37&gt;0,30,9999)</f>
        <v>9999</v>
      </c>
      <c r="AI24" s="79" t="n">
        <f aca="false">IF('Cash Flow Statement'!AI$37&gt;0,31,9999)</f>
        <v>9999</v>
      </c>
      <c r="AJ24" s="79" t="n">
        <f aca="false">IF('Cash Flow Statement'!AJ$37&gt;0,32,9999)</f>
        <v>9999</v>
      </c>
      <c r="AK24" s="79" t="n">
        <f aca="false">IF('Cash Flow Statement'!AK$37&gt;0,33,9999)</f>
        <v>9999</v>
      </c>
      <c r="AL24" s="79" t="n">
        <f aca="false">IF('Cash Flow Statement'!AL$37&gt;0,34,9999)</f>
        <v>9999</v>
      </c>
      <c r="AM24" s="79" t="n">
        <f aca="false">IF('Cash Flow Statement'!AM$37&gt;0,35,9999)</f>
        <v>9999</v>
      </c>
      <c r="AN24" s="79" t="n">
        <f aca="false">IF('Cash Flow Statement'!AN$37&gt;0,36,9999)</f>
        <v>9999</v>
      </c>
      <c r="AP24" s="79" t="n">
        <f aca="false">IF('Cash Flow Statement'!AP$37&gt;0,37,9999)</f>
        <v>9999</v>
      </c>
      <c r="AQ24" s="79" t="n">
        <f aca="false">IF('Cash Flow Statement'!AQ$37&gt;0,38,9999)</f>
        <v>9999</v>
      </c>
      <c r="AR24" s="79" t="n">
        <f aca="false">IF('Cash Flow Statement'!AR$37&gt;0,39,9999)</f>
        <v>9999</v>
      </c>
      <c r="AS24" s="79" t="n">
        <f aca="false">IF('Cash Flow Statement'!AS$37&gt;0,40,9999)</f>
        <v>9999</v>
      </c>
      <c r="AT24" s="79" t="n">
        <f aca="false">IF('Cash Flow Statement'!AT$37&gt;0,41,9999)</f>
        <v>9999</v>
      </c>
      <c r="AU24" s="79" t="n">
        <f aca="false">IF('Cash Flow Statement'!AU$37&gt;0,42,9999)</f>
        <v>9999</v>
      </c>
      <c r="AV24" s="79" t="n">
        <f aca="false">IF('Cash Flow Statement'!AV$37&gt;0,43,9999)</f>
        <v>9999</v>
      </c>
      <c r="AW24" s="79" t="n">
        <f aca="false">IF('Cash Flow Statement'!AW$37&gt;0,44,9999)</f>
        <v>9999</v>
      </c>
      <c r="AX24" s="79" t="n">
        <f aca="false">IF('Cash Flow Statement'!AX$37&gt;0,45,9999)</f>
        <v>9999</v>
      </c>
      <c r="AY24" s="79" t="n">
        <f aca="false">IF('Cash Flow Statement'!AY$37&gt;0,46,9999)</f>
        <v>9999</v>
      </c>
      <c r="AZ24" s="79" t="n">
        <f aca="false">IF('Cash Flow Statement'!AZ$37&gt;0,47,9999)</f>
        <v>9999</v>
      </c>
      <c r="BA24" s="79" t="n">
        <f aca="false">IF('Cash Flow Statement'!BA$37&gt;0,48,9999)</f>
        <v>9999</v>
      </c>
      <c r="BC24" s="79" t="n">
        <f aca="false">IF('Cash Flow Statement'!BC$37&gt;0,49,9999)</f>
        <v>9999</v>
      </c>
      <c r="BD24" s="79" t="n">
        <f aca="false">IF('Cash Flow Statement'!BD$37&gt;0,50,9999)</f>
        <v>9999</v>
      </c>
      <c r="BE24" s="79" t="n">
        <f aca="false">IF('Cash Flow Statement'!BE$37&gt;0,51,9999)</f>
        <v>9999</v>
      </c>
      <c r="BF24" s="79" t="n">
        <f aca="false">IF('Cash Flow Statement'!BF$37&gt;0,52,9999)</f>
        <v>9999</v>
      </c>
      <c r="BG24" s="79" t="n">
        <f aca="false">IF('Cash Flow Statement'!BG$37&gt;0,53,9999)</f>
        <v>9999</v>
      </c>
      <c r="BH24" s="79" t="n">
        <f aca="false">IF('Cash Flow Statement'!BH$37&gt;0,54,9999)</f>
        <v>9999</v>
      </c>
      <c r="BI24" s="79" t="n">
        <f aca="false">IF('Cash Flow Statement'!BI$37&gt;0,55,9999)</f>
        <v>55</v>
      </c>
      <c r="BJ24" s="79" t="n">
        <f aca="false">IF('Cash Flow Statement'!BJ$37&gt;0,56,9999)</f>
        <v>56</v>
      </c>
      <c r="BK24" s="79" t="n">
        <f aca="false">IF('Cash Flow Statement'!BK$37&gt;0,57,9999)</f>
        <v>57</v>
      </c>
      <c r="BL24" s="79" t="n">
        <f aca="false">IF('Cash Flow Statement'!BL$37&gt;0,58,9999)</f>
        <v>58</v>
      </c>
      <c r="BM24" s="79" t="n">
        <f aca="false">IF('Cash Flow Statement'!BM$37&gt;0,59,9999)</f>
        <v>59</v>
      </c>
      <c r="BN24" s="79" t="n">
        <f aca="false">IF('Cash Flow Statement'!BN$37&gt;0,60,9999)</f>
        <v>60</v>
      </c>
    </row>
    <row r="25" customFormat="false" ht="15" hidden="false" customHeight="false" outlineLevel="0" collapsed="false">
      <c r="A25" s="18" t="s">
        <v>991</v>
      </c>
      <c r="B25" s="22" t="s">
        <v>992</v>
      </c>
      <c r="C25" s="112" t="n">
        <f aca="false">MIN(C21:BN21)</f>
        <v>12</v>
      </c>
      <c r="D25" s="113" t="str">
        <f aca="false">IF(C25=9999,"not within 60 months",INDEX($C$20:$BN$20,1,C25))</f>
        <v>Sep-27</v>
      </c>
    </row>
    <row r="26" customFormat="false" ht="15" hidden="false" customHeight="false" outlineLevel="0" collapsed="false">
      <c r="A26" s="18" t="s">
        <v>993</v>
      </c>
      <c r="B26" s="22" t="s">
        <v>994</v>
      </c>
      <c r="C26" s="112" t="n">
        <f aca="false">MIN(C22:BN22)</f>
        <v>23</v>
      </c>
      <c r="D26" s="113" t="str">
        <f aca="false">IF(C26=9999,"not within 60 months",INDEX($C$20:$BN$20,1,C26))</f>
        <v>Jul-28</v>
      </c>
    </row>
    <row r="27" customFormat="false" ht="15" hidden="false" customHeight="false" outlineLevel="0" collapsed="false">
      <c r="A27" s="18" t="s">
        <v>995</v>
      </c>
      <c r="B27" s="22" t="s">
        <v>996</v>
      </c>
      <c r="C27" s="112" t="n">
        <f aca="false">MIN(C23:BN23)</f>
        <v>32</v>
      </c>
      <c r="D27" s="113" t="str">
        <f aca="false">IF(C27=9999,"not within 60 months",INDEX($C$20:$BN$20,1,C27))</f>
        <v>Mar-28</v>
      </c>
    </row>
    <row r="28" customFormat="false" ht="15" hidden="false" customHeight="false" outlineLevel="0" collapsed="false">
      <c r="A28" s="18" t="s">
        <v>997</v>
      </c>
      <c r="B28" s="22" t="s">
        <v>998</v>
      </c>
      <c r="C28" s="112" t="n">
        <f aca="false">MIN(C24:BN24)</f>
        <v>55</v>
      </c>
      <c r="D28" s="113" t="str">
        <f aca="false">IF(C28=9999,"not within 60 months",INDEX($C$20:$BN$20,1,C28))</f>
        <v>Dec-30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N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32"/>
    <col collapsed="false" customWidth="true" hidden="false" outlineLevel="0" max="3" min="3" style="0" width="15"/>
    <col collapsed="false" customWidth="true" hidden="false" outlineLevel="0" max="4" min="4" style="0" width="28"/>
    <col collapsed="false" customWidth="true" hidden="false" outlineLevel="0" max="8" min="5" style="0" width="15"/>
  </cols>
  <sheetData>
    <row r="1" customFormat="false" ht="24.75" hidden="false" customHeight="true" outlineLevel="0" collapsed="false">
      <c r="A1" s="14" t="s">
        <v>999</v>
      </c>
    </row>
    <row r="2" customFormat="false" ht="13.5" hidden="false" customHeight="true" outlineLevel="0" collapsed="false">
      <c r="A2" s="6" t="s">
        <v>1000</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1001</v>
      </c>
      <c r="B5" s="15"/>
      <c r="C5" s="15"/>
      <c r="D5" s="15"/>
      <c r="E5" s="15"/>
      <c r="F5" s="15"/>
      <c r="G5" s="15"/>
      <c r="H5" s="15"/>
      <c r="I5" s="15"/>
      <c r="J5" s="15"/>
    </row>
    <row r="6" customFormat="false" ht="15" hidden="false" customHeight="false" outlineLevel="0" collapsed="false">
      <c r="A6" s="18" t="s">
        <v>1002</v>
      </c>
      <c r="B6" s="22" t="s">
        <v>1003</v>
      </c>
      <c r="C6" s="19" t="n">
        <f aca="false">'Assumption Setting'!$C$18</f>
        <v>50000</v>
      </c>
      <c r="D6" s="19" t="str">
        <f aca="false">""</f>
        <v/>
      </c>
      <c r="E6" s="19" t="str">
        <f aca="false">""</f>
        <v/>
      </c>
      <c r="F6" s="19" t="str">
        <f aca="false">""</f>
        <v/>
      </c>
      <c r="G6" s="19" t="str">
        <f aca="false">""</f>
        <v/>
      </c>
    </row>
    <row r="7" customFormat="false" ht="15" hidden="false" customHeight="false" outlineLevel="0" collapsed="false">
      <c r="A7" s="18" t="s">
        <v>1004</v>
      </c>
      <c r="B7" s="22" t="s">
        <v>1005</v>
      </c>
      <c r="C7" s="19" t="n">
        <f aca="false">'Assumption Setting'!$C$205</f>
        <v>150000</v>
      </c>
      <c r="D7" s="19" t="str">
        <f aca="false">""</f>
        <v/>
      </c>
      <c r="E7" s="19" t="str">
        <f aca="false">""</f>
        <v/>
      </c>
      <c r="F7" s="19" t="str">
        <f aca="false">""</f>
        <v/>
      </c>
      <c r="G7" s="19" t="str">
        <f aca="false">""</f>
        <v/>
      </c>
    </row>
    <row r="8" customFormat="false" ht="15" hidden="false" customHeight="false" outlineLevel="0" collapsed="false">
      <c r="A8" s="18" t="s">
        <v>1006</v>
      </c>
      <c r="C8" s="119" t="n">
        <f aca="false">'Assumption Setting'!$C$18+'Assumption Setting'!$C$205</f>
        <v>200000</v>
      </c>
      <c r="D8" s="119" t="str">
        <f aca="false">""</f>
        <v/>
      </c>
      <c r="E8" s="119" t="str">
        <f aca="false">""</f>
        <v/>
      </c>
      <c r="F8" s="119" t="str">
        <f aca="false">""</f>
        <v/>
      </c>
      <c r="G8" s="119" t="str">
        <f aca="false">""</f>
        <v/>
      </c>
    </row>
    <row r="10" customFormat="false" ht="16.5" hidden="false" customHeight="true" outlineLevel="0" collapsed="false">
      <c r="A10" s="15" t="s">
        <v>1007</v>
      </c>
      <c r="B10" s="15"/>
      <c r="C10" s="15"/>
      <c r="D10" s="15"/>
      <c r="E10" s="15"/>
      <c r="F10" s="15"/>
      <c r="G10" s="15"/>
      <c r="H10" s="15"/>
      <c r="I10" s="15"/>
      <c r="J10" s="15"/>
    </row>
    <row r="11" customFormat="false" ht="15" hidden="false" customHeight="false" outlineLevel="0" collapsed="false">
      <c r="A11" s="16"/>
      <c r="B11" s="16"/>
      <c r="C11" s="17" t="s">
        <v>81</v>
      </c>
      <c r="D11" s="17" t="s">
        <v>82</v>
      </c>
      <c r="E11" s="17" t="s">
        <v>83</v>
      </c>
      <c r="F11" s="17" t="s">
        <v>84</v>
      </c>
      <c r="G11" s="17" t="s">
        <v>85</v>
      </c>
    </row>
    <row r="12" customFormat="false" ht="15" hidden="false" customHeight="false" outlineLevel="0" collapsed="false">
      <c r="A12" s="12" t="s">
        <v>1008</v>
      </c>
      <c r="B12" s="22" t="s">
        <v>1009</v>
      </c>
      <c r="C12" s="20" t="n">
        <f aca="false">'Financial Indicators'!$C$44</f>
        <v>-73477.9507703706</v>
      </c>
      <c r="D12" s="20" t="n">
        <f aca="false">'Financial Indicators'!$D$44</f>
        <v>-64314.4758610937</v>
      </c>
      <c r="E12" s="20" t="n">
        <f aca="false">'Financial Indicators'!$E$44</f>
        <v>-32470.96531874</v>
      </c>
      <c r="F12" s="20" t="n">
        <f aca="false">'Financial Indicators'!$F$44</f>
        <v>94648.0734805876</v>
      </c>
      <c r="G12" s="20" t="n">
        <f aca="false">'Financial Indicators'!$G$44</f>
        <v>266114.35421233</v>
      </c>
    </row>
    <row r="13" customFormat="false" ht="15" hidden="false" customHeight="false" outlineLevel="0" collapsed="false">
      <c r="A13" s="18" t="s">
        <v>921</v>
      </c>
      <c r="C13" s="19" t="n">
        <f aca="false">C12</f>
        <v>-73477.9507703706</v>
      </c>
      <c r="D13" s="19" t="n">
        <f aca="false">C13+D12</f>
        <v>-137792.426631464</v>
      </c>
      <c r="E13" s="19" t="n">
        <f aca="false">D13+E12</f>
        <v>-170263.391950204</v>
      </c>
      <c r="F13" s="19" t="n">
        <f aca="false">E13+F12</f>
        <v>-75615.3184696168</v>
      </c>
      <c r="G13" s="19" t="n">
        <f aca="false">F13+G12</f>
        <v>190499.035742713</v>
      </c>
    </row>
    <row r="14" customFormat="false" ht="15" hidden="false" customHeight="false" outlineLevel="0" collapsed="false">
      <c r="A14" s="18" t="s">
        <v>1010</v>
      </c>
      <c r="B14" s="22" t="s">
        <v>1011</v>
      </c>
      <c r="C14" s="55" t="n">
        <f aca="false">IFERROR(C13/$C$8,0)</f>
        <v>-0.367389753851853</v>
      </c>
      <c r="D14" s="55" t="n">
        <f aca="false">IFERROR(D13/$C$8,0)</f>
        <v>-0.688962133157322</v>
      </c>
      <c r="E14" s="55" t="n">
        <f aca="false">IFERROR(E13/$C$8,0)</f>
        <v>-0.851316959751022</v>
      </c>
      <c r="F14" s="55" t="n">
        <f aca="false">IFERROR(F13/$C$8,0)</f>
        <v>-0.378076592348084</v>
      </c>
      <c r="G14" s="55" t="n">
        <f aca="false">IFERROR(G13/$C$8,0)</f>
        <v>0.952495178713564</v>
      </c>
    </row>
    <row r="15" customFormat="false" ht="15" hidden="false" customHeight="false" outlineLevel="0" collapsed="false">
      <c r="A15" s="12" t="s">
        <v>1012</v>
      </c>
      <c r="C15" s="120" t="n">
        <f aca="false">MAX(0,$C$8-C13)</f>
        <v>273477.950770371</v>
      </c>
      <c r="D15" s="120" t="n">
        <f aca="false">MAX(0,$C$8-D13)</f>
        <v>337792.426631464</v>
      </c>
      <c r="E15" s="120" t="n">
        <f aca="false">MAX(0,$C$8-E13)</f>
        <v>370263.391950204</v>
      </c>
      <c r="F15" s="120" t="n">
        <f aca="false">MAX(0,$C$8-F13)</f>
        <v>275615.318469617</v>
      </c>
      <c r="G15" s="120" t="n">
        <f aca="false">MAX(0,$C$8-G13)</f>
        <v>9500.96425728727</v>
      </c>
    </row>
    <row r="17" customFormat="false" ht="16.5" hidden="false" customHeight="true" outlineLevel="0" collapsed="false">
      <c r="A17" s="15" t="s">
        <v>1013</v>
      </c>
      <c r="B17" s="15"/>
      <c r="C17" s="15"/>
      <c r="D17" s="15"/>
      <c r="E17" s="15"/>
      <c r="F17" s="15"/>
      <c r="G17" s="15"/>
      <c r="H17" s="15"/>
      <c r="I17" s="15"/>
      <c r="J17" s="15"/>
    </row>
    <row r="18" customFormat="false" ht="15" hidden="true" customHeight="false" outlineLevel="0" collapsed="false">
      <c r="C18" s="128" t="s">
        <v>482</v>
      </c>
      <c r="D18" s="128" t="s">
        <v>483</v>
      </c>
      <c r="E18" s="128" t="s">
        <v>484</v>
      </c>
      <c r="F18" s="128" t="s">
        <v>485</v>
      </c>
      <c r="G18" s="128" t="s">
        <v>486</v>
      </c>
      <c r="H18" s="128" t="s">
        <v>487</v>
      </c>
      <c r="I18" s="128" t="s">
        <v>488</v>
      </c>
      <c r="J18" s="128" t="s">
        <v>489</v>
      </c>
      <c r="K18" s="128" t="s">
        <v>490</v>
      </c>
      <c r="L18" s="128" t="s">
        <v>491</v>
      </c>
      <c r="M18" s="128" t="s">
        <v>492</v>
      </c>
      <c r="N18" s="128" t="s">
        <v>493</v>
      </c>
      <c r="P18" s="128" t="s">
        <v>494</v>
      </c>
      <c r="Q18" s="128" t="s">
        <v>495</v>
      </c>
      <c r="R18" s="128" t="s">
        <v>496</v>
      </c>
      <c r="S18" s="128" t="s">
        <v>497</v>
      </c>
      <c r="T18" s="128" t="s">
        <v>498</v>
      </c>
      <c r="U18" s="128" t="s">
        <v>499</v>
      </c>
      <c r="V18" s="128" t="s">
        <v>500</v>
      </c>
      <c r="W18" s="128" t="s">
        <v>501</v>
      </c>
      <c r="X18" s="128" t="s">
        <v>502</v>
      </c>
      <c r="Y18" s="128" t="s">
        <v>503</v>
      </c>
      <c r="Z18" s="128" t="s">
        <v>504</v>
      </c>
      <c r="AA18" s="128" t="s">
        <v>505</v>
      </c>
      <c r="AC18" s="128" t="s">
        <v>506</v>
      </c>
      <c r="AD18" s="128" t="s">
        <v>507</v>
      </c>
      <c r="AE18" s="128" t="s">
        <v>508</v>
      </c>
      <c r="AF18" s="128" t="s">
        <v>509</v>
      </c>
      <c r="AG18" s="128" t="s">
        <v>510</v>
      </c>
      <c r="AH18" s="128" t="s">
        <v>511</v>
      </c>
      <c r="AI18" s="128" t="s">
        <v>512</v>
      </c>
      <c r="AJ18" s="128" t="s">
        <v>513</v>
      </c>
      <c r="AK18" s="128" t="s">
        <v>514</v>
      </c>
      <c r="AL18" s="128" t="s">
        <v>515</v>
      </c>
      <c r="AM18" s="128" t="s">
        <v>516</v>
      </c>
      <c r="AN18" s="128" t="s">
        <v>517</v>
      </c>
      <c r="AP18" s="128" t="s">
        <v>518</v>
      </c>
      <c r="AQ18" s="128" t="s">
        <v>519</v>
      </c>
      <c r="AR18" s="128" t="s">
        <v>520</v>
      </c>
      <c r="AS18" s="128" t="s">
        <v>521</v>
      </c>
      <c r="AT18" s="128" t="s">
        <v>522</v>
      </c>
      <c r="AU18" s="128" t="s">
        <v>523</v>
      </c>
      <c r="AV18" s="128" t="s">
        <v>524</v>
      </c>
      <c r="AW18" s="128" t="s">
        <v>525</v>
      </c>
      <c r="AX18" s="128" t="s">
        <v>526</v>
      </c>
      <c r="AY18" s="128" t="s">
        <v>527</v>
      </c>
      <c r="AZ18" s="128" t="s">
        <v>528</v>
      </c>
      <c r="BA18" s="128" t="s">
        <v>529</v>
      </c>
      <c r="BC18" s="128" t="s">
        <v>530</v>
      </c>
      <c r="BD18" s="128" t="s">
        <v>531</v>
      </c>
      <c r="BE18" s="128" t="s">
        <v>532</v>
      </c>
      <c r="BF18" s="128" t="s">
        <v>533</v>
      </c>
      <c r="BG18" s="128" t="s">
        <v>534</v>
      </c>
      <c r="BH18" s="128" t="s">
        <v>535</v>
      </c>
      <c r="BI18" s="128" t="s">
        <v>536</v>
      </c>
      <c r="BJ18" s="128" t="s">
        <v>537</v>
      </c>
      <c r="BK18" s="128" t="s">
        <v>538</v>
      </c>
      <c r="BL18" s="128" t="s">
        <v>539</v>
      </c>
      <c r="BM18" s="128" t="s">
        <v>540</v>
      </c>
      <c r="BN18" s="128" t="s">
        <v>541</v>
      </c>
    </row>
    <row r="19" customFormat="false" ht="15" hidden="true" customHeight="false" outlineLevel="0" collapsed="false">
      <c r="A19" s="12" t="s">
        <v>1014</v>
      </c>
      <c r="C19" s="79" t="n">
        <f aca="false">IF('Cash Flow Statement'!C$37&gt;=$C$8,1,9999)</f>
        <v>9999</v>
      </c>
      <c r="D19" s="79" t="n">
        <f aca="false">IF('Cash Flow Statement'!D$37&gt;=$C$8,2,9999)</f>
        <v>9999</v>
      </c>
      <c r="E19" s="79" t="n">
        <f aca="false">IF('Cash Flow Statement'!E$37&gt;=$C$8,3,9999)</f>
        <v>9999</v>
      </c>
      <c r="F19" s="79" t="n">
        <f aca="false">IF('Cash Flow Statement'!F$37&gt;=$C$8,4,9999)</f>
        <v>9999</v>
      </c>
      <c r="G19" s="79" t="n">
        <f aca="false">IF('Cash Flow Statement'!G$37&gt;=$C$8,5,9999)</f>
        <v>9999</v>
      </c>
      <c r="H19" s="79" t="n">
        <f aca="false">IF('Cash Flow Statement'!H$37&gt;=$C$8,6,9999)</f>
        <v>9999</v>
      </c>
      <c r="I19" s="79" t="n">
        <f aca="false">IF('Cash Flow Statement'!I$37&gt;=$C$8,7,9999)</f>
        <v>9999</v>
      </c>
      <c r="J19" s="79" t="n">
        <f aca="false">IF('Cash Flow Statement'!J$37&gt;=$C$8,8,9999)</f>
        <v>9999</v>
      </c>
      <c r="K19" s="79" t="n">
        <f aca="false">IF('Cash Flow Statement'!K$37&gt;=$C$8,9,9999)</f>
        <v>9999</v>
      </c>
      <c r="L19" s="79" t="n">
        <f aca="false">IF('Cash Flow Statement'!L$37&gt;=$C$8,10,9999)</f>
        <v>9999</v>
      </c>
      <c r="M19" s="79" t="n">
        <f aca="false">IF('Cash Flow Statement'!M$37&gt;=$C$8,11,9999)</f>
        <v>9999</v>
      </c>
      <c r="N19" s="79" t="n">
        <f aca="false">IF('Cash Flow Statement'!N$37&gt;=$C$8,12,9999)</f>
        <v>9999</v>
      </c>
      <c r="P19" s="79" t="n">
        <f aca="false">IF('Cash Flow Statement'!P$37&gt;=$C$8,13,9999)</f>
        <v>9999</v>
      </c>
      <c r="Q19" s="79" t="n">
        <f aca="false">IF('Cash Flow Statement'!Q$37&gt;=$C$8,14,9999)</f>
        <v>9999</v>
      </c>
      <c r="R19" s="79" t="n">
        <f aca="false">IF('Cash Flow Statement'!R$37&gt;=$C$8,15,9999)</f>
        <v>9999</v>
      </c>
      <c r="S19" s="79" t="n">
        <f aca="false">IF('Cash Flow Statement'!S$37&gt;=$C$8,16,9999)</f>
        <v>9999</v>
      </c>
      <c r="T19" s="79" t="n">
        <f aca="false">IF('Cash Flow Statement'!T$37&gt;=$C$8,17,9999)</f>
        <v>9999</v>
      </c>
      <c r="U19" s="79" t="n">
        <f aca="false">IF('Cash Flow Statement'!U$37&gt;=$C$8,18,9999)</f>
        <v>9999</v>
      </c>
      <c r="V19" s="79" t="n">
        <f aca="false">IF('Cash Flow Statement'!V$37&gt;=$C$8,19,9999)</f>
        <v>9999</v>
      </c>
      <c r="W19" s="79" t="n">
        <f aca="false">IF('Cash Flow Statement'!W$37&gt;=$C$8,20,9999)</f>
        <v>9999</v>
      </c>
      <c r="X19" s="79" t="n">
        <f aca="false">IF('Cash Flow Statement'!X$37&gt;=$C$8,21,9999)</f>
        <v>9999</v>
      </c>
      <c r="Y19" s="79" t="n">
        <f aca="false">IF('Cash Flow Statement'!Y$37&gt;=$C$8,22,9999)</f>
        <v>9999</v>
      </c>
      <c r="Z19" s="79" t="n">
        <f aca="false">IF('Cash Flow Statement'!Z$37&gt;=$C$8,23,9999)</f>
        <v>9999</v>
      </c>
      <c r="AA19" s="79" t="n">
        <f aca="false">IF('Cash Flow Statement'!AA$37&gt;=$C$8,24,9999)</f>
        <v>9999</v>
      </c>
      <c r="AC19" s="79" t="n">
        <f aca="false">IF('Cash Flow Statement'!AC$37&gt;=$C$8,25,9999)</f>
        <v>9999</v>
      </c>
      <c r="AD19" s="79" t="n">
        <f aca="false">IF('Cash Flow Statement'!AD$37&gt;=$C$8,26,9999)</f>
        <v>9999</v>
      </c>
      <c r="AE19" s="79" t="n">
        <f aca="false">IF('Cash Flow Statement'!AE$37&gt;=$C$8,27,9999)</f>
        <v>9999</v>
      </c>
      <c r="AF19" s="79" t="n">
        <f aca="false">IF('Cash Flow Statement'!AF$37&gt;=$C$8,28,9999)</f>
        <v>9999</v>
      </c>
      <c r="AG19" s="79" t="n">
        <f aca="false">IF('Cash Flow Statement'!AG$37&gt;=$C$8,29,9999)</f>
        <v>9999</v>
      </c>
      <c r="AH19" s="79" t="n">
        <f aca="false">IF('Cash Flow Statement'!AH$37&gt;=$C$8,30,9999)</f>
        <v>9999</v>
      </c>
      <c r="AI19" s="79" t="n">
        <f aca="false">IF('Cash Flow Statement'!AI$37&gt;=$C$8,31,9999)</f>
        <v>9999</v>
      </c>
      <c r="AJ19" s="79" t="n">
        <f aca="false">IF('Cash Flow Statement'!AJ$37&gt;=$C$8,32,9999)</f>
        <v>9999</v>
      </c>
      <c r="AK19" s="79" t="n">
        <f aca="false">IF('Cash Flow Statement'!AK$37&gt;=$C$8,33,9999)</f>
        <v>9999</v>
      </c>
      <c r="AL19" s="79" t="n">
        <f aca="false">IF('Cash Flow Statement'!AL$37&gt;=$C$8,34,9999)</f>
        <v>9999</v>
      </c>
      <c r="AM19" s="79" t="n">
        <f aca="false">IF('Cash Flow Statement'!AM$37&gt;=$C$8,35,9999)</f>
        <v>9999</v>
      </c>
      <c r="AN19" s="79" t="n">
        <f aca="false">IF('Cash Flow Statement'!AN$37&gt;=$C$8,36,9999)</f>
        <v>9999</v>
      </c>
      <c r="AP19" s="79" t="n">
        <f aca="false">IF('Cash Flow Statement'!AP$37&gt;=$C$8,37,9999)</f>
        <v>9999</v>
      </c>
      <c r="AQ19" s="79" t="n">
        <f aca="false">IF('Cash Flow Statement'!AQ$37&gt;=$C$8,38,9999)</f>
        <v>9999</v>
      </c>
      <c r="AR19" s="79" t="n">
        <f aca="false">IF('Cash Flow Statement'!AR$37&gt;=$C$8,39,9999)</f>
        <v>9999</v>
      </c>
      <c r="AS19" s="79" t="n">
        <f aca="false">IF('Cash Flow Statement'!AS$37&gt;=$C$8,40,9999)</f>
        <v>9999</v>
      </c>
      <c r="AT19" s="79" t="n">
        <f aca="false">IF('Cash Flow Statement'!AT$37&gt;=$C$8,41,9999)</f>
        <v>9999</v>
      </c>
      <c r="AU19" s="79" t="n">
        <f aca="false">IF('Cash Flow Statement'!AU$37&gt;=$C$8,42,9999)</f>
        <v>9999</v>
      </c>
      <c r="AV19" s="79" t="n">
        <f aca="false">IF('Cash Flow Statement'!AV$37&gt;=$C$8,43,9999)</f>
        <v>9999</v>
      </c>
      <c r="AW19" s="79" t="n">
        <f aca="false">IF('Cash Flow Statement'!AW$37&gt;=$C$8,44,9999)</f>
        <v>9999</v>
      </c>
      <c r="AX19" s="79" t="n">
        <f aca="false">IF('Cash Flow Statement'!AX$37&gt;=$C$8,45,9999)</f>
        <v>9999</v>
      </c>
      <c r="AY19" s="79" t="n">
        <f aca="false">IF('Cash Flow Statement'!AY$37&gt;=$C$8,46,9999)</f>
        <v>9999</v>
      </c>
      <c r="AZ19" s="79" t="n">
        <f aca="false">IF('Cash Flow Statement'!AZ$37&gt;=$C$8,47,9999)</f>
        <v>9999</v>
      </c>
      <c r="BA19" s="79" t="n">
        <f aca="false">IF('Cash Flow Statement'!BA$37&gt;=$C$8,48,9999)</f>
        <v>9999</v>
      </c>
      <c r="BC19" s="79" t="n">
        <f aca="false">IF('Cash Flow Statement'!BC$37&gt;=$C$8,49,9999)</f>
        <v>9999</v>
      </c>
      <c r="BD19" s="79" t="n">
        <f aca="false">IF('Cash Flow Statement'!BD$37&gt;=$C$8,50,9999)</f>
        <v>9999</v>
      </c>
      <c r="BE19" s="79" t="n">
        <f aca="false">IF('Cash Flow Statement'!BE$37&gt;=$C$8,51,9999)</f>
        <v>9999</v>
      </c>
      <c r="BF19" s="79" t="n">
        <f aca="false">IF('Cash Flow Statement'!BF$37&gt;=$C$8,52,9999)</f>
        <v>9999</v>
      </c>
      <c r="BG19" s="79" t="n">
        <f aca="false">IF('Cash Flow Statement'!BG$37&gt;=$C$8,53,9999)</f>
        <v>9999</v>
      </c>
      <c r="BH19" s="79" t="n">
        <f aca="false">IF('Cash Flow Statement'!BH$37&gt;=$C$8,54,9999)</f>
        <v>9999</v>
      </c>
      <c r="BI19" s="79" t="n">
        <f aca="false">IF('Cash Flow Statement'!BI$37&gt;=$C$8,55,9999)</f>
        <v>9999</v>
      </c>
      <c r="BJ19" s="79" t="n">
        <f aca="false">IF('Cash Flow Statement'!BJ$37&gt;=$C$8,56,9999)</f>
        <v>9999</v>
      </c>
      <c r="BK19" s="79" t="n">
        <f aca="false">IF('Cash Flow Statement'!BK$37&gt;=$C$8,57,9999)</f>
        <v>9999</v>
      </c>
      <c r="BL19" s="79" t="n">
        <f aca="false">IF('Cash Flow Statement'!BL$37&gt;=$C$8,58,9999)</f>
        <v>9999</v>
      </c>
      <c r="BM19" s="79" t="n">
        <f aca="false">IF('Cash Flow Statement'!BM$37&gt;=$C$8,59,9999)</f>
        <v>9999</v>
      </c>
      <c r="BN19" s="79" t="n">
        <f aca="false">IF('Cash Flow Statement'!BN$37&gt;=$C$8,60,9999)</f>
        <v>9999</v>
      </c>
    </row>
    <row r="20" customFormat="false" ht="15" hidden="false" customHeight="false" outlineLevel="0" collapsed="false">
      <c r="A20" s="18" t="s">
        <v>1015</v>
      </c>
      <c r="B20" s="22" t="s">
        <v>1016</v>
      </c>
      <c r="C20" s="112" t="n">
        <f aca="false">MIN(C19:BN19)</f>
        <v>9999</v>
      </c>
      <c r="D20" s="113" t="str">
        <f aca="false">IF(C20=9999,"beyond the 60 months modelled",INDEX($C$18:$BN$18,1,C20))</f>
        <v>beyond the 60 months modelled</v>
      </c>
    </row>
    <row r="22" customFormat="false" ht="16.5" hidden="false" customHeight="true" outlineLevel="0" collapsed="false">
      <c r="A22" s="15" t="s">
        <v>1017</v>
      </c>
      <c r="B22" s="15"/>
      <c r="C22" s="15"/>
      <c r="D22" s="15"/>
      <c r="E22" s="15"/>
      <c r="F22" s="15"/>
      <c r="G22" s="15"/>
      <c r="H22" s="15"/>
      <c r="I22" s="15"/>
      <c r="J22" s="15"/>
    </row>
    <row r="23" customFormat="false" ht="25.5" hidden="false" customHeight="true" outlineLevel="0" collapsed="false">
      <c r="C23" s="129" t="s">
        <v>1018</v>
      </c>
      <c r="D23" s="129" t="s">
        <v>1019</v>
      </c>
      <c r="E23" s="129" t="s">
        <v>1010</v>
      </c>
    </row>
    <row r="24" customFormat="false" ht="15" hidden="false" customHeight="false" outlineLevel="0" collapsed="false">
      <c r="A24" s="12" t="s">
        <v>1020</v>
      </c>
      <c r="C24" s="56" t="n">
        <v>0.6</v>
      </c>
      <c r="D24" s="120" t="n">
        <f aca="false">SUMPRODUCT(($C$12:$G$12))+('Total Revenue'!B$25+'Total Revenue'!O$25+'Total Revenue'!AB$25+'Total Revenue'!AO$25+'Total Revenue'!BB$25-Expenses!B$24-Expenses!O$24-Expenses!AB$24-Expenses!AO$24-Expenses!BB$24)*(C24-1)</f>
        <v>-911416.79366829</v>
      </c>
      <c r="E24" s="55" t="n">
        <f aca="false">IFERROR(D24/$C$8,0)</f>
        <v>-4.55708396834145</v>
      </c>
    </row>
    <row r="25" customFormat="false" ht="15" hidden="false" customHeight="false" outlineLevel="0" collapsed="false">
      <c r="A25" s="12" t="s">
        <v>1020</v>
      </c>
      <c r="C25" s="56" t="n">
        <v>0.75</v>
      </c>
      <c r="D25" s="120" t="n">
        <f aca="false">SUMPRODUCT(($C$12:$G$12))+('Total Revenue'!B$25+'Total Revenue'!O$25+'Total Revenue'!AB$25+'Total Revenue'!AO$25+'Total Revenue'!BB$25-Expenses!B$24-Expenses!O$24-Expenses!AB$24-Expenses!AO$24-Expenses!BB$24)*(C25-1)</f>
        <v>-498198.357639164</v>
      </c>
      <c r="E25" s="55" t="n">
        <f aca="false">IFERROR(D25/$C$8,0)</f>
        <v>-2.49099178819582</v>
      </c>
    </row>
    <row r="26" customFormat="false" ht="15" hidden="false" customHeight="false" outlineLevel="0" collapsed="false">
      <c r="A26" s="12" t="s">
        <v>1020</v>
      </c>
      <c r="C26" s="56" t="n">
        <v>0.9</v>
      </c>
      <c r="D26" s="120" t="n">
        <f aca="false">SUMPRODUCT(($C$12:$G$12))+('Total Revenue'!B$25+'Total Revenue'!O$25+'Total Revenue'!AB$25+'Total Revenue'!AO$25+'Total Revenue'!BB$25-Expenses!B$24-Expenses!O$24-Expenses!AB$24-Expenses!AO$24-Expenses!BB$24)*(C26-1)</f>
        <v>-84979.9216100378</v>
      </c>
      <c r="E26" s="55" t="n">
        <f aca="false">IFERROR(D26/$C$8,0)</f>
        <v>-0.424899608050189</v>
      </c>
    </row>
    <row r="27" customFormat="false" ht="15" hidden="false" customHeight="false" outlineLevel="0" collapsed="false">
      <c r="A27" s="12" t="s">
        <v>1020</v>
      </c>
      <c r="C27" s="56" t="n">
        <v>1</v>
      </c>
      <c r="D27" s="120" t="n">
        <f aca="false">SUMPRODUCT(($C$12:$G$12))+('Total Revenue'!B$25+'Total Revenue'!O$25+'Total Revenue'!AB$25+'Total Revenue'!AO$25+'Total Revenue'!BB$25-Expenses!B$24-Expenses!O$24-Expenses!AB$24-Expenses!AO$24-Expenses!BB$24)*(C27-1)</f>
        <v>190499.035742713</v>
      </c>
      <c r="E27" s="55" t="n">
        <f aca="false">IFERROR(D27/$C$8,0)</f>
        <v>0.952495178713564</v>
      </c>
    </row>
    <row r="28" customFormat="false" ht="15" hidden="false" customHeight="false" outlineLevel="0" collapsed="false">
      <c r="A28" s="12" t="s">
        <v>1020</v>
      </c>
      <c r="C28" s="56" t="n">
        <v>1.1</v>
      </c>
      <c r="D28" s="120" t="n">
        <f aca="false">SUMPRODUCT(($C$12:$G$12))+('Total Revenue'!B$25+'Total Revenue'!O$25+'Total Revenue'!AB$25+'Total Revenue'!AO$25+'Total Revenue'!BB$25-Expenses!B$24-Expenses!O$24-Expenses!AB$24-Expenses!AO$24-Expenses!BB$24)*(C28-1)</f>
        <v>465977.993095464</v>
      </c>
      <c r="E28" s="55" t="n">
        <f aca="false">IFERROR(D28/$C$8,0)</f>
        <v>2.32988996547732</v>
      </c>
    </row>
    <row r="29" customFormat="false" ht="15" hidden="false" customHeight="false" outlineLevel="0" collapsed="false">
      <c r="A29" s="12" t="s">
        <v>1020</v>
      </c>
      <c r="C29" s="56" t="n">
        <v>1.25</v>
      </c>
      <c r="D29" s="120" t="n">
        <f aca="false">SUMPRODUCT(($C$12:$G$12))+('Total Revenue'!B$25+'Total Revenue'!O$25+'Total Revenue'!AB$25+'Total Revenue'!AO$25+'Total Revenue'!BB$25-Expenses!B$24-Expenses!O$24-Expenses!AB$24-Expenses!AO$24-Expenses!BB$24)*(C29-1)</f>
        <v>879196.429124589</v>
      </c>
      <c r="E29" s="55" t="n">
        <f aca="false">IFERROR(D29/$C$8,0)</f>
        <v>4.39598214562295</v>
      </c>
    </row>
    <row r="30" customFormat="false" ht="15" hidden="false" customHeight="false" outlineLevel="0" collapsed="false">
      <c r="A30" s="71" t="s">
        <v>1021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7" min="2" style="0" width="14"/>
  </cols>
  <sheetData>
    <row r="1" customFormat="false" ht="24.75" hidden="false" customHeight="true" outlineLevel="0" collapsed="false">
      <c r="A1" s="14" t="s">
        <v>1022</v>
      </c>
    </row>
    <row r="2" customFormat="false" ht="13.5" hidden="false" customHeight="true" outlineLevel="0" collapsed="false">
      <c r="A2" s="6" t="s">
        <v>1023</v>
      </c>
    </row>
    <row r="3" customFormat="false" ht="3.75" hidden="false" customHeight="true" outlineLevel="0" collapsed="false">
      <c r="A3" s="3"/>
      <c r="B3" s="3"/>
      <c r="C3" s="3"/>
      <c r="D3" s="3"/>
      <c r="E3" s="3"/>
      <c r="F3" s="3"/>
      <c r="G3" s="3"/>
      <c r="H3" s="3"/>
      <c r="I3" s="3"/>
    </row>
    <row r="5" customFormat="false" ht="16.5" hidden="false" customHeight="true" outlineLevel="0" collapsed="false">
      <c r="A5" s="15" t="s">
        <v>1024</v>
      </c>
      <c r="B5" s="15"/>
      <c r="C5" s="15"/>
      <c r="D5" s="15"/>
      <c r="E5" s="15"/>
      <c r="F5" s="15"/>
      <c r="G5" s="15"/>
      <c r="H5" s="15"/>
      <c r="I5" s="15"/>
    </row>
    <row r="6" customFormat="false" ht="15" hidden="false" customHeight="false" outlineLevel="0" collapsed="false">
      <c r="A6" s="71" t="s">
        <v>1025</v>
      </c>
    </row>
    <row r="7" customFormat="false" ht="15" hidden="false" customHeight="false" outlineLevel="0" collapsed="false">
      <c r="B7" s="130" t="s">
        <v>1026</v>
      </c>
      <c r="C7" s="131" t="n">
        <v>-0.15</v>
      </c>
      <c r="D7" s="131" t="n">
        <v>-0.075</v>
      </c>
      <c r="E7" s="131" t="n">
        <v>0</v>
      </c>
      <c r="F7" s="131" t="n">
        <v>0.075</v>
      </c>
      <c r="G7" s="131" t="n">
        <v>0.15</v>
      </c>
    </row>
    <row r="8" customFormat="false" ht="15" hidden="false" customHeight="false" outlineLevel="0" collapsed="false">
      <c r="A8" s="130" t="s">
        <v>1027</v>
      </c>
      <c r="B8" s="132" t="n">
        <v>-0.3</v>
      </c>
      <c r="C8" s="133" t="n">
        <f aca="false">'Total Revenue'!BB$25*(1+$B$8)*(1+C$7)-Expenses!BB$24*(1+$B$8)-Expenses!BB$45</f>
        <v>-196815.418468238</v>
      </c>
      <c r="D8" s="133" t="n">
        <f aca="false">'Total Revenue'!BB$25*(1+$B$8)*(1+D$7)-Expenses!BB$24*(1+$B$8)-Expenses!BB$45</f>
        <v>-91751.2006680949</v>
      </c>
      <c r="E8" s="133" t="n">
        <f aca="false">'Total Revenue'!BB$25*(1+$B$8)*(1+E$7)-Expenses!BB$24*(1+$B$8)-Expenses!BB$45</f>
        <v>13313.0171320478</v>
      </c>
      <c r="F8" s="133" t="n">
        <f aca="false">'Total Revenue'!BB$25*(1+$B$8)*(1+F$7)-Expenses!BB$24*(1+$B$8)-Expenses!BB$45</f>
        <v>118377.234932191</v>
      </c>
      <c r="G8" s="133" t="n">
        <f aca="false">'Total Revenue'!BB$25*(1+$B$8)*(1+G$7)-Expenses!BB$24*(1+$B$8)-Expenses!BB$45</f>
        <v>223441.452732333</v>
      </c>
    </row>
    <row r="9" customFormat="false" ht="15" hidden="false" customHeight="false" outlineLevel="0" collapsed="false">
      <c r="A9" s="130"/>
      <c r="B9" s="132" t="n">
        <v>-0.15</v>
      </c>
      <c r="C9" s="133" t="n">
        <f aca="false">'Total Revenue'!BB$25*(1+$B$9)*(1+C$7)-Expenses!BB$24*(1+$B$9)-Expenses!BB$45</f>
        <v>-61376.255873618</v>
      </c>
      <c r="D9" s="133" t="n">
        <f aca="false">'Total Revenue'!BB$25*(1+$B$9)*(1+D$7)-Expenses!BB$24*(1+$B$9)-Expenses!BB$45</f>
        <v>66201.7228836985</v>
      </c>
      <c r="E9" s="133" t="n">
        <f aca="false">'Total Revenue'!BB$25*(1+$B$9)*(1+E$7)-Expenses!BB$24*(1+$B$9)-Expenses!BB$45</f>
        <v>193779.701641015</v>
      </c>
      <c r="F9" s="133" t="n">
        <f aca="false">'Total Revenue'!BB$25*(1+$B$9)*(1+F$7)-Expenses!BB$24*(1+$B$9)-Expenses!BB$45</f>
        <v>321357.680398331</v>
      </c>
      <c r="G9" s="133" t="n">
        <f aca="false">'Total Revenue'!BB$25*(1+$B$9)*(1+G$7)-Expenses!BB$24*(1+$B$9)-Expenses!BB$45</f>
        <v>448935.659155647</v>
      </c>
    </row>
    <row r="10" customFormat="false" ht="15" hidden="false" customHeight="false" outlineLevel="0" collapsed="false">
      <c r="A10" s="130"/>
      <c r="B10" s="132" t="n">
        <v>0</v>
      </c>
      <c r="C10" s="133" t="n">
        <f aca="false">'Total Revenue'!BB$25*(1+$B$10)*(1+C$7)-Expenses!BB$24*(1+$B$10)-Expenses!BB$45</f>
        <v>74062.9067210021</v>
      </c>
      <c r="D10" s="133" t="n">
        <f aca="false">'Total Revenue'!BB$25*(1+$B$10)*(1+D$7)-Expenses!BB$24*(1+$B$10)-Expenses!BB$45</f>
        <v>224154.646435492</v>
      </c>
      <c r="E10" s="133" t="n">
        <f aca="false">'Total Revenue'!BB$25*(1+$B$10)*(1+E$7)-Expenses!BB$24*(1+$B$10)-Expenses!BB$45</f>
        <v>374246.386149982</v>
      </c>
      <c r="F10" s="133" t="n">
        <f aca="false">'Total Revenue'!BB$25*(1+$B$10)*(1+F$7)-Expenses!BB$24*(1+$B$10)-Expenses!BB$45</f>
        <v>524338.125864472</v>
      </c>
      <c r="G10" s="133" t="n">
        <f aca="false">'Total Revenue'!BB$25*(1+$B$10)*(1+G$7)-Expenses!BB$24*(1+$B$10)-Expenses!BB$45</f>
        <v>674429.865578962</v>
      </c>
    </row>
    <row r="11" customFormat="false" ht="15" hidden="false" customHeight="false" outlineLevel="0" collapsed="false">
      <c r="A11" s="130"/>
      <c r="B11" s="132" t="n">
        <v>0.15</v>
      </c>
      <c r="C11" s="133" t="n">
        <f aca="false">'Total Revenue'!BB$25*(1+$B$11)*(1+C$7)-Expenses!BB$24*(1+$B$11)-Expenses!BB$45</f>
        <v>209502.069315622</v>
      </c>
      <c r="D11" s="133" t="n">
        <f aca="false">'Total Revenue'!BB$25*(1+$B$11)*(1+D$7)-Expenses!BB$24*(1+$B$11)-Expenses!BB$45</f>
        <v>382107.569987285</v>
      </c>
      <c r="E11" s="133" t="n">
        <f aca="false">'Total Revenue'!BB$25*(1+$B$11)*(1+E$7)-Expenses!BB$24*(1+$B$11)-Expenses!BB$45</f>
        <v>554713.070658949</v>
      </c>
      <c r="F11" s="133" t="n">
        <f aca="false">'Total Revenue'!BB$25*(1+$B$11)*(1+F$7)-Expenses!BB$24*(1+$B$11)-Expenses!BB$45</f>
        <v>727318.571330612</v>
      </c>
      <c r="G11" s="133" t="n">
        <f aca="false">'Total Revenue'!BB$25*(1+$B$11)*(1+G$7)-Expenses!BB$24*(1+$B$11)-Expenses!BB$45</f>
        <v>899924.072002275</v>
      </c>
    </row>
    <row r="12" customFormat="false" ht="15" hidden="false" customHeight="false" outlineLevel="0" collapsed="false">
      <c r="A12" s="130"/>
      <c r="B12" s="132" t="n">
        <v>0.3</v>
      </c>
      <c r="C12" s="133" t="n">
        <f aca="false">'Total Revenue'!BB$25*(1+$B$12)*(1+C$7)-Expenses!BB$24*(1+$B$12)-Expenses!BB$45</f>
        <v>344941.231910242</v>
      </c>
      <c r="D12" s="133" t="n">
        <f aca="false">'Total Revenue'!BB$25*(1+$B$12)*(1+D$7)-Expenses!BB$24*(1+$B$12)-Expenses!BB$45</f>
        <v>540060.493539079</v>
      </c>
      <c r="E12" s="133" t="n">
        <f aca="false">'Total Revenue'!BB$25*(1+$B$12)*(1+E$7)-Expenses!BB$24*(1+$B$12)-Expenses!BB$45</f>
        <v>735179.755167916</v>
      </c>
      <c r="F12" s="133" t="n">
        <f aca="false">'Total Revenue'!BB$25*(1+$B$12)*(1+F$7)-Expenses!BB$24*(1+$B$12)-Expenses!BB$45</f>
        <v>930299.016796753</v>
      </c>
      <c r="G12" s="133" t="n">
        <f aca="false">'Total Revenue'!BB$25*(1+$B$12)*(1+G$7)-Expenses!BB$24*(1+$B$12)-Expenses!BB$45</f>
        <v>1125418.27842559</v>
      </c>
    </row>
    <row r="14" customFormat="false" ht="16.5" hidden="false" customHeight="true" outlineLevel="0" collapsed="false">
      <c r="A14" s="15" t="s">
        <v>1028</v>
      </c>
      <c r="B14" s="15"/>
      <c r="C14" s="15"/>
      <c r="D14" s="15"/>
      <c r="E14" s="15"/>
      <c r="F14" s="15"/>
      <c r="G14" s="15"/>
      <c r="H14" s="15"/>
      <c r="I14" s="15"/>
    </row>
    <row r="15" customFormat="false" ht="15" hidden="false" customHeight="false" outlineLevel="0" collapsed="false">
      <c r="A15" s="71" t="s">
        <v>1029</v>
      </c>
    </row>
    <row r="16" customFormat="false" ht="15" hidden="false" customHeight="false" outlineLevel="0" collapsed="false">
      <c r="B16" s="130" t="s">
        <v>1030</v>
      </c>
      <c r="C16" s="131" t="n">
        <v>-0.2</v>
      </c>
      <c r="D16" s="131" t="n">
        <v>-0.1</v>
      </c>
      <c r="E16" s="131" t="n">
        <v>0</v>
      </c>
      <c r="F16" s="131" t="n">
        <v>0.1</v>
      </c>
      <c r="G16" s="131" t="n">
        <v>0.2</v>
      </c>
    </row>
    <row r="17" customFormat="false" ht="15" hidden="false" customHeight="false" outlineLevel="0" collapsed="false">
      <c r="A17" s="130" t="s">
        <v>1027</v>
      </c>
      <c r="B17" s="132" t="n">
        <v>-0.3</v>
      </c>
      <c r="C17" s="133" t="n">
        <f aca="false">'Total Revenue'!BB$25*(1+$B$17)-Expenses!BB$24*(1+$B$17)-Expenses!BB$45*(1+C$16)</f>
        <v>179085.985914007</v>
      </c>
      <c r="D17" s="133" t="n">
        <f aca="false">'Total Revenue'!BB$25*(1+$B$17)-Expenses!BB$24*(1+$B$17)-Expenses!BB$45*(1+D$16)</f>
        <v>96199.5015230276</v>
      </c>
      <c r="E17" s="133" t="n">
        <f aca="false">'Total Revenue'!BB$25*(1+$B$17)-Expenses!BB$24*(1+$B$17)-Expenses!BB$45*(1+E$16)</f>
        <v>13313.0171320478</v>
      </c>
      <c r="F17" s="133" t="n">
        <f aca="false">'Total Revenue'!BB$25*(1+$B$17)-Expenses!BB$24*(1+$B$17)-Expenses!BB$45*(1+F$16)</f>
        <v>-69573.4672589321</v>
      </c>
      <c r="G17" s="133" t="n">
        <f aca="false">'Total Revenue'!BB$25*(1+$B$17)-Expenses!BB$24*(1+$B$17)-Expenses!BB$45*(1+G$16)</f>
        <v>-152459.951649912</v>
      </c>
    </row>
    <row r="18" customFormat="false" ht="15" hidden="false" customHeight="false" outlineLevel="0" collapsed="false">
      <c r="A18" s="130"/>
      <c r="B18" s="132" t="n">
        <v>-0.15</v>
      </c>
      <c r="C18" s="133" t="n">
        <f aca="false">'Total Revenue'!BB$25*(1+$B$18)-Expenses!BB$24*(1+$B$18)-Expenses!BB$45*(1+C$16)</f>
        <v>359552.670422974</v>
      </c>
      <c r="D18" s="133" t="n">
        <f aca="false">'Total Revenue'!BB$25*(1+$B$18)-Expenses!BB$24*(1+$B$18)-Expenses!BB$45*(1+D$16)</f>
        <v>276666.186031995</v>
      </c>
      <c r="E18" s="133" t="n">
        <f aca="false">'Total Revenue'!BB$25*(1+$B$18)-Expenses!BB$24*(1+$B$18)-Expenses!BB$45*(1+E$16)</f>
        <v>193779.701641015</v>
      </c>
      <c r="F18" s="133" t="n">
        <f aca="false">'Total Revenue'!BB$25*(1+$B$18)-Expenses!BB$24*(1+$B$18)-Expenses!BB$45*(1+F$16)</f>
        <v>110893.217250035</v>
      </c>
      <c r="G18" s="133" t="n">
        <f aca="false">'Total Revenue'!BB$25*(1+$B$18)-Expenses!BB$24*(1+$B$18)-Expenses!BB$45*(1+G$16)</f>
        <v>28006.7328590552</v>
      </c>
    </row>
    <row r="19" customFormat="false" ht="15" hidden="false" customHeight="false" outlineLevel="0" collapsed="false">
      <c r="A19" s="130"/>
      <c r="B19" s="132" t="n">
        <v>0</v>
      </c>
      <c r="C19" s="133" t="n">
        <f aca="false">'Total Revenue'!BB$25*(1+$B$19)-Expenses!BB$24*(1+$B$19)-Expenses!BB$45*(1+C$16)</f>
        <v>540019.354931942</v>
      </c>
      <c r="D19" s="133" t="n">
        <f aca="false">'Total Revenue'!BB$25*(1+$B$19)-Expenses!BB$24*(1+$B$19)-Expenses!BB$45*(1+D$16)</f>
        <v>457132.870540962</v>
      </c>
      <c r="E19" s="133" t="n">
        <f aca="false">'Total Revenue'!BB$25*(1+$B$19)-Expenses!BB$24*(1+$B$19)-Expenses!BB$45*(1+E$16)</f>
        <v>374246.386149982</v>
      </c>
      <c r="F19" s="133" t="n">
        <f aca="false">'Total Revenue'!BB$25*(1+$B$19)-Expenses!BB$24*(1+$B$19)-Expenses!BB$45*(1+F$16)</f>
        <v>291359.901759002</v>
      </c>
      <c r="G19" s="133" t="n">
        <f aca="false">'Total Revenue'!BB$25*(1+$B$19)-Expenses!BB$24*(1+$B$19)-Expenses!BB$45*(1+G$16)</f>
        <v>208473.417368022</v>
      </c>
    </row>
    <row r="20" customFormat="false" ht="15" hidden="false" customHeight="false" outlineLevel="0" collapsed="false">
      <c r="A20" s="130"/>
      <c r="B20" s="132" t="n">
        <v>0.15</v>
      </c>
      <c r="C20" s="133" t="n">
        <f aca="false">'Total Revenue'!BB$25*(1+$B$20)-Expenses!BB$24*(1+$B$20)-Expenses!BB$45*(1+C$16)</f>
        <v>720486.039440908</v>
      </c>
      <c r="D20" s="133" t="n">
        <f aca="false">'Total Revenue'!BB$25*(1+$B$20)-Expenses!BB$24*(1+$B$20)-Expenses!BB$45*(1+D$16)</f>
        <v>637599.555049929</v>
      </c>
      <c r="E20" s="133" t="n">
        <f aca="false">'Total Revenue'!BB$25*(1+$B$20)-Expenses!BB$24*(1+$B$20)-Expenses!BB$45*(1+E$16)</f>
        <v>554713.070658949</v>
      </c>
      <c r="F20" s="133" t="n">
        <f aca="false">'Total Revenue'!BB$25*(1+$B$20)-Expenses!BB$24*(1+$B$20)-Expenses!BB$45*(1+F$16)</f>
        <v>471826.586267969</v>
      </c>
      <c r="G20" s="133" t="n">
        <f aca="false">'Total Revenue'!BB$25*(1+$B$20)-Expenses!BB$24*(1+$B$20)-Expenses!BB$45*(1+G$16)</f>
        <v>388940.101876989</v>
      </c>
    </row>
    <row r="21" customFormat="false" ht="15" hidden="false" customHeight="false" outlineLevel="0" collapsed="false">
      <c r="A21" s="130"/>
      <c r="B21" s="132" t="n">
        <v>0.3</v>
      </c>
      <c r="C21" s="133" t="n">
        <f aca="false">'Total Revenue'!BB$25*(1+$B$21)-Expenses!BB$24*(1+$B$21)-Expenses!BB$45*(1+C$16)</f>
        <v>900952.723949876</v>
      </c>
      <c r="D21" s="133" t="n">
        <f aca="false">'Total Revenue'!BB$25*(1+$B$21)-Expenses!BB$24*(1+$B$21)-Expenses!BB$45*(1+D$16)</f>
        <v>818066.239558896</v>
      </c>
      <c r="E21" s="133" t="n">
        <f aca="false">'Total Revenue'!BB$25*(1+$B$21)-Expenses!BB$24*(1+$B$21)-Expenses!BB$45*(1+E$16)</f>
        <v>735179.755167916</v>
      </c>
      <c r="F21" s="133" t="n">
        <f aca="false">'Total Revenue'!BB$25*(1+$B$21)-Expenses!BB$24*(1+$B$21)-Expenses!BB$45*(1+F$16)</f>
        <v>652293.270776936</v>
      </c>
      <c r="G21" s="133" t="n">
        <f aca="false">'Total Revenue'!BB$25*(1+$B$21)-Expenses!BB$24*(1+$B$21)-Expenses!BB$45*(1+G$16)</f>
        <v>569406.786385957</v>
      </c>
    </row>
    <row r="23" customFormat="false" ht="16.5" hidden="false" customHeight="true" outlineLevel="0" collapsed="false">
      <c r="A23" s="15" t="s">
        <v>1031</v>
      </c>
      <c r="B23" s="15"/>
      <c r="C23" s="15"/>
      <c r="D23" s="15"/>
      <c r="E23" s="15"/>
      <c r="F23" s="15"/>
      <c r="G23" s="15"/>
      <c r="H23" s="15"/>
      <c r="I23" s="15"/>
    </row>
    <row r="24" customFormat="false" ht="15" hidden="false" customHeight="false" outlineLevel="0" collapsed="false">
      <c r="A24" s="71" t="s">
        <v>1032</v>
      </c>
    </row>
    <row r="25" customFormat="false" ht="15" hidden="false" customHeight="false" outlineLevel="0" collapsed="false">
      <c r="B25" s="130" t="s">
        <v>1033</v>
      </c>
      <c r="C25" s="131" t="n">
        <v>-0.4</v>
      </c>
      <c r="D25" s="131" t="n">
        <v>-0.2</v>
      </c>
      <c r="E25" s="131" t="n">
        <v>0</v>
      </c>
      <c r="F25" s="131" t="n">
        <v>0.25</v>
      </c>
      <c r="G25" s="131" t="n">
        <v>0.5</v>
      </c>
    </row>
    <row r="26" customFormat="false" ht="15" hidden="false" customHeight="false" outlineLevel="0" collapsed="false">
      <c r="A26" s="130" t="s">
        <v>1034</v>
      </c>
      <c r="B26" s="132" t="n">
        <v>-0.3</v>
      </c>
      <c r="C26" s="133" t="n">
        <f aca="false">'Total Revenue'!BB$25-Expenses!BB$24-Expenses!BB$45+('Revenue Streams'!BB$45*C$25)-(Acquisitions!BB$31*$B$26)</f>
        <v>376846.968954182</v>
      </c>
      <c r="D26" s="133" t="n">
        <f aca="false">'Total Revenue'!BB$25-Expenses!BB$24-Expenses!BB$45+('Revenue Streams'!BB$45*D$25)-(Acquisitions!BB$31*$B$26)</f>
        <v>384456.677552082</v>
      </c>
      <c r="E26" s="133" t="n">
        <f aca="false">'Total Revenue'!BB$25-Expenses!BB$24-Expenses!BB$45+('Revenue Streams'!BB$45*E$25)-(Acquisitions!BB$31*$B$26)</f>
        <v>392066.386149982</v>
      </c>
      <c r="F26" s="133" t="n">
        <f aca="false">'Total Revenue'!BB$25-Expenses!BB$24-Expenses!BB$45+('Revenue Streams'!BB$45*F$25)-(Acquisitions!BB$31*$B$26)</f>
        <v>401578.521897357</v>
      </c>
      <c r="G26" s="133" t="n">
        <f aca="false">'Total Revenue'!BB$25-Expenses!BB$24-Expenses!BB$45+('Revenue Streams'!BB$45*G$25)-(Acquisitions!BB$31*$B$26)</f>
        <v>411090.657644732</v>
      </c>
    </row>
    <row r="27" customFormat="false" ht="15" hidden="false" customHeight="false" outlineLevel="0" collapsed="false">
      <c r="A27" s="130"/>
      <c r="B27" s="132" t="n">
        <v>-0.15</v>
      </c>
      <c r="C27" s="133" t="n">
        <f aca="false">'Total Revenue'!BB$25-Expenses!BB$24-Expenses!BB$45+('Revenue Streams'!BB$45*C$25)-(Acquisitions!BB$31*$B$27)</f>
        <v>367936.968954182</v>
      </c>
      <c r="D27" s="133" t="n">
        <f aca="false">'Total Revenue'!BB$25-Expenses!BB$24-Expenses!BB$45+('Revenue Streams'!BB$45*D$25)-(Acquisitions!BB$31*$B$27)</f>
        <v>375546.677552082</v>
      </c>
      <c r="E27" s="133" t="n">
        <f aca="false">'Total Revenue'!BB$25-Expenses!BB$24-Expenses!BB$45+('Revenue Streams'!BB$45*E$25)-(Acquisitions!BB$31*$B$27)</f>
        <v>383156.386149982</v>
      </c>
      <c r="F27" s="133" t="n">
        <f aca="false">'Total Revenue'!BB$25-Expenses!BB$24-Expenses!BB$45+('Revenue Streams'!BB$45*F$25)-(Acquisitions!BB$31*$B$27)</f>
        <v>392668.521897357</v>
      </c>
      <c r="G27" s="133" t="n">
        <f aca="false">'Total Revenue'!BB$25-Expenses!BB$24-Expenses!BB$45+('Revenue Streams'!BB$45*G$25)-(Acquisitions!BB$31*$B$27)</f>
        <v>402180.657644732</v>
      </c>
    </row>
    <row r="28" customFormat="false" ht="15" hidden="false" customHeight="false" outlineLevel="0" collapsed="false">
      <c r="A28" s="130"/>
      <c r="B28" s="132" t="n">
        <v>0</v>
      </c>
      <c r="C28" s="133" t="n">
        <f aca="false">'Total Revenue'!BB$25-Expenses!BB$24-Expenses!BB$45+('Revenue Streams'!BB$45*C$25)-(Acquisitions!BB$31*$B$28)</f>
        <v>359026.968954182</v>
      </c>
      <c r="D28" s="133" t="n">
        <f aca="false">'Total Revenue'!BB$25-Expenses!BB$24-Expenses!BB$45+('Revenue Streams'!BB$45*D$25)-(Acquisitions!BB$31*$B$28)</f>
        <v>366636.677552082</v>
      </c>
      <c r="E28" s="133" t="n">
        <f aca="false">'Total Revenue'!BB$25-Expenses!BB$24-Expenses!BB$45+('Revenue Streams'!BB$45*E$25)-(Acquisitions!BB$31*$B$28)</f>
        <v>374246.386149982</v>
      </c>
      <c r="F28" s="133" t="n">
        <f aca="false">'Total Revenue'!BB$25-Expenses!BB$24-Expenses!BB$45+('Revenue Streams'!BB$45*F$25)-(Acquisitions!BB$31*$B$28)</f>
        <v>383758.521897357</v>
      </c>
      <c r="G28" s="133" t="n">
        <f aca="false">'Total Revenue'!BB$25-Expenses!BB$24-Expenses!BB$45+('Revenue Streams'!BB$45*G$25)-(Acquisitions!BB$31*$B$28)</f>
        <v>393270.657644732</v>
      </c>
    </row>
    <row r="29" customFormat="false" ht="15" hidden="false" customHeight="false" outlineLevel="0" collapsed="false">
      <c r="A29" s="130"/>
      <c r="B29" s="132" t="n">
        <v>0.25</v>
      </c>
      <c r="C29" s="133" t="n">
        <f aca="false">'Total Revenue'!BB$25-Expenses!BB$24-Expenses!BB$45+('Revenue Streams'!BB$45*C$25)-(Acquisitions!BB$31*$B$29)</f>
        <v>344176.968954182</v>
      </c>
      <c r="D29" s="133" t="n">
        <f aca="false">'Total Revenue'!BB$25-Expenses!BB$24-Expenses!BB$45+('Revenue Streams'!BB$45*D$25)-(Acquisitions!BB$31*$B$29)</f>
        <v>351786.677552082</v>
      </c>
      <c r="E29" s="133" t="n">
        <f aca="false">'Total Revenue'!BB$25-Expenses!BB$24-Expenses!BB$45+('Revenue Streams'!BB$45*E$25)-(Acquisitions!BB$31*$B$29)</f>
        <v>359396.386149982</v>
      </c>
      <c r="F29" s="133" t="n">
        <f aca="false">'Total Revenue'!BB$25-Expenses!BB$24-Expenses!BB$45+('Revenue Streams'!BB$45*F$25)-(Acquisitions!BB$31*$B$29)</f>
        <v>368908.521897357</v>
      </c>
      <c r="G29" s="133" t="n">
        <f aca="false">'Total Revenue'!BB$25-Expenses!BB$24-Expenses!BB$45+('Revenue Streams'!BB$45*G$25)-(Acquisitions!BB$31*$B$29)</f>
        <v>378420.657644732</v>
      </c>
    </row>
    <row r="30" customFormat="false" ht="15" hidden="false" customHeight="false" outlineLevel="0" collapsed="false">
      <c r="A30" s="130"/>
      <c r="B30" s="132" t="n">
        <v>0.5</v>
      </c>
      <c r="C30" s="133" t="n">
        <f aca="false">'Total Revenue'!BB$25-Expenses!BB$24-Expenses!BB$45+('Revenue Streams'!BB$45*C$25)-(Acquisitions!BB$31*$B$30)</f>
        <v>329326.968954182</v>
      </c>
      <c r="D30" s="133" t="n">
        <f aca="false">'Total Revenue'!BB$25-Expenses!BB$24-Expenses!BB$45+('Revenue Streams'!BB$45*D$25)-(Acquisitions!BB$31*$B$30)</f>
        <v>336936.677552082</v>
      </c>
      <c r="E30" s="133" t="n">
        <f aca="false">'Total Revenue'!BB$25-Expenses!BB$24-Expenses!BB$45+('Revenue Streams'!BB$45*E$25)-(Acquisitions!BB$31*$B$30)</f>
        <v>344546.386149982</v>
      </c>
      <c r="F30" s="133" t="n">
        <f aca="false">'Total Revenue'!BB$25-Expenses!BB$24-Expenses!BB$45+('Revenue Streams'!BB$45*F$25)-(Acquisitions!BB$31*$B$30)</f>
        <v>354058.521897357</v>
      </c>
      <c r="G30" s="133" t="n">
        <f aca="false">'Total Revenue'!BB$25-Expenses!BB$24-Expenses!BB$45+('Revenue Streams'!BB$45*G$25)-(Acquisitions!BB$31*$B$30)</f>
        <v>363570.657644732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2"/>
    <col collapsed="false" customWidth="true" hidden="false" outlineLevel="0" max="8" min="3" style="0" width="13"/>
  </cols>
  <sheetData>
    <row r="1" customFormat="false" ht="24.75" hidden="false" customHeight="true" outlineLevel="0" collapsed="false">
      <c r="A1" s="14" t="s">
        <v>1035</v>
      </c>
    </row>
    <row r="2" customFormat="false" ht="13.5" hidden="false" customHeight="true" outlineLevel="0" collapsed="false">
      <c r="A2" s="6" t="s">
        <v>1036</v>
      </c>
    </row>
    <row r="3" customFormat="false" ht="3.75" hidden="false" customHeight="true" outlineLevel="0" collapsed="false">
      <c r="A3" s="3"/>
      <c r="B3" s="3"/>
      <c r="C3" s="3"/>
      <c r="D3" s="3"/>
      <c r="E3" s="3"/>
      <c r="F3" s="3"/>
      <c r="G3" s="3"/>
      <c r="H3" s="3"/>
      <c r="I3" s="3"/>
      <c r="J3" s="3"/>
    </row>
    <row r="5" customFormat="false" ht="16.5" hidden="false" customHeight="true" outlineLevel="0" collapsed="false">
      <c r="A5" s="15" t="s">
        <v>1037</v>
      </c>
      <c r="B5" s="15"/>
      <c r="C5" s="15"/>
      <c r="D5" s="15"/>
      <c r="E5" s="15"/>
      <c r="F5" s="15"/>
      <c r="G5" s="15"/>
      <c r="H5" s="15"/>
      <c r="I5" s="15"/>
      <c r="J5" s="15"/>
    </row>
    <row r="6" customFormat="false" ht="25.5" hidden="false" customHeight="true" outlineLevel="0" collapsed="false">
      <c r="A6" s="127" t="s">
        <v>1038</v>
      </c>
      <c r="B6" s="16"/>
      <c r="C6" s="129" t="s">
        <v>1039</v>
      </c>
      <c r="D6" s="129" t="s">
        <v>1040</v>
      </c>
      <c r="E6" s="129" t="s">
        <v>1041</v>
      </c>
      <c r="F6" s="129" t="s">
        <v>1042</v>
      </c>
      <c r="G6" s="129" t="s">
        <v>1043</v>
      </c>
    </row>
    <row r="7" customFormat="false" ht="15" hidden="false" customHeight="false" outlineLevel="0" collapsed="false">
      <c r="A7" s="18" t="s">
        <v>1044</v>
      </c>
      <c r="B7" s="22" t="s">
        <v>1045</v>
      </c>
      <c r="C7" s="56" t="n">
        <v>1</v>
      </c>
      <c r="D7" s="56" t="n">
        <v>1</v>
      </c>
      <c r="E7" s="56" t="n">
        <v>1</v>
      </c>
      <c r="F7" s="56" t="n">
        <v>1</v>
      </c>
      <c r="G7" s="56" t="n">
        <v>1</v>
      </c>
    </row>
    <row r="8" customFormat="false" ht="15" hidden="false" customHeight="false" outlineLevel="0" collapsed="false">
      <c r="A8" s="12" t="s">
        <v>1046</v>
      </c>
      <c r="B8" s="22" t="s">
        <v>1047</v>
      </c>
      <c r="C8" s="56" t="n">
        <v>1.2</v>
      </c>
      <c r="D8" s="56" t="n">
        <v>1.03</v>
      </c>
      <c r="E8" s="56" t="n">
        <v>1.06</v>
      </c>
      <c r="F8" s="56" t="n">
        <v>0.92</v>
      </c>
      <c r="G8" s="56" t="n">
        <v>1.15</v>
      </c>
    </row>
    <row r="9" customFormat="false" ht="15" hidden="false" customHeight="false" outlineLevel="0" collapsed="false">
      <c r="A9" s="12" t="s">
        <v>1048</v>
      </c>
      <c r="B9" s="22" t="s">
        <v>1049</v>
      </c>
      <c r="C9" s="56" t="n">
        <v>0.72</v>
      </c>
      <c r="D9" s="56" t="n">
        <v>0.94</v>
      </c>
      <c r="E9" s="56" t="n">
        <v>1</v>
      </c>
      <c r="F9" s="56" t="n">
        <v>1.2</v>
      </c>
      <c r="G9" s="56" t="n">
        <v>0.8</v>
      </c>
    </row>
    <row r="10" customFormat="false" ht="15" hidden="false" customHeight="false" outlineLevel="0" collapsed="false">
      <c r="A10" s="12" t="s">
        <v>1050</v>
      </c>
      <c r="B10" s="22" t="s">
        <v>1051</v>
      </c>
      <c r="C10" s="56" t="n">
        <v>0.5</v>
      </c>
      <c r="D10" s="56" t="n">
        <v>0.86</v>
      </c>
      <c r="E10" s="56" t="n">
        <v>0.96</v>
      </c>
      <c r="F10" s="56" t="n">
        <v>1.45</v>
      </c>
      <c r="G10" s="56" t="n">
        <v>0.65</v>
      </c>
    </row>
    <row r="12" customFormat="false" ht="16.5" hidden="false" customHeight="true" outlineLevel="0" collapsed="false">
      <c r="A12" s="15" t="s">
        <v>1052</v>
      </c>
      <c r="B12" s="15"/>
      <c r="C12" s="15"/>
      <c r="D12" s="15"/>
      <c r="E12" s="15"/>
      <c r="F12" s="15"/>
      <c r="G12" s="15"/>
      <c r="H12" s="15"/>
      <c r="I12" s="15"/>
      <c r="J12" s="15"/>
    </row>
    <row r="13" customFormat="false" ht="15" hidden="false" customHeight="false" outlineLevel="0" collapsed="false">
      <c r="A13" s="16"/>
      <c r="B13" s="16"/>
      <c r="C13" s="17" t="s">
        <v>81</v>
      </c>
      <c r="D13" s="17" t="s">
        <v>82</v>
      </c>
      <c r="E13" s="17" t="s">
        <v>83</v>
      </c>
      <c r="F13" s="17" t="s">
        <v>84</v>
      </c>
      <c r="G13" s="17" t="s">
        <v>85</v>
      </c>
    </row>
    <row r="14" customFormat="false" ht="15" hidden="false" customHeight="false" outlineLevel="0" collapsed="false">
      <c r="A14" s="18" t="s">
        <v>1044</v>
      </c>
      <c r="C14" s="19" t="n">
        <f aca="false">'Total Revenue'!B$25*$C$7*$D$7</f>
        <v>102742.065586255</v>
      </c>
      <c r="D14" s="19" t="n">
        <f aca="false">'Total Revenue'!O$25*$C$7*$D$7</f>
        <v>364280.89031635</v>
      </c>
      <c r="E14" s="19" t="n">
        <f aca="false">'Total Revenue'!AB$25*$C$7*$D$7</f>
        <v>752581.26389205</v>
      </c>
      <c r="F14" s="19" t="n">
        <f aca="false">'Total Revenue'!AO$25*$C$7*$D$7</f>
        <v>1316610.92668284</v>
      </c>
      <c r="G14" s="19" t="n">
        <f aca="false">'Total Revenue'!BB$25*$C$7*$D$7</f>
        <v>2001223.1961932</v>
      </c>
    </row>
    <row r="15" customFormat="false" ht="15" hidden="false" customHeight="false" outlineLevel="0" collapsed="false">
      <c r="A15" s="12" t="s">
        <v>1046</v>
      </c>
      <c r="C15" s="120" t="n">
        <f aca="false">'Total Revenue'!B$25*$C$8*$D$8</f>
        <v>126989.193064612</v>
      </c>
      <c r="D15" s="120" t="n">
        <f aca="false">'Total Revenue'!O$25*$C$8*$D$8</f>
        <v>450251.180431008</v>
      </c>
      <c r="E15" s="120" t="n">
        <f aca="false">'Total Revenue'!AB$25*$C$8*$D$8</f>
        <v>930190.442170574</v>
      </c>
      <c r="F15" s="120" t="n">
        <f aca="false">'Total Revenue'!AO$25*$C$8*$D$8</f>
        <v>1627331.10537999</v>
      </c>
      <c r="G15" s="120" t="n">
        <f aca="false">'Total Revenue'!BB$25*$C$8*$D$8</f>
        <v>2473511.87049479</v>
      </c>
    </row>
    <row r="16" customFormat="false" ht="15" hidden="false" customHeight="false" outlineLevel="0" collapsed="false">
      <c r="A16" s="12" t="s">
        <v>1048</v>
      </c>
      <c r="C16" s="120" t="n">
        <f aca="false">'Total Revenue'!B$25*$C$9*$D$9</f>
        <v>69535.8299887776</v>
      </c>
      <c r="D16" s="120" t="n">
        <f aca="false">'Total Revenue'!O$25*$C$9*$D$9</f>
        <v>246545.306566105</v>
      </c>
      <c r="E16" s="120" t="n">
        <f aca="false">'Total Revenue'!AB$25*$C$9*$D$9</f>
        <v>509346.999402139</v>
      </c>
      <c r="F16" s="120" t="n">
        <f aca="false">'Total Revenue'!AO$25*$C$9*$D$9</f>
        <v>891082.275178947</v>
      </c>
      <c r="G16" s="120" t="n">
        <f aca="false">'Total Revenue'!BB$25*$C$9*$D$9</f>
        <v>1354427.85918356</v>
      </c>
    </row>
    <row r="17" customFormat="false" ht="15" hidden="false" customHeight="false" outlineLevel="0" collapsed="false">
      <c r="A17" s="12" t="s">
        <v>1050</v>
      </c>
      <c r="C17" s="120" t="n">
        <f aca="false">'Total Revenue'!B$25*$C$10*$D$10</f>
        <v>44179.0882020898</v>
      </c>
      <c r="D17" s="120" t="n">
        <f aca="false">'Total Revenue'!O$25*$C$10*$D$10</f>
        <v>156640.78283603</v>
      </c>
      <c r="E17" s="120" t="n">
        <f aca="false">'Total Revenue'!AB$25*$C$10*$D$10</f>
        <v>323609.943473581</v>
      </c>
      <c r="F17" s="120" t="n">
        <f aca="false">'Total Revenue'!AO$25*$C$10*$D$10</f>
        <v>566142.698473622</v>
      </c>
      <c r="G17" s="120" t="n">
        <f aca="false">'Total Revenue'!BB$25*$C$10*$D$10</f>
        <v>860525.974363075</v>
      </c>
    </row>
    <row r="19" customFormat="false" ht="16.5" hidden="false" customHeight="true" outlineLevel="0" collapsed="false">
      <c r="A19" s="15" t="s">
        <v>1053</v>
      </c>
      <c r="B19" s="15"/>
      <c r="C19" s="15"/>
      <c r="D19" s="15"/>
      <c r="E19" s="15"/>
      <c r="F19" s="15"/>
      <c r="G19" s="15"/>
      <c r="H19" s="15"/>
      <c r="I19" s="15"/>
      <c r="J19" s="15"/>
    </row>
    <row r="20" customFormat="false" ht="15" hidden="false" customHeight="false" outlineLevel="0" collapsed="false">
      <c r="A20" s="16"/>
      <c r="B20" s="16"/>
      <c r="C20" s="17" t="s">
        <v>81</v>
      </c>
      <c r="D20" s="17" t="s">
        <v>82</v>
      </c>
      <c r="E20" s="17" t="s">
        <v>83</v>
      </c>
      <c r="F20" s="17" t="s">
        <v>84</v>
      </c>
      <c r="G20" s="17" t="s">
        <v>85</v>
      </c>
    </row>
    <row r="21" customFormat="false" ht="15" hidden="false" customHeight="false" outlineLevel="0" collapsed="false">
      <c r="A21" s="18" t="s">
        <v>1044</v>
      </c>
      <c r="C21" s="19" t="n">
        <f aca="false">'Total Revenue'!B$25*$C$7*$D$7-Expenses!B$24*$C$7-Expenses!B$45*$E$7</f>
        <v>-41857.0919344233</v>
      </c>
      <c r="D21" s="19" t="n">
        <f aca="false">'Total Revenue'!O$25*$C$7*$D$7-Expenses!O$24*$C$7-Expenses!O$45*$E$7</f>
        <v>-18217.1483677056</v>
      </c>
      <c r="E21" s="19" t="n">
        <f aca="false">'Total Revenue'!AB$25*$C$7*$D$7-Expenses!AB$24*$C$7-Expenses!AB$45*$E$7</f>
        <v>22556.7410239389</v>
      </c>
      <c r="F21" s="19" t="n">
        <f aca="false">'Total Revenue'!AO$25*$C$7*$D$7-Expenses!AO$24*$C$7-Expenses!AO$45*$E$7</f>
        <v>167340.005119418</v>
      </c>
      <c r="G21" s="19" t="n">
        <f aca="false">'Total Revenue'!BB$25*$C$7*$D$7-Expenses!BB$24*$C$7-Expenses!BB$45*$E$7</f>
        <v>374246.386149982</v>
      </c>
    </row>
    <row r="22" customFormat="false" ht="15" hidden="false" customHeight="false" outlineLevel="0" collapsed="false">
      <c r="A22" s="12" t="s">
        <v>1046</v>
      </c>
      <c r="C22" s="120" t="n">
        <f aca="false">'Total Revenue'!B$25*$C$8*$D$8-Expenses!B$24*$C$8-Expenses!B$45*$E$8</f>
        <v>-32333.8348853456</v>
      </c>
      <c r="D22" s="120" t="n">
        <f aca="false">'Total Revenue'!O$25*$C$8*$D$8-Expenses!O$24*$C$8-Expenses!O$45*$E$8</f>
        <v>25326.8267367714</v>
      </c>
      <c r="E22" s="120" t="n">
        <f aca="false">'Total Revenue'!AB$25*$C$8*$D$8-Expenses!AB$24*$C$8-Expenses!AB$45*$E$8</f>
        <v>115893.539457759</v>
      </c>
      <c r="F22" s="120" t="n">
        <f aca="false">'Total Revenue'!AO$25*$C$8*$D$8-Expenses!AO$24*$C$8-Expenses!AO$45*$E$8</f>
        <v>337264.038241189</v>
      </c>
      <c r="G22" s="120" t="n">
        <f aca="false">'Total Revenue'!BB$25*$C$8*$D$8-Expenses!BB$24*$C$8-Expenses!BB$45*$E$8</f>
        <v>637180.776590305</v>
      </c>
    </row>
    <row r="23" customFormat="false" ht="15" hidden="false" customHeight="false" outlineLevel="0" collapsed="false">
      <c r="A23" s="12" t="s">
        <v>1048</v>
      </c>
      <c r="C23" s="120" t="n">
        <f aca="false">'Total Revenue'!B$25*$C$9*$D$9-Expenses!B$24*$C$9-Expenses!B$45*$E$9</f>
        <v>-62967.4855758256</v>
      </c>
      <c r="D23" s="120" t="n">
        <f aca="false">'Total Revenue'!O$25*$C$9*$D$9-Expenses!O$24*$C$9-Expenses!O$45*$E$9</f>
        <v>-96999.8667396733</v>
      </c>
      <c r="E23" s="120" t="n">
        <f aca="false">'Total Revenue'!AB$25*$C$9*$D$9-Expenses!AB$24*$C$9-Expenses!AB$45*$E$9</f>
        <v>-139735.706520737</v>
      </c>
      <c r="F23" s="120" t="n">
        <f aca="false">'Total Revenue'!AO$25*$C$9*$D$9-Expenses!AO$24*$C$9-Expenses!AO$45*$E$9</f>
        <v>-114508.865821327</v>
      </c>
      <c r="G23" s="120" t="n">
        <f aca="false">'Total Revenue'!BB$25*$C$9*$D$9-Expenses!BB$24*$C$9-Expenses!BB$45*$E$9</f>
        <v>-49077.6003423029</v>
      </c>
    </row>
    <row r="24" customFormat="false" ht="15" hidden="false" customHeight="false" outlineLevel="0" collapsed="false">
      <c r="A24" s="12" t="s">
        <v>1050</v>
      </c>
      <c r="C24" s="120" t="n">
        <f aca="false">'Total Revenue'!B$25*$C$10*$D$10-Expenses!B$24*$C$10-Expenses!B$45*$E$10</f>
        <v>-74764.362661352</v>
      </c>
      <c r="D24" s="120" t="n">
        <f aca="false">'Total Revenue'!O$25*$C$10*$D$10-Expenses!O$24*$C$10-Expenses!O$45*$E$10</f>
        <v>-146563.341179209</v>
      </c>
      <c r="E24" s="120" t="n">
        <f aca="false">'Total Revenue'!AB$25*$C$10*$D$10-Expenses!AB$24*$C$10-Expenses!AB$45*$E$10</f>
        <v>-244237.75635549</v>
      </c>
      <c r="F24" s="120" t="n">
        <f aca="false">'Total Revenue'!AO$25*$C$10*$D$10-Expenses!AO$24*$C$10-Expenses!AO$45*$E$10</f>
        <v>-301112.032444949</v>
      </c>
      <c r="G24" s="120" t="n">
        <f aca="false">'Total Revenue'!BB$25*$C$10*$D$10-Expenses!BB$24*$C$10-Expenses!BB$45*$E$10</f>
        <v>-334240.25885704</v>
      </c>
    </row>
    <row r="26" customFormat="false" ht="16.5" hidden="false" customHeight="true" outlineLevel="0" collapsed="false">
      <c r="A26" s="15" t="s">
        <v>1054</v>
      </c>
      <c r="B26" s="15"/>
      <c r="C26" s="15"/>
      <c r="D26" s="15"/>
      <c r="E26" s="15"/>
      <c r="F26" s="15"/>
      <c r="G26" s="15"/>
      <c r="H26" s="15"/>
      <c r="I26" s="15"/>
      <c r="J26" s="15"/>
    </row>
    <row r="27" customFormat="false" ht="25.5" hidden="false" customHeight="true" outlineLevel="0" collapsed="false">
      <c r="A27" s="134" t="s">
        <v>1038</v>
      </c>
      <c r="C27" s="129" t="s">
        <v>81</v>
      </c>
      <c r="D27" s="129" t="s">
        <v>82</v>
      </c>
      <c r="E27" s="129" t="s">
        <v>83</v>
      </c>
      <c r="F27" s="129" t="s">
        <v>84</v>
      </c>
      <c r="G27" s="129" t="s">
        <v>85</v>
      </c>
      <c r="H27" s="129" t="s">
        <v>1055</v>
      </c>
      <c r="I27" s="129" t="s">
        <v>1056</v>
      </c>
    </row>
    <row r="28" customFormat="false" ht="15" hidden="false" customHeight="false" outlineLevel="0" collapsed="false">
      <c r="A28" s="18" t="s">
        <v>1044</v>
      </c>
      <c r="C28" s="19" t="n">
        <f aca="false">'Assumption Setting'!$C$18+'Assumption Setting'!$C$205+C21-'Capital Expenditure'!B$16-'Cash Flow Statement'!N$14*($F$7-1)</f>
        <v>145862.908065577</v>
      </c>
      <c r="D28" s="19" t="n">
        <f aca="false">C28+D21-'Capital Expenditure'!O$16-'Cash Flow Statement'!AA$14*($F$7-1)</f>
        <v>124405.759697871</v>
      </c>
      <c r="E28" s="19" t="n">
        <f aca="false">D28+E21-'Capital Expenditure'!AB$16-'Cash Flow Statement'!AN$14*($F$7-1)</f>
        <v>133722.50072181</v>
      </c>
      <c r="F28" s="19" t="n">
        <f aca="false">E28+F21-'Capital Expenditure'!AO$16-'Cash Flow Statement'!BA$14*($F$7-1)</f>
        <v>296742.505841228</v>
      </c>
      <c r="G28" s="19" t="n">
        <f aca="false">F28+G21-'Capital Expenditure'!BB$16-'Cash Flow Statement'!BN$14*($F$7-1)</f>
        <v>666668.89199121</v>
      </c>
      <c r="H28" s="19" t="n">
        <f aca="false">MIN(C28:G28)</f>
        <v>124405.759697871</v>
      </c>
      <c r="I28" s="23" t="n">
        <f aca="false">MAX(0,'Assumption Setting'!$C$207-H28)</f>
        <v>0</v>
      </c>
    </row>
    <row r="29" customFormat="false" ht="15" hidden="false" customHeight="false" outlineLevel="0" collapsed="false">
      <c r="A29" s="12" t="s">
        <v>1046</v>
      </c>
      <c r="C29" s="120" t="n">
        <f aca="false">'Assumption Setting'!$C$18+'Assumption Setting'!$C$205+C22-'Capital Expenditure'!B$16-'Cash Flow Statement'!N$14*($F$8-1)</f>
        <v>158251.210266139</v>
      </c>
      <c r="D29" s="120" t="n">
        <f aca="false">C29+D22-'Capital Expenditure'!O$16-'Cash Flow Statement'!AA$14*($F$8-1)</f>
        <v>189235.518609555</v>
      </c>
      <c r="E29" s="120" t="n">
        <f aca="false">D29+E22-'Capital Expenditure'!AB$16-'Cash Flow Statement'!AN$14*($F$8-1)</f>
        <v>307474.699514062</v>
      </c>
      <c r="F29" s="120" t="n">
        <f aca="false">E29+F22-'Capital Expenditure'!AO$16-'Cash Flow Statement'!BA$14*($F$8-1)</f>
        <v>665994.102926075</v>
      </c>
      <c r="G29" s="120" t="n">
        <f aca="false">F29+G22-'Capital Expenditure'!BB$16-'Cash Flow Statement'!BN$14*($F$8-1)</f>
        <v>1336032.73112336</v>
      </c>
      <c r="H29" s="19" t="n">
        <f aca="false">MIN(C29:G29)</f>
        <v>158251.210266139</v>
      </c>
      <c r="I29" s="23" t="n">
        <f aca="false">MAX(0,'Assumption Setting'!$C$207-H29)</f>
        <v>0</v>
      </c>
    </row>
    <row r="30" customFormat="false" ht="15" hidden="false" customHeight="false" outlineLevel="0" collapsed="false">
      <c r="A30" s="12" t="s">
        <v>1048</v>
      </c>
      <c r="C30" s="120" t="n">
        <f aca="false">'Assumption Setting'!$C$18+'Assumption Setting'!$C$205+C23-'Capital Expenditure'!B$16-'Cash Flow Statement'!N$14*($F$9-1)</f>
        <v>117589.901545463</v>
      </c>
      <c r="D30" s="120" t="n">
        <f aca="false">C30+D23-'Capital Expenditure'!O$16-'Cash Flow Statement'!AA$14*($F$9-1)</f>
        <v>-4893.66921082268</v>
      </c>
      <c r="E30" s="120" t="n">
        <f aca="false">D30+E23-'Capital Expenditure'!AB$16-'Cash Flow Statement'!AN$14*($F$9-1)</f>
        <v>-196833.479348428</v>
      </c>
      <c r="F30" s="120" t="n">
        <f aca="false">E30+F23-'Capital Expenditure'!AO$16-'Cash Flow Statement'!BA$14*($F$9-1)</f>
        <v>-379600.758096816</v>
      </c>
      <c r="G30" s="120" t="n">
        <f aca="false">F30+G23-'Capital Expenditure'!BB$16-'Cash Flow Statement'!BN$14*($F$9-1)</f>
        <v>-525942.987456563</v>
      </c>
      <c r="H30" s="19" t="n">
        <f aca="false">MIN(C30:G30)</f>
        <v>-525942.987456563</v>
      </c>
      <c r="I30" s="23" t="n">
        <f aca="false">MAX(0,'Assumption Setting'!$C$207-H30)</f>
        <v>550942.987456563</v>
      </c>
    </row>
    <row r="31" customFormat="false" ht="15" hidden="false" customHeight="false" outlineLevel="0" collapsed="false">
      <c r="A31" s="12" t="s">
        <v>1050</v>
      </c>
      <c r="C31" s="120" t="n">
        <f aca="false">'Assumption Setting'!$C$18+'Assumption Setting'!$C$205+C24-'Capital Expenditure'!B$16-'Cash Flow Statement'!N$14*($F$10-1)</f>
        <v>96839.7583615473</v>
      </c>
      <c r="D31" s="120" t="n">
        <f aca="false">C31+D24-'Capital Expenditure'!O$16-'Cash Flow Statement'!AA$14*($F$10-1)</f>
        <v>-103011.916855039</v>
      </c>
      <c r="E31" s="120" t="n">
        <f aca="false">D31+E24-'Capital Expenditure'!AB$16-'Cash Flow Statement'!AN$14*($F$10-1)</f>
        <v>-448158.906348484</v>
      </c>
      <c r="F31" s="120" t="n">
        <f aca="false">E31+F24-'Capital Expenditure'!AO$16-'Cash Flow Statement'!BA$14*($F$10-1)</f>
        <v>-897452.367879319</v>
      </c>
      <c r="G31" s="120" t="n">
        <f aca="false">F31+G24-'Capital Expenditure'!BB$16-'Cash Flow Statement'!BN$14*($F$10-1)</f>
        <v>-1445138.04202561</v>
      </c>
      <c r="H31" s="19" t="n">
        <f aca="false">MIN(C31:G31)</f>
        <v>-1445138.04202561</v>
      </c>
      <c r="I31" s="23" t="n">
        <f aca="false">MAX(0,'Assumption Setting'!$C$207-H31)</f>
        <v>1470138.04202561</v>
      </c>
    </row>
    <row r="33" customFormat="false" ht="15" hidden="false" customHeight="false" outlineLevel="0" collapsed="false">
      <c r="A33" s="71" t="s">
        <v>1057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8"/>
    <col collapsed="false" customWidth="true" hidden="false" outlineLevel="0" max="2" min="2" style="0" width="28"/>
    <col collapsed="false" customWidth="true" hidden="false" outlineLevel="0" max="5" min="3" style="0" width="17"/>
  </cols>
  <sheetData>
    <row r="1" customFormat="false" ht="24.75" hidden="false" customHeight="true" outlineLevel="0" collapsed="false">
      <c r="A1" s="14" t="s">
        <v>1058</v>
      </c>
    </row>
    <row r="2" customFormat="false" ht="13.5" hidden="false" customHeight="true" outlineLevel="0" collapsed="false">
      <c r="A2" s="6" t="s">
        <v>1059</v>
      </c>
    </row>
    <row r="3" customFormat="false" ht="3.75" hidden="false" customHeight="true" outlineLevel="0" collapsed="false">
      <c r="A3" s="3"/>
      <c r="B3" s="3"/>
      <c r="C3" s="3"/>
      <c r="D3" s="3"/>
      <c r="E3" s="3"/>
      <c r="F3" s="3"/>
    </row>
    <row r="5" customFormat="false" ht="16.5" hidden="false" customHeight="true" outlineLevel="0" collapsed="false">
      <c r="A5" s="15" t="s">
        <v>1060</v>
      </c>
      <c r="B5" s="15"/>
      <c r="C5" s="15"/>
      <c r="D5" s="15"/>
      <c r="E5" s="15"/>
      <c r="F5" s="15"/>
    </row>
    <row r="6" customFormat="false" ht="15" hidden="false" customHeight="false" outlineLevel="0" collapsed="false">
      <c r="A6" s="16"/>
      <c r="B6" s="16"/>
      <c r="C6" s="135" t="s">
        <v>1061</v>
      </c>
      <c r="D6" s="135" t="s">
        <v>1062</v>
      </c>
    </row>
    <row r="7" customFormat="false" ht="15" hidden="false" customHeight="false" outlineLevel="0" collapsed="false">
      <c r="A7" s="12" t="s">
        <v>1063</v>
      </c>
      <c r="B7" s="22" t="s">
        <v>1064</v>
      </c>
      <c r="C7" s="44" t="n">
        <v>125000</v>
      </c>
      <c r="D7" s="44" t="n">
        <v>750000</v>
      </c>
    </row>
    <row r="8" customFormat="false" ht="15" hidden="false" customHeight="false" outlineLevel="0" collapsed="false">
      <c r="A8" s="12" t="s">
        <v>1065</v>
      </c>
      <c r="B8" s="22" t="s">
        <v>1066</v>
      </c>
      <c r="C8" s="44" t="n">
        <v>900000</v>
      </c>
      <c r="D8" s="44" t="n">
        <v>4500000</v>
      </c>
    </row>
    <row r="9" customFormat="false" ht="15" hidden="false" customHeight="false" outlineLevel="0" collapsed="false">
      <c r="A9" s="18" t="s">
        <v>1067</v>
      </c>
      <c r="C9" s="19" t="n">
        <f aca="false">C8+C7</f>
        <v>1025000</v>
      </c>
      <c r="D9" s="19" t="n">
        <f aca="false">D8+D7</f>
        <v>5250000</v>
      </c>
    </row>
    <row r="10" customFormat="false" ht="15" hidden="false" customHeight="false" outlineLevel="0" collapsed="false">
      <c r="A10" s="18" t="s">
        <v>1068</v>
      </c>
      <c r="C10" s="55" t="n">
        <f aca="false">IFERROR(C7/C9,0)</f>
        <v>0.121951219512195</v>
      </c>
      <c r="D10" s="55" t="n">
        <f aca="false">IFERROR(D7/D9,0)</f>
        <v>0.142857142857143</v>
      </c>
    </row>
    <row r="11" customFormat="false" ht="15" hidden="false" customHeight="false" outlineLevel="0" collapsed="false">
      <c r="A11" s="12" t="s">
        <v>1069</v>
      </c>
      <c r="B11" s="22" t="s">
        <v>1070</v>
      </c>
      <c r="C11" s="50" t="n">
        <v>0.42</v>
      </c>
      <c r="D11" s="50" t="n">
        <v>0.25</v>
      </c>
    </row>
    <row r="12" customFormat="false" ht="15" hidden="false" customHeight="false" outlineLevel="0" collapsed="false">
      <c r="A12" s="18" t="s">
        <v>1071</v>
      </c>
      <c r="C12" s="136" t="n">
        <f aca="false">C10*(1-C11)</f>
        <v>0.0707317073170732</v>
      </c>
      <c r="D12" s="136" t="n">
        <f aca="false">D10*(1-D11)</f>
        <v>0.107142857142857</v>
      </c>
    </row>
    <row r="14" customFormat="false" ht="16.5" hidden="false" customHeight="true" outlineLevel="0" collapsed="false">
      <c r="A14" s="15" t="s">
        <v>1072</v>
      </c>
      <c r="B14" s="15"/>
      <c r="C14" s="15"/>
      <c r="D14" s="15"/>
      <c r="E14" s="15"/>
      <c r="F14" s="15"/>
    </row>
    <row r="15" customFormat="false" ht="15" hidden="false" customHeight="false" outlineLevel="0" collapsed="false">
      <c r="A15" s="71" t="s">
        <v>1073</v>
      </c>
    </row>
    <row r="16" customFormat="false" ht="24" hidden="false" customHeight="true" outlineLevel="0" collapsed="false">
      <c r="A16" s="127" t="s">
        <v>1074</v>
      </c>
      <c r="B16" s="129" t="s">
        <v>1075</v>
      </c>
      <c r="C16" s="129" t="s">
        <v>1076</v>
      </c>
      <c r="D16" s="129" t="s">
        <v>1077</v>
      </c>
      <c r="E16" s="129" t="s">
        <v>1078</v>
      </c>
    </row>
    <row r="17" customFormat="false" ht="15" hidden="false" customHeight="false" outlineLevel="0" collapsed="false">
      <c r="A17" s="18" t="s">
        <v>1079</v>
      </c>
      <c r="B17" s="22" t="s">
        <v>1080</v>
      </c>
      <c r="C17" s="56" t="n">
        <v>2</v>
      </c>
      <c r="D17" s="19" t="n">
        <f aca="false">C17*'Financial Indicators'!$G$7</f>
        <v>4002446.3923864</v>
      </c>
      <c r="E17" s="120" t="n">
        <f aca="false">$D$17*C$12</f>
        <v>283099.86677855</v>
      </c>
      <c r="F17" s="120" t="n">
        <f aca="false">$D$17*D$12</f>
        <v>428833.5420414</v>
      </c>
    </row>
    <row r="18" customFormat="false" ht="15" hidden="false" customHeight="false" outlineLevel="0" collapsed="false">
      <c r="A18" s="18" t="s">
        <v>1081</v>
      </c>
      <c r="B18" s="22" t="s">
        <v>1082</v>
      </c>
      <c r="C18" s="56" t="n">
        <v>3.5</v>
      </c>
      <c r="D18" s="19" t="n">
        <f aca="false">C18*'Financial Indicators'!$G$7</f>
        <v>7004281.18667619</v>
      </c>
      <c r="E18" s="120" t="n">
        <f aca="false">$D$18*C$12</f>
        <v>495424.766862462</v>
      </c>
      <c r="F18" s="120" t="n">
        <f aca="false">$D$18*D$12</f>
        <v>750458.698572449</v>
      </c>
    </row>
    <row r="19" customFormat="false" ht="15" hidden="false" customHeight="false" outlineLevel="0" collapsed="false">
      <c r="A19" s="18" t="s">
        <v>1083</v>
      </c>
      <c r="B19" s="22" t="s">
        <v>1084</v>
      </c>
      <c r="C19" s="56" t="n">
        <v>5.5</v>
      </c>
      <c r="D19" s="19" t="n">
        <f aca="false">C19*'Financial Indicators'!$G$7</f>
        <v>11006727.5790626</v>
      </c>
      <c r="E19" s="120" t="n">
        <f aca="false">$D$19*C$12</f>
        <v>778524.633641013</v>
      </c>
      <c r="F19" s="120" t="n">
        <f aca="false">$D$19*D$12</f>
        <v>1179292.24061385</v>
      </c>
    </row>
    <row r="20" customFormat="false" ht="15" hidden="false" customHeight="false" outlineLevel="0" collapsed="false">
      <c r="A20" s="18" t="s">
        <v>1085</v>
      </c>
      <c r="B20" s="22" t="s">
        <v>1086</v>
      </c>
      <c r="C20" s="56" t="n">
        <v>10</v>
      </c>
      <c r="D20" s="19" t="n">
        <f aca="false">C20*'Financial Indicators'!$G$22</f>
        <v>3742463.86149982</v>
      </c>
      <c r="E20" s="120" t="n">
        <f aca="false">$D$20*C$12</f>
        <v>264710.858496329</v>
      </c>
      <c r="F20" s="120" t="n">
        <f aca="false">$D$20*D$12</f>
        <v>400978.27087498</v>
      </c>
    </row>
    <row r="22" customFormat="false" ht="16.5" hidden="false" customHeight="true" outlineLevel="0" collapsed="false">
      <c r="A22" s="15" t="s">
        <v>1087</v>
      </c>
      <c r="B22" s="15"/>
      <c r="C22" s="15"/>
      <c r="D22" s="15"/>
      <c r="E22" s="15"/>
      <c r="F22" s="15"/>
    </row>
    <row r="23" customFormat="false" ht="15" hidden="false" customHeight="false" outlineLevel="0" collapsed="false">
      <c r="A23" s="12" t="s">
        <v>1088</v>
      </c>
      <c r="B23" s="22" t="s">
        <v>1089</v>
      </c>
      <c r="C23" s="54" t="n">
        <v>5</v>
      </c>
      <c r="D23" s="54" t="n">
        <v>3.5</v>
      </c>
    </row>
    <row r="24" customFormat="false" ht="15" hidden="false" customHeight="false" outlineLevel="0" collapsed="false">
      <c r="A24" s="18" t="s">
        <v>1090</v>
      </c>
      <c r="B24" s="22" t="s">
        <v>1091</v>
      </c>
      <c r="C24" s="19" t="n">
        <f aca="false">E18</f>
        <v>495424.766862462</v>
      </c>
      <c r="D24" s="19" t="n">
        <f aca="false">F18</f>
        <v>750458.698572449</v>
      </c>
    </row>
    <row r="25" customFormat="false" ht="15" hidden="false" customHeight="false" outlineLevel="0" collapsed="false">
      <c r="A25" s="18" t="s">
        <v>1092</v>
      </c>
      <c r="C25" s="137" t="n">
        <f aca="false">IFERROR(C24/C7,0)</f>
        <v>3.9633981348997</v>
      </c>
      <c r="D25" s="137" t="n">
        <f aca="false">IFERROR(D24/D7,0)</f>
        <v>1.0006115980966</v>
      </c>
    </row>
    <row r="26" customFormat="false" ht="15" hidden="false" customHeight="false" outlineLevel="0" collapsed="false">
      <c r="A26" s="18" t="s">
        <v>1093</v>
      </c>
      <c r="B26" s="22" t="s">
        <v>1094</v>
      </c>
      <c r="C26" s="136" t="n">
        <f aca="false">IFERROR(C25^(1/C23)-1,0)</f>
        <v>0.317084200704662</v>
      </c>
      <c r="D26" s="136" t="n">
        <f aca="false">IFERROR(D25^(1/D23)-1,0)</f>
        <v>0.000174704158052652</v>
      </c>
    </row>
    <row r="28" customFormat="false" ht="16.5" hidden="false" customHeight="true" outlineLevel="0" collapsed="false">
      <c r="A28" s="15" t="s">
        <v>1095</v>
      </c>
      <c r="B28" s="15"/>
      <c r="C28" s="15"/>
      <c r="D28" s="15"/>
      <c r="E28" s="15"/>
      <c r="F28" s="15"/>
    </row>
    <row r="29" customFormat="false" ht="33.75" hidden="false" customHeight="true" outlineLevel="0" collapsed="false">
      <c r="A29" s="18" t="s">
        <v>1096</v>
      </c>
      <c r="B29" s="138" t="s">
        <v>1097</v>
      </c>
      <c r="C29" s="138"/>
      <c r="D29" s="138"/>
      <c r="E29" s="138"/>
      <c r="F29" s="138"/>
    </row>
    <row r="30" customFormat="false" ht="33.75" hidden="false" customHeight="true" outlineLevel="0" collapsed="false">
      <c r="A30" s="18" t="s">
        <v>1098</v>
      </c>
      <c r="B30" s="138" t="s">
        <v>1099</v>
      </c>
      <c r="C30" s="138"/>
      <c r="D30" s="138"/>
      <c r="E30" s="138"/>
      <c r="F30" s="138"/>
    </row>
    <row r="31" customFormat="false" ht="33.75" hidden="false" customHeight="true" outlineLevel="0" collapsed="false">
      <c r="A31" s="18" t="s">
        <v>1100</v>
      </c>
      <c r="B31" s="138" t="s">
        <v>1101</v>
      </c>
      <c r="C31" s="138"/>
      <c r="D31" s="138"/>
      <c r="E31" s="138"/>
      <c r="F31" s="138"/>
    </row>
    <row r="32" customFormat="false" ht="33.75" hidden="false" customHeight="true" outlineLevel="0" collapsed="false">
      <c r="A32" s="18" t="s">
        <v>1102</v>
      </c>
      <c r="B32" s="138" t="s">
        <v>1103</v>
      </c>
      <c r="C32" s="138"/>
      <c r="D32" s="138"/>
      <c r="E32" s="138"/>
      <c r="F32" s="138"/>
    </row>
    <row r="33" customFormat="false" ht="33.75" hidden="false" customHeight="true" outlineLevel="0" collapsed="false">
      <c r="A33" s="18" t="s">
        <v>1104</v>
      </c>
      <c r="B33" s="138" t="s">
        <v>1105</v>
      </c>
      <c r="C33" s="138"/>
      <c r="D33" s="138"/>
      <c r="E33" s="138"/>
      <c r="F33" s="138"/>
    </row>
  </sheetData>
  <mergeCells count="5">
    <mergeCell ref="B29:F29"/>
    <mergeCell ref="B30:F30"/>
    <mergeCell ref="B31:F31"/>
    <mergeCell ref="B32:F32"/>
    <mergeCell ref="B33:F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2026-10-20T10:35:42Z</dcterms:created>
  <dc:creator>openpyxl</dc:creator>
  <dc:description/>
  <dc:language>en-US</dc:language>
  <cp:lastModifiedBy/>
  <dcterms:modified xsi:type="dcterms:W3CDTF">2026-10-20T10:35:48Z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