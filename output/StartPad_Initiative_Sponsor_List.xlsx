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INVITATION LIST" sheetId="2" state="visible" r:id="rId2"/>
    <sheet xmlns:r="http://schemas.openxmlformats.org/officeDocument/2006/relationships" name="PACKAGES" sheetId="3" state="visible" r:id="rId3"/>
    <sheet xmlns:r="http://schemas.openxmlformats.org/officeDocument/2006/relationships" name="IN-KIND MENU" sheetId="4" state="visible" r:id="rId4"/>
    <sheet xmlns:r="http://schemas.openxmlformats.org/officeDocument/2006/relationships" name="WHY THEY JOIN" sheetId="5" state="visible" r:id="rId5"/>
    <sheet xmlns:r="http://schemas.openxmlformats.org/officeDocument/2006/relationships" name="THE NUMBERS" sheetId="6" state="visible" r:id="rId6"/>
    <sheet xmlns:r="http://schemas.openxmlformats.org/officeDocument/2006/relationships" name="THE SIX MONTHS" sheetId="7" state="visible" r:id="rId7"/>
    <sheet xmlns:r="http://schemas.openxmlformats.org/officeDocument/2006/relationships" name="COVERAGE" sheetId="8" state="visible" r:id="rId8"/>
  </sheets>
  <definedNames>
    <definedName name="_xlnm._FilterDatabase" localSheetId="1" hidden="1">'INVITATION LIST'!$A$1:$V$104</definedName>
  </definedNames>
  <calcPr calcId="124519" fullCalcOnLoad="1"/>
</workbook>
</file>

<file path=xl/styles.xml><?xml version="1.0" encoding="utf-8"?>
<styleSheet xmlns="http://schemas.openxmlformats.org/spreadsheetml/2006/main">
  <numFmts count="2">
    <numFmt numFmtId="164" formatCode="&quot;$&quot;#,##0.00"/>
    <numFmt numFmtId="165" formatCode="0.0x"/>
  </numFmts>
  <fonts count="18">
    <font>
      <name val="Calibri"/>
      <family val="2"/>
      <color theme="1"/>
      <sz val="11"/>
      <scheme val="minor"/>
    </font>
    <font>
      <b val="1"/>
      <color rgb="00FFFFFF"/>
      <sz val="15"/>
    </font>
    <font>
      <i val="1"/>
      <color rgb="0016211E"/>
      <sz val="10"/>
    </font>
    <font>
      <b val="1"/>
      <color rgb="000F5C4B"/>
      <sz val="11"/>
    </font>
    <font>
      <b val="1"/>
      <color rgb="0016211E"/>
      <sz val="10"/>
    </font>
    <font>
      <b val="1"/>
      <color rgb="00FFFFFF"/>
      <sz val="10"/>
    </font>
    <font>
      <sz val="10"/>
    </font>
    <font>
      <b val="1"/>
      <color rgb="00FFFFFF"/>
      <sz val="9.5"/>
    </font>
    <font>
      <b val="1"/>
      <color rgb="000F5C4B"/>
      <sz val="10"/>
    </font>
    <font>
      <color rgb="006B7A74"/>
      <sz val="10"/>
    </font>
    <font>
      <b val="1"/>
      <color rgb="00B4531C"/>
      <sz val="10"/>
    </font>
    <font>
      <b val="1"/>
      <color rgb="008A6E3C"/>
      <sz val="10"/>
    </font>
    <font>
      <b val="1"/>
      <color rgb="00FFFFFF"/>
      <sz val="12"/>
    </font>
    <font>
      <i val="1"/>
      <color rgb="00FFFFFF"/>
      <sz val="9.5"/>
    </font>
    <font>
      <color rgb="006B7A74"/>
      <sz val="8.5"/>
    </font>
    <font>
      <b val="1"/>
      <sz val="10"/>
    </font>
    <font>
      <color rgb="003A4050"/>
      <sz val="9.5"/>
    </font>
    <font>
      <i val="1"/>
      <color rgb="006B7A74"/>
      <sz val="9.5"/>
    </font>
  </fonts>
  <fills count="9">
    <fill>
      <patternFill/>
    </fill>
    <fill>
      <patternFill patternType="gray125"/>
    </fill>
    <fill>
      <patternFill patternType="solid">
        <fgColor rgb="000F5C4B"/>
      </patternFill>
    </fill>
    <fill>
      <patternFill patternType="solid">
        <fgColor rgb="00ECF0EE"/>
      </patternFill>
    </fill>
    <fill>
      <patternFill patternType="solid">
        <fgColor rgb="002E6F5E"/>
      </patternFill>
    </fill>
    <fill>
      <patternFill patternType="solid">
        <fgColor rgb="00D7EBE3"/>
      </patternFill>
    </fill>
    <fill>
      <patternFill patternType="solid">
        <fgColor rgb="00F7DDD3"/>
      </patternFill>
    </fill>
    <fill>
      <patternFill patternType="solid">
        <fgColor rgb="00F5EAD5"/>
      </patternFill>
    </fill>
    <fill>
      <patternFill patternType="solid">
        <fgColor rgb="007FA99B"/>
      </patternFill>
    </fill>
  </fills>
  <borders count="2">
    <border>
      <left/>
      <right/>
      <top/>
      <bottom/>
      <diagonal/>
    </border>
    <border>
      <left style="thin">
        <color rgb="00D9E2DE"/>
      </left>
      <right style="thin">
        <color rgb="00D9E2DE"/>
      </right>
      <top style="thin">
        <color rgb="00D9E2DE"/>
      </top>
      <bottom style="thin">
        <color rgb="00D9E2DE"/>
      </bottom>
    </border>
  </borders>
  <cellStyleXfs count="1">
    <xf numFmtId="0" fontId="0" fillId="0" borderId="0"/>
  </cellStyleXfs>
  <cellXfs count="54">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vertical="center" wrapText="1" indent="1"/>
    </xf>
    <xf numFmtId="0" fontId="7" fillId="2" borderId="1" applyAlignment="1" pivotButton="0" quotePrefix="0" xfId="0">
      <alignment vertical="top" wrapText="1" indent="1"/>
    </xf>
    <xf numFmtId="0" fontId="8" fillId="0" borderId="1" applyAlignment="1" pivotButton="0" quotePrefix="0" xfId="0">
      <alignment vertical="top" wrapText="1" indent="1"/>
    </xf>
    <xf numFmtId="0" fontId="4" fillId="0" borderId="1" applyAlignment="1" pivotButton="0" quotePrefix="0" xfId="0">
      <alignment vertical="top" wrapText="1" indent="1"/>
    </xf>
    <xf numFmtId="0" fontId="6" fillId="0" borderId="1" applyAlignment="1" pivotButton="0" quotePrefix="0" xfId="0">
      <alignment vertical="top" wrapText="1" indent="1"/>
    </xf>
    <xf numFmtId="0" fontId="4" fillId="0" borderId="1" applyAlignment="1" pivotButton="0" quotePrefix="0" xfId="0">
      <alignment horizontal="center" vertical="top"/>
    </xf>
    <xf numFmtId="0" fontId="8" fillId="5" borderId="1" applyAlignment="1" pivotButton="0" quotePrefix="0" xfId="0">
      <alignment horizontal="center" vertical="top"/>
    </xf>
    <xf numFmtId="0" fontId="9" fillId="3" borderId="1" applyAlignment="1" pivotButton="0" quotePrefix="0" xfId="0">
      <alignment vertical="top" wrapText="1" indent="1"/>
    </xf>
    <xf numFmtId="0" fontId="0" fillId="3" borderId="1" applyAlignment="1" pivotButton="0" quotePrefix="0" xfId="0">
      <alignment vertical="top" wrapText="1" indent="1"/>
    </xf>
    <xf numFmtId="3" fontId="0" fillId="3" borderId="1" applyAlignment="1" pivotButton="0" quotePrefix="0" xfId="0">
      <alignment vertical="top" wrapText="1" indent="1"/>
    </xf>
    <xf numFmtId="0" fontId="10" fillId="6" borderId="1" applyAlignment="1" pivotButton="0" quotePrefix="0" xfId="0">
      <alignment horizontal="center" vertical="top"/>
    </xf>
    <xf numFmtId="0" fontId="11" fillId="7" borderId="1" applyAlignment="1" pivotButton="0" quotePrefix="0" xfId="0">
      <alignment horizontal="center" vertical="top"/>
    </xf>
    <xf numFmtId="0" fontId="6" fillId="0" borderId="1" applyAlignment="1" pivotButton="0" quotePrefix="0" xfId="0">
      <alignment horizontal="right" vertical="top" wrapText="1"/>
    </xf>
    <xf numFmtId="0" fontId="7" fillId="4" borderId="1" applyAlignment="1" pivotButton="0" quotePrefix="0" xfId="0">
      <alignment vertical="top" wrapText="1" indent="1"/>
    </xf>
    <xf numFmtId="0" fontId="7" fillId="8" borderId="1" applyAlignment="1" pivotButton="0" quotePrefix="0" xfId="0">
      <alignment vertical="top" wrapText="1" indent="1"/>
    </xf>
    <xf numFmtId="0" fontId="12" fillId="2" borderId="0" applyAlignment="1" pivotButton="0" quotePrefix="0" xfId="0">
      <alignment vertical="center" indent="1"/>
    </xf>
    <xf numFmtId="0" fontId="12" fillId="2" borderId="0" applyAlignment="1" pivotButton="0" quotePrefix="0" xfId="0">
      <alignment horizontal="center" vertical="center"/>
    </xf>
    <xf numFmtId="0" fontId="7" fillId="2" borderId="0" applyAlignment="1" pivotButton="0" quotePrefix="0" xfId="0">
      <alignment horizontal="center" vertical="center"/>
    </xf>
    <xf numFmtId="0" fontId="13" fillId="2" borderId="0" applyAlignment="1" pivotButton="0" quotePrefix="0" xfId="0">
      <alignment vertical="center" wrapText="1" indent="1"/>
    </xf>
    <xf numFmtId="0" fontId="14" fillId="0" borderId="0" applyAlignment="1" pivotButton="0" quotePrefix="0" xfId="0">
      <alignment vertical="top" wrapText="1" indent="1"/>
    </xf>
    <xf numFmtId="0" fontId="0" fillId="3" borderId="1" pivotButton="0" quotePrefix="0" xfId="0"/>
    <xf numFmtId="0" fontId="2" fillId="0" borderId="0" applyAlignment="1" pivotButton="0" quotePrefix="0" xfId="0">
      <alignment vertical="top" wrapText="1"/>
    </xf>
    <xf numFmtId="0" fontId="15" fillId="0" borderId="1" applyAlignment="1" pivotButton="0" quotePrefix="0" xfId="0">
      <alignment vertical="top" wrapText="1" indent="1"/>
    </xf>
    <xf numFmtId="3" fontId="0" fillId="0" borderId="1" applyAlignment="1" pivotButton="0" quotePrefix="0" xfId="0">
      <alignment horizontal="center"/>
    </xf>
    <xf numFmtId="9" fontId="0" fillId="0" borderId="1" applyAlignment="1" pivotButton="0" quotePrefix="0" xfId="0">
      <alignment horizontal="center"/>
    </xf>
    <xf numFmtId="0" fontId="16" fillId="0" borderId="1" applyAlignment="1" pivotButton="0" quotePrefix="0" xfId="0">
      <alignment vertical="top" wrapText="1" indent="1"/>
    </xf>
    <xf numFmtId="0" fontId="5" fillId="2" borderId="0" applyAlignment="1" pivotButton="0" quotePrefix="0" xfId="0">
      <alignment indent="1"/>
    </xf>
    <xf numFmtId="0" fontId="0" fillId="2" borderId="0" pivotButton="0" quotePrefix="0" xfId="0"/>
    <xf numFmtId="3" fontId="5" fillId="2" borderId="0" applyAlignment="1" pivotButton="0" quotePrefix="0" xfId="0">
      <alignment horizontal="center"/>
    </xf>
    <xf numFmtId="0" fontId="15" fillId="0" borderId="0" pivotButton="0" quotePrefix="0" xfId="0"/>
    <xf numFmtId="3" fontId="3" fillId="3" borderId="1" applyAlignment="1" pivotButton="0" quotePrefix="0" xfId="0">
      <alignment horizontal="center"/>
    </xf>
    <xf numFmtId="0" fontId="16" fillId="0" borderId="0" applyAlignment="1" pivotButton="0" quotePrefix="0" xfId="0">
      <alignment vertical="top" wrapText="1" indent="1"/>
    </xf>
    <xf numFmtId="0" fontId="6" fillId="0" borderId="0" pivotButton="0" quotePrefix="0" xfId="0"/>
    <xf numFmtId="3" fontId="0" fillId="0" borderId="0" pivotButton="0" quotePrefix="0" xfId="0"/>
    <xf numFmtId="3" fontId="3" fillId="0" borderId="0" pivotButton="0" quotePrefix="0" xfId="0"/>
    <xf numFmtId="164" fontId="8" fillId="0" borderId="1" applyAlignment="1" pivotButton="0" quotePrefix="0" xfId="0">
      <alignment horizontal="center"/>
    </xf>
    <xf numFmtId="0" fontId="17" fillId="0" borderId="0" applyAlignment="1" pivotButton="0" quotePrefix="0" xfId="0">
      <alignment vertical="top" wrapText="1"/>
    </xf>
    <xf numFmtId="0" fontId="8" fillId="0" borderId="0" pivotButton="0" quotePrefix="0" xfId="0"/>
    <xf numFmtId="0" fontId="15"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indent="1"/>
    </xf>
    <xf numFmtId="0" fontId="6" fillId="0" borderId="0" applyAlignment="1" pivotButton="0" quotePrefix="0" xfId="0">
      <alignment vertical="top" wrapText="1" indent="1"/>
    </xf>
    <xf numFmtId="0" fontId="15" fillId="0" borderId="1" pivotButton="0" quotePrefix="0" xfId="0"/>
    <xf numFmtId="0" fontId="0" fillId="0" borderId="1" applyAlignment="1" pivotButton="0" quotePrefix="0" xfId="0">
      <alignment horizontal="center"/>
    </xf>
    <xf numFmtId="165" fontId="0" fillId="0" borderId="1" applyAlignment="1" pivotButton="0" quotePrefix="0" xfId="0">
      <alignment horizontal="center"/>
    </xf>
    <xf numFmtId="0" fontId="10" fillId="6" borderId="1" applyAlignment="1" pivotButton="0" quotePrefix="0" xfId="0">
      <alignment horizontal="center"/>
    </xf>
    <xf numFmtId="165" fontId="10" fillId="6" borderId="1" applyAlignment="1" pivotButton="0" quotePrefix="0" xfId="0">
      <alignment horizontal="center"/>
    </xf>
    <xf numFmtId="3" fontId="5"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30" customWidth="1" min="2" max="2"/>
    <col width="108" customWidth="1" min="3" max="3"/>
  </cols>
  <sheetData>
    <row r="1" ht="28" customHeight="1">
      <c r="A1" s="1" t="inlineStr">
        <is>
          <t>One Million First-Time Founders: who to invite, and as what</t>
        </is>
      </c>
    </row>
    <row r="2" ht="19" customHeight="1">
      <c r="A2" s="2" t="inlineStr">
        <is>
          <t>103 organisations in three roles. Wave 1, March to August 2027.</t>
        </is>
      </c>
    </row>
    <row r="4">
      <c r="B4" s="3" t="inlineStr">
        <is>
          <t>WHAT THIS IS</t>
        </is>
      </c>
    </row>
    <row r="5" ht="52" customHeight="1">
      <c r="C5" s="4" t="inlineStr">
        <is>
          <t>The invitation list for one named initiative, cut from the wider prospect registry in StartPad_Egypt_CSR_NGO_Prospects.xlsx. That file asks who in Egypt could fund entrepreneurship work at all. This one asks who we invite to sponsor One Million First-Time Founders, in which of three roles, for what contribution, and what they get back.</t>
        </is>
      </c>
    </row>
    <row r="6" ht="26" customHeight="1">
      <c r="C6" s="4" t="inlineStr">
        <is>
          <t>The framework document is the companion to this file: StartPad_Initiative_Framework.docx. Send the framework, work the list.</t>
        </is>
      </c>
    </row>
    <row r="8">
      <c r="B8" s="3" t="inlineStr">
        <is>
          <t>THE THREE ROLES</t>
        </is>
      </c>
    </row>
    <row r="9" ht="65" customHeight="1">
      <c r="B9" s="5" t="inlineStr">
        <is>
          <t>CSR sponsor (55)</t>
        </is>
      </c>
      <c r="C9" s="4" t="inlineStr">
        <is>
          <t>Corporates with a CSR, sustainability or community investment budget, and the corporate and family foundations attached to them.  GIVES: Cash sponsorship at one of the tiers, in-kind support from the menu, and employee mentors and judges.  GETS: Named association with a national initiative, a reporting pack that survives audit, a pre-qualified venture pipeline, and the quarterly read on what young Egyptians are actually trying to build.</t>
        </is>
      </c>
    </row>
    <row r="10" ht="65" customHeight="1">
      <c r="B10" s="5" t="inlineStr">
        <is>
          <t>NGO and development partner (37)</t>
        </is>
      </c>
      <c r="C10" s="4" t="inlineStr">
        <is>
          <t>Egyptian and international NGOs, philanthropic foundations, development agencies and UN agencies working on youth, livelihoods, employment or education.  GIVES: Reach into their own beneficiary networks and governorates, staff time, venues, co-funding where they hold a relevant budget, and co-applicant status on joint proposals.  GETS: The method and the facilitator certification for their own staff, which they keep afterwards, a measured evidence base for their next donor proposal, and access to the sponsor coalition.</t>
        </is>
      </c>
    </row>
    <row r="11" ht="65" customHeight="1">
      <c r="B11" s="5" t="inlineStr">
        <is>
          <t>Community supporter (11)</t>
        </is>
      </c>
      <c r="C11" s="4" t="inlineStr">
        <is>
          <t>Youth foundations and student organisations with members on campuses: Enactus, INJAZ, AIESEC, JCI, Hult Prize chapters, technical student branches and the youth volunteer networks.  GIVES: Their students and members, their chapters as local hosts, and their leadership as certified facilitators.  GETS: The full programme free for every member, a credential their leadership keeps after their term ends, a national stage at the showcase, better-prepared teams for their own competitions, and their own chapter's data.</t>
        </is>
      </c>
    </row>
    <row r="13">
      <c r="B13" s="3" t="inlineStr">
        <is>
          <t>WHO IS NOT ON THIS LIST, AND WHY</t>
        </is>
      </c>
    </row>
    <row r="14" ht="39" customHeight="1">
      <c r="B14" s="5" t="inlineStr">
        <is>
          <t>Government initiative and public agency</t>
        </is>
      </c>
      <c r="C14" s="4" t="inlineStr">
        <is>
          <t>Patron and endorsement layer. A ministry or national initiative that lends its name, opens its institutions and counts the participants towards its own target is worth more than its budget, and asking it for money slows everything down.</t>
        </is>
      </c>
    </row>
    <row r="15" ht="26" customHeight="1">
      <c r="B15" s="5" t="inlineStr">
        <is>
          <t>Chamber, business association and network</t>
        </is>
      </c>
      <c r="C15" s="4" t="inlineStr">
        <is>
          <t>Channel, not sponsor. One CSR committee meeting reaches thirty of the organisations on the invitation list.</t>
        </is>
      </c>
    </row>
    <row r="17">
      <c r="B17" s="3" t="inlineStr">
        <is>
          <t>THE NUMBER THIS LIST HAS TO PRODUCE</t>
        </is>
      </c>
    </row>
    <row r="18" ht="26" customHeight="1">
      <c r="C18" s="4" t="inlineStr">
        <is>
          <t>Full coalition value if every capped slot sells: $1,440,000. The wave is planned at 50% fill, which is $720,000, and that is the budget the funnel in the framework is quoted at.</t>
        </is>
      </c>
    </row>
    <row r="19" ht="26" customHeight="1">
      <c r="C19" s="4" t="inlineStr">
        <is>
          <t>At that budget the wave reaches 1,200,000 people, registers 198,000 first-time founders, puts 19,393 of them through all fifteen missions, and leaves 71,359 ideas in the bank.</t>
        </is>
      </c>
    </row>
    <row r="20" ht="26" customHeight="1">
      <c r="C20" s="4" t="inlineStr">
        <is>
          <t>The million is not a six-month number. The framework says so in the arithmetic, and so should anyone using this list.</t>
        </is>
      </c>
    </row>
    <row r="22">
      <c r="B22" s="3" t="inlineStr">
        <is>
          <t>HOW TO WORK IT</t>
        </is>
      </c>
    </row>
    <row r="23" ht="26" customHeight="1">
      <c r="C23" s="4" t="inlineStr">
        <is>
          <t>Founding Partners first, and do not announce until three have signed. A coalition with nobody in it is a hard sell; a coalition with three recognisable names in it sells itself to the next twenty.</t>
        </is>
      </c>
    </row>
    <row r="24" ht="26" customHeight="1">
      <c r="C24" s="4" t="inlineStr">
        <is>
          <t>Community supporters second, and before the summer, because student leadership turns over in July and August. They cost nothing and they are the highest converting reach in the whole plan.</t>
        </is>
      </c>
    </row>
    <row r="25" ht="26" customHeight="1">
      <c r="C25" s="4" t="inlineStr">
        <is>
          <t>NGO and development partners third. They bring reach and governorates rather than money, and several of them will want to co-apply for donor funding, which is a slower and larger conversation than sponsorship.</t>
        </is>
      </c>
    </row>
    <row r="27">
      <c r="B27" s="3" t="inlineStr">
        <is>
          <t>THE COLUMNS YOU FILL IN</t>
        </is>
      </c>
    </row>
    <row r="28" ht="26" customHeight="1">
      <c r="C28" s="4" t="inlineStr">
        <is>
          <t>Stage, owner, pledged amount, next action, next date and notes. Pledged amount is what makes the COVERAGE sheet mean anything, so fill it in even when it is a guess.</t>
        </is>
      </c>
    </row>
    <row r="30">
      <c r="B30" s="3" t="inlineStr">
        <is>
          <t>CONFIDENCE, UNCHANGED FROM THE REGISTRY</t>
        </is>
      </c>
    </row>
    <row r="31" ht="15" customHeight="1">
      <c r="B31" s="5" t="inlineStr">
        <is>
          <t>high</t>
        </is>
      </c>
      <c r="C31" s="4" t="inlineStr">
        <is>
          <t>Organisation and focus confirmed in published sources.</t>
        </is>
      </c>
    </row>
    <row r="32" ht="15" customHeight="1">
      <c r="B32" s="5" t="inlineStr">
        <is>
          <t>medium</t>
        </is>
      </c>
      <c r="C32" s="4" t="inlineStr">
        <is>
          <t>Established organisation; the specific programme or route changes between cycles and must be re-checked.</t>
        </is>
      </c>
    </row>
    <row r="33" ht="15" customHeight="1">
      <c r="B33" s="5" t="inlineStr">
        <is>
          <t>low</t>
        </is>
      </c>
      <c r="C33" s="4" t="inlineStr">
        <is>
          <t>A reasoned prospect. Verify before spending a meeting.</t>
        </is>
      </c>
    </row>
    <row r="34" ht="26" customHeight="1">
      <c r="C34" s="4" t="inlineStr">
        <is>
          <t>No individual's name, email address or phone number appears anywhere in this file, for the same reason as in the registry: a stale contact burns the introduction.</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34" customWidth="1" min="3" max="3"/>
    <col width="20" customWidth="1" min="4" max="4"/>
    <col width="22" customWidth="1" min="5" max="5"/>
    <col width="22" customWidth="1" min="6" max="6"/>
    <col width="28" customWidth="1" min="7" max="7"/>
    <col width="50" customWidth="1" min="8" max="8"/>
    <col width="52" customWidth="1" min="9" max="9"/>
    <col width="44" customWidth="1" min="10" max="10"/>
    <col width="34" customWidth="1" min="11" max="11"/>
    <col width="48" customWidth="1" min="12" max="12"/>
    <col width="30" customWidth="1" min="13" max="13"/>
    <col width="9" customWidth="1" min="14" max="14"/>
    <col width="11" customWidth="1" min="15" max="15"/>
    <col width="44" customWidth="1" min="16" max="16"/>
    <col width="16" customWidth="1" min="17" max="17"/>
    <col width="14" customWidth="1" min="18" max="18"/>
    <col width="13" customWidth="1" min="19" max="19"/>
    <col width="30" customWidth="1" min="20" max="20"/>
    <col width="13" customWidth="1" min="21" max="21"/>
    <col width="34" customWidth="1" min="22" max="22"/>
  </cols>
  <sheetData>
    <row r="1" ht="32" customHeight="1">
      <c r="A1" s="6" t="inlineStr">
        <is>
          <t>Role</t>
        </is>
      </c>
      <c r="B1" s="6" t="inlineStr">
        <is>
          <t>Invite at</t>
        </is>
      </c>
      <c r="C1" s="6" t="inlineStr">
        <is>
          <t>Organisation</t>
        </is>
      </c>
      <c r="D1" s="6" t="inlineStr">
        <is>
          <t>Arabic name</t>
        </is>
      </c>
      <c r="E1" s="6" t="inlineStr">
        <is>
          <t>Sector</t>
        </is>
      </c>
      <c r="F1" s="6" t="inlineStr">
        <is>
          <t>Reach</t>
        </is>
      </c>
      <c r="G1" s="6" t="inlineStr">
        <is>
          <t>What we ask them for</t>
        </is>
      </c>
      <c r="H1" s="6" t="inlineStr">
        <is>
          <t>What they get</t>
        </is>
      </c>
      <c r="I1" s="6" t="inlineStr">
        <is>
          <t>What they already fund</t>
        </is>
      </c>
      <c r="J1" s="6" t="inlineStr">
        <is>
          <t>What they are looking for</t>
        </is>
      </c>
      <c r="K1" s="6" t="inlineStr">
        <is>
          <t>Who decides</t>
        </is>
      </c>
      <c r="L1" s="6" t="inlineStr">
        <is>
          <t>How to reach them</t>
        </is>
      </c>
      <c r="M1" s="6" t="inlineStr">
        <is>
          <t>When to approach</t>
        </is>
      </c>
      <c r="N1" s="6" t="inlineStr">
        <is>
          <t>Priority</t>
        </is>
      </c>
      <c r="O1" s="6" t="inlineStr">
        <is>
          <t>Confidence</t>
        </is>
      </c>
      <c r="P1" s="6" t="inlineStr">
        <is>
          <t>Verify before quoting</t>
        </is>
      </c>
      <c r="Q1" s="6" t="inlineStr">
        <is>
          <t>Stage</t>
        </is>
      </c>
      <c r="R1" s="6" t="inlineStr">
        <is>
          <t>Owner</t>
        </is>
      </c>
      <c r="S1" s="6" t="inlineStr">
        <is>
          <t>Pledged USD</t>
        </is>
      </c>
      <c r="T1" s="6" t="inlineStr">
        <is>
          <t>Next action</t>
        </is>
      </c>
      <c r="U1" s="6" t="inlineStr">
        <is>
          <t>Next date</t>
        </is>
      </c>
      <c r="V1" s="6" t="inlineStr">
        <is>
          <t>Notes</t>
        </is>
      </c>
    </row>
    <row r="2" ht="73.19999999999999" customHeight="1">
      <c r="A2" s="7" t="inlineStr">
        <is>
          <t>CSR sponsor</t>
        </is>
      </c>
      <c r="B2" s="8" t="inlineStr">
        <is>
          <t>Founding Partner</t>
        </is>
      </c>
      <c r="C2" s="9" t="inlineStr">
        <is>
          <t>Banque Misr</t>
        </is>
      </c>
      <c r="D2" s="10" t="inlineStr"/>
      <c r="E2" s="10" t="inlineStr">
        <is>
          <t>Banking, state-owned</t>
        </is>
      </c>
      <c r="F2" s="10" t="inlineStr">
        <is>
          <t>National</t>
        </is>
      </c>
      <c r="G2" s="10" t="inlineStr">
        <is>
          <t>Cash, in-kind, mentors</t>
        </is>
      </c>
      <c r="H2" s="10" t="inlineStr">
        <is>
          <t>A named tier in the coalition: a governorate, a sector or one of the fifteen missions under their name, with the direction report and the closing report.</t>
        </is>
      </c>
      <c r="I2" s="10" t="inlineStr">
        <is>
          <t>Four ESG pillars reported under the Global Reporting Initiative, with an inclusive society pillar covering youth and community programmes. Long-running entrepreneurship support through its innovation arm.</t>
        </is>
      </c>
      <c r="J2" s="10" t="inlineStr">
        <is>
          <t>Reportable inclusive-society numbers, SME formalisation, and alignment with the Central Bank's sustainable finance principles.</t>
        </is>
      </c>
      <c r="K2" s="10" t="inlineStr">
        <is>
          <t>Head of sustainability or responsible banking, with the SME and innovation unit as co-sponsor</t>
        </is>
      </c>
      <c r="L2" s="10" t="inlineStr">
        <is>
          <t>The sustainability team is reachable through the responsible banking pages. NilePreneurs and the Central Bank network are the warm routes.</t>
        </is>
      </c>
      <c r="M2" s="10" t="inlineStr">
        <is>
          <t>Calendar year, with the GRI report cycle driving demand for attributable numbers in the fourth quarter.</t>
        </is>
      </c>
      <c r="N2" s="11" t="inlineStr">
        <is>
          <t>A</t>
        </is>
      </c>
      <c r="O2" s="12" t="inlineStr">
        <is>
          <t>high</t>
        </is>
      </c>
      <c r="P2" s="10" t="inlineStr">
        <is>
          <t>Confirmed this session: first state-owned bank to publish an annual GRI sustainability report for six consecutive years, organised around four ESG pillars including inclusive society.</t>
        </is>
      </c>
      <c r="Q2" s="13" t="inlineStr">
        <is>
          <t>Not invited</t>
        </is>
      </c>
      <c r="R2" s="14" t="n"/>
      <c r="S2" s="15" t="n"/>
      <c r="T2" s="14" t="n"/>
      <c r="U2" s="14" t="n"/>
      <c r="V2" s="14" t="n"/>
    </row>
    <row r="3" ht="73.19999999999999" customHeight="1">
      <c r="A3" s="7" t="inlineStr">
        <is>
          <t>CSR sponsor</t>
        </is>
      </c>
      <c r="B3" s="8" t="inlineStr">
        <is>
          <t>Founding Partner</t>
        </is>
      </c>
      <c r="C3" s="9" t="inlineStr">
        <is>
          <t>National Bank of Egypt (NBE)</t>
        </is>
      </c>
      <c r="D3" s="10" t="inlineStr"/>
      <c r="E3" s="10" t="inlineStr">
        <is>
          <t>Banking, state-owned</t>
        </is>
      </c>
      <c r="F3" s="10" t="inlineStr">
        <is>
          <t>National</t>
        </is>
      </c>
      <c r="G3" s="10" t="inlineStr">
        <is>
          <t>Cash, in-kind, mentors</t>
        </is>
      </c>
      <c r="H3" s="10" t="inlineStr">
        <is>
          <t>A named tier in the coalition: a governorate, a sector or one of the fifteen missions under their name, with the direction report and the closing report.</t>
        </is>
      </c>
      <c r="I3" s="10" t="inlineStr">
        <is>
          <t>The largest CSR budget in Egyptian banking. Education, health, youth and national initiative support, plus direct sponsorship of student entrepreneurship competitions.</t>
        </is>
      </c>
      <c r="J3" s="10" t="inlineStr">
        <is>
          <t>National reach, visible association with youth achievement, and alignment with state priorities.</t>
        </is>
      </c>
      <c r="K3" s="10" t="inlineStr">
        <is>
          <t>General manager for corporate social responsibility, under the chairman's office</t>
        </is>
      </c>
      <c r="L3" s="10" t="inlineStr">
        <is>
          <t>Enactus Egypt can introduce, having the sponsorship relationship already. Rowad 2030 is the other credible referrer.</t>
        </is>
      </c>
      <c r="M3" s="10" t="inlineStr">
        <is>
          <t>State-linked budgeting with the academic year driving competition timing. Approach by August for the following academic year.</t>
        </is>
      </c>
      <c r="N3" s="11" t="inlineStr">
        <is>
          <t>A</t>
        </is>
      </c>
      <c r="O3" s="12" t="inlineStr">
        <is>
          <t>high</t>
        </is>
      </c>
      <c r="P3" s="10" t="inlineStr">
        <is>
          <t>Confirmed this session: NBE took part in the Enactus Egypt local finals for the 2025/2026 academic year.</t>
        </is>
      </c>
      <c r="Q3" s="13" t="inlineStr">
        <is>
          <t>Not invited</t>
        </is>
      </c>
      <c r="R3" s="14" t="n"/>
      <c r="S3" s="15" t="n"/>
      <c r="T3" s="14" t="n"/>
      <c r="U3" s="14" t="n"/>
      <c r="V3" s="14" t="n"/>
    </row>
    <row r="4" ht="61" customHeight="1">
      <c r="A4" s="7" t="inlineStr">
        <is>
          <t>CSR sponsor</t>
        </is>
      </c>
      <c r="B4" s="8" t="inlineStr">
        <is>
          <t>Founding Partner</t>
        </is>
      </c>
      <c r="C4" s="9" t="inlineStr">
        <is>
          <t>Eni Egypt (IEOC)</t>
        </is>
      </c>
      <c r="D4" s="10" t="inlineStr"/>
      <c r="E4" s="10" t="inlineStr">
        <is>
          <t>Oil and gas</t>
        </is>
      </c>
      <c r="F4" s="10" t="inlineStr">
        <is>
          <t>National, with Port Said and Mediterranean focus</t>
        </is>
      </c>
      <c r="G4" s="10" t="inlineStr">
        <is>
          <t>Cash, in-kind, mentors</t>
        </is>
      </c>
      <c r="H4" s="10" t="inlineStr">
        <is>
          <t>A named tier in the coalition: a governorate, a sector or one of the fifteen missions under their name, with the direction report and the closing report.</t>
        </is>
      </c>
      <c r="I4" s="10" t="inlineStr">
        <is>
          <t>Local development programmes negotiated with the state as part of its concession commitments, covering education, health and vocational training.</t>
        </is>
      </c>
      <c r="J4" s="10" t="inlineStr">
        <is>
          <t>Delivery against concession-linked development commitments, in the specific governorates named in them.</t>
        </is>
      </c>
      <c r="K4" s="10" t="inlineStr">
        <is>
          <t>Sustainability and local development manager</t>
        </is>
      </c>
      <c r="L4" s="10" t="inlineStr">
        <is>
          <t>Through the Ministry of Petroleum relationship or the existing vocational training implementer, not cold.</t>
        </is>
      </c>
      <c r="M4" s="10" t="inlineStr">
        <is>
          <t>Multi-year commitments reviewed annually.</t>
        </is>
      </c>
      <c r="N4" s="11" t="inlineStr">
        <is>
          <t>B</t>
        </is>
      </c>
      <c r="O4" s="16" t="inlineStr">
        <is>
          <t>low</t>
        </is>
      </c>
      <c r="P4" s="10" t="inlineStr">
        <is>
          <t>The commitment structure is real; whether an enterprise component can be added mid-cycle is unverified.</t>
        </is>
      </c>
      <c r="Q4" s="13" t="inlineStr">
        <is>
          <t>Not invited</t>
        </is>
      </c>
      <c r="R4" s="14" t="n"/>
      <c r="S4" s="15" t="n"/>
      <c r="T4" s="14" t="n"/>
      <c r="U4" s="14" t="n"/>
      <c r="V4" s="14" t="n"/>
    </row>
    <row r="5" ht="61" customHeight="1">
      <c r="A5" s="7" t="inlineStr">
        <is>
          <t>CSR sponsor</t>
        </is>
      </c>
      <c r="B5" s="8" t="inlineStr">
        <is>
          <t>Founding Partner</t>
        </is>
      </c>
      <c r="C5" s="9" t="inlineStr">
        <is>
          <t>Tahya Misr Fund (Long Live Egypt)</t>
        </is>
      </c>
      <c r="D5" s="10" t="inlineStr"/>
      <c r="E5" s="10" t="inlineStr">
        <is>
          <t>Sovereign-linked development fund</t>
        </is>
      </c>
      <c r="F5" s="10" t="inlineStr">
        <is>
          <t>National</t>
        </is>
      </c>
      <c r="G5" s="10" t="inlineStr">
        <is>
          <t>Cash, in-kind, mentors</t>
        </is>
      </c>
      <c r="H5" s="10" t="inlineStr">
        <is>
          <t>A named tier in the coalition: a governorate, a sector or one of the fifteen missions under their name, with the direction report and the closing report.</t>
        </is>
      </c>
      <c r="I5" s="10" t="inlineStr">
        <is>
          <t>A presidential development fund channelling corporate and individual donations into national development priorities, including youth, education and small enterprise.</t>
        </is>
      </c>
      <c r="J5" s="10" t="inlineStr">
        <is>
          <t>Visible delivery against national priorities, at scale, with governorate coverage.</t>
        </is>
      </c>
      <c r="K5" s="10" t="inlineStr">
        <is>
          <t>Fund secretariat, through a line ministry sponsor</t>
        </is>
      </c>
      <c r="L5" s="10" t="inlineStr">
        <is>
          <t>Not directly. Through a ministry or a major corporate donor who proposes the component.</t>
        </is>
      </c>
      <c r="M5" s="10" t="inlineStr">
        <is>
          <t>State fiscal year from July, and campaign-driven.</t>
        </is>
      </c>
      <c r="N5" s="11" t="inlineStr">
        <is>
          <t>B</t>
        </is>
      </c>
      <c r="O5" s="17" t="inlineStr">
        <is>
          <t>medium</t>
        </is>
      </c>
      <c r="P5" s="10" t="inlineStr">
        <is>
          <t>The fund's role is well established; whether an external training provider can be contracted into it is unverified and is the first question to ask.</t>
        </is>
      </c>
      <c r="Q5" s="13" t="inlineStr">
        <is>
          <t>Not invited</t>
        </is>
      </c>
      <c r="R5" s="14" t="n"/>
      <c r="S5" s="15" t="n"/>
      <c r="T5" s="14" t="n"/>
      <c r="U5" s="14" t="n"/>
      <c r="V5" s="14" t="n"/>
    </row>
    <row r="6" ht="61" customHeight="1">
      <c r="A6" s="7" t="inlineStr">
        <is>
          <t>CSR sponsor</t>
        </is>
      </c>
      <c r="B6" s="8" t="inlineStr">
        <is>
          <t>Founding Partner</t>
        </is>
      </c>
      <c r="C6" s="9" t="inlineStr">
        <is>
          <t>Google</t>
        </is>
      </c>
      <c r="D6" s="10" t="inlineStr"/>
      <c r="E6" s="10" t="inlineStr">
        <is>
          <t>Technology</t>
        </is>
      </c>
      <c r="F6" s="10" t="inlineStr">
        <is>
          <t>Regional, with Egypt coverage</t>
        </is>
      </c>
      <c r="G6" s="10" t="inlineStr">
        <is>
          <t>Cash, in-kind, mentors</t>
        </is>
      </c>
      <c r="H6" s="10" t="inlineStr">
        <is>
          <t>A named tier in the coalition: a governorate, a sector or one of the fifteen missions under their name, with the direction report and the closing report.</t>
        </is>
      </c>
      <c r="I6" s="10" t="inlineStr">
        <is>
          <t>Google.org grants, Hustle Academy and Google for Startups programmes across the Middle East and Africa.</t>
        </is>
      </c>
      <c r="J6" s="10" t="inlineStr">
        <is>
          <t>Scale, digital delivery, and evidence of outcomes rather than outputs.</t>
        </is>
      </c>
      <c r="K6" s="10" t="inlineStr">
        <is>
          <t>Google.org regional lead, via an open call rather than a named contact</t>
        </is>
      </c>
      <c r="L6" s="10" t="inlineStr">
        <is>
          <t>Open calls on google.org, plus the Google for Startups community in Cairo as the informal route to intelligence on timing.</t>
        </is>
      </c>
      <c r="M6" s="10" t="inlineStr">
        <is>
          <t>Open calls appear irregularly. Subscribe rather than chase.</t>
        </is>
      </c>
      <c r="N6" s="11" t="inlineStr">
        <is>
          <t>C</t>
        </is>
      </c>
      <c r="O6" s="17" t="inlineStr">
        <is>
          <t>medium</t>
        </is>
      </c>
      <c r="P6" s="10" t="inlineStr">
        <is>
          <t>Programmes exist regionally; Egypt eligibility and current calls must be checked at the time of applying.</t>
        </is>
      </c>
      <c r="Q6" s="13" t="inlineStr">
        <is>
          <t>Not invited</t>
        </is>
      </c>
      <c r="R6" s="14" t="n"/>
      <c r="S6" s="15" t="n"/>
      <c r="T6" s="14" t="n"/>
      <c r="U6" s="14" t="n"/>
      <c r="V6" s="14" t="n"/>
    </row>
    <row r="7" ht="73.19999999999999" customHeight="1">
      <c r="A7" s="7" t="inlineStr">
        <is>
          <t>CSR sponsor</t>
        </is>
      </c>
      <c r="B7" s="8" t="inlineStr">
        <is>
          <t>Founding Partner</t>
        </is>
      </c>
      <c r="C7" s="9" t="inlineStr">
        <is>
          <t>Mastercard and the Mastercard Foundation</t>
        </is>
      </c>
      <c r="D7" s="10" t="inlineStr"/>
      <c r="E7" s="10" t="inlineStr">
        <is>
          <t>Payments and philanthropy</t>
        </is>
      </c>
      <c r="F7" s="10" t="inlineStr">
        <is>
          <t>Africa-wide, Egypt coverage varies</t>
        </is>
      </c>
      <c r="G7" s="10" t="inlineStr">
        <is>
          <t>Cash, in-kind, mentors</t>
        </is>
      </c>
      <c r="H7" s="10" t="inlineStr">
        <is>
          <t>A named tier in the coalition: a governorate, a sector or one of the fifteen missions under their name, with the direction report and the closing report.</t>
        </is>
      </c>
      <c r="I7" s="10" t="inlineStr">
        <is>
          <t>Mastercard runs inclusive growth programmes; the Mastercard Foundation is a separate and very large funder of youth employment in Africa under Young Africa Works.</t>
        </is>
      </c>
      <c r="J7" s="10" t="inlineStr">
        <is>
          <t>Dignified work at country scale, measured in young people employed or self-employed, over multi-year horizons.</t>
        </is>
      </c>
      <c r="K7" s="10" t="inlineStr">
        <is>
          <t>Country director if Egypt is a partner country; otherwise the regional programme team</t>
        </is>
      </c>
      <c r="L7" s="10" t="inlineStr">
        <is>
          <t>Verify Egypt's status in their current country strategy before anything else. If it is active, route through an existing country partner.</t>
        </is>
      </c>
      <c r="M7" s="10" t="inlineStr">
        <is>
          <t>Multi-year strategy cycles, not annual budgets.</t>
        </is>
      </c>
      <c r="N7" s="11" t="inlineStr">
        <is>
          <t>C</t>
        </is>
      </c>
      <c r="O7" s="16" t="inlineStr">
        <is>
          <t>low</t>
        </is>
      </c>
      <c r="P7" s="10" t="inlineStr">
        <is>
          <t>Egypt's status in the foundation's country strategy is NOT confirmed here and historically their focus has been sub-Saharan. Check first. This row is a lottery ticket, not a plan.</t>
        </is>
      </c>
      <c r="Q7" s="13" t="inlineStr">
        <is>
          <t>Not invited</t>
        </is>
      </c>
      <c r="R7" s="14" t="n"/>
      <c r="S7" s="15" t="n"/>
      <c r="T7" s="14" t="n"/>
      <c r="U7" s="14" t="n"/>
      <c r="V7" s="14" t="n"/>
    </row>
    <row r="8" ht="97.59999999999999" customHeight="1">
      <c r="A8" s="7" t="inlineStr">
        <is>
          <t>CSR sponsor</t>
        </is>
      </c>
      <c r="B8" s="8" t="inlineStr">
        <is>
          <t>Lead Partner</t>
        </is>
      </c>
      <c r="C8" s="9" t="inlineStr">
        <is>
          <t>Commercial International Bank (CIB) and the CIB Foundation</t>
        </is>
      </c>
      <c r="D8" s="10" t="inlineStr"/>
      <c r="E8" s="10" t="inlineStr">
        <is>
          <t>Banking</t>
        </is>
      </c>
      <c r="F8" s="10" t="inlineStr">
        <is>
          <t>National</t>
        </is>
      </c>
      <c r="G8" s="10" t="inlineStr">
        <is>
          <t>Cash, in-kind, mentors</t>
        </is>
      </c>
      <c r="H8" s="10" t="inlineStr">
        <is>
          <t>A named tier in the coalition: a governorate, a sector or one of the fifteen missions under their name, with the direction report and the closing report.</t>
        </is>
      </c>
      <c r="I8" s="10" t="inlineStr">
        <is>
          <t>The CIB Foundation receives a fixed share of the bank's net annual profit and concentrates on child health and nutrition. The bank itself runs sustainable finance, SME banking and financial literacy under responsible banking, separately from the foundation.</t>
        </is>
      </c>
      <c r="J8" s="10" t="inlineStr">
        <is>
          <t>A pipeline of formalised, bankable small businesses, financial literacy numbers, and sustainable finance reporting content.</t>
        </is>
      </c>
      <c r="K8" s="10" t="inlineStr">
        <is>
          <t>Head of sustainable finance, and separately the head of SME banking. The foundation's director only if the ask becomes health adjacent, which it should not</t>
        </is>
      </c>
      <c r="L8" s="10" t="inlineStr">
        <is>
          <t>Do not route this through the foundation. Approach through SME banking or through the Central Bank's NilePreneurs network, where CIB is an active participant.</t>
        </is>
      </c>
      <c r="M8" s="10" t="inlineStr">
        <is>
          <t>Calendar year, with the sustainability report published in the first quarter and budget set in the fourth.</t>
        </is>
      </c>
      <c r="N8" s="11" t="inlineStr">
        <is>
          <t>A</t>
        </is>
      </c>
      <c r="O8" s="12" t="inlineStr">
        <is>
          <t>high</t>
        </is>
      </c>
      <c r="P8" s="10" t="inlineStr">
        <is>
          <t>Confirmed this session: the foundation is health and nutrition focused, funded by a fixed percentage of net annual profit, and its 2025 report covers 219 projects with 70 partners. Pitching entrepreneurship to the foundation would be a wasted meeting.</t>
        </is>
      </c>
      <c r="Q8" s="13" t="inlineStr">
        <is>
          <t>Not invited</t>
        </is>
      </c>
      <c r="R8" s="14" t="n"/>
      <c r="S8" s="15" t="n"/>
      <c r="T8" s="14" t="n"/>
      <c r="U8" s="14" t="n"/>
      <c r="V8" s="14" t="n"/>
    </row>
    <row r="9" ht="61" customHeight="1">
      <c r="A9" s="7" t="inlineStr">
        <is>
          <t>CSR sponsor</t>
        </is>
      </c>
      <c r="B9" s="8" t="inlineStr">
        <is>
          <t>Lead Partner</t>
        </is>
      </c>
      <c r="C9" s="9" t="inlineStr">
        <is>
          <t>Elsewedy Electric</t>
        </is>
      </c>
      <c r="D9" s="10" t="inlineStr"/>
      <c r="E9" s="10" t="inlineStr">
        <is>
          <t>Electrical industry and infrastructure</t>
        </is>
      </c>
      <c r="F9" s="10" t="inlineStr">
        <is>
          <t>National</t>
        </is>
      </c>
      <c r="G9" s="10" t="inlineStr">
        <is>
          <t>Cash, in-kind, mentors</t>
        </is>
      </c>
      <c r="H9" s="10" t="inlineStr">
        <is>
          <t>A named tier in the coalition: a governorate, a sector or one of the fifteen missions under their name, with the direction report and the closing report.</t>
        </is>
      </c>
      <c r="I9" s="10" t="inlineStr">
        <is>
          <t>Technical education at scale, including its own technical academy and applied technology school partnerships with the state.</t>
        </is>
      </c>
      <c r="J9" s="10" t="inlineStr">
        <is>
          <t>Employable technical graduates, and a flagship education story aligned with the state's technical education reform.</t>
        </is>
      </c>
      <c r="K9" s="10" t="inlineStr">
        <is>
          <t>Head of the technical academy, with the group CSR or sustainability function</t>
        </is>
      </c>
      <c r="L9" s="10" t="inlineStr">
        <is>
          <t>Through the academy directly, and in parallel through the Ministry of Technical Education and Training, which co-owns the schools.</t>
        </is>
      </c>
      <c r="M9" s="10" t="inlineStr">
        <is>
          <t>Academic year, so approach between April and July.</t>
        </is>
      </c>
      <c r="N9" s="11" t="inlineStr">
        <is>
          <t>A</t>
        </is>
      </c>
      <c r="O9" s="17" t="inlineStr">
        <is>
          <t>medium</t>
        </is>
      </c>
      <c r="P9" s="10" t="inlineStr">
        <is>
          <t>Their applied technology school involvement is well established. Confirm the current school list and the academy's intake cycle.</t>
        </is>
      </c>
      <c r="Q9" s="13" t="inlineStr">
        <is>
          <t>Not invited</t>
        </is>
      </c>
      <c r="R9" s="14" t="n"/>
      <c r="S9" s="15" t="n"/>
      <c r="T9" s="14" t="n"/>
      <c r="U9" s="14" t="n"/>
      <c r="V9" s="14" t="n"/>
    </row>
    <row r="10" ht="61" customHeight="1">
      <c r="A10" s="7" t="inlineStr">
        <is>
          <t>CSR sponsor</t>
        </is>
      </c>
      <c r="B10" s="8" t="inlineStr">
        <is>
          <t>Lead Partner</t>
        </is>
      </c>
      <c r="C10" s="9" t="inlineStr">
        <is>
          <t>Nestle Egypt</t>
        </is>
      </c>
      <c r="D10" s="10" t="inlineStr"/>
      <c r="E10" s="10" t="inlineStr">
        <is>
          <t>Food and beverage</t>
        </is>
      </c>
      <c r="F10" s="10" t="inlineStr">
        <is>
          <t>National</t>
        </is>
      </c>
      <c r="G10" s="10" t="inlineStr">
        <is>
          <t>Cash, in-kind, mentors</t>
        </is>
      </c>
      <c r="H10" s="10" t="inlineStr">
        <is>
          <t>A named tier in the coalition: a governorate, a sector or one of the fifteen missions under their name, with the direction report and the closing report.</t>
        </is>
      </c>
      <c r="I10" s="10" t="inlineStr">
        <is>
          <t>Nestle Needs YOUth, a global youth employability and entrepreneurship commitment, plus agricultural and community programmes.</t>
        </is>
      </c>
      <c r="J10" s="10" t="inlineStr">
        <is>
          <t>Young people reached, jobs and businesses created, reported into the global commitment.</t>
        </is>
      </c>
      <c r="K10" s="10" t="inlineStr">
        <is>
          <t>Corporate communications and public affairs manager, who typically owns Needs YOUth locally</t>
        </is>
      </c>
      <c r="L10" s="10" t="inlineStr">
        <is>
          <t>Direct to corporate affairs, naming the global commitment. AmCham is the warm route.</t>
        </is>
      </c>
      <c r="M10" s="10" t="inlineStr">
        <is>
          <t>Calendar year, with global commitment reporting in the first quarter.</t>
        </is>
      </c>
      <c r="N10" s="11" t="inlineStr">
        <is>
          <t>A</t>
        </is>
      </c>
      <c r="O10" s="17" t="inlineStr">
        <is>
          <t>medium</t>
        </is>
      </c>
      <c r="P10" s="10" t="inlineStr">
        <is>
          <t>Needs YOUth is a long-standing global programme; the Egypt country plan and partner list need confirming.</t>
        </is>
      </c>
      <c r="Q10" s="13" t="inlineStr">
        <is>
          <t>Not invited</t>
        </is>
      </c>
      <c r="R10" s="14" t="n"/>
      <c r="S10" s="15" t="n"/>
      <c r="T10" s="14" t="n"/>
      <c r="U10" s="14" t="n"/>
      <c r="V10" s="14" t="n"/>
    </row>
    <row r="11" ht="73.19999999999999" customHeight="1">
      <c r="A11" s="7" t="inlineStr">
        <is>
          <t>CSR sponsor</t>
        </is>
      </c>
      <c r="B11" s="8" t="inlineStr">
        <is>
          <t>Lead Partner</t>
        </is>
      </c>
      <c r="C11" s="9" t="inlineStr">
        <is>
          <t>Orange Egypt</t>
        </is>
      </c>
      <c r="D11" s="18" t="inlineStr">
        <is>
          <t>أورانج مصر</t>
        </is>
      </c>
      <c r="E11" s="10" t="inlineStr">
        <is>
          <t>Telecommunications</t>
        </is>
      </c>
      <c r="F11" s="10" t="inlineStr">
        <is>
          <t>National, with a Delta and Upper Egypt focus</t>
        </is>
      </c>
      <c r="G11" s="10" t="inlineStr">
        <is>
          <t>Cash, in-kind, mentors</t>
        </is>
      </c>
      <c r="H11" s="10" t="inlineStr">
        <is>
          <t>A named tier in the coalition: a governorate, a sector or one of the fifteen missions under their name, with the direction report and the closing report.</t>
        </is>
      </c>
      <c r="I11" s="10" t="inlineStr">
        <is>
          <t>Orange Social Venture Prize, long-running Enactus Egypt sponsorship, and Orange Digital Centers. Entrepreneurship is a standing line, not a one-off campaign.</t>
        </is>
      </c>
      <c r="J11" s="10" t="inlineStr">
        <is>
          <t>Visible national impact, a pipeline of ventures for the Social Venture Prize, and governorate coverage outside Cairo.</t>
        </is>
      </c>
      <c r="K11" s="10" t="inlineStr">
        <is>
          <t>CSR and sustainability manager, with the Orange Digital Center lead as the operational counterpart</t>
        </is>
      </c>
      <c r="L11" s="10" t="inlineStr">
        <is>
          <t>Orange Digital Center Cairo is the open door: it hosts programmes and its team can route an offer internally. Enactus Egypt can introduce.</t>
        </is>
      </c>
      <c r="M11" s="10" t="inlineStr">
        <is>
          <t>Calendar year budgeting, with the Social Venture Prize local round running in the first half of the year.</t>
        </is>
      </c>
      <c r="N11" s="11" t="inlineStr">
        <is>
          <t>A</t>
        </is>
      </c>
      <c r="O11" s="12" t="inlineStr">
        <is>
          <t>high</t>
        </is>
      </c>
      <c r="P11" s="10" t="inlineStr">
        <is>
          <t>Confirmed this session: twenty consecutive years sponsoring Enactus Egypt, and three Egyptian startups advanced to the Social Venture Prize international stage in the sixteenth edition.</t>
        </is>
      </c>
      <c r="Q11" s="13" t="inlineStr">
        <is>
          <t>Not invited</t>
        </is>
      </c>
      <c r="R11" s="14" t="n"/>
      <c r="S11" s="15" t="n"/>
      <c r="T11" s="14" t="n"/>
      <c r="U11" s="14" t="n"/>
      <c r="V11" s="14" t="n"/>
    </row>
    <row r="12" ht="73.19999999999999" customHeight="1">
      <c r="A12" s="7" t="inlineStr">
        <is>
          <t>CSR sponsor</t>
        </is>
      </c>
      <c r="B12" s="8" t="inlineStr">
        <is>
          <t>Lead Partner</t>
        </is>
      </c>
      <c r="C12" s="9" t="inlineStr">
        <is>
          <t>Shell Egypt</t>
        </is>
      </c>
      <c r="D12" s="10" t="inlineStr"/>
      <c r="E12" s="10" t="inlineStr">
        <is>
          <t>Oil and gas</t>
        </is>
      </c>
      <c r="F12" s="10" t="inlineStr">
        <is>
          <t>National</t>
        </is>
      </c>
      <c r="G12" s="10" t="inlineStr">
        <is>
          <t>Cash, in-kind, mentors</t>
        </is>
      </c>
      <c r="H12" s="10" t="inlineStr">
        <is>
          <t>A named tier in the coalition: a governorate, a sector or one of the fifteen missions under their name, with the direction report and the closing report.</t>
        </is>
      </c>
      <c r="I12" s="10" t="inlineStr">
        <is>
          <t>Shell Intilaaqah, a long-running youth enterprise development programme, alongside STEM and scholarship work.</t>
        </is>
      </c>
      <c r="J12" s="10" t="inlineStr">
        <is>
          <t>Continuity of a flagship programme, cost per beneficiary, and measurable business creation.</t>
        </is>
      </c>
      <c r="K12" s="10" t="inlineStr">
        <is>
          <t>Social investment or social performance manager</t>
        </is>
      </c>
      <c r="L12" s="10" t="inlineStr">
        <is>
          <t>Direct to social investment. Their current implementing partner can also sub-contract delivery, which is a faster first step.</t>
        </is>
      </c>
      <c r="M12" s="10" t="inlineStr">
        <is>
          <t>Calendar year, with social investment budgets set in the fourth quarter.</t>
        </is>
      </c>
      <c r="N12" s="11" t="inlineStr">
        <is>
          <t>A</t>
        </is>
      </c>
      <c r="O12" s="17" t="inlineStr">
        <is>
          <t>medium</t>
        </is>
      </c>
      <c r="P12" s="10" t="inlineStr">
        <is>
          <t>Intilaaqah is a long-established Shell programme in several countries including Egypt. Confirm the Egypt cycle and current implementing partner before proposing.</t>
        </is>
      </c>
      <c r="Q12" s="13" t="inlineStr">
        <is>
          <t>Not invited</t>
        </is>
      </c>
      <c r="R12" s="14" t="n"/>
      <c r="S12" s="15" t="n"/>
      <c r="T12" s="14" t="n"/>
      <c r="U12" s="14" t="n"/>
      <c r="V12" s="14" t="n"/>
    </row>
    <row r="13" ht="85.39999999999999" customHeight="1">
      <c r="A13" s="7" t="inlineStr">
        <is>
          <t>CSR sponsor</t>
        </is>
      </c>
      <c r="B13" s="8" t="inlineStr">
        <is>
          <t>Lead Partner</t>
        </is>
      </c>
      <c r="C13" s="9" t="inlineStr">
        <is>
          <t>Vodafone Egypt Foundation</t>
        </is>
      </c>
      <c r="D13" s="18" t="inlineStr">
        <is>
          <t>مؤسسة فودافون مصر</t>
        </is>
      </c>
      <c r="E13" s="10" t="inlineStr">
        <is>
          <t>Telecommunications</t>
        </is>
      </c>
      <c r="F13" s="10" t="inlineStr">
        <is>
          <t>National</t>
        </is>
      </c>
      <c r="G13" s="10" t="inlineStr">
        <is>
          <t>Cash, in-kind, mentors</t>
        </is>
      </c>
      <c r="H13" s="10" t="inlineStr">
        <is>
          <t>A named tier in the coalition: a governorate, a sector or one of the fifteen missions under their name, with the direction report and the closing report.</t>
        </is>
      </c>
      <c r="I13" s="10" t="inlineStr">
        <is>
          <t>The CSR arm of Vodafone Egypt, registered as a foundation with the Ministry of Social Solidarity. Education, digital skills and youth empowerment, delivered partly through the Ta3limy e-learning platform.</t>
        </is>
      </c>
      <c r="J13" s="10" t="inlineStr">
        <is>
          <t>Reach numbers at national scale, a digital asset that keeps working after the money is spent, and Egyptian youth employability they can report to group CSR in London.</t>
        </is>
      </c>
      <c r="K13" s="10" t="inlineStr">
        <is>
          <t>Foundation director, and the head of the youth or education pillar beneath them</t>
        </is>
      </c>
      <c r="L13" s="10" t="inlineStr">
        <is>
          <t>The foundation page on web.vodafone.com.eg carries the registered entity and its contact channel. Warmer route: an NGO already implementing for them, or the AmCham CSR committee.</t>
        </is>
      </c>
      <c r="M13" s="10" t="inlineStr">
        <is>
          <t>Vodafone runs an April to March financial year, so the budget conversation is strongest between November and January.</t>
        </is>
      </c>
      <c r="N13" s="11" t="inlineStr">
        <is>
          <t>A</t>
        </is>
      </c>
      <c r="O13" s="12" t="inlineStr">
        <is>
          <t>high</t>
        </is>
      </c>
      <c r="P13" s="10" t="inlineStr">
        <is>
          <t>Confirmed this session: the foundation ran a Spark Bootcamp with the Momken platform for 40 early-stage tech entrepreneurs, with content folded into Ta3limy. Verify the current cohort cycle before quoting.</t>
        </is>
      </c>
      <c r="Q13" s="13" t="inlineStr">
        <is>
          <t>Not invited</t>
        </is>
      </c>
      <c r="R13" s="14" t="n"/>
      <c r="S13" s="15" t="n"/>
      <c r="T13" s="14" t="n"/>
      <c r="U13" s="14" t="n"/>
      <c r="V13" s="14" t="n"/>
    </row>
    <row r="14" ht="61" customHeight="1">
      <c r="A14" s="7" t="inlineStr">
        <is>
          <t>CSR sponsor</t>
        </is>
      </c>
      <c r="B14" s="8" t="inlineStr">
        <is>
          <t>Lead Partner</t>
        </is>
      </c>
      <c r="C14" s="9" t="inlineStr">
        <is>
          <t>Apache Egypt and Khalda Petroleum</t>
        </is>
      </c>
      <c r="D14" s="10" t="inlineStr"/>
      <c r="E14" s="10" t="inlineStr">
        <is>
          <t>Oil and gas</t>
        </is>
      </c>
      <c r="F14" s="10" t="inlineStr">
        <is>
          <t>Western Desert and national</t>
        </is>
      </c>
      <c r="G14" s="10" t="inlineStr">
        <is>
          <t>Cash, in-kind, mentors</t>
        </is>
      </c>
      <c r="H14" s="10" t="inlineStr">
        <is>
          <t>A named tier in the coalition: a governorate, a sector or one of the fifteen missions under their name, with the direction report and the closing report.</t>
        </is>
      </c>
      <c r="I14" s="10" t="inlineStr">
        <is>
          <t>One of the largest private social investment records in Egypt, historically centred on building and equipping schools for girls.</t>
        </is>
      </c>
      <c r="J14" s="10" t="inlineStr">
        <is>
          <t>Continuity of an education legacy, and girls' education and employability outcomes.</t>
        </is>
      </c>
      <c r="K14" s="10" t="inlineStr">
        <is>
          <t>Public affairs or community development manager</t>
        </is>
      </c>
      <c r="L14" s="10" t="inlineStr">
        <is>
          <t>Direct. The schools themselves are also a route upward.</t>
        </is>
      </c>
      <c r="M14" s="10" t="inlineStr">
        <is>
          <t>Calendar year.</t>
        </is>
      </c>
      <c r="N14" s="11" t="inlineStr">
        <is>
          <t>B</t>
        </is>
      </c>
      <c r="O14" s="17" t="inlineStr">
        <is>
          <t>medium</t>
        </is>
      </c>
      <c r="P14" s="10" t="inlineStr">
        <is>
          <t>The girls' education programme is a well-known, long-running commitment. Current scale and focus need confirming.</t>
        </is>
      </c>
      <c r="Q14" s="13" t="inlineStr">
        <is>
          <t>Not invited</t>
        </is>
      </c>
      <c r="R14" s="14" t="n"/>
      <c r="S14" s="15" t="n"/>
      <c r="T14" s="14" t="n"/>
      <c r="U14" s="14" t="n"/>
      <c r="V14" s="14" t="n"/>
    </row>
    <row r="15" ht="61" customHeight="1">
      <c r="A15" s="7" t="inlineStr">
        <is>
          <t>CSR sponsor</t>
        </is>
      </c>
      <c r="B15" s="8" t="inlineStr">
        <is>
          <t>Lead Partner</t>
        </is>
      </c>
      <c r="C15" s="9" t="inlineStr">
        <is>
          <t>Arab African International Bank (AAIB)</t>
        </is>
      </c>
      <c r="D15" s="10" t="inlineStr"/>
      <c r="E15" s="10" t="inlineStr">
        <is>
          <t>Banking</t>
        </is>
      </c>
      <c r="F15" s="10" t="inlineStr">
        <is>
          <t>National</t>
        </is>
      </c>
      <c r="G15" s="10" t="inlineStr">
        <is>
          <t>Cash, in-kind, mentors</t>
        </is>
      </c>
      <c r="H15" s="10" t="inlineStr">
        <is>
          <t>A named tier in the coalition: a governorate, a sector or one of the fifteen missions under their name, with the direction report and the closing report.</t>
        </is>
      </c>
      <c r="I15" s="10" t="inlineStr">
        <is>
          <t>One of the more sustainability-forward Egyptian banks, with a dedicated sustainability function and published commitments.</t>
        </is>
      </c>
      <c r="J15" s="10" t="inlineStr">
        <is>
          <t>Sustainability reporting content and visible youth impact.</t>
        </is>
      </c>
      <c r="K15" s="10" t="inlineStr">
        <is>
          <t>Chief sustainability officer or head of sustainable development</t>
        </is>
      </c>
      <c r="L15" s="10" t="inlineStr">
        <is>
          <t>Direct, through the sustainability function rather than marketing.</t>
        </is>
      </c>
      <c r="M15" s="10" t="inlineStr">
        <is>
          <t>Calendar year.</t>
        </is>
      </c>
      <c r="N15" s="11" t="inlineStr">
        <is>
          <t>B</t>
        </is>
      </c>
      <c r="O15" s="17" t="inlineStr">
        <is>
          <t>medium</t>
        </is>
      </c>
      <c r="P15" s="10" t="inlineStr">
        <is>
          <t>Sustainability positioning is established; the specific budget line is unconfirmed.</t>
        </is>
      </c>
      <c r="Q15" s="13" t="inlineStr">
        <is>
          <t>Not invited</t>
        </is>
      </c>
      <c r="R15" s="14" t="n"/>
      <c r="S15" s="15" t="n"/>
      <c r="T15" s="14" t="n"/>
      <c r="U15" s="14" t="n"/>
      <c r="V15" s="14" t="n"/>
    </row>
    <row r="16" ht="61" customHeight="1">
      <c r="A16" s="7" t="inlineStr">
        <is>
          <t>CSR sponsor</t>
        </is>
      </c>
      <c r="B16" s="8" t="inlineStr">
        <is>
          <t>Lead Partner</t>
        </is>
      </c>
      <c r="C16" s="9" t="inlineStr">
        <is>
          <t>Bank of Alexandria (Intesa Sanpaolo)</t>
        </is>
      </c>
      <c r="D16" s="10" t="inlineStr"/>
      <c r="E16" s="10" t="inlineStr">
        <is>
          <t>Banking</t>
        </is>
      </c>
      <c r="F16" s="10" t="inlineStr">
        <is>
          <t>National</t>
        </is>
      </c>
      <c r="G16" s="10" t="inlineStr">
        <is>
          <t>Cash, in-kind, mentors</t>
        </is>
      </c>
      <c r="H16" s="10" t="inlineStr">
        <is>
          <t>A named tier in the coalition: a governorate, a sector or one of the fifteen missions under their name, with the direction report and the closing report.</t>
        </is>
      </c>
      <c r="I16" s="10" t="inlineStr">
        <is>
          <t>Micro and small enterprise lending, financial inclusion, and a parent group with a strong impact-banking tradition.</t>
        </is>
      </c>
      <c r="J16" s="10" t="inlineStr">
        <is>
          <t>Borrower quality, default reduction through better-prepared businesses, and group impact reporting.</t>
        </is>
      </c>
      <c r="K16" s="10" t="inlineStr">
        <is>
          <t>Head of micro and small enterprises, with CSR as co-sponsor</t>
        </is>
      </c>
      <c r="L16" s="10" t="inlineStr">
        <is>
          <t>Through the micro and small enterprise business line, where the commercial case is strongest.</t>
        </is>
      </c>
      <c r="M16" s="10" t="inlineStr">
        <is>
          <t>Calendar year, with group reporting in the first quarter.</t>
        </is>
      </c>
      <c r="N16" s="11" t="inlineStr">
        <is>
          <t>B</t>
        </is>
      </c>
      <c r="O16" s="17" t="inlineStr">
        <is>
          <t>medium</t>
        </is>
      </c>
      <c r="P16" s="10" t="inlineStr">
        <is>
          <t>Commercial logic strong; programme not confirmed.</t>
        </is>
      </c>
      <c r="Q16" s="13" t="inlineStr">
        <is>
          <t>Not invited</t>
        </is>
      </c>
      <c r="R16" s="14" t="n"/>
      <c r="S16" s="15" t="n"/>
      <c r="T16" s="14" t="n"/>
      <c r="U16" s="14" t="n"/>
      <c r="V16" s="14" t="n"/>
    </row>
    <row r="17" ht="61" customHeight="1">
      <c r="A17" s="7" t="inlineStr">
        <is>
          <t>CSR sponsor</t>
        </is>
      </c>
      <c r="B17" s="8" t="inlineStr">
        <is>
          <t>Lead Partner</t>
        </is>
      </c>
      <c r="C17" s="9" t="inlineStr">
        <is>
          <t>Banque du Caire</t>
        </is>
      </c>
      <c r="D17" s="10" t="inlineStr"/>
      <c r="E17" s="10" t="inlineStr">
        <is>
          <t>Banking, state-owned</t>
        </is>
      </c>
      <c r="F17" s="10" t="inlineStr">
        <is>
          <t>National, strong governorate footprint</t>
        </is>
      </c>
      <c r="G17" s="10" t="inlineStr">
        <is>
          <t>Cash, in-kind, mentors</t>
        </is>
      </c>
      <c r="H17" s="10" t="inlineStr">
        <is>
          <t>A named tier in the coalition: a governorate, a sector or one of the fifteen missions under their name, with the direction report and the closing report.</t>
        </is>
      </c>
      <c r="I17" s="10" t="inlineStr">
        <is>
          <t>Microfinance at scale, financial inclusion, and community CSR.</t>
        </is>
      </c>
      <c r="J17" s="10" t="inlineStr">
        <is>
          <t>Better-prepared microfinance borrowers and inclusion numbers.</t>
        </is>
      </c>
      <c r="K17" s="10" t="inlineStr">
        <is>
          <t>Head of microfinance, with CSR as secondary</t>
        </is>
      </c>
      <c r="L17" s="10" t="inlineStr">
        <is>
          <t>Through the microfinance business line.</t>
        </is>
      </c>
      <c r="M17" s="10" t="inlineStr">
        <is>
          <t>State-linked fiscal year from July.</t>
        </is>
      </c>
      <c r="N17" s="11" t="inlineStr">
        <is>
          <t>B</t>
        </is>
      </c>
      <c r="O17" s="17" t="inlineStr">
        <is>
          <t>medium</t>
        </is>
      </c>
      <c r="P17" s="10" t="inlineStr">
        <is>
          <t>Microfinance scale is well established; programme fit is a proposal.</t>
        </is>
      </c>
      <c r="Q17" s="13" t="inlineStr">
        <is>
          <t>Not invited</t>
        </is>
      </c>
      <c r="R17" s="14" t="n"/>
      <c r="S17" s="15" t="n"/>
      <c r="T17" s="14" t="n"/>
      <c r="U17" s="14" t="n"/>
      <c r="V17" s="14" t="n"/>
    </row>
    <row r="18" ht="61" customHeight="1">
      <c r="A18" s="7" t="inlineStr">
        <is>
          <t>CSR sponsor</t>
        </is>
      </c>
      <c r="B18" s="8" t="inlineStr">
        <is>
          <t>Lead Partner</t>
        </is>
      </c>
      <c r="C18" s="9" t="inlineStr">
        <is>
          <t>Export Development Bank of Egypt (EBank)</t>
        </is>
      </c>
      <c r="D18" s="10" t="inlineStr"/>
      <c r="E18" s="10" t="inlineStr">
        <is>
          <t>Development banking</t>
        </is>
      </c>
      <c r="F18" s="10" t="inlineStr">
        <is>
          <t>National</t>
        </is>
      </c>
      <c r="G18" s="10" t="inlineStr">
        <is>
          <t>Cash, in-kind, mentors</t>
        </is>
      </c>
      <c r="H18" s="10" t="inlineStr">
        <is>
          <t>A named tier in the coalition: a governorate, a sector or one of the fifteen missions under their name, with the direction report and the closing report.</t>
        </is>
      </c>
      <c r="I18" s="10" t="inlineStr">
        <is>
          <t>SME and export development mandate, with sustainability and entrepreneurship support attached to it.</t>
        </is>
      </c>
      <c r="J18" s="10" t="inlineStr">
        <is>
          <t>SME development numbers against a public mandate.</t>
        </is>
      </c>
      <c r="K18" s="10" t="inlineStr">
        <is>
          <t>Head of sustainability or SME development</t>
        </is>
      </c>
      <c r="L18" s="10" t="inlineStr">
        <is>
          <t>Direct, through the SME or sustainable development function.</t>
        </is>
      </c>
      <c r="M18" s="10" t="inlineStr">
        <is>
          <t>State-linked fiscal year from July.</t>
        </is>
      </c>
      <c r="N18" s="11" t="inlineStr">
        <is>
          <t>B</t>
        </is>
      </c>
      <c r="O18" s="17" t="inlineStr">
        <is>
          <t>medium</t>
        </is>
      </c>
      <c r="P18" s="10" t="inlineStr">
        <is>
          <t>Mandate is clear; programme fit to be confirmed.</t>
        </is>
      </c>
      <c r="Q18" s="13" t="inlineStr">
        <is>
          <t>Not invited</t>
        </is>
      </c>
      <c r="R18" s="14" t="n"/>
      <c r="S18" s="15" t="n"/>
      <c r="T18" s="14" t="n"/>
      <c r="U18" s="14" t="n"/>
      <c r="V18" s="14" t="n"/>
    </row>
    <row r="19" ht="61" customHeight="1">
      <c r="A19" s="7" t="inlineStr">
        <is>
          <t>CSR sponsor</t>
        </is>
      </c>
      <c r="B19" s="8" t="inlineStr">
        <is>
          <t>Lead Partner</t>
        </is>
      </c>
      <c r="C19" s="9" t="inlineStr">
        <is>
          <t>ExxonMobil Egypt</t>
        </is>
      </c>
      <c r="D19" s="10" t="inlineStr"/>
      <c r="E19" s="10" t="inlineStr">
        <is>
          <t>Oil, gas and lubricants</t>
        </is>
      </c>
      <c r="F19" s="10" t="inlineStr">
        <is>
          <t>National</t>
        </is>
      </c>
      <c r="G19" s="10" t="inlineStr">
        <is>
          <t>Cash, in-kind, mentors</t>
        </is>
      </c>
      <c r="H19" s="10" t="inlineStr">
        <is>
          <t>A named tier in the coalition: a governorate, a sector or one of the fifteen missions under their name, with the direction report and the closing report.</t>
        </is>
      </c>
      <c r="I19" s="10" t="inlineStr">
        <is>
          <t>Corporate citizenship covering education, women's economic opportunity and community investment. Named in this plan's partner list for competition sponsorship.</t>
        </is>
      </c>
      <c r="J19" s="10" t="inlineStr">
        <is>
          <t>Women's economic empowerment numbers, and visible community investment.</t>
        </is>
      </c>
      <c r="K19" s="10" t="inlineStr">
        <is>
          <t>Public and government affairs manager</t>
        </is>
      </c>
      <c r="L19" s="10" t="inlineStr">
        <is>
          <t>Direct to public and government affairs. AmCham Egypt is the warm route, where they are an active member.</t>
        </is>
      </c>
      <c r="M19" s="10" t="inlineStr">
        <is>
          <t>Calendar year.</t>
        </is>
      </c>
      <c r="N19" s="11" t="inlineStr">
        <is>
          <t>B</t>
        </is>
      </c>
      <c r="O19" s="17" t="inlineStr">
        <is>
          <t>medium</t>
        </is>
      </c>
      <c r="P19" s="10" t="inlineStr">
        <is>
          <t>Corporate citizenship themes are stable globally; the Egypt budget line is unconfirmed.</t>
        </is>
      </c>
      <c r="Q19" s="13" t="inlineStr">
        <is>
          <t>Not invited</t>
        </is>
      </c>
      <c r="R19" s="14" t="n"/>
      <c r="S19" s="15" t="n"/>
      <c r="T19" s="14" t="n"/>
      <c r="U19" s="14" t="n"/>
      <c r="V19" s="14" t="n"/>
    </row>
    <row r="20" ht="61" customHeight="1">
      <c r="A20" s="7" t="inlineStr">
        <is>
          <t>CSR sponsor</t>
        </is>
      </c>
      <c r="B20" s="8" t="inlineStr">
        <is>
          <t>Lead Partner</t>
        </is>
      </c>
      <c r="C20" s="9" t="inlineStr">
        <is>
          <t>HSBC Egypt</t>
        </is>
      </c>
      <c r="D20" s="10" t="inlineStr"/>
      <c r="E20" s="10" t="inlineStr">
        <is>
          <t>Banking, international</t>
        </is>
      </c>
      <c r="F20" s="10" t="inlineStr">
        <is>
          <t>Greater Cairo and Alexandria</t>
        </is>
      </c>
      <c r="G20" s="10" t="inlineStr">
        <is>
          <t>Cash, in-kind, mentors</t>
        </is>
      </c>
      <c r="H20" s="10" t="inlineStr">
        <is>
          <t>A named tier in the coalition: a governorate, a sector or one of the fifteen missions under their name, with the direction report and the closing report.</t>
        </is>
      </c>
      <c r="I20" s="10" t="inlineStr">
        <is>
          <t>Future Skills and education grants under a global community investment framework, run through registered NGO partners.</t>
        </is>
      </c>
      <c r="J20" s="10" t="inlineStr">
        <is>
          <t>Employability and future skills outcomes that roll into global community investment reporting.</t>
        </is>
      </c>
      <c r="K20" s="10" t="inlineStr">
        <is>
          <t>Head of corporate sustainability, Egypt</t>
        </is>
      </c>
      <c r="L20" s="10" t="inlineStr">
        <is>
          <t>Annual grant cycle through the corporate sustainability team. An existing grantee NGO as co-applicant materially improves the odds.</t>
        </is>
      </c>
      <c r="M20" s="10" t="inlineStr">
        <is>
          <t>Grant cycles typically open once a year. Ask the timing early.</t>
        </is>
      </c>
      <c r="N20" s="11" t="inlineStr">
        <is>
          <t>B</t>
        </is>
      </c>
      <c r="O20" s="17" t="inlineStr">
        <is>
          <t>medium</t>
        </is>
      </c>
      <c r="P20" s="10" t="inlineStr">
        <is>
          <t>Global framework is stable; the Egypt cycle and themes need confirming each year.</t>
        </is>
      </c>
      <c r="Q20" s="13" t="inlineStr">
        <is>
          <t>Not invited</t>
        </is>
      </c>
      <c r="R20" s="14" t="n"/>
      <c r="S20" s="15" t="n"/>
      <c r="T20" s="14" t="n"/>
      <c r="U20" s="14" t="n"/>
      <c r="V20" s="14" t="n"/>
    </row>
    <row r="21" ht="61" customHeight="1">
      <c r="A21" s="7" t="inlineStr">
        <is>
          <t>CSR sponsor</t>
        </is>
      </c>
      <c r="B21" s="8" t="inlineStr">
        <is>
          <t>Lead Partner</t>
        </is>
      </c>
      <c r="C21" s="9" t="inlineStr">
        <is>
          <t>Mansour Foundation for Development</t>
        </is>
      </c>
      <c r="D21" s="10" t="inlineStr"/>
      <c r="E21" s="10" t="inlineStr">
        <is>
          <t>Family foundation</t>
        </is>
      </c>
      <c r="F21" s="10" t="inlineStr">
        <is>
          <t>National</t>
        </is>
      </c>
      <c r="G21" s="10" t="inlineStr">
        <is>
          <t>Cash, in-kind, mentors</t>
        </is>
      </c>
      <c r="H21" s="10" t="inlineStr">
        <is>
          <t>A named tier in the coalition: a governorate, a sector or one of the fifteen missions under their name, with the direction report and the closing report.</t>
        </is>
      </c>
      <c r="I21" s="10" t="inlineStr">
        <is>
          <t>Family philanthropy linked to the Mansour Group, covering education, health and community development.</t>
        </is>
      </c>
      <c r="J21" s="10" t="inlineStr">
        <is>
          <t>Family legacy, education outcomes, and national reach.</t>
        </is>
      </c>
      <c r="K21" s="10" t="inlineStr">
        <is>
          <t>Executive director</t>
        </is>
      </c>
      <c r="L21" s="10" t="inlineStr">
        <is>
          <t>Through the Egyptian Businessmen's Association or a board-level introduction. Cold approaches to family foundations rarely work.</t>
        </is>
      </c>
      <c r="M21" s="10" t="inlineStr">
        <is>
          <t>Relationship-driven rather than cyclical.</t>
        </is>
      </c>
      <c r="N21" s="11" t="inlineStr">
        <is>
          <t>B</t>
        </is>
      </c>
      <c r="O21" s="16" t="inlineStr">
        <is>
          <t>low</t>
        </is>
      </c>
      <c r="P21" s="10" t="inlineStr">
        <is>
          <t>The foundation's existence and themes need verifying before approaching.</t>
        </is>
      </c>
      <c r="Q21" s="13" t="inlineStr">
        <is>
          <t>Not invited</t>
        </is>
      </c>
      <c r="R21" s="14" t="n"/>
      <c r="S21" s="15" t="n"/>
      <c r="T21" s="14" t="n"/>
      <c r="U21" s="14" t="n"/>
      <c r="V21" s="14" t="n"/>
    </row>
    <row r="22" ht="61" customHeight="1">
      <c r="A22" s="7" t="inlineStr">
        <is>
          <t>CSR sponsor</t>
        </is>
      </c>
      <c r="B22" s="8" t="inlineStr">
        <is>
          <t>Lead Partner</t>
        </is>
      </c>
      <c r="C22" s="9" t="inlineStr">
        <is>
          <t>Mansour Group</t>
        </is>
      </c>
      <c r="D22" s="10" t="inlineStr"/>
      <c r="E22" s="10" t="inlineStr">
        <is>
          <t>Diversified: distribution, retail, automotive</t>
        </is>
      </c>
      <c r="F22" s="10" t="inlineStr">
        <is>
          <t>National</t>
        </is>
      </c>
      <c r="G22" s="10" t="inlineStr">
        <is>
          <t>Cash, in-kind, mentors</t>
        </is>
      </c>
      <c r="H22" s="10" t="inlineStr">
        <is>
          <t>A named tier in the coalition: a governorate, a sector or one of the fifteen missions under their name, with the direction report and the closing report.</t>
        </is>
      </c>
      <c r="I22" s="10" t="inlineStr">
        <is>
          <t>Large family group with retail, distribution and automotive arms, and an associated family philanthropic tradition.</t>
        </is>
      </c>
      <c r="J22" s="10" t="inlineStr">
        <is>
          <t>Micro-retailer capability, family legacy, and national reach.</t>
        </is>
      </c>
      <c r="K22" s="10" t="inlineStr">
        <is>
          <t>Group corporate affairs, with the family foundation separately</t>
        </is>
      </c>
      <c r="L22" s="10" t="inlineStr">
        <is>
          <t>Through the Egyptian Businessmen's Association or AmCham, where the group is prominent.</t>
        </is>
      </c>
      <c r="M22" s="10" t="inlineStr">
        <is>
          <t>Calendar year.</t>
        </is>
      </c>
      <c r="N22" s="11" t="inlineStr">
        <is>
          <t>B</t>
        </is>
      </c>
      <c r="O22" s="16" t="inlineStr">
        <is>
          <t>low</t>
        </is>
      </c>
      <c r="P22" s="10" t="inlineStr">
        <is>
          <t>The group's scale is certain; the philanthropic route and its current priorities need verifying.</t>
        </is>
      </c>
      <c r="Q22" s="13" t="inlineStr">
        <is>
          <t>Not invited</t>
        </is>
      </c>
      <c r="R22" s="14" t="n"/>
      <c r="S22" s="15" t="n"/>
      <c r="T22" s="14" t="n"/>
      <c r="U22" s="14" t="n"/>
      <c r="V22" s="14" t="n"/>
    </row>
    <row r="23" ht="73.19999999999999" customHeight="1">
      <c r="A23" s="7" t="inlineStr">
        <is>
          <t>CSR sponsor</t>
        </is>
      </c>
      <c r="B23" s="8" t="inlineStr">
        <is>
          <t>Lead Partner</t>
        </is>
      </c>
      <c r="C23" s="9" t="inlineStr">
        <is>
          <t>Microsoft Egypt</t>
        </is>
      </c>
      <c r="D23" s="10" t="inlineStr"/>
      <c r="E23" s="10" t="inlineStr">
        <is>
          <t>Technology</t>
        </is>
      </c>
      <c r="F23" s="10" t="inlineStr">
        <is>
          <t>National</t>
        </is>
      </c>
      <c r="G23" s="10" t="inlineStr">
        <is>
          <t>Cash, in-kind, mentors</t>
        </is>
      </c>
      <c r="H23" s="10" t="inlineStr">
        <is>
          <t>A named tier in the coalition: a governorate, a sector or one of the fifteen missions under their name, with the direction report and the closing report.</t>
        </is>
      </c>
      <c r="I23" s="10" t="inlineStr">
        <is>
          <t>Skills initiatives, nonprofit grants and cloud credits, with employability as the stated outcome.</t>
        </is>
      </c>
      <c r="J23" s="10" t="inlineStr">
        <is>
          <t>Measurable skilling numbers, a credible local implementer, and alignment with their own skilling taxonomy.</t>
        </is>
      </c>
      <c r="K23" s="10" t="inlineStr">
        <is>
          <t>Philanthropies or corporate social responsibility lead for the Middle East and Africa, with the Egypt country team sponsoring</t>
        </is>
      </c>
      <c r="L23" s="10" t="inlineStr">
        <is>
          <t>Microsoft philanthropies works through registered nonprofits: the cleanest route is as the delivery partner of an NGO already in their grantee list.</t>
        </is>
      </c>
      <c r="M23" s="10" t="inlineStr">
        <is>
          <t>Microsoft's financial year begins in July, so the proposal window is March to May.</t>
        </is>
      </c>
      <c r="N23" s="11" t="inlineStr">
        <is>
          <t>B</t>
        </is>
      </c>
      <c r="O23" s="17" t="inlineStr">
        <is>
          <t>medium</t>
        </is>
      </c>
      <c r="P23" s="10" t="inlineStr">
        <is>
          <t>Global programme structure is stable; the Egypt-specific budget line is not confirmed here.</t>
        </is>
      </c>
      <c r="Q23" s="13" t="inlineStr">
        <is>
          <t>Not invited</t>
        </is>
      </c>
      <c r="R23" s="14" t="n"/>
      <c r="S23" s="15" t="n"/>
      <c r="T23" s="14" t="n"/>
      <c r="U23" s="14" t="n"/>
      <c r="V23" s="14" t="n"/>
    </row>
    <row r="24" ht="61" customHeight="1">
      <c r="A24" s="7" t="inlineStr">
        <is>
          <t>CSR sponsor</t>
        </is>
      </c>
      <c r="B24" s="8" t="inlineStr">
        <is>
          <t>Lead Partner</t>
        </is>
      </c>
      <c r="C24" s="9" t="inlineStr">
        <is>
          <t>Orascom Construction and the Sawiris family companies</t>
        </is>
      </c>
      <c r="D24" s="10" t="inlineStr"/>
      <c r="E24" s="10" t="inlineStr">
        <is>
          <t>Construction</t>
        </is>
      </c>
      <c r="F24" s="10" t="inlineStr">
        <is>
          <t>National</t>
        </is>
      </c>
      <c r="G24" s="10" t="inlineStr">
        <is>
          <t>Cash, in-kind, mentors</t>
        </is>
      </c>
      <c r="H24" s="10" t="inlineStr">
        <is>
          <t>A named tier in the coalition: a governorate, a sector or one of the fifteen missions under their name, with the direction report and the closing report.</t>
        </is>
      </c>
      <c r="I24" s="10" t="inlineStr">
        <is>
          <t>Technical training and construction skills programmes, alongside the family's separate philanthropic vehicles.</t>
        </is>
      </c>
      <c r="J24" s="10" t="inlineStr">
        <is>
          <t>A skilled trade pipeline and demonstrable local employment.</t>
        </is>
      </c>
      <c r="K24" s="10" t="inlineStr">
        <is>
          <t>Corporate communications, with the technical training function as the operational counterpart</t>
        </is>
      </c>
      <c r="L24" s="10" t="inlineStr">
        <is>
          <t>Approach the technical training function first. The Sawiris Foundation is a separate organisation and a separate ask.</t>
        </is>
      </c>
      <c r="M24" s="10" t="inlineStr">
        <is>
          <t>Calendar year.</t>
        </is>
      </c>
      <c r="N24" s="11" t="inlineStr">
        <is>
          <t>B</t>
        </is>
      </c>
      <c r="O24" s="17" t="inlineStr">
        <is>
          <t>medium</t>
        </is>
      </c>
      <c r="P24" s="10" t="inlineStr">
        <is>
          <t>Technical training activity is established in the sector; the specific programme is unconfirmed.</t>
        </is>
      </c>
      <c r="Q24" s="13" t="inlineStr">
        <is>
          <t>Not invited</t>
        </is>
      </c>
      <c r="R24" s="14" t="n"/>
      <c r="S24" s="15" t="n"/>
      <c r="T24" s="14" t="n"/>
      <c r="U24" s="14" t="n"/>
      <c r="V24" s="14" t="n"/>
    </row>
    <row r="25" ht="61" customHeight="1">
      <c r="A25" s="7" t="inlineStr">
        <is>
          <t>CSR sponsor</t>
        </is>
      </c>
      <c r="B25" s="8" t="inlineStr">
        <is>
          <t>Lead Partner</t>
        </is>
      </c>
      <c r="C25" s="9" t="inlineStr">
        <is>
          <t>PepsiCo Egypt</t>
        </is>
      </c>
      <c r="D25" s="10" t="inlineStr"/>
      <c r="E25" s="10" t="inlineStr">
        <is>
          <t>Food and beverage</t>
        </is>
      </c>
      <c r="F25" s="10" t="inlineStr">
        <is>
          <t>National, with Upper Egypt agricultural presence</t>
        </is>
      </c>
      <c r="G25" s="10" t="inlineStr">
        <is>
          <t>Cash, in-kind, mentors</t>
        </is>
      </c>
      <c r="H25" s="10" t="inlineStr">
        <is>
          <t>A named tier in the coalition: a governorate, a sector or one of the fifteen missions under their name, with the direction report and the closing report.</t>
        </is>
      </c>
      <c r="I25" s="10" t="inlineStr">
        <is>
          <t>PepsiCo Foundation and local community investment, covering agriculture, water, women's economic empowerment and youth.</t>
        </is>
      </c>
      <c r="J25" s="10" t="inlineStr">
        <is>
          <t>Supply chain community goodwill, women's economic participation, and foundation reporting.</t>
        </is>
      </c>
      <c r="K25" s="10" t="inlineStr">
        <is>
          <t>Public policy and government affairs, with the PepsiCo Foundation for larger asks</t>
        </is>
      </c>
      <c r="L25" s="10" t="inlineStr">
        <is>
          <t>Direct to public affairs; the foundation requires a US-facing application usually sponsored by the country team.</t>
        </is>
      </c>
      <c r="M25" s="10" t="inlineStr">
        <is>
          <t>Calendar year.</t>
        </is>
      </c>
      <c r="N25" s="11" t="inlineStr">
        <is>
          <t>B</t>
        </is>
      </c>
      <c r="O25" s="17" t="inlineStr">
        <is>
          <t>medium</t>
        </is>
      </c>
      <c r="P25" s="10" t="inlineStr">
        <is>
          <t>Themes are established globally and the Egyptian agricultural footprint is real; the current programme list is unconfirmed.</t>
        </is>
      </c>
      <c r="Q25" s="13" t="inlineStr">
        <is>
          <t>Not invited</t>
        </is>
      </c>
      <c r="R25" s="14" t="n"/>
      <c r="S25" s="15" t="n"/>
      <c r="T25" s="14" t="n"/>
      <c r="U25" s="14" t="n"/>
      <c r="V25" s="14" t="n"/>
    </row>
    <row r="26" ht="61" customHeight="1">
      <c r="A26" s="7" t="inlineStr">
        <is>
          <t>CSR sponsor</t>
        </is>
      </c>
      <c r="B26" s="8" t="inlineStr">
        <is>
          <t>Lead Partner</t>
        </is>
      </c>
      <c r="C26" s="9" t="inlineStr">
        <is>
          <t>QNB Alahli</t>
        </is>
      </c>
      <c r="D26" s="10" t="inlineStr"/>
      <c r="E26" s="10" t="inlineStr">
        <is>
          <t>Banking</t>
        </is>
      </c>
      <c r="F26" s="10" t="inlineStr">
        <is>
          <t>National</t>
        </is>
      </c>
      <c r="G26" s="10" t="inlineStr">
        <is>
          <t>Cash, in-kind, mentors</t>
        </is>
      </c>
      <c r="H26" s="10" t="inlineStr">
        <is>
          <t>A named tier in the coalition: a governorate, a sector or one of the fifteen missions under their name, with the direction report and the closing report.</t>
        </is>
      </c>
      <c r="I26" s="10" t="inlineStr">
        <is>
          <t>Education, youth and community CSR, with SME banking as a strategic commercial line.</t>
        </is>
      </c>
      <c r="J26" s="10" t="inlineStr">
        <is>
          <t>SME customer acquisition that reports as social impact.</t>
        </is>
      </c>
      <c r="K26" s="10" t="inlineStr">
        <is>
          <t>Head of communications and CSR, with SME banking as internal sponsor</t>
        </is>
      </c>
      <c r="L26" s="10" t="inlineStr">
        <is>
          <t>Direct through corporate communications, or through the Federation of Egyptian Banks working groups.</t>
        </is>
      </c>
      <c r="M26" s="10" t="inlineStr">
        <is>
          <t>Calendar year.</t>
        </is>
      </c>
      <c r="N26" s="11" t="inlineStr">
        <is>
          <t>B</t>
        </is>
      </c>
      <c r="O26" s="17" t="inlineStr">
        <is>
          <t>medium</t>
        </is>
      </c>
      <c r="P26" s="10" t="inlineStr">
        <is>
          <t>CSR and SME lines both established; no entrepreneurship programme confirmed in this session.</t>
        </is>
      </c>
      <c r="Q26" s="13" t="inlineStr">
        <is>
          <t>Not invited</t>
        </is>
      </c>
      <c r="R26" s="14" t="n"/>
      <c r="S26" s="15" t="n"/>
      <c r="T26" s="14" t="n"/>
      <c r="U26" s="14" t="n"/>
      <c r="V26" s="14" t="n"/>
    </row>
    <row r="27" ht="61" customHeight="1">
      <c r="A27" s="7" t="inlineStr">
        <is>
          <t>CSR sponsor</t>
        </is>
      </c>
      <c r="B27" s="8" t="inlineStr">
        <is>
          <t>Lead Partner</t>
        </is>
      </c>
      <c r="C27" s="9" t="inlineStr">
        <is>
          <t>The Coca-Cola Company and Coca-Cola Egypt</t>
        </is>
      </c>
      <c r="D27" s="10" t="inlineStr"/>
      <c r="E27" s="10" t="inlineStr">
        <is>
          <t>Beverages</t>
        </is>
      </c>
      <c r="F27" s="10" t="inlineStr">
        <is>
          <t>National</t>
        </is>
      </c>
      <c r="G27" s="10" t="inlineStr">
        <is>
          <t>Cash, in-kind, mentors</t>
        </is>
      </c>
      <c r="H27" s="10" t="inlineStr">
        <is>
          <t>A named tier in the coalition: a governorate, a sector or one of the fifteen missions under their name, with the direction report and the closing report.</t>
        </is>
      </c>
      <c r="I27" s="10" t="inlineStr">
        <is>
          <t>Coca-Cola Foundation grants, water stewardship, and women's economic empowerment programmes with a long history in Egypt.</t>
        </is>
      </c>
      <c r="J27" s="10" t="inlineStr">
        <is>
          <t>Women-owned micro-business creation, and retail network goodwill.</t>
        </is>
      </c>
      <c r="K27" s="10" t="inlineStr">
        <is>
          <t>Public affairs, communications and sustainability manager</t>
        </is>
      </c>
      <c r="L27" s="10" t="inlineStr">
        <is>
          <t>Direct, and through the Coca-Cola Foundation grant route for larger amounts. An existing NGO partner shortens the path.</t>
        </is>
      </c>
      <c r="M27" s="10" t="inlineStr">
        <is>
          <t>Calendar year, with foundation grant cycles announced annually.</t>
        </is>
      </c>
      <c r="N27" s="11" t="inlineStr">
        <is>
          <t>B</t>
        </is>
      </c>
      <c r="O27" s="17" t="inlineStr">
        <is>
          <t>medium</t>
        </is>
      </c>
      <c r="P27" s="10" t="inlineStr">
        <is>
          <t>Women's economic empowerment work in Egypt is well established; the current partner and cycle are unconfirmed.</t>
        </is>
      </c>
      <c r="Q27" s="13" t="inlineStr">
        <is>
          <t>Not invited</t>
        </is>
      </c>
      <c r="R27" s="14" t="n"/>
      <c r="S27" s="15" t="n"/>
      <c r="T27" s="14" t="n"/>
      <c r="U27" s="14" t="n"/>
      <c r="V27" s="14" t="n"/>
    </row>
    <row r="28" ht="61" customHeight="1">
      <c r="A28" s="7" t="inlineStr">
        <is>
          <t>CSR sponsor</t>
        </is>
      </c>
      <c r="B28" s="8" t="inlineStr">
        <is>
          <t>Lead Partner</t>
        </is>
      </c>
      <c r="C28" s="9" t="inlineStr">
        <is>
          <t>TotalEnergies Egypt</t>
        </is>
      </c>
      <c r="D28" s="10" t="inlineStr"/>
      <c r="E28" s="10" t="inlineStr">
        <is>
          <t>Energy and fuel retail</t>
        </is>
      </c>
      <c r="F28" s="10" t="inlineStr">
        <is>
          <t>National</t>
        </is>
      </c>
      <c r="G28" s="10" t="inlineStr">
        <is>
          <t>Cash, in-kind, mentors</t>
        </is>
      </c>
      <c r="H28" s="10" t="inlineStr">
        <is>
          <t>A named tier in the coalition: a governorate, a sector or one of the fifteen missions under their name, with the direction report and the closing report.</t>
        </is>
      </c>
      <c r="I28" s="10" t="inlineStr">
        <is>
          <t>A corporate foundation with youth inclusion and education as stated priorities, plus road safety and energy access.</t>
        </is>
      </c>
      <c r="J28" s="10" t="inlineStr">
        <is>
          <t>Youth inclusion outcomes documented to foundation standards.</t>
        </is>
      </c>
      <c r="K28" s="10" t="inlineStr">
        <is>
          <t>Foundation or CSR coordinator, Egypt, reporting to the group foundation</t>
        </is>
      </c>
      <c r="L28" s="10" t="inlineStr">
        <is>
          <t>Direct, through the Egypt corporate affairs function, which routes to the group foundation.</t>
        </is>
      </c>
      <c r="M28" s="10" t="inlineStr">
        <is>
          <t>Group foundation cycles, typically annual with a documented call.</t>
        </is>
      </c>
      <c r="N28" s="11" t="inlineStr">
        <is>
          <t>B</t>
        </is>
      </c>
      <c r="O28" s="17" t="inlineStr">
        <is>
          <t>medium</t>
        </is>
      </c>
      <c r="P28" s="10" t="inlineStr">
        <is>
          <t>Foundation themes are published at group level; the Egypt pipeline is unconfirmed.</t>
        </is>
      </c>
      <c r="Q28" s="13" t="inlineStr">
        <is>
          <t>Not invited</t>
        </is>
      </c>
      <c r="R28" s="14" t="n"/>
      <c r="S28" s="15" t="n"/>
      <c r="T28" s="14" t="n"/>
      <c r="U28" s="14" t="n"/>
      <c r="V28" s="14" t="n"/>
    </row>
    <row r="29" ht="61" customHeight="1">
      <c r="A29" s="7" t="inlineStr">
        <is>
          <t>CSR sponsor</t>
        </is>
      </c>
      <c r="B29" s="8" t="inlineStr">
        <is>
          <t>Lead Partner</t>
        </is>
      </c>
      <c r="C29" s="9" t="inlineStr">
        <is>
          <t>bp Egypt</t>
        </is>
      </c>
      <c r="D29" s="10" t="inlineStr"/>
      <c r="E29" s="10" t="inlineStr">
        <is>
          <t>Oil and gas</t>
        </is>
      </c>
      <c r="F29" s="10" t="inlineStr">
        <is>
          <t>National, with a strong Mediterranean and Delta footprint</t>
        </is>
      </c>
      <c r="G29" s="10" t="inlineStr">
        <is>
          <t>Cash, in-kind, mentors</t>
        </is>
      </c>
      <c r="H29" s="10" t="inlineStr">
        <is>
          <t>A named tier in the coalition: a governorate, a sector or one of the fifteen missions under their name, with the direction report and the closing report.</t>
        </is>
      </c>
      <c r="I29" s="10" t="inlineStr">
        <is>
          <t>Social investment tied to the communities around its operations, covering education, employability and enterprise.</t>
        </is>
      </c>
      <c r="J29" s="10" t="inlineStr">
        <is>
          <t>Licence to operate in host communities, local employment and enterprise creation near operations.</t>
        </is>
      </c>
      <c r="K29" s="10" t="inlineStr">
        <is>
          <t>Social investment manager, with the local external affairs lead</t>
        </is>
      </c>
      <c r="L29" s="10" t="inlineStr">
        <is>
          <t>Direct to external affairs or social investment. Local governorate authorities can also refer.</t>
        </is>
      </c>
      <c r="M29" s="10" t="inlineStr">
        <is>
          <t>Calendar year, with multi-year social investment commitments.</t>
        </is>
      </c>
      <c r="N29" s="11" t="inlineStr">
        <is>
          <t>B</t>
        </is>
      </c>
      <c r="O29" s="17" t="inlineStr">
        <is>
          <t>medium</t>
        </is>
      </c>
      <c r="P29" s="10" t="inlineStr">
        <is>
          <t>Social investment practice is standard across their operations; the Egypt programme list is unconfirmed here.</t>
        </is>
      </c>
      <c r="Q29" s="13" t="inlineStr">
        <is>
          <t>Not invited</t>
        </is>
      </c>
      <c r="R29" s="14" t="n"/>
      <c r="S29" s="15" t="n"/>
      <c r="T29" s="14" t="n"/>
      <c r="U29" s="14" t="n"/>
      <c r="V29" s="14" t="n"/>
    </row>
    <row r="30" ht="61" customHeight="1">
      <c r="A30" s="7" t="inlineStr">
        <is>
          <t>CSR sponsor</t>
        </is>
      </c>
      <c r="B30" s="8" t="inlineStr">
        <is>
          <t>Lead Partner</t>
        </is>
      </c>
      <c r="C30" s="9" t="inlineStr">
        <is>
          <t>Visa</t>
        </is>
      </c>
      <c r="D30" s="10" t="inlineStr"/>
      <c r="E30" s="10" t="inlineStr">
        <is>
          <t>Payments</t>
        </is>
      </c>
      <c r="F30" s="10" t="inlineStr">
        <is>
          <t>Regional, with Egypt coverage</t>
        </is>
      </c>
      <c r="G30" s="10" t="inlineStr">
        <is>
          <t>Cash, in-kind, mentors</t>
        </is>
      </c>
      <c r="H30" s="10" t="inlineStr">
        <is>
          <t>A named tier in the coalition: a governorate, a sector or one of the fifteen missions under their name, with the direction report and the closing report.</t>
        </is>
      </c>
      <c r="I30" s="10" t="inlineStr">
        <is>
          <t>Small business enablement and financial literacy programmes across the Middle East and North Africa, usually delivered through partners.</t>
        </is>
      </c>
      <c r="J30" s="10" t="inlineStr">
        <is>
          <t>Merchant digitisation, financial literacy reach, and a credible local delivery partner.</t>
        </is>
      </c>
      <c r="K30" s="10" t="inlineStr">
        <is>
          <t>Social impact or government engagement lead for North Africa</t>
        </is>
      </c>
      <c r="L30" s="10" t="inlineStr">
        <is>
          <t>Through their Egyptian bank partners, who can sponsor the introduction, rather than cold to the regional office.</t>
        </is>
      </c>
      <c r="M30" s="10" t="inlineStr">
        <is>
          <t>Programme-driven.</t>
        </is>
      </c>
      <c r="N30" s="11" t="inlineStr">
        <is>
          <t>C</t>
        </is>
      </c>
      <c r="O30" s="17" t="inlineStr">
        <is>
          <t>medium</t>
        </is>
      </c>
      <c r="P30" s="10" t="inlineStr">
        <is>
          <t>Regional programmes are established; Egypt delivery partners and current cycle need checking.</t>
        </is>
      </c>
      <c r="Q30" s="13" t="inlineStr">
        <is>
          <t>Not invited</t>
        </is>
      </c>
      <c r="R30" s="14" t="n"/>
      <c r="S30" s="15" t="n"/>
      <c r="T30" s="14" t="n"/>
      <c r="U30" s="14" t="n"/>
      <c r="V30" s="14" t="n"/>
    </row>
    <row r="31" ht="61" customHeight="1">
      <c r="A31" s="7" t="inlineStr">
        <is>
          <t>CSR sponsor</t>
        </is>
      </c>
      <c r="B31" s="8" t="inlineStr">
        <is>
          <t>Governorate Partner</t>
        </is>
      </c>
      <c r="C31" s="9" t="inlineStr">
        <is>
          <t>Madinet Masr</t>
        </is>
      </c>
      <c r="D31" s="10" t="inlineStr"/>
      <c r="E31" s="10" t="inlineStr">
        <is>
          <t>Real estate</t>
        </is>
      </c>
      <c r="F31" s="10" t="inlineStr">
        <is>
          <t>Greater Cairo</t>
        </is>
      </c>
      <c r="G31" s="10" t="inlineStr">
        <is>
          <t>Cash, in-kind, mentors</t>
        </is>
      </c>
      <c r="H31" s="10" t="inlineStr">
        <is>
          <t>A named tier in the coalition: a governorate, a sector or one of the fifteen missions under their name, with the direction report and the closing report.</t>
        </is>
      </c>
      <c r="I31" s="10" t="inlineStr">
        <is>
          <t>Community and youth programmes, and a named private-sector partner of the Orange Corners entrepreneurship programme in Egypt.</t>
        </is>
      </c>
      <c r="J31" s="10" t="inlineStr">
        <is>
          <t>Association with a credible entrepreneurship programme and community development around their developments.</t>
        </is>
      </c>
      <c r="K31" s="10" t="inlineStr">
        <is>
          <t>Corporate communications or sustainability lead</t>
        </is>
      </c>
      <c r="L31" s="10" t="inlineStr">
        <is>
          <t>Through Orange Corners Egypt, where the relationship already exists.</t>
        </is>
      </c>
      <c r="M31" s="10" t="inlineStr">
        <is>
          <t>Calendar year.</t>
        </is>
      </c>
      <c r="N31" s="11" t="inlineStr">
        <is>
          <t>A</t>
        </is>
      </c>
      <c r="O31" s="12" t="inlineStr">
        <is>
          <t>high</t>
        </is>
      </c>
      <c r="P31" s="10" t="inlineStr">
        <is>
          <t>Confirmed this session: named as a partner celebrating Orange Corners Egypt graduates in Delta and Upper Egypt.</t>
        </is>
      </c>
      <c r="Q31" s="13" t="inlineStr">
        <is>
          <t>Not invited</t>
        </is>
      </c>
      <c r="R31" s="14" t="n"/>
      <c r="S31" s="15" t="n"/>
      <c r="T31" s="14" t="n"/>
      <c r="U31" s="14" t="n"/>
      <c r="V31" s="14" t="n"/>
    </row>
    <row r="32" ht="61" customHeight="1">
      <c r="A32" s="7" t="inlineStr">
        <is>
          <t>CSR sponsor</t>
        </is>
      </c>
      <c r="B32" s="8" t="inlineStr">
        <is>
          <t>Governorate Partner</t>
        </is>
      </c>
      <c r="C32" s="9" t="inlineStr">
        <is>
          <t>Credit Agricole Egypt</t>
        </is>
      </c>
      <c r="D32" s="10" t="inlineStr"/>
      <c r="E32" s="10" t="inlineStr">
        <is>
          <t>Banking, international</t>
        </is>
      </c>
      <c r="F32" s="10" t="inlineStr">
        <is>
          <t>National</t>
        </is>
      </c>
      <c r="G32" s="10" t="inlineStr">
        <is>
          <t>Cash, in-kind, mentors</t>
        </is>
      </c>
      <c r="H32" s="10" t="inlineStr">
        <is>
          <t>A named tier in the coalition: a governorate, a sector or one of the fifteen missions under their name, with the direction report and the closing report.</t>
        </is>
      </c>
      <c r="I32" s="10" t="inlineStr">
        <is>
          <t>A structured CSR programme covering education, environment and community development, reported to the French parent.</t>
        </is>
      </c>
      <c r="J32" s="10" t="inlineStr">
        <is>
          <t>Documented social impact for group reporting.</t>
        </is>
      </c>
      <c r="K32" s="10" t="inlineStr">
        <is>
          <t>CSR manager</t>
        </is>
      </c>
      <c r="L32" s="10" t="inlineStr">
        <is>
          <t>Direct. Their CSR function is comparatively accessible.</t>
        </is>
      </c>
      <c r="M32" s="10" t="inlineStr">
        <is>
          <t>Calendar year.</t>
        </is>
      </c>
      <c r="N32" s="11" t="inlineStr">
        <is>
          <t>B</t>
        </is>
      </c>
      <c r="O32" s="17" t="inlineStr">
        <is>
          <t>medium</t>
        </is>
      </c>
      <c r="P32" s="10" t="inlineStr">
        <is>
          <t>CSR function established; specific fit unconfirmed.</t>
        </is>
      </c>
      <c r="Q32" s="13" t="inlineStr">
        <is>
          <t>Not invited</t>
        </is>
      </c>
      <c r="R32" s="14" t="n"/>
      <c r="S32" s="15" t="n"/>
      <c r="T32" s="14" t="n"/>
      <c r="U32" s="14" t="n"/>
      <c r="V32" s="14" t="n"/>
    </row>
    <row r="33" ht="73.19999999999999" customHeight="1">
      <c r="A33" s="7" t="inlineStr">
        <is>
          <t>CSR sponsor</t>
        </is>
      </c>
      <c r="B33" s="8" t="inlineStr">
        <is>
          <t>Governorate Partner</t>
        </is>
      </c>
      <c r="C33" s="9" t="inlineStr">
        <is>
          <t>Etisalat by e&amp; Egypt</t>
        </is>
      </c>
      <c r="D33" s="10" t="inlineStr"/>
      <c r="E33" s="10" t="inlineStr">
        <is>
          <t>Telecommunications</t>
        </is>
      </c>
      <c r="F33" s="10" t="inlineStr">
        <is>
          <t>National</t>
        </is>
      </c>
      <c r="G33" s="10" t="inlineStr">
        <is>
          <t>Cash, in-kind, mentors</t>
        </is>
      </c>
      <c r="H33" s="10" t="inlineStr">
        <is>
          <t>A named tier in the coalition: a governorate, a sector or one of the fifteen missions under their name, with the direction report and the closing report.</t>
        </is>
      </c>
      <c r="I33" s="10" t="inlineStr">
        <is>
          <t>Digital inclusion, education and youth programmes under the group's sustainability framework.</t>
        </is>
      </c>
      <c r="J33" s="10" t="inlineStr">
        <is>
          <t>A programme of its own rather than a share of someone else's, and numbers that stand up in the group sustainability report.</t>
        </is>
      </c>
      <c r="K33" s="10" t="inlineStr">
        <is>
          <t>Sustainability or corporate communications manager</t>
        </is>
      </c>
      <c r="L33" s="10" t="inlineStr">
        <is>
          <t>Corporate sustainability contact on the e&amp; Egypt site; the UAE parent publishes the group framework the local report rolls into.</t>
        </is>
      </c>
      <c r="M33" s="10" t="inlineStr">
        <is>
          <t>Calendar year, with group reporting pressure in the fourth quarter.</t>
        </is>
      </c>
      <c r="N33" s="11" t="inlineStr">
        <is>
          <t>B</t>
        </is>
      </c>
      <c r="O33" s="17" t="inlineStr">
        <is>
          <t>medium</t>
        </is>
      </c>
      <c r="P33" s="10" t="inlineStr">
        <is>
          <t>Entity and CSR theme are established; no current entrepreneurship programme confirmed in this session. Treat the programme angle as a proposal, not as a response to something they run.</t>
        </is>
      </c>
      <c r="Q33" s="13" t="inlineStr">
        <is>
          <t>Not invited</t>
        </is>
      </c>
      <c r="R33" s="14" t="n"/>
      <c r="S33" s="15" t="n"/>
      <c r="T33" s="14" t="n"/>
      <c r="U33" s="14" t="n"/>
      <c r="V33" s="14" t="n"/>
    </row>
    <row r="34" ht="61" customHeight="1">
      <c r="A34" s="7" t="inlineStr">
        <is>
          <t>CSR sponsor</t>
        </is>
      </c>
      <c r="B34" s="8" t="inlineStr">
        <is>
          <t>Governorate Partner</t>
        </is>
      </c>
      <c r="C34" s="9" t="inlineStr">
        <is>
          <t>Eva Pharma</t>
        </is>
      </c>
      <c r="D34" s="10" t="inlineStr"/>
      <c r="E34" s="10" t="inlineStr">
        <is>
          <t>Pharmaceuticals</t>
        </is>
      </c>
      <c r="F34" s="10" t="inlineStr">
        <is>
          <t>National</t>
        </is>
      </c>
      <c r="G34" s="10" t="inlineStr">
        <is>
          <t>Cash, in-kind, mentors</t>
        </is>
      </c>
      <c r="H34" s="10" t="inlineStr">
        <is>
          <t>A named tier in the coalition: a governorate, a sector or one of the fifteen missions under their name, with the direction report and the closing report.</t>
        </is>
      </c>
      <c r="I34" s="10" t="inlineStr">
        <is>
          <t>A notably active corporate social programme covering health access, capacity building and youth development, with an Africa dimension.</t>
        </is>
      </c>
      <c r="J34" s="10" t="inlineStr">
        <is>
          <t>Capability built, youth developed, and an Africa and Egypt story.</t>
        </is>
      </c>
      <c r="K34" s="10" t="inlineStr">
        <is>
          <t>Head of corporate social responsibility</t>
        </is>
      </c>
      <c r="L34" s="10" t="inlineStr">
        <is>
          <t>Direct. They are approachable and comparatively fast.</t>
        </is>
      </c>
      <c r="M34" s="10" t="inlineStr">
        <is>
          <t>Calendar year.</t>
        </is>
      </c>
      <c r="N34" s="11" t="inlineStr">
        <is>
          <t>B</t>
        </is>
      </c>
      <c r="O34" s="17" t="inlineStr">
        <is>
          <t>medium</t>
        </is>
      </c>
      <c r="P34" s="10" t="inlineStr">
        <is>
          <t>CSR activity is well established; the entrepreneurship fit is a proposal.</t>
        </is>
      </c>
      <c r="Q34" s="13" t="inlineStr">
        <is>
          <t>Not invited</t>
        </is>
      </c>
      <c r="R34" s="14" t="n"/>
      <c r="S34" s="15" t="n"/>
      <c r="T34" s="14" t="n"/>
      <c r="U34" s="14" t="n"/>
      <c r="V34" s="14" t="n"/>
    </row>
    <row r="35" ht="61" customHeight="1">
      <c r="A35" s="7" t="inlineStr">
        <is>
          <t>CSR sponsor</t>
        </is>
      </c>
      <c r="B35" s="8" t="inlineStr">
        <is>
          <t>Governorate Partner</t>
        </is>
      </c>
      <c r="C35" s="9" t="inlineStr">
        <is>
          <t>Fawry</t>
        </is>
      </c>
      <c r="D35" s="10" t="inlineStr"/>
      <c r="E35" s="10" t="inlineStr">
        <is>
          <t>Fintech</t>
        </is>
      </c>
      <c r="F35" s="10" t="inlineStr">
        <is>
          <t>National</t>
        </is>
      </c>
      <c r="G35" s="10" t="inlineStr">
        <is>
          <t>Cash, in-kind, mentors</t>
        </is>
      </c>
      <c r="H35" s="10" t="inlineStr">
        <is>
          <t>A named tier in the coalition: a governorate, a sector or one of the fifteen missions under their name, with the direction report and the closing report.</t>
        </is>
      </c>
      <c r="I35" s="10" t="inlineStr">
        <is>
          <t>Financial inclusion, merchant enablement and SME digitisation, with a CSR narrative built around small business.</t>
        </is>
      </c>
      <c r="J35" s="10" t="inlineStr">
        <is>
          <t>Merchant acquisition that looks like social impact, and SME formalisation numbers.</t>
        </is>
      </c>
      <c r="K35" s="10" t="inlineStr">
        <is>
          <t>Marketing or sustainability director</t>
        </is>
      </c>
      <c r="L35" s="10" t="inlineStr">
        <is>
          <t>Direct, through corporate communications. Their SME team is the stronger internal sponsor than CSR.</t>
        </is>
      </c>
      <c r="M35" s="10" t="inlineStr">
        <is>
          <t>Calendar year, with budget set in the fourth quarter.</t>
        </is>
      </c>
      <c r="N35" s="11" t="inlineStr">
        <is>
          <t>B</t>
        </is>
      </c>
      <c r="O35" s="17" t="inlineStr">
        <is>
          <t>medium</t>
        </is>
      </c>
      <c r="P35" s="10" t="inlineStr">
        <is>
          <t>Commercial logic is strong; the CSR budget line is not confirmed.</t>
        </is>
      </c>
      <c r="Q35" s="13" t="inlineStr">
        <is>
          <t>Not invited</t>
        </is>
      </c>
      <c r="R35" s="14" t="n"/>
      <c r="S35" s="15" t="n"/>
      <c r="T35" s="14" t="n"/>
      <c r="U35" s="14" t="n"/>
      <c r="V35" s="14" t="n"/>
    </row>
    <row r="36" ht="61" customHeight="1">
      <c r="A36" s="7" t="inlineStr">
        <is>
          <t>CSR sponsor</t>
        </is>
      </c>
      <c r="B36" s="8" t="inlineStr">
        <is>
          <t>Governorate Partner</t>
        </is>
      </c>
      <c r="C36" s="9" t="inlineStr">
        <is>
          <t>Huawei Egypt</t>
        </is>
      </c>
      <c r="D36" s="10" t="inlineStr"/>
      <c r="E36" s="10" t="inlineStr">
        <is>
          <t>Technology</t>
        </is>
      </c>
      <c r="F36" s="10" t="inlineStr">
        <is>
          <t>National</t>
        </is>
      </c>
      <c r="G36" s="10" t="inlineStr">
        <is>
          <t>Cash, in-kind, mentors</t>
        </is>
      </c>
      <c r="H36" s="10" t="inlineStr">
        <is>
          <t>A named tier in the coalition: a governorate, a sector or one of the fifteen missions under their name, with the direction report and the closing report.</t>
        </is>
      </c>
      <c r="I36" s="10" t="inlineStr">
        <is>
          <t>Seeds for the Future, ICT Academy and ICT Competition, run with universities and the ICT ministry.</t>
        </is>
      </c>
      <c r="J36" s="10" t="inlineStr">
        <is>
          <t>University relationships, ministry visibility, and graduates who can be named in the programme report.</t>
        </is>
      </c>
      <c r="K36" s="10" t="inlineStr">
        <is>
          <t>Public affairs or CSR director, with the ICT Academy programme manager as the operational owner</t>
        </is>
      </c>
      <c r="L36" s="10" t="inlineStr">
        <is>
          <t>The ICT Academy university network is the route: a partner university can propose the add-on upward. ITIDA also convenes them.</t>
        </is>
      </c>
      <c r="M36" s="10" t="inlineStr">
        <is>
          <t>Programme cycles follow the academic year, so the window is May to August for the following year.</t>
        </is>
      </c>
      <c r="N36" s="11" t="inlineStr">
        <is>
          <t>B</t>
        </is>
      </c>
      <c r="O36" s="17" t="inlineStr">
        <is>
          <t>medium</t>
        </is>
      </c>
      <c r="P36" s="10" t="inlineStr">
        <is>
          <t>Programme names are well established regionally; confirm the Egypt cycle and the current academy partners before proposing.</t>
        </is>
      </c>
      <c r="Q36" s="13" t="inlineStr">
        <is>
          <t>Not invited</t>
        </is>
      </c>
      <c r="R36" s="14" t="n"/>
      <c r="S36" s="15" t="n"/>
      <c r="T36" s="14" t="n"/>
      <c r="U36" s="14" t="n"/>
      <c r="V36" s="14" t="n"/>
    </row>
    <row r="37" ht="61" customHeight="1">
      <c r="A37" s="7" t="inlineStr">
        <is>
          <t>CSR sponsor</t>
        </is>
      </c>
      <c r="B37" s="8" t="inlineStr">
        <is>
          <t>Governorate Partner</t>
        </is>
      </c>
      <c r="C37" s="9" t="inlineStr">
        <is>
          <t>Lafarge Egypt (Holcim)</t>
        </is>
      </c>
      <c r="D37" s="10" t="inlineStr"/>
      <c r="E37" s="10" t="inlineStr">
        <is>
          <t>Cement and building materials</t>
        </is>
      </c>
      <c r="F37" s="10" t="inlineStr">
        <is>
          <t>National</t>
        </is>
      </c>
      <c r="G37" s="10" t="inlineStr">
        <is>
          <t>Cash, in-kind, mentors</t>
        </is>
      </c>
      <c r="H37" s="10" t="inlineStr">
        <is>
          <t>A named tier in the coalition: a governorate, a sector or one of the fifteen missions under their name, with the direction report and the closing report.</t>
        </is>
      </c>
      <c r="I37" s="10" t="inlineStr">
        <is>
          <t>Sustainability programmes including construction skills, entrepreneurship among small contractors, and community development around quarries and plants.</t>
        </is>
      </c>
      <c r="J37" s="10" t="inlineStr">
        <is>
          <t>Small contractor capability, which converts directly into demand.</t>
        </is>
      </c>
      <c r="K37" s="10" t="inlineStr">
        <is>
          <t>Sustainability manager, with the retail or small contractor sales lead</t>
        </is>
      </c>
      <c r="L37" s="10" t="inlineStr">
        <is>
          <t>Direct, pitching to sales and sustainability jointly.</t>
        </is>
      </c>
      <c r="M37" s="10" t="inlineStr">
        <is>
          <t>Calendar year.</t>
        </is>
      </c>
      <c r="N37" s="11" t="inlineStr">
        <is>
          <t>B</t>
        </is>
      </c>
      <c r="O37" s="17" t="inlineStr">
        <is>
          <t>medium</t>
        </is>
      </c>
      <c r="P37" s="10" t="inlineStr">
        <is>
          <t>The programme type is well established in the sector; the Egypt instance is unconfirmed.</t>
        </is>
      </c>
      <c r="Q37" s="13" t="inlineStr">
        <is>
          <t>Not invited</t>
        </is>
      </c>
      <c r="R37" s="14" t="n"/>
      <c r="S37" s="15" t="n"/>
      <c r="T37" s="14" t="n"/>
      <c r="U37" s="14" t="n"/>
      <c r="V37" s="14" t="n"/>
    </row>
    <row r="38" ht="61" customHeight="1">
      <c r="A38" s="7" t="inlineStr">
        <is>
          <t>CSR sponsor</t>
        </is>
      </c>
      <c r="B38" s="8" t="inlineStr">
        <is>
          <t>Governorate Partner</t>
        </is>
      </c>
      <c r="C38" s="9" t="inlineStr">
        <is>
          <t>Telecom Egypt (WE)</t>
        </is>
      </c>
      <c r="D38" s="10" t="inlineStr"/>
      <c r="E38" s="10" t="inlineStr">
        <is>
          <t>Telecommunications</t>
        </is>
      </c>
      <c r="F38" s="10" t="inlineStr">
        <is>
          <t>National</t>
        </is>
      </c>
      <c r="G38" s="10" t="inlineStr">
        <is>
          <t>Cash, in-kind, mentors</t>
        </is>
      </c>
      <c r="H38" s="10" t="inlineStr">
        <is>
          <t>A named tier in the coalition: a governorate, a sector or one of the fifteen missions under their name, with the direction report and the closing report.</t>
        </is>
      </c>
      <c r="I38" s="10" t="inlineStr">
        <is>
          <t>State-linked operator with CSR anchored in digital literacy, connectivity for schools, and national initiative support.</t>
        </is>
      </c>
      <c r="J38" s="10" t="inlineStr">
        <is>
          <t>Alignment with national priorities and with Haya Karima style reach into underserved governorates.</t>
        </is>
      </c>
      <c r="K38" s="10" t="inlineStr">
        <is>
          <t>CSR manager, under corporate communications</t>
        </is>
      </c>
      <c r="L38" s="10" t="inlineStr">
        <is>
          <t>Approach through the national initiative rather than cold: a letter from Rowad 2030 or MSMEDA naming them as a partner carries further.</t>
        </is>
      </c>
      <c r="M38" s="10" t="inlineStr">
        <is>
          <t>State fiscal year begins in July, so proposals land best in the February to April window.</t>
        </is>
      </c>
      <c r="N38" s="11" t="inlineStr">
        <is>
          <t>B</t>
        </is>
      </c>
      <c r="O38" s="17" t="inlineStr">
        <is>
          <t>medium</t>
        </is>
      </c>
      <c r="P38" s="10" t="inlineStr">
        <is>
          <t>CSR orientation is well established; the specific programme fit is inferred from their public positioning.</t>
        </is>
      </c>
      <c r="Q38" s="13" t="inlineStr">
        <is>
          <t>Not invited</t>
        </is>
      </c>
      <c r="R38" s="14" t="n"/>
      <c r="S38" s="15" t="n"/>
      <c r="T38" s="14" t="n"/>
      <c r="U38" s="14" t="n"/>
      <c r="V38" s="14" t="n"/>
    </row>
    <row r="39" ht="61" customHeight="1">
      <c r="A39" s="7" t="inlineStr">
        <is>
          <t>CSR sponsor</t>
        </is>
      </c>
      <c r="B39" s="8" t="inlineStr">
        <is>
          <t>Governorate Partner</t>
        </is>
      </c>
      <c r="C39" s="9" t="inlineStr">
        <is>
          <t>Abu Dhabi Islamic Bank Egypt</t>
        </is>
      </c>
      <c r="D39" s="10" t="inlineStr"/>
      <c r="E39" s="10" t="inlineStr">
        <is>
          <t>Islamic banking</t>
        </is>
      </c>
      <c r="F39" s="10" t="inlineStr">
        <is>
          <t>National</t>
        </is>
      </c>
      <c r="G39" s="10" t="inlineStr">
        <is>
          <t>Cash, in-kind, mentors</t>
        </is>
      </c>
      <c r="H39" s="10" t="inlineStr">
        <is>
          <t>A named tier in the coalition: a governorate, a sector or one of the fifteen missions under their name, with the direction report and the closing report.</t>
        </is>
      </c>
      <c r="I39" s="10" t="inlineStr">
        <is>
          <t>Community and youth CSR with a zakat and social finance dimension alongside conventional CSR.</t>
        </is>
      </c>
      <c r="J39" s="10" t="inlineStr">
        <is>
          <t>Social finance deployment that is both compliant and reportable.</t>
        </is>
      </c>
      <c r="K39" s="10" t="inlineStr">
        <is>
          <t>Head of CSR, with sharia governance consulted on the funding route</t>
        </is>
      </c>
      <c r="L39" s="10" t="inlineStr">
        <is>
          <t>Direct. Expect the sharia compliance question early and prepare for it.</t>
        </is>
      </c>
      <c r="M39" s="10" t="inlineStr">
        <is>
          <t>Hijri and calendar considerations both apply. Ramadan is a strong giving window but a weak delivery one.</t>
        </is>
      </c>
      <c r="N39" s="11" t="inlineStr">
        <is>
          <t>C</t>
        </is>
      </c>
      <c r="O39" s="16" t="inlineStr">
        <is>
          <t>low</t>
        </is>
      </c>
      <c r="P39" s="10" t="inlineStr">
        <is>
          <t>Reasoned prospect. The social finance route needs verifying with them directly.</t>
        </is>
      </c>
      <c r="Q39" s="13" t="inlineStr">
        <is>
          <t>Not invited</t>
        </is>
      </c>
      <c r="R39" s="14" t="n"/>
      <c r="S39" s="15" t="n"/>
      <c r="T39" s="14" t="n"/>
      <c r="U39" s="14" t="n"/>
      <c r="V39" s="14" t="n"/>
    </row>
    <row r="40" ht="61" customHeight="1">
      <c r="A40" s="7" t="inlineStr">
        <is>
          <t>CSR sponsor</t>
        </is>
      </c>
      <c r="B40" s="8" t="inlineStr">
        <is>
          <t>Governorate Partner</t>
        </is>
      </c>
      <c r="C40" s="9" t="inlineStr">
        <is>
          <t>AstraZeneca Egypt</t>
        </is>
      </c>
      <c r="D40" s="10" t="inlineStr"/>
      <c r="E40" s="10" t="inlineStr">
        <is>
          <t>Pharmaceuticals, international</t>
        </is>
      </c>
      <c r="F40" s="10" t="inlineStr">
        <is>
          <t>National</t>
        </is>
      </c>
      <c r="G40" s="10" t="inlineStr">
        <is>
          <t>Cash, in-kind, mentors</t>
        </is>
      </c>
      <c r="H40" s="10" t="inlineStr">
        <is>
          <t>A named tier in the coalition: a governorate, a sector or one of the fifteen missions under their name, with the direction report and the closing report.</t>
        </is>
      </c>
      <c r="I40" s="10" t="inlineStr">
        <is>
          <t>Young Health Programme and health system capacity work, delivered through NGO partners.</t>
        </is>
      </c>
      <c r="J40" s="10" t="inlineStr">
        <is>
          <t>Youth reach numbers and partner credibility.</t>
        </is>
      </c>
      <c r="K40" s="10" t="inlineStr">
        <is>
          <t>Corporate affairs or sustainability manager</t>
        </is>
      </c>
      <c r="L40" s="10" t="inlineStr">
        <is>
          <t>Through their existing NGO implementing partner.</t>
        </is>
      </c>
      <c r="M40" s="10" t="inlineStr">
        <is>
          <t>Calendar year.</t>
        </is>
      </c>
      <c r="N40" s="11" t="inlineStr">
        <is>
          <t>C</t>
        </is>
      </c>
      <c r="O40" s="16" t="inlineStr">
        <is>
          <t>low</t>
        </is>
      </c>
      <c r="P40" s="10" t="inlineStr">
        <is>
          <t>Adjacent rather than central. Low priority.</t>
        </is>
      </c>
      <c r="Q40" s="13" t="inlineStr">
        <is>
          <t>Not invited</t>
        </is>
      </c>
      <c r="R40" s="14" t="n"/>
      <c r="S40" s="15" t="n"/>
      <c r="T40" s="14" t="n"/>
      <c r="U40" s="14" t="n"/>
      <c r="V40" s="14" t="n"/>
    </row>
    <row r="41" ht="61" customHeight="1">
      <c r="A41" s="7" t="inlineStr">
        <is>
          <t>CSR sponsor</t>
        </is>
      </c>
      <c r="B41" s="8" t="inlineStr">
        <is>
          <t>Governorate Partner</t>
        </is>
      </c>
      <c r="C41" s="9" t="inlineStr">
        <is>
          <t>GB Corp (Ghabbour Auto)</t>
        </is>
      </c>
      <c r="D41" s="10" t="inlineStr"/>
      <c r="E41" s="10" t="inlineStr">
        <is>
          <t>Automotive and financing</t>
        </is>
      </c>
      <c r="F41" s="10" t="inlineStr">
        <is>
          <t>National</t>
        </is>
      </c>
      <c r="G41" s="10" t="inlineStr">
        <is>
          <t>Cash, in-kind, mentors</t>
        </is>
      </c>
      <c r="H41" s="10" t="inlineStr">
        <is>
          <t>A named tier in the coalition: a governorate, a sector or one of the fifteen missions under their name, with the direction report and the closing report.</t>
        </is>
      </c>
      <c r="I41" s="10" t="inlineStr">
        <is>
          <t>Community programmes, driver and technician training, and consumer financing with a microfinance arm.</t>
        </is>
      </c>
      <c r="J41" s="10" t="inlineStr">
        <is>
          <t>Better borrowers and a skilled technician pipeline.</t>
        </is>
      </c>
      <c r="K41" s="10" t="inlineStr">
        <is>
          <t>CSR lead, with the microfinance business line</t>
        </is>
      </c>
      <c r="L41" s="10" t="inlineStr">
        <is>
          <t>Through the financing arm, where the commercial case lands.</t>
        </is>
      </c>
      <c r="M41" s="10" t="inlineStr">
        <is>
          <t>Calendar year.</t>
        </is>
      </c>
      <c r="N41" s="11" t="inlineStr">
        <is>
          <t>C</t>
        </is>
      </c>
      <c r="O41" s="16" t="inlineStr">
        <is>
          <t>low</t>
        </is>
      </c>
      <c r="P41" s="10" t="inlineStr">
        <is>
          <t>Reasoned prospect.</t>
        </is>
      </c>
      <c r="Q41" s="13" t="inlineStr">
        <is>
          <t>Not invited</t>
        </is>
      </c>
      <c r="R41" s="14" t="n"/>
      <c r="S41" s="15" t="n"/>
      <c r="T41" s="14" t="n"/>
      <c r="U41" s="14" t="n"/>
      <c r="V41" s="14" t="n"/>
    </row>
    <row r="42" ht="61" customHeight="1">
      <c r="A42" s="7" t="inlineStr">
        <is>
          <t>CSR sponsor</t>
        </is>
      </c>
      <c r="B42" s="8" t="inlineStr">
        <is>
          <t>Governorate Partner</t>
        </is>
      </c>
      <c r="C42" s="9" t="inlineStr">
        <is>
          <t>Hassan Allam Holding</t>
        </is>
      </c>
      <c r="D42" s="10" t="inlineStr"/>
      <c r="E42" s="10" t="inlineStr">
        <is>
          <t>Construction and infrastructure</t>
        </is>
      </c>
      <c r="F42" s="10" t="inlineStr">
        <is>
          <t>National</t>
        </is>
      </c>
      <c r="G42" s="10" t="inlineStr">
        <is>
          <t>Cash, in-kind, mentors</t>
        </is>
      </c>
      <c r="H42" s="10" t="inlineStr">
        <is>
          <t>A named tier in the coalition: a governorate, a sector or one of the fifteen missions under their name, with the direction report and the closing report.</t>
        </is>
      </c>
      <c r="I42" s="10" t="inlineStr">
        <is>
          <t>Community investment around projects, technical training, and a growing sustainability function.</t>
        </is>
      </c>
      <c r="J42" s="10" t="inlineStr">
        <is>
          <t>Community acceptance around projects and local employment.</t>
        </is>
      </c>
      <c r="K42" s="10" t="inlineStr">
        <is>
          <t>Sustainability or corporate communications lead</t>
        </is>
      </c>
      <c r="L42" s="10" t="inlineStr">
        <is>
          <t>Direct, or through the project's community liaison.</t>
        </is>
      </c>
      <c r="M42" s="10" t="inlineStr">
        <is>
          <t>Project-driven rather than seasonal.</t>
        </is>
      </c>
      <c r="N42" s="11" t="inlineStr">
        <is>
          <t>C</t>
        </is>
      </c>
      <c r="O42" s="16" t="inlineStr">
        <is>
          <t>low</t>
        </is>
      </c>
      <c r="P42" s="10" t="inlineStr">
        <is>
          <t>Reasoned prospect.</t>
        </is>
      </c>
      <c r="Q42" s="13" t="inlineStr">
        <is>
          <t>Not invited</t>
        </is>
      </c>
      <c r="R42" s="14" t="n"/>
      <c r="S42" s="15" t="n"/>
      <c r="T42" s="14" t="n"/>
      <c r="U42" s="14" t="n"/>
      <c r="V42" s="14" t="n"/>
    </row>
    <row r="43" ht="61" customHeight="1">
      <c r="A43" s="7" t="inlineStr">
        <is>
          <t>CSR sponsor</t>
        </is>
      </c>
      <c r="B43" s="8" t="inlineStr">
        <is>
          <t>Governorate Partner</t>
        </is>
      </c>
      <c r="C43" s="9" t="inlineStr">
        <is>
          <t>IBM Egypt</t>
        </is>
      </c>
      <c r="D43" s="10" t="inlineStr"/>
      <c r="E43" s="10" t="inlineStr">
        <is>
          <t>Technology</t>
        </is>
      </c>
      <c r="F43" s="10" t="inlineStr">
        <is>
          <t>National</t>
        </is>
      </c>
      <c r="G43" s="10" t="inlineStr">
        <is>
          <t>Cash, in-kind, mentors</t>
        </is>
      </c>
      <c r="H43" s="10" t="inlineStr">
        <is>
          <t>A named tier in the coalition: a governorate, a sector or one of the fifteen missions under their name, with the direction report and the closing report.</t>
        </is>
      </c>
      <c r="I43" s="10" t="inlineStr">
        <is>
          <t>SkillsBuild and corporate citizenship grants focused on employability and digital skills.</t>
        </is>
      </c>
      <c r="J43" s="10" t="inlineStr">
        <is>
          <t>Learner numbers, certification completion, and university partners.</t>
        </is>
      </c>
      <c r="K43" s="10" t="inlineStr">
        <is>
          <t>Corporate social responsibility lead, Egypt or Middle East and Africa</t>
        </is>
      </c>
      <c r="L43" s="10" t="inlineStr">
        <is>
          <t>Universities already inside SkillsBuild can propose the pathway upward, which is faster than a direct approach.</t>
        </is>
      </c>
      <c r="M43" s="10" t="inlineStr">
        <is>
          <t>Academic year cycles.</t>
        </is>
      </c>
      <c r="N43" s="11" t="inlineStr">
        <is>
          <t>C</t>
        </is>
      </c>
      <c r="O43" s="17" t="inlineStr">
        <is>
          <t>medium</t>
        </is>
      </c>
      <c r="P43" s="10" t="inlineStr">
        <is>
          <t>SkillsBuild is a stable global programme; the Egypt partner list needs checking.</t>
        </is>
      </c>
      <c r="Q43" s="13" t="inlineStr">
        <is>
          <t>Not invited</t>
        </is>
      </c>
      <c r="R43" s="14" t="n"/>
      <c r="S43" s="15" t="n"/>
      <c r="T43" s="14" t="n"/>
      <c r="U43" s="14" t="n"/>
      <c r="V43" s="14" t="n"/>
    </row>
    <row r="44" ht="61" customHeight="1">
      <c r="A44" s="7" t="inlineStr">
        <is>
          <t>CSR sponsor</t>
        </is>
      </c>
      <c r="B44" s="8" t="inlineStr">
        <is>
          <t>Governorate Partner</t>
        </is>
      </c>
      <c r="C44" s="9" t="inlineStr">
        <is>
          <t>Juhayna Food Industries</t>
        </is>
      </c>
      <c r="D44" s="10" t="inlineStr"/>
      <c r="E44" s="10" t="inlineStr">
        <is>
          <t>Dairy and juice</t>
        </is>
      </c>
      <c r="F44" s="10" t="inlineStr">
        <is>
          <t>National, with agricultural supply chain</t>
        </is>
      </c>
      <c r="G44" s="10" t="inlineStr">
        <is>
          <t>Cash, in-kind, mentors</t>
        </is>
      </c>
      <c r="H44" s="10" t="inlineStr">
        <is>
          <t>A named tier in the coalition: a governorate, a sector or one of the fifteen missions under their name, with the direction report and the closing report.</t>
        </is>
      </c>
      <c r="I44" s="10" t="inlineStr">
        <is>
          <t>Agricultural development, farmer support and community programmes, with a family foundation tradition behind the company.</t>
        </is>
      </c>
      <c r="J44" s="10" t="inlineStr">
        <is>
          <t>Supply chain resilience and rural livelihoods.</t>
        </is>
      </c>
      <c r="K44" s="10" t="inlineStr">
        <is>
          <t>Corporate affairs, with the family foundation for larger asks</t>
        </is>
      </c>
      <c r="L44" s="10" t="inlineStr">
        <is>
          <t>Direct, or through the Egyptian Junior Business Association network where the family is active.</t>
        </is>
      </c>
      <c r="M44" s="10" t="inlineStr">
        <is>
          <t>Calendar year.</t>
        </is>
      </c>
      <c r="N44" s="11" t="inlineStr">
        <is>
          <t>C</t>
        </is>
      </c>
      <c r="O44" s="17" t="inlineStr">
        <is>
          <t>medium</t>
        </is>
      </c>
      <c r="P44" s="10" t="inlineStr">
        <is>
          <t>Agricultural community work is established; the entrepreneurship angle is a proposal.</t>
        </is>
      </c>
      <c r="Q44" s="13" t="inlineStr">
        <is>
          <t>Not invited</t>
        </is>
      </c>
      <c r="R44" s="14" t="n"/>
      <c r="S44" s="15" t="n"/>
      <c r="T44" s="14" t="n"/>
      <c r="U44" s="14" t="n"/>
      <c r="V44" s="14" t="n"/>
    </row>
    <row r="45" ht="61" customHeight="1">
      <c r="A45" s="7" t="inlineStr">
        <is>
          <t>CSR sponsor</t>
        </is>
      </c>
      <c r="B45" s="8" t="inlineStr">
        <is>
          <t>Governorate Partner</t>
        </is>
      </c>
      <c r="C45" s="9" t="inlineStr">
        <is>
          <t>Meta</t>
        </is>
      </c>
      <c r="D45" s="10" t="inlineStr"/>
      <c r="E45" s="10" t="inlineStr">
        <is>
          <t>Technology</t>
        </is>
      </c>
      <c r="F45" s="10" t="inlineStr">
        <is>
          <t>Regional, with Egypt coverage</t>
        </is>
      </c>
      <c r="G45" s="10" t="inlineStr">
        <is>
          <t>Cash, in-kind, mentors</t>
        </is>
      </c>
      <c r="H45" s="10" t="inlineStr">
        <is>
          <t>A named tier in the coalition: a governorate, a sector or one of the fifteen missions under their name, with the direction report and the closing report.</t>
        </is>
      </c>
      <c r="I45" s="10" t="inlineStr">
        <is>
          <t>Boost with Meta and small business training programmes, usually delivered through local implementing partners.</t>
        </is>
      </c>
      <c r="J45" s="10" t="inlineStr">
        <is>
          <t>Small business reach numbers and local language delivery.</t>
        </is>
      </c>
      <c r="K45" s="10" t="inlineStr">
        <is>
          <t>Public policy or community partnerships manager for North Africa</t>
        </is>
      </c>
      <c r="L45" s="10" t="inlineStr">
        <is>
          <t>Through an existing implementing partner. Direct approaches to Meta without one rarely land.</t>
        </is>
      </c>
      <c r="M45" s="10" t="inlineStr">
        <is>
          <t>Programme-driven rather than seasonal.</t>
        </is>
      </c>
      <c r="N45" s="11" t="inlineStr">
        <is>
          <t>C</t>
        </is>
      </c>
      <c r="O45" s="16" t="inlineStr">
        <is>
          <t>low</t>
        </is>
      </c>
      <c r="P45" s="10" t="inlineStr">
        <is>
          <t>Fit is reasoned, not confirmed. Verify that the Egypt programme is still running before investing time.</t>
        </is>
      </c>
      <c r="Q45" s="13" t="inlineStr">
        <is>
          <t>Not invited</t>
        </is>
      </c>
      <c r="R45" s="14" t="n"/>
      <c r="S45" s="15" t="n"/>
      <c r="T45" s="14" t="n"/>
      <c r="U45" s="14" t="n"/>
      <c r="V45" s="14" t="n"/>
    </row>
    <row r="46" ht="61" customHeight="1">
      <c r="A46" s="7" t="inlineStr">
        <is>
          <t>CSR sponsor</t>
        </is>
      </c>
      <c r="B46" s="8" t="inlineStr">
        <is>
          <t>Governorate Partner</t>
        </is>
      </c>
      <c r="C46" s="9" t="inlineStr">
        <is>
          <t>SODIC</t>
        </is>
      </c>
      <c r="D46" s="10" t="inlineStr"/>
      <c r="E46" s="10" t="inlineStr">
        <is>
          <t>Real estate</t>
        </is>
      </c>
      <c r="F46" s="10" t="inlineStr">
        <is>
          <t>Greater Cairo and North Coast</t>
        </is>
      </c>
      <c r="G46" s="10" t="inlineStr">
        <is>
          <t>Cash, in-kind, mentors</t>
        </is>
      </c>
      <c r="H46" s="10" t="inlineStr">
        <is>
          <t>A named tier in the coalition: a governorate, a sector or one of the fifteen missions under their name, with the direction report and the closing report.</t>
        </is>
      </c>
      <c r="I46" s="10" t="inlineStr">
        <is>
          <t>Education and community CSR, with a record of funding named education initiatives.</t>
        </is>
      </c>
      <c r="J46" s="10" t="inlineStr">
        <is>
          <t>Brand association with quality education and community impact.</t>
        </is>
      </c>
      <c r="K46" s="10" t="inlineStr">
        <is>
          <t>Marketing and communications director</t>
        </is>
      </c>
      <c r="L46" s="10" t="inlineStr">
        <is>
          <t>Direct. Developer marketing budgets move faster than CSR budgets.</t>
        </is>
      </c>
      <c r="M46" s="10" t="inlineStr">
        <is>
          <t>Calendar year.</t>
        </is>
      </c>
      <c r="N46" s="11" t="inlineStr">
        <is>
          <t>C</t>
        </is>
      </c>
      <c r="O46" s="17" t="inlineStr">
        <is>
          <t>medium</t>
        </is>
      </c>
      <c r="P46" s="10" t="inlineStr">
        <is>
          <t>Education CSR is established; fit is a proposal.</t>
        </is>
      </c>
      <c r="Q46" s="13" t="inlineStr">
        <is>
          <t>Not invited</t>
        </is>
      </c>
      <c r="R46" s="14" t="n"/>
      <c r="S46" s="15" t="n"/>
      <c r="T46" s="14" t="n"/>
      <c r="U46" s="14" t="n"/>
      <c r="V46" s="14" t="n"/>
    </row>
    <row r="47" ht="61" customHeight="1">
      <c r="A47" s="7" t="inlineStr">
        <is>
          <t>CSR sponsor</t>
        </is>
      </c>
      <c r="B47" s="8" t="inlineStr">
        <is>
          <t>Governorate Partner</t>
        </is>
      </c>
      <c r="C47" s="9" t="inlineStr">
        <is>
          <t>Schlumberger (SLB) Egypt</t>
        </is>
      </c>
      <c r="D47" s="10" t="inlineStr"/>
      <c r="E47" s="10" t="inlineStr">
        <is>
          <t>Oilfield services</t>
        </is>
      </c>
      <c r="F47" s="10" t="inlineStr">
        <is>
          <t>National</t>
        </is>
      </c>
      <c r="G47" s="10" t="inlineStr">
        <is>
          <t>Cash, in-kind, mentors</t>
        </is>
      </c>
      <c r="H47" s="10" t="inlineStr">
        <is>
          <t>A named tier in the coalition: a governorate, a sector or one of the fifteen missions under their name, with the direction report and the closing report.</t>
        </is>
      </c>
      <c r="I47" s="10" t="inlineStr">
        <is>
          <t>STEM education, technical training and community programmes near operations.</t>
        </is>
      </c>
      <c r="J47" s="10" t="inlineStr">
        <is>
          <t>Technical talent pipeline and STEM outcomes.</t>
        </is>
      </c>
      <c r="K47" s="10" t="inlineStr">
        <is>
          <t>Community affairs or HR community programmes lead</t>
        </is>
      </c>
      <c r="L47" s="10" t="inlineStr">
        <is>
          <t>Through technical institutes they already support.</t>
        </is>
      </c>
      <c r="M47" s="10" t="inlineStr">
        <is>
          <t>Calendar year.</t>
        </is>
      </c>
      <c r="N47" s="11" t="inlineStr">
        <is>
          <t>C</t>
        </is>
      </c>
      <c r="O47" s="16" t="inlineStr">
        <is>
          <t>low</t>
        </is>
      </c>
      <c r="P47" s="10" t="inlineStr">
        <is>
          <t>Reasoned prospect; no Egypt programme confirmed.</t>
        </is>
      </c>
      <c r="Q47" s="13" t="inlineStr">
        <is>
          <t>Not invited</t>
        </is>
      </c>
      <c r="R47" s="14" t="n"/>
      <c r="S47" s="15" t="n"/>
      <c r="T47" s="14" t="n"/>
      <c r="U47" s="14" t="n"/>
      <c r="V47" s="14" t="n"/>
    </row>
    <row r="48" ht="61" customHeight="1">
      <c r="A48" s="7" t="inlineStr">
        <is>
          <t>CSR sponsor</t>
        </is>
      </c>
      <c r="B48" s="8" t="inlineStr">
        <is>
          <t>Governorate Partner</t>
        </is>
      </c>
      <c r="C48" s="9" t="inlineStr">
        <is>
          <t>Talaat Moustafa Group</t>
        </is>
      </c>
      <c r="D48" s="10" t="inlineStr"/>
      <c r="E48" s="10" t="inlineStr">
        <is>
          <t>Real estate</t>
        </is>
      </c>
      <c r="F48" s="10" t="inlineStr">
        <is>
          <t>National</t>
        </is>
      </c>
      <c r="G48" s="10" t="inlineStr">
        <is>
          <t>Cash, in-kind, mentors</t>
        </is>
      </c>
      <c r="H48" s="10" t="inlineStr">
        <is>
          <t>A named tier in the coalition: a governorate, a sector or one of the fifteen missions under their name, with the direction report and the closing report.</t>
        </is>
      </c>
      <c r="I48" s="10" t="inlineStr">
        <is>
          <t>Large-scale community development around its cities, plus education and sports facilities.</t>
        </is>
      </c>
      <c r="J48" s="10" t="inlineStr">
        <is>
          <t>Occupied retail units, serviced communities, and brand.</t>
        </is>
      </c>
      <c r="K48" s="10" t="inlineStr">
        <is>
          <t>Corporate communications and community management</t>
        </is>
      </c>
      <c r="L48" s="10" t="inlineStr">
        <is>
          <t>Through community management rather than CSR.</t>
        </is>
      </c>
      <c r="M48" s="10" t="inlineStr">
        <is>
          <t>Calendar year.</t>
        </is>
      </c>
      <c r="N48" s="11" t="inlineStr">
        <is>
          <t>C</t>
        </is>
      </c>
      <c r="O48" s="16" t="inlineStr">
        <is>
          <t>low</t>
        </is>
      </c>
      <c r="P48" s="10" t="inlineStr">
        <is>
          <t>Reasoned prospect.</t>
        </is>
      </c>
      <c r="Q48" s="13" t="inlineStr">
        <is>
          <t>Not invited</t>
        </is>
      </c>
      <c r="R48" s="14" t="n"/>
      <c r="S48" s="15" t="n"/>
      <c r="T48" s="14" t="n"/>
      <c r="U48" s="14" t="n"/>
      <c r="V48" s="14" t="n"/>
    </row>
    <row r="49" ht="61" customHeight="1">
      <c r="A49" s="7" t="inlineStr">
        <is>
          <t>CSR sponsor</t>
        </is>
      </c>
      <c r="B49" s="8" t="inlineStr">
        <is>
          <t>Governorate Partner</t>
        </is>
      </c>
      <c r="C49" s="9" t="inlineStr">
        <is>
          <t>Unilever Mashreq</t>
        </is>
      </c>
      <c r="D49" s="10" t="inlineStr"/>
      <c r="E49" s="10" t="inlineStr">
        <is>
          <t>Consumer goods</t>
        </is>
      </c>
      <c r="F49" s="10" t="inlineStr">
        <is>
          <t>National</t>
        </is>
      </c>
      <c r="G49" s="10" t="inlineStr">
        <is>
          <t>Cash, in-kind, mentors</t>
        </is>
      </c>
      <c r="H49" s="10" t="inlineStr">
        <is>
          <t>A named tier in the coalition: a governorate, a sector or one of the fifteen missions under their name, with the direction report and the closing report.</t>
        </is>
      </c>
      <c r="I49" s="10" t="inlineStr">
        <is>
          <t>Sustainable living programmes, women's empowerment through distribution networks, and youth skilling.</t>
        </is>
      </c>
      <c r="J49" s="10" t="inlineStr">
        <is>
          <t>Distributor network growth that reads as empowerment, plus skilling numbers.</t>
        </is>
      </c>
      <c r="K49" s="10" t="inlineStr">
        <is>
          <t>Sustainability or corporate affairs manager</t>
        </is>
      </c>
      <c r="L49" s="10" t="inlineStr">
        <is>
          <t>Direct to corporate affairs.</t>
        </is>
      </c>
      <c r="M49" s="10" t="inlineStr">
        <is>
          <t>Calendar year.</t>
        </is>
      </c>
      <c r="N49" s="11" t="inlineStr">
        <is>
          <t>C</t>
        </is>
      </c>
      <c r="O49" s="16" t="inlineStr">
        <is>
          <t>low</t>
        </is>
      </c>
      <c r="P49" s="10" t="inlineStr">
        <is>
          <t>Reasoned prospect based on their model elsewhere.</t>
        </is>
      </c>
      <c r="Q49" s="13" t="inlineStr">
        <is>
          <t>Not invited</t>
        </is>
      </c>
      <c r="R49" s="14" t="n"/>
      <c r="S49" s="15" t="n"/>
      <c r="T49" s="14" t="n"/>
      <c r="U49" s="14" t="n"/>
      <c r="V49" s="14" t="n"/>
    </row>
    <row r="50" ht="61" customHeight="1">
      <c r="A50" s="7" t="inlineStr">
        <is>
          <t>CSR sponsor</t>
        </is>
      </c>
      <c r="B50" s="8" t="inlineStr">
        <is>
          <t>Governorate Partner</t>
        </is>
      </c>
      <c r="C50" s="9" t="inlineStr">
        <is>
          <t>e-finance Investment Group</t>
        </is>
      </c>
      <c r="D50" s="10" t="inlineStr"/>
      <c r="E50" s="10" t="inlineStr">
        <is>
          <t>Fintech, state-linked</t>
        </is>
      </c>
      <c r="F50" s="10" t="inlineStr">
        <is>
          <t>National</t>
        </is>
      </c>
      <c r="G50" s="10" t="inlineStr">
        <is>
          <t>Cash, in-kind, mentors</t>
        </is>
      </c>
      <c r="H50" s="10" t="inlineStr">
        <is>
          <t>A named tier in the coalition: a governorate, a sector or one of the fifteen missions under their name, with the direction report and the closing report.</t>
        </is>
      </c>
      <c r="I50" s="10" t="inlineStr">
        <is>
          <t>Digital transformation of government services, with CSR tied to the national digital agenda.</t>
        </is>
      </c>
      <c r="J50" s="10" t="inlineStr">
        <is>
          <t>Visible contribution to the national digital and entrepreneurship agenda.</t>
        </is>
      </c>
      <c r="K50" s="10" t="inlineStr">
        <is>
          <t>Chairman's office, through corporate communications</t>
        </is>
      </c>
      <c r="L50" s="10" t="inlineStr">
        <is>
          <t>Through the Ministry of Communications and Information Technology or ITIDA rather than cold.</t>
        </is>
      </c>
      <c r="M50" s="10" t="inlineStr">
        <is>
          <t>State fiscal year from July.</t>
        </is>
      </c>
      <c r="N50" s="11" t="inlineStr">
        <is>
          <t>C</t>
        </is>
      </c>
      <c r="O50" s="16" t="inlineStr">
        <is>
          <t>low</t>
        </is>
      </c>
      <c r="P50" s="10" t="inlineStr">
        <is>
          <t>Reasoned prospect based on mandate, not on a confirmed CSR line.</t>
        </is>
      </c>
      <c r="Q50" s="13" t="inlineStr">
        <is>
          <t>Not invited</t>
        </is>
      </c>
      <c r="R50" s="14" t="n"/>
      <c r="S50" s="15" t="n"/>
      <c r="T50" s="14" t="n"/>
      <c r="U50" s="14" t="n"/>
      <c r="V50" s="14" t="n"/>
    </row>
    <row r="51" ht="61" customHeight="1">
      <c r="A51" s="7" t="inlineStr">
        <is>
          <t>CSR sponsor</t>
        </is>
      </c>
      <c r="B51" s="8" t="inlineStr">
        <is>
          <t>Mission Partner or in-kind</t>
        </is>
      </c>
      <c r="C51" s="9" t="inlineStr">
        <is>
          <t>Egyptian corporate foundations, second tier</t>
        </is>
      </c>
      <c r="D51" s="10" t="inlineStr"/>
      <c r="E51" s="10" t="inlineStr">
        <is>
          <t>Corporate foundations</t>
        </is>
      </c>
      <c r="F51" s="10" t="inlineStr">
        <is>
          <t>National</t>
        </is>
      </c>
      <c r="G51" s="10" t="inlineStr">
        <is>
          <t>Cash, in-kind, mentors</t>
        </is>
      </c>
      <c r="H51" s="10" t="inlineStr">
        <is>
          <t>A named tier in the coalition: a governorate, a sector or one of the fifteen missions under their name, with the direction report and the closing report.</t>
        </is>
      </c>
      <c r="I51" s="10" t="inlineStr">
        <is>
          <t>A long tail of registered corporate foundations attached to Egyptian groups in retail, construction, food and finance, most funding education, health and community work.</t>
        </is>
      </c>
      <c r="J51" s="10" t="inlineStr">
        <is>
          <t>A credible programme with a report at the end, and a logo on it.</t>
        </is>
      </c>
      <c r="K51" s="10" t="inlineStr">
        <is>
          <t>Foundation manager or corporate communications</t>
        </is>
      </c>
      <c r="L51" s="10" t="inlineStr">
        <is>
          <t>Through the Ministry of Social Solidarity's registry of foundations, which is public, and through the business associations.</t>
        </is>
      </c>
      <c r="M51" s="10" t="inlineStr">
        <is>
          <t>Calendar year.</t>
        </is>
      </c>
      <c r="N51" s="11" t="inlineStr">
        <is>
          <t>B</t>
        </is>
      </c>
      <c r="O51" s="17" t="inlineStr">
        <is>
          <t>medium</t>
        </is>
      </c>
      <c r="P51" s="10" t="inlineStr">
        <is>
          <t>This is a category row, not an organisation. Its purpose is to stop the pipeline being built only from famous names.</t>
        </is>
      </c>
      <c r="Q51" s="13" t="inlineStr">
        <is>
          <t>Not invited</t>
        </is>
      </c>
      <c r="R51" s="14" t="n"/>
      <c r="S51" s="15" t="n"/>
      <c r="T51" s="14" t="n"/>
      <c r="U51" s="14" t="n"/>
      <c r="V51" s="14" t="n"/>
    </row>
    <row r="52" ht="61" customHeight="1">
      <c r="A52" s="7" t="inlineStr">
        <is>
          <t>CSR sponsor</t>
        </is>
      </c>
      <c r="B52" s="8" t="inlineStr">
        <is>
          <t>Mission Partner or in-kind</t>
        </is>
      </c>
      <c r="C52" s="9" t="inlineStr">
        <is>
          <t>Dell Technologies Egypt</t>
        </is>
      </c>
      <c r="D52" s="10" t="inlineStr"/>
      <c r="E52" s="10" t="inlineStr">
        <is>
          <t>Technology</t>
        </is>
      </c>
      <c r="F52" s="10" t="inlineStr">
        <is>
          <t>Greater Cairo</t>
        </is>
      </c>
      <c r="G52" s="10" t="inlineStr">
        <is>
          <t>Cash, in-kind, mentors</t>
        </is>
      </c>
      <c r="H52" s="10" t="inlineStr">
        <is>
          <t>A named tier in the coalition: a governorate, a sector or one of the fifteen missions under their name, with the direction report and the closing report.</t>
        </is>
      </c>
      <c r="I52" s="10" t="inlineStr">
        <is>
          <t>Digital inclusion and youth skilling, with a large Egyptian delivery centre giving the local entity real weight.</t>
        </is>
      </c>
      <c r="J52" s="10" t="inlineStr">
        <is>
          <t>Local employer brand, a talent pipeline, and employee volunteering opportunities.</t>
        </is>
      </c>
      <c r="K52" s="10" t="inlineStr">
        <is>
          <t>Country general manager's office, through corporate communications</t>
        </is>
      </c>
      <c r="L52" s="10" t="inlineStr">
        <is>
          <t>Employee volunteering is the easiest entry: it needs a smaller approval than a cash sponsorship and it builds the relationship.</t>
        </is>
      </c>
      <c r="M52" s="10" t="inlineStr">
        <is>
          <t>Calendar year.</t>
        </is>
      </c>
      <c r="N52" s="11" t="inlineStr">
        <is>
          <t>C</t>
        </is>
      </c>
      <c r="O52" s="16" t="inlineStr">
        <is>
          <t>low</t>
        </is>
      </c>
      <c r="P52" s="10" t="inlineStr">
        <is>
          <t>Reasoned prospect. No specific Egyptian CSR programme confirmed.</t>
        </is>
      </c>
      <c r="Q52" s="13" t="inlineStr">
        <is>
          <t>Not invited</t>
        </is>
      </c>
      <c r="R52" s="14" t="n"/>
      <c r="S52" s="15" t="n"/>
      <c r="T52" s="14" t="n"/>
      <c r="U52" s="14" t="n"/>
      <c r="V52" s="14" t="n"/>
    </row>
    <row r="53" ht="61" customHeight="1">
      <c r="A53" s="7" t="inlineStr">
        <is>
          <t>CSR sponsor</t>
        </is>
      </c>
      <c r="B53" s="8" t="inlineStr">
        <is>
          <t>Mission Partner or in-kind</t>
        </is>
      </c>
      <c r="C53" s="9" t="inlineStr">
        <is>
          <t>EIPICO</t>
        </is>
      </c>
      <c r="D53" s="10" t="inlineStr"/>
      <c r="E53" s="10" t="inlineStr">
        <is>
          <t>Pharmaceuticals</t>
        </is>
      </c>
      <c r="F53" s="10" t="inlineStr">
        <is>
          <t>National</t>
        </is>
      </c>
      <c r="G53" s="10" t="inlineStr">
        <is>
          <t>Cash, in-kind, mentors</t>
        </is>
      </c>
      <c r="H53" s="10" t="inlineStr">
        <is>
          <t>A named tier in the coalition: a governorate, a sector or one of the fifteen missions under their name, with the direction report and the closing report.</t>
        </is>
      </c>
      <c r="I53" s="10" t="inlineStr">
        <is>
          <t>Community health and education programmes near its operations.</t>
        </is>
      </c>
      <c r="J53" s="10" t="inlineStr">
        <is>
          <t>Community goodwill and employee pride.</t>
        </is>
      </c>
      <c r="K53" s="10" t="inlineStr">
        <is>
          <t>Corporate communications</t>
        </is>
      </c>
      <c r="L53" s="10" t="inlineStr">
        <is>
          <t>Direct.</t>
        </is>
      </c>
      <c r="M53" s="10" t="inlineStr">
        <is>
          <t>Calendar year.</t>
        </is>
      </c>
      <c r="N53" s="11" t="inlineStr">
        <is>
          <t>C</t>
        </is>
      </c>
      <c r="O53" s="16" t="inlineStr">
        <is>
          <t>low</t>
        </is>
      </c>
      <c r="P53" s="10" t="inlineStr">
        <is>
          <t>Reasoned prospect.</t>
        </is>
      </c>
      <c r="Q53" s="13" t="inlineStr">
        <is>
          <t>Not invited</t>
        </is>
      </c>
      <c r="R53" s="14" t="n"/>
      <c r="S53" s="15" t="n"/>
      <c r="T53" s="14" t="n"/>
      <c r="U53" s="14" t="n"/>
      <c r="V53" s="14" t="n"/>
    </row>
    <row r="54" ht="61" customHeight="1">
      <c r="A54" s="7" t="inlineStr">
        <is>
          <t>CSR sponsor</t>
        </is>
      </c>
      <c r="B54" s="8" t="inlineStr">
        <is>
          <t>Mission Partner or in-kind</t>
        </is>
      </c>
      <c r="C54" s="9" t="inlineStr">
        <is>
          <t>Edita Food Industries</t>
        </is>
      </c>
      <c r="D54" s="10" t="inlineStr"/>
      <c r="E54" s="10" t="inlineStr">
        <is>
          <t>Packaged food</t>
        </is>
      </c>
      <c r="F54" s="10" t="inlineStr">
        <is>
          <t>National</t>
        </is>
      </c>
      <c r="G54" s="10" t="inlineStr">
        <is>
          <t>Cash, in-kind, mentors</t>
        </is>
      </c>
      <c r="H54" s="10" t="inlineStr">
        <is>
          <t>A named tier in the coalition: a governorate, a sector or one of the fifteen missions under their name, with the direction report and the closing report.</t>
        </is>
      </c>
      <c r="I54" s="10" t="inlineStr">
        <is>
          <t>Community and education CSR, with a strong Upper Egypt and industrial town presence.</t>
        </is>
      </c>
      <c r="J54" s="10" t="inlineStr">
        <is>
          <t>Local goodwill around plants, and employee engagement.</t>
        </is>
      </c>
      <c r="K54" s="10" t="inlineStr">
        <is>
          <t>Corporate communications or HR director</t>
        </is>
      </c>
      <c r="L54" s="10" t="inlineStr">
        <is>
          <t>Direct. Mid-caps answer email.</t>
        </is>
      </c>
      <c r="M54" s="10" t="inlineStr">
        <is>
          <t>Calendar year.</t>
        </is>
      </c>
      <c r="N54" s="11" t="inlineStr">
        <is>
          <t>C</t>
        </is>
      </c>
      <c r="O54" s="16" t="inlineStr">
        <is>
          <t>low</t>
        </is>
      </c>
      <c r="P54" s="10" t="inlineStr">
        <is>
          <t>Reasoned prospect.</t>
        </is>
      </c>
      <c r="Q54" s="13" t="inlineStr">
        <is>
          <t>Not invited</t>
        </is>
      </c>
      <c r="R54" s="14" t="n"/>
      <c r="S54" s="15" t="n"/>
      <c r="T54" s="14" t="n"/>
      <c r="U54" s="14" t="n"/>
      <c r="V54" s="14" t="n"/>
    </row>
    <row r="55" ht="61" customHeight="1">
      <c r="A55" s="7" t="inlineStr">
        <is>
          <t>CSR sponsor</t>
        </is>
      </c>
      <c r="B55" s="8" t="inlineStr">
        <is>
          <t>Mission Partner or in-kind</t>
        </is>
      </c>
      <c r="C55" s="9" t="inlineStr">
        <is>
          <t>Ezz Steel</t>
        </is>
      </c>
      <c r="D55" s="10" t="inlineStr"/>
      <c r="E55" s="10" t="inlineStr">
        <is>
          <t>Steel</t>
        </is>
      </c>
      <c r="F55" s="10" t="inlineStr">
        <is>
          <t>National, with Suez and Alexandria plants</t>
        </is>
      </c>
      <c r="G55" s="10" t="inlineStr">
        <is>
          <t>Cash, in-kind, mentors</t>
        </is>
      </c>
      <c r="H55" s="10" t="inlineStr">
        <is>
          <t>A named tier in the coalition: a governorate, a sector or one of the fifteen missions under their name, with the direction report and the closing report.</t>
        </is>
      </c>
      <c r="I55" s="10" t="inlineStr">
        <is>
          <t>Industrial community investment and technical training near plants.</t>
        </is>
      </c>
      <c r="J55" s="10" t="inlineStr">
        <is>
          <t>Local licence to operate and technical employability.</t>
        </is>
      </c>
      <c r="K55" s="10" t="inlineStr">
        <is>
          <t>Public affairs</t>
        </is>
      </c>
      <c r="L55" s="10" t="inlineStr">
        <is>
          <t>Direct, or through the Federation of Egyptian Industries.</t>
        </is>
      </c>
      <c r="M55" s="10" t="inlineStr">
        <is>
          <t>Calendar year.</t>
        </is>
      </c>
      <c r="N55" s="11" t="inlineStr">
        <is>
          <t>C</t>
        </is>
      </c>
      <c r="O55" s="16" t="inlineStr">
        <is>
          <t>low</t>
        </is>
      </c>
      <c r="P55" s="10" t="inlineStr">
        <is>
          <t>Reasoned prospect.</t>
        </is>
      </c>
      <c r="Q55" s="13" t="inlineStr">
        <is>
          <t>Not invited</t>
        </is>
      </c>
      <c r="R55" s="14" t="n"/>
      <c r="S55" s="15" t="n"/>
      <c r="T55" s="14" t="n"/>
      <c r="U55" s="14" t="n"/>
      <c r="V55" s="14" t="n"/>
    </row>
    <row r="56" ht="61" customHeight="1">
      <c r="A56" s="7" t="inlineStr">
        <is>
          <t>CSR sponsor</t>
        </is>
      </c>
      <c r="B56" s="8" t="inlineStr">
        <is>
          <t>Mission Partner or in-kind</t>
        </is>
      </c>
      <c r="C56" s="9" t="inlineStr">
        <is>
          <t>Novo Nordisk, Sanofi, Pfizer and the multinational pharma group</t>
        </is>
      </c>
      <c r="D56" s="10" t="inlineStr"/>
      <c r="E56" s="10" t="inlineStr">
        <is>
          <t>Pharmaceuticals, international</t>
        </is>
      </c>
      <c r="F56" s="10" t="inlineStr">
        <is>
          <t>National</t>
        </is>
      </c>
      <c r="G56" s="10" t="inlineStr">
        <is>
          <t>Cash, in-kind, mentors</t>
        </is>
      </c>
      <c r="H56" s="10" t="inlineStr">
        <is>
          <t>A named tier in the coalition: a governorate, a sector or one of the fifteen missions under their name, with the direction report and the closing report.</t>
        </is>
      </c>
      <c r="I56" s="10" t="inlineStr">
        <is>
          <t>Access to health, patient support and community programmes, usually with strict compliance rules on what can be funded.</t>
        </is>
      </c>
      <c r="J56" s="10" t="inlineStr">
        <is>
          <t>Compliant, auditable community investment with no promotional risk.</t>
        </is>
      </c>
      <c r="K56" s="10" t="inlineStr">
        <is>
          <t>Corporate affairs, with compliance consulted early</t>
        </is>
      </c>
      <c r="L56" s="10" t="inlineStr">
        <is>
          <t>Through AmCham's healthcare committee rather than individually.</t>
        </is>
      </c>
      <c r="M56" s="10" t="inlineStr">
        <is>
          <t>Calendar year.</t>
        </is>
      </c>
      <c r="N56" s="11" t="inlineStr">
        <is>
          <t>C</t>
        </is>
      </c>
      <c r="O56" s="16" t="inlineStr">
        <is>
          <t>low</t>
        </is>
      </c>
      <c r="P56" s="10" t="inlineStr">
        <is>
          <t>Grouped deliberately: individually these are small, compliance-heavy prospects. Treat as one line of effort, not ten meetings.</t>
        </is>
      </c>
      <c r="Q56" s="13" t="inlineStr">
        <is>
          <t>Not invited</t>
        </is>
      </c>
      <c r="R56" s="14" t="n"/>
      <c r="S56" s="15" t="n"/>
      <c r="T56" s="14" t="n"/>
      <c r="U56" s="14" t="n"/>
      <c r="V56" s="14" t="n"/>
    </row>
    <row r="57" ht="97.59999999999999" customHeight="1">
      <c r="A57" s="19" t="inlineStr">
        <is>
          <t>NGO and development partner</t>
        </is>
      </c>
      <c r="B57" s="8" t="inlineStr">
        <is>
          <t>Founding Partner</t>
        </is>
      </c>
      <c r="C57" s="9" t="inlineStr">
        <is>
          <t>Drosos Foundation</t>
        </is>
      </c>
      <c r="D57" s="10" t="inlineStr"/>
      <c r="E57" s="10" t="inlineStr">
        <is>
          <t>Swiss private foundation</t>
        </is>
      </c>
      <c r="F57" s="10" t="inlineStr">
        <is>
          <t>Greater Cairo, Alexandria, Fayoum, Qena, Luxor, Aswan</t>
        </is>
      </c>
      <c r="G57" s="10" t="inlineStr">
        <is>
          <t>Reach, staff time, venues, co-funding</t>
        </is>
      </c>
      <c r="H57" s="10" t="inlineStr">
        <is>
          <t>Facilitator certification for their own staff, the method for their own beneficiaries, a shared evidence base, and a seat in the coalition.</t>
        </is>
      </c>
      <c r="I57" s="10" t="inlineStr">
        <is>
          <t>Working in Egypt since 2005. Its doroob programme supports socially driven youth business ideas, with up to 1,100 young people helped to develop early-stage ideas and a subset carried through to growth. Focus on graduates and students in agri-business, tourism and health, with gender and disability inclusion built in.</t>
        </is>
      </c>
      <c r="J57" s="10" t="inlineStr">
        <is>
          <t>Youth business ideas developed, startups created, inclusion of women and people with disabilities, and quality of partner organisations.</t>
        </is>
      </c>
      <c r="K57" s="10" t="inlineStr">
        <is>
          <t>Country representative for Egypt, with the programme manager for the relevant thematic line</t>
        </is>
      </c>
      <c r="L57" s="10" t="inlineStr">
        <is>
          <t>They work through Egyptian partner organisations. Partnering with an existing Drosos grantee is the realistic entry, with a direct approach to the country office in parallel.</t>
        </is>
      </c>
      <c r="M57" s="10" t="inlineStr">
        <is>
          <t>Multi-year project cycles. The Passion to Profit project with Kheir we Barka and the New Woman Association ran March 2023 to February 2026, so successor planning is live now.</t>
        </is>
      </c>
      <c r="N57" s="11" t="inlineStr">
        <is>
          <t>A</t>
        </is>
      </c>
      <c r="O57" s="12" t="inlineStr">
        <is>
          <t>high</t>
        </is>
      </c>
      <c r="P57" s="10" t="inlineStr">
        <is>
          <t>Confirmed this session: Egypt since 2005, the governorate list, the doroob targets and the Passion to Profit dates all from Drosos published material.</t>
        </is>
      </c>
      <c r="Q57" s="13" t="inlineStr">
        <is>
          <t>Not invited</t>
        </is>
      </c>
      <c r="R57" s="14" t="n"/>
      <c r="S57" s="15" t="n"/>
      <c r="T57" s="14" t="n"/>
      <c r="U57" s="14" t="n"/>
      <c r="V57" s="14" t="n"/>
    </row>
    <row r="58" ht="122" customHeight="1">
      <c r="A58" s="19" t="inlineStr">
        <is>
          <t>NGO and development partner</t>
        </is>
      </c>
      <c r="B58" s="8" t="inlineStr">
        <is>
          <t>Founding Partner</t>
        </is>
      </c>
      <c r="C58" s="9" t="inlineStr">
        <is>
          <t>GIZ Egypt</t>
        </is>
      </c>
      <c r="D58" s="10" t="inlineStr"/>
      <c r="E58" s="10" t="inlineStr">
        <is>
          <t>German development cooperation</t>
        </is>
      </c>
      <c r="F58" s="10" t="inlineStr">
        <is>
          <t>National</t>
        </is>
      </c>
      <c r="G58" s="10" t="inlineStr">
        <is>
          <t>Reach, staff time, venues, co-funding</t>
        </is>
      </c>
      <c r="H58" s="10" t="inlineStr">
        <is>
          <t>Facilitator certification for their own staff, the method for their own beneficiaries, a shared evidence base, and a seat in the coalition.</t>
        </is>
      </c>
      <c r="I58" s="10" t="inlineStr">
        <is>
          <t>Employment promotion, technical and vocational education, private sector development and digital innovation, commissioned by the German federal ministry and implemented with Egyptian ministries. Partner of the Digital Egypt Innovation Hubs with Flat6Labs, and runs an employment promotion programme with the Ministry of Education that includes helping young people start businesses.</t>
        </is>
      </c>
      <c r="J58" s="10" t="inlineStr">
        <is>
          <t>Delivery against a commissioned result, documented to German public procurement standards, with gender and inclusion disaggregation.</t>
        </is>
      </c>
      <c r="K58" s="10" t="inlineStr">
        <is>
          <t>Programme manager (Auftragsverantwortlicher) of the relevant component, with the procurement unit running the process</t>
        </is>
      </c>
      <c r="L58" s="10" t="inlineStr">
        <is>
          <t>Two routes, run both. Formal: GIZ publishes tenders and maintains a supplier process; register and watch. Informal: the programme team shapes the terms of reference before a tender exists, and they meet providers at ecosystem events.</t>
        </is>
      </c>
      <c r="M58" s="10" t="inlineStr">
        <is>
          <t>German commissions run multi-year with annual work planning, typically set between September and December for the following year. Being known by October matters more than bidding well in March.</t>
        </is>
      </c>
      <c r="N58" s="11" t="inlineStr">
        <is>
          <t>A</t>
        </is>
      </c>
      <c r="O58" s="12" t="inlineStr">
        <is>
          <t>high</t>
        </is>
      </c>
      <c r="P58" s="10" t="inlineStr">
        <is>
          <t>Confirmed this session: GIZ partnership with Digital Egypt Innovation Hubs and Flat6Labs, and the employment promotion programme in Egypt including support for young people setting up businesses. Current programme list must be checked with the country office.</t>
        </is>
      </c>
      <c r="Q58" s="13" t="inlineStr">
        <is>
          <t>Not invited</t>
        </is>
      </c>
      <c r="R58" s="14" t="n"/>
      <c r="S58" s="15" t="n"/>
      <c r="T58" s="14" t="n"/>
      <c r="U58" s="14" t="n"/>
      <c r="V58" s="14" t="n"/>
    </row>
    <row r="59" ht="61" customHeight="1">
      <c r="A59" s="19" t="inlineStr">
        <is>
          <t>NGO and development partner</t>
        </is>
      </c>
      <c r="B59" s="8" t="inlineStr">
        <is>
          <t>Founding Partner</t>
        </is>
      </c>
      <c r="C59" s="9" t="inlineStr">
        <is>
          <t>Misr El Kheir Foundation</t>
        </is>
      </c>
      <c r="D59" s="18" t="inlineStr">
        <is>
          <t>مؤسسة مصر الخير</t>
        </is>
      </c>
      <c r="E59" s="10" t="inlineStr">
        <is>
          <t>National NGO and donor</t>
        </is>
      </c>
      <c r="F59" s="10" t="inlineStr">
        <is>
          <t>National, all governorates</t>
        </is>
      </c>
      <c r="G59" s="10" t="inlineStr">
        <is>
          <t>Reach, staff time, venues, co-funding</t>
        </is>
      </c>
      <c r="H59" s="10" t="inlineStr">
        <is>
          <t>Facilitator certification for their own staff, the method for their own beneficiaries, a shared evidence base, and a seat in the coalition.</t>
        </is>
      </c>
      <c r="I59" s="10" t="inlineStr">
        <is>
          <t>One of the largest Egyptian NGOs, working across education, health, scientific research, social solidarity and integrated development, with a dedicated stream for livelihoods.</t>
        </is>
      </c>
      <c r="J59" s="10" t="inlineStr">
        <is>
          <t>Cost per beneficiary, geographic reach into underserved areas, and alignment with their integrated development model.</t>
        </is>
      </c>
      <c r="K59" s="10" t="inlineStr">
        <is>
          <t>Head of the livelihoods or productive families sector, under the executive director</t>
        </is>
      </c>
      <c r="L59" s="10" t="inlineStr">
        <is>
          <t>Direct, through their sector heads. They are approachable and used to partnership proposals.</t>
        </is>
      </c>
      <c r="M59" s="10" t="inlineStr">
        <is>
          <t>Their planning follows the calendar year with Ramadan fundraising shaping the annual envelope.</t>
        </is>
      </c>
      <c r="N59" s="11" t="inlineStr">
        <is>
          <t>A</t>
        </is>
      </c>
      <c r="O59" s="12" t="inlineStr">
        <is>
          <t>high</t>
        </is>
      </c>
      <c r="P59" s="10" t="inlineStr">
        <is>
          <t>A very large and well-established Egyptian NGO with national coverage. Confirm which sector owns enterprise training before writing.</t>
        </is>
      </c>
      <c r="Q59" s="13" t="inlineStr">
        <is>
          <t>Not invited</t>
        </is>
      </c>
      <c r="R59" s="14" t="n"/>
      <c r="S59" s="15" t="n"/>
      <c r="T59" s="14" t="n"/>
      <c r="U59" s="14" t="n"/>
      <c r="V59" s="14" t="n"/>
    </row>
    <row r="60" ht="73.19999999999999" customHeight="1">
      <c r="A60" s="19" t="inlineStr">
        <is>
          <t>NGO and development partner</t>
        </is>
      </c>
      <c r="B60" s="8" t="inlineStr">
        <is>
          <t>Founding Partner</t>
        </is>
      </c>
      <c r="C60" s="9" t="inlineStr">
        <is>
          <t>Sawiris Foundation for Social Development</t>
        </is>
      </c>
      <c r="D60" s="18" t="inlineStr">
        <is>
          <t>مؤسسة ساويرس للتنمية الاجتماعية</t>
        </is>
      </c>
      <c r="E60" s="10" t="inlineStr">
        <is>
          <t>National donor foundation</t>
        </is>
      </c>
      <c r="F60" s="10" t="inlineStr">
        <is>
          <t>National</t>
        </is>
      </c>
      <c r="G60" s="10" t="inlineStr">
        <is>
          <t>Reach, staff time, venues, co-funding</t>
        </is>
      </c>
      <c r="H60" s="10" t="inlineStr">
        <is>
          <t>Facilitator certification for their own staff, the method for their own beneficiaries, a shared evidence base, and a seat in the coalition.</t>
        </is>
      </c>
      <c r="I60" s="10" t="inlineStr">
        <is>
          <t>One of the first and largest Egyptian donor foundations, endowed by the Sawiris family in 2001. Works on poverty, unemployment, health and education for marginalised Egyptians, including training for sectors the market underserves.</t>
        </is>
      </c>
      <c r="J60" s="10" t="inlineStr">
        <is>
          <t>Jobs and livelihoods created per pound spent, Egyptian implementation capacity, and rigorous measurement. They evaluate.</t>
        </is>
      </c>
      <c r="K60" s="10" t="inlineStr">
        <is>
          <t>Programme manager for economic empowerment or livelihoods, under the executive director</t>
        </is>
      </c>
      <c r="L60" s="10" t="inlineStr">
        <is>
          <t>They publish calls and accept concept notes. Drosos lists them as a partner, so a Drosos relationship can introduce.</t>
        </is>
      </c>
      <c r="M60" s="10" t="inlineStr">
        <is>
          <t>Call-driven. Watch their announcements rather than waiting for a cycle.</t>
        </is>
      </c>
      <c r="N60" s="11" t="inlineStr">
        <is>
          <t>A</t>
        </is>
      </c>
      <c r="O60" s="12" t="inlineStr">
        <is>
          <t>high</t>
        </is>
      </c>
      <c r="P60" s="10" t="inlineStr">
        <is>
          <t>Confirmed this session: established 2001 with a family endowment, among the first national donor foundations in Egypt, with poverty, unemployment and training programmes.</t>
        </is>
      </c>
      <c r="Q60" s="13" t="inlineStr">
        <is>
          <t>Not invited</t>
        </is>
      </c>
      <c r="R60" s="14" t="n"/>
      <c r="S60" s="15" t="n"/>
      <c r="T60" s="14" t="n"/>
      <c r="U60" s="14" t="n"/>
      <c r="V60" s="14" t="n"/>
    </row>
    <row r="61" ht="73.19999999999999" customHeight="1">
      <c r="A61" s="19" t="inlineStr">
        <is>
          <t>NGO and development partner</t>
        </is>
      </c>
      <c r="B61" s="8" t="inlineStr">
        <is>
          <t>Founding Partner</t>
        </is>
      </c>
      <c r="C61" s="9" t="inlineStr">
        <is>
          <t>United Nations Development Programme (UNDP) Egypt</t>
        </is>
      </c>
      <c r="D61" s="10" t="inlineStr"/>
      <c r="E61" s="10" t="inlineStr">
        <is>
          <t>UN agency</t>
        </is>
      </c>
      <c r="F61" s="10" t="inlineStr">
        <is>
          <t>National</t>
        </is>
      </c>
      <c r="G61" s="10" t="inlineStr">
        <is>
          <t>Reach, staff time, venues, co-funding</t>
        </is>
      </c>
      <c r="H61" s="10" t="inlineStr">
        <is>
          <t>Facilitator certification for their own staff, the method for their own beneficiaries, a shared evidence base, and a seat in the coalition.</t>
        </is>
      </c>
      <c r="I61" s="10" t="inlineStr">
        <is>
          <t>Works with the Ministry of Planning and Economic Development on SDG localisation, youth employment and innovation, including the ICT Trust Fund's youth employment work with the ICT ministry.</t>
        </is>
      </c>
      <c r="J61" s="10" t="inlineStr">
        <is>
          <t>SDG-aligned results, government ownership, and governorate reach.</t>
        </is>
      </c>
      <c r="K61" s="10" t="inlineStr">
        <is>
          <t>Programme analyst for inclusive growth or youth, in the Cairo country office</t>
        </is>
      </c>
      <c r="L61" s="10" t="inlineStr">
        <is>
          <t>UNDP procurement is published on its own portal and on UNGM. Register on UNGM first; it is a prerequisite for most UN work.</t>
        </is>
      </c>
      <c r="M61" s="10" t="inlineStr">
        <is>
          <t>Country programme documents run multi-year with annual work plans agreed early in the year.</t>
        </is>
      </c>
      <c r="N61" s="11" t="inlineStr">
        <is>
          <t>A</t>
        </is>
      </c>
      <c r="O61" s="12" t="inlineStr">
        <is>
          <t>high</t>
        </is>
      </c>
      <c r="P61" s="10" t="inlineStr">
        <is>
          <t>Confirmed this session: GIZ and UNDP both appear as partners of the ICT Trust Fund youth employment programme with the ICT ministry. Current projects need confirming.</t>
        </is>
      </c>
      <c r="Q61" s="13" t="inlineStr">
        <is>
          <t>Not invited</t>
        </is>
      </c>
      <c r="R61" s="14" t="n"/>
      <c r="S61" s="15" t="n"/>
      <c r="T61" s="14" t="n"/>
      <c r="U61" s="14" t="n"/>
      <c r="V61" s="14" t="n"/>
    </row>
    <row r="62" ht="73.19999999999999" customHeight="1">
      <c r="A62" s="19" t="inlineStr">
        <is>
          <t>NGO and development partner</t>
        </is>
      </c>
      <c r="B62" s="8" t="inlineStr">
        <is>
          <t>Founding Partner</t>
        </is>
      </c>
      <c r="C62" s="9" t="inlineStr">
        <is>
          <t>European Union Delegation to Egypt</t>
        </is>
      </c>
      <c r="D62" s="10" t="inlineStr"/>
      <c r="E62" s="10" t="inlineStr">
        <is>
          <t>EU external action</t>
        </is>
      </c>
      <c r="F62" s="10" t="inlineStr">
        <is>
          <t>National</t>
        </is>
      </c>
      <c r="G62" s="10" t="inlineStr">
        <is>
          <t>Reach, staff time, venues, co-funding</t>
        </is>
      </c>
      <c r="H62" s="10" t="inlineStr">
        <is>
          <t>Facilitator certification for their own staff, the method for their own beneficiaries, a shared evidence base, and a seat in the coalition.</t>
        </is>
      </c>
      <c r="I62" s="10" t="inlineStr">
        <is>
          <t>Large multi-year programmes on job creation, TVET, migration and private sector development, contracted through calls for proposals and service contracts.</t>
        </is>
      </c>
      <c r="J62" s="10" t="inlineStr">
        <is>
          <t>Policy-aligned results at national scale, strict financial compliance, and consortium partners with audited track records.</t>
        </is>
      </c>
      <c r="K62" s="10" t="inlineStr">
        <is>
          <t>Programme manager in the cooperation section, with the contracting authority running procurement</t>
        </is>
      </c>
      <c r="L62" s="10" t="inlineStr">
        <is>
          <t>Monitor the EU funding and tenders portal, and position with the European implementing agencies who will lead the consortia: GIZ, Expertise France, AICS, Enabel and the member state agencies.</t>
        </is>
      </c>
      <c r="M62" s="10" t="inlineStr">
        <is>
          <t>Calls are published with long lead times. Annual action plans are set a year ahead, so influence happens early.</t>
        </is>
      </c>
      <c r="N62" s="11" t="inlineStr">
        <is>
          <t>B</t>
        </is>
      </c>
      <c r="O62" s="17" t="inlineStr">
        <is>
          <t>medium</t>
        </is>
      </c>
      <c r="P62" s="10" t="inlineStr">
        <is>
          <t>The instrument type is certain; the current Egypt pipeline must be read from the portal at the time of bidding. Do not bid as lead without an audited track record.</t>
        </is>
      </c>
      <c r="Q62" s="13" t="inlineStr">
        <is>
          <t>Not invited</t>
        </is>
      </c>
      <c r="R62" s="14" t="n"/>
      <c r="S62" s="15" t="n"/>
      <c r="T62" s="14" t="n"/>
      <c r="U62" s="14" t="n"/>
      <c r="V62" s="14" t="n"/>
    </row>
    <row r="63" ht="61" customHeight="1">
      <c r="A63" s="19" t="inlineStr">
        <is>
          <t>NGO and development partner</t>
        </is>
      </c>
      <c r="B63" s="8" t="inlineStr">
        <is>
          <t>Founding Partner</t>
        </is>
      </c>
      <c r="C63" s="9" t="inlineStr">
        <is>
          <t>Expertise France and Agence Francaise de Developpement (AFD)</t>
        </is>
      </c>
      <c r="D63" s="10" t="inlineStr"/>
      <c r="E63" s="10" t="inlineStr">
        <is>
          <t>French development cooperation</t>
        </is>
      </c>
      <c r="F63" s="10" t="inlineStr">
        <is>
          <t>National</t>
        </is>
      </c>
      <c r="G63" s="10" t="inlineStr">
        <is>
          <t>Reach, staff time, venues, co-funding</t>
        </is>
      </c>
      <c r="H63" s="10" t="inlineStr">
        <is>
          <t>Facilitator certification for their own staff, the method for their own beneficiaries, a shared evidence base, and a seat in the coalition.</t>
        </is>
      </c>
      <c r="I63" s="10" t="inlineStr">
        <is>
          <t>Vocational training, employment, entrepreneurship and private sector development, frequently in partnership with Egyptian ministries and with EU co-financing.</t>
        </is>
      </c>
      <c r="J63" s="10" t="inlineStr">
        <is>
          <t>Employment and TVET results aligned with Egyptian state priorities, French institutional visibility.</t>
        </is>
      </c>
      <c r="K63" s="10" t="inlineStr">
        <is>
          <t>Project director for the relevant programme</t>
        </is>
      </c>
      <c r="L63" s="10" t="inlineStr">
        <is>
          <t>Through the French embassy's economic service and the Expertise France Cairo project offices.</t>
        </is>
      </c>
      <c r="M63" s="10" t="inlineStr">
        <is>
          <t>Project cycles, with annual planning.</t>
        </is>
      </c>
      <c r="N63" s="11" t="inlineStr">
        <is>
          <t>B</t>
        </is>
      </c>
      <c r="O63" s="17" t="inlineStr">
        <is>
          <t>medium</t>
        </is>
      </c>
      <c r="P63" s="10" t="inlineStr">
        <is>
          <t>Sector presence is established; specific projects need checking.</t>
        </is>
      </c>
      <c r="Q63" s="13" t="inlineStr">
        <is>
          <t>Not invited</t>
        </is>
      </c>
      <c r="R63" s="14" t="n"/>
      <c r="S63" s="15" t="n"/>
      <c r="T63" s="14" t="n"/>
      <c r="U63" s="14" t="n"/>
      <c r="V63" s="14" t="n"/>
    </row>
    <row r="64" ht="61" customHeight="1">
      <c r="A64" s="19" t="inlineStr">
        <is>
          <t>NGO and development partner</t>
        </is>
      </c>
      <c r="B64" s="8" t="inlineStr">
        <is>
          <t>Founding Partner</t>
        </is>
      </c>
      <c r="C64" s="9" t="inlineStr">
        <is>
          <t>International Organization for Migration (IOM) Egypt</t>
        </is>
      </c>
      <c r="D64" s="10" t="inlineStr"/>
      <c r="E64" s="10" t="inlineStr">
        <is>
          <t>UN agency</t>
        </is>
      </c>
      <c r="F64" s="10" t="inlineStr">
        <is>
          <t>National, with migration-origin governorates</t>
        </is>
      </c>
      <c r="G64" s="10" t="inlineStr">
        <is>
          <t>Reach, staff time, venues, co-funding</t>
        </is>
      </c>
      <c r="H64" s="10" t="inlineStr">
        <is>
          <t>Facilitator certification for their own staff, the method for their own beneficiaries, a shared evidence base, and a seat in the coalition.</t>
        </is>
      </c>
      <c r="I64" s="10" t="inlineStr">
        <is>
          <t>Economic opportunity as an alternative to irregular migration, reintegration support for returning migrants, and livelihoods for migrants and host communities.</t>
        </is>
      </c>
      <c r="J64" s="10" t="inlineStr">
        <is>
          <t>Reduced migration pressure, measurable livelihoods in origin communities, and support reaching both migrants and hosts.</t>
        </is>
      </c>
      <c r="K64" s="10" t="inlineStr">
        <is>
          <t>Programme manager for labour mobility and human development</t>
        </is>
      </c>
      <c r="L64" s="10" t="inlineStr">
        <is>
          <t>Through UNGM and the Cairo office.</t>
        </is>
      </c>
      <c r="M64" s="10" t="inlineStr">
        <is>
          <t>Project cycles tied to European funding.</t>
        </is>
      </c>
      <c r="N64" s="11" t="inlineStr">
        <is>
          <t>B</t>
        </is>
      </c>
      <c r="O64" s="17" t="inlineStr">
        <is>
          <t>medium</t>
        </is>
      </c>
      <c r="P64" s="10" t="inlineStr">
        <is>
          <t>Instrument and geography are well established; current projects unconfirmed.</t>
        </is>
      </c>
      <c r="Q64" s="13" t="inlineStr">
        <is>
          <t>Not invited</t>
        </is>
      </c>
      <c r="R64" s="14" t="n"/>
      <c r="S64" s="15" t="n"/>
      <c r="T64" s="14" t="n"/>
      <c r="U64" s="14" t="n"/>
      <c r="V64" s="14" t="n"/>
    </row>
    <row r="65" ht="61" customHeight="1">
      <c r="A65" s="19" t="inlineStr">
        <is>
          <t>NGO and development partner</t>
        </is>
      </c>
      <c r="B65" s="8" t="inlineStr">
        <is>
          <t>Founding Partner</t>
        </is>
      </c>
      <c r="C65" s="9" t="inlineStr">
        <is>
          <t>Italian Agency for Development Cooperation (AICS) Cairo</t>
        </is>
      </c>
      <c r="D65" s="10" t="inlineStr"/>
      <c r="E65" s="10" t="inlineStr">
        <is>
          <t>Italian development cooperation</t>
        </is>
      </c>
      <c r="F65" s="10" t="inlineStr">
        <is>
          <t>National, with Upper Egypt focus</t>
        </is>
      </c>
      <c r="G65" s="10" t="inlineStr">
        <is>
          <t>Reach, staff time, venues, co-funding</t>
        </is>
      </c>
      <c r="H65" s="10" t="inlineStr">
        <is>
          <t>Facilitator certification for their own staff, the method for their own beneficiaries, a shared evidence base, and a seat in the coalition.</t>
        </is>
      </c>
      <c r="I65" s="10" t="inlineStr">
        <is>
          <t>Employment, vocational training, migration-related economic opportunity and support to Egyptian SMEs, including credit lines.</t>
        </is>
      </c>
      <c r="J65" s="10" t="inlineStr">
        <is>
          <t>Economic alternatives to migration in origin governorates, and Italy and Egypt business links.</t>
        </is>
      </c>
      <c r="K65" s="10" t="inlineStr">
        <is>
          <t>Programme officer at the AICS Cairo office</t>
        </is>
      </c>
      <c r="L65" s="10" t="inlineStr">
        <is>
          <t>Direct to the Cairo office, and through Italian NGOs implementing their programmes.</t>
        </is>
      </c>
      <c r="M65" s="10" t="inlineStr">
        <is>
          <t>Annual planning with multi-year projects.</t>
        </is>
      </c>
      <c r="N65" s="11" t="inlineStr">
        <is>
          <t>B</t>
        </is>
      </c>
      <c r="O65" s="17" t="inlineStr">
        <is>
          <t>medium</t>
        </is>
      </c>
      <c r="P65" s="10" t="inlineStr">
        <is>
          <t>Thematic focus is well established; the current call list needs checking.</t>
        </is>
      </c>
      <c r="Q65" s="13" t="inlineStr">
        <is>
          <t>Not invited</t>
        </is>
      </c>
      <c r="R65" s="14" t="n"/>
      <c r="S65" s="15" t="n"/>
      <c r="T65" s="14" t="n"/>
      <c r="U65" s="14" t="n"/>
      <c r="V65" s="14" t="n"/>
    </row>
    <row r="66" ht="61" customHeight="1">
      <c r="A66" s="19" t="inlineStr">
        <is>
          <t>NGO and development partner</t>
        </is>
      </c>
      <c r="B66" s="8" t="inlineStr">
        <is>
          <t>Founding Partner</t>
        </is>
      </c>
      <c r="C66" s="9" t="inlineStr">
        <is>
          <t>UNICEF Egypt</t>
        </is>
      </c>
      <c r="D66" s="10" t="inlineStr"/>
      <c r="E66" s="10" t="inlineStr">
        <is>
          <t>UN agency</t>
        </is>
      </c>
      <c r="F66" s="10" t="inlineStr">
        <is>
          <t>National, with Upper Egypt focus</t>
        </is>
      </c>
      <c r="G66" s="10" t="inlineStr">
        <is>
          <t>Reach, staff time, venues, co-funding</t>
        </is>
      </c>
      <c r="H66" s="10" t="inlineStr">
        <is>
          <t>Facilitator certification for their own staff, the method for their own beneficiaries, a shared evidence base, and a seat in the coalition.</t>
        </is>
      </c>
      <c r="I66" s="10" t="inlineStr">
        <is>
          <t>Adolescent and youth development, skills for employability, and the Generation Unlimited partnership, plus child protection standards that any school-facing work must meet.</t>
        </is>
      </c>
      <c r="J66" s="10" t="inlineStr">
        <is>
          <t>Adolescent skills outcomes, equity of reach, and absolute compliance with child safeguarding.</t>
        </is>
      </c>
      <c r="K66" s="10" t="inlineStr">
        <is>
          <t>Adolescent development and participation specialist</t>
        </is>
      </c>
      <c r="L66" s="10" t="inlineStr">
        <is>
          <t>Through UNGM and the Cairo office. Expect safeguarding due diligence before anything else.</t>
        </is>
      </c>
      <c r="M66" s="10" t="inlineStr">
        <is>
          <t>Country programme cycles with annual work plans.</t>
        </is>
      </c>
      <c r="N66" s="11" t="inlineStr">
        <is>
          <t>B</t>
        </is>
      </c>
      <c r="O66" s="12" t="inlineStr">
        <is>
          <t>high</t>
        </is>
      </c>
      <c r="P66" s="10" t="inlineStr">
        <is>
          <t>Named as a partner in this plan's existing list. Child safeguarding policy is a hard precondition, not a nice to have.</t>
        </is>
      </c>
      <c r="Q66" s="13" t="inlineStr">
        <is>
          <t>Not invited</t>
        </is>
      </c>
      <c r="R66" s="14" t="n"/>
      <c r="S66" s="15" t="n"/>
      <c r="T66" s="14" t="n"/>
      <c r="U66" s="14" t="n"/>
      <c r="V66" s="14" t="n"/>
    </row>
    <row r="67" ht="61" customHeight="1">
      <c r="A67" s="19" t="inlineStr">
        <is>
          <t>NGO and development partner</t>
        </is>
      </c>
      <c r="B67" s="8" t="inlineStr">
        <is>
          <t>Founding Partner</t>
        </is>
      </c>
      <c r="C67" s="9" t="inlineStr">
        <is>
          <t>United Nations Industrial Development Organization (UNIDO) Egypt</t>
        </is>
      </c>
      <c r="D67" s="10" t="inlineStr"/>
      <c r="E67" s="10" t="inlineStr">
        <is>
          <t>UN agency</t>
        </is>
      </c>
      <c r="F67" s="10" t="inlineStr">
        <is>
          <t>National</t>
        </is>
      </c>
      <c r="G67" s="10" t="inlineStr">
        <is>
          <t>Reach, staff time, venues, co-funding</t>
        </is>
      </c>
      <c r="H67" s="10" t="inlineStr">
        <is>
          <t>Facilitator certification for their own staff, the method for their own beneficiaries, a shared evidence base, and a seat in the coalition.</t>
        </is>
      </c>
      <c r="I67" s="10" t="inlineStr">
        <is>
          <t>Entrepreneurship curriculum in secondary and technical education, agro-industry value chains, and SME upgrading.</t>
        </is>
      </c>
      <c r="J67" s="10" t="inlineStr">
        <is>
          <t>Institutionalisation inside the education system rather than standalone training, and industrial value chain outcomes.</t>
        </is>
      </c>
      <c r="K67" s="10" t="inlineStr">
        <is>
          <t>Project manager for the entrepreneurship or agro-industry programme</t>
        </is>
      </c>
      <c r="L67" s="10" t="inlineStr">
        <is>
          <t>Through UNGM and the Cairo office.</t>
        </is>
      </c>
      <c r="M67" s="10" t="inlineStr">
        <is>
          <t>Project cycles.</t>
        </is>
      </c>
      <c r="N67" s="11" t="inlineStr">
        <is>
          <t>B</t>
        </is>
      </c>
      <c r="O67" s="17" t="inlineStr">
        <is>
          <t>medium</t>
        </is>
      </c>
      <c r="P67" s="10" t="inlineStr">
        <is>
          <t>The programme type is established at UNIDO globally; the Egypt instance needs confirming.</t>
        </is>
      </c>
      <c r="Q67" s="13" t="inlineStr">
        <is>
          <t>Not invited</t>
        </is>
      </c>
      <c r="R67" s="14" t="n"/>
      <c r="S67" s="15" t="n"/>
      <c r="T67" s="14" t="n"/>
      <c r="U67" s="14" t="n"/>
      <c r="V67" s="14" t="n"/>
    </row>
    <row r="68" ht="61" customHeight="1">
      <c r="A68" s="19" t="inlineStr">
        <is>
          <t>NGO and development partner</t>
        </is>
      </c>
      <c r="B68" s="8" t="inlineStr">
        <is>
          <t>Founding Partner</t>
        </is>
      </c>
      <c r="C68" s="9" t="inlineStr">
        <is>
          <t>Abdul Latif Jameel Community Initiatives and comparable Gulf family foundations</t>
        </is>
      </c>
      <c r="D68" s="10" t="inlineStr"/>
      <c r="E68" s="10" t="inlineStr">
        <is>
          <t>Regional family foundation</t>
        </is>
      </c>
      <c r="F68" s="10" t="inlineStr">
        <is>
          <t>Regional, Egypt coverage varies</t>
        </is>
      </c>
      <c r="G68" s="10" t="inlineStr">
        <is>
          <t>Reach, staff time, venues, co-funding</t>
        </is>
      </c>
      <c r="H68" s="10" t="inlineStr">
        <is>
          <t>Facilitator certification for their own staff, the method for their own beneficiaries, a shared evidence base, and a seat in the coalition.</t>
        </is>
      </c>
      <c r="I68" s="10" t="inlineStr">
        <is>
          <t>Job creation as an explicit philanthropic mandate, including enterprise support and employment programmes across the Arab world.</t>
        </is>
      </c>
      <c r="J68" s="10" t="inlineStr">
        <is>
          <t>Jobs created per dollar, and programmes that can be replicated across markets.</t>
        </is>
      </c>
      <c r="K68" s="10" t="inlineStr">
        <is>
          <t>Programme director for the relevant country portfolio</t>
        </is>
      </c>
      <c r="L68" s="10" t="inlineStr">
        <is>
          <t>Through the Saudi side of the business, which this plan already builds a presence in.</t>
        </is>
      </c>
      <c r="M68" s="10" t="inlineStr">
        <is>
          <t>Multi-year.</t>
        </is>
      </c>
      <c r="N68" s="11" t="inlineStr">
        <is>
          <t>C</t>
        </is>
      </c>
      <c r="O68" s="16" t="inlineStr">
        <is>
          <t>low</t>
        </is>
      </c>
      <c r="P68" s="10" t="inlineStr">
        <is>
          <t>Egypt scope is unverified. Relevant mainly once the Saudi entity exists.</t>
        </is>
      </c>
      <c r="Q68" s="13" t="inlineStr">
        <is>
          <t>Not invited</t>
        </is>
      </c>
      <c r="R68" s="14" t="n"/>
      <c r="S68" s="15" t="n"/>
      <c r="T68" s="14" t="n"/>
      <c r="U68" s="14" t="n"/>
      <c r="V68" s="14" t="n"/>
    </row>
    <row r="69" ht="61" customHeight="1">
      <c r="A69" s="19" t="inlineStr">
        <is>
          <t>NGO and development partner</t>
        </is>
      </c>
      <c r="B69" s="8" t="inlineStr">
        <is>
          <t>Founding Partner</t>
        </is>
      </c>
      <c r="C69" s="9" t="inlineStr">
        <is>
          <t>Ford Foundation, Cairo office</t>
        </is>
      </c>
      <c r="D69" s="10" t="inlineStr"/>
      <c r="E69" s="10" t="inlineStr">
        <is>
          <t>International private foundation</t>
        </is>
      </c>
      <c r="F69" s="10" t="inlineStr">
        <is>
          <t>Egypt and the region</t>
        </is>
      </c>
      <c r="G69" s="10" t="inlineStr">
        <is>
          <t>Reach, staff time, venues, co-funding</t>
        </is>
      </c>
      <c r="H69" s="10" t="inlineStr">
        <is>
          <t>Facilitator certification for their own staff, the method for their own beneficiaries, a shared evidence base, and a seat in the coalition.</t>
        </is>
      </c>
      <c r="I69" s="10" t="inlineStr">
        <is>
          <t>Social justice, economic inclusion and civil society strengthening, through multi-year institutional grants.</t>
        </is>
      </c>
      <c r="J69" s="10" t="inlineStr">
        <is>
          <t>Structural change, inclusion of marginalised groups, and strengthened local institutions.</t>
        </is>
      </c>
      <c r="K69" s="10" t="inlineStr">
        <is>
          <t>Programme officer for the relevant portfolio</t>
        </is>
      </c>
      <c r="L69" s="10" t="inlineStr">
        <is>
          <t>By invitation and relationship. Grantee introductions matter more than applications.</t>
        </is>
      </c>
      <c r="M69" s="10" t="inlineStr">
        <is>
          <t>Multi-year cycles.</t>
        </is>
      </c>
      <c r="N69" s="11" t="inlineStr">
        <is>
          <t>C</t>
        </is>
      </c>
      <c r="O69" s="16" t="inlineStr">
        <is>
          <t>low</t>
        </is>
      </c>
      <c r="P69" s="10" t="inlineStr">
        <is>
          <t>Portfolio and Egypt presence should be verified; their priorities have shifted over time.</t>
        </is>
      </c>
      <c r="Q69" s="13" t="inlineStr">
        <is>
          <t>Not invited</t>
        </is>
      </c>
      <c r="R69" s="14" t="n"/>
      <c r="S69" s="15" t="n"/>
      <c r="T69" s="14" t="n"/>
      <c r="U69" s="14" t="n"/>
      <c r="V69" s="14" t="n"/>
    </row>
    <row r="70" ht="61" customHeight="1">
      <c r="A70" s="19" t="inlineStr">
        <is>
          <t>NGO and development partner</t>
        </is>
      </c>
      <c r="B70" s="8" t="inlineStr">
        <is>
          <t>Founding Partner</t>
        </is>
      </c>
      <c r="C70" s="9" t="inlineStr">
        <is>
          <t>Islamic Development Bank and Arab funds</t>
        </is>
      </c>
      <c r="D70" s="10" t="inlineStr"/>
      <c r="E70" s="10" t="inlineStr">
        <is>
          <t>Multilateral and Arab development finance</t>
        </is>
      </c>
      <c r="F70" s="10" t="inlineStr">
        <is>
          <t>National</t>
        </is>
      </c>
      <c r="G70" s="10" t="inlineStr">
        <is>
          <t>Reach, staff time, venues, co-funding</t>
        </is>
      </c>
      <c r="H70" s="10" t="inlineStr">
        <is>
          <t>Facilitator certification for their own staff, the method for their own beneficiaries, a shared evidence base, and a seat in the coalition.</t>
        </is>
      </c>
      <c r="I70" s="10" t="inlineStr">
        <is>
          <t>Vocational training, youth employment and SME finance across member countries, often with a waqf or Islamic finance structure.</t>
        </is>
      </c>
      <c r="J70" s="10" t="inlineStr">
        <is>
          <t>Member country development priorities and Islamic finance compatibility.</t>
        </is>
      </c>
      <c r="K70" s="10" t="inlineStr">
        <is>
          <t>Country programme officer, through the Ministry of International Cooperation</t>
        </is>
      </c>
      <c r="L70" s="10" t="inlineStr">
        <is>
          <t>Through the Ministry of International Cooperation, which coordinates all of it.</t>
        </is>
      </c>
      <c r="M70" s="10" t="inlineStr">
        <is>
          <t>Multi-year.</t>
        </is>
      </c>
      <c r="N70" s="11" t="inlineStr">
        <is>
          <t>C</t>
        </is>
      </c>
      <c r="O70" s="16" t="inlineStr">
        <is>
          <t>low</t>
        </is>
      </c>
      <c r="P70" s="10" t="inlineStr">
        <is>
          <t>Access is through the state. Verify current Egypt portfolio.</t>
        </is>
      </c>
      <c r="Q70" s="13" t="inlineStr">
        <is>
          <t>Not invited</t>
        </is>
      </c>
      <c r="R70" s="14" t="n"/>
      <c r="S70" s="15" t="n"/>
      <c r="T70" s="14" t="n"/>
      <c r="U70" s="14" t="n"/>
      <c r="V70" s="14" t="n"/>
    </row>
    <row r="71" ht="61" customHeight="1">
      <c r="A71" s="19" t="inlineStr">
        <is>
          <t>NGO and development partner</t>
        </is>
      </c>
      <c r="B71" s="8" t="inlineStr">
        <is>
          <t>Founding Partner</t>
        </is>
      </c>
      <c r="C71" s="9" t="inlineStr">
        <is>
          <t>KfW Development Bank</t>
        </is>
      </c>
      <c r="D71" s="10" t="inlineStr"/>
      <c r="E71" s="10" t="inlineStr">
        <is>
          <t>German development finance</t>
        </is>
      </c>
      <c r="F71" s="10" t="inlineStr">
        <is>
          <t>National</t>
        </is>
      </c>
      <c r="G71" s="10" t="inlineStr">
        <is>
          <t>Reach, staff time, venues, co-funding</t>
        </is>
      </c>
      <c r="H71" s="10" t="inlineStr">
        <is>
          <t>Facilitator certification for their own staff, the method for their own beneficiaries, a shared evidence base, and a seat in the coalition.</t>
        </is>
      </c>
      <c r="I71" s="10" t="inlineStr">
        <is>
          <t>Financial cooperation, including credit lines to Egyptian banks for SME lending, alongside TVET infrastructure.</t>
        </is>
      </c>
      <c r="J71" s="10" t="inlineStr">
        <is>
          <t>Portfolio quality on SME credit lines, and TVET capacity.</t>
        </is>
      </c>
      <c r="K71" s="10" t="inlineStr">
        <is>
          <t>Project manager in the Cairo office</t>
        </is>
      </c>
      <c r="L71" s="10" t="inlineStr">
        <is>
          <t>Through GIZ or the implementing consultant rather than directly.</t>
        </is>
      </c>
      <c r="M71" s="10" t="inlineStr">
        <is>
          <t>Multi-year financial cooperation agreements.</t>
        </is>
      </c>
      <c r="N71" s="11" t="inlineStr">
        <is>
          <t>C</t>
        </is>
      </c>
      <c r="O71" s="17" t="inlineStr">
        <is>
          <t>medium</t>
        </is>
      </c>
      <c r="P71" s="10" t="inlineStr">
        <is>
          <t>Instrument structure is standard; the Egypt pipeline is unconfirmed.</t>
        </is>
      </c>
      <c r="Q71" s="13" t="inlineStr">
        <is>
          <t>Not invited</t>
        </is>
      </c>
      <c r="R71" s="14" t="n"/>
      <c r="S71" s="15" t="n"/>
      <c r="T71" s="14" t="n"/>
      <c r="U71" s="14" t="n"/>
      <c r="V71" s="14" t="n"/>
    </row>
    <row r="72" ht="61" customHeight="1">
      <c r="A72" s="19" t="inlineStr">
        <is>
          <t>NGO and development partner</t>
        </is>
      </c>
      <c r="B72" s="8" t="inlineStr">
        <is>
          <t>Founding Partner</t>
        </is>
      </c>
      <c r="C72" s="9" t="inlineStr">
        <is>
          <t>World Bank and International Finance Corporation</t>
        </is>
      </c>
      <c r="D72" s="10" t="inlineStr"/>
      <c r="E72" s="10" t="inlineStr">
        <is>
          <t>Multilateral development finance</t>
        </is>
      </c>
      <c r="F72" s="10" t="inlineStr">
        <is>
          <t>National</t>
        </is>
      </c>
      <c r="G72" s="10" t="inlineStr">
        <is>
          <t>Reach, staff time, venues, co-funding</t>
        </is>
      </c>
      <c r="H72" s="10" t="inlineStr">
        <is>
          <t>Facilitator certification for their own staff, the method for their own beneficiaries, a shared evidence base, and a seat in the coalition.</t>
        </is>
      </c>
      <c r="I72" s="10" t="inlineStr">
        <is>
          <t>Lending to the Egyptian state for employment, education and SME development, and IFC advisory to private firms.</t>
        </is>
      </c>
      <c r="J72" s="10" t="inlineStr">
        <is>
          <t>Results against loan-linked indicators, and procurement that survives audit.</t>
        </is>
      </c>
      <c r="K72" s="10" t="inlineStr">
        <is>
          <t>Project implementation unit at the borrowing ministry</t>
        </is>
      </c>
      <c r="L72" s="10" t="inlineStr">
        <is>
          <t>Through the implementing ministry, and by monitoring the Bank's procurement notices for Egypt.</t>
        </is>
      </c>
      <c r="M72" s="10" t="inlineStr">
        <is>
          <t>Project cycles of five years or more, with procurement plans published.</t>
        </is>
      </c>
      <c r="N72" s="11" t="inlineStr">
        <is>
          <t>C</t>
        </is>
      </c>
      <c r="O72" s="17" t="inlineStr">
        <is>
          <t>medium</t>
        </is>
      </c>
      <c r="P72" s="10" t="inlineStr">
        <is>
          <t>Mechanism is certain; which current Egypt projects include training procurement needs checking.</t>
        </is>
      </c>
      <c r="Q72" s="13" t="inlineStr">
        <is>
          <t>Not invited</t>
        </is>
      </c>
      <c r="R72" s="14" t="n"/>
      <c r="S72" s="15" t="n"/>
      <c r="T72" s="14" t="n"/>
      <c r="U72" s="14" t="n"/>
      <c r="V72" s="14" t="n"/>
    </row>
    <row r="73" ht="73.19999999999999" customHeight="1">
      <c r="A73" s="19" t="inlineStr">
        <is>
          <t>NGO and development partner</t>
        </is>
      </c>
      <c r="B73" s="8" t="inlineStr">
        <is>
          <t>Lead Partner</t>
        </is>
      </c>
      <c r="C73" s="9" t="inlineStr">
        <is>
          <t>Alfanar Venture Philanthropy</t>
        </is>
      </c>
      <c r="D73" s="10" t="inlineStr"/>
      <c r="E73" s="10" t="inlineStr">
        <is>
          <t>Venture philanthropy</t>
        </is>
      </c>
      <c r="F73" s="10" t="inlineStr">
        <is>
          <t>Egypt and the Levant</t>
        </is>
      </c>
      <c r="G73" s="10" t="inlineStr">
        <is>
          <t>Reach, staff time, venues, co-funding</t>
        </is>
      </c>
      <c r="H73" s="10" t="inlineStr">
        <is>
          <t>Facilitator certification for their own staff, the method for their own beneficiaries, a shared evidence base, and a seat in the coalition.</t>
        </is>
      </c>
      <c r="I73" s="10" t="inlineStr">
        <is>
          <t>The Arab world's first venture philanthropy organisation, investing in social enterprises with capital plus hands-on management support, with education and women's employment as recurring themes.</t>
        </is>
      </c>
      <c r="J73" s="10" t="inlineStr">
        <is>
          <t>Scalable social enterprises with a route to financial sustainability, and measurable social return.</t>
        </is>
      </c>
      <c r="K73" s="10" t="inlineStr">
        <is>
          <t>Egypt country director or portfolio manager</t>
        </is>
      </c>
      <c r="L73" s="10" t="inlineStr">
        <is>
          <t>Direct. They publish an investment process and accept approaches.</t>
        </is>
      </c>
      <c r="M73" s="10" t="inlineStr">
        <is>
          <t>Rolling, portfolio-driven.</t>
        </is>
      </c>
      <c r="N73" s="11" t="inlineStr">
        <is>
          <t>A</t>
        </is>
      </c>
      <c r="O73" s="17" t="inlineStr">
        <is>
          <t>medium</t>
        </is>
      </c>
      <c r="P73" s="10" t="inlineStr">
        <is>
          <t>Listed as a partner by Drosos in this session's results. Their Egypt portfolio and current focus should be checked on their own site.</t>
        </is>
      </c>
      <c r="Q73" s="13" t="inlineStr">
        <is>
          <t>Not invited</t>
        </is>
      </c>
      <c r="R73" s="14" t="n"/>
      <c r="S73" s="15" t="n"/>
      <c r="T73" s="14" t="n"/>
      <c r="U73" s="14" t="n"/>
      <c r="V73" s="14" t="n"/>
    </row>
    <row r="74" ht="61" customHeight="1">
      <c r="A74" s="19" t="inlineStr">
        <is>
          <t>NGO and development partner</t>
        </is>
      </c>
      <c r="B74" s="8" t="inlineStr">
        <is>
          <t>Lead Partner</t>
        </is>
      </c>
      <c r="C74" s="9" t="inlineStr">
        <is>
          <t>British Council Egypt</t>
        </is>
      </c>
      <c r="D74" s="10" t="inlineStr"/>
      <c r="E74" s="10" t="inlineStr">
        <is>
          <t>UK cultural relations and education</t>
        </is>
      </c>
      <c r="F74" s="10" t="inlineStr">
        <is>
          <t>National</t>
        </is>
      </c>
      <c r="G74" s="10" t="inlineStr">
        <is>
          <t>Reach, staff time, venues, co-funding</t>
        </is>
      </c>
      <c r="H74" s="10" t="inlineStr">
        <is>
          <t>Facilitator certification for their own staff, the method for their own beneficiaries, a shared evidence base, and a seat in the coalition.</t>
        </is>
      </c>
      <c r="I74" s="10" t="inlineStr">
        <is>
          <t>Skills, higher education partnerships, creative economy and social enterprise programmes, often with UK institutional partners.</t>
        </is>
      </c>
      <c r="J74" s="10" t="inlineStr">
        <is>
          <t>UK and Egypt institutional links, skills outcomes, and creative or social enterprise development.</t>
        </is>
      </c>
      <c r="K74" s="10" t="inlineStr">
        <is>
          <t>Programme manager for skills or society, in the Cairo office</t>
        </is>
      </c>
      <c r="L74" s="10" t="inlineStr">
        <is>
          <t>Direct to the Cairo office programme teams, and through UK university partners who are already working with them.</t>
        </is>
      </c>
      <c r="M74" s="10" t="inlineStr">
        <is>
          <t>UK financial year from April, so proposals land best between November and February.</t>
        </is>
      </c>
      <c r="N74" s="11" t="inlineStr">
        <is>
          <t>A</t>
        </is>
      </c>
      <c r="O74" s="17" t="inlineStr">
        <is>
          <t>medium</t>
        </is>
      </c>
      <c r="P74" s="10" t="inlineStr">
        <is>
          <t>Presence and programme areas are well established; the current Egypt programme list needs confirming.</t>
        </is>
      </c>
      <c r="Q74" s="13" t="inlineStr">
        <is>
          <t>Not invited</t>
        </is>
      </c>
      <c r="R74" s="14" t="n"/>
      <c r="S74" s="15" t="n"/>
      <c r="T74" s="14" t="n"/>
      <c r="U74" s="14" t="n"/>
      <c r="V74" s="14" t="n"/>
    </row>
    <row r="75" ht="61" customHeight="1">
      <c r="A75" s="19" t="inlineStr">
        <is>
          <t>NGO and development partner</t>
        </is>
      </c>
      <c r="B75" s="8" t="inlineStr">
        <is>
          <t>Lead Partner</t>
        </is>
      </c>
      <c r="C75" s="9" t="inlineStr">
        <is>
          <t>CARE Egypt</t>
        </is>
      </c>
      <c r="D75" s="10" t="inlineStr"/>
      <c r="E75" s="10" t="inlineStr">
        <is>
          <t>International NGO</t>
        </is>
      </c>
      <c r="F75" s="10" t="inlineStr">
        <is>
          <t>Upper Egypt and the Delta</t>
        </is>
      </c>
      <c r="G75" s="10" t="inlineStr">
        <is>
          <t>Reach, staff time, venues, co-funding</t>
        </is>
      </c>
      <c r="H75" s="10" t="inlineStr">
        <is>
          <t>Facilitator certification for their own staff, the method for their own beneficiaries, a shared evidence base, and a seat in the coalition.</t>
        </is>
      </c>
      <c r="I75" s="10" t="inlineStr">
        <is>
          <t>Women's economic empowerment, village savings and loan associations, and entrepreneurship for low-income women.</t>
        </is>
      </c>
      <c r="J75" s="10" t="inlineStr">
        <is>
          <t>Savings group graduation into viable micro-businesses, and women's economic resilience.</t>
        </is>
      </c>
      <c r="K75" s="10" t="inlineStr">
        <is>
          <t>Programme director for economic empowerment</t>
        </is>
      </c>
      <c r="L75" s="10" t="inlineStr">
        <is>
          <t>Direct.</t>
        </is>
      </c>
      <c r="M75" s="10" t="inlineStr">
        <is>
          <t>Project-driven.</t>
        </is>
      </c>
      <c r="N75" s="11" t="inlineStr">
        <is>
          <t>A</t>
        </is>
      </c>
      <c r="O75" s="17" t="inlineStr">
        <is>
          <t>medium</t>
        </is>
      </c>
      <c r="P75" s="10" t="inlineStr">
        <is>
          <t>Model and presence are well established; current Egypt portfolio unconfirmed.</t>
        </is>
      </c>
      <c r="Q75" s="13" t="inlineStr">
        <is>
          <t>Not invited</t>
        </is>
      </c>
      <c r="R75" s="14" t="n"/>
      <c r="S75" s="15" t="n"/>
      <c r="T75" s="14" t="n"/>
      <c r="U75" s="14" t="n"/>
      <c r="V75" s="14" t="n"/>
    </row>
    <row r="76" ht="61" customHeight="1">
      <c r="A76" s="19" t="inlineStr">
        <is>
          <t>NGO and development partner</t>
        </is>
      </c>
      <c r="B76" s="8" t="inlineStr">
        <is>
          <t>Lead Partner</t>
        </is>
      </c>
      <c r="C76" s="9" t="inlineStr">
        <is>
          <t>European Bank for Reconstruction and Development (EBRD)</t>
        </is>
      </c>
      <c r="D76" s="10" t="inlineStr"/>
      <c r="E76" s="10" t="inlineStr">
        <is>
          <t>Development finance institution</t>
        </is>
      </c>
      <c r="F76" s="10" t="inlineStr">
        <is>
          <t>National</t>
        </is>
      </c>
      <c r="G76" s="10" t="inlineStr">
        <is>
          <t>Reach, staff time, venues, co-funding</t>
        </is>
      </c>
      <c r="H76" s="10" t="inlineStr">
        <is>
          <t>Facilitator certification for their own staff, the method for their own beneficiaries, a shared evidence base, and a seat in the coalition.</t>
        </is>
      </c>
      <c r="I76" s="10" t="inlineStr">
        <is>
          <t>Advice for Small Businesses, Women in Business, and Youth in Business programmes, which pay for advisory services to SMEs.</t>
        </is>
      </c>
      <c r="J76" s="10" t="inlineStr">
        <is>
          <t>SME growth measured in turnover, employment and productivity after the advisory engagement.</t>
        </is>
      </c>
      <c r="K76" s="10" t="inlineStr">
        <is>
          <t>Advice for Small Businesses country team in Cairo</t>
        </is>
      </c>
      <c r="L76" s="10" t="inlineStr">
        <is>
          <t>They maintain a consultant roster. Apply to it. This is one of the few donor routes with a published, open application.</t>
        </is>
      </c>
      <c r="M76" s="10" t="inlineStr">
        <is>
          <t>Rolling registration; assignments are continuous.</t>
        </is>
      </c>
      <c r="N76" s="11" t="inlineStr">
        <is>
          <t>A</t>
        </is>
      </c>
      <c r="O76" s="17" t="inlineStr">
        <is>
          <t>medium</t>
        </is>
      </c>
      <c r="P76" s="10" t="inlineStr">
        <is>
          <t>The programme structure is long-established across EBRD countries including Egypt. Confirm the current Egypt roster process.</t>
        </is>
      </c>
      <c r="Q76" s="13" t="inlineStr">
        <is>
          <t>Not invited</t>
        </is>
      </c>
      <c r="R76" s="14" t="n"/>
      <c r="S76" s="15" t="n"/>
      <c r="T76" s="14" t="n"/>
      <c r="U76" s="14" t="n"/>
      <c r="V76" s="14" t="n"/>
    </row>
    <row r="77" ht="85.39999999999999" customHeight="1">
      <c r="A77" s="19" t="inlineStr">
        <is>
          <t>NGO and development partner</t>
        </is>
      </c>
      <c r="B77" s="8" t="inlineStr">
        <is>
          <t>Lead Partner</t>
        </is>
      </c>
      <c r="C77" s="9" t="inlineStr">
        <is>
          <t>International Labour Organization (ILO) Egypt</t>
        </is>
      </c>
      <c r="D77" s="10" t="inlineStr"/>
      <c r="E77" s="10" t="inlineStr">
        <is>
          <t>UN agency</t>
        </is>
      </c>
      <c r="F77" s="10" t="inlineStr">
        <is>
          <t>National</t>
        </is>
      </c>
      <c r="G77" s="10" t="inlineStr">
        <is>
          <t>Reach, staff time, venues, co-funding</t>
        </is>
      </c>
      <c r="H77" s="10" t="inlineStr">
        <is>
          <t>Facilitator certification for their own staff, the method for their own beneficiaries, a shared evidence base, and a seat in the coalition.</t>
        </is>
      </c>
      <c r="I77" s="10" t="inlineStr">
        <is>
          <t>Decent work, youth employment and enterprise development. Owns Start and Improve Your Business (SIYB), the most widely used enterprise training methodology in the world, and has run youth employment projects in Egypt under the FORSA programme.</t>
        </is>
      </c>
      <c r="J77" s="10" t="inlineStr">
        <is>
          <t>Decent work outcomes, methodology fidelity, and national institutional capacity rather than project delivery.</t>
        </is>
      </c>
      <c r="K77" s="10" t="inlineStr">
        <is>
          <t>Chief technical adviser of the relevant project, and the enterprise development specialist in the Cairo office</t>
        </is>
      </c>
      <c r="L77" s="10" t="inlineStr">
        <is>
          <t>Direct to the Cairo office. The SIYB certification route is open and published, and is the cheapest credibility available in this file.</t>
        </is>
      </c>
      <c r="M77" s="10" t="inlineStr">
        <is>
          <t>Project cycles. The Egypt Youth Employment project under FORSA ran to 2024, so successor programming is the thing to ask about.</t>
        </is>
      </c>
      <c r="N77" s="11" t="inlineStr">
        <is>
          <t>A</t>
        </is>
      </c>
      <c r="O77" s="12" t="inlineStr">
        <is>
          <t>high</t>
        </is>
      </c>
      <c r="P77" s="10" t="inlineStr">
        <is>
          <t>Confirmed this session: SIYB is an ILO methodology, and an ILO Egypt Youth Employment project under FORSA ran 2020 to 2024. Confirm the current project portfolio.</t>
        </is>
      </c>
      <c r="Q77" s="13" t="inlineStr">
        <is>
          <t>Not invited</t>
        </is>
      </c>
      <c r="R77" s="14" t="n"/>
      <c r="S77" s="15" t="n"/>
      <c r="T77" s="14" t="n"/>
      <c r="U77" s="14" t="n"/>
      <c r="V77" s="14" t="n"/>
    </row>
    <row r="78" ht="73.19999999999999" customHeight="1">
      <c r="A78" s="19" t="inlineStr">
        <is>
          <t>NGO and development partner</t>
        </is>
      </c>
      <c r="B78" s="8" t="inlineStr">
        <is>
          <t>Lead Partner</t>
        </is>
      </c>
      <c r="C78" s="9" t="inlineStr">
        <is>
          <t>Misr El Kheir, Resala, Dar Al Orman, Orman and the mass charitable associations</t>
        </is>
      </c>
      <c r="D78" s="10" t="inlineStr"/>
      <c r="E78" s="10" t="inlineStr">
        <is>
          <t>Large national charity</t>
        </is>
      </c>
      <c r="F78" s="10" t="inlineStr">
        <is>
          <t>National, all governorates</t>
        </is>
      </c>
      <c r="G78" s="10" t="inlineStr">
        <is>
          <t>Reach, staff time, venues, co-funding</t>
        </is>
      </c>
      <c r="H78" s="10" t="inlineStr">
        <is>
          <t>Facilitator certification for their own staff, the method for their own beneficiaries, a shared evidence base, and a seat in the coalition.</t>
        </is>
      </c>
      <c r="I78" s="10" t="inlineStr">
        <is>
          <t>Mass-membership Egyptian charities with enormous volunteer bases, zakat-funded, running productive families and income-generation programmes alongside direct relief.</t>
        </is>
      </c>
      <c r="J78" s="10" t="inlineStr">
        <is>
          <t>Beneficiaries moved off dependence and into income, and zakat deployed credibly.</t>
        </is>
      </c>
      <c r="K78" s="10" t="inlineStr">
        <is>
          <t>Head of productive families or income generation</t>
        </is>
      </c>
      <c r="L78" s="10" t="inlineStr">
        <is>
          <t>Direct. Ramadan is their peak funding season and the worst delivery season; plan around it.</t>
        </is>
      </c>
      <c r="M78" s="10" t="inlineStr">
        <is>
          <t>Zakat and Ramadan driven, with programme planning before it.</t>
        </is>
      </c>
      <c r="N78" s="11" t="inlineStr">
        <is>
          <t>A</t>
        </is>
      </c>
      <c r="O78" s="17" t="inlineStr">
        <is>
          <t>medium</t>
        </is>
      </c>
      <c r="P78" s="10" t="inlineStr">
        <is>
          <t>Productive families programming is standard across these organisations. Which of them is currently strongest on income generation needs checking organisation by organisation.</t>
        </is>
      </c>
      <c r="Q78" s="13" t="inlineStr">
        <is>
          <t>Not invited</t>
        </is>
      </c>
      <c r="R78" s="14" t="n"/>
      <c r="S78" s="15" t="n"/>
      <c r="T78" s="14" t="n"/>
      <c r="U78" s="14" t="n"/>
      <c r="V78" s="14" t="n"/>
    </row>
    <row r="79" ht="109.8" customHeight="1">
      <c r="A79" s="19" t="inlineStr">
        <is>
          <t>NGO and development partner</t>
        </is>
      </c>
      <c r="B79" s="8" t="inlineStr">
        <is>
          <t>Lead Partner</t>
        </is>
      </c>
      <c r="C79" s="9" t="inlineStr">
        <is>
          <t>Nahdet El Mahrousa</t>
        </is>
      </c>
      <c r="D79" s="18" t="inlineStr">
        <is>
          <t>نهضة المحروسة</t>
        </is>
      </c>
      <c r="E79" s="10" t="inlineStr">
        <is>
          <t>Social enterprise incubator</t>
        </is>
      </c>
      <c r="F79" s="10" t="inlineStr">
        <is>
          <t>National</t>
        </is>
      </c>
      <c r="G79" s="10" t="inlineStr">
        <is>
          <t>Reach, staff time, venues, co-funding</t>
        </is>
      </c>
      <c r="H79" s="10" t="inlineStr">
        <is>
          <t>Facilitator certification for their own staff, the method for their own beneficiaries, a shared evidence base, and a seat in the coalition.</t>
        </is>
      </c>
      <c r="I79" s="10" t="inlineStr">
        <is>
          <t>Describes itself as the first incubator for early-stage social enterprises in Egypt and the region. Incubation, seed funding and capacity building, with a network of more than 600 startups and 150 mentors, and a record on the Egypt@Work initiative that trained over 12,600 young people with 78 per cent going into work or self-employment.</t>
        </is>
      </c>
      <c r="J79" s="10" t="inlineStr">
        <is>
          <t>Pipeline quality into incubation, mentor leverage, and donor reporting.</t>
        </is>
      </c>
      <c r="K79" s="10" t="inlineStr">
        <is>
          <t>Executive director, with the incubation programme manager</t>
        </is>
      </c>
      <c r="L79" s="10" t="inlineStr">
        <is>
          <t>Direct. They are an established partnership organisation.</t>
        </is>
      </c>
      <c r="M79" s="10" t="inlineStr">
        <is>
          <t>Programme cycles; donor-driven.</t>
        </is>
      </c>
      <c r="N79" s="11" t="inlineStr">
        <is>
          <t>A</t>
        </is>
      </c>
      <c r="O79" s="12" t="inlineStr">
        <is>
          <t>high</t>
        </is>
      </c>
      <c r="P79" s="10" t="inlineStr">
        <is>
          <t>Confirmed this session: self-described first social enterprise incubator in Egypt and the Middle East, 600+ startups, 150+ mentors, and the Egypt@Work results with the International Youth Foundation.</t>
        </is>
      </c>
      <c r="Q79" s="13" t="inlineStr">
        <is>
          <t>Not invited</t>
        </is>
      </c>
      <c r="R79" s="14" t="n"/>
      <c r="S79" s="15" t="n"/>
      <c r="T79" s="14" t="n"/>
      <c r="U79" s="14" t="n"/>
      <c r="V79" s="14" t="n"/>
    </row>
    <row r="80" ht="73.19999999999999" customHeight="1">
      <c r="A80" s="19" t="inlineStr">
        <is>
          <t>NGO and development partner</t>
        </is>
      </c>
      <c r="B80" s="8" t="inlineStr">
        <is>
          <t>Lead Partner</t>
        </is>
      </c>
      <c r="C80" s="9" t="inlineStr">
        <is>
          <t>Orange Corners Egypt (Netherlands Enterprise Agency)</t>
        </is>
      </c>
      <c r="D80" s="10" t="inlineStr"/>
      <c r="E80" s="10" t="inlineStr">
        <is>
          <t>Dutch government entrepreneurship programme</t>
        </is>
      </c>
      <c r="F80" s="10" t="inlineStr">
        <is>
          <t>Luxor, Assiut, Alexandria, Menoufia, Dakahlia, Kafr El-Sheikh, Beheira and Cairo</t>
        </is>
      </c>
      <c r="G80" s="10" t="inlineStr">
        <is>
          <t>Reach, staff time, venues, co-funding</t>
        </is>
      </c>
      <c r="H80" s="10" t="inlineStr">
        <is>
          <t>Facilitator certification for their own staff, the method for their own beneficiaries, a shared evidence base, and a seat in the coalition.</t>
        </is>
      </c>
      <c r="I80" s="10" t="inlineStr">
        <is>
          <t>A Netherlands government programme delivering incubation to young entrepreneurs through local hubs and private partners, with cohort-based training and a strong gender record.</t>
        </is>
      </c>
      <c r="J80" s="10" t="inlineStr">
        <is>
          <t>Cohort completion, women-led ventures, and governorate coverage outside Cairo.</t>
        </is>
      </c>
      <c r="K80" s="10" t="inlineStr">
        <is>
          <t>Programme manager at the Netherlands embassy in Cairo, with the local implementing partner for delivery</t>
        </is>
      </c>
      <c r="L80" s="10" t="inlineStr">
        <is>
          <t>Through an existing hub or the implementing partner, and through the Netherlands embassy's economic section.</t>
        </is>
      </c>
      <c r="M80" s="10" t="inlineStr">
        <is>
          <t>Cohort cycles run through the year; expansion decisions are annual.</t>
        </is>
      </c>
      <c r="N80" s="11" t="inlineStr">
        <is>
          <t>A</t>
        </is>
      </c>
      <c r="O80" s="12" t="inlineStr">
        <is>
          <t>high</t>
        </is>
      </c>
      <c r="P80" s="10" t="inlineStr">
        <is>
          <t>Confirmed this session: expansion into seven governorates in 2025, and a Delta cohort graduating 100 startups of which 52 were women-led, with Madinet Masr among the private partners.</t>
        </is>
      </c>
      <c r="Q80" s="13" t="inlineStr">
        <is>
          <t>Not invited</t>
        </is>
      </c>
      <c r="R80" s="14" t="n"/>
      <c r="S80" s="15" t="n"/>
      <c r="T80" s="14" t="n"/>
      <c r="U80" s="14" t="n"/>
      <c r="V80" s="14" t="n"/>
    </row>
    <row r="81" ht="73.19999999999999" customHeight="1">
      <c r="A81" s="19" t="inlineStr">
        <is>
          <t>NGO and development partner</t>
        </is>
      </c>
      <c r="B81" s="8" t="inlineStr">
        <is>
          <t>Lead Partner</t>
        </is>
      </c>
      <c r="C81" s="9" t="inlineStr">
        <is>
          <t>Plan International Egypt</t>
        </is>
      </c>
      <c r="D81" s="10" t="inlineStr"/>
      <c r="E81" s="10" t="inlineStr">
        <is>
          <t>International NGO</t>
        </is>
      </c>
      <c r="F81" s="10" t="inlineStr">
        <is>
          <t>Upper Egypt and the Delta</t>
        </is>
      </c>
      <c r="G81" s="10" t="inlineStr">
        <is>
          <t>Reach, staff time, venues, co-funding</t>
        </is>
      </c>
      <c r="H81" s="10" t="inlineStr">
        <is>
          <t>Facilitator certification for their own staff, the method for their own beneficiaries, a shared evidence base, and a seat in the coalition.</t>
        </is>
      </c>
      <c r="I81" s="10" t="inlineStr">
        <is>
          <t>Youth economic empowerment, girls' rights, and skills for employment, usually funded by European donors and implemented with Egyptian partners.</t>
        </is>
      </c>
      <c r="J81" s="10" t="inlineStr">
        <is>
          <t>Girls' and young women's economic empowerment, delivered to donor compliance standards.</t>
        </is>
      </c>
      <c r="K81" s="10" t="inlineStr">
        <is>
          <t>Youth economic empowerment programme manager</t>
        </is>
      </c>
      <c r="L81" s="10" t="inlineStr">
        <is>
          <t>Direct. International NGOs are more accessible than their donors and answer email.</t>
        </is>
      </c>
      <c r="M81" s="10" t="inlineStr">
        <is>
          <t>Project-driven, with partner selection at proposal stage, so being known before a call closes is what matters.</t>
        </is>
      </c>
      <c r="N81" s="11" t="inlineStr">
        <is>
          <t>A</t>
        </is>
      </c>
      <c r="O81" s="17" t="inlineStr">
        <is>
          <t>medium</t>
        </is>
      </c>
      <c r="P81" s="10" t="inlineStr">
        <is>
          <t>Presence and thematic focus are well established in Egypt; current projects unconfirmed.</t>
        </is>
      </c>
      <c r="Q81" s="13" t="inlineStr">
        <is>
          <t>Not invited</t>
        </is>
      </c>
      <c r="R81" s="14" t="n"/>
      <c r="S81" s="15" t="n"/>
      <c r="T81" s="14" t="n"/>
      <c r="U81" s="14" t="n"/>
      <c r="V81" s="14" t="n"/>
    </row>
    <row r="82" ht="61" customHeight="1">
      <c r="A82" s="19" t="inlineStr">
        <is>
          <t>NGO and development partner</t>
        </is>
      </c>
      <c r="B82" s="8" t="inlineStr">
        <is>
          <t>Lead Partner</t>
        </is>
      </c>
      <c r="C82" s="9" t="inlineStr">
        <is>
          <t>UN Women Egypt</t>
        </is>
      </c>
      <c r="D82" s="10" t="inlineStr"/>
      <c r="E82" s="10" t="inlineStr">
        <is>
          <t>UN agency</t>
        </is>
      </c>
      <c r="F82" s="10" t="inlineStr">
        <is>
          <t>National</t>
        </is>
      </c>
      <c r="G82" s="10" t="inlineStr">
        <is>
          <t>Reach, staff time, venues, co-funding</t>
        </is>
      </c>
      <c r="H82" s="10" t="inlineStr">
        <is>
          <t>Facilitator certification for their own staff, the method for their own beneficiaries, a shared evidence base, and a seat in the coalition.</t>
        </is>
      </c>
      <c r="I82" s="10" t="inlineStr">
        <is>
          <t>Women's economic empowerment, including enterprise development and access to finance for women.</t>
        </is>
      </c>
      <c r="J82" s="10" t="inlineStr">
        <is>
          <t>Women's economic participation, measured and disaggregated, with attention to unpaid care and mobility constraints.</t>
        </is>
      </c>
      <c r="K82" s="10" t="inlineStr">
        <is>
          <t>Women's economic empowerment programme specialist</t>
        </is>
      </c>
      <c r="L82" s="10" t="inlineStr">
        <is>
          <t>Through UNGM and the Cairo office.</t>
        </is>
      </c>
      <c r="M82" s="10" t="inlineStr">
        <is>
          <t>Annual work plans.</t>
        </is>
      </c>
      <c r="N82" s="11" t="inlineStr">
        <is>
          <t>A</t>
        </is>
      </c>
      <c r="O82" s="17" t="inlineStr">
        <is>
          <t>medium</t>
        </is>
      </c>
      <c r="P82" s="10" t="inlineStr">
        <is>
          <t>Thematic fit is certain; the current Egypt project list is unconfirmed.</t>
        </is>
      </c>
      <c r="Q82" s="13" t="inlineStr">
        <is>
          <t>Not invited</t>
        </is>
      </c>
      <c r="R82" s="14" t="n"/>
      <c r="S82" s="15" t="n"/>
      <c r="T82" s="14" t="n"/>
      <c r="U82" s="14" t="n"/>
      <c r="V82" s="14" t="n"/>
    </row>
    <row r="83" ht="61" customHeight="1">
      <c r="A83" s="19" t="inlineStr">
        <is>
          <t>NGO and development partner</t>
        </is>
      </c>
      <c r="B83" s="8" t="inlineStr">
        <is>
          <t>Lead Partner</t>
        </is>
      </c>
      <c r="C83" s="9" t="inlineStr">
        <is>
          <t>Enabel, SIDA, Danida, Swiss SDC and the smaller bilateral agencies</t>
        </is>
      </c>
      <c r="D83" s="10" t="inlineStr"/>
      <c r="E83" s="10" t="inlineStr">
        <is>
          <t>Bilateral development cooperation</t>
        </is>
      </c>
      <c r="F83" s="10" t="inlineStr">
        <is>
          <t>National</t>
        </is>
      </c>
      <c r="G83" s="10" t="inlineStr">
        <is>
          <t>Reach, staff time, venues, co-funding</t>
        </is>
      </c>
      <c r="H83" s="10" t="inlineStr">
        <is>
          <t>Facilitator certification for their own staff, the method for their own beneficiaries, a shared evidence base, and a seat in the coalition.</t>
        </is>
      </c>
      <c r="I83" s="10" t="inlineStr">
        <is>
          <t>Employment, skills, governance and private sector programmes, each with a modest Egypt portfolio but a lower barrier to entry than the largest donors.</t>
        </is>
      </c>
      <c r="J83" s="10" t="inlineStr">
        <is>
          <t>Results inside a narrow thematic mandate, and low fiduciary risk.</t>
        </is>
      </c>
      <c r="K83" s="10" t="inlineStr">
        <is>
          <t>Programme officer at the relevant embassy or agency office</t>
        </is>
      </c>
      <c r="L83" s="10" t="inlineStr">
        <is>
          <t>Through the embassies' development sections. Several publish calls.</t>
        </is>
      </c>
      <c r="M83" s="10" t="inlineStr">
        <is>
          <t>Varies by agency; most plan annually.</t>
        </is>
      </c>
      <c r="N83" s="11" t="inlineStr">
        <is>
          <t>B</t>
        </is>
      </c>
      <c r="O83" s="16" t="inlineStr">
        <is>
          <t>low</t>
        </is>
      </c>
      <c r="P83" s="10" t="inlineStr">
        <is>
          <t>Grouped deliberately. Verify which of these currently fund employment work in Egypt before allocating time.</t>
        </is>
      </c>
      <c r="Q83" s="13" t="inlineStr">
        <is>
          <t>Not invited</t>
        </is>
      </c>
      <c r="R83" s="14" t="n"/>
      <c r="S83" s="15" t="n"/>
      <c r="T83" s="14" t="n"/>
      <c r="U83" s="14" t="n"/>
      <c r="V83" s="14" t="n"/>
    </row>
    <row r="84" ht="61" customHeight="1">
      <c r="A84" s="19" t="inlineStr">
        <is>
          <t>NGO and development partner</t>
        </is>
      </c>
      <c r="B84" s="8" t="inlineStr">
        <is>
          <t>Lead Partner</t>
        </is>
      </c>
      <c r="C84" s="9" t="inlineStr">
        <is>
          <t>Mercy Corps, DRC, Terre des Hommes and the European implementers</t>
        </is>
      </c>
      <c r="D84" s="10" t="inlineStr"/>
      <c r="E84" s="10" t="inlineStr">
        <is>
          <t>International NGO</t>
        </is>
      </c>
      <c r="F84" s="10" t="inlineStr">
        <is>
          <t>National</t>
        </is>
      </c>
      <c r="G84" s="10" t="inlineStr">
        <is>
          <t>Reach, staff time, venues, co-funding</t>
        </is>
      </c>
      <c r="H84" s="10" t="inlineStr">
        <is>
          <t>Facilitator certification for their own staff, the method for their own beneficiaries, a shared evidence base, and a seat in the coalition.</t>
        </is>
      </c>
      <c r="I84" s="10" t="inlineStr">
        <is>
          <t>Livelihoods and economic inclusion projects funded by European donors, often covering refugees and host communities.</t>
        </is>
      </c>
      <c r="J84" s="10" t="inlineStr">
        <is>
          <t>Inclusion of refugees and host communities, and donor compliance.</t>
        </is>
      </c>
      <c r="K84" s="10" t="inlineStr">
        <is>
          <t>Programme manager for economic recovery or livelihoods</t>
        </is>
      </c>
      <c r="L84" s="10" t="inlineStr">
        <is>
          <t>Direct, and through the refugee response coordination groups.</t>
        </is>
      </c>
      <c r="M84" s="10" t="inlineStr">
        <is>
          <t>Project-driven.</t>
        </is>
      </c>
      <c r="N84" s="11" t="inlineStr">
        <is>
          <t>B</t>
        </is>
      </c>
      <c r="O84" s="16" t="inlineStr">
        <is>
          <t>low</t>
        </is>
      </c>
      <c r="P84" s="10" t="inlineStr">
        <is>
          <t>Grouped deliberately. Verify which currently operate in Egypt before allocating time.</t>
        </is>
      </c>
      <c r="Q84" s="13" t="inlineStr">
        <is>
          <t>Not invited</t>
        </is>
      </c>
      <c r="R84" s="14" t="n"/>
      <c r="S84" s="15" t="n"/>
      <c r="T84" s="14" t="n"/>
      <c r="U84" s="14" t="n"/>
      <c r="V84" s="14" t="n"/>
    </row>
    <row r="85" ht="61" customHeight="1">
      <c r="A85" s="19" t="inlineStr">
        <is>
          <t>NGO and development partner</t>
        </is>
      </c>
      <c r="B85" s="8" t="inlineStr">
        <is>
          <t>Lead Partner</t>
        </is>
      </c>
      <c r="C85" s="9" t="inlineStr">
        <is>
          <t>Food and Agriculture Organization (FAO) Egypt</t>
        </is>
      </c>
      <c r="D85" s="10" t="inlineStr"/>
      <c r="E85" s="10" t="inlineStr">
        <is>
          <t>UN agency</t>
        </is>
      </c>
      <c r="F85" s="10" t="inlineStr">
        <is>
          <t>Rural Egypt, Upper Egypt and the Delta</t>
        </is>
      </c>
      <c r="G85" s="10" t="inlineStr">
        <is>
          <t>Reach, staff time, venues, co-funding</t>
        </is>
      </c>
      <c r="H85" s="10" t="inlineStr">
        <is>
          <t>Facilitator certification for their own staff, the method for their own beneficiaries, a shared evidence base, and a seat in the coalition.</t>
        </is>
      </c>
      <c r="I85" s="10" t="inlineStr">
        <is>
          <t>Rural livelihoods, agribusiness development and farmer field schools.</t>
        </is>
      </c>
      <c r="J85" s="10" t="inlineStr">
        <is>
          <t>Rural livelihoods and food system outcomes.</t>
        </is>
      </c>
      <c r="K85" s="10" t="inlineStr">
        <is>
          <t>Programme officer for rural development</t>
        </is>
      </c>
      <c r="L85" s="10" t="inlineStr">
        <is>
          <t>Through UNGM and the Cairo office.</t>
        </is>
      </c>
      <c r="M85" s="10" t="inlineStr">
        <is>
          <t>Project cycles.</t>
        </is>
      </c>
      <c r="N85" s="11" t="inlineStr">
        <is>
          <t>C</t>
        </is>
      </c>
      <c r="O85" s="17" t="inlineStr">
        <is>
          <t>medium</t>
        </is>
      </c>
      <c r="P85" s="10" t="inlineStr">
        <is>
          <t>Thematic fit is good; Egypt pipeline unconfirmed.</t>
        </is>
      </c>
      <c r="Q85" s="13" t="inlineStr">
        <is>
          <t>Not invited</t>
        </is>
      </c>
      <c r="R85" s="14" t="n"/>
      <c r="S85" s="15" t="n"/>
      <c r="T85" s="14" t="n"/>
      <c r="U85" s="14" t="n"/>
      <c r="V85" s="14" t="n"/>
    </row>
    <row r="86" ht="61" customHeight="1">
      <c r="A86" s="19" t="inlineStr">
        <is>
          <t>NGO and development partner</t>
        </is>
      </c>
      <c r="B86" s="8" t="inlineStr">
        <is>
          <t>Governorate Partner</t>
        </is>
      </c>
      <c r="C86" s="9" t="inlineStr">
        <is>
          <t>Alashanek ya Balady Association for Sustainable Development (AYB-SD)</t>
        </is>
      </c>
      <c r="D86" s="10" t="inlineStr"/>
      <c r="E86" s="10" t="inlineStr">
        <is>
          <t>Youth and livelihoods NGO</t>
        </is>
      </c>
      <c r="F86" s="10" t="inlineStr">
        <is>
          <t>Greater Cairo and several governorates</t>
        </is>
      </c>
      <c r="G86" s="10" t="inlineStr">
        <is>
          <t>Reach, staff time, venues, co-funding</t>
        </is>
      </c>
      <c r="H86" s="10" t="inlineStr">
        <is>
          <t>Facilitator certification for their own staff, the method for their own beneficiaries, a shared evidence base, and a seat in the coalition.</t>
        </is>
      </c>
      <c r="I86" s="10" t="inlineStr">
        <is>
          <t>Started as a student initiative and became a development NGO focused on employability, vocational training and small enterprise for low-income young people.</t>
        </is>
      </c>
      <c r="J86" s="10" t="inlineStr">
        <is>
          <t>Job placement and income improvement for low-income youth.</t>
        </is>
      </c>
      <c r="K86" s="10" t="inlineStr">
        <is>
          <t>Programme director</t>
        </is>
      </c>
      <c r="L86" s="10" t="inlineStr">
        <is>
          <t>Direct.</t>
        </is>
      </c>
      <c r="M86" s="10" t="inlineStr">
        <is>
          <t>Project-driven.</t>
        </is>
      </c>
      <c r="N86" s="11" t="inlineStr">
        <is>
          <t>B</t>
        </is>
      </c>
      <c r="O86" s="17" t="inlineStr">
        <is>
          <t>medium</t>
        </is>
      </c>
      <c r="P86" s="10" t="inlineStr">
        <is>
          <t>Organisation and focus are well established; this session's search returned nothing current, so verify before approaching.</t>
        </is>
      </c>
      <c r="Q86" s="13" t="inlineStr">
        <is>
          <t>Not invited</t>
        </is>
      </c>
      <c r="R86" s="14" t="n"/>
      <c r="S86" s="15" t="n"/>
      <c r="T86" s="14" t="n"/>
      <c r="U86" s="14" t="n"/>
      <c r="V86" s="14" t="n"/>
    </row>
    <row r="87" ht="61" customHeight="1">
      <c r="A87" s="19" t="inlineStr">
        <is>
          <t>NGO and development partner</t>
        </is>
      </c>
      <c r="B87" s="8" t="inlineStr">
        <is>
          <t>Governorate Partner</t>
        </is>
      </c>
      <c r="C87" s="9" t="inlineStr">
        <is>
          <t>Catholic Relief Services, Caritas Egypt and the faith-based implementers</t>
        </is>
      </c>
      <c r="D87" s="10" t="inlineStr"/>
      <c r="E87" s="10" t="inlineStr">
        <is>
          <t>Faith-based international NGO</t>
        </is>
      </c>
      <c r="F87" s="10" t="inlineStr">
        <is>
          <t>National, strong in Upper Egypt</t>
        </is>
      </c>
      <c r="G87" s="10" t="inlineStr">
        <is>
          <t>Reach, staff time, venues, co-funding</t>
        </is>
      </c>
      <c r="H87" s="10" t="inlineStr">
        <is>
          <t>Facilitator certification for their own staff, the method for their own beneficiaries, a shared evidence base, and a seat in the coalition.</t>
        </is>
      </c>
      <c r="I87" s="10" t="inlineStr">
        <is>
          <t>Livelihoods, vocational training and migrant support, with deep community networks in Upper Egypt.</t>
        </is>
      </c>
      <c r="J87" s="10" t="inlineStr">
        <is>
          <t>Livelihoods created in the communities they serve.</t>
        </is>
      </c>
      <c r="K87" s="10" t="inlineStr">
        <is>
          <t>Livelihoods programme manager</t>
        </is>
      </c>
      <c r="L87" s="10" t="inlineStr">
        <is>
          <t>Direct. These organisations are approachable.</t>
        </is>
      </c>
      <c r="M87" s="10" t="inlineStr">
        <is>
          <t>Project-driven.</t>
        </is>
      </c>
      <c r="N87" s="11" t="inlineStr">
        <is>
          <t>B</t>
        </is>
      </c>
      <c r="O87" s="17" t="inlineStr">
        <is>
          <t>medium</t>
        </is>
      </c>
      <c r="P87" s="10" t="inlineStr">
        <is>
          <t>Presence in Upper Egypt is well established; specific programmes unconfirmed.</t>
        </is>
      </c>
      <c r="Q87" s="13" t="inlineStr">
        <is>
          <t>Not invited</t>
        </is>
      </c>
      <c r="R87" s="14" t="n"/>
      <c r="S87" s="15" t="n"/>
      <c r="T87" s="14" t="n"/>
      <c r="U87" s="14" t="n"/>
      <c r="V87" s="14" t="n"/>
    </row>
    <row r="88" ht="61" customHeight="1">
      <c r="A88" s="19" t="inlineStr">
        <is>
          <t>NGO and development partner</t>
        </is>
      </c>
      <c r="B88" s="8" t="inlineStr">
        <is>
          <t>Governorate Partner</t>
        </is>
      </c>
      <c r="C88" s="9" t="inlineStr">
        <is>
          <t>Etijah, Youth and Development Consultancy Institute</t>
        </is>
      </c>
      <c r="D88" s="10" t="inlineStr"/>
      <c r="E88" s="10" t="inlineStr">
        <is>
          <t>Youth development NGO and consultancy</t>
        </is>
      </c>
      <c r="F88" s="10" t="inlineStr">
        <is>
          <t>National</t>
        </is>
      </c>
      <c r="G88" s="10" t="inlineStr">
        <is>
          <t>Reach, staff time, venues, co-funding</t>
        </is>
      </c>
      <c r="H88" s="10" t="inlineStr">
        <is>
          <t>Facilitator certification for their own staff, the method for their own beneficiaries, a shared evidence base, and a seat in the coalition.</t>
        </is>
      </c>
      <c r="I88" s="10" t="inlineStr">
        <is>
          <t>Youth participation, capacity building for youth organisations, and donor-funded youth programming.</t>
        </is>
      </c>
      <c r="J88" s="10" t="inlineStr">
        <is>
          <t>Capacity built across the youth sector, and donor results.</t>
        </is>
      </c>
      <c r="K88" s="10" t="inlineStr">
        <is>
          <t>Executive director</t>
        </is>
      </c>
      <c r="L88" s="10" t="inlineStr">
        <is>
          <t>Direct.</t>
        </is>
      </c>
      <c r="M88" s="10" t="inlineStr">
        <is>
          <t>Project-driven.</t>
        </is>
      </c>
      <c r="N88" s="11" t="inlineStr">
        <is>
          <t>B</t>
        </is>
      </c>
      <c r="O88" s="16" t="inlineStr">
        <is>
          <t>low</t>
        </is>
      </c>
      <c r="P88" s="10" t="inlineStr">
        <is>
          <t>Verify current activity before approaching.</t>
        </is>
      </c>
      <c r="Q88" s="13" t="inlineStr">
        <is>
          <t>Not invited</t>
        </is>
      </c>
      <c r="R88" s="14" t="n"/>
      <c r="S88" s="15" t="n"/>
      <c r="T88" s="14" t="n"/>
      <c r="U88" s="14" t="n"/>
      <c r="V88" s="14" t="n"/>
    </row>
    <row r="89" ht="61" customHeight="1">
      <c r="A89" s="19" t="inlineStr">
        <is>
          <t>NGO and development partner</t>
        </is>
      </c>
      <c r="B89" s="8" t="inlineStr">
        <is>
          <t>Governorate Partner</t>
        </is>
      </c>
      <c r="C89" s="9" t="inlineStr">
        <is>
          <t>Save the Children Egypt</t>
        </is>
      </c>
      <c r="D89" s="10" t="inlineStr"/>
      <c r="E89" s="10" t="inlineStr">
        <is>
          <t>International NGO</t>
        </is>
      </c>
      <c r="F89" s="10" t="inlineStr">
        <is>
          <t>National</t>
        </is>
      </c>
      <c r="G89" s="10" t="inlineStr">
        <is>
          <t>Reach, staff time, venues, co-funding</t>
        </is>
      </c>
      <c r="H89" s="10" t="inlineStr">
        <is>
          <t>Facilitator certification for their own staff, the method for their own beneficiaries, a shared evidence base, and a seat in the coalition.</t>
        </is>
      </c>
      <c r="I89" s="10" t="inlineStr">
        <is>
          <t>Adolescent skills, child protection and youth employability.</t>
        </is>
      </c>
      <c r="J89" s="10" t="inlineStr">
        <is>
          <t>Adolescent outcomes with child-safe delivery.</t>
        </is>
      </c>
      <c r="K89" s="10" t="inlineStr">
        <is>
          <t>Programme manager for education or youth</t>
        </is>
      </c>
      <c r="L89" s="10" t="inlineStr">
        <is>
          <t>Direct, with safeguarding documentation ready.</t>
        </is>
      </c>
      <c r="M89" s="10" t="inlineStr">
        <is>
          <t>Project-driven.</t>
        </is>
      </c>
      <c r="N89" s="11" t="inlineStr">
        <is>
          <t>B</t>
        </is>
      </c>
      <c r="O89" s="16" t="inlineStr">
        <is>
          <t>low</t>
        </is>
      </c>
      <c r="P89" s="10" t="inlineStr">
        <is>
          <t>Reasoned prospect; Egypt portfolio unconfirmed.</t>
        </is>
      </c>
      <c r="Q89" s="13" t="inlineStr">
        <is>
          <t>Not invited</t>
        </is>
      </c>
      <c r="R89" s="14" t="n"/>
      <c r="S89" s="15" t="n"/>
      <c r="T89" s="14" t="n"/>
      <c r="U89" s="14" t="n"/>
      <c r="V89" s="14" t="n"/>
    </row>
    <row r="90" ht="61" customHeight="1">
      <c r="A90" s="19" t="inlineStr">
        <is>
          <t>NGO and development partner</t>
        </is>
      </c>
      <c r="B90" s="8" t="inlineStr">
        <is>
          <t>Mission Partner or in-kind</t>
        </is>
      </c>
      <c r="C90" s="9" t="inlineStr">
        <is>
          <t>Ahead of the Curve</t>
        </is>
      </c>
      <c r="D90" s="10" t="inlineStr"/>
      <c r="E90" s="10" t="inlineStr">
        <is>
          <t>Sustainability consultancy and social enterprise</t>
        </is>
      </c>
      <c r="F90" s="10" t="inlineStr">
        <is>
          <t>National</t>
        </is>
      </c>
      <c r="G90" s="10" t="inlineStr">
        <is>
          <t>Reach, staff time, venues, co-funding</t>
        </is>
      </c>
      <c r="H90" s="10" t="inlineStr">
        <is>
          <t>Facilitator certification for their own staff, the method for their own beneficiaries, a shared evidence base, and a seat in the coalition.</t>
        </is>
      </c>
      <c r="I90" s="10" t="inlineStr">
        <is>
          <t>Corporate sustainability advisory, CSR strategy and sustainability reporting for Egyptian corporates.</t>
        </is>
      </c>
      <c r="J90" s="10" t="inlineStr">
        <is>
          <t>Credible programmes they can recommend to clients without risk to their own reputation.</t>
        </is>
      </c>
      <c r="K90" s="10" t="inlineStr">
        <is>
          <t>Managing director or practice lead</t>
        </is>
      </c>
      <c r="L90" s="10" t="inlineStr">
        <is>
          <t>Direct, as a partnership rather than as a sales call.</t>
        </is>
      </c>
      <c r="M90" s="10" t="inlineStr">
        <is>
          <t>Rolling.</t>
        </is>
      </c>
      <c r="N90" s="11" t="inlineStr">
        <is>
          <t>B</t>
        </is>
      </c>
      <c r="O90" s="16" t="inlineStr">
        <is>
          <t>low</t>
        </is>
      </c>
      <c r="P90" s="10" t="inlineStr">
        <is>
          <t>Positioning as a CSR advisory firm is known; current client base unverified.</t>
        </is>
      </c>
      <c r="Q90" s="13" t="inlineStr">
        <is>
          <t>Not invited</t>
        </is>
      </c>
      <c r="R90" s="14" t="n"/>
      <c r="S90" s="15" t="n"/>
      <c r="T90" s="14" t="n"/>
      <c r="U90" s="14" t="n"/>
      <c r="V90" s="14" t="n"/>
    </row>
    <row r="91" ht="61" customHeight="1">
      <c r="A91" s="19" t="inlineStr">
        <is>
          <t>NGO and development partner</t>
        </is>
      </c>
      <c r="B91" s="8" t="inlineStr">
        <is>
          <t>Mission Partner or in-kind</t>
        </is>
      </c>
      <c r="C91" s="9" t="inlineStr">
        <is>
          <t>Ashoka Arab World</t>
        </is>
      </c>
      <c r="D91" s="10" t="inlineStr"/>
      <c r="E91" s="10" t="inlineStr">
        <is>
          <t>Social entrepreneurship network</t>
        </is>
      </c>
      <c r="F91" s="10" t="inlineStr">
        <is>
          <t>Egypt and the region</t>
        </is>
      </c>
      <c r="G91" s="10" t="inlineStr">
        <is>
          <t>Reach, staff time, venues, co-funding</t>
        </is>
      </c>
      <c r="H91" s="10" t="inlineStr">
        <is>
          <t>Facilitator certification for their own staff, the method for their own beneficiaries, a shared evidence base, and a seat in the coalition.</t>
        </is>
      </c>
      <c r="I91" s="10" t="inlineStr">
        <is>
          <t>Identifies and supports social entrepreneurs, and runs youth social innovation programmes.</t>
        </is>
      </c>
      <c r="J91" s="10" t="inlineStr">
        <is>
          <t>Social impact at systems level, and young changemakers.</t>
        </is>
      </c>
      <c r="K91" s="10" t="inlineStr">
        <is>
          <t>Country or regional director</t>
        </is>
      </c>
      <c r="L91" s="10" t="inlineStr">
        <is>
          <t>Direct. The network is open to partnership conversations.</t>
        </is>
      </c>
      <c r="M91" s="10" t="inlineStr">
        <is>
          <t>Rolling.</t>
        </is>
      </c>
      <c r="N91" s="11" t="inlineStr">
        <is>
          <t>B</t>
        </is>
      </c>
      <c r="O91" s="17" t="inlineStr">
        <is>
          <t>medium</t>
        </is>
      </c>
      <c r="P91" s="10" t="inlineStr">
        <is>
          <t>Long-established in Cairo; current programme set unconfirmed.</t>
        </is>
      </c>
      <c r="Q91" s="13" t="inlineStr">
        <is>
          <t>Not invited</t>
        </is>
      </c>
      <c r="R91" s="14" t="n"/>
      <c r="S91" s="15" t="n"/>
      <c r="T91" s="14" t="n"/>
      <c r="U91" s="14" t="n"/>
      <c r="V91" s="14" t="n"/>
    </row>
    <row r="92" ht="61" customHeight="1">
      <c r="A92" s="19" t="inlineStr">
        <is>
          <t>NGO and development partner</t>
        </is>
      </c>
      <c r="B92" s="8" t="inlineStr">
        <is>
          <t>Mission Partner or in-kind</t>
        </is>
      </c>
      <c r="C92" s="9" t="inlineStr">
        <is>
          <t>CID Consulting</t>
        </is>
      </c>
      <c r="D92" s="10" t="inlineStr"/>
      <c r="E92" s="10" t="inlineStr">
        <is>
          <t>Development consultancy</t>
        </is>
      </c>
      <c r="F92" s="10" t="inlineStr">
        <is>
          <t>National</t>
        </is>
      </c>
      <c r="G92" s="10" t="inlineStr">
        <is>
          <t>Reach, staff time, venues, co-funding</t>
        </is>
      </c>
      <c r="H92" s="10" t="inlineStr">
        <is>
          <t>Facilitator certification for their own staff, the method for their own beneficiaries, a shared evidence base, and a seat in the coalition.</t>
        </is>
      </c>
      <c r="I92" s="10" t="inlineStr">
        <is>
          <t>Development consultancy and CSR advisory, designing and evaluating programmes for corporates and donors.</t>
        </is>
      </c>
      <c r="J92" s="10" t="inlineStr">
        <is>
          <t>Programmes that deliver what their design promised.</t>
        </is>
      </c>
      <c r="K92" s="10" t="inlineStr">
        <is>
          <t>Partner or programme director</t>
        </is>
      </c>
      <c r="L92" s="10" t="inlineStr">
        <is>
          <t>Direct.</t>
        </is>
      </c>
      <c r="M92" s="10" t="inlineStr">
        <is>
          <t>Rolling.</t>
        </is>
      </c>
      <c r="N92" s="11" t="inlineStr">
        <is>
          <t>C</t>
        </is>
      </c>
      <c r="O92" s="16" t="inlineStr">
        <is>
          <t>low</t>
        </is>
      </c>
      <c r="P92" s="10" t="inlineStr">
        <is>
          <t>Verify current activity.</t>
        </is>
      </c>
      <c r="Q92" s="13" t="inlineStr">
        <is>
          <t>Not invited</t>
        </is>
      </c>
      <c r="R92" s="14" t="n"/>
      <c r="S92" s="15" t="n"/>
      <c r="T92" s="14" t="n"/>
      <c r="U92" s="14" t="n"/>
      <c r="V92" s="14" t="n"/>
    </row>
    <row r="93" ht="61" customHeight="1">
      <c r="A93" s="19" t="inlineStr">
        <is>
          <t>NGO and development partner</t>
        </is>
      </c>
      <c r="B93" s="8" t="inlineStr">
        <is>
          <t>Mission Partner or in-kind</t>
        </is>
      </c>
      <c r="C93" s="9" t="inlineStr">
        <is>
          <t>Educate Me Foundation</t>
        </is>
      </c>
      <c r="D93" s="10" t="inlineStr"/>
      <c r="E93" s="10" t="inlineStr">
        <is>
          <t>Education NGO</t>
        </is>
      </c>
      <c r="F93" s="10" t="inlineStr">
        <is>
          <t>Greater Cairo</t>
        </is>
      </c>
      <c r="G93" s="10" t="inlineStr">
        <is>
          <t>Reach, staff time, venues, co-funding</t>
        </is>
      </c>
      <c r="H93" s="10" t="inlineStr">
        <is>
          <t>Facilitator certification for their own staff, the method for their own beneficiaries, a shared evidence base, and a seat in the coalition.</t>
        </is>
      </c>
      <c r="I93" s="10" t="inlineStr">
        <is>
          <t>Learner-centred education, teacher development and community schools, with a strong reputation for pedagogy.</t>
        </is>
      </c>
      <c r="J93" s="10" t="inlineStr">
        <is>
          <t>Learning quality and teacher capability.</t>
        </is>
      </c>
      <c r="K93" s="10" t="inlineStr">
        <is>
          <t>Executive director</t>
        </is>
      </c>
      <c r="L93" s="10" t="inlineStr">
        <is>
          <t>Direct.</t>
        </is>
      </c>
      <c r="M93" s="10" t="inlineStr">
        <is>
          <t>Rolling.</t>
        </is>
      </c>
      <c r="N93" s="11" t="inlineStr">
        <is>
          <t>C</t>
        </is>
      </c>
      <c r="O93" s="17" t="inlineStr">
        <is>
          <t>medium</t>
        </is>
      </c>
      <c r="P93" s="10" t="inlineStr">
        <is>
          <t>Reputation is established; fit is modest.</t>
        </is>
      </c>
      <c r="Q93" s="13" t="inlineStr">
        <is>
          <t>Not invited</t>
        </is>
      </c>
      <c r="R93" s="14" t="n"/>
      <c r="S93" s="15" t="n"/>
      <c r="T93" s="14" t="n"/>
      <c r="U93" s="14" t="n"/>
      <c r="V93" s="14" t="n"/>
    </row>
    <row r="94" ht="61" customHeight="1">
      <c r="A94" s="20" t="inlineStr">
        <is>
          <t>Community supporter</t>
        </is>
      </c>
      <c r="B94" s="8" t="inlineStr">
        <is>
          <t>Community Supporter</t>
        </is>
      </c>
      <c r="C94" s="9" t="inlineStr">
        <is>
          <t>AIESEC in Egypt</t>
        </is>
      </c>
      <c r="D94" s="10" t="inlineStr"/>
      <c r="E94" s="10" t="inlineStr">
        <is>
          <t>International student organisation</t>
        </is>
      </c>
      <c r="F94" s="10" t="inlineStr">
        <is>
          <t>National, most universities</t>
        </is>
      </c>
      <c r="G94" s="10" t="inlineStr">
        <is>
          <t>Members, chapters, leadership. No cash</t>
        </is>
      </c>
      <c r="H94" s="10" t="inlineStr">
        <is>
          <t>The full programme free for every member, certification for ten of their leadership, their chapter on the national map, and their own chapter's data.</t>
        </is>
      </c>
      <c r="I94" s="10" t="inlineStr">
        <is>
          <t>Youth leadership development and international exchange, run entirely by university students across local committees.</t>
        </is>
      </c>
      <c r="J94" s="10" t="inlineStr">
        <is>
          <t>Member development, partner corporates, and leadership experiences for their members.</t>
        </is>
      </c>
      <c r="K94" s="10" t="inlineStr">
        <is>
          <t>National president or vice president for partnerships, with local committee presidents</t>
        </is>
      </c>
      <c r="L94" s="10" t="inlineStr">
        <is>
          <t>Direct to the national office, and through local committee presidents, who turn over annually and respond fast.</t>
        </is>
      </c>
      <c r="M94" s="10" t="inlineStr">
        <is>
          <t>Their leadership year turns over in the summer, so the useful approach window is July to September.</t>
        </is>
      </c>
      <c r="N94" s="11" t="inlineStr">
        <is>
          <t>A</t>
        </is>
      </c>
      <c r="O94" s="17" t="inlineStr">
        <is>
          <t>medium</t>
        </is>
      </c>
      <c r="P94" s="10" t="inlineStr">
        <is>
          <t>Presence in Egypt is long-established. Current committee list should be taken from their own site.</t>
        </is>
      </c>
      <c r="Q94" s="13" t="inlineStr">
        <is>
          <t>Not invited</t>
        </is>
      </c>
      <c r="R94" s="14" t="n"/>
      <c r="S94" s="15" t="n"/>
      <c r="T94" s="14" t="n"/>
      <c r="U94" s="14" t="n"/>
      <c r="V94" s="14" t="n"/>
    </row>
    <row r="95" ht="61" customHeight="1">
      <c r="A95" s="20" t="inlineStr">
        <is>
          <t>Community supporter</t>
        </is>
      </c>
      <c r="B95" s="8" t="inlineStr">
        <is>
          <t>Community Supporter</t>
        </is>
      </c>
      <c r="C95" s="9" t="inlineStr">
        <is>
          <t>Egyptian Scouts, youth centres and the Ministry of Youth network</t>
        </is>
      </c>
      <c r="D95" s="10" t="inlineStr"/>
      <c r="E95" s="10" t="inlineStr">
        <is>
          <t>State youth infrastructure</t>
        </is>
      </c>
      <c r="F95" s="10" t="inlineStr">
        <is>
          <t>National, every governorate</t>
        </is>
      </c>
      <c r="G95" s="10" t="inlineStr">
        <is>
          <t>Members, chapters, leadership. No cash</t>
        </is>
      </c>
      <c r="H95" s="10" t="inlineStr">
        <is>
          <t>The full programme free for every member, certification for ten of their leadership, their chapter on the national map, and their own chapter's data.</t>
        </is>
      </c>
      <c r="I95" s="10" t="inlineStr">
        <is>
          <t>Thousands of state youth centres under the Ministry of Youth and Sports, reaching young people outside the university system entirely.</t>
        </is>
      </c>
      <c r="J95" s="10" t="inlineStr">
        <is>
          <t>Youth centre activity, national coverage, and alignment with the ministry's own programmes.</t>
        </is>
      </c>
      <c r="K95" s="10" t="inlineStr">
        <is>
          <t>Ministry of Youth and Sports central administration for youth programmes, with governorate directorates</t>
        </is>
      </c>
      <c r="L95" s="10" t="inlineStr">
        <is>
          <t>Through the ministry centrally, with a donor paying. Governorate directorates cannot commit nationally but can pilot.</t>
        </is>
      </c>
      <c r="M95" s="10" t="inlineStr">
        <is>
          <t>State fiscal year from July.</t>
        </is>
      </c>
      <c r="N95" s="11" t="inlineStr">
        <is>
          <t>A</t>
        </is>
      </c>
      <c r="O95" s="17" t="inlineStr">
        <is>
          <t>medium</t>
        </is>
      </c>
      <c r="P95" s="10" t="inlineStr">
        <is>
          <t>The youth centre network's existence and scale are certain; the contracting route for an external provider is the thing to establish early.</t>
        </is>
      </c>
      <c r="Q95" s="13" t="inlineStr">
        <is>
          <t>Not invited</t>
        </is>
      </c>
      <c r="R95" s="14" t="n"/>
      <c r="S95" s="15" t="n"/>
      <c r="T95" s="14" t="n"/>
      <c r="U95" s="14" t="n"/>
      <c r="V95" s="14" t="n"/>
    </row>
    <row r="96" ht="73.19999999999999" customHeight="1">
      <c r="A96" s="20" t="inlineStr">
        <is>
          <t>Community supporter</t>
        </is>
      </c>
      <c r="B96" s="8" t="inlineStr">
        <is>
          <t>Community Supporter</t>
        </is>
      </c>
      <c r="C96" s="9" t="inlineStr">
        <is>
          <t>Enactus Egypt</t>
        </is>
      </c>
      <c r="D96" s="18" t="inlineStr">
        <is>
          <t>إناكتس مصر</t>
        </is>
      </c>
      <c r="E96" s="10" t="inlineStr">
        <is>
          <t>University student network</t>
        </is>
      </c>
      <c r="F96" s="10" t="inlineStr">
        <is>
          <t>National, 40+ universities</t>
        </is>
      </c>
      <c r="G96" s="10" t="inlineStr">
        <is>
          <t>Members, chapters, leadership. No cash</t>
        </is>
      </c>
      <c r="H96" s="10" t="inlineStr">
        <is>
          <t>The full programme free for every member, certification for ten of their leadership, their chapter on the national map, and their own chapter's data.</t>
        </is>
      </c>
      <c r="I96" s="10" t="inlineStr">
        <is>
          <t>University-based social entrepreneurship teams competing nationally and internationally, sponsored by Orange Egypt for twenty consecutive years and with National Bank of Egypt participation in the national finals.</t>
        </is>
      </c>
      <c r="J96" s="10" t="inlineStr">
        <is>
          <t>Better-prepared teams, higher placement at the world cup, and sponsor retention.</t>
        </is>
      </c>
      <c r="K96" s="10" t="inlineStr">
        <is>
          <t>National director or country manager, with faculty advisers as the delivery counterpart</t>
        </is>
      </c>
      <c r="L96" s="10" t="inlineStr">
        <is>
          <t>Direct to the national office, and in parallel through faculty advisers at individual universities.</t>
        </is>
      </c>
      <c r="M96" s="10" t="inlineStr">
        <is>
          <t>Academic year, with the national competition driving the calendar.</t>
        </is>
      </c>
      <c r="N96" s="11" t="inlineStr">
        <is>
          <t>A</t>
        </is>
      </c>
      <c r="O96" s="12" t="inlineStr">
        <is>
          <t>high</t>
        </is>
      </c>
      <c r="P96" s="10" t="inlineStr">
        <is>
          <t>Confirmed this session: twenty years of Orange sponsorship, NBE participation in the 2025/2026 local finals, and the winning team representing Egypt at the world cup.</t>
        </is>
      </c>
      <c r="Q96" s="13" t="inlineStr">
        <is>
          <t>Not invited</t>
        </is>
      </c>
      <c r="R96" s="14" t="n"/>
      <c r="S96" s="15" t="n"/>
      <c r="T96" s="14" t="n"/>
      <c r="U96" s="14" t="n"/>
      <c r="V96" s="14" t="n"/>
    </row>
    <row r="97" ht="73.19999999999999" customHeight="1">
      <c r="A97" s="20" t="inlineStr">
        <is>
          <t>Community supporter</t>
        </is>
      </c>
      <c r="B97" s="8" t="inlineStr">
        <is>
          <t>Community Supporter</t>
        </is>
      </c>
      <c r="C97" s="9" t="inlineStr">
        <is>
          <t>INJAZ Egypt</t>
        </is>
      </c>
      <c r="D97" s="18" t="inlineStr">
        <is>
          <t>إنجاز مصر</t>
        </is>
      </c>
      <c r="E97" s="10" t="inlineStr">
        <is>
          <t>Youth education NGO, JA Worldwide member</t>
        </is>
      </c>
      <c r="F97" s="10" t="inlineStr">
        <is>
          <t>National</t>
        </is>
      </c>
      <c r="G97" s="10" t="inlineStr">
        <is>
          <t>Members, chapters, leadership. No cash</t>
        </is>
      </c>
      <c r="H97" s="10" t="inlineStr">
        <is>
          <t>The full programme free for every member, certification for ten of their leadership, their chapter on the national map, and their own chapter's data.</t>
        </is>
      </c>
      <c r="I97" s="10" t="inlineStr">
        <is>
          <t>The Company Program and youth entrepreneurship education, delivered in schools and universities by trained corporate volunteers, funded by corporate sponsors and part of the INJAZ Al-Arab and JA Worldwide networks.</t>
        </is>
      </c>
      <c r="J97" s="10" t="inlineStr">
        <is>
          <t>Volume of students reached, corporate sponsor satisfaction, and quality consistency across volunteers, which is their hardest problem and our product's answer.</t>
        </is>
      </c>
      <c r="K97" s="10" t="inlineStr">
        <is>
          <t>Executive director, with the programmes director as the operational owner</t>
        </is>
      </c>
      <c r="L97" s="10" t="inlineStr">
        <is>
          <t>Direct. Also present at every ecosystem event, which is the easier first contact.</t>
        </is>
      </c>
      <c r="M97" s="10" t="inlineStr">
        <is>
          <t>Academic year, so approach between May and August.</t>
        </is>
      </c>
      <c r="N97" s="11" t="inlineStr">
        <is>
          <t>A</t>
        </is>
      </c>
      <c r="O97" s="12" t="inlineStr">
        <is>
          <t>high</t>
        </is>
      </c>
      <c r="P97" s="10" t="inlineStr">
        <is>
          <t>Named in this plan's existing partner list and confirmed in this session's search results as running the Company Program and youth entrepreneurship work in Egypt.</t>
        </is>
      </c>
      <c r="Q97" s="13" t="inlineStr">
        <is>
          <t>Not invited</t>
        </is>
      </c>
      <c r="R97" s="14" t="n"/>
      <c r="S97" s="15" t="n"/>
      <c r="T97" s="14" t="n"/>
      <c r="U97" s="14" t="n"/>
      <c r="V97" s="14" t="n"/>
    </row>
    <row r="98" ht="85.39999999999999" customHeight="1">
      <c r="A98" s="20" t="inlineStr">
        <is>
          <t>Community supporter</t>
        </is>
      </c>
      <c r="B98" s="8" t="inlineStr">
        <is>
          <t>Community Supporter</t>
        </is>
      </c>
      <c r="C98" s="9" t="inlineStr">
        <is>
          <t>Life Makers Foundation (Sonaa Al Hayah)</t>
        </is>
      </c>
      <c r="D98" s="18" t="inlineStr">
        <is>
          <t>مؤسسة صناع الحياة</t>
        </is>
      </c>
      <c r="E98" s="10" t="inlineStr">
        <is>
          <t>National youth NGO</t>
        </is>
      </c>
      <c r="F98" s="10" t="inlineStr">
        <is>
          <t>National, all governorates</t>
        </is>
      </c>
      <c r="G98" s="10" t="inlineStr">
        <is>
          <t>Members, chapters, leadership. No cash</t>
        </is>
      </c>
      <c r="H98" s="10" t="inlineStr">
        <is>
          <t>The full programme free for every member, certification for ten of their leadership, their chapter on the national map, and their own chapter's data.</t>
        </is>
      </c>
      <c r="I98" s="10" t="inlineStr">
        <is>
          <t>One of the largest youth volunteer organisations in Egypt, with branches across the governorates, running development, employment and community programmes through young volunteers.</t>
        </is>
      </c>
      <c r="J98" s="10" t="inlineStr">
        <is>
          <t>Volunteer development, programme quality, and funding for branch activity.</t>
        </is>
      </c>
      <c r="K98" s="10" t="inlineStr">
        <is>
          <t>Executive director, with governorate branch coordinators as the delivery counterpart</t>
        </is>
      </c>
      <c r="L98" s="10" t="inlineStr">
        <is>
          <t>Direct to the national office. Branch coordinators can also initiate upward.</t>
        </is>
      </c>
      <c r="M98" s="10" t="inlineStr">
        <is>
          <t>Programme and funding driven.</t>
        </is>
      </c>
      <c r="N98" s="11" t="inlineStr">
        <is>
          <t>A</t>
        </is>
      </c>
      <c r="O98" s="17" t="inlineStr">
        <is>
          <t>medium</t>
        </is>
      </c>
      <c r="P98" s="10" t="inlineStr">
        <is>
          <t>A very large and long-established Egyptian youth organisation. The current programme portfolio needs confirming; this session's search returned nothing on it, which is a gap in this file, not evidence of absence.</t>
        </is>
      </c>
      <c r="Q98" s="13" t="inlineStr">
        <is>
          <t>Not invited</t>
        </is>
      </c>
      <c r="R98" s="14" t="n"/>
      <c r="S98" s="15" t="n"/>
      <c r="T98" s="14" t="n"/>
      <c r="U98" s="14" t="n"/>
      <c r="V98" s="14" t="n"/>
    </row>
    <row r="99" ht="61" customHeight="1">
      <c r="A99" s="20" t="inlineStr">
        <is>
          <t>Community supporter</t>
        </is>
      </c>
      <c r="B99" s="8" t="inlineStr">
        <is>
          <t>Community Supporter</t>
        </is>
      </c>
      <c r="C99" s="9" t="inlineStr">
        <is>
          <t>Hult Prize on-campus programme</t>
        </is>
      </c>
      <c r="D99" s="10" t="inlineStr"/>
      <c r="E99" s="10" t="inlineStr">
        <is>
          <t>Global student competition</t>
        </is>
      </c>
      <c r="F99" s="10" t="inlineStr">
        <is>
          <t>Egypt and KSA campuses</t>
        </is>
      </c>
      <c r="G99" s="10" t="inlineStr">
        <is>
          <t>Members, chapters, leadership. No cash</t>
        </is>
      </c>
      <c r="H99" s="10" t="inlineStr">
        <is>
          <t>The full programme free for every member, certification for ten of their leadership, their chapter on the national map, and their own chapter's data.</t>
        </is>
      </c>
      <c r="I99" s="10" t="inlineStr">
        <is>
          <t>A student social venture competition run on campuses worldwide, with campus directors recruited from the student body.</t>
        </is>
      </c>
      <c r="J99" s="10" t="inlineStr">
        <is>
          <t>Campus participation numbers and quality of ventures advancing.</t>
        </is>
      </c>
      <c r="K99" s="10" t="inlineStr">
        <is>
          <t>Campus directors, with the regional team above them</t>
        </is>
      </c>
      <c r="L99" s="10" t="inlineStr">
        <is>
          <t>Through campus directors directly; they are students and are reachable.</t>
        </is>
      </c>
      <c r="M99" s="10" t="inlineStr">
        <is>
          <t>Academic year, with campus rounds in the autumn and winter.</t>
        </is>
      </c>
      <c r="N99" s="11" t="inlineStr">
        <is>
          <t>B</t>
        </is>
      </c>
      <c r="O99" s="12" t="inlineStr">
        <is>
          <t>high</t>
        </is>
      </c>
      <c r="P99" s="10" t="inlineStr">
        <is>
          <t>Named in this plan's existing target list.</t>
        </is>
      </c>
      <c r="Q99" s="13" t="inlineStr">
        <is>
          <t>Not invited</t>
        </is>
      </c>
      <c r="R99" s="14" t="n"/>
      <c r="S99" s="15" t="n"/>
      <c r="T99" s="14" t="n"/>
      <c r="U99" s="14" t="n"/>
      <c r="V99" s="14" t="n"/>
    </row>
    <row r="100" ht="61" customHeight="1">
      <c r="A100" s="20" t="inlineStr">
        <is>
          <t>Community supporter</t>
        </is>
      </c>
      <c r="B100" s="8" t="inlineStr">
        <is>
          <t>Community Supporter</t>
        </is>
      </c>
      <c r="C100" s="9" t="inlineStr">
        <is>
          <t>Junior Chamber International (JCI) Egypt</t>
        </is>
      </c>
      <c r="D100" s="10" t="inlineStr"/>
      <c r="E100" s="10" t="inlineStr">
        <is>
          <t>Young professional network</t>
        </is>
      </c>
      <c r="F100" s="10" t="inlineStr">
        <is>
          <t>National, several chapters</t>
        </is>
      </c>
      <c r="G100" s="10" t="inlineStr">
        <is>
          <t>Members, chapters, leadership. No cash</t>
        </is>
      </c>
      <c r="H100" s="10" t="inlineStr">
        <is>
          <t>The full programme free for every member, certification for ten of their leadership, their chapter on the national map, and their own chapter's data.</t>
        </is>
      </c>
      <c r="I100" s="10" t="inlineStr">
        <is>
          <t>Young leaders and entrepreneurs network, running training, competitions and community projects.</t>
        </is>
      </c>
      <c r="J100" s="10" t="inlineStr">
        <is>
          <t>Member value, visible community projects, and national representation.</t>
        </is>
      </c>
      <c r="K100" s="10" t="inlineStr">
        <is>
          <t>National president or chapter presidents</t>
        </is>
      </c>
      <c r="L100" s="10" t="inlineStr">
        <is>
          <t>Direct.</t>
        </is>
      </c>
      <c r="M100" s="10" t="inlineStr">
        <is>
          <t>Annual leadership turnover.</t>
        </is>
      </c>
      <c r="N100" s="11" t="inlineStr">
        <is>
          <t>B</t>
        </is>
      </c>
      <c r="O100" s="16" t="inlineStr">
        <is>
          <t>low</t>
        </is>
      </c>
      <c r="P100" s="10" t="inlineStr">
        <is>
          <t>Verify current Egyptian chapter activity.</t>
        </is>
      </c>
      <c r="Q100" s="13" t="inlineStr">
        <is>
          <t>Not invited</t>
        </is>
      </c>
      <c r="R100" s="14" t="n"/>
      <c r="S100" s="15" t="n"/>
      <c r="T100" s="14" t="n"/>
      <c r="U100" s="14" t="n"/>
      <c r="V100" s="14" t="n"/>
    </row>
    <row r="101" ht="61" customHeight="1">
      <c r="A101" s="20" t="inlineStr">
        <is>
          <t>Community supporter</t>
        </is>
      </c>
      <c r="B101" s="8" t="inlineStr">
        <is>
          <t>Community Supporter</t>
        </is>
      </c>
      <c r="C101" s="9" t="inlineStr">
        <is>
          <t>Rotaract and Rotary Egypt</t>
        </is>
      </c>
      <c r="D101" s="10" t="inlineStr"/>
      <c r="E101" s="10" t="inlineStr">
        <is>
          <t>Service club network</t>
        </is>
      </c>
      <c r="F101" s="10" t="inlineStr">
        <is>
          <t>National, many clubs</t>
        </is>
      </c>
      <c r="G101" s="10" t="inlineStr">
        <is>
          <t>Members, chapters, leadership. No cash</t>
        </is>
      </c>
      <c r="H101" s="10" t="inlineStr">
        <is>
          <t>The full programme free for every member, certification for ten of their leadership, their chapter on the national map, and their own chapter's data.</t>
        </is>
      </c>
      <c r="I101" s="10" t="inlineStr">
        <is>
          <t>Youth service clubs running community projects, with Rotary international grant funding behind them.</t>
        </is>
      </c>
      <c r="J101" s="10" t="inlineStr">
        <is>
          <t>Service projects with measurable community benefit, and international grant eligibility.</t>
        </is>
      </c>
      <c r="K101" s="10" t="inlineStr">
        <is>
          <t>District governor and club presidents</t>
        </is>
      </c>
      <c r="L101" s="10" t="inlineStr">
        <is>
          <t>Through club presidents, who can propose grants upward.</t>
        </is>
      </c>
      <c r="M101" s="10" t="inlineStr">
        <is>
          <t>Rotary year begins in July; grant cycles follow it.</t>
        </is>
      </c>
      <c r="N101" s="11" t="inlineStr">
        <is>
          <t>B</t>
        </is>
      </c>
      <c r="O101" s="16" t="inlineStr">
        <is>
          <t>low</t>
        </is>
      </c>
      <c r="P101" s="10" t="inlineStr">
        <is>
          <t>The global grant mechanism is real and well documented; Egyptian club appetite is unverified.</t>
        </is>
      </c>
      <c r="Q101" s="13" t="inlineStr">
        <is>
          <t>Not invited</t>
        </is>
      </c>
      <c r="R101" s="14" t="n"/>
      <c r="S101" s="15" t="n"/>
      <c r="T101" s="14" t="n"/>
      <c r="U101" s="14" t="n"/>
      <c r="V101" s="14" t="n"/>
    </row>
    <row r="102" ht="61" customHeight="1">
      <c r="A102" s="20" t="inlineStr">
        <is>
          <t>Community supporter</t>
        </is>
      </c>
      <c r="B102" s="8" t="inlineStr">
        <is>
          <t>Community Supporter</t>
        </is>
      </c>
      <c r="C102" s="9" t="inlineStr">
        <is>
          <t>Startup Teen (iSchool)</t>
        </is>
      </c>
      <c r="D102" s="10" t="inlineStr"/>
      <c r="E102" s="10" t="inlineStr">
        <is>
          <t>School-age entrepreneurship competition</t>
        </is>
      </c>
      <c r="F102" s="10" t="inlineStr">
        <is>
          <t>Egypt</t>
        </is>
      </c>
      <c r="G102" s="10" t="inlineStr">
        <is>
          <t>Members, chapters, leadership. No cash</t>
        </is>
      </c>
      <c r="H102" s="10" t="inlineStr">
        <is>
          <t>The full programme free for every member, certification for ten of their leadership, their chapter on the national map, and their own chapter's data.</t>
        </is>
      </c>
      <c r="I102" s="10" t="inlineStr">
        <is>
          <t>A school-age entrepreneurship competition run under the patronage of the Ministry of Communications and Information Technology.</t>
        </is>
      </c>
      <c r="J102" s="10" t="inlineStr">
        <is>
          <t>Participation at school level, and ministry visibility.</t>
        </is>
      </c>
      <c r="K102" s="10" t="inlineStr">
        <is>
          <t>Programme lead at iSchool</t>
        </is>
      </c>
      <c r="L102" s="10" t="inlineStr">
        <is>
          <t>Direct, and through the ICT ministry patronage relationship.</t>
        </is>
      </c>
      <c r="M102" s="10" t="inlineStr">
        <is>
          <t>Academic year.</t>
        </is>
      </c>
      <c r="N102" s="11" t="inlineStr">
        <is>
          <t>B</t>
        </is>
      </c>
      <c r="O102" s="12" t="inlineStr">
        <is>
          <t>high</t>
        </is>
      </c>
      <c r="P102" s="10" t="inlineStr">
        <is>
          <t>Named in this plan's existing target list.</t>
        </is>
      </c>
      <c r="Q102" s="13" t="inlineStr">
        <is>
          <t>Not invited</t>
        </is>
      </c>
      <c r="R102" s="14" t="n"/>
      <c r="S102" s="15" t="n"/>
      <c r="T102" s="14" t="n"/>
      <c r="U102" s="14" t="n"/>
      <c r="V102" s="14" t="n"/>
    </row>
    <row r="103" ht="61" customHeight="1">
      <c r="A103" s="20" t="inlineStr">
        <is>
          <t>Community supporter</t>
        </is>
      </c>
      <c r="B103" s="8" t="inlineStr">
        <is>
          <t>Community Supporter</t>
        </is>
      </c>
      <c r="C103" s="9" t="inlineStr">
        <is>
          <t>Teach For Egypt</t>
        </is>
      </c>
      <c r="D103" s="10" t="inlineStr"/>
      <c r="E103" s="10" t="inlineStr">
        <is>
          <t>Education NGO, Teach For All network</t>
        </is>
      </c>
      <c r="F103" s="10" t="inlineStr">
        <is>
          <t>Several governorates</t>
        </is>
      </c>
      <c r="G103" s="10" t="inlineStr">
        <is>
          <t>Members, chapters, leadership. No cash</t>
        </is>
      </c>
      <c r="H103" s="10" t="inlineStr">
        <is>
          <t>The full programme free for every member, certification for ten of their leadership, their chapter on the national map, and their own chapter's data.</t>
        </is>
      </c>
      <c r="I103" s="10" t="inlineStr">
        <is>
          <t>Places graduate fellows as teachers in underserved schools for two years, with leadership development attached.</t>
        </is>
      </c>
      <c r="J103" s="10" t="inlineStr">
        <is>
          <t>Fellow development, alumni impact, and school outcomes.</t>
        </is>
      </c>
      <c r="K103" s="10" t="inlineStr">
        <is>
          <t>Executive director or alumni director</t>
        </is>
      </c>
      <c r="L103" s="10" t="inlineStr">
        <is>
          <t>Direct.</t>
        </is>
      </c>
      <c r="M103" s="10" t="inlineStr">
        <is>
          <t>Fellowship cohort cycles, annual.</t>
        </is>
      </c>
      <c r="N103" s="11" t="inlineStr">
        <is>
          <t>B</t>
        </is>
      </c>
      <c r="O103" s="17" t="inlineStr">
        <is>
          <t>medium</t>
        </is>
      </c>
      <c r="P103" s="10" t="inlineStr">
        <is>
          <t>Network membership is established; Egypt scale needs confirming.</t>
        </is>
      </c>
      <c r="Q103" s="13" t="inlineStr">
        <is>
          <t>Not invited</t>
        </is>
      </c>
      <c r="R103" s="14" t="n"/>
      <c r="S103" s="15" t="n"/>
      <c r="T103" s="14" t="n"/>
      <c r="U103" s="14" t="n"/>
      <c r="V103" s="14" t="n"/>
    </row>
    <row r="104" ht="61" customHeight="1">
      <c r="A104" s="20" t="inlineStr">
        <is>
          <t>Community supporter</t>
        </is>
      </c>
      <c r="B104" s="8" t="inlineStr">
        <is>
          <t>Community Supporter</t>
        </is>
      </c>
      <c r="C104" s="9" t="inlineStr">
        <is>
          <t>IEEE, ACM and the engineering student branches</t>
        </is>
      </c>
      <c r="D104" s="10" t="inlineStr"/>
      <c r="E104" s="10" t="inlineStr">
        <is>
          <t>Technical student societies</t>
        </is>
      </c>
      <c r="F104" s="10" t="inlineStr">
        <is>
          <t>National, engineering faculties</t>
        </is>
      </c>
      <c r="G104" s="10" t="inlineStr">
        <is>
          <t>Members, chapters, leadership. No cash</t>
        </is>
      </c>
      <c r="H104" s="10" t="inlineStr">
        <is>
          <t>The full programme free for every member, certification for ten of their leadership, their chapter on the national map, and their own chapter's data.</t>
        </is>
      </c>
      <c r="I104" s="10" t="inlineStr">
        <is>
          <t>Technical student branches running competitions, workshops and hackathons on engineering campuses.</t>
        </is>
      </c>
      <c r="J104" s="10" t="inlineStr">
        <is>
          <t>Member activity, technical credibility and employability.</t>
        </is>
      </c>
      <c r="K104" s="10" t="inlineStr">
        <is>
          <t>Student branch chairs, with faculty advisers</t>
        </is>
      </c>
      <c r="L104" s="10" t="inlineStr">
        <is>
          <t>Direct to branch chairs.</t>
        </is>
      </c>
      <c r="M104" s="10" t="inlineStr">
        <is>
          <t>Academic year.</t>
        </is>
      </c>
      <c r="N104" s="11" t="inlineStr">
        <is>
          <t>C</t>
        </is>
      </c>
      <c r="O104" s="17" t="inlineStr">
        <is>
          <t>medium</t>
        </is>
      </c>
      <c r="P104" s="10" t="inlineStr">
        <is>
          <t>These branches exist on most Egyptian engineering faculties; specific branches to be listed from their own directories.</t>
        </is>
      </c>
      <c r="Q104" s="13" t="inlineStr">
        <is>
          <t>Not invited</t>
        </is>
      </c>
      <c r="R104" s="14" t="n"/>
      <c r="S104" s="15" t="n"/>
      <c r="T104" s="14" t="n"/>
      <c r="U104" s="14" t="n"/>
      <c r="V104" s="14" t="n"/>
    </row>
  </sheetData>
  <autoFilter ref="A1:V104"/>
  <dataValidations count="1">
    <dataValidation sqref="Q2:Q104" showDropDown="0" showInputMessage="0" showErrorMessage="0" allowBlank="1" type="list">
      <formula1>"Not invited,Invited,Replied,Meeting held,Proposal sent,Negotiating,Signed,Declined,Parked"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showGridLines="0" workbookViewId="0">
      <selection activeCell="A1" sqref="A1"/>
    </sheetView>
  </sheetViews>
  <sheetFormatPr baseColWidth="8" defaultRowHeight="15"/>
  <cols>
    <col width="3" customWidth="1" min="1" max="1"/>
    <col width="26" customWidth="1" min="2" max="2"/>
    <col width="14" customWidth="1" min="3" max="3"/>
    <col width="10" customWidth="1" min="4" max="4"/>
    <col width="96" customWidth="1" min="5" max="5"/>
  </cols>
  <sheetData>
    <row r="1" ht="28" customHeight="1">
      <c r="A1" s="1" t="inlineStr">
        <is>
          <t>What a partner gets for what they give</t>
        </is>
      </c>
    </row>
    <row r="2" ht="19" customHeight="1">
      <c r="A2" s="2" t="inlineStr">
        <is>
          <t>Slots are capped on purpose. A tier anybody can buy is not worth buying.</t>
        </is>
      </c>
    </row>
    <row r="4" ht="24" customHeight="1">
      <c r="B4" s="21" t="inlineStr">
        <is>
          <t>Founding Partner</t>
        </is>
      </c>
      <c r="C4" s="22" t="inlineStr">
        <is>
          <t>$150,000</t>
        </is>
      </c>
      <c r="D4" s="23" t="inlineStr">
        <is>
          <t>3 slots</t>
        </is>
      </c>
      <c r="E4" s="24" t="inlineStr">
        <is>
          <t>Cash, plus a seat on the steering committee.</t>
        </is>
      </c>
    </row>
    <row r="5" ht="24.8" customHeight="1">
      <c r="B5" s="25" t="inlineStr">
        <is>
          <t>CSR sponsor</t>
        </is>
      </c>
      <c r="E5" s="10" t="inlineStr">
        <is>
          <t>Named as a Founding Partner of the initiative, in Arabic and English, on every surface it has: the platform, the launch, the showcase, the national report.</t>
        </is>
      </c>
    </row>
    <row r="6" ht="24.8" customHeight="1">
      <c r="B6" s="25" t="inlineStr">
        <is>
          <t>CSR sponsor</t>
        </is>
      </c>
      <c r="E6" s="10" t="inlineStr">
        <is>
          <t>A seat on the steering committee, which sets the governorate plan and signs off the national report.</t>
        </is>
      </c>
    </row>
    <row r="7" ht="16" customHeight="1">
      <c r="B7" s="25" t="inlineStr">
        <is>
          <t>CSR sponsor</t>
        </is>
      </c>
      <c r="E7" s="10" t="inlineStr">
        <is>
          <t>A governorate or a sector of their choosing carried under their name for the whole wave.</t>
        </is>
      </c>
    </row>
    <row r="8" ht="24.8" customHeight="1">
      <c r="B8" s="25" t="inlineStr">
        <is>
          <t>CSR sponsor</t>
        </is>
      </c>
      <c r="E8" s="10" t="inlineStr">
        <is>
          <t>The quarterly direction report on what young Egyptians are building, by sector, governorate, gender and age, before it is published.</t>
        </is>
      </c>
    </row>
    <row r="9" ht="24.8" customHeight="1">
      <c r="B9" s="25" t="inlineStr">
        <is>
          <t>CSR sponsor</t>
        </is>
      </c>
      <c r="E9" s="10" t="inlineStr">
        <is>
          <t>A themed call into the ideas bank: a question put to every participant in their sector, with consented responses returned to them.</t>
        </is>
      </c>
    </row>
    <row r="10" ht="24.8" customHeight="1">
      <c r="B10" s="25" t="inlineStr">
        <is>
          <t>CSR sponsor</t>
        </is>
      </c>
      <c r="E10" s="10" t="inlineStr">
        <is>
          <t>First look at the ventures from the showcase, for their own accelerator, prize, procurement or hiring.</t>
        </is>
      </c>
    </row>
    <row r="11" ht="24.8" customHeight="1">
      <c r="B11" s="25" t="inlineStr">
        <is>
          <t>CSR sponsor</t>
        </is>
      </c>
      <c r="E11" s="10" t="inlineStr">
        <is>
          <t>Up to 40 of their staff certified as mentors and judges, with hours logged and reported back for their own employee engagement numbers.</t>
        </is>
      </c>
    </row>
    <row r="12" ht="24.8" customHeight="1">
      <c r="B12" s="25" t="inlineStr">
        <is>
          <t>CSR sponsor</t>
        </is>
      </c>
      <c r="E12" s="10" t="inlineStr">
        <is>
          <t>A closing report with named participants, completion rates, governorate and gender disaggregation, and SDG mapping, written to go straight into their own annual report.</t>
        </is>
      </c>
    </row>
    <row r="14" ht="24" customHeight="1">
      <c r="B14" s="21" t="inlineStr">
        <is>
          <t>Lead Partner</t>
        </is>
      </c>
      <c r="C14" s="22" t="inlineStr">
        <is>
          <t>$75,000</t>
        </is>
      </c>
      <c r="D14" s="23" t="inlineStr">
        <is>
          <t>6 slots</t>
        </is>
      </c>
      <c r="E14" s="24" t="inlineStr">
        <is>
          <t>Cash.</t>
        </is>
      </c>
    </row>
    <row r="15" ht="16" customHeight="1">
      <c r="B15" s="25" t="inlineStr">
        <is>
          <t>CSR sponsor</t>
        </is>
      </c>
      <c r="E15" s="10" t="inlineStr">
        <is>
          <t>Named as a Lead Partner across the initiative's surfaces.</t>
        </is>
      </c>
    </row>
    <row r="16" ht="16" customHeight="1">
      <c r="B16" s="25" t="inlineStr">
        <is>
          <t>CSR sponsor</t>
        </is>
      </c>
      <c r="E16" s="10" t="inlineStr">
        <is>
          <t>A seat on the partner council, which meets monthly.</t>
        </is>
      </c>
    </row>
    <row r="17" ht="16" customHeight="1">
      <c r="B17" s="25" t="inlineStr">
        <is>
          <t>CSR sponsor</t>
        </is>
      </c>
      <c r="E17" s="10" t="inlineStr">
        <is>
          <t>One governorate wave or one competition season under their name.</t>
        </is>
      </c>
    </row>
    <row r="18" ht="16" customHeight="1">
      <c r="B18" s="25" t="inlineStr">
        <is>
          <t>CSR sponsor</t>
        </is>
      </c>
      <c r="E18" s="10" t="inlineStr">
        <is>
          <t>The quarterly direction report.</t>
        </is>
      </c>
    </row>
    <row r="19" ht="16" customHeight="1">
      <c r="B19" s="25" t="inlineStr">
        <is>
          <t>CSR sponsor</t>
        </is>
      </c>
      <c r="E19" s="10" t="inlineStr">
        <is>
          <t>Up to 20 staff certified as mentors and judges.</t>
        </is>
      </c>
    </row>
    <row r="20" ht="16" customHeight="1">
      <c r="B20" s="25" t="inlineStr">
        <is>
          <t>CSR sponsor</t>
        </is>
      </c>
      <c r="E20" s="10" t="inlineStr">
        <is>
          <t>The closing report, disaggregated and SDG mapped.</t>
        </is>
      </c>
    </row>
    <row r="22" ht="24" customHeight="1">
      <c r="B22" s="21" t="inlineStr">
        <is>
          <t>Governorate Partner</t>
        </is>
      </c>
      <c r="C22" s="22" t="inlineStr">
        <is>
          <t>$30,000</t>
        </is>
      </c>
      <c r="D22" s="23" t="inlineStr">
        <is>
          <t>12 slots</t>
        </is>
      </c>
      <c r="E22" s="24" t="inlineStr">
        <is>
          <t>Cash, usually from a community investment budget tied to where they operate.</t>
        </is>
      </c>
    </row>
    <row r="23" ht="24.8" customHeight="1">
      <c r="B23" s="25" t="inlineStr">
        <is>
          <t>CSR sponsor</t>
        </is>
      </c>
      <c r="E23" s="10" t="inlineStr">
        <is>
          <t>One named governorate for the wave, which is the version of this that an oil, cement or industrial sponsor can fund out of an existing licence-to-operate budget.</t>
        </is>
      </c>
    </row>
    <row r="24" ht="16" customHeight="1">
      <c r="B24" s="25" t="inlineStr">
        <is>
          <t>CSR sponsor</t>
        </is>
      </c>
      <c r="E24" s="10" t="inlineStr">
        <is>
          <t>Cohorts, a local showcase and a governorate report with named participants.</t>
        </is>
      </c>
    </row>
    <row r="25" ht="16" customHeight="1">
      <c r="B25" s="25" t="inlineStr">
        <is>
          <t>CSR sponsor</t>
        </is>
      </c>
      <c r="E25" s="10" t="inlineStr">
        <is>
          <t>The direction report for their governorate.</t>
        </is>
      </c>
    </row>
    <row r="26" ht="16" customHeight="1">
      <c r="B26" s="25" t="inlineStr">
        <is>
          <t>CSR sponsor</t>
        </is>
      </c>
      <c r="E26" s="10" t="inlineStr">
        <is>
          <t>Up to 10 staff as mentors and judges.</t>
        </is>
      </c>
    </row>
    <row r="28" ht="24.8" customHeight="1">
      <c r="B28" s="21" t="inlineStr">
        <is>
          <t>Mission Partner</t>
        </is>
      </c>
      <c r="C28" s="22" t="inlineStr">
        <is>
          <t>$12,000</t>
        </is>
      </c>
      <c r="D28" s="23" t="inlineStr">
        <is>
          <t>15 slots</t>
        </is>
      </c>
      <c r="E28" s="24" t="inlineStr">
        <is>
          <t>Cash. The entry tier, and the one a mid-sized Egyptian company or a second-tier foundation can sign inside a quarter.</t>
        </is>
      </c>
    </row>
    <row r="29" ht="24.8" customHeight="1">
      <c r="B29" s="25" t="inlineStr">
        <is>
          <t>CSR sponsor</t>
        </is>
      </c>
      <c r="E29" s="10" t="inlineStr">
        <is>
          <t>One of the fifteen missions carried under their name, which every participant in the country passes through.</t>
        </is>
      </c>
    </row>
    <row r="30" ht="16" customHeight="1">
      <c r="B30" s="25" t="inlineStr">
        <is>
          <t>CSR sponsor</t>
        </is>
      </c>
      <c r="E30" s="10" t="inlineStr">
        <is>
          <t>Their sector's slice of the direction report.</t>
        </is>
      </c>
    </row>
    <row r="31" ht="16" customHeight="1">
      <c r="B31" s="25" t="inlineStr">
        <is>
          <t>CSR sponsor</t>
        </is>
      </c>
      <c r="E31" s="10" t="inlineStr">
        <is>
          <t>Named on the platform and in the closing report.</t>
        </is>
      </c>
    </row>
    <row r="32" ht="16" customHeight="1">
      <c r="B32" s="25" t="inlineStr">
        <is>
          <t>CSR sponsor</t>
        </is>
      </c>
      <c r="E32" s="10" t="inlineStr">
        <is>
          <t>Staff as mentors on their own mission.</t>
        </is>
      </c>
    </row>
    <row r="34" ht="24.8" customHeight="1">
      <c r="B34" s="21" t="inlineStr">
        <is>
          <t>In-kind Partner</t>
        </is>
      </c>
      <c r="C34" s="22" t="inlineStr">
        <is>
          <t>No cash</t>
        </is>
      </c>
      <c r="D34" s="23" t="inlineStr">
        <is>
          <t>Uncapped</t>
        </is>
      </c>
      <c r="E34" s="24" t="inlineStr">
        <is>
          <t>Anything on the in-kind menu, valued at its market rate and credited at the cash tier it matches.</t>
        </is>
      </c>
    </row>
    <row r="35" ht="24.8" customHeight="1">
      <c r="B35" s="25" t="inlineStr">
        <is>
          <t>CSR sponsor or NGO and development partner</t>
        </is>
      </c>
      <c r="E35" s="10" t="inlineStr">
        <is>
          <t>Credited at the tier their contribution values at, with the same benefits. Media airtime at a rate card value of $75,000 is a Lead Partner.</t>
        </is>
      </c>
    </row>
    <row r="36" ht="24.8" customHeight="1">
      <c r="B36" s="25" t="inlineStr">
        <is>
          <t>CSR sponsor or NGO and development partner</t>
        </is>
      </c>
      <c r="E36" s="10" t="inlineStr">
        <is>
          <t>This is how a telco, a broadcaster or a venue owner joins without a cash approval, and it is usually faster.</t>
        </is>
      </c>
    </row>
    <row r="38" ht="24" customHeight="1">
      <c r="B38" s="21" t="inlineStr">
        <is>
          <t>Community Supporter</t>
        </is>
      </c>
      <c r="C38" s="22" t="inlineStr">
        <is>
          <t>No cash</t>
        </is>
      </c>
      <c r="D38" s="23" t="inlineStr">
        <is>
          <t>Uncapped</t>
        </is>
      </c>
      <c r="E38" s="24" t="inlineStr">
        <is>
          <t>Members, chapters and leadership time. No cash is asked for, ever.</t>
        </is>
      </c>
    </row>
    <row r="39" ht="16" customHeight="1">
      <c r="B39" s="25" t="inlineStr">
        <is>
          <t>Community supporter</t>
        </is>
      </c>
      <c r="E39" s="10" t="inlineStr">
        <is>
          <t>Every member gets the full fifteen-mission programme free for the wave.</t>
        </is>
      </c>
    </row>
    <row r="40" ht="24.8" customHeight="1">
      <c r="B40" s="25" t="inlineStr">
        <is>
          <t>Community supporter</t>
        </is>
      </c>
      <c r="E40" s="10" t="inlineStr">
        <is>
          <t>Up to 10 of their leadership certified as facilitators, a credential they keep after their term ends.</t>
        </is>
      </c>
    </row>
    <row r="41" ht="16" customHeight="1">
      <c r="B41" s="25" t="inlineStr">
        <is>
          <t>Community supporter</t>
        </is>
      </c>
      <c r="E41" s="10" t="inlineStr">
        <is>
          <t>Their chapter named as a host, and their university on the national map.</t>
        </is>
      </c>
    </row>
    <row r="42" ht="24.8" customHeight="1">
      <c r="B42" s="25" t="inlineStr">
        <is>
          <t>Community supporter</t>
        </is>
      </c>
      <c r="E42" s="10" t="inlineStr">
        <is>
          <t>Their own chapter's data: what their members are building, which they can show their faculty and their own sponsors.</t>
        </is>
      </c>
    </row>
    <row r="43" ht="16" customHeight="1">
      <c r="B43" s="25" t="inlineStr">
        <is>
          <t>Community supporter</t>
        </is>
      </c>
      <c r="E43" s="10" t="inlineStr">
        <is>
          <t>Teams going into their own competition season already through fifteen missions.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78" customWidth="1" min="3" max="3"/>
    <col width="16" customWidth="1" min="4" max="4"/>
    <col width="26" customWidth="1" min="5" max="5"/>
  </cols>
  <sheetData>
    <row r="1" ht="32" customHeight="1">
      <c r="A1" s="6" t="inlineStr">
        <is>
          <t>What we accept</t>
        </is>
      </c>
      <c r="B1" s="6" t="inlineStr">
        <is>
          <t>Who has it</t>
        </is>
      </c>
      <c r="C1" s="6" t="inlineStr">
        <is>
          <t>Why it matters</t>
        </is>
      </c>
      <c r="D1" s="6" t="inlineStr">
        <is>
          <t>Value to the wave</t>
        </is>
      </c>
      <c r="E1" s="6" t="inlineStr">
        <is>
          <t>Offered by</t>
        </is>
      </c>
    </row>
    <row r="2" ht="28" customHeight="1">
      <c r="A2" s="8" t="inlineStr">
        <is>
          <t>Media and airtime</t>
        </is>
      </c>
      <c r="B2" s="10" t="inlineStr">
        <is>
          <t>Telecom, broadcast, outdoor</t>
        </is>
      </c>
      <c r="C2" s="10" t="inlineStr">
        <is>
          <t>Reach is the initiative's scarcest input and the cheapest thing a media owner can give. Valued at rate card.</t>
        </is>
      </c>
      <c r="D2" s="12" t="inlineStr">
        <is>
          <t>High</t>
        </is>
      </c>
      <c r="E2" s="26" t="n"/>
    </row>
    <row r="3" ht="28" customHeight="1">
      <c r="A3" s="8" t="inlineStr">
        <is>
          <t>Venues and halls</t>
        </is>
      </c>
      <c r="B3" s="10" t="inlineStr">
        <is>
          <t>Universities, corporates, hotels, youth centres</t>
        </is>
      </c>
      <c r="C3" s="10" t="inlineStr">
        <is>
          <t>Every cohort needs a room for six days. A sponsor with branches in nine governorates solves delivery in nine governorates.</t>
        </is>
      </c>
      <c r="D3" s="12" t="inlineStr">
        <is>
          <t>High</t>
        </is>
      </c>
      <c r="E3" s="26" t="n"/>
    </row>
    <row r="4" ht="28" customHeight="1">
      <c r="A4" s="8" t="inlineStr">
        <is>
          <t>Connectivity and devices</t>
        </is>
      </c>
      <c r="B4" s="10" t="inlineStr">
        <is>
          <t>Telecom, technology</t>
        </is>
      </c>
      <c r="C4" s="10" t="inlineStr">
        <is>
          <t>Data bundles and loan devices are the difference between a registered account and a completed mission in low-income governorates.</t>
        </is>
      </c>
      <c r="D4" s="12" t="inlineStr">
        <is>
          <t>High</t>
        </is>
      </c>
      <c r="E4" s="26" t="n"/>
    </row>
    <row r="5" ht="28" customHeight="1">
      <c r="A5" s="8" t="inlineStr">
        <is>
          <t>Cloud and AI credits</t>
        </is>
      </c>
      <c r="B5" s="10" t="inlineStr">
        <is>
          <t>Technology, hyperscalers</t>
        </is>
      </c>
      <c r="C5" s="10" t="inlineStr">
        <is>
          <t>Directly reduces the cost per review, which is the one cost that scales with participants.</t>
        </is>
      </c>
      <c r="D5" s="12" t="inlineStr">
        <is>
          <t>High</t>
        </is>
      </c>
      <c r="E5" s="26" t="n"/>
    </row>
    <row r="6" ht="28" customHeight="1">
      <c r="A6" s="8" t="inlineStr">
        <is>
          <t>Mentor and judge hours</t>
        </is>
      </c>
      <c r="B6" s="10" t="inlineStr">
        <is>
          <t>Every sponsor</t>
        </is>
      </c>
      <c r="C6" s="10" t="inlineStr">
        <is>
          <t>Logged, reported back, and the cheapest employee engagement a CSR team will ever buy.</t>
        </is>
      </c>
      <c r="D6" s="17" t="inlineStr">
        <is>
          <t>Medium</t>
        </is>
      </c>
      <c r="E6" s="26" t="n"/>
    </row>
    <row r="7" ht="28" customHeight="1">
      <c r="A7" s="8" t="inlineStr">
        <is>
          <t>Prizes and seed grants</t>
        </is>
      </c>
      <c r="B7" s="10" t="inlineStr">
        <is>
          <t>Banks, foundations, corporates</t>
        </is>
      </c>
      <c r="C7" s="10" t="inlineStr">
        <is>
          <t>What turns a showcase into a reason to finish. Small amounts, large effect on completion.</t>
        </is>
      </c>
      <c r="D7" s="17" t="inlineStr">
        <is>
          <t>Medium</t>
        </is>
      </c>
      <c r="E7" s="26" t="n"/>
    </row>
    <row r="8" ht="28" customHeight="1">
      <c r="A8" s="8" t="inlineStr">
        <is>
          <t>Company formation and legal</t>
        </is>
      </c>
      <c r="B8" s="10" t="inlineStr">
        <is>
          <t>Law firms, accountants</t>
        </is>
      </c>
      <c r="C8" s="10" t="inlineStr">
        <is>
          <t>Registration, tax card and a first set of accounts for the ventures that make it. The step most first-time founders stall on.</t>
        </is>
      </c>
      <c r="D8" s="12" t="inlineStr">
        <is>
          <t>High</t>
        </is>
      </c>
      <c r="E8" s="26" t="n"/>
    </row>
    <row r="9" ht="28" customHeight="1">
      <c r="A9" s="8" t="inlineStr">
        <is>
          <t>Bank accounts and payments</t>
        </is>
      </c>
      <c r="B9" s="10" t="inlineStr">
        <is>
          <t>Banks, fintech</t>
        </is>
      </c>
      <c r="C9" s="10" t="inlineStr">
        <is>
          <t>A business account opened for a new venture is worth more to it than a certificate, and it makes the sponsor the venture's first bank.</t>
        </is>
      </c>
      <c r="D9" s="12" t="inlineStr">
        <is>
          <t>High</t>
        </is>
      </c>
      <c r="E9" s="26" t="n"/>
    </row>
    <row r="10" ht="28" customHeight="1">
      <c r="A10" s="8" t="inlineStr">
        <is>
          <t>Internships and first contracts</t>
        </is>
      </c>
      <c r="B10" s="10" t="inlineStr">
        <is>
          <t>Corporates</t>
        </is>
      </c>
      <c r="C10" s="10" t="inlineStr">
        <is>
          <t>For participants whose idea does not become a business, which is most of them. This is the honest second outcome.</t>
        </is>
      </c>
      <c r="D10" s="17" t="inlineStr">
        <is>
          <t>Medium</t>
        </is>
      </c>
      <c r="E10" s="26" t="n"/>
    </row>
    <row r="11" ht="28" customHeight="1">
      <c r="A11" s="8" t="inlineStr">
        <is>
          <t>Transport and logistics</t>
        </is>
      </c>
      <c r="B11" s="10" t="inlineStr">
        <is>
          <t>Logistics, automotive</t>
        </is>
      </c>
      <c r="C11" s="10" t="inlineStr">
        <is>
          <t>Moves facilitators and participants between governorates, which is a real line in the budget.</t>
        </is>
      </c>
      <c r="D11" s="16" t="inlineStr">
        <is>
          <t>Low</t>
        </is>
      </c>
      <c r="E11" s="26" t="n"/>
    </row>
    <row r="12" ht="28" customHeight="1">
      <c r="A12" s="8" t="inlineStr">
        <is>
          <t>Printing and materials</t>
        </is>
      </c>
      <c r="B12" s="10" t="inlineStr">
        <is>
          <t>Printing, paper, FMCG</t>
        </is>
      </c>
      <c r="C12" s="10" t="inlineStr">
        <is>
          <t>Workbooks and showcase materials.</t>
        </is>
      </c>
      <c r="D12" s="16" t="inlineStr">
        <is>
          <t>Low</t>
        </is>
      </c>
      <c r="E12" s="26" t="n"/>
    </row>
    <row r="13" ht="28" customHeight="1">
      <c r="A13" s="8" t="inlineStr">
        <is>
          <t>Catering</t>
        </is>
      </c>
      <c r="B13" s="10" t="inlineStr">
        <is>
          <t>FMCG, food and beverage</t>
        </is>
      </c>
      <c r="C13" s="10" t="inlineStr">
        <is>
          <t>Six-day cohorts feed people. Easy for a food company to approve.</t>
        </is>
      </c>
      <c r="D13" s="16" t="inlineStr">
        <is>
          <t>Low</t>
        </is>
      </c>
      <c r="E13" s="26" t="n"/>
    </row>
    <row r="15" ht="52" customHeight="1">
      <c r="A15" s="27" t="inlineStr">
        <is>
          <t>In-kind is valued at its market or rate card value and credited at the cash tier it matches. A broadcaster giving airtime worth $75,000 is a Lead Partner with every Lead Partner benefit. This is usually faster than a cash approval, and for a media owner or a venue owner it is the only realistic route.</t>
        </is>
      </c>
    </row>
  </sheetData>
  <mergeCells count="1">
    <mergeCell ref="A15:E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44" customWidth="1" min="2" max="2"/>
    <col width="96" customWidth="1" min="3" max="3"/>
  </cols>
  <sheetData>
    <row r="1" ht="28" customHeight="1">
      <c r="A1" s="1" t="inlineStr">
        <is>
          <t>What each kind of partner is actually buying</t>
        </is>
      </c>
    </row>
    <row r="2" ht="19" customHeight="1">
      <c r="A2" s="2" t="inlineStr">
        <is>
          <t>Nobody on the invitation list wants to fund entrepreneurship training. They each want their own outcome.</t>
        </is>
      </c>
    </row>
    <row r="4">
      <c r="B4" s="3" t="inlineStr">
        <is>
          <t>CSR SPONSOR</t>
        </is>
      </c>
    </row>
    <row r="5" ht="65" customHeight="1">
      <c r="B5" s="5" t="inlineStr">
        <is>
          <t>See the direction of youth thinking before anyone else</t>
        </is>
      </c>
      <c r="C5" s="4" t="inlineStr">
        <is>
          <t>Every participant states a problem before they state an idea. Across hundreds of thousands of them that becomes the first national read on what young Egyptians actually want to build: by sector, by governorate, by gender, by age, and by whether they are students, graduates or already trading. Nobody in Egypt publishes this today because nobody has the sample. A partner gets it quarterly, before it is published.</t>
        </is>
      </c>
    </row>
    <row r="6" ht="65" customHeight="1">
      <c r="B6" s="5" t="inlineStr">
        <is>
          <t>Model your incubation and accelerator programmes on real demand</t>
        </is>
      </c>
      <c r="C6" s="4" t="inlineStr">
        <is>
          <t>Most corporate accelerators are designed around what the sponsor finds interesting and then struggle to fill their cohorts. The direction report lets a sponsor design the opposite way round: open the track the applicants already exist for, in the governorate they are already in, at the stage they are actually at. For a partner who already runs an accelerator, this is the most valuable single thing in the package.</t>
        </is>
      </c>
    </row>
    <row r="7" ht="65" customHeight="1">
      <c r="B7" s="5" t="inlineStr">
        <is>
          <t>Reach into the ideas bank</t>
        </is>
      </c>
      <c r="C7" s="4" t="inlineStr">
        <is>
          <t>Every idea developed on the platform, with the founder's consent, enters a searchable bank: the problem, the sector, the stage, the governorate, the team shape. Partners see the distribution by default and can run a themed call into it, which puts their own question to every participant in their sector and returns the consented answers. It is market research that pays for itself, and it is a recruitment and deal pipeline at the same time.</t>
        </is>
      </c>
    </row>
    <row r="8" ht="39" customHeight="1">
      <c r="B8" s="5" t="inlineStr">
        <is>
          <t>A pre-qualified pipeline, not an application pile</t>
        </is>
      </c>
      <c r="C8" s="4" t="inlineStr">
        <is>
          <t>The ventures that reach the showcase have been through fifteen missions, a facilitator and an AI review. A sponsor's accelerator, prize or procurement team gets a shortlist that has already been filtered by work rather than by a form.</t>
        </is>
      </c>
    </row>
    <row r="9" ht="52" customHeight="1">
      <c r="B9" s="5" t="inlineStr">
        <is>
          <t>A generation that knows how a startup is actually built</t>
        </is>
      </c>
      <c r="C9" s="4" t="inlineStr">
        <is>
          <t>The awareness outcome is the one that outlives the wave. A million young people who understand how an idea becomes a customer, a cost structure and a company is a larger future market, a better talent pool and a healthier economy. It is also the single clearest thing a sponsor can say it paid for.</t>
        </is>
      </c>
    </row>
    <row r="10" ht="39" customHeight="1">
      <c r="B10" s="5" t="inlineStr">
        <is>
          <t>Reporting that survives an audit</t>
        </is>
      </c>
      <c r="C10" s="4" t="inlineStr">
        <is>
          <t>Named participants, completion rates, governorate and gender disaggregation, cost per participant and cost per venture formed, mapped to SDG 4, 5, 8, 9 and 10, and written so it can go into an annual or GRI report without being rewritten.</t>
        </is>
      </c>
    </row>
    <row r="11" ht="39" customHeight="1">
      <c r="B11" s="5" t="inlineStr">
        <is>
          <t>Cost per outcome far below running it yourself</t>
        </is>
      </c>
      <c r="C11" s="4" t="inlineStr">
        <is>
          <t>A corporate that builds this alone pays for curriculum, platform, facilitator recruitment and measurement before it reaches its first participant. Joining a coalition that already has all four means the whole contribution goes to delivery.</t>
        </is>
      </c>
    </row>
    <row r="12" ht="26" customHeight="1">
      <c r="B12" s="5" t="inlineStr">
        <is>
          <t>Employee engagement that is measured, not photographed</t>
        </is>
      </c>
      <c r="C12" s="4" t="inlineStr">
        <is>
          <t>Staff serve as mentors and judges, hours are logged, and the hours come back in the closing report. CSR teams are asked for this number every year and usually have to estimate it.</t>
        </is>
      </c>
    </row>
    <row r="13" ht="26" customHeight="1">
      <c r="B13" s="5" t="inlineStr">
        <is>
          <t>Name recognition tied to something real</t>
        </is>
      </c>
      <c r="C13" s="4" t="inlineStr">
        <is>
          <t>A governorate, a sector or one of the fifteen missions carried under the partner's name, in Arabic and English, in front of every participant in the country.</t>
        </is>
      </c>
    </row>
    <row r="15">
      <c r="B15" s="3" t="inlineStr">
        <is>
          <t>NGO AND DEVELOPMENT PARTNER</t>
        </is>
      </c>
    </row>
    <row r="16" ht="39" customHeight="1">
      <c r="B16" s="5" t="inlineStr">
        <is>
          <t>Keep the method after the programme ends</t>
        </is>
      </c>
      <c r="C16" s="4" t="inlineStr">
        <is>
          <t>Partner staff are certified as facilitators on the same standard as everyone else. When the wave closes, the organisation still has the capability, the curriculum access and the certification, which is the opposite of how most funded projects leave their implementers.</t>
        </is>
      </c>
    </row>
    <row r="17" ht="39" customHeight="1">
      <c r="B17" s="5" t="inlineStr">
        <is>
          <t>An evidence base for the next proposal</t>
        </is>
      </c>
      <c r="C17" s="4" t="inlineStr">
        <is>
          <t>A measured programme with baselines, disaggregation and an independent evaluation is the hardest thing for an NGO to fund on its own and the first thing its next donor asks for. The initiative produces it and shares it.</t>
        </is>
      </c>
    </row>
    <row r="18" ht="39" customHeight="1">
      <c r="B18" s="5" t="inlineStr">
        <is>
          <t>Move beneficiaries from relief to income</t>
        </is>
      </c>
      <c r="C18" s="4" t="inlineStr">
        <is>
          <t>Productive families grants, savings groups and vocational training all stop at the point where a business has to be designed. That is exactly where the fifteen missions start. This is the transition every social programme is asked to evidence and almost none can.</t>
        </is>
      </c>
    </row>
    <row r="19" ht="39" customHeight="1">
      <c r="B19" s="5" t="inlineStr">
        <is>
          <t>Reach the corporates you cannot reach alone</t>
        </is>
      </c>
      <c r="C19" s="4" t="inlineStr">
        <is>
          <t>The sponsor coalition is in the room every month. For an Egyptian NGO, the partner council is access to twenty corporate CSR decision makers that would otherwise take two years to build.</t>
        </is>
      </c>
    </row>
    <row r="20" ht="39" customHeight="1">
      <c r="B20" s="5" t="inlineStr">
        <is>
          <t>See where ambition actually is</t>
        </is>
      </c>
      <c r="C20" s="4" t="inlineStr">
        <is>
          <t>The direction report, broken down by governorate, tells a development organisation where young people are trying to build and in what sectors. That shapes their own programme design, their site selection and their own funding case.</t>
        </is>
      </c>
    </row>
    <row r="21" ht="26" customHeight="1">
      <c r="B21" s="5" t="inlineStr">
        <is>
          <t>No cash is required</t>
        </is>
      </c>
      <c r="C21" s="4" t="inlineStr">
        <is>
          <t>A partner's contribution can be entirely reach, staff time, venues and beneficiary networks. Co-funding is welcome where a relevant budget exists, and is never the price of entry.</t>
        </is>
      </c>
    </row>
    <row r="22" ht="39" customHeight="1">
      <c r="B22" s="5" t="inlineStr">
        <is>
          <t>Joint proposals, with the platform cost already carried</t>
        </is>
      </c>
      <c r="C22" s="4" t="inlineStr">
        <is>
          <t>On a shared bid the NGO is the implementer with the community relationships and the registration; the initiative supplies the method, the technology and the measurement. Neither side has to fund the other's half.</t>
        </is>
      </c>
    </row>
    <row r="24">
      <c r="B24" s="3" t="inlineStr">
        <is>
          <t>COMMUNITY SUPPORTER</t>
        </is>
      </c>
    </row>
    <row r="25" ht="39" customHeight="1">
      <c r="B25" s="5" t="inlineStr">
        <is>
          <t>Your members get the whole thing free</t>
        </is>
      </c>
      <c r="C25" s="4" t="inlineStr">
        <is>
          <t>Every member of a community supporter gets the full fifteen-mission programme for the wave, not the free first three. That is a concrete, nameable member benefit, which is the currency every student organisation is short of.</t>
        </is>
      </c>
    </row>
    <row r="26" ht="39" customHeight="1">
      <c r="B26" s="5" t="inlineStr">
        <is>
          <t>Your leadership leaves with a credential</t>
        </is>
      </c>
      <c r="C26" s="4" t="inlineStr">
        <is>
          <t>Up to ten of a chapter's leadership are certified as facilitators on the national standard. They keep it after their term ends, and it is the first line on a CV that is otherwise all committee titles.</t>
        </is>
      </c>
    </row>
    <row r="27" ht="52" customHeight="1">
      <c r="B27" s="5" t="inlineStr">
        <is>
          <t>Better teams in your own competition</t>
        </is>
      </c>
      <c r="C27" s="4" t="inlineStr">
        <is>
          <t>An Enactus, Hult or Social Venture Prize team that has been through fifteen missions arrives at its own national round with a tested problem, a model and a prototype rather than a deck. The chapters that do this will place higher, and placing higher is what their own sponsors pay for.</t>
        </is>
      </c>
    </row>
    <row r="28" ht="26" customHeight="1">
      <c r="B28" s="5" t="inlineStr">
        <is>
          <t>A national stage</t>
        </is>
      </c>
      <c r="C28" s="4" t="inlineStr">
        <is>
          <t>Chapters host, chapters are named, and the best teams from every chapter reach the national showcase in front of the sponsor coalition and the patron ministries.</t>
        </is>
      </c>
    </row>
    <row r="29" ht="39" customHeight="1">
      <c r="B29" s="5" t="inlineStr">
        <is>
          <t>Your own chapter's data</t>
        </is>
      </c>
      <c r="C29" s="4" t="inlineStr">
        <is>
          <t>Each chapter gets its own read: what its members are building, how it compares to the national picture, and how its completion rates track. It is the first evidence a chapter has ever been able to show its faculty or its own sponsors.</t>
        </is>
      </c>
    </row>
    <row r="30" ht="39" customHeight="1">
      <c r="B30" s="5" t="inlineStr">
        <is>
          <t>Help raising your own sponsorship</t>
        </is>
      </c>
      <c r="C30" s="4" t="inlineStr">
        <is>
          <t>Co-branding with a national initiative and a named sponsor coalition makes a chapter's own sponsorship request materially easier, and the initiative will say so in writing to their prospects.</t>
        </is>
      </c>
    </row>
    <row r="31" ht="26" customHeight="1">
      <c r="B31" s="5" t="inlineStr">
        <is>
          <t>Nobody asks you for money</t>
        </is>
      </c>
      <c r="C31" s="4" t="inlineStr">
        <is>
          <t>Community supporters are never asked to sponsor. The relationship is members and chapters in, programme and certification out, and it is written that way in the charter.</t>
        </is>
      </c>
    </row>
    <row r="33">
      <c r="B33" s="3" t="inlineStr">
        <is>
          <t>WHAT EVERY PARTNER GETS, WHATEVER THE ROLE</t>
        </is>
      </c>
    </row>
    <row r="34" ht="26" customHeight="1">
      <c r="B34" s="5" t="inlineStr">
        <is>
          <t>The direction report</t>
        </is>
      </c>
      <c r="C34" s="4" t="inlineStr">
        <is>
          <t>A quarterly national read on what young Egyptians are trying to build, by sector, governorate, gender, age and stage. Partners see it before it is published.</t>
        </is>
      </c>
    </row>
    <row r="35" ht="26" customHeight="1">
      <c r="B35" s="5" t="inlineStr">
        <is>
          <t>The ideas bank</t>
        </is>
      </c>
      <c r="C35" s="4" t="inlineStr">
        <is>
          <t>The consented, searchable record of the problems and ideas the wave produced, which is the asset the initiative leaves behind.</t>
        </is>
      </c>
    </row>
    <row r="36" ht="26" customHeight="1">
      <c r="B36" s="5" t="inlineStr">
        <is>
          <t>The national showcase</t>
        </is>
      </c>
      <c r="C36" s="4" t="inlineStr">
        <is>
          <t>One day, the best teams from every governorate, the sponsor coalition, the patron ministries and the press.</t>
        </is>
      </c>
    </row>
    <row r="37" ht="26" customHeight="1">
      <c r="B37" s="5" t="inlineStr">
        <is>
          <t>The closing report</t>
        </is>
      </c>
      <c r="C37" s="4" t="inlineStr">
        <is>
          <t>Named, disaggregated, SDG mapped, independently evaluated, and shared with every partner for their own reporting.</t>
        </is>
      </c>
    </row>
    <row r="38" ht="26" customHeight="1">
      <c r="B38" s="5" t="inlineStr">
        <is>
          <t>The coalition itself</t>
        </is>
      </c>
      <c r="C38" s="4" t="inlineStr">
        <is>
          <t>Twenty to thirty organisations that do not normally sit in the same room, meeting monthly for six months around one number.</t>
        </is>
      </c>
    </row>
    <row r="40">
      <c r="B40" s="3" t="inlineStr">
        <is>
          <t>THE IDEAS BANK, AND ITS RULES</t>
        </is>
      </c>
    </row>
    <row r="41" ht="39" customHeight="1">
      <c r="B41" s="5" t="inlineStr">
        <is>
          <t>What it is</t>
        </is>
      </c>
      <c r="C41" s="4" t="inlineStr">
        <is>
          <t>Every participant states a problem before they state an idea, and works it through fifteen missions. The bank is the structured record of that: problem, sector, stage, governorate, team shape, and what the venture became.</t>
        </is>
      </c>
    </row>
    <row r="42" ht="26" customHeight="1">
      <c r="B42" s="5" t="inlineStr">
        <is>
          <t>What partners see by default</t>
        </is>
      </c>
      <c r="C42" s="4" t="inlineStr">
        <is>
          <t>Distribution and direction only. Counts, shares, trends, and breakdowns by sector, governorate, gender, age and stage. No individual idea, no individual founder, no contact details.</t>
        </is>
      </c>
    </row>
    <row r="43" ht="39" customHeight="1">
      <c r="B43" s="5" t="inlineStr">
        <is>
          <t>What a themed call is</t>
        </is>
      </c>
      <c r="C43" s="4" t="inlineStr">
        <is>
          <t>A partner may put one question to every participant in a sector or governorate. Participants choose whether to answer and whether to be identified. Only the answers of those who opt in are returned, and they are told who is asking and why before they answer.</t>
        </is>
      </c>
    </row>
    <row r="44" ht="39" customHeight="1">
      <c r="B44" s="5" t="inlineStr">
        <is>
          <t>Consent</t>
        </is>
      </c>
      <c r="C44" s="4" t="inlineStr">
        <is>
          <t>Consent is asked for at registration, in Arabic, in plain language, separately for the anonymous aggregate and for any identified sharing. It can be withdrawn at any time from the account, and withdrawal removes the record from future reports.</t>
        </is>
      </c>
    </row>
    <row r="45" ht="52" customHeight="1">
      <c r="B45" s="5" t="inlineStr">
        <is>
          <t>Who owns the idea</t>
        </is>
      </c>
      <c r="C45" s="4" t="inlineStr">
        <is>
          <t>The founder. Nothing in the initiative transfers, licenses or encumbers a participant's intellectual property, and no partner acquires any right of first refusal over a venture by sponsoring. Any partner who wants a commercial relationship with a venture negotiates it with the venture, directly, afterwards.</t>
        </is>
      </c>
    </row>
    <row r="46" ht="39" customHeight="1">
      <c r="B46" s="5" t="inlineStr">
        <is>
          <t>Under-18s</t>
        </is>
      </c>
      <c r="C46" s="4" t="inlineStr">
        <is>
          <t>Participants under eighteen are in the aggregate only. No identified sharing, no themed calls, no contact, under any tier, with guardian consent recorded at registration and safeguarding rules above it.</t>
        </is>
      </c>
    </row>
    <row r="47" ht="39" customHeight="1">
      <c r="B47" s="5" t="inlineStr">
        <is>
          <t>What is never sold</t>
        </is>
      </c>
      <c r="C47" s="4" t="inlineStr">
        <is>
          <t>The bank is not a lead list and is not sold. Access is a benefit of partnership for the wave, it ends when the partnership ends, and it carries a written undertaking not to re-identify or re-sell.</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3" customWidth="1" min="1" max="1"/>
    <col width="46" customWidth="1" min="2" max="2"/>
    <col width="16" customWidth="1" min="3" max="3"/>
    <col width="14" customWidth="1" min="4" max="4"/>
    <col width="14" customWidth="1" min="5" max="5"/>
    <col width="78" customWidth="1" min="6" max="6"/>
  </cols>
  <sheetData>
    <row r="1" ht="28" customHeight="1">
      <c r="A1" s="1" t="inlineStr">
        <is>
          <t>Wave 1, March to August 2027: the arithmetic</t>
        </is>
      </c>
    </row>
    <row r="2" ht="19" customHeight="1">
      <c r="A2" s="2" t="inlineStr">
        <is>
          <t>Built from the coalition rather than asserted. Change a channel and the funnel moves.</t>
        </is>
      </c>
    </row>
    <row r="4">
      <c r="B4" s="3" t="inlineStr">
        <is>
          <t>WHERE THE REACH COMES FROM</t>
        </is>
      </c>
    </row>
    <row r="5" ht="26" customHeight="1">
      <c r="B5" s="6" t="inlineStr">
        <is>
          <t>Channel</t>
        </is>
      </c>
      <c r="C5" s="6" t="inlineStr">
        <is>
          <t>Partners</t>
        </is>
      </c>
      <c r="D5" s="6" t="inlineStr">
        <is>
          <t>Reach each</t>
        </is>
      </c>
      <c r="E5" s="6" t="inlineStr">
        <is>
          <t>Registers</t>
        </is>
      </c>
      <c r="F5" s="6" t="inlineStr">
        <is>
          <t>Why</t>
        </is>
      </c>
    </row>
    <row r="6" ht="37.2" customHeight="1">
      <c r="B6" s="28" t="inlineStr">
        <is>
          <t>Community supporter chapters</t>
        </is>
      </c>
      <c r="C6" s="29" t="n">
        <v>150</v>
      </c>
      <c r="D6" s="29" t="n">
        <v>3000</v>
      </c>
      <c r="E6" s="30" t="n">
        <v>0.22</v>
      </c>
      <c r="F6" s="31" t="inlineStr">
        <is>
          <t>150 university and youth chapters, each reaching about 3,000 members and fellow students. The highest converting channel because the invitation comes from someone the student already knows.</t>
        </is>
      </c>
    </row>
    <row r="7" ht="26" customHeight="1">
      <c r="B7" s="28" t="inlineStr">
        <is>
          <t>CSR sponsor channels</t>
        </is>
      </c>
      <c r="C7" s="29" t="n">
        <v>24</v>
      </c>
      <c r="D7" s="29" t="n">
        <v>20000</v>
      </c>
      <c r="E7" s="30" t="n">
        <v>0.12</v>
      </c>
      <c r="F7" s="31" t="inlineStr">
        <is>
          <t>24 sponsors reaching their own employees, customers, retail networks, social audiences and foundation beneficiaries.</t>
        </is>
      </c>
    </row>
    <row r="8" ht="26" customHeight="1">
      <c r="B8" s="28" t="inlineStr">
        <is>
          <t>NGO and development partner networks</t>
        </is>
      </c>
      <c r="C8" s="29" t="n">
        <v>18</v>
      </c>
      <c r="D8" s="29" t="n">
        <v>10000</v>
      </c>
      <c r="E8" s="30" t="n">
        <v>0.16</v>
      </c>
      <c r="F8" s="31" t="inlineStr">
        <is>
          <t>18 partners reaching their branch networks, beneficiary lists and governorate programmes, mostly outside Cairo.</t>
        </is>
      </c>
    </row>
    <row r="9" ht="26" customHeight="1">
      <c r="B9" s="28" t="inlineStr">
        <is>
          <t>Mission Zero, press and organic</t>
        </is>
      </c>
      <c r="C9" s="29" t="n">
        <v>1</v>
      </c>
      <c r="D9" s="29" t="n">
        <v>90000</v>
      </c>
      <c r="E9" s="30" t="n">
        <v>0.14</v>
      </c>
      <c r="F9" s="31" t="inlineStr">
        <is>
          <t>The founder podcast, launch and showcase press, and organic traffic to the platform.</t>
        </is>
      </c>
    </row>
    <row r="10">
      <c r="B10" s="32" t="inlineStr">
        <is>
          <t>Total reach</t>
        </is>
      </c>
      <c r="C10" s="33" t="n"/>
      <c r="D10" s="34">
        <f>SUMPRODUCT(C6:C9,D6:D9)</f>
        <v/>
      </c>
      <c r="E10" s="33" t="n"/>
      <c r="F10" s="33" t="n"/>
    </row>
    <row r="12">
      <c r="B12" s="3" t="inlineStr">
        <is>
          <t>THE FUNNEL</t>
        </is>
      </c>
    </row>
    <row r="13" ht="18" customHeight="1">
      <c r="B13" s="35" t="inlineStr">
        <is>
          <t>People reached</t>
        </is>
      </c>
      <c r="C13" s="36" t="n">
        <v>1200000</v>
      </c>
      <c r="F13" s="37" t="inlineStr">
        <is>
          <t>Sum of every channel's reach, before anybody registers.</t>
        </is>
      </c>
    </row>
    <row r="14" ht="18" customHeight="1">
      <c r="B14" s="35" t="inlineStr">
        <is>
          <t>Registered founders</t>
        </is>
      </c>
      <c r="C14" s="36" t="n">
        <v>198000</v>
      </c>
      <c r="F14" s="37" t="inlineStr">
        <is>
          <t>Accounts created on the platform during the wave.</t>
        </is>
      </c>
    </row>
    <row r="15" ht="18" customHeight="1">
      <c r="B15" s="35" t="inlineStr">
        <is>
          <t>Mission 01 completed</t>
        </is>
      </c>
      <c r="C15" s="36" t="n">
        <v>104940</v>
      </c>
      <c r="F15" s="37" t="inlineStr">
        <is>
          <t>The first real act of work, and the first honest number.</t>
        </is>
      </c>
    </row>
    <row r="16" ht="18" customHeight="1">
      <c r="B16" s="35" t="inlineStr">
        <is>
          <t>Missions 01 to 03 completed</t>
        </is>
      </c>
      <c r="C16" s="36" t="n">
        <v>58766</v>
      </c>
      <c r="F16" s="37" t="inlineStr">
        <is>
          <t>The end of the free tier.</t>
        </is>
      </c>
    </row>
    <row r="17" ht="18" customHeight="1">
      <c r="B17" s="35" t="inlineStr">
        <is>
          <t>Sponsored full journeys, all 15 missions</t>
        </is>
      </c>
      <c r="C17" s="36" t="n">
        <v>19393</v>
      </c>
      <c r="F17" s="37" t="inlineStr">
        <is>
          <t>What sponsorship actually buys.</t>
        </is>
      </c>
    </row>
    <row r="18" ht="18" customHeight="1">
      <c r="B18" s="35" t="inlineStr">
        <is>
          <t>In-person cohort seats</t>
        </is>
      </c>
      <c r="C18" s="36" t="n">
        <v>2909</v>
      </c>
      <c r="F18" s="37" t="inlineStr">
        <is>
          <t>Delivered in cohorts of 30, with certified facilitators.</t>
        </is>
      </c>
    </row>
    <row r="19" ht="18" customHeight="1">
      <c r="B19" s="35" t="inlineStr">
        <is>
          <t>Cohorts run</t>
        </is>
      </c>
      <c r="C19" s="36" t="n">
        <v>97</v>
      </c>
      <c r="F19" s="37" t="inlineStr">
        <is>
          <t>Each one is six days, a room, a facilitator and a showcase.</t>
        </is>
      </c>
    </row>
    <row r="20" ht="18" customHeight="1">
      <c r="B20" s="35" t="inlineStr">
        <is>
          <t>Ideas in the bank</t>
        </is>
      </c>
      <c r="C20" s="36" t="n">
        <v>71359</v>
      </c>
      <c r="F20" s="37" t="inlineStr">
        <is>
          <t>Consented, structured, and the asset the wave leaves behind.</t>
        </is>
      </c>
    </row>
    <row r="21" ht="18" customHeight="1">
      <c r="B21" s="35" t="inlineStr">
        <is>
          <t>Ventures trading at month 12</t>
        </is>
      </c>
      <c r="C21" s="36" t="n">
        <v>1939</v>
      </c>
      <c r="F21" s="37" t="inlineStr">
        <is>
          <t>Measured twelve months after the wave closes, not at the end of it.</t>
        </is>
      </c>
    </row>
    <row r="23">
      <c r="B23" s="3" t="inlineStr">
        <is>
          <t>WHAT IT COSTS</t>
        </is>
      </c>
    </row>
    <row r="24">
      <c r="B24" s="38" t="inlineStr">
        <is>
          <t>Coalition value if every capped slot sells</t>
        </is>
      </c>
      <c r="C24" s="39" t="n">
        <v>1440000</v>
      </c>
    </row>
    <row r="25">
      <c r="B25" s="35" t="inlineStr">
        <is>
          <t>Wave 1 budget at 50% fill</t>
        </is>
      </c>
      <c r="C25" s="40" t="n">
        <v>720000</v>
      </c>
    </row>
    <row r="27">
      <c r="B27" s="38" t="inlineStr">
        <is>
          <t>Delivery: facilitators, cohorts, venues, travel</t>
        </is>
      </c>
      <c r="C27" s="30" t="n">
        <v>0.38</v>
      </c>
      <c r="D27" s="29" t="n">
        <v>273600</v>
      </c>
    </row>
    <row r="28">
      <c r="B28" s="38" t="inlineStr">
        <is>
          <t>Platform, AI review and infrastructure</t>
        </is>
      </c>
      <c r="C28" s="30" t="n">
        <v>0.18</v>
      </c>
      <c r="D28" s="29" t="n">
        <v>129600</v>
      </c>
    </row>
    <row r="29">
      <c r="B29" s="38" t="inlineStr">
        <is>
          <t>Community activation: chapters, ambassadors, campus</t>
        </is>
      </c>
      <c r="C29" s="30" t="n">
        <v>0.12</v>
      </c>
      <c r="D29" s="29" t="n">
        <v>86400</v>
      </c>
    </row>
    <row r="30">
      <c r="B30" s="38" t="inlineStr">
        <is>
          <t>Content, localisation and Arabic production</t>
        </is>
      </c>
      <c r="C30" s="30" t="n">
        <v>0.1</v>
      </c>
      <c r="D30" s="29" t="n">
        <v>72000</v>
      </c>
    </row>
    <row r="31">
      <c r="B31" s="38" t="inlineStr">
        <is>
          <t>Events: launch, governorate showcases, national demo day</t>
        </is>
      </c>
      <c r="C31" s="30" t="n">
        <v>0.09</v>
      </c>
      <c r="D31" s="29" t="n">
        <v>64800</v>
      </c>
    </row>
    <row r="32">
      <c r="B32" s="38" t="inlineStr">
        <is>
          <t>Programme management and overhead</t>
        </is>
      </c>
      <c r="C32" s="30" t="n">
        <v>0.07000000000000001</v>
      </c>
      <c r="D32" s="29" t="n">
        <v>50400.00000000001</v>
      </c>
    </row>
    <row r="33">
      <c r="B33" s="38" t="inlineStr">
        <is>
          <t>Measurement, evaluation and reporting</t>
        </is>
      </c>
      <c r="C33" s="30" t="n">
        <v>0.06</v>
      </c>
      <c r="D33" s="29" t="n">
        <v>43200</v>
      </c>
    </row>
    <row r="35">
      <c r="B35" s="3" t="inlineStr">
        <is>
          <t>COST PER OUTCOME</t>
        </is>
      </c>
    </row>
    <row r="36">
      <c r="B36" s="38" t="inlineStr">
        <is>
          <t>Cost per person reached</t>
        </is>
      </c>
      <c r="C36" s="41" t="n">
        <v>0.6</v>
      </c>
    </row>
    <row r="37">
      <c r="B37" s="38" t="inlineStr">
        <is>
          <t>Cost per registered founder</t>
        </is>
      </c>
      <c r="C37" s="41" t="n">
        <v>3.64</v>
      </c>
    </row>
    <row r="38">
      <c r="B38" s="38" t="inlineStr">
        <is>
          <t>Cost per founder completing the free tier</t>
        </is>
      </c>
      <c r="C38" s="41" t="n">
        <v>12.25</v>
      </c>
    </row>
    <row r="39">
      <c r="B39" s="38" t="inlineStr">
        <is>
          <t>Cost per sponsored full journey</t>
        </is>
      </c>
      <c r="C39" s="41" t="n">
        <v>37.13</v>
      </c>
    </row>
    <row r="40">
      <c r="B40" s="38" t="inlineStr">
        <is>
          <t>Cost per in-person seat</t>
        </is>
      </c>
      <c r="C40" s="41" t="n">
        <v>247.51</v>
      </c>
    </row>
    <row r="41">
      <c r="B41" s="38" t="inlineStr">
        <is>
          <t>Cost per venture trading at month 12</t>
        </is>
      </c>
      <c r="C41" s="41" t="n">
        <v>371.27</v>
      </c>
    </row>
    <row r="43" ht="32" customHeight="1">
      <c r="B43" s="42" t="inlineStr">
        <is>
          <t>The cost per sponsored full journey is above the $15 list price of a Pro subscription because it carries its share of facilitation, community activation, content, events and measurement, not only the licence.</t>
        </is>
      </c>
    </row>
  </sheetData>
  <mergeCells count="3">
    <mergeCell ref="A2:F2"/>
    <mergeCell ref="B43:F43"/>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3" customWidth="1" min="1" max="1"/>
    <col width="14" customWidth="1" min="2" max="2"/>
    <col width="18" customWidth="1" min="3" max="3"/>
    <col width="24" customWidth="1" min="4" max="4"/>
    <col width="76" customWidth="1" min="5" max="5"/>
    <col width="30" customWidth="1" min="6" max="6"/>
  </cols>
  <sheetData>
    <row r="1" ht="28" customHeight="1">
      <c r="A1" s="1" t="inlineStr">
        <is>
          <t>Wave 1, March to August 2027</t>
        </is>
      </c>
    </row>
    <row r="2" ht="19" customHeight="1">
      <c r="A2" s="2" t="inlineStr">
        <is>
          <t>Why this window and not another, month by month.</t>
        </is>
      </c>
    </row>
    <row r="4">
      <c r="B4" s="3" t="inlineStr">
        <is>
          <t>BEFORE THE WAVE</t>
        </is>
      </c>
    </row>
    <row r="5" ht="24.8" customHeight="1">
      <c r="B5" s="43" t="inlineStr">
        <is>
          <t>October 2026</t>
        </is>
      </c>
      <c r="C5" s="44" t="inlineStr">
        <is>
          <t>Assemble the coalition</t>
        </is>
      </c>
      <c r="E5" s="45" t="inlineStr">
        <is>
          <t>First approaches to the Founding and Lead tiers, and to the patron ministries. Nothing is announced until three Founding Partners have signed.</t>
        </is>
      </c>
    </row>
    <row r="6" ht="24.8" customHeight="1">
      <c r="B6" s="43" t="inlineStr">
        <is>
          <t>November 2026</t>
        </is>
      </c>
      <c r="C6" s="44" t="inlineStr">
        <is>
          <t>Patron endorsement</t>
        </is>
      </c>
      <c r="E6" s="45" t="inlineStr">
        <is>
          <t>Memoranda with the national initiative and the relevant ministries. These cost them nothing and are worth more than their money.</t>
        </is>
      </c>
    </row>
    <row r="7" ht="37.2" customHeight="1">
      <c r="B7" s="43" t="inlineStr">
        <is>
          <t>December 2026</t>
        </is>
      </c>
      <c r="C7" s="44" t="inlineStr">
        <is>
          <t>Community supporters</t>
        </is>
      </c>
      <c r="E7" s="45" t="inlineStr">
        <is>
          <t>Charters signed with the youth foundations and student organisations. Their leadership years are already underway, so this is the right moment, not the summer.</t>
        </is>
      </c>
    </row>
    <row r="8" ht="24.8" customHeight="1">
      <c r="B8" s="43" t="inlineStr">
        <is>
          <t>January 2027</t>
        </is>
      </c>
      <c r="C8" s="44" t="inlineStr">
        <is>
          <t>Certify the facilitators</t>
        </is>
      </c>
      <c r="E8" s="45" t="inlineStr">
        <is>
          <t>The facilitator pool and the chapter leadership are certified before the wave opens, not during it.</t>
        </is>
      </c>
    </row>
    <row r="9" ht="24.8" customHeight="1">
      <c r="B9" s="43" t="inlineStr">
        <is>
          <t>February 2027</t>
        </is>
      </c>
      <c r="C9" s="44" t="inlineStr">
        <is>
          <t>Localise and rehearse</t>
        </is>
      </c>
      <c r="E9" s="45" t="inlineStr">
        <is>
          <t>Arabic content finalised, platform load tested, two rehearsal cohorts run with a partner NGO. Ramadan month; no public launch.</t>
        </is>
      </c>
    </row>
    <row r="11">
      <c r="B11" s="3" t="inlineStr">
        <is>
          <t>THE WAVE</t>
        </is>
      </c>
    </row>
    <row r="12" ht="28" customHeight="1">
      <c r="B12" s="6" t="inlineStr">
        <is>
          <t>Month</t>
        </is>
      </c>
      <c r="C12" s="6" t="inlineStr">
        <is>
          <t>When</t>
        </is>
      </c>
      <c r="D12" s="6" t="inlineStr">
        <is>
          <t>What it is</t>
        </is>
      </c>
      <c r="E12" s="6" t="inlineStr">
        <is>
          <t>What happens</t>
        </is>
      </c>
      <c r="F12" s="6" t="inlineStr">
        <is>
          <t>Where it should be by month end</t>
        </is>
      </c>
    </row>
    <row r="13" ht="37.2" customHeight="1">
      <c r="B13" s="8" t="inlineStr">
        <is>
          <t>Month 1</t>
        </is>
      </c>
      <c r="C13" s="10" t="inlineStr">
        <is>
          <t>March 2027</t>
        </is>
      </c>
      <c r="D13" s="28" t="inlineStr">
        <is>
          <t>Launch</t>
        </is>
      </c>
      <c r="E13" s="10" t="inlineStr">
        <is>
          <t>National launch after Eid al-Fitr, with the coalition on stage and the patron ministries present. Platform opens. All 150 chapters activate in the same week, which is the only way a launch number looks like a launch.</t>
        </is>
      </c>
      <c r="F13" s="9" t="inlineStr">
        <is>
          <t>59,400 registered; 5 cohorts</t>
        </is>
      </c>
    </row>
    <row r="14" ht="30" customHeight="1">
      <c r="B14" s="8" t="inlineStr">
        <is>
          <t>Month 2</t>
        </is>
      </c>
      <c r="C14" s="10" t="inlineStr">
        <is>
          <t>April 2027</t>
        </is>
      </c>
      <c r="D14" s="28" t="inlineStr">
        <is>
          <t>Campus peak</t>
        </is>
      </c>
      <c r="E14" s="10" t="inlineStr">
        <is>
          <t>The strongest campus month of the Egyptian year. Ambassador recruitment, the first governorate waves, and the first cohorts in volume.</t>
        </is>
      </c>
      <c r="F14" s="9" t="inlineStr">
        <is>
          <t>120,780 registered; 30 cohorts</t>
        </is>
      </c>
    </row>
    <row r="15" ht="37.2" customHeight="1">
      <c r="B15" s="8" t="inlineStr">
        <is>
          <t>Month 3</t>
        </is>
      </c>
      <c r="C15" s="10" t="inlineStr">
        <is>
          <t>May 2027</t>
        </is>
      </c>
      <c r="D15" s="28" t="inlineStr">
        <is>
          <t>Exams, so go online</t>
        </is>
      </c>
      <c r="E15" s="10" t="inlineStr">
        <is>
          <t>University exams run through May. Campus activity stops and the wave moves to the NGO networks, the youth centres and online delivery. Mid-wave report to the partner council.</t>
        </is>
      </c>
      <c r="F15" s="9" t="inlineStr">
        <is>
          <t>160,380 registered; 7 cohorts</t>
        </is>
      </c>
    </row>
    <row r="16" ht="30" customHeight="1">
      <c r="B16" s="8" t="inlineStr">
        <is>
          <t>Month 4</t>
        </is>
      </c>
      <c r="C16" s="10" t="inlineStr">
        <is>
          <t>June 2027</t>
        </is>
      </c>
      <c r="D16" s="28" t="inlineStr">
        <is>
          <t>Summer opens</t>
        </is>
      </c>
      <c r="E16" s="10" t="inlineStr">
        <is>
          <t>Exams end mid-month and the summer intensives begin, which is when young people have six consecutive days to give.</t>
        </is>
      </c>
      <c r="F16" s="9" t="inlineStr">
        <is>
          <t>180,180 registered; 25 cohorts</t>
        </is>
      </c>
    </row>
    <row r="17" ht="37.2" customHeight="1">
      <c r="B17" s="8" t="inlineStr">
        <is>
          <t>Month 5</t>
        </is>
      </c>
      <c r="C17" s="10" t="inlineStr">
        <is>
          <t>July 2027</t>
        </is>
      </c>
      <c r="D17" s="28" t="inlineStr">
        <is>
          <t>Peak delivery</t>
        </is>
      </c>
      <c r="E17" s="10" t="inlineStr">
        <is>
          <t>The heaviest in-person month of the wave, with governorate showcases running in parallel. The first national read of the ideas bank goes to partners.</t>
        </is>
      </c>
      <c r="F17" s="9" t="inlineStr">
        <is>
          <t>192,060 registered; 30 cohorts</t>
        </is>
      </c>
    </row>
    <row r="18" ht="49.6" customHeight="1">
      <c r="B18" s="8" t="inlineStr">
        <is>
          <t>Month 6</t>
        </is>
      </c>
      <c r="C18" s="10" t="inlineStr">
        <is>
          <t>August 2027</t>
        </is>
      </c>
      <c r="D18" s="28" t="inlineStr">
        <is>
          <t>Showcase and close</t>
        </is>
      </c>
      <c r="E18" s="10" t="inlineStr">
        <is>
          <t>National showcase and demo day: the best teams from every governorate, in front of the coalition, the ministries and the press. Closing report, independent evaluation commissioned, and the extension decision taken with the partners in the room.</t>
        </is>
      </c>
      <c r="F18" s="9" t="inlineStr">
        <is>
          <t>198,000 registered</t>
        </is>
      </c>
    </row>
    <row r="21">
      <c r="B21" s="3" t="inlineStr">
        <is>
          <t>AND WHEN IS THE MILLION</t>
        </is>
      </c>
    </row>
    <row r="22" ht="24.8" customHeight="1">
      <c r="B22" s="46" t="inlineStr">
        <is>
          <t>Wave 1</t>
        </is>
      </c>
      <c r="C22" s="47" t="inlineStr">
        <is>
          <t>March to August 2027</t>
        </is>
      </c>
      <c r="D22" s="47" t="inlineStr">
        <is>
          <t>Egypt, 12 governorates</t>
        </is>
      </c>
      <c r="E22" s="47" t="inlineStr">
        <is>
          <t>The wave this framework covers. Proves the unit economics and builds the coalition.</t>
        </is>
      </c>
    </row>
    <row r="23" ht="24.8" customHeight="1">
      <c r="B23" s="46" t="inlineStr">
        <is>
          <t>Wave 2</t>
        </is>
      </c>
      <c r="C23" s="47" t="inlineStr">
        <is>
          <t>September 2027 to February 2028</t>
        </is>
      </c>
      <c r="D23" s="47" t="inlineStr">
        <is>
          <t>Egypt, 20 governorates</t>
        </is>
      </c>
      <c r="E23" s="47" t="inlineStr">
        <is>
          <t>The extension. Same coalition, wider geography, lower cost per founder because the facilitator pool and the chapters already exist.</t>
        </is>
      </c>
    </row>
    <row r="24" ht="24.8" customHeight="1">
      <c r="B24" s="46" t="inlineStr">
        <is>
          <t>Wave 3</t>
        </is>
      </c>
      <c r="C24" s="47" t="inlineStr">
        <is>
          <t>March to August 2028</t>
        </is>
      </c>
      <c r="D24" s="47" t="inlineStr">
        <is>
          <t>Egypt, all 27 governorates</t>
        </is>
      </c>
      <c r="E24" s="47" t="inlineStr">
        <is>
          <t>National coverage, with the schools and technical education systems carrying volume the university system cannot.</t>
        </is>
      </c>
    </row>
    <row r="25" ht="37.2" customHeight="1">
      <c r="B25" s="46" t="inlineStr">
        <is>
          <t>Wave 4</t>
        </is>
      </c>
      <c r="C25" s="47" t="inlineStr">
        <is>
          <t>September 2028 to February 2029</t>
        </is>
      </c>
      <c r="D25" s="47" t="inlineStr">
        <is>
          <t>Egypt, plus the region</t>
        </is>
      </c>
      <c r="E25" s="47" t="inlineStr">
        <is>
          <t>The million is crossed inside this wave on these rates. Anything faster needs either a national initiative mandating participation or a step change in sponsorship.</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 customWidth="1" min="1" max="1"/>
    <col width="26" customWidth="1" min="2" max="2"/>
    <col width="12" customWidth="1" min="3" max="3"/>
    <col width="14" customWidth="1" min="4" max="4"/>
    <col width="14" customWidth="1" min="5" max="5"/>
    <col width="16" customWidth="1" min="6" max="6"/>
    <col width="18" customWidth="1" min="7" max="7"/>
  </cols>
  <sheetData>
    <row r="1" ht="28" customHeight="1">
      <c r="A1" s="1" t="inlineStr">
        <is>
          <t>Enough candidates for the slots?</t>
        </is>
      </c>
    </row>
    <row r="2" ht="19" customHeight="1">
      <c r="A2" s="2" t="inlineStr">
        <is>
          <t>Pledged amounts come from the INVITATION LIST sheet, so this sheet is live once you start filling it in.</t>
        </is>
      </c>
    </row>
    <row r="4" ht="28" customHeight="1">
      <c r="B4" s="6" t="inlineStr">
        <is>
          <t>Tier</t>
        </is>
      </c>
      <c r="C4" s="6" t="inlineStr">
        <is>
          <t>Slots</t>
        </is>
      </c>
      <c r="D4" s="6" t="inlineStr">
        <is>
          <t>Candidates</t>
        </is>
      </c>
      <c r="E4" s="6" t="inlineStr">
        <is>
          <t>Cover</t>
        </is>
      </c>
      <c r="F4" s="6" t="inlineStr">
        <is>
          <t>Slot value</t>
        </is>
      </c>
      <c r="G4" s="6" t="inlineStr">
        <is>
          <t>Tier target</t>
        </is>
      </c>
    </row>
    <row r="5">
      <c r="B5" s="48" t="inlineStr">
        <is>
          <t>Founding Partner</t>
        </is>
      </c>
      <c r="C5" s="49" t="n">
        <v>3</v>
      </c>
      <c r="D5" s="49" t="n">
        <v>22</v>
      </c>
      <c r="E5" s="50">
        <f>D5/C5</f>
        <v/>
      </c>
      <c r="F5" s="29" t="n">
        <v>150000</v>
      </c>
      <c r="G5" s="29" t="n">
        <v>450000</v>
      </c>
    </row>
    <row r="6">
      <c r="B6" s="48" t="inlineStr">
        <is>
          <t>Lead Partner</t>
        </is>
      </c>
      <c r="C6" s="49" t="n">
        <v>6</v>
      </c>
      <c r="D6" s="49" t="n">
        <v>36</v>
      </c>
      <c r="E6" s="50">
        <f>D6/C6</f>
        <v/>
      </c>
      <c r="F6" s="29" t="n">
        <v>75000</v>
      </c>
      <c r="G6" s="29" t="n">
        <v>450000</v>
      </c>
    </row>
    <row r="7">
      <c r="B7" s="48" t="inlineStr">
        <is>
          <t>Governorate Partner</t>
        </is>
      </c>
      <c r="C7" s="49" t="n">
        <v>12</v>
      </c>
      <c r="D7" s="49" t="n">
        <v>24</v>
      </c>
      <c r="E7" s="50">
        <f>D7/C7</f>
        <v/>
      </c>
      <c r="F7" s="29" t="n">
        <v>30000</v>
      </c>
      <c r="G7" s="29" t="n">
        <v>360000</v>
      </c>
    </row>
    <row r="8">
      <c r="B8" s="48" t="inlineStr">
        <is>
          <t>Mission Partner</t>
        </is>
      </c>
      <c r="C8" s="49" t="n">
        <v>15</v>
      </c>
      <c r="D8" s="51" t="n">
        <v>10</v>
      </c>
      <c r="E8" s="52">
        <f>D8/C8</f>
        <v/>
      </c>
      <c r="F8" s="29" t="n">
        <v>12000</v>
      </c>
      <c r="G8" s="29" t="n">
        <v>180000</v>
      </c>
    </row>
    <row r="9">
      <c r="B9" s="32" t="inlineStr">
        <is>
          <t>TOTAL</t>
        </is>
      </c>
      <c r="C9" s="53">
        <f>SUM(C5:C8)</f>
        <v/>
      </c>
      <c r="D9" s="53">
        <f>SUM(D5:D8)</f>
        <v/>
      </c>
      <c r="G9" s="53">
        <f>SUM(G5:G8)</f>
        <v/>
      </c>
    </row>
    <row r="11">
      <c r="B11" s="3" t="inlineStr">
        <is>
          <t>WHERE THE RAISE STANDS</t>
        </is>
      </c>
    </row>
    <row r="12">
      <c r="B12" s="35" t="inlineStr">
        <is>
          <t>Organisations invited</t>
        </is>
      </c>
      <c r="C12" s="36">
        <f>COUNTIF('INVITATION LIST'!Q2:Q104,"&lt;&gt;Not invited")</f>
        <v/>
      </c>
    </row>
    <row r="13">
      <c r="B13" s="35" t="inlineStr">
        <is>
          <t>Signed</t>
        </is>
      </c>
      <c r="C13" s="36">
        <f>COUNTIF('INVITATION LIST'!Q2:Q104,"Signed")</f>
        <v/>
      </c>
    </row>
    <row r="14">
      <c r="B14" s="35" t="inlineStr">
        <is>
          <t>Pledged, USD</t>
        </is>
      </c>
      <c r="C14" s="36">
        <f>SUM('INVITATION LIST'!S2:S104)</f>
        <v/>
      </c>
    </row>
    <row r="15">
      <c r="B15" s="35" t="inlineStr">
        <is>
          <t>Wave 1 budget needed</t>
        </is>
      </c>
      <c r="C15" s="36">
        <f>720000.0</f>
        <v/>
      </c>
    </row>
    <row r="16">
      <c r="B16" s="35" t="inlineStr">
        <is>
          <t>Gap</t>
        </is>
      </c>
      <c r="C16" s="36">
        <f>720000.0-SUM('INVITATION LIST'!S2:S104)</f>
        <v/>
      </c>
    </row>
    <row r="18" ht="60" customHeight="1">
      <c r="B18" s="27" t="inlineStr">
        <is>
          <t>Under-covered tiers: Mission Partner. There are fewer candidates sized for these than there are slots, so either the slot count comes down or mid-sized Egyptian companies have to be added to the registry. The Mission Partner tier at $12,000 is the one a mid-cap can sign inside a quarter, and the registry is thin on mid-caps because it was built from the organisations that publish their CSR.</t>
        </is>
      </c>
    </row>
  </sheetData>
  <mergeCells count="3">
    <mergeCell ref="B18:G18"/>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StartPad</dc:creator>
  <dc:title xmlns:dc="http://purl.org/dc/elements/1.1/">One Million First-Time Founders: sponsorship invitation list</dc:title>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