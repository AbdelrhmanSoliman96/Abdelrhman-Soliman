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THE 360 BUDGET" sheetId="2" state="visible" r:id="rId2"/>
    <sheet xmlns:r="http://schemas.openxmlformats.org/officeDocument/2006/relationships" name="WHAT A SEAT BUYS" sheetId="3" state="visible" r:id="rId3"/>
    <sheet xmlns:r="http://schemas.openxmlformats.org/officeDocument/2006/relationships" name="WHAT A COHORT COSTS" sheetId="4" state="visible" r:id="rId4"/>
    <sheet xmlns:r="http://schemas.openxmlformats.org/officeDocument/2006/relationships" name="EVENTS" sheetId="5" state="visible" r:id="rId5"/>
    <sheet xmlns:r="http://schemas.openxmlformats.org/officeDocument/2006/relationships" name="THE FUNNEL" sheetId="6" state="visible" r:id="rId6"/>
    <sheet xmlns:r="http://schemas.openxmlformats.org/officeDocument/2006/relationships" name="SPEND BY MONTH" sheetId="7" state="visible" r:id="rId7"/>
    <sheet xmlns:r="http://schemas.openxmlformats.org/officeDocument/2006/relationships" name="RETURN ON STARTPAD" sheetId="8" state="visible" r:id="rId8"/>
    <sheet xmlns:r="http://schemas.openxmlformats.org/officeDocument/2006/relationships" name="SENSITIVITY" sheetId="9" state="visible" r:id="rId9"/>
  </sheets>
  <definedNames/>
  <calcPr calcId="124519" fullCalcOnLoad="1"/>
</workbook>
</file>

<file path=xl/styles.xml><?xml version="1.0" encoding="utf-8"?>
<styleSheet xmlns="http://schemas.openxmlformats.org/spreadsheetml/2006/main">
  <numFmts count="4">
    <numFmt numFmtId="164" formatCode="&quot;$&quot;#,##0.00"/>
    <numFmt numFmtId="165" formatCode="&quot;$&quot;#,##0"/>
    <numFmt numFmtId="166" formatCode="0.0%"/>
    <numFmt numFmtId="167" formatCode="0.0x"/>
  </numFmts>
  <fonts count="14">
    <font>
      <name val="Calibri"/>
      <family val="2"/>
      <color theme="1"/>
      <sz val="11"/>
      <scheme val="minor"/>
    </font>
    <font>
      <b val="1"/>
      <color rgb="00FFFFFF"/>
      <sz val="15"/>
    </font>
    <font>
      <i val="1"/>
      <color rgb="0016211E"/>
      <sz val="10"/>
    </font>
    <font>
      <b val="1"/>
      <color rgb="000F5C4B"/>
      <sz val="11"/>
    </font>
    <font>
      <b val="1"/>
      <color rgb="0016211E"/>
      <sz val="10"/>
    </font>
    <font>
      <b val="1"/>
      <color rgb="00FFFFFF"/>
      <sz val="10"/>
    </font>
    <font>
      <color rgb="0016211E"/>
      <sz val="10"/>
    </font>
    <font>
      <color rgb="003A4050"/>
      <sz val="9.5"/>
    </font>
    <font>
      <b val="1"/>
      <color rgb="000F5C4B"/>
      <sz val="10"/>
    </font>
    <font>
      <i val="1"/>
      <color rgb="006B7A74"/>
      <sz val="9.5"/>
    </font>
    <font>
      <b val="1"/>
      <color rgb="008A6E3C"/>
      <sz val="10"/>
    </font>
    <font>
      <sz val="9.800000000000001"/>
    </font>
    <font>
      <color rgb="0016211E"/>
      <sz val="9.5"/>
    </font>
    <font>
      <b val="1"/>
      <color rgb="000F5C4B"/>
      <sz val="12"/>
    </font>
  </fonts>
  <fills count="7">
    <fill>
      <patternFill/>
    </fill>
    <fill>
      <patternFill patternType="gray125"/>
    </fill>
    <fill>
      <patternFill patternType="solid">
        <fgColor rgb="000F5C4B"/>
      </patternFill>
    </fill>
    <fill>
      <patternFill patternType="solid">
        <fgColor rgb="00ECF0EE"/>
      </patternFill>
    </fill>
    <fill>
      <patternFill patternType="solid">
        <fgColor rgb="002E6F5E"/>
      </patternFill>
    </fill>
    <fill>
      <patternFill patternType="solid">
        <fgColor rgb="00F5EAD5"/>
      </patternFill>
    </fill>
    <fill>
      <patternFill patternType="solid">
        <fgColor rgb="00D7EBE3"/>
      </patternFill>
    </fill>
  </fills>
  <borders count="2">
    <border>
      <left/>
      <right/>
      <top/>
      <bottom/>
      <diagonal/>
    </border>
    <border>
      <left style="thin">
        <color rgb="00D9E2DE"/>
      </left>
      <right style="thin">
        <color rgb="00D9E2DE"/>
      </right>
      <top style="thin">
        <color rgb="00D9E2DE"/>
      </top>
      <bottom style="thin">
        <color rgb="00D9E2DE"/>
      </bottom>
    </border>
  </borders>
  <cellStyleXfs count="1">
    <xf numFmtId="0" fontId="0" fillId="0" borderId="0"/>
  </cellStyleXfs>
  <cellXfs count="45">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vertical="center" wrapText="1" indent="1"/>
    </xf>
    <xf numFmtId="0" fontId="4" fillId="0" borderId="1" applyAlignment="1" pivotButton="0" quotePrefix="0" xfId="0">
      <alignment horizontal="left" vertical="top" indent="1"/>
    </xf>
    <xf numFmtId="3" fontId="6" fillId="0" borderId="1" applyAlignment="1" pivotButton="0" quotePrefix="0" xfId="0">
      <alignment horizontal="center" vertical="top"/>
    </xf>
    <xf numFmtId="164" fontId="6" fillId="0" borderId="1" applyAlignment="1" pivotButton="0" quotePrefix="0" xfId="0">
      <alignment horizontal="center" vertical="top"/>
    </xf>
    <xf numFmtId="165" fontId="6" fillId="0" borderId="1" applyAlignment="1" pivotButton="0" quotePrefix="0" xfId="0">
      <alignment horizontal="center" vertical="top"/>
    </xf>
    <xf numFmtId="0" fontId="7" fillId="0" borderId="1" applyAlignment="1" pivotButton="0" quotePrefix="0" xfId="0">
      <alignment horizontal="left" vertical="top" wrapText="1" indent="1"/>
    </xf>
    <xf numFmtId="0" fontId="5" fillId="2" borderId="0" applyAlignment="1" pivotButton="0" quotePrefix="0" xfId="0">
      <alignment indent="1"/>
    </xf>
    <xf numFmtId="165" fontId="5" fillId="2" borderId="0" applyAlignment="1" pivotButton="0" quotePrefix="0" xfId="0">
      <alignment horizontal="center"/>
    </xf>
    <xf numFmtId="3" fontId="5" fillId="2" borderId="0" applyAlignment="1" pivotButton="0" quotePrefix="0" xfId="0">
      <alignment horizontal="center"/>
    </xf>
    <xf numFmtId="0" fontId="4" fillId="0" borderId="1" applyAlignment="1" pivotButton="0" quotePrefix="0" xfId="0">
      <alignment horizontal="left" vertical="top" wrapText="1" indent="1"/>
    </xf>
    <xf numFmtId="166" fontId="6" fillId="0" borderId="1" applyAlignment="1" pivotButton="0" quotePrefix="0" xfId="0">
      <alignment horizontal="center" vertical="top"/>
    </xf>
    <xf numFmtId="0" fontId="6" fillId="0" borderId="1" applyAlignment="1" pivotButton="0" quotePrefix="0" xfId="0">
      <alignment horizontal="left" vertical="top" indent="1"/>
    </xf>
    <xf numFmtId="166" fontId="5" fillId="2" borderId="0" applyAlignment="1" pivotButton="0" quotePrefix="0" xfId="0">
      <alignment horizontal="center"/>
    </xf>
    <xf numFmtId="165" fontId="4" fillId="3" borderId="1" applyAlignment="1" pivotButton="0" quotePrefix="0" xfId="0">
      <alignment horizontal="center" vertical="top"/>
    </xf>
    <xf numFmtId="3" fontId="4" fillId="3" borderId="1" applyAlignment="1" pivotButton="0" quotePrefix="0" xfId="0">
      <alignment horizontal="center" vertical="top"/>
    </xf>
    <xf numFmtId="164" fontId="8" fillId="0" borderId="1" applyAlignment="1" pivotButton="0" quotePrefix="0" xfId="0">
      <alignment horizontal="center" vertical="top"/>
    </xf>
    <xf numFmtId="4" fontId="6" fillId="0" borderId="1" applyAlignment="1" pivotButton="0" quotePrefix="0" xfId="0">
      <alignment horizontal="center" vertical="top"/>
    </xf>
    <xf numFmtId="0" fontId="9" fillId="0" borderId="0" applyAlignment="1" pivotButton="0" quotePrefix="0" xfId="0">
      <alignment vertical="top" wrapText="1"/>
    </xf>
    <xf numFmtId="164" fontId="5" fillId="2" borderId="0" applyAlignment="1" pivotButton="0" quotePrefix="0" xfId="0">
      <alignment horizontal="center"/>
    </xf>
    <xf numFmtId="4" fontId="5" fillId="2" borderId="0" applyAlignment="1" pivotButton="0" quotePrefix="0" xfId="0">
      <alignment horizontal="center"/>
    </xf>
    <xf numFmtId="0" fontId="6" fillId="0" borderId="1" applyAlignment="1" pivotButton="0" quotePrefix="0" xfId="0">
      <alignment horizontal="center" vertical="top"/>
    </xf>
    <xf numFmtId="0" fontId="10" fillId="5" borderId="1" applyAlignment="1" pivotButton="0" quotePrefix="0" xfId="0">
      <alignment horizontal="center" vertical="top"/>
    </xf>
    <xf numFmtId="165" fontId="8" fillId="0" borderId="1" applyAlignment="1" pivotButton="0" quotePrefix="0" xfId="0">
      <alignment horizontal="center" vertical="top"/>
    </xf>
    <xf numFmtId="0" fontId="8" fillId="0" borderId="1" applyAlignment="1" pivotButton="0" quotePrefix="0" xfId="0">
      <alignment horizontal="left" vertical="top" wrapText="1" indent="1"/>
    </xf>
    <xf numFmtId="0" fontId="11" fillId="0" borderId="0" applyAlignment="1" pivotButton="0" quotePrefix="0" xfId="0">
      <alignment vertical="top" wrapText="1" indent="1"/>
    </xf>
    <xf numFmtId="0" fontId="12" fillId="0" borderId="1" applyAlignment="1" pivotButton="0" quotePrefix="0" xfId="0">
      <alignment horizontal="center" vertical="top"/>
    </xf>
    <xf numFmtId="9" fontId="6" fillId="0" borderId="1" applyAlignment="1" pivotButton="0" quotePrefix="0" xfId="0">
      <alignment horizontal="center" vertical="top"/>
    </xf>
    <xf numFmtId="3" fontId="8" fillId="0" borderId="1" applyAlignment="1" pivotButton="0" quotePrefix="0" xfId="0">
      <alignment horizontal="center" vertical="top"/>
    </xf>
    <xf numFmtId="3" fontId="3" fillId="0" borderId="1" applyAlignment="1" pivotButton="0" quotePrefix="0" xfId="0">
      <alignment horizontal="center" vertical="top"/>
    </xf>
    <xf numFmtId="9" fontId="8" fillId="0" borderId="1" applyAlignment="1" pivotButton="0" quotePrefix="0" xfId="0">
      <alignment horizontal="center" vertical="top"/>
    </xf>
    <xf numFmtId="165" fontId="6" fillId="3" borderId="1" applyAlignment="1" pivotButton="0" quotePrefix="0" xfId="0">
      <alignment horizontal="center" vertical="top"/>
    </xf>
    <xf numFmtId="167" fontId="13" fillId="3" borderId="1" applyAlignment="1" pivotButton="0" quotePrefix="0" xfId="0">
      <alignment horizontal="center" vertical="top"/>
    </xf>
    <xf numFmtId="0" fontId="2" fillId="0" borderId="0" applyAlignment="1" pivotButton="0" quotePrefix="0" xfId="0">
      <alignment vertical="top" wrapText="1"/>
    </xf>
    <xf numFmtId="0" fontId="13" fillId="0" borderId="1" applyAlignment="1" pivotButton="0" quotePrefix="0" xfId="0">
      <alignment horizontal="center" vertical="top"/>
    </xf>
    <xf numFmtId="0" fontId="13" fillId="6" borderId="1" applyAlignment="1" pivotButton="0" quotePrefix="0" xfId="0">
      <alignment horizontal="center" vertical="top"/>
    </xf>
    <xf numFmtId="165" fontId="6" fillId="6" borderId="1" applyAlignment="1" pivotButton="0" quotePrefix="0" xfId="0">
      <alignment horizontal="center" vertical="top"/>
    </xf>
    <xf numFmtId="3" fontId="6" fillId="6" borderId="1" applyAlignment="1" pivotButton="0" quotePrefix="0" xfId="0">
      <alignment horizontal="center" vertical="top"/>
    </xf>
    <xf numFmtId="164" fontId="6" fillId="6" borderId="1" applyAlignment="1" pivotButton="0" quotePrefix="0" xfId="0">
      <alignment horizontal="center" vertical="top"/>
    </xf>
    <xf numFmtId="0" fontId="7" fillId="6" borderId="1" applyAlignment="1" pivotButton="0" quotePrefix="0" xfId="0">
      <alignment horizontal="lef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2" customWidth="1" min="2" max="2"/>
    <col width="106" customWidth="1" min="3" max="3"/>
  </cols>
  <sheetData>
    <row r="1" ht="28" customHeight="1">
      <c r="A1" s="1" t="inlineStr">
        <is>
          <t>One Million First-Time Founders: the whole budget</t>
        </is>
      </c>
    </row>
    <row r="2" ht="19" customHeight="1">
      <c r="A2" s="2" t="inlineStr">
        <is>
          <t>Wave 1, March to August 2027. Every line, in dollars and in pounds, and what StartPad gets back.</t>
        </is>
      </c>
    </row>
    <row r="4">
      <c r="B4" s="3" t="inlineStr">
        <is>
          <t>THE TWO PRICES EVERYTHING IS BUILT ON</t>
        </is>
      </c>
    </row>
    <row r="5" ht="39" customHeight="1">
      <c r="C5" s="4" t="inlineStr">
        <is>
          <t>A sponsored founder costs $5.00. That is the national initiative seat price in the company's financial model, year one, described there as priced for a ministry buying tens of thousands. It is an Egyptian price and the cost base is sized for it.</t>
        </is>
      </c>
    </row>
    <row r="6" ht="52" customHeight="1">
      <c r="C6" s="4" t="inlineStr">
        <is>
          <t>An in-person cohort costs $3,000 for 25 seats, which is $120 a seat. The financial model's direct cost for the same cohort is $1,770. The difference is the field: getting two facilitators and a coordinator to the governorate and keeping them there for eight days, which is $745 of every cohort and is the line a budget written in Cairo leaves out.</t>
        </is>
      </c>
    </row>
    <row r="8">
      <c r="B8" s="3" t="inlineStr">
        <is>
          <t>THE SHEETS</t>
        </is>
      </c>
    </row>
    <row r="9" ht="26" customHeight="1">
      <c r="B9" s="5" t="inlineStr">
        <is>
          <t>THE 360 BUDGET</t>
        </is>
      </c>
      <c r="C9" s="4" t="inlineStr">
        <is>
          <t>Income and every expenditure line, in dollars and pounds. It balances to the cent, because programme management is the balancing line.</t>
        </is>
      </c>
    </row>
    <row r="10" ht="15" customHeight="1">
      <c r="B10" s="5" t="inlineStr">
        <is>
          <t>WHAT A SEAT BUYS</t>
        </is>
      </c>
      <c r="C10" s="4" t="inlineStr">
        <is>
          <t>The $5, divided back into the budget lines it came from.</t>
        </is>
      </c>
    </row>
    <row r="11" ht="26" customHeight="1">
      <c r="B11" s="5" t="inlineStr">
        <is>
          <t>WHAT A COHORT COSTS</t>
        </is>
      </c>
      <c r="C11" s="4" t="inlineStr">
        <is>
          <t>All eleven lines of the $3,000, with the six field lines marked, checked against the financial model's own direct cost.</t>
        </is>
      </c>
    </row>
    <row r="12" ht="26" customHeight="1">
      <c r="B12" s="5" t="inlineStr">
        <is>
          <t>EVENTS</t>
        </is>
      </c>
      <c r="C12" s="4" t="inlineStr">
        <is>
          <t>Every event the initiative runs, what each costs and when. The cohorts are not here; they are the delivery line.</t>
        </is>
      </c>
    </row>
    <row r="13" ht="15" customHeight="1">
      <c r="B13" s="5" t="inlineStr">
        <is>
          <t>THE FUNNEL</t>
        </is>
      </c>
      <c r="C13" s="4" t="inlineStr">
        <is>
          <t>Reach to registered to completed to sponsored to trading, with the conversion rate behind each step.</t>
        </is>
      </c>
    </row>
    <row r="14" ht="15" customHeight="1">
      <c r="B14" s="5" t="inlineStr">
        <is>
          <t>SPEND BY MONTH</t>
        </is>
      </c>
      <c r="C14" s="4" t="inlineStr">
        <is>
          <t>When the money actually leaves, which is not evenly.</t>
        </is>
      </c>
    </row>
    <row r="15" ht="26" customHeight="1">
      <c r="B15" s="5" t="inlineStr">
        <is>
          <t>RETURN ON STARTPAD</t>
        </is>
      </c>
      <c r="C15" s="4" t="inlineStr">
        <is>
          <t>What the company puts in that the budget does not pay for, and what comes back in the twelve months after the wave.</t>
        </is>
      </c>
    </row>
    <row r="16" ht="15" customHeight="1">
      <c r="B16" s="5" t="inlineStr">
        <is>
          <t>SENSITIVITY</t>
        </is>
      </c>
      <c r="C16" s="4" t="inlineStr">
        <is>
          <t>What happens at 30, 50, 75 and 100 per cent coalition fill.</t>
        </is>
      </c>
    </row>
    <row r="18">
      <c r="B18" s="3" t="inlineStr">
        <is>
          <t>THE HEADLINE</t>
        </is>
      </c>
    </row>
    <row r="19" ht="26" customHeight="1">
      <c r="C19" s="4" t="inlineStr">
        <is>
          <t>At 50% coalition fill the wave raises and spends $190,500, which is EGP 10,138,410. It sponsors 20,100 founders through all fifteen missions and runs 30 in-person cohorts in twelve governorates.</t>
        </is>
      </c>
    </row>
    <row r="20" ht="52" customHeight="1">
      <c r="C20" s="4" t="inlineStr">
        <is>
          <t>StartPad takes no margin from sponsorship in wave one. Every dollar raised is in the budget. The company's own return is $106,480 in the twelve months after the wave, against $27,200 it puts in that the budget does not pay for, which is 3.9 times. That is on the RETURN ON STARTPAD sheet, priced at the financial model's own prices rather than at numbers invented here.</t>
        </is>
      </c>
    </row>
    <row r="22">
      <c r="B22" s="3" t="inlineStr">
        <is>
          <t>WHAT IS NOT IN THIS BUDGET</t>
        </is>
      </c>
    </row>
    <row r="23" ht="26" customHeight="1">
      <c r="B23" s="5" t="inlineStr">
        <is>
          <t>In-kind</t>
        </is>
      </c>
      <c r="C23" s="4" t="inlineStr">
        <is>
          <t>Valued separately and never counted as cash. A donated venue takes $260 off a cohort and that saving goes back into founders sponsored, not into the surplus.</t>
        </is>
      </c>
    </row>
    <row r="24" ht="26" customHeight="1">
      <c r="B24" s="5" t="inlineStr">
        <is>
          <t>The platform itself</t>
        </is>
      </c>
      <c r="C24" s="4" t="inlineStr">
        <is>
          <t>Already built and carried by the company. The budget pays for hosting, inference and the initiative-specific work, not for the product.</t>
        </is>
      </c>
    </row>
    <row r="25" ht="26" customHeight="1">
      <c r="B25" s="5" t="inlineStr">
        <is>
          <t>Wave 2</t>
        </is>
      </c>
      <c r="C25" s="4" t="inlineStr">
        <is>
          <t>A separate budget, and cheaper per founder, because the facilitator pool and the chapters will already exist.</t>
        </is>
      </c>
    </row>
    <row r="27">
      <c r="B27" s="3" t="inlineStr">
        <is>
          <t>A WARNING ABOUT THESE NUMBERS</t>
        </is>
      </c>
    </row>
    <row r="28" ht="52" customHeight="1">
      <c r="C28" s="4" t="inlineStr">
        <is>
          <t>Nothing here is a measured result. Every quantity is an assumption with its driver written next to it, and the initiative has not run. The conversion rates on the FUNNEL sheet and the return rates on the RETURN sheet are the two places where being wrong costs the most, and both are stated so they can be argued with.</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3" customWidth="1" min="1" max="1"/>
    <col width="40" customWidth="1" min="2" max="2"/>
    <col width="12" customWidth="1" min="3" max="3"/>
    <col width="14" customWidth="1" min="4" max="4"/>
    <col width="2" customWidth="1" min="5" max="5"/>
    <col width="2" customWidth="1" min="6" max="6"/>
    <col width="78" customWidth="1" min="7" max="7"/>
  </cols>
  <sheetData>
    <row r="1" ht="28" customHeight="1">
      <c r="A1" s="1" t="inlineStr">
        <is>
          <t>The whole wave, in and out</t>
        </is>
      </c>
    </row>
    <row r="2" ht="19" customHeight="1">
      <c r="A2" s="2" t="inlineStr">
        <is>
          <t>Wave 1, March to August 2027, at 50% coalition fill. The percentage column is a formula, so edit a line and the shares move.</t>
        </is>
      </c>
    </row>
    <row r="4">
      <c r="B4" s="3" t="inlineStr">
        <is>
          <t>INCOME</t>
        </is>
      </c>
    </row>
    <row r="5" ht="28" customHeight="1">
      <c r="B5" s="6" t="inlineStr">
        <is>
          <t>Source</t>
        </is>
      </c>
      <c r="C5" s="6" t="inlineStr">
        <is>
          <t>Quantity</t>
        </is>
      </c>
      <c r="D5" s="6" t="inlineStr">
        <is>
          <t>Unit</t>
        </is>
      </c>
      <c r="E5" s="6" t="inlineStr">
        <is>
          <t>USD</t>
        </is>
      </c>
      <c r="F5" s="6" t="inlineStr">
        <is>
          <t>EGP</t>
        </is>
      </c>
      <c r="G5" s="6" t="inlineStr">
        <is>
          <t>Note</t>
        </is>
      </c>
    </row>
    <row r="6" ht="24.8" customHeight="1">
      <c r="B6" s="7" t="inlineStr">
        <is>
          <t>Sponsored founders</t>
        </is>
      </c>
      <c r="C6" s="8" t="n">
        <v>20100</v>
      </c>
      <c r="D6" s="9" t="n">
        <v>5</v>
      </c>
      <c r="E6" s="10">
        <f>C6*D6</f>
        <v/>
      </c>
      <c r="F6" s="8">
        <f>E6*53.22</f>
        <v/>
      </c>
      <c r="G6" s="11" t="inlineStr">
        <is>
          <t>Founding, Lead, Governorate and Mission partners, at 50% of the capped slots</t>
        </is>
      </c>
    </row>
    <row r="7" ht="22" customHeight="1">
      <c r="B7" s="7" t="inlineStr">
        <is>
          <t>In-person cohorts</t>
        </is>
      </c>
      <c r="C7" s="8" t="n">
        <v>30</v>
      </c>
      <c r="D7" s="10" t="n">
        <v>3000</v>
      </c>
      <c r="E7" s="10">
        <f>C7*D7</f>
        <v/>
      </c>
      <c r="F7" s="8">
        <f>E7*53.22</f>
        <v/>
      </c>
      <c r="G7" s="11" t="inlineStr">
        <is>
          <t>Funded inside the Founding, Lead and Governorate tiers</t>
        </is>
      </c>
    </row>
    <row r="8">
      <c r="B8" s="12" t="inlineStr">
        <is>
          <t>Total income</t>
        </is>
      </c>
      <c r="E8" s="13">
        <f>SUM(E6:E7)</f>
        <v/>
      </c>
      <c r="F8" s="14">
        <f>SUM(F6:F7)</f>
        <v/>
      </c>
    </row>
    <row r="10">
      <c r="B10" s="3" t="inlineStr">
        <is>
          <t>EXPENDITURE</t>
        </is>
      </c>
    </row>
    <row r="11" ht="28" customHeight="1">
      <c r="B11" s="6" t="inlineStr">
        <is>
          <t>Line</t>
        </is>
      </c>
      <c r="C11" s="6" t="inlineStr">
        <is>
          <t>Share</t>
        </is>
      </c>
      <c r="D11" s="6" t="inlineStr"/>
      <c r="E11" s="6" t="inlineStr">
        <is>
          <t>USD</t>
        </is>
      </c>
      <c r="F11" s="6" t="inlineStr">
        <is>
          <t>EGP</t>
        </is>
      </c>
      <c r="G11" s="6" t="inlineStr">
        <is>
          <t>What it is</t>
        </is>
      </c>
    </row>
    <row r="12" ht="37.2" customHeight="1">
      <c r="B12" s="15" t="inlineStr">
        <is>
          <t>Delivery: 30 in-person cohorts at $3,000</t>
        </is>
      </c>
      <c r="C12" s="16">
        <f>E12/$E$8</f>
        <v/>
      </c>
      <c r="D12" s="17" t="inlineStr"/>
      <c r="E12" s="10" t="n">
        <v>90000</v>
      </c>
      <c r="F12" s="8">
        <f>E12*53.22</f>
        <v/>
      </c>
      <c r="G12" s="11" t="inlineStr">
        <is>
          <t>750 seats, six days each, two certified facilitators and a coordinator. Of this, $22,350 is field operations: transport, accommodation and the daily allowance.</t>
        </is>
      </c>
    </row>
    <row r="13" ht="37.2" customHeight="1">
      <c r="B13" s="15" t="inlineStr">
        <is>
          <t>Events and field activation</t>
        </is>
      </c>
      <c r="C13" s="16">
        <f>E13/$E$8</f>
        <v/>
      </c>
      <c r="D13" s="17" t="inlineStr"/>
      <c r="E13" s="10" t="n">
        <v>38320</v>
      </c>
      <c r="F13" s="8">
        <f>E13*53.22</f>
        <v/>
      </c>
      <c r="G13" s="11" t="inlineStr">
        <is>
          <t>The launch, the chapter and governorate visits, the campus sessions, six governorate showcases, the partner council and the judge briefings. Itemised in the events table.</t>
        </is>
      </c>
    </row>
    <row r="14" ht="37.2" customHeight="1">
      <c r="B14" s="15" t="inlineStr">
        <is>
          <t>Platform, AI review and infrastructure</t>
        </is>
      </c>
      <c r="C14" s="16">
        <f>E14/$E$8</f>
        <v/>
      </c>
      <c r="D14" s="17" t="inlineStr"/>
      <c r="E14" s="10" t="n">
        <v>26000</v>
      </c>
      <c r="F14" s="8">
        <f>E14*53.22</f>
        <v/>
      </c>
      <c r="G14" s="11" t="inlineStr">
        <is>
          <t>Six months of hosting and inference for the whole registered base, not only the sponsored founders. The platform itself is already built and carried by the company.</t>
        </is>
      </c>
    </row>
    <row r="15" ht="26" customHeight="1">
      <c r="B15" s="15" t="inlineStr">
        <is>
          <t>Content, Arabic production and localisation</t>
        </is>
      </c>
      <c r="C15" s="16">
        <f>E15/$E$8</f>
        <v/>
      </c>
      <c r="D15" s="17" t="inlineStr"/>
      <c r="E15" s="10" t="n">
        <v>12500</v>
      </c>
      <c r="F15" s="8">
        <f>E15*53.22</f>
        <v/>
      </c>
      <c r="G15" s="11" t="inlineStr">
        <is>
          <t>Governorate and sector variants, the facilitator pack, and the showcase materials.</t>
        </is>
      </c>
    </row>
    <row r="16" ht="26" customHeight="1">
      <c r="B16" s="15" t="inlineStr">
        <is>
          <t>Measurement, evaluation and reporting</t>
        </is>
      </c>
      <c r="C16" s="16">
        <f>E16/$E$8</f>
        <v/>
      </c>
      <c r="D16" s="17" t="inlineStr"/>
      <c r="E16" s="10" t="n">
        <v>9000</v>
      </c>
      <c r="F16" s="8">
        <f>E16*53.22</f>
        <v/>
      </c>
      <c r="G16" s="11" t="inlineStr">
        <is>
          <t>The dashboard, the direction report, the month 12 follow-up survey and the independent evaluation.</t>
        </is>
      </c>
    </row>
    <row r="17" ht="37.2" customHeight="1">
      <c r="B17" s="15" t="inlineStr">
        <is>
          <t>Programme management and coordination</t>
        </is>
      </c>
      <c r="C17" s="16">
        <f>E17/$E$8</f>
        <v/>
      </c>
      <c r="D17" s="17" t="inlineStr"/>
      <c r="E17" s="10" t="n">
        <v>14680</v>
      </c>
      <c r="F17" s="8">
        <f>E17*53.22</f>
        <v/>
      </c>
      <c r="G17" s="11" t="inlineStr">
        <is>
          <t>A programme manager and a field coordinator for eight months, plus part-time admin and finance, at Egyptian salaries. This is the balancing line.</t>
        </is>
      </c>
    </row>
    <row r="18">
      <c r="B18" s="12" t="inlineStr">
        <is>
          <t>Total expenditure</t>
        </is>
      </c>
      <c r="C18" s="18">
        <f>SUM(C12:C17)</f>
        <v/>
      </c>
      <c r="E18" s="13">
        <f>SUM(E12:E17)</f>
        <v/>
      </c>
      <c r="F18" s="14">
        <f>SUM(F12:F17)</f>
        <v/>
      </c>
    </row>
    <row r="20" ht="30" customHeight="1">
      <c r="B20" s="7" t="inlineStr">
        <is>
          <t>Surplus or deficit</t>
        </is>
      </c>
      <c r="E20" s="19">
        <f>E8-E18</f>
        <v/>
      </c>
      <c r="F20" s="20">
        <f>F8-F18</f>
        <v/>
      </c>
      <c r="G20" s="11" t="inlineStr">
        <is>
          <t>Nil by design. StartPad takes no margin from sponsorship in wave one, and programme management is the balancing line.</t>
        </is>
      </c>
    </row>
    <row r="22">
      <c r="B22" s="3" t="inlineStr">
        <is>
          <t>WHAT IT WORKS OUT AT</t>
        </is>
      </c>
    </row>
    <row r="23" ht="28" customHeight="1">
      <c r="B23" s="6" t="inlineStr">
        <is>
          <t>Measure</t>
        </is>
      </c>
      <c r="C23" s="6" t="inlineStr">
        <is>
          <t>USD</t>
        </is>
      </c>
      <c r="D23" s="6" t="inlineStr">
        <is>
          <t>EGP</t>
        </is>
      </c>
      <c r="E23" s="6" t="inlineStr"/>
      <c r="F23" s="6" t="inlineStr"/>
      <c r="G23" s="6" t="inlineStr">
        <is>
          <t>Note</t>
        </is>
      </c>
    </row>
    <row r="24">
      <c r="B24" s="7" t="inlineStr">
        <is>
          <t>Cost per person reached</t>
        </is>
      </c>
      <c r="C24" s="21" t="n">
        <v>0.16</v>
      </c>
      <c r="D24" s="22" t="n">
        <v>8.449999999999999</v>
      </c>
    </row>
    <row r="25">
      <c r="B25" s="7" t="inlineStr">
        <is>
          <t>Cost per registered founder</t>
        </is>
      </c>
      <c r="C25" s="21" t="n">
        <v>0.96</v>
      </c>
      <c r="D25" s="22" t="n">
        <v>51.2</v>
      </c>
    </row>
    <row r="26">
      <c r="B26" s="7" t="inlineStr">
        <is>
          <t>Cost per founder completing the free tier</t>
        </is>
      </c>
      <c r="C26" s="21" t="n">
        <v>3.24</v>
      </c>
      <c r="D26" s="22" t="n">
        <v>172.52</v>
      </c>
    </row>
    <row r="27">
      <c r="B27" s="7" t="inlineStr">
        <is>
          <t>Cost per sponsored founder, all 15 missions</t>
        </is>
      </c>
      <c r="C27" s="21" t="n">
        <v>5</v>
      </c>
      <c r="D27" s="22" t="n">
        <v>266.1</v>
      </c>
    </row>
    <row r="28">
      <c r="B28" s="7" t="inlineStr">
        <is>
          <t>Cost per in-person seat</t>
        </is>
      </c>
      <c r="C28" s="21" t="n">
        <v>120</v>
      </c>
      <c r="D28" s="22" t="n">
        <v>6386.4</v>
      </c>
    </row>
    <row r="29">
      <c r="B29" s="7" t="inlineStr">
        <is>
          <t>Cost per venture trading at month 12</t>
        </is>
      </c>
      <c r="C29" s="21" t="n">
        <v>94.78</v>
      </c>
      <c r="D29" s="22" t="n">
        <v>5043.99</v>
      </c>
    </row>
    <row r="31" ht="44" customHeight="1">
      <c r="B31" s="23" t="inlineStr">
        <is>
          <t>The sponsored founder and the in-person seat are prices, not averages: they are what a partner pays and what the wave spends, and they are equal because the wave takes no margin. The other four are the total budget divided by an outcome, which is the form a partner's finance function asks for.</t>
        </is>
      </c>
    </row>
  </sheetData>
  <mergeCells count="3">
    <mergeCell ref="A2:G2"/>
    <mergeCell ref="B31:G3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 customWidth="1" min="1" max="1"/>
    <col width="44" customWidth="1" min="2" max="2"/>
    <col width="16" customWidth="1" min="3" max="3"/>
    <col width="14" customWidth="1" min="4" max="4"/>
    <col width="16" customWidth="1" min="5" max="5"/>
    <col width="10" customWidth="1" min="6" max="6"/>
  </cols>
  <sheetData>
    <row r="1" ht="28" customHeight="1">
      <c r="A1" s="1" t="inlineStr">
        <is>
          <t>The $5.00 a sponsored founder costs</t>
        </is>
      </c>
    </row>
    <row r="2" ht="19" customHeight="1">
      <c r="A2" s="2" t="inlineStr">
        <is>
          <t>Not a price somebody chose. The budget minus the cohorts, divided by the founders sponsored.</t>
        </is>
      </c>
    </row>
    <row r="4" ht="28" customHeight="1">
      <c r="B4" s="6" t="inlineStr">
        <is>
          <t>Budget line</t>
        </is>
      </c>
      <c r="C4" s="6" t="inlineStr">
        <is>
          <t>USD total</t>
        </is>
      </c>
      <c r="D4" s="6" t="inlineStr">
        <is>
          <t>Per founder</t>
        </is>
      </c>
      <c r="E4" s="6" t="inlineStr">
        <is>
          <t>EGP per founder</t>
        </is>
      </c>
      <c r="F4" s="6" t="inlineStr">
        <is>
          <t>Share</t>
        </is>
      </c>
    </row>
    <row r="5" ht="24" customHeight="1">
      <c r="B5" s="15" t="inlineStr">
        <is>
          <t>Events and field activation</t>
        </is>
      </c>
      <c r="C5" s="10" t="n">
        <v>38320</v>
      </c>
      <c r="D5" s="21">
        <f>C5/20100.0</f>
        <v/>
      </c>
      <c r="E5" s="22">
        <f>D5*53.22</f>
        <v/>
      </c>
      <c r="F5" s="16">
        <f>C5/(190500.0-90000.0)</f>
        <v/>
      </c>
    </row>
    <row r="6" ht="24" customHeight="1">
      <c r="B6" s="15" t="inlineStr">
        <is>
          <t>Platform, AI review and infrastructure</t>
        </is>
      </c>
      <c r="C6" s="10" t="n">
        <v>26000</v>
      </c>
      <c r="D6" s="21">
        <f>C6/20100.0</f>
        <v/>
      </c>
      <c r="E6" s="22">
        <f>D6*53.22</f>
        <v/>
      </c>
      <c r="F6" s="16">
        <f>C6/(190500.0-90000.0)</f>
        <v/>
      </c>
    </row>
    <row r="7" ht="24" customHeight="1">
      <c r="B7" s="15" t="inlineStr">
        <is>
          <t>Content, Arabic production and localisation</t>
        </is>
      </c>
      <c r="C7" s="10" t="n">
        <v>12500</v>
      </c>
      <c r="D7" s="21">
        <f>C7/20100.0</f>
        <v/>
      </c>
      <c r="E7" s="22">
        <f>D7*53.22</f>
        <v/>
      </c>
      <c r="F7" s="16">
        <f>C7/(190500.0-90000.0)</f>
        <v/>
      </c>
    </row>
    <row r="8" ht="24" customHeight="1">
      <c r="B8" s="15" t="inlineStr">
        <is>
          <t>Measurement, evaluation and reporting</t>
        </is>
      </c>
      <c r="C8" s="10" t="n">
        <v>9000</v>
      </c>
      <c r="D8" s="21">
        <f>C8/20100.0</f>
        <v/>
      </c>
      <c r="E8" s="22">
        <f>D8*53.22</f>
        <v/>
      </c>
      <c r="F8" s="16">
        <f>C8/(190500.0-90000.0)</f>
        <v/>
      </c>
    </row>
    <row r="9" ht="24" customHeight="1">
      <c r="B9" s="15" t="inlineStr">
        <is>
          <t>Programme management and coordination</t>
        </is>
      </c>
      <c r="C9" s="10" t="n">
        <v>14680</v>
      </c>
      <c r="D9" s="21">
        <f>C9/20100.0</f>
        <v/>
      </c>
      <c r="E9" s="22">
        <f>D9*53.22</f>
        <v/>
      </c>
      <c r="F9" s="16">
        <f>C9/(190500.0-90000.0)</f>
        <v/>
      </c>
    </row>
    <row r="10">
      <c r="B10" s="12" t="inlineStr">
        <is>
          <t>Per sponsored founder</t>
        </is>
      </c>
      <c r="C10" s="13">
        <f>SUM(C5:C9)</f>
        <v/>
      </c>
      <c r="D10" s="24">
        <f>SUM(D5:D9)</f>
        <v/>
      </c>
      <c r="E10" s="25">
        <f>SUM(E5:E9)</f>
        <v/>
      </c>
      <c r="F10" s="18">
        <f>SUM(F5:F9)</f>
        <v/>
      </c>
    </row>
    <row r="12" ht="42" customHeight="1">
      <c r="B12" s="23" t="inlineStr">
        <is>
          <t>The 20,100 sponsored founders are the ones the coalition pays to carry through all fifteen missions. The platform line covers hosting and inference for the whole registered base of 198,000, not only for them, which is why the free tier costs the initiative almost nothing per head.</t>
        </is>
      </c>
    </row>
    <row r="13" ht="42" customHeight="1">
      <c r="B13" s="23" t="inlineStr">
        <is>
          <t>At $5.00 a founder this is below the $15 a year a student pays for Pro. That is bulk provisioning, and it is the same logic the financial model already applies to a ministry buying tens of thousands of seats.</t>
        </is>
      </c>
    </row>
  </sheetData>
  <mergeCells count="4">
    <mergeCell ref="A2:F2"/>
    <mergeCell ref="B12:F12"/>
    <mergeCell ref="A1:F1"/>
    <mergeCell ref="B13:F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 customWidth="1" min="1" max="1"/>
    <col width="44" customWidth="1" min="2" max="2"/>
    <col width="12" customWidth="1" min="3" max="3"/>
    <col width="14" customWidth="1" min="4" max="4"/>
    <col width="12" customWidth="1" min="5" max="5"/>
    <col width="10" customWidth="1" min="6" max="6"/>
    <col width="56" customWidth="1" min="7" max="7"/>
  </cols>
  <sheetData>
    <row r="1" ht="28" customHeight="1">
      <c r="A1" s="1" t="inlineStr">
        <is>
          <t>The $3,000 in-person cohort, line by line</t>
        </is>
      </c>
    </row>
    <row r="2" ht="19" customHeight="1">
      <c r="A2" s="2" t="inlineStr">
        <is>
          <t>25 seats, six delivery days, two certified facilitators and a coordinator, in a governorate that is not theirs.</t>
        </is>
      </c>
    </row>
    <row r="4" ht="28" customHeight="1">
      <c r="B4" s="6" t="inlineStr">
        <is>
          <t>Line</t>
        </is>
      </c>
      <c r="C4" s="6" t="inlineStr">
        <is>
          <t>USD</t>
        </is>
      </c>
      <c r="D4" s="6" t="inlineStr">
        <is>
          <t>EGP</t>
        </is>
      </c>
      <c r="E4" s="6" t="inlineStr">
        <is>
          <t>Per seat</t>
        </is>
      </c>
      <c r="F4" s="6" t="inlineStr">
        <is>
          <t>Field?</t>
        </is>
      </c>
      <c r="G4" s="6" t="inlineStr">
        <is>
          <t>Note</t>
        </is>
      </c>
    </row>
    <row r="5" ht="22" customHeight="1">
      <c r="B5" s="15" t="inlineStr">
        <is>
          <t>Facilitation: two certified facilitators, six days</t>
        </is>
      </c>
      <c r="C5" s="10" t="n">
        <v>1020</v>
      </c>
      <c r="D5" s="8">
        <f>C5*53.22</f>
        <v/>
      </c>
      <c r="E5" s="9">
        <f>C5/25</f>
        <v/>
      </c>
      <c r="F5" s="26" t="inlineStr"/>
      <c r="G5" s="11" t="inlineStr">
        <is>
          <t>In the financial model, at $85 a facilitator day</t>
        </is>
      </c>
    </row>
    <row r="6" ht="22" customHeight="1">
      <c r="B6" s="15" t="inlineStr">
        <is>
          <t>Materials for 25 participants</t>
        </is>
      </c>
      <c r="C6" s="10" t="n">
        <v>450</v>
      </c>
      <c r="D6" s="8">
        <f>C6*53.22</f>
        <v/>
      </c>
      <c r="E6" s="9">
        <f>C6/25</f>
        <v/>
      </c>
      <c r="F6" s="26" t="inlineStr"/>
      <c r="G6" s="11" t="inlineStr">
        <is>
          <t>In the financial model</t>
        </is>
      </c>
    </row>
    <row r="7" ht="22" customHeight="1">
      <c r="B7" s="15" t="inlineStr">
        <is>
          <t>Showcase and bazaar</t>
        </is>
      </c>
      <c r="C7" s="10" t="n">
        <v>300</v>
      </c>
      <c r="D7" s="8">
        <f>C7*53.22</f>
        <v/>
      </c>
      <c r="E7" s="9">
        <f>C7/25</f>
        <v/>
      </c>
      <c r="F7" s="26" t="inlineStr"/>
      <c r="G7" s="11" t="inlineStr">
        <is>
          <t>In the financial model</t>
        </is>
      </c>
    </row>
    <row r="8" ht="24.8" customHeight="1">
      <c r="B8" s="15" t="inlineStr">
        <is>
          <t>Intercity transport: three people, return</t>
        </is>
      </c>
      <c r="C8" s="10" t="n">
        <v>35</v>
      </c>
      <c r="D8" s="8">
        <f>C8*53.22</f>
        <v/>
      </c>
      <c r="E8" s="9">
        <f>C8/25</f>
        <v/>
      </c>
      <c r="F8" s="27" t="inlineStr">
        <is>
          <t>Field</t>
        </is>
      </c>
      <c r="G8" s="11" t="inlineStr">
        <is>
          <t>Two facilitators and a coordinator, about EGP 600 each return</t>
        </is>
      </c>
    </row>
    <row r="9" ht="22" customHeight="1">
      <c r="B9" s="15" t="inlineStr">
        <is>
          <t>Local transport for six delivery days</t>
        </is>
      </c>
      <c r="C9" s="10" t="n">
        <v>20</v>
      </c>
      <c r="D9" s="8">
        <f>C9*53.22</f>
        <v/>
      </c>
      <c r="E9" s="9">
        <f>C9/25</f>
        <v/>
      </c>
      <c r="F9" s="27" t="inlineStr">
        <is>
          <t>Field</t>
        </is>
      </c>
      <c r="G9" s="11" t="inlineStr">
        <is>
          <t>About EGP 150 a day across the team</t>
        </is>
      </c>
    </row>
    <row r="10" ht="24.8" customHeight="1">
      <c r="B10" s="15" t="inlineStr">
        <is>
          <t>Accommodation: two rooms, seven nights</t>
        </is>
      </c>
      <c r="C10" s="10" t="n">
        <v>240</v>
      </c>
      <c r="D10" s="8">
        <f>C10*53.22</f>
        <v/>
      </c>
      <c r="E10" s="9">
        <f>C10/25</f>
        <v/>
      </c>
      <c r="F10" s="27" t="inlineStr">
        <is>
          <t>Field</t>
        </is>
      </c>
      <c r="G10" s="11" t="inlineStr">
        <is>
          <t>About EGP 900 a room a night, outside the home governorate</t>
        </is>
      </c>
    </row>
    <row r="11" ht="24.8" customHeight="1">
      <c r="B11" s="15" t="inlineStr">
        <is>
          <t>Daily allowance: three people, eight days</t>
        </is>
      </c>
      <c r="C11" s="10" t="n">
        <v>180</v>
      </c>
      <c r="D11" s="8">
        <f>C11*53.22</f>
        <v/>
      </c>
      <c r="E11" s="9">
        <f>C11/25</f>
        <v/>
      </c>
      <c r="F11" s="27" t="inlineStr">
        <is>
          <t>Field</t>
        </is>
      </c>
      <c r="G11" s="11" t="inlineStr">
        <is>
          <t>EGP 400 a person a day, paid in advance, not reimbursed after</t>
        </is>
      </c>
    </row>
    <row r="12" ht="22" customHeight="1">
      <c r="B12" s="15" t="inlineStr">
        <is>
          <t>Shipping the materials to the governorate</t>
        </is>
      </c>
      <c r="C12" s="10" t="n">
        <v>10</v>
      </c>
      <c r="D12" s="8">
        <f>C12*53.22</f>
        <v/>
      </c>
      <c r="E12" s="9">
        <f>C12/25</f>
        <v/>
      </c>
      <c r="F12" s="27" t="inlineStr">
        <is>
          <t>Field</t>
        </is>
      </c>
      <c r="G12" s="11" t="inlineStr"/>
    </row>
    <row r="13" ht="24.8" customHeight="1">
      <c r="B13" s="15" t="inlineStr">
        <is>
          <t>Venue and catering, where the host does not donate</t>
        </is>
      </c>
      <c r="C13" s="10" t="n">
        <v>260</v>
      </c>
      <c r="D13" s="8">
        <f>C13*53.22</f>
        <v/>
      </c>
      <c r="E13" s="9">
        <f>C13/25</f>
        <v/>
      </c>
      <c r="F13" s="27" t="inlineStr">
        <is>
          <t>Field</t>
        </is>
      </c>
      <c r="G13" s="11" t="inlineStr">
        <is>
          <t>A university usually donates the room. A youth centre usually does not</t>
        </is>
      </c>
    </row>
    <row r="14" ht="22" customHeight="1">
      <c r="B14" s="15" t="inlineStr">
        <is>
          <t>Facilitator certification and quality assurance</t>
        </is>
      </c>
      <c r="C14" s="10" t="n">
        <v>230</v>
      </c>
      <c r="D14" s="8">
        <f>C14*53.22</f>
        <v/>
      </c>
      <c r="E14" s="9">
        <f>C14/25</f>
        <v/>
      </c>
      <c r="F14" s="26" t="inlineStr"/>
      <c r="G14" s="11" t="inlineStr"/>
    </row>
    <row r="15" ht="22" customHeight="1">
      <c r="B15" s="15" t="inlineStr">
        <is>
          <t>Cohort reporting and showcase media</t>
        </is>
      </c>
      <c r="C15" s="10" t="n">
        <v>170</v>
      </c>
      <c r="D15" s="8">
        <f>C15*53.22</f>
        <v/>
      </c>
      <c r="E15" s="9">
        <f>C15/25</f>
        <v/>
      </c>
      <c r="F15" s="26" t="inlineStr"/>
      <c r="G15" s="11" t="inlineStr"/>
    </row>
    <row r="16" ht="24.8" customHeight="1">
      <c r="B16" s="15" t="inlineStr">
        <is>
          <t>Contingency</t>
        </is>
      </c>
      <c r="C16" s="10" t="n">
        <v>85</v>
      </c>
      <c r="D16" s="8">
        <f>C16*53.22</f>
        <v/>
      </c>
      <c r="E16" s="9">
        <f>C16/25</f>
        <v/>
      </c>
      <c r="F16" s="26" t="inlineStr"/>
      <c r="G16" s="11" t="inlineStr">
        <is>
          <t>A cohort that has to be moved a week costs money nobody budgeted</t>
        </is>
      </c>
    </row>
    <row r="17">
      <c r="B17" s="12" t="inlineStr">
        <is>
          <t>Total per cohort</t>
        </is>
      </c>
      <c r="C17" s="13">
        <f>SUM(C5:C16)</f>
        <v/>
      </c>
      <c r="D17" s="14">
        <f>SUM(D5:D16)</f>
        <v/>
      </c>
      <c r="E17" s="24">
        <f>SUM(E5:E16)</f>
        <v/>
      </c>
    </row>
    <row r="19" ht="37.2" customHeight="1">
      <c r="B19" s="15" t="inlineStr">
        <is>
          <t>Of which direct cost, in the financial model</t>
        </is>
      </c>
      <c r="C19" s="28" t="n">
        <v>1770</v>
      </c>
      <c r="D19" s="8" t="n">
        <v>94199</v>
      </c>
      <c r="E19" s="16">
        <f>1770.0/3000.0</f>
        <v/>
      </c>
      <c r="G19" s="11" t="inlineStr">
        <is>
          <t>Facilitation, materials and the showcase. The same $1,770 the business plan carries for a university cohort, unchanged.</t>
        </is>
      </c>
    </row>
    <row r="20" ht="49.6" customHeight="1">
      <c r="B20" s="15" t="inlineStr">
        <is>
          <t>Of which field operations</t>
        </is>
      </c>
      <c r="C20" s="28" t="n">
        <v>745</v>
      </c>
      <c r="D20" s="8" t="n">
        <v>39649</v>
      </c>
      <c r="E20" s="16">
        <f>745.0/3000.0</f>
        <v/>
      </c>
      <c r="G20" s="11" t="inlineStr">
        <is>
          <t>Transport, accommodation, the daily allowance, local transport, shipping and the venue where the host does not donate one. This is the line that decides whether a governorate programme happens.</t>
        </is>
      </c>
    </row>
    <row r="21" ht="24.8" customHeight="1">
      <c r="B21" s="15" t="inlineStr">
        <is>
          <t>Of which everything else</t>
        </is>
      </c>
      <c r="C21" s="28" t="n">
        <v>485</v>
      </c>
      <c r="D21" s="8" t="n">
        <v>25812</v>
      </c>
      <c r="E21" s="16">
        <f>485.0/3000.0</f>
        <v/>
      </c>
      <c r="G21" s="11" t="inlineStr">
        <is>
          <t>Certification and quality assurance, cohort reporting and contingency.</t>
        </is>
      </c>
    </row>
    <row r="23">
      <c r="B23" s="3" t="inlineStr">
        <is>
          <t>THE FIELD RULES</t>
        </is>
      </c>
    </row>
    <row r="24" ht="37.2" customHeight="1">
      <c r="B24" s="29" t="inlineStr">
        <is>
          <t>The allowance is paid in advance</t>
        </is>
      </c>
      <c r="C24" s="30" t="inlineStr">
        <is>
          <t>EGP 400 a person a day, in hand before the team travels. A certified facilitator is a freelancer, not a salaried employee, and cannot float a week of expenses and wait for a reimbursement cycle. A programme that reimburses after the fact loses its best facilitators to whoever pays up front.</t>
        </is>
      </c>
    </row>
    <row r="25" ht="24.8" customHeight="1">
      <c r="B25" s="29" t="inlineStr">
        <is>
          <t>Travel is two facilitators and a coordinator</t>
        </is>
      </c>
      <c r="C25" s="30" t="inlineStr">
        <is>
          <t>Two facilitators deliver and one coordinator runs the room, the venue, the host relationship and the showcase. Sending two people and asking one of them to coordinate is how cohorts fail in week one.</t>
        </is>
      </c>
    </row>
    <row r="26" ht="24.8" customHeight="1">
      <c r="B26" s="29" t="inlineStr">
        <is>
          <t>Eight days away for six delivery days</t>
        </is>
      </c>
      <c r="C26" s="30" t="inlineStr">
        <is>
          <t>A travel day each side. Pretending a team can arrive and deliver the same morning is the commonest way a governorate budget turns out to be wrong.</t>
        </is>
      </c>
    </row>
    <row r="27" ht="37.2" customHeight="1">
      <c r="B27" s="29" t="inlineStr">
        <is>
          <t>The venue is the first thing to ask the host for</t>
        </is>
      </c>
      <c r="C27" s="30" t="inlineStr">
        <is>
          <t>A university or a corporate branch donating the room takes $260 off the cohort, which goes straight back into founders sponsored. This is the single highest-value item on the in-kind menu for a governorate partner.</t>
        </is>
      </c>
    </row>
    <row r="28" ht="49.6" customHeight="1">
      <c r="B28" s="29" t="inlineStr">
        <is>
          <t>Recruit facilitators where the cohorts are</t>
        </is>
      </c>
      <c r="C28" s="30" t="inlineStr">
        <is>
          <t>Every facilitator certified in Assiut removes the travel, the accommodation and most of the allowance from every cohort they run. The certification programme is targeted at the governorates with the most cohorts for exactly this reason, and it is why the second wave costs less per founder than the first.</t>
        </is>
      </c>
    </row>
    <row r="30" ht="44" customHeight="1">
      <c r="B30" s="23" t="inlineStr">
        <is>
          <t>A commercial university cohort sells for $3,500 in the financial model. A sponsored one costs $3,000 because there is no margin in it and no institutional reporting layer, and because the host is asked for the room. Where the room is donated, $260 goes back into founders sponsored rather than into a surplus.</t>
        </is>
      </c>
    </row>
  </sheetData>
  <mergeCells count="8">
    <mergeCell ref="A2:F2"/>
    <mergeCell ref="C24:G24"/>
    <mergeCell ref="A1:F1"/>
    <mergeCell ref="C25:G25"/>
    <mergeCell ref="C28:G28"/>
    <mergeCell ref="C27:G27"/>
    <mergeCell ref="B30:G30"/>
    <mergeCell ref="C26:G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3" customWidth="1" min="1" max="1"/>
    <col width="34" customWidth="1" min="2" max="2"/>
    <col width="11" customWidth="1" min="3" max="3"/>
    <col width="12" customWidth="1" min="4" max="4"/>
    <col width="13" customWidth="1" min="5" max="5"/>
    <col width="15" customWidth="1" min="6" max="6"/>
    <col width="22" customWidth="1" min="7" max="7"/>
    <col width="48" customWidth="1" min="8" max="8"/>
  </cols>
  <sheetData>
    <row r="1" ht="28" customHeight="1">
      <c r="A1" s="1" t="inlineStr">
        <is>
          <t>Every event the initiative runs</t>
        </is>
      </c>
    </row>
    <row r="2" ht="19" customHeight="1">
      <c r="A2" s="2" t="inlineStr">
        <is>
          <t>The cohorts are not here: they are the delivery line. These are the events around them.</t>
        </is>
      </c>
    </row>
    <row r="4" ht="28" customHeight="1">
      <c r="B4" s="6" t="inlineStr">
        <is>
          <t>Event</t>
        </is>
      </c>
      <c r="C4" s="6" t="inlineStr">
        <is>
          <t>How many</t>
        </is>
      </c>
      <c r="D4" s="6" t="inlineStr">
        <is>
          <t>Each</t>
        </is>
      </c>
      <c r="E4" s="6" t="inlineStr">
        <is>
          <t>USD</t>
        </is>
      </c>
      <c r="F4" s="6" t="inlineStr">
        <is>
          <t>EGP</t>
        </is>
      </c>
      <c r="G4" s="6" t="inlineStr">
        <is>
          <t>When</t>
        </is>
      </c>
      <c r="H4" s="6" t="inlineStr">
        <is>
          <t>What it is for</t>
        </is>
      </c>
    </row>
    <row r="5" ht="62" customHeight="1">
      <c r="B5" s="15" t="inlineStr">
        <is>
          <t>National launch, Cairo</t>
        </is>
      </c>
      <c r="C5" s="8" t="n">
        <v>1</v>
      </c>
      <c r="D5" s="10" t="n">
        <v>6000</v>
      </c>
      <c r="E5" s="28">
        <f>C5*D5</f>
        <v/>
      </c>
      <c r="F5" s="8">
        <f>E5*53.22</f>
        <v/>
      </c>
      <c r="G5" s="31" t="inlineStr">
        <is>
          <t>March 2027</t>
        </is>
      </c>
      <c r="H5" s="11" t="inlineStr">
        <is>
          <t>The coalition on stage, the patron ministries present, the press in the room. Nothing is announced until three Founding Partners have signed, so this event is the proof the coalition exists.</t>
        </is>
      </c>
    </row>
    <row r="6" ht="62" customHeight="1">
      <c r="B6" s="15" t="inlineStr">
        <is>
          <t>Chapter activation visits</t>
        </is>
      </c>
      <c r="C6" s="8" t="n">
        <v>40</v>
      </c>
      <c r="D6" s="10" t="n">
        <v>175</v>
      </c>
      <c r="E6" s="28">
        <f>C6*D6</f>
        <v/>
      </c>
      <c r="F6" s="8">
        <f>E6*53.22</f>
        <v/>
      </c>
      <c r="G6" s="31" t="inlineStr">
        <is>
          <t>March to April 2027</t>
        </is>
      </c>
      <c r="H6" s="11" t="inlineStr">
        <is>
          <t>150 chapters, visited in 40 clustered trips. A chapter that has been visited activates. A chapter that has only been emailed does not, and that is the whole difference between 150 chapters and 40.</t>
        </is>
      </c>
    </row>
    <row r="7" ht="37.2" customHeight="1">
      <c r="B7" s="15" t="inlineStr">
        <is>
          <t>Campus awareness sessions</t>
        </is>
      </c>
      <c r="C7" s="8" t="n">
        <v>60</v>
      </c>
      <c r="D7" s="10" t="n">
        <v>90</v>
      </c>
      <c r="E7" s="28">
        <f>C7*D7</f>
        <v/>
      </c>
      <c r="F7" s="8">
        <f>E7*53.22</f>
        <v/>
      </c>
      <c r="G7" s="31" t="inlineStr">
        <is>
          <t>March to May 2027</t>
        </is>
      </c>
      <c r="H7" s="11" t="inlineStr">
        <is>
          <t>An hour on a campus, run with the chapter, that turns a poster into registrations. Five per governorate.</t>
        </is>
      </c>
    </row>
    <row r="8" ht="37.2" customHeight="1">
      <c r="B8" s="15" t="inlineStr">
        <is>
          <t>Governorate partner and host meetings</t>
        </is>
      </c>
      <c r="C8" s="8" t="n">
        <v>36</v>
      </c>
      <c r="D8" s="10" t="n">
        <v>220</v>
      </c>
      <c r="E8" s="28">
        <f>C8*D8</f>
        <v/>
      </c>
      <c r="F8" s="8">
        <f>E8*53.22</f>
        <v/>
      </c>
      <c r="G8" s="31" t="inlineStr">
        <is>
          <t>March to August 2027</t>
        </is>
      </c>
      <c r="H8" s="11" t="inlineStr">
        <is>
          <t>Twelve governorates, three visits each: open the relationship, agree the venues, run the showcase.</t>
        </is>
      </c>
    </row>
    <row r="9" ht="37.2" customHeight="1">
      <c r="B9" s="15" t="inlineStr">
        <is>
          <t>Governorate showcases</t>
        </is>
      </c>
      <c r="C9" s="8" t="n">
        <v>6</v>
      </c>
      <c r="D9" s="10" t="n">
        <v>1700</v>
      </c>
      <c r="E9" s="28">
        <f>C9*D9</f>
        <v/>
      </c>
      <c r="F9" s="8">
        <f>E9*53.22</f>
        <v/>
      </c>
      <c r="G9" s="31" t="inlineStr">
        <is>
          <t>May to July 2027</t>
        </is>
      </c>
      <c r="H9" s="11" t="inlineStr">
        <is>
          <t>Venue, judges' travel, prizes and media. Six of them, in the governorates carrying the most cohorts.</t>
        </is>
      </c>
    </row>
    <row r="10" ht="37.2" customHeight="1">
      <c r="B10" s="15" t="inlineStr">
        <is>
          <t>Partner council meetings</t>
        </is>
      </c>
      <c r="C10" s="8" t="n">
        <v>6</v>
      </c>
      <c r="D10" s="10" t="n">
        <v>200</v>
      </c>
      <c r="E10" s="28">
        <f>C10*D10</f>
        <v/>
      </c>
      <c r="F10" s="8">
        <f>E10*53.22</f>
        <v/>
      </c>
      <c r="G10" s="31" t="inlineStr">
        <is>
          <t>Monthly</t>
        </is>
      </c>
      <c r="H10" s="11" t="inlineStr">
        <is>
          <t>One hour, one dashboard, and the room where partners meet each other, which several of them will value more than the reporting.</t>
        </is>
      </c>
    </row>
    <row r="11" ht="37.2" customHeight="1">
      <c r="B11" s="15" t="inlineStr">
        <is>
          <t>Judge and mentor briefings</t>
        </is>
      </c>
      <c r="C11" s="8" t="n">
        <v>4</v>
      </c>
      <c r="D11" s="10" t="n">
        <v>150</v>
      </c>
      <c r="E11" s="28">
        <f>C11*D11</f>
        <v/>
      </c>
      <c r="F11" s="8">
        <f>E11*53.22</f>
        <v/>
      </c>
      <c r="G11" s="31" t="inlineStr">
        <is>
          <t>Before each showcase wave</t>
        </is>
      </c>
      <c r="H11" s="11" t="inlineStr">
        <is>
          <t>Sponsor staff cannot judge well without being briefed, and a badly judged showcase costs a renewal.</t>
        </is>
      </c>
    </row>
    <row r="12">
      <c r="B12" s="12" t="inlineStr">
        <is>
          <t>Total events and field activation</t>
        </is>
      </c>
      <c r="E12" s="13">
        <f>SUM(E5:E11)</f>
        <v/>
      </c>
      <c r="F12" s="14">
        <f>SUM(F5:F11)</f>
        <v/>
      </c>
    </row>
    <row r="14" ht="46" customHeight="1">
      <c r="B14" s="23" t="inlineStr">
        <is>
          <t>That is $1.91 of every sponsored founder's $5.00, and it is the second largest line in the whole budget after delivery. It is also the line most likely to be cut by somebody reading quickly, which would be a mistake: a chapter that has been visited activates and a chapter that has only been emailed does not.</t>
        </is>
      </c>
    </row>
    <row r="15" ht="46" customHeight="1">
      <c r="B15" s="23" t="inlineStr">
        <is>
          <t>In addition to these, 30 in-person cohorts each end with their own showcase for the participants and the host institution. Those sit inside the $3,000 cohort cost, not here.</t>
        </is>
      </c>
    </row>
  </sheetData>
  <mergeCells count="4">
    <mergeCell ref="B14:H14"/>
    <mergeCell ref="A2:G2"/>
    <mergeCell ref="A1:G1"/>
    <mergeCell ref="B15:H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30" customWidth="1" min="2" max="2"/>
    <col width="14" customWidth="1" min="3" max="3"/>
    <col width="2" customWidth="1" min="4" max="4"/>
    <col width="2" customWidth="1" min="5" max="5"/>
    <col width="2" customWidth="1" min="6" max="6"/>
    <col width="86" customWidth="1" min="7" max="7"/>
  </cols>
  <sheetData>
    <row r="1" ht="28" customHeight="1">
      <c r="A1" s="1" t="inlineStr">
        <is>
          <t>Reach to registered to sponsored to trading</t>
        </is>
      </c>
    </row>
    <row r="2" ht="19" customHeight="1">
      <c r="A2" s="2" t="inlineStr">
        <is>
          <t>The free tier is driven by reach, because it costs almost nothing a head. Everything below it is driven by the budget, because it does not.</t>
        </is>
      </c>
    </row>
    <row r="4">
      <c r="B4" s="3" t="inlineStr">
        <is>
          <t>WHERE THE REACH COMES FROM</t>
        </is>
      </c>
    </row>
    <row r="5" ht="28" customHeight="1">
      <c r="B5" s="6" t="inlineStr">
        <is>
          <t>Channel</t>
        </is>
      </c>
      <c r="C5" s="6" t="inlineStr">
        <is>
          <t>Partners</t>
        </is>
      </c>
      <c r="D5" s="6" t="inlineStr">
        <is>
          <t>Reach each</t>
        </is>
      </c>
      <c r="E5" s="6" t="inlineStr">
        <is>
          <t>Register</t>
        </is>
      </c>
      <c r="F5" s="6" t="inlineStr">
        <is>
          <t>Reached</t>
        </is>
      </c>
      <c r="G5" s="6" t="inlineStr">
        <is>
          <t>Why</t>
        </is>
      </c>
    </row>
    <row r="6" ht="49.6" customHeight="1">
      <c r="B6" s="15" t="inlineStr">
        <is>
          <t>Community supporter chapters</t>
        </is>
      </c>
      <c r="C6" s="8" t="n">
        <v>150</v>
      </c>
      <c r="D6" s="8" t="n">
        <v>3000</v>
      </c>
      <c r="E6" s="32" t="n">
        <v>0.22</v>
      </c>
      <c r="F6" s="33">
        <f>C6*D6</f>
        <v/>
      </c>
      <c r="G6" s="11" t="inlineStr">
        <is>
          <t>150 university and youth chapters, each reaching about 3,000 members and fellow students. The highest converting channel because the invitation comes from someone the student already knows.</t>
        </is>
      </c>
    </row>
    <row r="7" ht="37.2" customHeight="1">
      <c r="B7" s="15" t="inlineStr">
        <is>
          <t>CSR sponsor channels</t>
        </is>
      </c>
      <c r="C7" s="8" t="n">
        <v>24</v>
      </c>
      <c r="D7" s="8" t="n">
        <v>20000</v>
      </c>
      <c r="E7" s="32" t="n">
        <v>0.12</v>
      </c>
      <c r="F7" s="33">
        <f>C7*D7</f>
        <v/>
      </c>
      <c r="G7" s="11" t="inlineStr">
        <is>
          <t>24 sponsors reaching their own employees, customers, retail networks, social audiences and foundation beneficiaries.</t>
        </is>
      </c>
    </row>
    <row r="8" ht="24.8" customHeight="1">
      <c r="B8" s="15" t="inlineStr">
        <is>
          <t>NGO and development partner networks</t>
        </is>
      </c>
      <c r="C8" s="8" t="n">
        <v>18</v>
      </c>
      <c r="D8" s="8" t="n">
        <v>10000</v>
      </c>
      <c r="E8" s="32" t="n">
        <v>0.16</v>
      </c>
      <c r="F8" s="33">
        <f>C8*D8</f>
        <v/>
      </c>
      <c r="G8" s="11" t="inlineStr">
        <is>
          <t>18 partners reaching their branch networks, beneficiary lists and governorate programmes, mostly outside Cairo.</t>
        </is>
      </c>
    </row>
    <row r="9" ht="24.8" customHeight="1">
      <c r="B9" s="15" t="inlineStr">
        <is>
          <t>Mission Zero, press and organic</t>
        </is>
      </c>
      <c r="C9" s="8" t="n">
        <v>1</v>
      </c>
      <c r="D9" s="8" t="n">
        <v>90000</v>
      </c>
      <c r="E9" s="32" t="n">
        <v>0.14</v>
      </c>
      <c r="F9" s="33">
        <f>C9*D9</f>
        <v/>
      </c>
      <c r="G9" s="11" t="inlineStr">
        <is>
          <t>The founder podcast, launch and showcase press, and organic traffic to the platform.</t>
        </is>
      </c>
    </row>
    <row r="10">
      <c r="B10" s="12" t="inlineStr">
        <is>
          <t>Total reached</t>
        </is>
      </c>
      <c r="F10" s="14">
        <f>SUM(F6:F9)</f>
        <v/>
      </c>
    </row>
    <row r="12">
      <c r="B12" s="3" t="inlineStr">
        <is>
          <t>THE FUNNEL</t>
        </is>
      </c>
    </row>
    <row r="13" ht="28" customHeight="1">
      <c r="B13" s="6" t="inlineStr">
        <is>
          <t>Stage</t>
        </is>
      </c>
      <c r="C13" s="6" t="inlineStr">
        <is>
          <t>Wave 1</t>
        </is>
      </c>
      <c r="D13" s="6" t="inlineStr"/>
      <c r="E13" s="6" t="inlineStr"/>
      <c r="F13" s="6" t="inlineStr"/>
      <c r="G13" s="6" t="inlineStr">
        <is>
          <t>What it means</t>
        </is>
      </c>
    </row>
    <row r="14" ht="22" customHeight="1">
      <c r="B14" s="15" t="inlineStr">
        <is>
          <t>People reached</t>
        </is>
      </c>
      <c r="C14" s="34" t="n">
        <v>1200000</v>
      </c>
      <c r="G14" s="11" t="inlineStr">
        <is>
          <t>Sum of every channel's reach, before anybody registers.</t>
        </is>
      </c>
    </row>
    <row r="15" ht="22" customHeight="1">
      <c r="B15" s="15" t="inlineStr">
        <is>
          <t>Registered founders</t>
        </is>
      </c>
      <c r="C15" s="34" t="n">
        <v>198000</v>
      </c>
      <c r="G15" s="11" t="inlineStr">
        <is>
          <t>Accounts created on the platform during the wave.</t>
        </is>
      </c>
    </row>
    <row r="16" ht="22" customHeight="1">
      <c r="B16" s="15" t="inlineStr">
        <is>
          <t>Mission 01 completed</t>
        </is>
      </c>
      <c r="C16" s="34" t="n">
        <v>104940</v>
      </c>
      <c r="G16" s="11" t="inlineStr">
        <is>
          <t>The first real act of work, and the first honest number.</t>
        </is>
      </c>
    </row>
    <row r="17" ht="22" customHeight="1">
      <c r="B17" s="15" t="inlineStr">
        <is>
          <t>Missions 01 to 03 completed</t>
        </is>
      </c>
      <c r="C17" s="34" t="n">
        <v>58766</v>
      </c>
      <c r="G17" s="11" t="inlineStr">
        <is>
          <t>The end of the free tier, and the ceiling on what sponsorship can buy.</t>
        </is>
      </c>
    </row>
    <row r="18" ht="22" customHeight="1">
      <c r="B18" s="15" t="inlineStr">
        <is>
          <t>Sponsored full journeys, all 15 missions</t>
        </is>
      </c>
      <c r="C18" s="34" t="n">
        <v>20100</v>
      </c>
      <c r="G18" s="11" t="inlineStr">
        <is>
          <t>What the coalition buys at 50% fill, at $5.00 a founder.</t>
        </is>
      </c>
    </row>
    <row r="19" ht="22" customHeight="1">
      <c r="B19" s="15" t="inlineStr">
        <is>
          <t>In-person cohort seats</t>
        </is>
      </c>
      <c r="C19" s="34" t="n">
        <v>750</v>
      </c>
      <c r="G19" s="11" t="inlineStr">
        <is>
          <t>Delivered in cohorts of 25, with certified facilitators.</t>
        </is>
      </c>
    </row>
    <row r="20" ht="22" customHeight="1">
      <c r="B20" s="15" t="inlineStr">
        <is>
          <t>Cohorts run</t>
        </is>
      </c>
      <c r="C20" s="34" t="n">
        <v>30</v>
      </c>
      <c r="G20" s="11" t="inlineStr">
        <is>
          <t>Each one is six days, a room, two facilitators and a showcase, at $3,000.</t>
        </is>
      </c>
    </row>
    <row r="21" ht="22" customHeight="1">
      <c r="B21" s="15" t="inlineStr">
        <is>
          <t>Ideas in the bank</t>
        </is>
      </c>
      <c r="C21" s="34" t="n">
        <v>71359</v>
      </c>
      <c r="G21" s="11" t="inlineStr">
        <is>
          <t>Consented, structured, and the asset the wave leaves behind.</t>
        </is>
      </c>
    </row>
    <row r="22" ht="22" customHeight="1">
      <c r="B22" s="15" t="inlineStr">
        <is>
          <t>Ventures trading at month 12</t>
        </is>
      </c>
      <c r="C22" s="34" t="n">
        <v>2010</v>
      </c>
      <c r="G22" s="11" t="inlineStr">
        <is>
          <t>Measured twelve months after the wave closes, not at the end of it.</t>
        </is>
      </c>
    </row>
    <row r="24">
      <c r="B24" s="3" t="inlineStr">
        <is>
          <t>THE RATES, AND WHY EACH ONE</t>
        </is>
      </c>
    </row>
    <row r="25" ht="28" customHeight="1">
      <c r="B25" s="6" t="inlineStr">
        <is>
          <t>Rate</t>
        </is>
      </c>
      <c r="C25" s="6" t="inlineStr">
        <is>
          <t>Assumed</t>
        </is>
      </c>
      <c r="D25" s="6" t="inlineStr"/>
      <c r="E25" s="6" t="inlineStr"/>
      <c r="F25" s="6" t="inlineStr"/>
      <c r="G25" s="6" t="inlineStr">
        <is>
          <t>Why</t>
        </is>
      </c>
    </row>
    <row r="26" ht="24.8" customHeight="1">
      <c r="B26" s="15" t="inlineStr">
        <is>
          <t>Registered account to Mission 01 complete</t>
        </is>
      </c>
      <c r="C26" s="35" t="n">
        <v>0.53</v>
      </c>
      <c r="G26" s="11" t="inlineStr">
        <is>
          <t>The free first three missions are the filter. Roughly half of registrations finish the first one.</t>
        </is>
      </c>
    </row>
    <row r="27" ht="22" customHeight="1">
      <c r="B27" s="15" t="inlineStr">
        <is>
          <t>Mission 01 complete to Missions 01-03 complete</t>
        </is>
      </c>
      <c r="C27" s="35" t="n">
        <v>0.5600000000000001</v>
      </c>
      <c r="G27" s="11" t="inlineStr">
        <is>
          <t>The free tier ends here. This is the honest conversion from curiosity to effort.</t>
        </is>
      </c>
    </row>
    <row r="28" ht="22" customHeight="1">
      <c r="B28" s="15" t="inlineStr">
        <is>
          <t>Ideas entering the bank, as a share of Mission 01 completers</t>
        </is>
      </c>
      <c r="C28" s="35" t="n">
        <v>0.68</v>
      </c>
      <c r="G28" s="11" t="inlineStr">
        <is>
          <t>Mission 01 is where a problem becomes a stated idea.</t>
        </is>
      </c>
    </row>
    <row r="29" ht="24.8" customHeight="1">
      <c r="B29" s="15" t="inlineStr">
        <is>
          <t>Ventures trading at month 12, as a share of sponsored journeys</t>
        </is>
      </c>
      <c r="C29" s="35" t="n">
        <v>0.1</v>
      </c>
      <c r="G29" s="11" t="inlineStr">
        <is>
          <t>The number that matters and the one nobody else reports. Ten per cent is deliberately conservative.</t>
        </is>
      </c>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showGridLines="0" workbookViewId="0">
      <selection activeCell="A1" sqref="A1"/>
    </sheetView>
  </sheetViews>
  <sheetFormatPr baseColWidth="8" defaultRowHeight="15"/>
  <cols>
    <col width="3" customWidth="1" min="1" max="1"/>
    <col width="34" customWidth="1" min="2" max="2"/>
    <col width="12" customWidth="1" min="3" max="3"/>
    <col width="12" customWidth="1" min="4" max="4"/>
    <col width="12" customWidth="1" min="5" max="5"/>
    <col width="12" customWidth="1" min="6" max="6"/>
    <col width="12" customWidth="1" min="7" max="7"/>
    <col width="12" customWidth="1" min="8" max="8"/>
    <col width="14" customWidth="1" min="9" max="9"/>
  </cols>
  <sheetData>
    <row r="1" ht="28" customHeight="1">
      <c r="A1" s="1" t="inlineStr">
        <is>
          <t>When the money actually leaves</t>
        </is>
      </c>
    </row>
    <row r="2" ht="19" customHeight="1">
      <c r="A2" s="2" t="inlineStr">
        <is>
          <t>Not evenly. The launch, the content and most of the chapter activation happen before a single cohort runs, which is a cash-flow problem as much as a budget one.</t>
        </is>
      </c>
    </row>
    <row r="4" ht="28" customHeight="1">
      <c r="B4" s="6" t="inlineStr">
        <is>
          <t>Line</t>
        </is>
      </c>
      <c r="C4" s="6" t="inlineStr">
        <is>
          <t>Month 1
March</t>
        </is>
      </c>
      <c r="D4" s="6" t="inlineStr">
        <is>
          <t>Month 2
April</t>
        </is>
      </c>
      <c r="E4" s="6" t="inlineStr">
        <is>
          <t>Month 3
May</t>
        </is>
      </c>
      <c r="F4" s="6" t="inlineStr">
        <is>
          <t>Month 4
June</t>
        </is>
      </c>
      <c r="G4" s="6" t="inlineStr">
        <is>
          <t>Month 5
July</t>
        </is>
      </c>
      <c r="H4" s="6" t="inlineStr">
        <is>
          <t>Month 6
August</t>
        </is>
      </c>
      <c r="I4" s="6" t="inlineStr">
        <is>
          <t>Total</t>
        </is>
      </c>
    </row>
    <row r="5" ht="26" customHeight="1">
      <c r="B5" s="15" t="inlineStr">
        <is>
          <t>Delivery: 30 in-person cohorts at $3,000</t>
        </is>
      </c>
      <c r="C5" s="10" t="n">
        <v>4500</v>
      </c>
      <c r="D5" s="10" t="n">
        <v>27900</v>
      </c>
      <c r="E5" s="10" t="n">
        <v>6300.000000000001</v>
      </c>
      <c r="F5" s="10" t="n">
        <v>23400</v>
      </c>
      <c r="G5" s="10" t="n">
        <v>27900</v>
      </c>
      <c r="H5" s="10" t="n">
        <v>0</v>
      </c>
      <c r="I5" s="28">
        <f>SUM(C5:H5)</f>
        <v/>
      </c>
    </row>
    <row r="6" ht="26" customHeight="1">
      <c r="B6" s="15" t="inlineStr">
        <is>
          <t>Events and field activation</t>
        </is>
      </c>
      <c r="C6" s="10" t="n">
        <v>13028.8</v>
      </c>
      <c r="D6" s="10" t="n">
        <v>6897.599999999999</v>
      </c>
      <c r="E6" s="10" t="n">
        <v>3832</v>
      </c>
      <c r="F6" s="10" t="n">
        <v>3065.6</v>
      </c>
      <c r="G6" s="10" t="n">
        <v>5364.8</v>
      </c>
      <c r="H6" s="10" t="n">
        <v>6131.2</v>
      </c>
      <c r="I6" s="28">
        <f>SUM(C6:H6)</f>
        <v/>
      </c>
    </row>
    <row r="7" ht="26" customHeight="1">
      <c r="B7" s="15" t="inlineStr">
        <is>
          <t>Platform, AI review and infrastructure</t>
        </is>
      </c>
      <c r="C7" s="10" t="n">
        <v>4420</v>
      </c>
      <c r="D7" s="10" t="n">
        <v>4420</v>
      </c>
      <c r="E7" s="10" t="n">
        <v>4420</v>
      </c>
      <c r="F7" s="10" t="n">
        <v>4420</v>
      </c>
      <c r="G7" s="10" t="n">
        <v>4160</v>
      </c>
      <c r="H7" s="10" t="n">
        <v>4160</v>
      </c>
      <c r="I7" s="28">
        <f>SUM(C7:H7)</f>
        <v/>
      </c>
    </row>
    <row r="8" ht="26" customHeight="1">
      <c r="B8" s="15" t="inlineStr">
        <is>
          <t>Content, Arabic production and localisation</t>
        </is>
      </c>
      <c r="C8" s="10" t="n">
        <v>5625</v>
      </c>
      <c r="D8" s="10" t="n">
        <v>2500</v>
      </c>
      <c r="E8" s="10" t="n">
        <v>1250</v>
      </c>
      <c r="F8" s="10" t="n">
        <v>1250</v>
      </c>
      <c r="G8" s="10" t="n">
        <v>1250</v>
      </c>
      <c r="H8" s="10" t="n">
        <v>625</v>
      </c>
      <c r="I8" s="28">
        <f>SUM(C8:H8)</f>
        <v/>
      </c>
    </row>
    <row r="9" ht="26" customHeight="1">
      <c r="B9" s="15" t="inlineStr">
        <is>
          <t>Measurement, evaluation and reporting</t>
        </is>
      </c>
      <c r="C9" s="10" t="n">
        <v>900</v>
      </c>
      <c r="D9" s="10" t="n">
        <v>450</v>
      </c>
      <c r="E9" s="10" t="n">
        <v>1800</v>
      </c>
      <c r="F9" s="10" t="n">
        <v>450</v>
      </c>
      <c r="G9" s="10" t="n">
        <v>900</v>
      </c>
      <c r="H9" s="10" t="n">
        <v>4500</v>
      </c>
      <c r="I9" s="28">
        <f>SUM(C9:H9)</f>
        <v/>
      </c>
    </row>
    <row r="10" ht="26" customHeight="1">
      <c r="B10" s="15" t="inlineStr">
        <is>
          <t>Programme management and coordination</t>
        </is>
      </c>
      <c r="C10" s="10" t="n">
        <v>2495.6</v>
      </c>
      <c r="D10" s="10" t="n">
        <v>2495.6</v>
      </c>
      <c r="E10" s="10" t="n">
        <v>2495.6</v>
      </c>
      <c r="F10" s="10" t="n">
        <v>2495.6</v>
      </c>
      <c r="G10" s="10" t="n">
        <v>2348.8</v>
      </c>
      <c r="H10" s="10" t="n">
        <v>2348.8</v>
      </c>
      <c r="I10" s="28">
        <f>SUM(C10:H10)</f>
        <v/>
      </c>
    </row>
    <row r="11">
      <c r="B11" s="12" t="inlineStr">
        <is>
          <t>Total spend</t>
        </is>
      </c>
      <c r="C11" s="13">
        <f>SUM(C5:C10)</f>
        <v/>
      </c>
      <c r="D11" s="13">
        <f>SUM(D5:D10)</f>
        <v/>
      </c>
      <c r="E11" s="13">
        <f>SUM(E5:E10)</f>
        <v/>
      </c>
      <c r="F11" s="13">
        <f>SUM(F5:F10)</f>
        <v/>
      </c>
      <c r="G11" s="13">
        <f>SUM(G5:G10)</f>
        <v/>
      </c>
      <c r="H11" s="13">
        <f>SUM(H5:H10)</f>
        <v/>
      </c>
      <c r="I11" s="13">
        <f>SUM(I5:I10)</f>
        <v/>
      </c>
    </row>
    <row r="12">
      <c r="B12" s="7" t="inlineStr">
        <is>
          <t>Cumulative</t>
        </is>
      </c>
      <c r="C12" s="36">
        <f>SUM($C$11:C11)</f>
        <v/>
      </c>
      <c r="D12" s="36">
        <f>SUM($C$11:D11)</f>
        <v/>
      </c>
      <c r="E12" s="36">
        <f>SUM($C$11:E11)</f>
        <v/>
      </c>
      <c r="F12" s="36">
        <f>SUM($C$11:F11)</f>
        <v/>
      </c>
      <c r="G12" s="36">
        <f>SUM($C$11:G11)</f>
        <v/>
      </c>
      <c r="H12" s="36">
        <f>SUM($C$11:H11)</f>
        <v/>
      </c>
    </row>
    <row r="14" ht="46" customHeight="1">
      <c r="B14" s="23" t="inlineStr">
        <is>
          <t>Sponsorship is invoiced on signature, not on delivery. With roughly a third of the events budget spent in month one and the content budget before that, the coalition has to be signed and at least half invoiced before the launch. That is why the pre-wave months in the framework run from October 2026 and why nothing is announced until three Founding Partners have signed.</t>
        </is>
      </c>
    </row>
  </sheetData>
  <mergeCells count="3">
    <mergeCell ref="A1:I1"/>
    <mergeCell ref="B14:I14"/>
    <mergeCell ref="A2:I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8"/>
  <sheetViews>
    <sheetView showGridLines="0" workbookViewId="0">
      <selection activeCell="A1" sqref="A1"/>
    </sheetView>
  </sheetViews>
  <sheetFormatPr baseColWidth="8" defaultRowHeight="15"/>
  <cols>
    <col width="3" customWidth="1" min="1" max="1"/>
    <col width="36" customWidth="1" min="2" max="2"/>
    <col width="13" customWidth="1" min="3" max="3"/>
    <col width="2" customWidth="1" min="4" max="4"/>
    <col width="2" customWidth="1" min="5" max="5"/>
    <col width="89" customWidth="1" min="6" max="6"/>
  </cols>
  <sheetData>
    <row r="1" ht="28" customHeight="1">
      <c r="A1" s="1" t="inlineStr">
        <is>
          <t>What the company puts in, and what comes back</t>
        </is>
      </c>
    </row>
    <row r="2" ht="19" customHeight="1">
      <c r="A2" s="2" t="inlineStr">
        <is>
          <t>Wave 1 takes no margin from sponsorship. The return is somewhere else, and it is priced at the financial model's own prices.</t>
        </is>
      </c>
    </row>
    <row r="4">
      <c r="B4" s="3" t="inlineStr">
        <is>
          <t>WHAT STARTPAD PUTS IN, THAT THE BUDGET DOES NOT PAY FOR</t>
        </is>
      </c>
    </row>
    <row r="5" ht="28" customHeight="1">
      <c r="B5" s="6" t="inlineStr">
        <is>
          <t>Line</t>
        </is>
      </c>
      <c r="C5" s="6" t="inlineStr">
        <is>
          <t>USD</t>
        </is>
      </c>
      <c r="D5" s="6" t="inlineStr">
        <is>
          <t>EGP</t>
        </is>
      </c>
      <c r="E5" s="6" t="inlineStr"/>
      <c r="F5" s="6" t="inlineStr">
        <is>
          <t>What it is</t>
        </is>
      </c>
    </row>
    <row r="6" ht="37.2" customHeight="1">
      <c r="B6" s="15" t="inlineStr">
        <is>
          <t>Founder and executive time</t>
        </is>
      </c>
      <c r="C6" s="10" t="n">
        <v>8800</v>
      </c>
      <c r="D6" s="8">
        <f>C6*53.22</f>
        <v/>
      </c>
      <c r="F6" s="11" t="inlineStr">
        <is>
          <t>About 0.4 of a full-time equivalent across the chief executive and chief commercial officer for eleven months, at the capped salaries in the financial model.</t>
        </is>
      </c>
    </row>
    <row r="7" ht="24.8" customHeight="1">
      <c r="B7" s="15" t="inlineStr">
        <is>
          <t>Platform engineering for the initiative</t>
        </is>
      </c>
      <c r="C7" s="10" t="n">
        <v>9000</v>
      </c>
      <c r="D7" s="8">
        <f>C7*53.22</f>
        <v/>
      </c>
      <c r="F7" s="11" t="inlineStr">
        <is>
          <t>Bulk provisioning, the partner dashboard, the consent flow and the ideas bank aggregation. Built for this and kept afterwards.</t>
        </is>
      </c>
    </row>
    <row r="8" ht="37.2" customHeight="1">
      <c r="B8" s="15" t="inlineStr">
        <is>
          <t>Coalition building before any money arrives</t>
        </is>
      </c>
      <c r="C8" s="10" t="n">
        <v>9400</v>
      </c>
      <c r="D8" s="8">
        <f>C8*53.22</f>
        <v/>
      </c>
      <c r="F8" s="11" t="inlineStr">
        <is>
          <t>October 2026 to February 2027. Five months of approaches, memoranda and charters, funded by the company because sponsorship cannot be spent before it is raised.</t>
        </is>
      </c>
    </row>
    <row r="9">
      <c r="B9" s="12" t="inlineStr">
        <is>
          <t>Total invested</t>
        </is>
      </c>
      <c r="C9" s="13">
        <f>SUM(C6:C8)</f>
        <v/>
      </c>
      <c r="D9" s="14">
        <f>SUM(D6:D8)</f>
        <v/>
      </c>
    </row>
    <row r="11">
      <c r="B11" s="3" t="inlineStr">
        <is>
          <t>WHAT COMES BACK IN THE TWELVE MONTHS AFTER THE WAVE</t>
        </is>
      </c>
    </row>
    <row r="12" ht="28" customHeight="1">
      <c r="B12" s="6" t="inlineStr">
        <is>
          <t>Line</t>
        </is>
      </c>
      <c r="C12" s="6" t="inlineStr">
        <is>
          <t>USD</t>
        </is>
      </c>
      <c r="D12" s="6" t="inlineStr">
        <is>
          <t>EGP</t>
        </is>
      </c>
      <c r="E12" s="6" t="inlineStr"/>
      <c r="F12" s="6" t="inlineStr">
        <is>
          <t>How it is counted</t>
        </is>
      </c>
    </row>
    <row r="13" ht="24" customHeight="1">
      <c r="B13" s="15" t="inlineStr">
        <is>
          <t>Pro subscriptions from 38,666 unsponsored completers</t>
        </is>
      </c>
      <c r="C13" s="28" t="n">
        <v>23199.84000000001</v>
      </c>
      <c r="D13" s="8">
        <f>C13*53.22</f>
        <v/>
      </c>
      <c r="F13" s="11" t="inlineStr">
        <is>
          <t>1,547 subscriptions at $15</t>
        </is>
      </c>
    </row>
    <row r="14" ht="24" customHeight="1">
      <c r="B14" s="15" t="inlineStr">
        <is>
          <t>University cohorts sold to host institutions</t>
        </is>
      </c>
      <c r="C14" s="28" t="n">
        <v>17850</v>
      </c>
      <c r="D14" s="8">
        <f>C14*53.22</f>
        <v/>
      </c>
      <c r="F14" s="11" t="inlineStr">
        <is>
          <t>5 cohorts at $3,500</t>
        </is>
      </c>
    </row>
    <row r="15" ht="24" customHeight="1">
      <c r="B15" s="15" t="inlineStr">
        <is>
          <t>Faculty licences</t>
        </is>
      </c>
      <c r="C15" s="28" t="n">
        <v>15750</v>
      </c>
      <c r="D15" s="8">
        <f>C15*53.22</f>
        <v/>
      </c>
      <c r="F15" s="11" t="inlineStr">
        <is>
          <t>2 licences at $7,500</t>
        </is>
      </c>
    </row>
    <row r="16" ht="24" customHeight="1">
      <c r="B16" s="15" t="inlineStr">
        <is>
          <t>Corporate and CSR programmes from sponsors</t>
        </is>
      </c>
      <c r="C16" s="28" t="n">
        <v>32400</v>
      </c>
      <c r="D16" s="8">
        <f>C16*53.22</f>
        <v/>
      </c>
      <c r="F16" s="11" t="inlineStr">
        <is>
          <t>3 programmes at $12,000</t>
        </is>
      </c>
    </row>
    <row r="17" ht="24" customHeight="1">
      <c r="B17" s="15" t="inlineStr">
        <is>
          <t>NGO and donor programmes won on the evidence base</t>
        </is>
      </c>
      <c r="C17" s="28" t="n">
        <v>17280</v>
      </c>
      <c r="D17" s="8">
        <f>C17*53.22</f>
        <v/>
      </c>
      <c r="F17" s="11" t="inlineStr">
        <is>
          <t>1 programme at $12,000</t>
        </is>
      </c>
    </row>
    <row r="18">
      <c r="B18" s="12" t="inlineStr">
        <is>
          <t>Total return</t>
        </is>
      </c>
      <c r="C18" s="13">
        <f>SUM(C13:C17)</f>
        <v/>
      </c>
      <c r="D18" s="14">
        <f>SUM(D13:D17)</f>
        <v/>
      </c>
    </row>
    <row r="20" ht="28" customHeight="1">
      <c r="B20" s="7" t="inlineStr">
        <is>
          <t>Return on what the company put in</t>
        </is>
      </c>
      <c r="C20" s="37">
        <f>C18/C9</f>
        <v/>
      </c>
      <c r="F20" s="11" t="inlineStr">
        <is>
          <t>And this counts only what can be priced. The assets below are worth more and are not in the number.</t>
        </is>
      </c>
    </row>
    <row r="22">
      <c r="B22" s="3" t="inlineStr">
        <is>
          <t>THE RATES BEHIND THOSE LINES</t>
        </is>
      </c>
    </row>
    <row r="23" ht="28" customHeight="1">
      <c r="B23" s="6" t="inlineStr">
        <is>
          <t>Rate</t>
        </is>
      </c>
      <c r="C23" s="6" t="inlineStr">
        <is>
          <t>Assumed</t>
        </is>
      </c>
      <c r="D23" s="6" t="inlineStr"/>
      <c r="E23" s="6" t="inlineStr"/>
      <c r="F23" s="6" t="inlineStr">
        <is>
          <t>Why</t>
        </is>
      </c>
    </row>
    <row r="24" ht="24.8" customHeight="1">
      <c r="B24" s="15" t="inlineStr">
        <is>
          <t>Unsponsored free-tier completers who buy Pro</t>
        </is>
      </c>
      <c r="C24" s="35" t="n">
        <v>0.04</v>
      </c>
      <c r="F24" s="11" t="inlineStr">
        <is>
          <t>At $15 a year. Conservative: these are people who finished three missions unpaid and were not sponsored for the rest.</t>
        </is>
      </c>
    </row>
    <row r="25" ht="24.8" customHeight="1">
      <c r="B25" s="15" t="inlineStr">
        <is>
          <t>Host institutions that buy a commercial cohort</t>
        </is>
      </c>
      <c r="C25" s="35" t="n">
        <v>0.17</v>
      </c>
      <c r="F25" s="11" t="inlineStr">
        <is>
          <t>At $3,500. A university that has hosted a delivered cohort and holds its report is the warmest institutional lead the company can have.</t>
        </is>
      </c>
    </row>
    <row r="26" ht="24.8" customHeight="1">
      <c r="B26" s="15" t="inlineStr">
        <is>
          <t>Host institutions that buy a faculty licence</t>
        </is>
      </c>
      <c r="C26" s="35" t="n">
        <v>0.07000000000000001</v>
      </c>
      <c r="F26" s="11" t="inlineStr">
        <is>
          <t>At $7,500, and only after two delivered cohorts, which is the rule in the financial model.</t>
        </is>
      </c>
    </row>
    <row r="27" ht="24.8" customHeight="1">
      <c r="B27" s="15" t="inlineStr">
        <is>
          <t>Sponsors that continue commercially</t>
        </is>
      </c>
      <c r="C27" s="35" t="n">
        <v>0.15</v>
      </c>
      <c r="F27" s="11" t="inlineStr">
        <is>
          <t>At $12,000 for a corporate or CSR programme. A sponsor who has seen the reporting buys the programme next year instead of sponsoring it.</t>
        </is>
      </c>
    </row>
    <row r="28" ht="24.8" customHeight="1">
      <c r="B28" s="15" t="inlineStr">
        <is>
          <t>NGO partners that bring a funded programme</t>
        </is>
      </c>
      <c r="C28" s="35" t="n">
        <v>0.08</v>
      </c>
      <c r="F28" s="11" t="inlineStr">
        <is>
          <t>At $12,000. The evidence base from the wave is what wins these, and they are the slowest and the largest.</t>
        </is>
      </c>
    </row>
    <row r="30">
      <c r="B30" s="3" t="inlineStr">
        <is>
          <t>AND WHAT IS NOT IN THE NUMBER</t>
        </is>
      </c>
    </row>
    <row r="31" ht="37.2" customHeight="1">
      <c r="B31" s="29" t="inlineStr">
        <is>
          <t>A certified facilitator pool across twelve governorates</t>
        </is>
      </c>
      <c r="C31" s="30" t="inlineStr">
        <is>
          <t>Capacity is the binding constraint on every commercial engine in the business plan. The initiative pays to certify facilitators where the cohorts are, and every one of them removes travel, accommodation and most of the allowance from every future cohort in that governorate.</t>
        </is>
      </c>
    </row>
    <row r="32" ht="26" customHeight="1">
      <c r="B32" s="29" t="inlineStr">
        <is>
          <t>198,000 registered accounts</t>
        </is>
      </c>
      <c r="C32" s="30" t="inlineStr">
        <is>
          <t>The direct engine's entire addressable base in year one, acquired at $0.96 a head by somebody else's money.</t>
        </is>
      </c>
    </row>
    <row r="33" ht="26" customHeight="1">
      <c r="B33" s="29" t="inlineStr">
        <is>
          <t>71,359 consented ideas</t>
        </is>
      </c>
      <c r="C33" s="30" t="inlineStr">
        <is>
          <t>The ideas bank and the direction report. No competitor in Egypt has the sample, and it is the basis of the company's own incubation product as well as a sponsor benefit.</t>
        </is>
      </c>
    </row>
    <row r="34" ht="26" customHeight="1">
      <c r="B34" s="29" t="inlineStr">
        <is>
          <t>30 host institutions with a delivered cohort</t>
        </is>
      </c>
      <c r="C34" s="30" t="inlineStr">
        <is>
          <t>Each one holds a cohort report with its own students named in it, which is the reference that opens the next institution.</t>
        </is>
      </c>
    </row>
    <row r="35" ht="26" customHeight="1">
      <c r="B35" s="29" t="inlineStr">
        <is>
          <t>An audited delivery record at national scale</t>
        </is>
      </c>
      <c r="C35" s="30" t="inlineStr">
        <is>
          <t>The thing that makes donor and ministry procurement possible, and the thing a four-year-old company cannot otherwise buy.</t>
        </is>
      </c>
    </row>
    <row r="36" ht="26" customHeight="1">
      <c r="B36" s="29" t="inlineStr">
        <is>
          <t>The coalition itself</t>
        </is>
      </c>
      <c r="C36" s="30" t="inlineStr">
        <is>
          <t>Twenty to thirty organisations that have worked with the company for six months and have seen its reporting.</t>
        </is>
      </c>
    </row>
    <row r="38" ht="56" customHeight="1">
      <c r="B38" s="38" t="inlineStr">
        <is>
          <t>The honest summary: the initiative is cash neutral for StartPad in wave one by design, costs the company about $27,200 of time and engineering it does not recover, and returns about $106,480 of commercial revenue in the following twelve months plus a facilitator pool, a data asset and a delivery record that no amount of selling would have bought. If the return rates on this sheet are half right it is still worth doing.</t>
        </is>
      </c>
    </row>
  </sheetData>
  <mergeCells count="9">
    <mergeCell ref="A2:F2"/>
    <mergeCell ref="C31:F31"/>
    <mergeCell ref="B38:F38"/>
    <mergeCell ref="C35:F35"/>
    <mergeCell ref="A1:F1"/>
    <mergeCell ref="C34:F34"/>
    <mergeCell ref="C33:F33"/>
    <mergeCell ref="C32:F32"/>
    <mergeCell ref="C36:F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3" customWidth="1" min="1" max="1"/>
    <col width="13" customWidth="1" min="2" max="2"/>
    <col width="14" customWidth="1" min="3" max="3"/>
    <col width="16" customWidth="1" min="4" max="4"/>
    <col width="16" customWidth="1" min="5" max="5"/>
    <col width="10" customWidth="1" min="6" max="6"/>
    <col width="13" customWidth="1" min="7" max="7"/>
    <col width="14" customWidth="1" min="8" max="8"/>
    <col width="48" customWidth="1" min="9" max="9"/>
  </cols>
  <sheetData>
    <row r="1" ht="28" customHeight="1">
      <c r="A1" s="1" t="inlineStr">
        <is>
          <t>What happens if the coalition does not fill</t>
        </is>
      </c>
    </row>
    <row r="2" ht="19" customHeight="1">
      <c r="A2" s="2" t="inlineStr">
        <is>
          <t>The wave is planned at 50 per cent. This is what the other outcomes look like.</t>
        </is>
      </c>
    </row>
    <row r="4" ht="28" customHeight="1">
      <c r="B4" s="6" t="inlineStr">
        <is>
          <t>Coalition fill</t>
        </is>
      </c>
      <c r="C4" s="6" t="inlineStr">
        <is>
          <t>Raised USD</t>
        </is>
      </c>
      <c r="D4" s="6" t="inlineStr">
        <is>
          <t>Raised EGP</t>
        </is>
      </c>
      <c r="E4" s="6" t="inlineStr">
        <is>
          <t>Founders sponsored</t>
        </is>
      </c>
      <c r="F4" s="6" t="inlineStr">
        <is>
          <t>Cohorts</t>
        </is>
      </c>
      <c r="G4" s="6" t="inlineStr">
        <is>
          <t>Governorates</t>
        </is>
      </c>
      <c r="H4" s="6" t="inlineStr">
        <is>
          <t>Cost per founder</t>
        </is>
      </c>
      <c r="I4" s="6" t="inlineStr">
        <is>
          <t>What it means</t>
        </is>
      </c>
    </row>
    <row r="5" ht="37.2" customHeight="1">
      <c r="B5" s="39" t="inlineStr">
        <is>
          <t>30%</t>
        </is>
      </c>
      <c r="C5" s="10" t="n">
        <v>114300</v>
      </c>
      <c r="D5" s="8" t="n">
        <v>6083046</v>
      </c>
      <c r="E5" s="8" t="n">
        <v>12060</v>
      </c>
      <c r="F5" s="8" t="n">
        <v>18</v>
      </c>
      <c r="G5" s="8" t="n">
        <v>7</v>
      </c>
      <c r="H5" s="9" t="n">
        <v>9.48</v>
      </c>
      <c r="I5" s="11" t="inlineStr">
        <is>
          <t>Thin but real. The governorate count drops, not the quality, and the wave still produces a closing report worth showing.</t>
        </is>
      </c>
    </row>
    <row r="6" ht="34" customHeight="1">
      <c r="B6" s="40" t="inlineStr">
        <is>
          <t>50%</t>
        </is>
      </c>
      <c r="C6" s="41" t="n">
        <v>190500</v>
      </c>
      <c r="D6" s="42" t="n">
        <v>10138410</v>
      </c>
      <c r="E6" s="42" t="n">
        <v>20100</v>
      </c>
      <c r="F6" s="42" t="n">
        <v>30</v>
      </c>
      <c r="G6" s="42" t="n">
        <v>12</v>
      </c>
      <c r="H6" s="43" t="n">
        <v>9.48</v>
      </c>
      <c r="I6" s="44" t="inlineStr">
        <is>
          <t>The plan. Twelve governorates, and the number every other sheet in this file is quoted at.</t>
        </is>
      </c>
    </row>
    <row r="7" ht="37.2" customHeight="1">
      <c r="B7" s="39" t="inlineStr">
        <is>
          <t>75%</t>
        </is>
      </c>
      <c r="C7" s="10" t="n">
        <v>285750</v>
      </c>
      <c r="D7" s="8" t="n">
        <v>15207615</v>
      </c>
      <c r="E7" s="8" t="n">
        <v>30150</v>
      </c>
      <c r="F7" s="8" t="n">
        <v>45</v>
      </c>
      <c r="G7" s="8" t="n">
        <v>12</v>
      </c>
      <c r="H7" s="9" t="n">
        <v>9.48</v>
      </c>
      <c r="I7" s="11" t="inlineStr">
        <is>
          <t>Comfortable. The extra buys governorates and facilitator certification rather than more Cairo.</t>
        </is>
      </c>
    </row>
    <row r="8" ht="62" customHeight="1">
      <c r="B8" s="39" t="inlineStr">
        <is>
          <t>100%</t>
        </is>
      </c>
      <c r="C8" s="10" t="n">
        <v>381000</v>
      </c>
      <c r="D8" s="8" t="n">
        <v>20276820</v>
      </c>
      <c r="E8" s="8" t="n">
        <v>40200</v>
      </c>
      <c r="F8" s="8" t="n">
        <v>60</v>
      </c>
      <c r="G8" s="8" t="n">
        <v>12</v>
      </c>
      <c r="H8" s="9" t="n">
        <v>9.48</v>
      </c>
      <c r="I8" s="11" t="inlineStr">
        <is>
          <t>The money outruns the funnel: the coalition could sponsor more founders than finish the free tier. That is a good problem, and the answer is to widen reach in wave two rather than to raise more.</t>
        </is>
      </c>
    </row>
    <row r="10" ht="44" customHeight="1">
      <c r="B10" s="23" t="inlineStr">
        <is>
          <t>Cost per founder rises as the coalition fills, because the cohorts are the expensive part and the richer tiers buy more of them. That is the right way round: a bigger coalition should buy more in-person delivery in more governorates, not more online seats in the same three cities.</t>
        </is>
      </c>
    </row>
  </sheetData>
  <mergeCells count="3">
    <mergeCell ref="A2:H2"/>
    <mergeCell ref="B10:I10"/>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StartPad</dc:creator>
  <dc:title xmlns:dc="http://purl.org/dc/elements/1.1/">One Million First-Time Founders: budget</dc:title>
  <dcterms:created xmlns:dcterms="http://purl.org/dc/terms/" xmlns:xsi="http://www.w3.org/2001/XMLSchema-instance" xsi:type="dcterms:W3CDTF">2024-01-01T00:00:00Z</dcterms:created>
  <dcterms:modified xmlns:dcterms="http://purl.org/dc/terms/" xmlns:xsi="http://www.w3.org/2001/XMLSchema-instance" xsi:type="dcterms:W3CDTF">2024-01-01T00:00:00Z</dcterms:modified>
</cp:coreProperties>
</file>