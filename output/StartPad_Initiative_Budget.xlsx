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THE BUDGET" sheetId="2" state="visible" r:id="rId2"/>
    <sheet xmlns:r="http://schemas.openxmlformats.org/officeDocument/2006/relationships" name="HOW THE MILLION HAPPENS" sheetId="3" state="visible" r:id="rId3"/>
    <sheet xmlns:r="http://schemas.openxmlformats.org/officeDocument/2006/relationships" name="THE FUNNEL" sheetId="4" state="visible" r:id="rId4"/>
    <sheet xmlns:r="http://schemas.openxmlformats.org/officeDocument/2006/relationships" name="EVENTS AND WEBINARS" sheetId="5" state="visible" r:id="rId5"/>
    <sheet xmlns:r="http://schemas.openxmlformats.org/officeDocument/2006/relationships" name="SPEND BY MONTH" sheetId="6" state="visible" r:id="rId6"/>
    <sheet xmlns:r="http://schemas.openxmlformats.org/officeDocument/2006/relationships" name="RETURN ON STARTPAD" sheetId="7" state="visible" r:id="rId7"/>
    <sheet xmlns:r="http://schemas.openxmlformats.org/officeDocument/2006/relationships" name="SENSITIVITY" sheetId="8" state="visible" r:id="rId8"/>
  </sheets>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quot;$&quot;#,##0.00"/>
    <numFmt numFmtId="167" formatCode="0.00x"/>
  </numFmts>
  <fonts count="16">
    <font>
      <name val="Calibri"/>
      <family val="2"/>
      <color theme="1"/>
      <sz val="11"/>
      <scheme val="minor"/>
    </font>
    <font>
      <b val="1"/>
      <color rgb="00FFFFFF"/>
      <sz val="15"/>
    </font>
    <font>
      <i val="1"/>
      <color rgb="0016211E"/>
      <sz val="10"/>
    </font>
    <font>
      <b val="1"/>
      <color rgb="000F5C4B"/>
      <sz val="11"/>
    </font>
    <font>
      <b val="1"/>
      <color rgb="0016211E"/>
      <sz val="10"/>
    </font>
    <font>
      <b val="1"/>
      <color rgb="00FFFFFF"/>
      <sz val="10"/>
    </font>
    <font>
      <b val="1"/>
      <color rgb="000F5C4B"/>
      <sz val="10"/>
    </font>
    <font>
      <color rgb="0016211E"/>
      <sz val="10"/>
    </font>
    <font>
      <color rgb="003A4050"/>
      <sz val="9.5"/>
    </font>
    <font>
      <i val="1"/>
      <color rgb="006B7A74"/>
      <sz val="9.5"/>
    </font>
    <font>
      <b val="1"/>
      <color rgb="000F5C4B"/>
      <sz val="12"/>
    </font>
    <font>
      <b val="1"/>
      <color rgb="0016211E"/>
      <sz val="11"/>
    </font>
    <font>
      <b val="1"/>
      <color rgb="000F5C4B"/>
      <sz val="13"/>
    </font>
    <font>
      <sz val="9.800000000000001"/>
    </font>
    <font>
      <color rgb="0016211E"/>
      <sz val="9.5"/>
    </font>
    <font>
      <b val="1"/>
      <color rgb="00B4531C"/>
      <sz val="10"/>
    </font>
  </fonts>
  <fills count="7">
    <fill>
      <patternFill/>
    </fill>
    <fill>
      <patternFill patternType="gray125"/>
    </fill>
    <fill>
      <patternFill patternType="solid">
        <fgColor rgb="000F5C4B"/>
      </patternFill>
    </fill>
    <fill>
      <patternFill patternType="solid">
        <fgColor rgb="00ECF0EE"/>
      </patternFill>
    </fill>
    <fill>
      <patternFill patternType="solid">
        <fgColor rgb="002E6F5E"/>
      </patternFill>
    </fill>
    <fill>
      <patternFill patternType="solid">
        <fgColor rgb="00D7EBE3"/>
      </patternFill>
    </fill>
    <fill>
      <patternFill patternType="solid">
        <fgColor rgb="00F7DDD3"/>
      </patternFill>
    </fill>
  </fills>
  <borders count="2">
    <border>
      <left/>
      <right/>
      <top/>
      <bottom/>
      <diagonal/>
    </border>
    <border>
      <left style="thin">
        <color rgb="00D9E2DE"/>
      </left>
      <right style="thin">
        <color rgb="00D9E2DE"/>
      </right>
      <top style="thin">
        <color rgb="00D9E2DE"/>
      </top>
      <bottom style="thin">
        <color rgb="00D9E2DE"/>
      </bottom>
    </border>
  </borders>
  <cellStyleXfs count="1">
    <xf numFmtId="0" fontId="0" fillId="0" borderId="0"/>
  </cellStyleXfs>
  <cellXfs count="48">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indent="1"/>
    </xf>
    <xf numFmtId="0" fontId="3" fillId="0" borderId="0" pivotButton="0" quotePrefix="0" xfId="0"/>
    <xf numFmtId="0" fontId="0" fillId="0" borderId="0" applyAlignment="1" pivotButton="0" quotePrefix="0" xfId="0">
      <alignment vertical="top" wrapText="1"/>
    </xf>
    <xf numFmtId="0" fontId="4" fillId="0" borderId="0" applyAlignment="1" pivotButton="0" quotePrefix="0" xfId="0">
      <alignment vertical="top" wrapText="1"/>
    </xf>
    <xf numFmtId="0" fontId="5" fillId="4" borderId="1" applyAlignment="1" pivotButton="0" quotePrefix="0" xfId="0">
      <alignment vertical="center" wrapText="1" indent="1"/>
    </xf>
    <xf numFmtId="0" fontId="4" fillId="0" borderId="1" applyAlignment="1" pivotButton="0" quotePrefix="0" xfId="0">
      <alignment horizontal="left" vertical="top" wrapText="1" indent="1"/>
    </xf>
    <xf numFmtId="164" fontId="6" fillId="0" borderId="1" applyAlignment="1" pivotButton="0" quotePrefix="0" xfId="0">
      <alignment horizontal="center" vertical="top"/>
    </xf>
    <xf numFmtId="3" fontId="7" fillId="0" borderId="1" applyAlignment="1" pivotButton="0" quotePrefix="0" xfId="0">
      <alignment horizontal="center" vertical="top"/>
    </xf>
    <xf numFmtId="165" fontId="7" fillId="0" borderId="1" applyAlignment="1" pivotButton="0" quotePrefix="0" xfId="0">
      <alignment horizontal="center" vertical="top"/>
    </xf>
    <xf numFmtId="0" fontId="8" fillId="0" borderId="1" applyAlignment="1" pivotButton="0" quotePrefix="0" xfId="0">
      <alignment horizontal="left" vertical="top" wrapText="1" indent="1"/>
    </xf>
    <xf numFmtId="0" fontId="5" fillId="2" borderId="0" applyAlignment="1" pivotButton="0" quotePrefix="0" xfId="0">
      <alignment indent="1"/>
    </xf>
    <xf numFmtId="164" fontId="5" fillId="2" borderId="0" applyAlignment="1" pivotButton="0" quotePrefix="0" xfId="0">
      <alignment horizontal="center"/>
    </xf>
    <xf numFmtId="3" fontId="5" fillId="2" borderId="0" applyAlignment="1" pivotButton="0" quotePrefix="0" xfId="0">
      <alignment horizontal="center"/>
    </xf>
    <xf numFmtId="165" fontId="5" fillId="2" borderId="0" applyAlignment="1" pivotButton="0" quotePrefix="0" xfId="0">
      <alignment horizontal="center"/>
    </xf>
    <xf numFmtId="0" fontId="4" fillId="0" borderId="1" applyAlignment="1" pivotButton="0" quotePrefix="0" xfId="0">
      <alignment horizontal="left" vertical="top" indent="1"/>
    </xf>
    <xf numFmtId="164" fontId="7" fillId="0" borderId="1" applyAlignment="1" pivotButton="0" quotePrefix="0" xfId="0">
      <alignment horizontal="center" vertical="top"/>
    </xf>
    <xf numFmtId="164" fontId="4" fillId="3" borderId="1" applyAlignment="1" pivotButton="0" quotePrefix="0" xfId="0">
      <alignment horizontal="center" vertical="top"/>
    </xf>
    <xf numFmtId="166" fontId="6" fillId="0" borderId="1" applyAlignment="1" pivotButton="0" quotePrefix="0" xfId="0">
      <alignment horizontal="center" vertical="top"/>
    </xf>
    <xf numFmtId="4" fontId="7" fillId="0" borderId="1" applyAlignment="1" pivotButton="0" quotePrefix="0" xfId="0">
      <alignment horizontal="center" vertical="top"/>
    </xf>
    <xf numFmtId="0" fontId="7" fillId="0" borderId="1" applyAlignment="1" pivotButton="0" quotePrefix="0" xfId="0">
      <alignment horizontal="left" vertical="top" indent="1"/>
    </xf>
    <xf numFmtId="0" fontId="9" fillId="0" borderId="0" applyAlignment="1" pivotButton="0" quotePrefix="0" xfId="0">
      <alignment vertical="top" wrapText="1"/>
    </xf>
    <xf numFmtId="3" fontId="6" fillId="0" borderId="1" applyAlignment="1" pivotButton="0" quotePrefix="0" xfId="0">
      <alignment horizontal="center" vertical="top"/>
    </xf>
    <xf numFmtId="2" fontId="10" fillId="3" borderId="1" applyAlignment="1" pivotButton="0" quotePrefix="0" xfId="0">
      <alignment horizontal="center" vertical="top"/>
    </xf>
    <xf numFmtId="167" fontId="7" fillId="0" borderId="1" applyAlignment="1" pivotButton="0" quotePrefix="0" xfId="0">
      <alignment horizontal="center" vertical="top"/>
    </xf>
    <xf numFmtId="0" fontId="11" fillId="0" borderId="1" applyAlignment="1" pivotButton="0" quotePrefix="0" xfId="0">
      <alignment horizontal="left" vertical="top" indent="1"/>
    </xf>
    <xf numFmtId="3" fontId="12" fillId="3" borderId="1" applyAlignment="1" pivotButton="0" quotePrefix="0" xfId="0">
      <alignment horizontal="center" vertical="top"/>
    </xf>
    <xf numFmtId="0" fontId="6" fillId="0" borderId="1" applyAlignment="1" pivotButton="0" quotePrefix="0" xfId="0">
      <alignment horizontal="left" vertical="top" wrapText="1" indent="1"/>
    </xf>
    <xf numFmtId="0" fontId="13" fillId="0" borderId="0" applyAlignment="1" pivotButton="0" quotePrefix="0" xfId="0">
      <alignment vertical="top" wrapText="1" indent="1"/>
    </xf>
    <xf numFmtId="3" fontId="3" fillId="0" borderId="1" applyAlignment="1" pivotButton="0" quotePrefix="0" xfId="0">
      <alignment horizontal="center" vertical="top"/>
    </xf>
    <xf numFmtId="9" fontId="6" fillId="0" borderId="1" applyAlignment="1" pivotButton="0" quotePrefix="0" xfId="0">
      <alignment horizontal="center" vertical="top"/>
    </xf>
    <xf numFmtId="0" fontId="14" fillId="0" borderId="1" applyAlignment="1" pivotButton="0" quotePrefix="0" xfId="0">
      <alignment horizontal="center" vertical="top"/>
    </xf>
    <xf numFmtId="164" fontId="7" fillId="3" borderId="1" applyAlignment="1" pivotButton="0" quotePrefix="0" xfId="0">
      <alignment horizontal="center" vertical="top"/>
    </xf>
    <xf numFmtId="3" fontId="4" fillId="0" borderId="1" applyAlignment="1" pivotButton="0" quotePrefix="0" xfId="0">
      <alignment horizontal="center" vertical="top"/>
    </xf>
    <xf numFmtId="2" fontId="10" fillId="0" borderId="1" applyAlignment="1" pivotButton="0" quotePrefix="0" xfId="0">
      <alignment horizontal="center" vertical="top"/>
    </xf>
    <xf numFmtId="166" fontId="7" fillId="0" borderId="1" applyAlignment="1" pivotButton="0" quotePrefix="0" xfId="0">
      <alignment horizontal="center" vertical="top"/>
    </xf>
    <xf numFmtId="2" fontId="10" fillId="5" borderId="1" applyAlignment="1" pivotButton="0" quotePrefix="0" xfId="0">
      <alignment horizontal="center" vertical="top"/>
    </xf>
    <xf numFmtId="167" fontId="7" fillId="5" borderId="1" applyAlignment="1" pivotButton="0" quotePrefix="0" xfId="0">
      <alignment horizontal="center" vertical="top"/>
    </xf>
    <xf numFmtId="3" fontId="4" fillId="5" borderId="1" applyAlignment="1" pivotButton="0" quotePrefix="0" xfId="0">
      <alignment horizontal="center" vertical="top"/>
    </xf>
    <xf numFmtId="166" fontId="7" fillId="5" borderId="1" applyAlignment="1" pivotButton="0" quotePrefix="0" xfId="0">
      <alignment horizontal="center" vertical="top"/>
    </xf>
    <xf numFmtId="0" fontId="8" fillId="5" borderId="1" applyAlignment="1" pivotButton="0" quotePrefix="0" xfId="0">
      <alignment horizontal="left" vertical="top" wrapText="1" indent="1"/>
    </xf>
    <xf numFmtId="0" fontId="10" fillId="0" borderId="1" applyAlignment="1" pivotButton="0" quotePrefix="0" xfId="0">
      <alignment horizontal="center" vertical="top"/>
    </xf>
    <xf numFmtId="164" fontId="4" fillId="0" borderId="1" applyAlignment="1" pivotButton="0" quotePrefix="0" xfId="0">
      <alignment horizontal="center" vertical="top"/>
    </xf>
    <xf numFmtId="164" fontId="15" fillId="6" borderId="1" applyAlignment="1" pivotButton="0" quotePrefix="0" xfId="0">
      <alignment horizontal="center" vertical="top"/>
    </xf>
    <xf numFmtId="0" fontId="10" fillId="5" borderId="1" applyAlignment="1" pivotButton="0" quotePrefix="0" xfId="0">
      <alignment horizontal="center" vertical="top"/>
    </xf>
    <xf numFmtId="164" fontId="4" fillId="5" borderId="1" applyAlignment="1" pivotButton="0" quotePrefix="0" xfId="0">
      <alignment horizontal="center" vertical="top"/>
    </xf>
    <xf numFmtId="3" fontId="7"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showGridLines="0" workbookViewId="0">
      <selection activeCell="A1" sqref="A1"/>
    </sheetView>
  </sheetViews>
  <sheetFormatPr baseColWidth="8" defaultRowHeight="15"/>
  <cols>
    <col width="30" customWidth="1" min="2" max="2"/>
    <col width="108" customWidth="1" min="3" max="3"/>
  </cols>
  <sheetData>
    <row r="1" ht="28" customHeight="1">
      <c r="A1" s="1" t="inlineStr">
        <is>
          <t>One Million First-Time Founders: the budget</t>
        </is>
      </c>
    </row>
    <row r="2" ht="19" customHeight="1">
      <c r="A2" s="2" t="inlineStr">
        <is>
          <t>Wave 1, March to August 2027. Six lines, funded entirely by partners.</t>
        </is>
      </c>
    </row>
    <row r="4">
      <c r="B4" s="3" t="inlineStr">
        <is>
          <t>THE WHOLE THING IN FOUR NUMBERS</t>
        </is>
      </c>
    </row>
    <row r="5" ht="26" customHeight="1">
      <c r="C5" s="4" t="inlineStr">
        <is>
          <t>It costs $200,000, which is EGP 10,644,000. It registers 1,000,000 entrepreneurs. That is $0.20 a head. And StartPad puts in no cash at all.</t>
        </is>
      </c>
    </row>
    <row r="7">
      <c r="B7" s="3" t="inlineStr">
        <is>
          <t>WHY IT IS THIS CHEAP</t>
        </is>
      </c>
    </row>
    <row r="8" ht="52" customHeight="1">
      <c r="C8" s="4" t="inlineStr">
        <is>
          <t>Because there are no paid in-person cohorts in this wave. A cohort serves 25 people for $3,000. A webinar serves twenty thousand for $500. Everything is online, everything is free to the participant, and the offline part happens only where a partner asks for a session and hosts it in their own venue with their own people.</t>
        </is>
      </c>
    </row>
    <row r="9" ht="52" customHeight="1">
      <c r="C9" s="4" t="inlineStr">
        <is>
          <t>And because the million is not bought, it is referred. 500,000 registrations come from partner channels, chapters and ambassadors; the rest comes from the referral loop built into the product. The viral coefficient of 0.50 is the riskiest number in this file and the SENSITIVITY sheet shows what happens if it is wrong.</t>
        </is>
      </c>
    </row>
    <row r="11">
      <c r="B11" s="3" t="inlineStr">
        <is>
          <t>THE SHEETS</t>
        </is>
      </c>
    </row>
    <row r="12" ht="15" customHeight="1">
      <c r="B12" s="5" t="inlineStr">
        <is>
          <t>THE BUDGET</t>
        </is>
      </c>
      <c r="C12" s="4" t="inlineStr">
        <is>
          <t>Six lines, in dollars and pounds, and what the coalition has to raise to cover them.</t>
        </is>
      </c>
    </row>
    <row r="13" ht="15" customHeight="1">
      <c r="B13" s="5" t="inlineStr">
        <is>
          <t>HOW THE MILLION HAPPENS</t>
        </is>
      </c>
      <c r="C13" s="4" t="inlineStr">
        <is>
          <t>The seed channels, the referral loop, and the nine mechanics that make it spread.</t>
        </is>
      </c>
    </row>
    <row r="14" ht="15" customHeight="1">
      <c r="B14" s="5" t="inlineStr">
        <is>
          <t>THE FUNNEL</t>
        </is>
      </c>
      <c r="C14" s="4" t="inlineStr">
        <is>
          <t>Registered to finished to trading, with the rate behind each step.</t>
        </is>
      </c>
    </row>
    <row r="15" ht="15" customHeight="1">
      <c r="B15" s="5" t="inlineStr">
        <is>
          <t>EVENTS AND WEBINARS</t>
        </is>
      </c>
      <c r="C15" s="4" t="inlineStr">
        <is>
          <t>Every event and every piece of live delivery, itemised. The two lines reconcile to the budget exactly.</t>
        </is>
      </c>
    </row>
    <row r="16" ht="15" customHeight="1">
      <c r="B16" s="5" t="inlineStr">
        <is>
          <t>SPEND BY MONTH</t>
        </is>
      </c>
      <c r="C16" s="4" t="inlineStr">
        <is>
          <t>When the money leaves, which is not evenly.</t>
        </is>
      </c>
    </row>
    <row r="17" ht="15" customHeight="1">
      <c r="B17" s="5" t="inlineStr">
        <is>
          <t>RETURN ON STARTPAD</t>
        </is>
      </c>
      <c r="C17" s="4" t="inlineStr">
        <is>
          <t>What the company contributes, which is not cash, and what comes back in the twelve months after.</t>
        </is>
      </c>
    </row>
    <row r="18" ht="15" customHeight="1">
      <c r="B18" s="5" t="inlineStr">
        <is>
          <t>SENSITIVITY</t>
        </is>
      </c>
      <c r="C18" s="4" t="inlineStr">
        <is>
          <t>What happens if the loop is weaker, or the coalition smaller.</t>
        </is>
      </c>
    </row>
    <row r="20">
      <c r="B20" s="3" t="inlineStr">
        <is>
          <t>WHAT STARTPAD PUTS IN</t>
        </is>
      </c>
    </row>
    <row r="21" ht="39" customHeight="1">
      <c r="C21" s="4" t="inlineStr">
        <is>
          <t>No cash. Not a token amount, none. The company contributes the platform, which is already built and paid for, the fifteen missions and the review rubric, the team's time, which is already on its payroll, and five months of coalition building before any money arrives.</t>
        </is>
      </c>
    </row>
    <row r="22" ht="52" customHeight="1">
      <c r="C22" s="4" t="inlineStr">
        <is>
          <t>It also takes no margin from the sponsorship: the budget balances to the raise. What it gets back is $134,220 of commercial revenue in the twelve months after the wave, priced at the financial model's own prices, and a set of assets it could not otherwise buy. That is on the RETURN ON STARTPAD sheet, stated rather than left to a partner's imagination.</t>
        </is>
      </c>
    </row>
    <row r="24">
      <c r="B24" s="3" t="inlineStr">
        <is>
          <t>A WARNING ABOUT THESE NUMBERS</t>
        </is>
      </c>
    </row>
    <row r="25" ht="39" customHeight="1">
      <c r="C25" s="4" t="inlineStr">
        <is>
          <t>Nothing here is a measured result. Every quantity is an assumption with its driver written next to it. The viral coefficient and the completion rates are where being wrong costs the most, and both are stated so they can be argued with rather than buried.</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3" customWidth="1" min="1" max="1"/>
    <col width="38" customWidth="1" min="2" max="2"/>
    <col width="14" customWidth="1" min="3" max="3"/>
    <col width="16" customWidth="1" min="4" max="4"/>
    <col width="10" customWidth="1" min="5" max="5"/>
    <col width="66" customWidth="1" min="6" max="6"/>
  </cols>
  <sheetData>
    <row r="1" ht="28" customHeight="1">
      <c r="A1" s="1" t="inlineStr">
        <is>
          <t>Six lines</t>
        </is>
      </c>
    </row>
    <row r="2" ht="19" customHeight="1">
      <c r="A2" s="2" t="inlineStr">
        <is>
          <t>Wave 1, March to August 2027. Funded entirely by the coalition. StartPad contributes no cash and takes no margin.</t>
        </is>
      </c>
    </row>
    <row r="4">
      <c r="B4" s="3" t="inlineStr">
        <is>
          <t>WHAT IT COSTS</t>
        </is>
      </c>
    </row>
    <row r="5" ht="28" customHeight="1">
      <c r="B5" s="6" t="inlineStr">
        <is>
          <t>Line</t>
        </is>
      </c>
      <c r="C5" s="6" t="inlineStr">
        <is>
          <t>USD</t>
        </is>
      </c>
      <c r="D5" s="6" t="inlineStr">
        <is>
          <t>EGP</t>
        </is>
      </c>
      <c r="E5" s="6" t="inlineStr">
        <is>
          <t>Share</t>
        </is>
      </c>
      <c r="F5" s="6" t="inlineStr">
        <is>
          <t>What it is</t>
        </is>
      </c>
    </row>
    <row r="6" ht="37.2" customHeight="1">
      <c r="B6" s="7" t="inlineStr">
        <is>
          <t>Platform, AI review and hosting</t>
        </is>
      </c>
      <c r="C6" s="8" t="n">
        <v>60000</v>
      </c>
      <c r="D6" s="9">
        <f>C6*53.22</f>
        <v/>
      </c>
      <c r="E6" s="10">
        <f>C6/200000.0</f>
        <v/>
      </c>
      <c r="F6" s="11" t="inlineStr">
        <is>
          <t>The only line that grows with the number of entrepreneurs. A million accounts, several million mission submissions, and the review behind each one.</t>
        </is>
      </c>
    </row>
    <row r="7" ht="37.2" customHeight="1">
      <c r="B7" s="7" t="inlineStr">
        <is>
          <t>Content, webinars and the info session kit</t>
        </is>
      </c>
      <c r="C7" s="8" t="n">
        <v>25000</v>
      </c>
      <c r="D7" s="9">
        <f>C7*53.22</f>
        <v/>
      </c>
      <c r="E7" s="10">
        <f>C7/200000.0</f>
        <v/>
      </c>
      <c r="F7" s="11" t="inlineStr">
        <is>
          <t>The fifteen missions localised, 24 live webinars in Arabic across the wave, and the kit that lets a partner run an info session without us in the room.</t>
        </is>
      </c>
    </row>
    <row r="8" ht="37.2" customHeight="1">
      <c r="B8" s="7" t="inlineStr">
        <is>
          <t>Community: ambassadors and chapters</t>
        </is>
      </c>
      <c r="C8" s="8" t="n">
        <v>30000</v>
      </c>
      <c r="D8" s="9">
        <f>C8*53.22</f>
        <v/>
      </c>
      <c r="E8" s="10">
        <f>C8/200000.0</f>
        <v/>
      </c>
      <c r="F8" s="11" t="inlineStr">
        <is>
          <t>1,000 student ambassadors and 150 chapters. This is the line that produces the reach, and it is the cheapest reach in the country.</t>
        </is>
      </c>
    </row>
    <row r="9" ht="37.2" customHeight="1">
      <c r="B9" s="7" t="inlineStr">
        <is>
          <t>Events: launch, regional showcases, demo day</t>
        </is>
      </c>
      <c r="C9" s="8" t="n">
        <v>35000</v>
      </c>
      <c r="D9" s="9">
        <f>C9*53.22</f>
        <v/>
      </c>
      <c r="E9" s="10">
        <f>C9/200000.0</f>
        <v/>
      </c>
      <c r="F9" s="11" t="inlineStr">
        <is>
          <t>One national launch, six regional showcases and a national demo day. The showcase is what makes the last mission worth finishing.</t>
        </is>
      </c>
    </row>
    <row r="10" ht="26" customHeight="1">
      <c r="B10" s="7" t="inlineStr">
        <is>
          <t>Measurement, reporting and evaluation</t>
        </is>
      </c>
      <c r="C10" s="8" t="n">
        <v>15000</v>
      </c>
      <c r="D10" s="9">
        <f>C10*53.22</f>
        <v/>
      </c>
      <c r="E10" s="10">
        <f>C10/200000.0</f>
        <v/>
      </c>
      <c r="F10" s="11" t="inlineStr">
        <is>
          <t>The dashboard every partner sees, the direction report, the month 12 follow-up and an independent evaluation.</t>
        </is>
      </c>
    </row>
    <row r="11" ht="37.2" customHeight="1">
      <c r="B11" s="7" t="inlineStr">
        <is>
          <t>Programme coordination</t>
        </is>
      </c>
      <c r="C11" s="8" t="n">
        <v>35000</v>
      </c>
      <c r="D11" s="9">
        <f>C11*53.22</f>
        <v/>
      </c>
      <c r="E11" s="10">
        <f>C11/200000.0</f>
        <v/>
      </c>
      <c r="F11" s="11" t="inlineStr">
        <is>
          <t>A team of four for six months at Egyptian salaries: a programme manager, a community manager, a content producer and a part-time analyst.</t>
        </is>
      </c>
    </row>
    <row r="12">
      <c r="B12" s="12" t="inlineStr">
        <is>
          <t>Total cost of the wave</t>
        </is>
      </c>
      <c r="C12" s="13">
        <f>SUM(C6:C11)</f>
        <v/>
      </c>
      <c r="D12" s="14">
        <f>SUM(D6:D11)</f>
        <v/>
      </c>
      <c r="E12" s="15">
        <f>SUM(E6:E11)</f>
        <v/>
      </c>
    </row>
    <row r="14">
      <c r="B14" s="3" t="inlineStr">
        <is>
          <t>WHERE IT COMES FROM</t>
        </is>
      </c>
    </row>
    <row r="15" ht="28" customHeight="1">
      <c r="B15" s="6" t="inlineStr">
        <is>
          <t>Tier</t>
        </is>
      </c>
      <c r="C15" s="6" t="inlineStr">
        <is>
          <t>Each</t>
        </is>
      </c>
      <c r="D15" s="6" t="inlineStr">
        <is>
          <t>Slots</t>
        </is>
      </c>
      <c r="E15" s="6" t="inlineStr">
        <is>
          <t>If full</t>
        </is>
      </c>
      <c r="F15" s="6" t="inlineStr">
        <is>
          <t>Who it is for</t>
        </is>
      </c>
    </row>
    <row r="16" ht="24" customHeight="1">
      <c r="B16" s="16" t="inlineStr">
        <is>
          <t>Founding Partner</t>
        </is>
      </c>
      <c r="C16" s="17" t="n">
        <v>50000</v>
      </c>
      <c r="D16" s="9" t="n">
        <v>2</v>
      </c>
      <c r="E16" s="8">
        <f>C16*D16</f>
        <v/>
      </c>
      <c r="F16" s="11" t="inlineStr">
        <is>
          <t>Cash, plus a seat on the steering committee.</t>
        </is>
      </c>
    </row>
    <row r="17" ht="24" customHeight="1">
      <c r="B17" s="16" t="inlineStr">
        <is>
          <t>Partner</t>
        </is>
      </c>
      <c r="C17" s="17" t="n">
        <v>20000</v>
      </c>
      <c r="D17" s="9" t="n">
        <v>5</v>
      </c>
      <c r="E17" s="8">
        <f>C17*D17</f>
        <v/>
      </c>
      <c r="F17" s="11" t="inlineStr">
        <is>
          <t>Cash.</t>
        </is>
      </c>
    </row>
    <row r="18" ht="24.8" customHeight="1">
      <c r="B18" s="16" t="inlineStr">
        <is>
          <t>Supporting Partner</t>
        </is>
      </c>
      <c r="C18" s="17" t="n">
        <v>5000</v>
      </c>
      <c r="D18" s="9" t="n">
        <v>10</v>
      </c>
      <c r="E18" s="8">
        <f>C18*D18</f>
        <v/>
      </c>
      <c r="F18" s="11" t="inlineStr">
        <is>
          <t>Cash. The entry tier, and the one a mid-sized Egyptian company or a second-tier foundation can sign inside a month.</t>
        </is>
      </c>
    </row>
    <row r="19">
      <c r="B19" s="12" t="inlineStr">
        <is>
          <t>Coalition capacity</t>
        </is>
      </c>
      <c r="E19" s="13">
        <f>SUM(E16:E18)</f>
        <v/>
      </c>
    </row>
    <row r="21" ht="30" customHeight="1">
      <c r="B21" s="16" t="inlineStr">
        <is>
          <t>Headroom over what the wave needs</t>
        </is>
      </c>
      <c r="E21" s="18">
        <f>E19-C12</f>
        <v/>
      </c>
      <c r="F21" s="11" t="inlineStr">
        <is>
          <t>The coalition can lose four or five conversations and still fund the wave. That headroom is the plan, not optimism.</t>
        </is>
      </c>
    </row>
    <row r="23">
      <c r="B23" s="3" t="inlineStr">
        <is>
          <t>WHAT IT WORKS OUT AT</t>
        </is>
      </c>
    </row>
    <row r="24" ht="28" customHeight="1">
      <c r="B24" s="6" t="inlineStr">
        <is>
          <t>Measure</t>
        </is>
      </c>
      <c r="C24" s="6" t="inlineStr">
        <is>
          <t>USD</t>
        </is>
      </c>
      <c r="D24" s="6" t="inlineStr">
        <is>
          <t>EGP</t>
        </is>
      </c>
      <c r="E24" s="6" t="inlineStr"/>
      <c r="F24" s="6" t="inlineStr"/>
    </row>
    <row r="25">
      <c r="B25" s="16" t="inlineStr">
        <is>
          <t>Cost per registered entrepreneur</t>
        </is>
      </c>
      <c r="C25" s="19" t="n">
        <v>0.2</v>
      </c>
      <c r="D25" s="20" t="n">
        <v>10.64</v>
      </c>
      <c r="E25" s="21" t="inlineStr"/>
      <c r="F25" s="21" t="inlineStr"/>
    </row>
    <row r="26">
      <c r="B26" s="16" t="inlineStr">
        <is>
          <t>Cost per entrepreneur who finishes the free tier</t>
        </is>
      </c>
      <c r="C26" s="19" t="n">
        <v>0.89</v>
      </c>
      <c r="D26" s="20" t="n">
        <v>47.31</v>
      </c>
      <c r="E26" s="21" t="inlineStr"/>
      <c r="F26" s="21" t="inlineStr"/>
    </row>
    <row r="27">
      <c r="B27" s="16" t="inlineStr">
        <is>
          <t>Cost per entrepreneur who finishes all 15 missions</t>
        </is>
      </c>
      <c r="C27" s="19" t="n">
        <v>7.41</v>
      </c>
      <c r="D27" s="20" t="n">
        <v>394.22</v>
      </c>
      <c r="E27" s="21" t="inlineStr"/>
      <c r="F27" s="21" t="inlineStr"/>
    </row>
    <row r="28">
      <c r="B28" s="16" t="inlineStr">
        <is>
          <t>Cost per idea in the bank</t>
        </is>
      </c>
      <c r="C28" s="19" t="n">
        <v>0.65</v>
      </c>
      <c r="D28" s="20" t="n">
        <v>34.78</v>
      </c>
      <c r="E28" s="21" t="inlineStr"/>
      <c r="F28" s="21" t="inlineStr"/>
    </row>
    <row r="29">
      <c r="B29" s="16" t="inlineStr">
        <is>
          <t>Cost per venture trading at month 12</t>
        </is>
      </c>
      <c r="C29" s="19" t="n">
        <v>123.46</v>
      </c>
      <c r="D29" s="20" t="n">
        <v>6570.37</v>
      </c>
      <c r="E29" s="21" t="inlineStr"/>
      <c r="F29" s="21" t="inlineStr"/>
    </row>
    <row r="31" ht="44" customHeight="1">
      <c r="B31" s="22" t="inlineStr">
        <is>
          <t>Twenty cents a head is not a number a corporate programme can reach on its own, and it is the whole argument for a coalition. The cost per entrepreneur who finishes all fifteen missions, $7.41, is the number to compare against anything else a partner funds, because that is a person who took an idea to a tested model, a prototype and a launch plan.</t>
        </is>
      </c>
    </row>
  </sheetData>
  <mergeCells count="3">
    <mergeCell ref="B31:F31"/>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showGridLines="0" workbookViewId="0">
      <selection activeCell="A1" sqref="A1"/>
    </sheetView>
  </sheetViews>
  <sheetFormatPr baseColWidth="8" defaultRowHeight="15"/>
  <cols>
    <col width="3" customWidth="1" min="1" max="1"/>
    <col width="30" customWidth="1" min="2" max="2"/>
    <col width="11" customWidth="1" min="3" max="3"/>
    <col width="12" customWidth="1" min="4" max="4"/>
    <col width="15" customWidth="1" min="5" max="5"/>
    <col width="72" customWidth="1" min="6" max="6"/>
  </cols>
  <sheetData>
    <row r="1" ht="28" customHeight="1">
      <c r="A1" s="1" t="inlineStr">
        <is>
          <t>Seeded by partners, carried by the loop</t>
        </is>
      </c>
    </row>
    <row r="2" ht="19" customHeight="1">
      <c r="A2" s="2" t="inlineStr">
        <is>
          <t>A million is not bought. It is referred.</t>
        </is>
      </c>
    </row>
    <row r="4">
      <c r="B4" s="3" t="inlineStr">
        <is>
          <t>THE SEED</t>
        </is>
      </c>
    </row>
    <row r="5" ht="28" customHeight="1">
      <c r="B5" s="6" t="inlineStr">
        <is>
          <t>Channel</t>
        </is>
      </c>
      <c r="C5" s="6" t="inlineStr">
        <is>
          <t>How many</t>
        </is>
      </c>
      <c r="D5" s="6" t="inlineStr">
        <is>
          <t>Each</t>
        </is>
      </c>
      <c r="E5" s="6" t="inlineStr">
        <is>
          <t>Registrations</t>
        </is>
      </c>
      <c r="F5" s="6" t="inlineStr">
        <is>
          <t>Why</t>
        </is>
      </c>
    </row>
    <row r="6" ht="37.2" customHeight="1">
      <c r="B6" s="7" t="inlineStr">
        <is>
          <t>Telecom, bank and corporate partner messaging</t>
        </is>
      </c>
      <c r="C6" s="9" t="n">
        <v>3</v>
      </c>
      <c r="D6" s="9" t="n">
        <v>60000</v>
      </c>
      <c r="E6" s="23">
        <f>C6*D6</f>
        <v/>
      </c>
      <c r="F6" s="11" t="inlineStr">
        <is>
          <t>A telecom partner messaging its own base, a bank in its app, a retailer to its customers. Pure in-kind, and the largest single lever in the plan.</t>
        </is>
      </c>
    </row>
    <row r="7" ht="37.2" customHeight="1">
      <c r="B7" s="7" t="inlineStr">
        <is>
          <t>Community supporter chapters</t>
        </is>
      </c>
      <c r="C7" s="9" t="n">
        <v>150</v>
      </c>
      <c r="D7" s="9" t="n">
        <v>1000</v>
      </c>
      <c r="E7" s="23">
        <f>C7*D7</f>
        <v/>
      </c>
      <c r="F7" s="11" t="inlineStr">
        <is>
          <t>150 university and youth chapters inviting their own members. The highest converting channel, because the invitation comes from somebody the student knows.</t>
        </is>
      </c>
    </row>
    <row r="8" ht="26" customHeight="1">
      <c r="B8" s="7" t="inlineStr">
        <is>
          <t>Ambassadors</t>
        </is>
      </c>
      <c r="C8" s="9" t="n">
        <v>1000</v>
      </c>
      <c r="D8" s="9" t="n">
        <v>60</v>
      </c>
      <c r="E8" s="23">
        <f>C8*D8</f>
        <v/>
      </c>
      <c r="F8" s="11" t="inlineStr">
        <is>
          <t>1,000 student ambassadors with a referral code, ranked publicly on a national leaderboard.</t>
        </is>
      </c>
    </row>
    <row r="9" ht="26" customHeight="1">
      <c r="B9" s="7" t="inlineStr">
        <is>
          <t>NGO and development partner networks</t>
        </is>
      </c>
      <c r="C9" s="9" t="n">
        <v>18</v>
      </c>
      <c r="D9" s="9" t="n">
        <v>3000</v>
      </c>
      <c r="E9" s="23">
        <f>C9*D9</f>
        <v/>
      </c>
      <c r="F9" s="11" t="inlineStr">
        <is>
          <t>Branch networks, beneficiary lists and governorate programmes, mostly outside Cairo.</t>
        </is>
      </c>
    </row>
    <row r="10" ht="26" customHeight="1">
      <c r="B10" s="7" t="inlineStr">
        <is>
          <t>Mission Zero, press and organic</t>
        </is>
      </c>
      <c r="C10" s="9" t="n">
        <v>1</v>
      </c>
      <c r="D10" s="9" t="n">
        <v>56000</v>
      </c>
      <c r="E10" s="23">
        <f>C10*D10</f>
        <v/>
      </c>
      <c r="F10" s="11" t="inlineStr">
        <is>
          <t>The founder podcast clipped for short video, launch and showcase press, and organic traffic.</t>
        </is>
      </c>
    </row>
    <row r="11">
      <c r="B11" s="12" t="inlineStr">
        <is>
          <t>Seed registrations</t>
        </is>
      </c>
      <c r="E11" s="14">
        <f>SUM(E6:E10)</f>
        <v/>
      </c>
    </row>
    <row r="13" ht="32" customHeight="1">
      <c r="B13" s="16" t="inlineStr">
        <is>
          <t>Viral coefficient</t>
        </is>
      </c>
      <c r="E13" s="24" t="n">
        <v>0.5</v>
      </c>
      <c r="F13" s="11" t="inlineStr">
        <is>
          <t>Each registered entrepreneur brings this many more across the wave, through the referral unlock on mission 04 and the shareable card after every mission.</t>
        </is>
      </c>
    </row>
    <row r="14">
      <c r="B14" s="16" t="inlineStr">
        <is>
          <t>Multiplier</t>
        </is>
      </c>
      <c r="E14" s="25">
        <f>1/(1-E13)</f>
        <v/>
      </c>
      <c r="F14" s="11" t="inlineStr">
        <is>
          <t>The sum of the series, not a guess.</t>
        </is>
      </c>
    </row>
    <row r="15" ht="24" customHeight="1">
      <c r="B15" s="26" t="inlineStr">
        <is>
          <t>Registered entrepreneurs</t>
        </is>
      </c>
      <c r="E15" s="27">
        <f>E11/(1-E13)</f>
        <v/>
      </c>
      <c r="F15" s="11" t="inlineStr">
        <is>
          <t>The million.</t>
        </is>
      </c>
    </row>
    <row r="17">
      <c r="B17" s="3" t="inlineStr">
        <is>
          <t>THE NINE MECHANICS</t>
        </is>
      </c>
    </row>
    <row r="18" ht="26" customHeight="1">
      <c r="B18" s="28" t="inlineStr">
        <is>
          <t>The first three missions are free, for everyone, forever</t>
        </is>
      </c>
      <c r="C18" s="29" t="inlineStr">
        <is>
          <t>No sponsor, no institution, no code. The thing that spreads has to be the thing itself, and nothing spreads that asks for a credit card on the first screen.</t>
        </is>
      </c>
    </row>
    <row r="19" ht="26" customHeight="1">
      <c r="B19" s="28" t="inlineStr">
        <is>
          <t>Unlock by inviting</t>
        </is>
      </c>
      <c r="C19" s="29" t="inlineStr">
        <is>
          <t>Mission 04 opens when a founder brings two others who finish mission 01. That is the referral loop, it is built into the product rather than bolted on as a campaign, and it is where the viral coefficient comes from.</t>
        </is>
      </c>
    </row>
    <row r="20" ht="26" customHeight="1">
      <c r="B20" s="28" t="inlineStr">
        <is>
          <t>A shareable card for every mission finished</t>
        </is>
      </c>
      <c r="C20" s="29" t="inlineStr">
        <is>
          <t>Arabic, designed to be posted, with the founder's name and what they built. Fifteen chances for every participant to advertise the initiative to their own network.</t>
        </is>
      </c>
    </row>
    <row r="21" ht="26" customHeight="1">
      <c r="B21" s="28" t="inlineStr">
        <is>
          <t>The chapter leaderboard</t>
        </is>
      </c>
      <c r="C21" s="29" t="inlineStr">
        <is>
          <t>Universities ranked publicly by registrations and by completions. Student organisations will compete for a ranking harder than they will work for a fee.</t>
        </is>
      </c>
    </row>
    <row r="22" ht="26" customHeight="1">
      <c r="B22" s="28" t="inlineStr">
        <is>
          <t>The ambassador leaderboard</t>
        </is>
      </c>
      <c r="C22" s="29" t="inlineStr">
        <is>
          <t>1,000 ambassadors, each with a code, ranked weekly. The top fifty go to the national demo day.</t>
        </is>
      </c>
    </row>
    <row r="23" ht="26" customHeight="1">
      <c r="B23" s="28" t="inlineStr">
        <is>
          <t>Challenge weeks</t>
        </is>
      </c>
      <c r="C23" s="29" t="inlineStr">
        <is>
          <t>Four seven-day national challenges across the wave, each with one shareable output and a deadline. A deadline is what turns a registration into a submission.</t>
        </is>
      </c>
    </row>
    <row r="24" ht="26" customHeight="1">
      <c r="B24" s="28" t="inlineStr">
        <is>
          <t>Governorate rivalry</t>
        </is>
      </c>
      <c r="C24" s="29" t="inlineStr">
        <is>
          <t>A public map, updated weekly, by registrations per thousand young people. Upper Egypt against the Delta is a better growth engine than any advertising budget.</t>
        </is>
      </c>
    </row>
    <row r="25" ht="26" customHeight="1">
      <c r="B25" s="28" t="inlineStr">
        <is>
          <t>Short video from Mission Zero</t>
        </is>
      </c>
      <c r="C25" s="29" t="inlineStr">
        <is>
          <t>Every podcast episode cut into vertical clips. Founder stories are the content that travels, and we are making it anyway.</t>
        </is>
      </c>
    </row>
    <row r="26" ht="26" customHeight="1">
      <c r="B26" s="28" t="inlineStr">
        <is>
          <t>Partner amplification on a schedule</t>
        </is>
      </c>
      <c r="C26" s="29" t="inlineStr">
        <is>
          <t>Every partner commits to a messaging calendar at signature, not when they get round to it. One telco push in week one is worth more than six months of organic.</t>
        </is>
      </c>
    </row>
    <row r="28" ht="44" customHeight="1">
      <c r="B28" s="22" t="inlineStr">
        <is>
          <t>The loop is in the product, not in a campaign. Mission 04 opens when a founder brings two others who finish mission 01, and every mission finished generates a card in Arabic designed to be posted. A referral scheme bolted on at launch does not produce a coefficient like this; one built into the thing itself might.</t>
        </is>
      </c>
    </row>
  </sheetData>
  <mergeCells count="12">
    <mergeCell ref="C22:F22"/>
    <mergeCell ref="C18:F18"/>
    <mergeCell ref="A1:G1"/>
    <mergeCell ref="C23:F23"/>
    <mergeCell ref="C20:F20"/>
    <mergeCell ref="C26:F26"/>
    <mergeCell ref="B28:F28"/>
    <mergeCell ref="C21:F21"/>
    <mergeCell ref="A2:G2"/>
    <mergeCell ref="C25:F25"/>
    <mergeCell ref="C24:F24"/>
    <mergeCell ref="C19:F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showGridLines="0" workbookViewId="0">
      <selection activeCell="A1" sqref="A1"/>
    </sheetView>
  </sheetViews>
  <sheetFormatPr baseColWidth="8" defaultRowHeight="15"/>
  <cols>
    <col width="3" customWidth="1" min="1" max="1"/>
    <col width="34" customWidth="1" min="2" max="2"/>
    <col width="16" customWidth="1" min="3" max="3"/>
    <col width="92" customWidth="1" min="4" max="4"/>
  </cols>
  <sheetData>
    <row r="1" ht="28" customHeight="1">
      <c r="A1" s="1" t="inlineStr">
        <is>
          <t>Registered, finished, trading</t>
        </is>
      </c>
    </row>
    <row r="2" ht="19" customHeight="1">
      <c r="A2" s="2" t="inlineStr">
        <is>
          <t>Free and online, with no facilitator standing over anybody. The rates reflect that.</t>
        </is>
      </c>
    </row>
    <row r="4" ht="28" customHeight="1">
      <c r="B4" s="6" t="inlineStr">
        <is>
          <t>Stage</t>
        </is>
      </c>
      <c r="C4" s="6" t="inlineStr">
        <is>
          <t>Wave 1</t>
        </is>
      </c>
      <c r="D4" s="6" t="inlineStr">
        <is>
          <t>What it means</t>
        </is>
      </c>
    </row>
    <row r="5" ht="24" customHeight="1">
      <c r="B5" s="7" t="inlineStr">
        <is>
          <t>Seed registrations, from partners and chapters</t>
        </is>
      </c>
      <c r="C5" s="30" t="n">
        <v>500000</v>
      </c>
      <c r="D5" s="11" t="inlineStr">
        <is>
          <t>What the coalition's own channels produce before anybody shares anything.</t>
        </is>
      </c>
    </row>
    <row r="6" ht="24" customHeight="1">
      <c r="B6" s="7" t="inlineStr">
        <is>
          <t>Registered entrepreneurs</t>
        </is>
      </c>
      <c r="C6" s="30" t="n">
        <v>1000000</v>
      </c>
      <c r="D6" s="11" t="inlineStr">
        <is>
          <t>Seed multiplied by the referral loop at a viral coefficient of 0.50. This is the million.</t>
        </is>
      </c>
    </row>
    <row r="7" ht="24" customHeight="1">
      <c r="B7" s="7" t="inlineStr">
        <is>
          <t>Mission 01 completed</t>
        </is>
      </c>
      <c r="C7" s="30" t="n">
        <v>450000</v>
      </c>
      <c r="D7" s="11" t="inlineStr">
        <is>
          <t>The first real act of work, and the first honest number.</t>
        </is>
      </c>
    </row>
    <row r="8" ht="24" customHeight="1">
      <c r="B8" s="7" t="inlineStr">
        <is>
          <t>Missions 01 to 03 completed</t>
        </is>
      </c>
      <c r="C8" s="30" t="n">
        <v>225000</v>
      </c>
      <c r="D8" s="11" t="inlineStr">
        <is>
          <t>The free tier finished.</t>
        </is>
      </c>
    </row>
    <row r="9" ht="24" customHeight="1">
      <c r="B9" s="7" t="inlineStr">
        <is>
          <t>All 15 missions completed</t>
        </is>
      </c>
      <c r="C9" s="30" t="n">
        <v>27000</v>
      </c>
      <c r="D9" s="11" t="inlineStr">
        <is>
          <t>An idea taken to a tested model, a prototype and a launch plan.</t>
        </is>
      </c>
    </row>
    <row r="10" ht="24" customHeight="1">
      <c r="B10" s="7" t="inlineStr">
        <is>
          <t>Ideas in the bank</t>
        </is>
      </c>
      <c r="C10" s="30" t="n">
        <v>306000</v>
      </c>
      <c r="D10" s="11" t="inlineStr">
        <is>
          <t>Consented, structured, and the asset the wave leaves behind.</t>
        </is>
      </c>
    </row>
    <row r="11" ht="24" customHeight="1">
      <c r="B11" s="7" t="inlineStr">
        <is>
          <t>Ventures trading at month 12</t>
        </is>
      </c>
      <c r="C11" s="30" t="n">
        <v>1620</v>
      </c>
      <c r="D11" s="11" t="inlineStr">
        <is>
          <t>Measured twelve months after the wave closes, not at the end of it.</t>
        </is>
      </c>
    </row>
    <row r="13">
      <c r="B13" s="3" t="inlineStr">
        <is>
          <t>THE RATES, AND WHY EACH ONE</t>
        </is>
      </c>
    </row>
    <row r="14" ht="28" customHeight="1">
      <c r="B14" s="6" t="inlineStr">
        <is>
          <t>Rate</t>
        </is>
      </c>
      <c r="C14" s="6" t="inlineStr">
        <is>
          <t>Assumed</t>
        </is>
      </c>
      <c r="D14" s="6" t="inlineStr">
        <is>
          <t>Why</t>
        </is>
      </c>
    </row>
    <row r="15" ht="24" customHeight="1">
      <c r="B15" s="7" t="inlineStr">
        <is>
          <t>Registered to Mission 01 complete</t>
        </is>
      </c>
      <c r="C15" s="31" t="n">
        <v>0.45</v>
      </c>
      <c r="D15" s="11" t="inlineStr">
        <is>
          <t>Free, online, no facilitator. Lower than a supported cohort would be, and honestly so.</t>
        </is>
      </c>
    </row>
    <row r="16" ht="24" customHeight="1">
      <c r="B16" s="7" t="inlineStr">
        <is>
          <t>Mission 01 to Missions 01-03 complete</t>
        </is>
      </c>
      <c r="C16" s="31" t="n">
        <v>0.5</v>
      </c>
      <c r="D16" s="11" t="inlineStr">
        <is>
          <t>The end of the free tier, and the point the referral unlock bites.</t>
        </is>
      </c>
    </row>
    <row r="17" ht="24.8" customHeight="1">
      <c r="B17" s="7" t="inlineStr">
        <is>
          <t>Missions 01-03 to all 15 complete</t>
        </is>
      </c>
      <c r="C17" s="31" t="n">
        <v>0.12</v>
      </c>
      <c r="D17" s="11" t="inlineStr">
        <is>
          <t>Fifteen missions is real work with no facilitator standing over anyone. Twelve per cent of a very large number is still a large number.</t>
        </is>
      </c>
    </row>
    <row r="18" ht="24" customHeight="1">
      <c r="B18" s="7" t="inlineStr">
        <is>
          <t>Ideas entering the bank, as a share of Mission 01 completers</t>
        </is>
      </c>
      <c r="C18" s="31" t="n">
        <v>0.68</v>
      </c>
      <c r="D18" s="11" t="inlineStr">
        <is>
          <t>Mission 01 is where a problem becomes a stated idea.</t>
        </is>
      </c>
    </row>
    <row r="19" ht="24.8" customHeight="1">
      <c r="B19" s="7" t="inlineStr">
        <is>
          <t>Ventures trading at month 12, as a share of full completers</t>
        </is>
      </c>
      <c r="C19" s="31" t="n">
        <v>0.06</v>
      </c>
      <c r="D19" s="11" t="inlineStr">
        <is>
          <t>Measured a year after the wave, and deliberately conservative because nobody held their hand.</t>
        </is>
      </c>
    </row>
    <row r="21" ht="44" customHeight="1">
      <c r="B21" s="22" t="inlineStr">
        <is>
          <t>Forty-five per cent finishing mission 01 is lower than a supported cohort would produce, and honestly so: nobody is holding anyone's hand. The headline the initiative publishes is the completion rate, not the registration number, because a million registrations with nothing behind them would be worth nothing to any partner on the list.</t>
        </is>
      </c>
    </row>
  </sheetData>
  <mergeCells count="3">
    <mergeCell ref="A2:F2"/>
    <mergeCell ref="A1:F1"/>
    <mergeCell ref="B21:D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3" customWidth="1" min="1" max="1"/>
    <col width="28" customWidth="1" min="2" max="2"/>
    <col width="11" customWidth="1" min="3" max="3"/>
    <col width="11" customWidth="1" min="4" max="4"/>
    <col width="13" customWidth="1" min="5" max="5"/>
    <col width="20" customWidth="1" min="6" max="6"/>
    <col width="60" customWidth="1" min="7" max="7"/>
  </cols>
  <sheetData>
    <row r="1" ht="28" customHeight="1">
      <c r="A1" s="1" t="inlineStr">
        <is>
          <t>Everything that happens live</t>
        </is>
      </c>
    </row>
    <row r="2" ht="19" customHeight="1">
      <c r="A2" s="2" t="inlineStr">
        <is>
          <t>There are no paid in-person cohorts in this wave. This is the whole of what happens in a room or on a call.</t>
        </is>
      </c>
    </row>
    <row r="4">
      <c r="B4" s="3" t="inlineStr">
        <is>
          <t>EVENTS</t>
        </is>
      </c>
    </row>
    <row r="5" ht="28" customHeight="1">
      <c r="B5" s="6" t="inlineStr">
        <is>
          <t>Item</t>
        </is>
      </c>
      <c r="C5" s="6" t="inlineStr">
        <is>
          <t>How many</t>
        </is>
      </c>
      <c r="D5" s="6" t="inlineStr">
        <is>
          <t>Each</t>
        </is>
      </c>
      <c r="E5" s="6" t="inlineStr">
        <is>
          <t>Total</t>
        </is>
      </c>
      <c r="F5" s="6" t="inlineStr">
        <is>
          <t>When</t>
        </is>
      </c>
      <c r="G5" s="6" t="inlineStr">
        <is>
          <t>What it is for</t>
        </is>
      </c>
    </row>
    <row r="6" ht="37.2" customHeight="1">
      <c r="B6" s="7" t="inlineStr">
        <is>
          <t>National launch, Cairo</t>
        </is>
      </c>
      <c r="C6" s="9" t="n">
        <v>1</v>
      </c>
      <c r="D6" s="17" t="n">
        <v>8000</v>
      </c>
      <c r="E6" s="8">
        <f>C6*D6</f>
        <v/>
      </c>
      <c r="F6" s="32" t="inlineStr">
        <is>
          <t>March 2027</t>
        </is>
      </c>
      <c r="G6" s="11" t="inlineStr">
        <is>
          <t>The coalition on stage, the patron ministries present, the press in the room, and a million-person target announced in public, which is what makes it real.</t>
        </is>
      </c>
    </row>
    <row r="7" ht="26" customHeight="1">
      <c r="B7" s="7" t="inlineStr">
        <is>
          <t>Regional showcases</t>
        </is>
      </c>
      <c r="C7" s="9" t="n">
        <v>6</v>
      </c>
      <c r="D7" s="17" t="n">
        <v>3000</v>
      </c>
      <c r="E7" s="8">
        <f>C7*D7</f>
        <v/>
      </c>
      <c r="F7" s="32" t="inlineStr">
        <is>
          <t>May to July 2027</t>
        </is>
      </c>
      <c r="G7" s="11" t="inlineStr">
        <is>
          <t>Six regions, run with the chapters and the partners who host them. Venue, judges, prizes and media.</t>
        </is>
      </c>
    </row>
    <row r="8" ht="37.2" customHeight="1">
      <c r="B8" s="7" t="inlineStr">
        <is>
          <t>National demo day</t>
        </is>
      </c>
      <c r="C8" s="9" t="n">
        <v>1</v>
      </c>
      <c r="D8" s="17" t="n">
        <v>7000</v>
      </c>
      <c r="E8" s="8">
        <f>C8*D8</f>
        <v/>
      </c>
      <c r="F8" s="32" t="inlineStr">
        <is>
          <t>August 2027</t>
        </is>
      </c>
      <c r="G8" s="11" t="inlineStr">
        <is>
          <t>The best teams in the country, travelled and accommodated, in front of the coalition and the ministries. The top fifty ambassadors come too.</t>
        </is>
      </c>
    </row>
    <row r="9" ht="26" customHeight="1">
      <c r="B9" s="7" t="inlineStr">
        <is>
          <t>Partner council meetings</t>
        </is>
      </c>
      <c r="C9" s="9" t="n">
        <v>6</v>
      </c>
      <c r="D9" s="17" t="n">
        <v>200</v>
      </c>
      <c r="E9" s="8">
        <f>C9*D9</f>
        <v/>
      </c>
      <c r="F9" s="32" t="inlineStr">
        <is>
          <t>Monthly</t>
        </is>
      </c>
      <c r="G9" s="11" t="inlineStr">
        <is>
          <t>One hour, one dashboard, and the room where partners meet each other.</t>
        </is>
      </c>
    </row>
    <row r="10" ht="26" customHeight="1">
      <c r="B10" s="7" t="inlineStr">
        <is>
          <t>Judge and mentor briefings</t>
        </is>
      </c>
      <c r="C10" s="9" t="n">
        <v>4</v>
      </c>
      <c r="D10" s="17" t="n">
        <v>200</v>
      </c>
      <c r="E10" s="8">
        <f>C10*D10</f>
        <v/>
      </c>
      <c r="F10" s="32" t="inlineStr">
        <is>
          <t>Before each showcase</t>
        </is>
      </c>
      <c r="G10" s="11" t="inlineStr">
        <is>
          <t>Sponsor staff cannot judge well without being briefed.</t>
        </is>
      </c>
    </row>
    <row r="11">
      <c r="B11" s="12" t="inlineStr">
        <is>
          <t>Total, against a budget line of $35,000</t>
        </is>
      </c>
      <c r="E11" s="13">
        <f>SUM(E6:E10)</f>
        <v/>
      </c>
    </row>
    <row r="13">
      <c r="B13" s="3" t="inlineStr">
        <is>
          <t>LIVE DELIVERY AND CONTENT</t>
        </is>
      </c>
    </row>
    <row r="14" ht="28" customHeight="1">
      <c r="B14" s="6" t="inlineStr">
        <is>
          <t>Item</t>
        </is>
      </c>
      <c r="C14" s="6" t="inlineStr">
        <is>
          <t>How many</t>
        </is>
      </c>
      <c r="D14" s="6" t="inlineStr">
        <is>
          <t>Each</t>
        </is>
      </c>
      <c r="E14" s="6" t="inlineStr">
        <is>
          <t>Total</t>
        </is>
      </c>
      <c r="F14" s="6" t="inlineStr">
        <is>
          <t>When</t>
        </is>
      </c>
      <c r="G14" s="6" t="inlineStr">
        <is>
          <t>What it is for</t>
        </is>
      </c>
    </row>
    <row r="15" ht="37.2" customHeight="1">
      <c r="B15" s="7" t="inlineStr">
        <is>
          <t>Live webinars in Arabic</t>
        </is>
      </c>
      <c r="C15" s="9" t="n">
        <v>24</v>
      </c>
      <c r="D15" s="17" t="n">
        <v>500</v>
      </c>
      <c r="E15" s="8">
        <f>C15*D15</f>
        <v/>
      </c>
      <c r="F15" s="32" t="inlineStr">
        <is>
          <t>Weekly</t>
        </is>
      </c>
      <c r="G15" s="11" t="inlineStr">
        <is>
          <t>One a week for the whole wave, recorded and left on the platform. A webinar serves twenty thousand people for the price of a quarter of a cohort.</t>
        </is>
      </c>
    </row>
    <row r="16" ht="37.2" customHeight="1">
      <c r="B16" s="7" t="inlineStr">
        <is>
          <t>Info session kits and host training</t>
        </is>
      </c>
      <c r="C16" s="9" t="n">
        <v>300</v>
      </c>
      <c r="D16" s="17" t="n">
        <v>20</v>
      </c>
      <c r="E16" s="8">
        <f>C16*D16</f>
        <v/>
      </c>
      <c r="F16" s="32" t="inlineStr">
        <is>
          <t>On partner request</t>
        </is>
      </c>
      <c r="G16" s="11" t="inlineStr">
        <is>
          <t>Offline sessions happen where a partner asks for one and hosts it: their venue, their people, our kit and our training. We pay for the kit, not for the room.</t>
        </is>
      </c>
    </row>
    <row r="17" ht="26" customHeight="1">
      <c r="B17" s="7" t="inlineStr">
        <is>
          <t>Mission localisation and production</t>
        </is>
      </c>
      <c r="C17" s="9" t="n">
        <v>1</v>
      </c>
      <c r="D17" s="17" t="n">
        <v>7000</v>
      </c>
      <c r="E17" s="8">
        <f>C17*D17</f>
        <v/>
      </c>
      <c r="F17" s="32" t="inlineStr">
        <is>
          <t>Before the wave</t>
        </is>
      </c>
      <c r="G17" s="11" t="inlineStr">
        <is>
          <t>The fifteen missions and the review rubric, produced for an Egyptian audience rather than translated for one.</t>
        </is>
      </c>
    </row>
    <row r="18">
      <c r="B18" s="12" t="inlineStr">
        <is>
          <t>Total, against a budget line of $25,000</t>
        </is>
      </c>
      <c r="E18" s="13">
        <f>SUM(E15:E17)</f>
        <v/>
      </c>
    </row>
    <row r="20" ht="44" customHeight="1">
      <c r="B20" s="22" t="inlineStr">
        <is>
          <t>Offline info sessions are hosted by partners: their venue, their people, our kit and our training. The initiative pays $20 for a kit, not for a room, which is why 300 of them cost less than two in-person cohorts would. Where they happen, and how many, is a partner's call rather than ours.</t>
        </is>
      </c>
    </row>
  </sheetData>
  <mergeCells count="3">
    <mergeCell ref="B20:G20"/>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
  <sheetViews>
    <sheetView showGridLines="0" workbookViewId="0">
      <selection activeCell="A1" sqref="A1"/>
    </sheetView>
  </sheetViews>
  <sheetFormatPr baseColWidth="8" defaultRowHeight="15"/>
  <cols>
    <col width="3" customWidth="1" min="1" max="1"/>
    <col width="34" customWidth="1" min="2" max="2"/>
    <col width="12" customWidth="1" min="3" max="3"/>
    <col width="12" customWidth="1" min="4" max="4"/>
    <col width="12" customWidth="1" min="5" max="5"/>
    <col width="12" customWidth="1" min="6" max="6"/>
    <col width="12" customWidth="1" min="7" max="7"/>
    <col width="12" customWidth="1" min="8" max="8"/>
    <col width="14" customWidth="1" min="9" max="9"/>
  </cols>
  <sheetData>
    <row r="1" ht="28" customHeight="1">
      <c r="A1" s="1" t="inlineStr">
        <is>
          <t>When the money leaves, and where the million is by then</t>
        </is>
      </c>
    </row>
    <row r="2" ht="19" customHeight="1">
      <c r="A2" s="2" t="inlineStr">
        <is>
          <t>Not evenly. The launch, the content and most of the ambassador recruitment happen before the loop has produced anybody.</t>
        </is>
      </c>
    </row>
    <row r="4" ht="28" customHeight="1">
      <c r="B4" s="6" t="inlineStr">
        <is>
          <t>Line</t>
        </is>
      </c>
      <c r="C4" s="6" t="inlineStr">
        <is>
          <t>Month 1
March</t>
        </is>
      </c>
      <c r="D4" s="6" t="inlineStr">
        <is>
          <t>Month 2
April</t>
        </is>
      </c>
      <c r="E4" s="6" t="inlineStr">
        <is>
          <t>Month 3
May</t>
        </is>
      </c>
      <c r="F4" s="6" t="inlineStr">
        <is>
          <t>Month 4
June</t>
        </is>
      </c>
      <c r="G4" s="6" t="inlineStr">
        <is>
          <t>Month 5
July</t>
        </is>
      </c>
      <c r="H4" s="6" t="inlineStr">
        <is>
          <t>Month 6
August</t>
        </is>
      </c>
      <c r="I4" s="6" t="inlineStr">
        <is>
          <t>Total</t>
        </is>
      </c>
    </row>
    <row r="5" ht="26" customHeight="1">
      <c r="B5" s="7" t="inlineStr">
        <is>
          <t>Platform, AI review and hosting</t>
        </is>
      </c>
      <c r="C5" s="17" t="n">
        <v>6000</v>
      </c>
      <c r="D5" s="17" t="n">
        <v>9000</v>
      </c>
      <c r="E5" s="17" t="n">
        <v>10800</v>
      </c>
      <c r="F5" s="17" t="n">
        <v>11400</v>
      </c>
      <c r="G5" s="17" t="n">
        <v>12000</v>
      </c>
      <c r="H5" s="17" t="n">
        <v>10800</v>
      </c>
      <c r="I5" s="8">
        <f>SUM(C5:H5)</f>
        <v/>
      </c>
    </row>
    <row r="6" ht="26" customHeight="1">
      <c r="B6" s="7" t="inlineStr">
        <is>
          <t>Content, webinars and the info session kit</t>
        </is>
      </c>
      <c r="C6" s="17" t="n">
        <v>7500</v>
      </c>
      <c r="D6" s="17" t="n">
        <v>4000</v>
      </c>
      <c r="E6" s="17" t="n">
        <v>3500</v>
      </c>
      <c r="F6" s="17" t="n">
        <v>3500</v>
      </c>
      <c r="G6" s="17" t="n">
        <v>3500</v>
      </c>
      <c r="H6" s="17" t="n">
        <v>3000</v>
      </c>
      <c r="I6" s="8">
        <f>SUM(C6:H6)</f>
        <v/>
      </c>
    </row>
    <row r="7" ht="26" customHeight="1">
      <c r="B7" s="7" t="inlineStr">
        <is>
          <t>Community: ambassadors and chapters</t>
        </is>
      </c>
      <c r="C7" s="17" t="n">
        <v>9000</v>
      </c>
      <c r="D7" s="17" t="n">
        <v>6000</v>
      </c>
      <c r="E7" s="17" t="n">
        <v>4200</v>
      </c>
      <c r="F7" s="17" t="n">
        <v>3600</v>
      </c>
      <c r="G7" s="17" t="n">
        <v>3600</v>
      </c>
      <c r="H7" s="17" t="n">
        <v>3600</v>
      </c>
      <c r="I7" s="8">
        <f>SUM(C7:H7)</f>
        <v/>
      </c>
    </row>
    <row r="8" ht="26" customHeight="1">
      <c r="B8" s="7" t="inlineStr">
        <is>
          <t>Events: launch, regional showcases, demo day</t>
        </is>
      </c>
      <c r="C8" s="17" t="n">
        <v>8400</v>
      </c>
      <c r="D8" s="17" t="n">
        <v>1050</v>
      </c>
      <c r="E8" s="17" t="n">
        <v>1050</v>
      </c>
      <c r="F8" s="17" t="n">
        <v>3150</v>
      </c>
      <c r="G8" s="17" t="n">
        <v>14350</v>
      </c>
      <c r="H8" s="17" t="n">
        <v>7000</v>
      </c>
      <c r="I8" s="8">
        <f>SUM(C8:H8)</f>
        <v/>
      </c>
    </row>
    <row r="9" ht="26" customHeight="1">
      <c r="B9" s="7" t="inlineStr">
        <is>
          <t>Measurement, reporting and evaluation</t>
        </is>
      </c>
      <c r="C9" s="17" t="n">
        <v>1500</v>
      </c>
      <c r="D9" s="17" t="n">
        <v>750</v>
      </c>
      <c r="E9" s="17" t="n">
        <v>3000</v>
      </c>
      <c r="F9" s="17" t="n">
        <v>750</v>
      </c>
      <c r="G9" s="17" t="n">
        <v>1500</v>
      </c>
      <c r="H9" s="17" t="n">
        <v>7500</v>
      </c>
      <c r="I9" s="8">
        <f>SUM(C9:H9)</f>
        <v/>
      </c>
    </row>
    <row r="10" ht="26" customHeight="1">
      <c r="B10" s="7" t="inlineStr">
        <is>
          <t>Programme coordination</t>
        </is>
      </c>
      <c r="C10" s="17" t="n">
        <v>5950</v>
      </c>
      <c r="D10" s="17" t="n">
        <v>5950</v>
      </c>
      <c r="E10" s="17" t="n">
        <v>5950</v>
      </c>
      <c r="F10" s="17" t="n">
        <v>5950</v>
      </c>
      <c r="G10" s="17" t="n">
        <v>5600</v>
      </c>
      <c r="H10" s="17" t="n">
        <v>5600</v>
      </c>
      <c r="I10" s="8">
        <f>SUM(C10:H10)</f>
        <v/>
      </c>
    </row>
    <row r="11">
      <c r="B11" s="12" t="inlineStr">
        <is>
          <t>Total spend</t>
        </is>
      </c>
      <c r="C11" s="13">
        <f>SUM(C5:C10)</f>
        <v/>
      </c>
      <c r="D11" s="13">
        <f>SUM(D5:D10)</f>
        <v/>
      </c>
      <c r="E11" s="13">
        <f>SUM(E5:E10)</f>
        <v/>
      </c>
      <c r="F11" s="13">
        <f>SUM(F5:F10)</f>
        <v/>
      </c>
      <c r="G11" s="13">
        <f>SUM(G5:G10)</f>
        <v/>
      </c>
      <c r="H11" s="13">
        <f>SUM(H5:H10)</f>
        <v/>
      </c>
      <c r="I11" s="13">
        <f>SUM(I5:I10)</f>
        <v/>
      </c>
    </row>
    <row r="12">
      <c r="B12" s="16" t="inlineStr">
        <is>
          <t>Cumulative spend</t>
        </is>
      </c>
      <c r="C12" s="33">
        <f>SUM($C$11:C11)</f>
        <v/>
      </c>
      <c r="D12" s="33">
        <f>SUM($C$11:D11)</f>
        <v/>
      </c>
      <c r="E12" s="33">
        <f>SUM($C$11:E11)</f>
        <v/>
      </c>
      <c r="F12" s="33">
        <f>SUM($C$11:F11)</f>
        <v/>
      </c>
      <c r="G12" s="33">
        <f>SUM($C$11:G11)</f>
        <v/>
      </c>
      <c r="H12" s="33">
        <f>SUM($C$11:H11)</f>
        <v/>
      </c>
    </row>
    <row r="13">
      <c r="B13" s="16" t="inlineStr">
        <is>
          <t>Registered by month end</t>
        </is>
      </c>
      <c r="C13" s="23" t="n">
        <v>220000</v>
      </c>
      <c r="D13" s="23" t="n">
        <v>460000</v>
      </c>
      <c r="E13" s="23" t="n">
        <v>630000</v>
      </c>
      <c r="F13" s="23" t="n">
        <v>780000</v>
      </c>
      <c r="G13" s="23" t="n">
        <v>920000</v>
      </c>
      <c r="H13" s="23" t="n">
        <v>1000000</v>
      </c>
      <c r="I13" s="34" t="n">
        <v>1000000</v>
      </c>
    </row>
    <row r="15" ht="44" customHeight="1">
      <c r="B15" s="22" t="inlineStr">
        <is>
          <t>Roughly a third of the content and community budgets go before the launch, and the launch itself is in month one. Sponsorship is invoiced on signature rather than on delivery, so the coalition has to be signed and at least half invoiced before March. That is what the pre-wave months from October 2026 are for, and why nothing is announced until both Founding Partners have signed.</t>
        </is>
      </c>
    </row>
  </sheetData>
  <mergeCells count="3">
    <mergeCell ref="A1:I1"/>
    <mergeCell ref="A2:I2"/>
    <mergeCell ref="B15:I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2"/>
  <sheetViews>
    <sheetView showGridLines="0" workbookViewId="0">
      <selection activeCell="A1" sqref="A1"/>
    </sheetView>
  </sheetViews>
  <sheetFormatPr baseColWidth="8" defaultRowHeight="15"/>
  <cols>
    <col width="3" customWidth="1" min="1" max="1"/>
    <col width="40" customWidth="1" min="2" max="2"/>
    <col width="14" customWidth="1" min="3" max="3"/>
    <col width="16" customWidth="1" min="4" max="4"/>
    <col width="60" customWidth="1" min="5" max="5"/>
  </cols>
  <sheetData>
    <row r="1" ht="28" customHeight="1">
      <c r="A1" s="1" t="inlineStr">
        <is>
          <t>No cash in, and what comes back</t>
        </is>
      </c>
    </row>
    <row r="2" ht="19" customHeight="1">
      <c r="A2" s="2" t="inlineStr">
        <is>
          <t>StartPad funds none of this wave and takes no margin from it. A partner is entitled to know what the company gets instead.</t>
        </is>
      </c>
    </row>
    <row r="4">
      <c r="B4" s="3" t="inlineStr">
        <is>
          <t>WHAT STARTPAD CONTRIBUTES, NONE OF IT CASH</t>
        </is>
      </c>
    </row>
    <row r="5" ht="26" customHeight="1">
      <c r="B5" s="28" t="inlineStr">
        <is>
          <t>The platform</t>
        </is>
      </c>
      <c r="C5" s="29" t="inlineStr">
        <is>
          <t>Built, running and paid for. The initiative funds hosting and inference at a million-account scale, not the product.</t>
        </is>
      </c>
    </row>
    <row r="6" ht="26" customHeight="1">
      <c r="B6" s="28" t="inlineStr">
        <is>
          <t>The fifteen missions and the review rubric</t>
        </is>
      </c>
      <c r="C6" s="29" t="inlineStr">
        <is>
          <t>Four years of curriculum work, contributed. The initiative funds localisation and production, not the method.</t>
        </is>
      </c>
    </row>
    <row r="7" ht="26" customHeight="1">
      <c r="B7" s="28" t="inlineStr">
        <is>
          <t>The team's time</t>
        </is>
      </c>
      <c r="C7" s="29" t="inlineStr">
        <is>
          <t>Already on the payroll in the financial model. No part of the founders' or the engineers' salaries is charged to the coalition.</t>
        </is>
      </c>
    </row>
    <row r="8" ht="26" customHeight="1">
      <c r="B8" s="28" t="inlineStr">
        <is>
          <t>The brand and the coalition work</t>
        </is>
      </c>
      <c r="C8" s="29" t="inlineStr">
        <is>
          <t>Five months of approaches and memoranda before any money arrives, carried by the company because sponsorship cannot be spent before it is raised.</t>
        </is>
      </c>
    </row>
    <row r="10">
      <c r="B10" s="3" t="inlineStr">
        <is>
          <t>WHAT COMES BACK IN THE TWELVE MONTHS AFTER</t>
        </is>
      </c>
    </row>
    <row r="11" ht="28" customHeight="1">
      <c r="B11" s="6" t="inlineStr">
        <is>
          <t>Line</t>
        </is>
      </c>
      <c r="C11" s="6" t="inlineStr">
        <is>
          <t>USD</t>
        </is>
      </c>
      <c r="D11" s="6" t="inlineStr">
        <is>
          <t>EGP</t>
        </is>
      </c>
      <c r="E11" s="6" t="inlineStr">
        <is>
          <t>How it is counted</t>
        </is>
      </c>
    </row>
    <row r="12" ht="24" customHeight="1">
      <c r="B12" s="7" t="inlineStr">
        <is>
          <t>Pro subscriptions from 225,000 free-tier completers</t>
        </is>
      </c>
      <c r="C12" s="8" t="n">
        <v>67500</v>
      </c>
      <c r="D12" s="9">
        <f>C12*53.22</f>
        <v/>
      </c>
      <c r="E12" s="11" t="inlineStr">
        <is>
          <t>4,500 subscriptions at $15</t>
        </is>
      </c>
    </row>
    <row r="13" ht="24" customHeight="1">
      <c r="B13" s="7" t="inlineStr">
        <is>
          <t>Commercial programmes sold to info session hosts</t>
        </is>
      </c>
      <c r="C13" s="8" t="n">
        <v>16800</v>
      </c>
      <c r="D13" s="9">
        <f>C13*53.22</f>
        <v/>
      </c>
      <c r="E13" s="11" t="inlineStr">
        <is>
          <t>5 programmes at $3,500</t>
        </is>
      </c>
    </row>
    <row r="14" ht="24" customHeight="1">
      <c r="B14" s="7" t="inlineStr">
        <is>
          <t>Corporate and CSR programmes from sponsors</t>
        </is>
      </c>
      <c r="C14" s="8" t="n">
        <v>32640.00000000001</v>
      </c>
      <c r="D14" s="9">
        <f>C14*53.22</f>
        <v/>
      </c>
      <c r="E14" s="11" t="inlineStr">
        <is>
          <t>3 programmes at $12,000</t>
        </is>
      </c>
    </row>
    <row r="15" ht="24" customHeight="1">
      <c r="B15" s="7" t="inlineStr">
        <is>
          <t>NGO and donor programmes won on the evidence base</t>
        </is>
      </c>
      <c r="C15" s="8" t="n">
        <v>17280</v>
      </c>
      <c r="D15" s="9">
        <f>C15*53.22</f>
        <v/>
      </c>
      <c r="E15" s="11" t="inlineStr">
        <is>
          <t>1 programme at $12,000</t>
        </is>
      </c>
    </row>
    <row r="16">
      <c r="B16" s="12" t="inlineStr">
        <is>
          <t>Total, twelve months after the wave</t>
        </is>
      </c>
      <c r="C16" s="13">
        <f>SUM(C12:C15)</f>
        <v/>
      </c>
      <c r="D16" s="14">
        <f>SUM(D12:D15)</f>
        <v/>
      </c>
    </row>
    <row r="18">
      <c r="B18" s="3" t="inlineStr">
        <is>
          <t>THE RATES BEHIND THOSE LINES</t>
        </is>
      </c>
    </row>
    <row r="19" ht="28" customHeight="1">
      <c r="B19" s="6" t="inlineStr">
        <is>
          <t>Rate</t>
        </is>
      </c>
      <c r="C19" s="6" t="inlineStr">
        <is>
          <t>Assumed</t>
        </is>
      </c>
      <c r="D19" s="6" t="inlineStr"/>
      <c r="E19" s="6" t="inlineStr">
        <is>
          <t>Why</t>
        </is>
      </c>
    </row>
    <row r="20" ht="37.2" customHeight="1">
      <c r="B20" s="7" t="inlineStr">
        <is>
          <t>Free-tier completers who buy Pro</t>
        </is>
      </c>
      <c r="C20" s="31" t="n">
        <v>0.02</v>
      </c>
      <c r="D20" s="21" t="inlineStr"/>
      <c r="E20" s="11" t="inlineStr">
        <is>
          <t>At $15 a year. Two per cent of people who finished three missions for nothing and want the rest without waiting for a sponsor.</t>
        </is>
      </c>
    </row>
    <row r="21" ht="37.2" customHeight="1">
      <c r="B21" s="7" t="inlineStr">
        <is>
          <t>Info session hosts that buy a commercial programme</t>
        </is>
      </c>
      <c r="C21" s="31" t="n">
        <v>0.04</v>
      </c>
      <c r="D21" s="21" t="inlineStr"/>
      <c r="E21" s="11" t="inlineStr">
        <is>
          <t>At $3,500. An institution that hosted a session and saw its own students register is the warmest lead the company can have.</t>
        </is>
      </c>
    </row>
    <row r="22" ht="37.2" customHeight="1">
      <c r="B22" s="7" t="inlineStr">
        <is>
          <t>Sponsors that continue commercially</t>
        </is>
      </c>
      <c r="C22" s="31" t="n">
        <v>0.2</v>
      </c>
      <c r="D22" s="21" t="inlineStr"/>
      <c r="E22" s="11" t="inlineStr">
        <is>
          <t>At $12,000 for a corporate or CSR programme. A sponsor who has seen the reporting buys the programme next year instead of sponsoring it.</t>
        </is>
      </c>
    </row>
    <row r="23" ht="24.8" customHeight="1">
      <c r="B23" s="7" t="inlineStr">
        <is>
          <t>NGO partners that bring a funded programme</t>
        </is>
      </c>
      <c r="C23" s="31" t="n">
        <v>0.08</v>
      </c>
      <c r="D23" s="21" t="inlineStr"/>
      <c r="E23" s="11" t="inlineStr">
        <is>
          <t>At $12,000. The evidence base from the wave is what wins these.</t>
        </is>
      </c>
    </row>
    <row r="25">
      <c r="B25" s="3" t="inlineStr">
        <is>
          <t>AND WHAT IS NOT IN THE NUMBER</t>
        </is>
      </c>
    </row>
    <row r="26" ht="26" customHeight="1">
      <c r="B26" s="28" t="inlineStr">
        <is>
          <t>1,000,000 registered entrepreneurs</t>
        </is>
      </c>
      <c r="C26" s="29" t="inlineStr">
        <is>
          <t>The direct engine's entire addressable base, several times over, acquired at $0.20 a head with somebody else's money.</t>
        </is>
      </c>
    </row>
    <row r="27" ht="26" customHeight="1">
      <c r="B27" s="28" t="inlineStr">
        <is>
          <t>306,000 consented ideas</t>
        </is>
      </c>
      <c r="C27" s="29" t="inlineStr">
        <is>
          <t>The ideas bank and the direction report. No competitor in Egypt has a sample remotely like it, and it is the basis of the company's own incubation product as well as a partner benefit.</t>
        </is>
      </c>
    </row>
    <row r="28" ht="26" customHeight="1">
      <c r="B28" s="28" t="inlineStr">
        <is>
          <t>A referral loop that has been run at national scale</t>
        </is>
      </c>
      <c r="C28" s="29" t="inlineStr">
        <is>
          <t>The viral mechanics in Section 12 either work or they do not, and after this wave the company will know, with a measured coefficient, which is worth more than the wave itself.</t>
        </is>
      </c>
    </row>
    <row r="29" ht="26" customHeight="1">
      <c r="B29" s="28" t="inlineStr">
        <is>
          <t>A coalition of national partners</t>
        </is>
      </c>
      <c r="C29" s="29" t="inlineStr">
        <is>
          <t>Fifteen to twenty organisations that have worked with the company for six months and have seen its reporting.</t>
        </is>
      </c>
    </row>
    <row r="30" ht="26" customHeight="1">
      <c r="B30" s="28" t="inlineStr">
        <is>
          <t>An audited delivery record at national scale</t>
        </is>
      </c>
      <c r="C30" s="29" t="inlineStr">
        <is>
          <t>What makes donor and ministry procurement possible, and what a young company cannot otherwise buy.</t>
        </is>
      </c>
    </row>
    <row r="32" ht="56" customHeight="1">
      <c r="B32" s="22" t="inlineStr">
        <is>
          <t>The honest summary: the company spends no money on this and makes none from it directly, and gets about $134,220 of commercial revenue in the following year plus a million registered entrepreneurs, a data asset nobody else in Egypt has, and a measured referral coefficient. If these rates are half right it is still the best twelve months of business development the company could buy, and it is being funded by somebody else.</t>
        </is>
      </c>
    </row>
  </sheetData>
  <mergeCells count="12">
    <mergeCell ref="A2:F2"/>
    <mergeCell ref="C8:F8"/>
    <mergeCell ref="B32:F32"/>
    <mergeCell ref="A1:F1"/>
    <mergeCell ref="C26:F26"/>
    <mergeCell ref="C6:F6"/>
    <mergeCell ref="C7:F7"/>
    <mergeCell ref="C29:F29"/>
    <mergeCell ref="C30:F30"/>
    <mergeCell ref="C27:F27"/>
    <mergeCell ref="C5:F5"/>
    <mergeCell ref="C28:F2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showGridLines="0" workbookViewId="0">
      <selection activeCell="A1" sqref="A1"/>
    </sheetView>
  </sheetViews>
  <sheetFormatPr baseColWidth="8" defaultRowHeight="15"/>
  <cols>
    <col width="3" customWidth="1" min="1" max="1"/>
    <col width="14" customWidth="1" min="2" max="2"/>
    <col width="13" customWidth="1" min="3" max="3"/>
    <col width="16" customWidth="1" min="4" max="4"/>
    <col width="14" customWidth="1" min="5" max="5"/>
    <col width="72" customWidth="1" min="6" max="6"/>
  </cols>
  <sheetData>
    <row r="1" ht="28" customHeight="1">
      <c r="A1" s="1" t="inlineStr">
        <is>
          <t>If the loop is weaker, or the coalition smaller</t>
        </is>
      </c>
    </row>
    <row r="2" ht="19" customHeight="1">
      <c r="A2" s="2" t="inlineStr">
        <is>
          <t>Two things can go wrong with this plan, and they go wrong independently.</t>
        </is>
      </c>
    </row>
    <row r="4">
      <c r="B4" s="3" t="inlineStr">
        <is>
          <t>IF THE VIRAL COEFFICIENT IS WRONG</t>
        </is>
      </c>
    </row>
    <row r="5" ht="28" customHeight="1">
      <c r="B5" s="6" t="inlineStr">
        <is>
          <t>Coefficient</t>
        </is>
      </c>
      <c r="C5" s="6" t="inlineStr">
        <is>
          <t>Multiplier</t>
        </is>
      </c>
      <c r="D5" s="6" t="inlineStr">
        <is>
          <t>Registered</t>
        </is>
      </c>
      <c r="E5" s="6" t="inlineStr">
        <is>
          <t>Cost per head</t>
        </is>
      </c>
      <c r="F5" s="6" t="inlineStr">
        <is>
          <t>What it means</t>
        </is>
      </c>
    </row>
    <row r="6" ht="37.2" customHeight="1">
      <c r="B6" s="35" t="n">
        <v>0.25</v>
      </c>
      <c r="C6" s="25">
        <f>1/(1-B6)</f>
        <v/>
      </c>
      <c r="D6" s="34" t="n">
        <v>666667</v>
      </c>
      <c r="E6" s="36" t="n">
        <v>0.3</v>
      </c>
      <c r="F6" s="11" t="inlineStr">
        <is>
          <t>The loop barely fires and the wave is carried by the partner channels alone. Still two thirds of a million, and still the largest entrepreneurship programme ever run in Egypt.</t>
        </is>
      </c>
    </row>
    <row r="7" ht="30" customHeight="1">
      <c r="B7" s="35" t="n">
        <v>0.4</v>
      </c>
      <c r="C7" s="25">
        <f>1/(1-B7)</f>
        <v/>
      </c>
      <c r="D7" s="34" t="n">
        <v>833333</v>
      </c>
      <c r="E7" s="36" t="n">
        <v>0.24</v>
      </c>
      <c r="F7" s="11" t="inlineStr">
        <is>
          <t>Below plan but comfortably viable. The headline becomes 830,000 and the completion numbers barely move.</t>
        </is>
      </c>
    </row>
    <row r="8" ht="30" customHeight="1">
      <c r="B8" s="37" t="n">
        <v>0.5</v>
      </c>
      <c r="C8" s="38">
        <f>1/(1-B8)</f>
        <v/>
      </c>
      <c r="D8" s="39" t="n">
        <v>1000000</v>
      </c>
      <c r="E8" s="40" t="n">
        <v>0.2</v>
      </c>
      <c r="F8" s="41" t="inlineStr">
        <is>
          <t>The plan. Every registered entrepreneur brings one more across six months.</t>
        </is>
      </c>
    </row>
    <row r="9" ht="30" customHeight="1">
      <c r="B9" s="35" t="n">
        <v>0.6</v>
      </c>
      <c r="C9" s="25">
        <f>1/(1-B9)</f>
        <v/>
      </c>
      <c r="D9" s="34" t="n">
        <v>1250000</v>
      </c>
      <c r="E9" s="36" t="n">
        <v>0.16</v>
      </c>
      <c r="F9" s="11" t="inlineStr">
        <is>
          <t>Above plan. The constraint stops being reach and becomes inference cost, which is the good problem.</t>
        </is>
      </c>
    </row>
    <row r="11">
      <c r="B11" s="3" t="inlineStr">
        <is>
          <t>IF THE COALITION DOES NOT FILL</t>
        </is>
      </c>
    </row>
    <row r="12" ht="28" customHeight="1">
      <c r="B12" s="6" t="inlineStr">
        <is>
          <t>Fill</t>
        </is>
      </c>
      <c r="C12" s="6" t="inlineStr">
        <is>
          <t>Raised</t>
        </is>
      </c>
      <c r="D12" s="6" t="inlineStr">
        <is>
          <t>EGP</t>
        </is>
      </c>
      <c r="E12" s="6" t="inlineStr">
        <is>
          <t>Gap</t>
        </is>
      </c>
      <c r="F12" s="6" t="inlineStr">
        <is>
          <t>What gets cut</t>
        </is>
      </c>
    </row>
    <row r="13" ht="30" customHeight="1">
      <c r="B13" s="42" t="inlineStr">
        <is>
          <t>40%</t>
        </is>
      </c>
      <c r="C13" s="43" t="n">
        <v>100000</v>
      </c>
      <c r="D13" s="9" t="n">
        <v>5322000</v>
      </c>
      <c r="E13" s="44" t="n">
        <v>100000</v>
      </c>
      <c r="F13" s="11" t="inlineStr">
        <is>
          <t>Below the floor. The wave is postponed rather than run badly, and the coalition is rebuilt for the autumn.</t>
        </is>
      </c>
    </row>
    <row r="14" ht="30" customHeight="1">
      <c r="B14" s="42" t="inlineStr">
        <is>
          <t>60%</t>
        </is>
      </c>
      <c r="C14" s="43" t="n">
        <v>150000</v>
      </c>
      <c r="D14" s="9" t="n">
        <v>7983000</v>
      </c>
      <c r="E14" s="44" t="n">
        <v>50000</v>
      </c>
      <c r="F14" s="11" t="inlineStr">
        <is>
          <t>The regional showcases drop from six to two and the ambassador programme halves. Reach suffers, and so does the loop.</t>
        </is>
      </c>
    </row>
    <row r="15" ht="30" customHeight="1">
      <c r="B15" s="45" t="inlineStr">
        <is>
          <t>80%</t>
        </is>
      </c>
      <c r="C15" s="46" t="n">
        <v>200000</v>
      </c>
      <c r="D15" s="47" t="n">
        <v>10644000</v>
      </c>
      <c r="E15" s="17" t="n">
        <v>0</v>
      </c>
      <c r="F15" s="41" t="inlineStr">
        <is>
          <t>The plan. Everything in the budget runs.</t>
        </is>
      </c>
    </row>
    <row r="16" ht="30" customHeight="1">
      <c r="B16" s="42" t="inlineStr">
        <is>
          <t>100%</t>
        </is>
      </c>
      <c r="C16" s="43" t="n">
        <v>250000</v>
      </c>
      <c r="D16" s="9" t="n">
        <v>13305000</v>
      </c>
      <c r="E16" s="17" t="n">
        <v>-50000</v>
      </c>
      <c r="F16" s="11" t="inlineStr">
        <is>
          <t>The extra goes to ambassadors and to a second language pass, not to the surplus. There is no surplus.</t>
        </is>
      </c>
    </row>
    <row r="18" ht="44" customHeight="1">
      <c r="B18" s="22" t="inlineStr">
        <is>
          <t>The two risks are independent, which is the comfort in this plan. A weak loop with a full coalition still reaches two thirds of a million. A strong loop with a thin coalition still reaches a million, with fewer showcases. Both failing together is the case to watch, and the mid-wave report in May is the decision point.</t>
        </is>
      </c>
    </row>
  </sheetData>
  <mergeCells count="3">
    <mergeCell ref="A2:G2"/>
    <mergeCell ref="B18:F18"/>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StartPad</dc:creator>
  <dc:title xmlns:dc="http://purl.org/dc/elements/1.1/">One Million First-Time Founders: budget</dc:title>
  <dcterms:created xmlns:dcterms="http://purl.org/dc/terms/" xmlns:xsi="http://www.w3.org/2001/XMLSchema-instance" xsi:type="dcterms:W3CDTF">2024-01-01T00:00:00Z</dcterms:created>
  <dcterms:modified xmlns:dcterms="http://purl.org/dc/terms/" xmlns:xsi="http://www.w3.org/2001/XMLSchema-instance" xsi:type="dcterms:W3CDTF">2024-01-01T00:00:00Z</dcterms:modified>
</cp:coreProperties>
</file>